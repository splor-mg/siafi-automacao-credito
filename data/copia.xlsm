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wsl.localhost\Ubuntu\home\guilhermemelof\code\splor-mg\siafi-automacao-credito\data\"/>
    </mc:Choice>
  </mc:AlternateContent>
  <xr:revisionPtr revIDLastSave="0" documentId="13_ncr:1_{1CCB1B08-6819-40F6-893F-7050493A01F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OBO" sheetId="3" r:id="rId1"/>
    <sheet name="REGRAS" sheetId="8" r:id="rId2"/>
    <sheet name="Planilha1" sheetId="9" state="hidden" r:id="rId3"/>
    <sheet name="qdd" sheetId="4" r:id="rId4"/>
    <sheet name="PREENCHER AQUI" sheetId="5" r:id="rId5"/>
    <sheet name="Consulta" sheetId="11" state="hidden" r:id="rId6"/>
  </sheets>
  <definedNames>
    <definedName name="_xlnm._FilterDatabase" localSheetId="3" hidden="1">qdd!$BA$1:$BD$46</definedName>
    <definedName name="_xlnm._FilterDatabase" localSheetId="1" hidden="1">REGRAS!$A$1:$G$4521</definedName>
    <definedName name="_xlnm._FilterDatabase" localSheetId="0" hidden="1">ROBO!$A$1:$T$1000</definedName>
    <definedName name="_xleta.IF" hidden="1" xlm="1">#NAME?</definedName>
    <definedName name="ACAO1011">qdd!$U$2:$U$4</definedName>
    <definedName name="ACAO1021">qdd!$U$5:$U$10</definedName>
    <definedName name="ACAO1031">qdd!$U$11:$U$14</definedName>
    <definedName name="ACAO1051">qdd!$U$15:$U$23</definedName>
    <definedName name="ACAO1071">qdd!$U$24:$U$35</definedName>
    <definedName name="ACAO1081">qdd!$U$36:$U$43</definedName>
    <definedName name="ACAO1091">qdd!$U$44:$U$49</definedName>
    <definedName name="ACAO1101">qdd!$U$50:$U$58</definedName>
    <definedName name="ACAO1191">qdd!$U$59:$U$82</definedName>
    <definedName name="ACAO1221">qdd!$U$83:$U$109</definedName>
    <definedName name="ACAO1231">qdd!$U$110:$U$122</definedName>
    <definedName name="ACAO1251">qdd!$U$123:$U$138</definedName>
    <definedName name="ACAO1261">qdd!$U$139:$U$193</definedName>
    <definedName name="ACAO1271">qdd!$U$194:$U$211</definedName>
    <definedName name="ACAO1301">qdd!$U$212:$U$234</definedName>
    <definedName name="ACAO1371">qdd!$U$235:$U$248</definedName>
    <definedName name="ACAO1401">qdd!$U$249:$U$268</definedName>
    <definedName name="ACAO1441">qdd!$U$269:$U$276</definedName>
    <definedName name="ACAO1451">qdd!$U$277:$U$297</definedName>
    <definedName name="ACAO1481">qdd!$U$298:$U$345</definedName>
    <definedName name="ACAO1491">qdd!$U$346:$U$357</definedName>
    <definedName name="ACAO1501">qdd!$U$358:$U$390</definedName>
    <definedName name="ACAO1511">qdd!$U$391:$U$409</definedName>
    <definedName name="ACAO1521">qdd!$U$410:$U$422</definedName>
    <definedName name="ACAO1541">qdd!$U$423:$U$426</definedName>
    <definedName name="ACAO1631">qdd!$U$427:$U$429</definedName>
    <definedName name="ACAO1711">qdd!$U$430:$U$434</definedName>
    <definedName name="ACAO1721">qdd!$U$435:$U$440</definedName>
    <definedName name="ACAO1911">qdd!$U$441:$U$442</definedName>
    <definedName name="ACAO1915">qdd!$U$443:$U$452</definedName>
    <definedName name="ACAO1916">qdd!$U$453:$U$460</definedName>
    <definedName name="ACAO1941">qdd!$U$461:$U$464</definedName>
    <definedName name="ACAO1951">qdd!$U$465</definedName>
    <definedName name="ACAO1991">qdd!$U$466</definedName>
    <definedName name="ACAO2011">qdd!$U$467:$U$480</definedName>
    <definedName name="ACAO2041">qdd!$U$481:$U$484</definedName>
    <definedName name="ACAO2061">qdd!$U$485:$U$501</definedName>
    <definedName name="ACAO2071">qdd!$U$502:$U$513</definedName>
    <definedName name="ACAO2091">qdd!$U$514:$U$520</definedName>
    <definedName name="ACAO2101">qdd!$U$521:$U$531</definedName>
    <definedName name="ACAO2121">qdd!$U$532:$U$540</definedName>
    <definedName name="ACAO2151">qdd!$U$541:$U$561</definedName>
    <definedName name="ACAO2161">qdd!$U$562:$U$571</definedName>
    <definedName name="ACAO2171">qdd!$U$572:$U$579</definedName>
    <definedName name="ACAO2181">qdd!$U$580:$U$589</definedName>
    <definedName name="ACAO2201">qdd!$U$590:$U$601</definedName>
    <definedName name="ACAO2211">qdd!$U$602:$U$607</definedName>
    <definedName name="ACAO2241">qdd!$U$608:$U$619</definedName>
    <definedName name="ACAO2251">qdd!$U$620:$U$624</definedName>
    <definedName name="ACAO2261">qdd!$U$625:$U$632</definedName>
    <definedName name="ACAO2271">qdd!$U$633:$U$642</definedName>
    <definedName name="ACAO2281">qdd!$U$643:$U$646</definedName>
    <definedName name="ACAO2301">qdd!$U$647:$U$660</definedName>
    <definedName name="ACAO2311">qdd!$U$661:$U$671</definedName>
    <definedName name="ACAO2321">qdd!$U$672:$U$676</definedName>
    <definedName name="ACAO2331">qdd!$U$677:$U$681</definedName>
    <definedName name="ACAO2351">qdd!$U$682:$U$690</definedName>
    <definedName name="ACAO2361">qdd!$U$691:$U$695</definedName>
    <definedName name="ACAO2371">qdd!$U$696:$U$710</definedName>
    <definedName name="ACAO2421">qdd!$U$711:$U$720</definedName>
    <definedName name="ACAO2431">qdd!$U$721:$U$725</definedName>
    <definedName name="ACAO2441">qdd!$U$726:$U$731</definedName>
    <definedName name="ACAO2461">qdd!$U$732:$U$737</definedName>
    <definedName name="ACAO2471">qdd!$U$738:$U$740</definedName>
    <definedName name="ACAO3041">qdd!$U$741:$U$747</definedName>
    <definedName name="ACAO3051">qdd!$U$748:$U$759</definedName>
    <definedName name="ACAO3151">qdd!$U$760:$U$771</definedName>
    <definedName name="ACAO4031">qdd!$U$772:$U$776</definedName>
    <definedName name="ACAO4091">qdd!$U$777:$U$778</definedName>
    <definedName name="ACAO4101">qdd!$U$779:$U$780</definedName>
    <definedName name="ACAO4111">qdd!$U$781:$U$783</definedName>
    <definedName name="ACAO4121">qdd!$U$784:$U$786</definedName>
    <definedName name="ACAO4141">qdd!$U$787</definedName>
    <definedName name="ACAO4151">qdd!$U$788</definedName>
    <definedName name="ACAO4251">qdd!$U$789:$U$798</definedName>
    <definedName name="ACAO4291">qdd!$U$799:$U$839</definedName>
    <definedName name="ACAO4321">qdd!$U$840</definedName>
    <definedName name="ACAO4331">qdd!$U$841:$U$843</definedName>
    <definedName name="ACAO4341">qdd!$U$844:$U$851</definedName>
    <definedName name="ACAO4381">qdd!$U$852:$U$858</definedName>
    <definedName name="ACAO4421">qdd!$U$859</definedName>
    <definedName name="ACAO4441">qdd!$U$860</definedName>
    <definedName name="ACAO4451">qdd!$U$861</definedName>
    <definedName name="ACAO4491">qdd!$U$862</definedName>
    <definedName name="ACAO4541">qdd!$U$863</definedName>
    <definedName name="ACAO4551">qdd!$U$864:$U$865</definedName>
    <definedName name="ACAO4601">qdd!$U$866</definedName>
    <definedName name="ACAO4611">qdd!$U$867</definedName>
    <definedName name="ACAO4621">qdd!$U$868:$U$869</definedName>
    <definedName name="ACAO4631">qdd!$U$870:$U$886</definedName>
    <definedName name="ACAO4641">qdd!$U$887</definedName>
    <definedName name="ACAO4651">qdd!$U$888:$U$889</definedName>
    <definedName name="ACAO4661">qdd!$U$890</definedName>
    <definedName name="ACAO4671">qdd!$U$891</definedName>
    <definedName name="ACAO4691">qdd!$U$892</definedName>
    <definedName name="ACAO4701">qdd!$U$893:$U$894</definedName>
    <definedName name="ACAO4711">qdd!$U$895:$U$956</definedName>
    <definedName name="ACAO4721">qdd!$U$957</definedName>
    <definedName name="ACAO4731">qdd!$U$958</definedName>
    <definedName name="ACAO4741">qdd!$U$959</definedName>
    <definedName name="ACAO4751">qdd!$U$960</definedName>
    <definedName name="categoria3">qdd!$P$2:$P$3</definedName>
    <definedName name="categoria4">qdd!$P$4:$P$5</definedName>
    <definedName name="G1M90">qdd!$AQ$2:$AQ$19</definedName>
    <definedName name="G1M91">qdd!$AQ$20:$AQ$24</definedName>
    <definedName name="G1M99">qdd!$AQ$25</definedName>
    <definedName name="G2M90">qdd!$AQ$26:$AQ$32</definedName>
    <definedName name="G2M91">qdd!$AQ$33</definedName>
    <definedName name="G3M20">qdd!$AQ$34:$AQ$37</definedName>
    <definedName name="G3M40">qdd!$AQ$38:$AQ$41</definedName>
    <definedName name="G3M41">qdd!$AQ$42:$AQ$43</definedName>
    <definedName name="G3M50">qdd!$AQ$44:$AQ$52</definedName>
    <definedName name="G3M60">qdd!$AQ$53:$AQ$54</definedName>
    <definedName name="G3M67">qdd!$AQ$55:$AQ$57</definedName>
    <definedName name="G3M70">qdd!$AQ$58:$AQ$59</definedName>
    <definedName name="G3M71">qdd!$AQ$60:$AQ$62</definedName>
    <definedName name="G3M80">qdd!$AQ$63</definedName>
    <definedName name="G3M90">qdd!$AQ$64:$AQ$104</definedName>
    <definedName name="G3M91">qdd!$AQ$105:$AQ$115</definedName>
    <definedName name="G3M95">qdd!$AQ$116:$AQ$117</definedName>
    <definedName name="G3M99">qdd!$AQ$118</definedName>
    <definedName name="G4M20">qdd!$AQ$119:$AQ$120</definedName>
    <definedName name="G4M40">qdd!$AQ$121:$AQ$123</definedName>
    <definedName name="G4M41">qdd!$AQ$124:$AQ$125</definedName>
    <definedName name="G4M50">qdd!$AQ$126:$AQ$129</definedName>
    <definedName name="G4M60">qdd!$AQ$130</definedName>
    <definedName name="G4M70">qdd!$AQ$131:$AQ$132</definedName>
    <definedName name="G4M71">qdd!$AQ$133</definedName>
    <definedName name="G4M90">qdd!$AQ$134:$AQ$148</definedName>
    <definedName name="G4M91">qdd!$AQ$149:$AQ$151</definedName>
    <definedName name="G4M95">qdd!$AQ$152:$AQ$153</definedName>
    <definedName name="G4M99">qdd!$AQ$154:$AQ$155</definedName>
    <definedName name="G5M20">qdd!$AQ$156</definedName>
    <definedName name="G5M40">qdd!$AQ$157:$AQ$159</definedName>
    <definedName name="G5M41">qdd!$AQ$160</definedName>
    <definedName name="G5M50">qdd!$AQ$161</definedName>
    <definedName name="G5M67">qdd!$AQ$162:$AQ$163</definedName>
    <definedName name="G5M90">qdd!$AQ$164:$AQ$176</definedName>
    <definedName name="G5M91">qdd!$AQ$177</definedName>
    <definedName name="G5M99">qdd!$AQ$178</definedName>
    <definedName name="G6M90">qdd!$AQ$179:$AQ$187</definedName>
    <definedName name="G6M91">qdd!$AQ$188</definedName>
    <definedName name="G9M99">qdd!$AQ$189</definedName>
    <definedName name="GRUPO1">qdd!$AI$2:$AI$4</definedName>
    <definedName name="GRUPO2">qdd!$AI$5:$AI$6</definedName>
    <definedName name="GRUPO3">qdd!$AI$7:$AI$19</definedName>
    <definedName name="GRUPO4">qdd!$AI$20:$AI$30</definedName>
    <definedName name="GRUPO5">qdd!$AI$31:$AI$38</definedName>
    <definedName name="GRUPO6">qdd!$AI$39:$AI$40</definedName>
    <definedName name="GRUPO9">qdd!$AI$41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B3" i="3"/>
  <c r="Q3" i="3" s="1"/>
  <c r="C3" i="3"/>
  <c r="D3" i="3"/>
  <c r="J3" i="3"/>
  <c r="I3" i="3" s="1"/>
  <c r="K3" i="3"/>
  <c r="N3" i="3"/>
  <c r="O3" i="3"/>
  <c r="A4" i="3"/>
  <c r="B4" i="3"/>
  <c r="Q4" i="3" s="1"/>
  <c r="C4" i="3"/>
  <c r="D4" i="3"/>
  <c r="J4" i="3"/>
  <c r="I4" i="3" s="1"/>
  <c r="K4" i="3"/>
  <c r="N4" i="3"/>
  <c r="O4" i="3"/>
  <c r="A5" i="3"/>
  <c r="B5" i="3"/>
  <c r="Q5" i="3" s="1"/>
  <c r="C5" i="3"/>
  <c r="D5" i="3"/>
  <c r="J5" i="3"/>
  <c r="I5" i="3" s="1"/>
  <c r="K5" i="3"/>
  <c r="N5" i="3"/>
  <c r="O5" i="3"/>
  <c r="A6" i="3"/>
  <c r="B6" i="3"/>
  <c r="Q6" i="3" s="1"/>
  <c r="C6" i="3"/>
  <c r="W6" i="3" s="1"/>
  <c r="D6" i="3"/>
  <c r="J6" i="3"/>
  <c r="I6" i="3" s="1"/>
  <c r="K6" i="3"/>
  <c r="N6" i="3"/>
  <c r="O6" i="3"/>
  <c r="A7" i="3"/>
  <c r="B7" i="3"/>
  <c r="Q7" i="3" s="1"/>
  <c r="C7" i="3"/>
  <c r="W7" i="3" s="1"/>
  <c r="D7" i="3"/>
  <c r="J7" i="3"/>
  <c r="I7" i="3" s="1"/>
  <c r="K7" i="3"/>
  <c r="N7" i="3"/>
  <c r="O7" i="3"/>
  <c r="A8" i="3"/>
  <c r="B8" i="3"/>
  <c r="Q8" i="3" s="1"/>
  <c r="C8" i="3"/>
  <c r="W8" i="3" s="1"/>
  <c r="D8" i="3"/>
  <c r="J8" i="3"/>
  <c r="I8" i="3" s="1"/>
  <c r="K8" i="3"/>
  <c r="N8" i="3"/>
  <c r="O8" i="3"/>
  <c r="A9" i="3"/>
  <c r="B9" i="3"/>
  <c r="Q9" i="3" s="1"/>
  <c r="C9" i="3"/>
  <c r="W9" i="3" s="1"/>
  <c r="D9" i="3"/>
  <c r="J9" i="3"/>
  <c r="I9" i="3" s="1"/>
  <c r="K9" i="3"/>
  <c r="N9" i="3"/>
  <c r="O9" i="3"/>
  <c r="A10" i="3"/>
  <c r="B10" i="3"/>
  <c r="Q10" i="3" s="1"/>
  <c r="C10" i="3"/>
  <c r="W10" i="3" s="1"/>
  <c r="D10" i="3"/>
  <c r="J10" i="3"/>
  <c r="I10" i="3" s="1"/>
  <c r="K10" i="3"/>
  <c r="N10" i="3"/>
  <c r="O10" i="3"/>
  <c r="A11" i="3"/>
  <c r="B11" i="3"/>
  <c r="Q11" i="3" s="1"/>
  <c r="C11" i="3"/>
  <c r="D11" i="3"/>
  <c r="J11" i="3"/>
  <c r="I11" i="3" s="1"/>
  <c r="K11" i="3"/>
  <c r="N11" i="3"/>
  <c r="O11" i="3"/>
  <c r="A12" i="3"/>
  <c r="B12" i="3"/>
  <c r="Q12" i="3" s="1"/>
  <c r="C12" i="3"/>
  <c r="W12" i="3" s="1"/>
  <c r="D12" i="3"/>
  <c r="J12" i="3"/>
  <c r="I12" i="3" s="1"/>
  <c r="K12" i="3"/>
  <c r="N12" i="3"/>
  <c r="O12" i="3"/>
  <c r="A13" i="3"/>
  <c r="B13" i="3"/>
  <c r="Q13" i="3" s="1"/>
  <c r="C13" i="3"/>
  <c r="W13" i="3" s="1"/>
  <c r="D13" i="3"/>
  <c r="J13" i="3"/>
  <c r="I13" i="3" s="1"/>
  <c r="K13" i="3"/>
  <c r="N13" i="3"/>
  <c r="O13" i="3"/>
  <c r="A14" i="3"/>
  <c r="B14" i="3"/>
  <c r="Q14" i="3" s="1"/>
  <c r="C14" i="3"/>
  <c r="W14" i="3" s="1"/>
  <c r="D14" i="3"/>
  <c r="J14" i="3"/>
  <c r="I14" i="3" s="1"/>
  <c r="K14" i="3"/>
  <c r="N14" i="3"/>
  <c r="O14" i="3"/>
  <c r="A15" i="3"/>
  <c r="B15" i="3"/>
  <c r="Q15" i="3" s="1"/>
  <c r="C15" i="3"/>
  <c r="W15" i="3" s="1"/>
  <c r="D15" i="3"/>
  <c r="J15" i="3"/>
  <c r="I15" i="3" s="1"/>
  <c r="K15" i="3"/>
  <c r="N15" i="3"/>
  <c r="O15" i="3"/>
  <c r="A16" i="3"/>
  <c r="B16" i="3"/>
  <c r="Q16" i="3" s="1"/>
  <c r="C16" i="3"/>
  <c r="D16" i="3"/>
  <c r="J16" i="3"/>
  <c r="I16" i="3" s="1"/>
  <c r="K16" i="3"/>
  <c r="N16" i="3"/>
  <c r="O16" i="3"/>
  <c r="A17" i="3"/>
  <c r="B17" i="3"/>
  <c r="C17" i="3"/>
  <c r="W17" i="3" s="1"/>
  <c r="D17" i="3"/>
  <c r="J17" i="3"/>
  <c r="I17" i="3" s="1"/>
  <c r="K17" i="3"/>
  <c r="N17" i="3"/>
  <c r="O17" i="3"/>
  <c r="Q17" i="3"/>
  <c r="A18" i="3"/>
  <c r="B18" i="3"/>
  <c r="Q18" i="3" s="1"/>
  <c r="C18" i="3"/>
  <c r="D18" i="3"/>
  <c r="J18" i="3"/>
  <c r="I18" i="3" s="1"/>
  <c r="K18" i="3"/>
  <c r="N18" i="3"/>
  <c r="O18" i="3"/>
  <c r="A19" i="3"/>
  <c r="B19" i="3"/>
  <c r="Q19" i="3" s="1"/>
  <c r="C19" i="3"/>
  <c r="D19" i="3"/>
  <c r="J19" i="3"/>
  <c r="I19" i="3" s="1"/>
  <c r="K19" i="3"/>
  <c r="N19" i="3"/>
  <c r="O19" i="3"/>
  <c r="A20" i="3"/>
  <c r="B20" i="3"/>
  <c r="Q20" i="3" s="1"/>
  <c r="C20" i="3"/>
  <c r="D20" i="3"/>
  <c r="J20" i="3"/>
  <c r="I20" i="3" s="1"/>
  <c r="K20" i="3"/>
  <c r="N20" i="3"/>
  <c r="O20" i="3"/>
  <c r="A21" i="3"/>
  <c r="B21" i="3"/>
  <c r="Q21" i="3" s="1"/>
  <c r="C21" i="3"/>
  <c r="W21" i="3" s="1"/>
  <c r="D21" i="3"/>
  <c r="J21" i="3"/>
  <c r="I21" i="3" s="1"/>
  <c r="K21" i="3"/>
  <c r="N21" i="3"/>
  <c r="O21" i="3"/>
  <c r="A22" i="3"/>
  <c r="B22" i="3"/>
  <c r="Q22" i="3" s="1"/>
  <c r="C22" i="3"/>
  <c r="D22" i="3"/>
  <c r="J22" i="3"/>
  <c r="I22" i="3" s="1"/>
  <c r="K22" i="3"/>
  <c r="N22" i="3"/>
  <c r="O22" i="3"/>
  <c r="A23" i="3"/>
  <c r="B23" i="3"/>
  <c r="C23" i="3"/>
  <c r="D23" i="3"/>
  <c r="J23" i="3"/>
  <c r="I23" i="3" s="1"/>
  <c r="K23" i="3"/>
  <c r="N23" i="3"/>
  <c r="O23" i="3"/>
  <c r="Q23" i="3"/>
  <c r="A24" i="3"/>
  <c r="B24" i="3"/>
  <c r="Q24" i="3" s="1"/>
  <c r="C24" i="3"/>
  <c r="W24" i="3" s="1"/>
  <c r="D24" i="3"/>
  <c r="J24" i="3"/>
  <c r="I24" i="3" s="1"/>
  <c r="K24" i="3"/>
  <c r="N24" i="3"/>
  <c r="O24" i="3"/>
  <c r="A25" i="3"/>
  <c r="B25" i="3"/>
  <c r="C25" i="3"/>
  <c r="D25" i="3"/>
  <c r="J25" i="3"/>
  <c r="I25" i="3" s="1"/>
  <c r="K25" i="3"/>
  <c r="N25" i="3"/>
  <c r="O25" i="3"/>
  <c r="Q25" i="3"/>
  <c r="A26" i="3"/>
  <c r="B26" i="3"/>
  <c r="C26" i="3"/>
  <c r="D26" i="3"/>
  <c r="J26" i="3"/>
  <c r="I26" i="3" s="1"/>
  <c r="K26" i="3"/>
  <c r="N26" i="3"/>
  <c r="O26" i="3"/>
  <c r="Q26" i="3"/>
  <c r="A27" i="3"/>
  <c r="B27" i="3"/>
  <c r="Q27" i="3" s="1"/>
  <c r="C27" i="3"/>
  <c r="D27" i="3"/>
  <c r="J27" i="3"/>
  <c r="I27" i="3" s="1"/>
  <c r="K27" i="3"/>
  <c r="N27" i="3"/>
  <c r="O27" i="3"/>
  <c r="A28" i="3"/>
  <c r="B28" i="3"/>
  <c r="C28" i="3"/>
  <c r="D28" i="3"/>
  <c r="J28" i="3"/>
  <c r="I28" i="3" s="1"/>
  <c r="K28" i="3"/>
  <c r="N28" i="3"/>
  <c r="O28" i="3"/>
  <c r="Q28" i="3"/>
  <c r="A29" i="3"/>
  <c r="B29" i="3"/>
  <c r="C29" i="3"/>
  <c r="W29" i="3" s="1"/>
  <c r="D29" i="3"/>
  <c r="J29" i="3"/>
  <c r="I29" i="3" s="1"/>
  <c r="K29" i="3"/>
  <c r="N29" i="3"/>
  <c r="O29" i="3"/>
  <c r="Q29" i="3"/>
  <c r="A30" i="3"/>
  <c r="B30" i="3"/>
  <c r="C30" i="3"/>
  <c r="D30" i="3"/>
  <c r="J30" i="3"/>
  <c r="I30" i="3" s="1"/>
  <c r="K30" i="3"/>
  <c r="N30" i="3"/>
  <c r="O30" i="3"/>
  <c r="Q30" i="3"/>
  <c r="A31" i="3"/>
  <c r="B31" i="3"/>
  <c r="Q31" i="3" s="1"/>
  <c r="C31" i="3"/>
  <c r="W31" i="3" s="1"/>
  <c r="D31" i="3"/>
  <c r="J31" i="3"/>
  <c r="I31" i="3" s="1"/>
  <c r="K31" i="3"/>
  <c r="N31" i="3"/>
  <c r="O31" i="3"/>
  <c r="A32" i="3"/>
  <c r="B32" i="3"/>
  <c r="C32" i="3"/>
  <c r="D32" i="3"/>
  <c r="J32" i="3"/>
  <c r="I32" i="3" s="1"/>
  <c r="K32" i="3"/>
  <c r="N32" i="3"/>
  <c r="O32" i="3"/>
  <c r="Q32" i="3"/>
  <c r="A33" i="3"/>
  <c r="B33" i="3"/>
  <c r="C33" i="3"/>
  <c r="D33" i="3"/>
  <c r="G33" i="3" s="1"/>
  <c r="J33" i="3"/>
  <c r="I33" i="3" s="1"/>
  <c r="K33" i="3"/>
  <c r="N33" i="3"/>
  <c r="O33" i="3"/>
  <c r="Q33" i="3"/>
  <c r="A34" i="3"/>
  <c r="B34" i="3"/>
  <c r="C34" i="3"/>
  <c r="D34" i="3"/>
  <c r="J34" i="3"/>
  <c r="I34" i="3" s="1"/>
  <c r="K34" i="3"/>
  <c r="N34" i="3"/>
  <c r="O34" i="3"/>
  <c r="Q34" i="3"/>
  <c r="A35" i="3"/>
  <c r="B35" i="3"/>
  <c r="Q35" i="3" s="1"/>
  <c r="C35" i="3"/>
  <c r="W35" i="3" s="1"/>
  <c r="D35" i="3"/>
  <c r="J35" i="3"/>
  <c r="I35" i="3" s="1"/>
  <c r="K35" i="3"/>
  <c r="N35" i="3"/>
  <c r="O35" i="3"/>
  <c r="A36" i="3"/>
  <c r="B36" i="3"/>
  <c r="C36" i="3"/>
  <c r="W36" i="3" s="1"/>
  <c r="D36" i="3"/>
  <c r="J36" i="3"/>
  <c r="I36" i="3" s="1"/>
  <c r="K36" i="3"/>
  <c r="N36" i="3"/>
  <c r="O36" i="3"/>
  <c r="Q36" i="3"/>
  <c r="A37" i="3"/>
  <c r="B37" i="3"/>
  <c r="C37" i="3"/>
  <c r="W37" i="3" s="1"/>
  <c r="D37" i="3"/>
  <c r="J37" i="3"/>
  <c r="I37" i="3" s="1"/>
  <c r="K37" i="3"/>
  <c r="N37" i="3"/>
  <c r="O37" i="3"/>
  <c r="Q37" i="3"/>
  <c r="A38" i="3"/>
  <c r="B38" i="3"/>
  <c r="C38" i="3"/>
  <c r="D38" i="3"/>
  <c r="E38" i="3"/>
  <c r="J38" i="3"/>
  <c r="I38" i="3" s="1"/>
  <c r="K38" i="3"/>
  <c r="N38" i="3"/>
  <c r="O38" i="3"/>
  <c r="Q38" i="3"/>
  <c r="A39" i="3"/>
  <c r="B39" i="3"/>
  <c r="Q39" i="3" s="1"/>
  <c r="C39" i="3"/>
  <c r="D39" i="3"/>
  <c r="J39" i="3"/>
  <c r="I39" i="3" s="1"/>
  <c r="K39" i="3"/>
  <c r="N39" i="3"/>
  <c r="O39" i="3"/>
  <c r="A40" i="3"/>
  <c r="B40" i="3"/>
  <c r="Q40" i="3" s="1"/>
  <c r="C40" i="3"/>
  <c r="W40" i="3" s="1"/>
  <c r="D40" i="3"/>
  <c r="J40" i="3"/>
  <c r="I40" i="3" s="1"/>
  <c r="K40" i="3"/>
  <c r="N40" i="3"/>
  <c r="O40" i="3"/>
  <c r="A41" i="3"/>
  <c r="B41" i="3"/>
  <c r="Q41" i="3" s="1"/>
  <c r="C41" i="3"/>
  <c r="D41" i="3"/>
  <c r="J41" i="3"/>
  <c r="I41" i="3" s="1"/>
  <c r="K41" i="3"/>
  <c r="N41" i="3"/>
  <c r="O41" i="3"/>
  <c r="A42" i="3"/>
  <c r="B42" i="3"/>
  <c r="C42" i="3"/>
  <c r="E42" i="3" s="1"/>
  <c r="H42" i="3" s="1"/>
  <c r="D42" i="3"/>
  <c r="J42" i="3"/>
  <c r="I42" i="3" s="1"/>
  <c r="K42" i="3"/>
  <c r="N42" i="3"/>
  <c r="O42" i="3"/>
  <c r="Q42" i="3"/>
  <c r="A43" i="3"/>
  <c r="B43" i="3"/>
  <c r="C43" i="3"/>
  <c r="D43" i="3"/>
  <c r="J43" i="3"/>
  <c r="I43" i="3" s="1"/>
  <c r="K43" i="3"/>
  <c r="N43" i="3"/>
  <c r="O43" i="3"/>
  <c r="Q43" i="3"/>
  <c r="A44" i="3"/>
  <c r="B44" i="3"/>
  <c r="Q44" i="3" s="1"/>
  <c r="C44" i="3"/>
  <c r="W44" i="3" s="1"/>
  <c r="D44" i="3"/>
  <c r="J44" i="3"/>
  <c r="I44" i="3" s="1"/>
  <c r="K44" i="3"/>
  <c r="N44" i="3"/>
  <c r="O44" i="3"/>
  <c r="A45" i="3"/>
  <c r="B45" i="3"/>
  <c r="C45" i="3"/>
  <c r="D45" i="3"/>
  <c r="F45" i="3" s="1"/>
  <c r="J45" i="3"/>
  <c r="I45" i="3" s="1"/>
  <c r="K45" i="3"/>
  <c r="N45" i="3"/>
  <c r="O45" i="3"/>
  <c r="Q45" i="3"/>
  <c r="A46" i="3"/>
  <c r="B46" i="3"/>
  <c r="C46" i="3"/>
  <c r="D46" i="3"/>
  <c r="J46" i="3"/>
  <c r="I46" i="3" s="1"/>
  <c r="K46" i="3"/>
  <c r="N46" i="3"/>
  <c r="O46" i="3"/>
  <c r="Q46" i="3"/>
  <c r="A47" i="3"/>
  <c r="B47" i="3"/>
  <c r="Q47" i="3" s="1"/>
  <c r="C47" i="3"/>
  <c r="W47" i="3" s="1"/>
  <c r="D47" i="3"/>
  <c r="J47" i="3"/>
  <c r="I47" i="3" s="1"/>
  <c r="K47" i="3"/>
  <c r="N47" i="3"/>
  <c r="O47" i="3"/>
  <c r="A48" i="3"/>
  <c r="B48" i="3"/>
  <c r="C48" i="3"/>
  <c r="W48" i="3" s="1"/>
  <c r="D48" i="3"/>
  <c r="J48" i="3"/>
  <c r="I48" i="3" s="1"/>
  <c r="K48" i="3"/>
  <c r="N48" i="3"/>
  <c r="O48" i="3"/>
  <c r="Q48" i="3"/>
  <c r="A49" i="3"/>
  <c r="B49" i="3"/>
  <c r="C49" i="3"/>
  <c r="D49" i="3"/>
  <c r="J49" i="3"/>
  <c r="I49" i="3" s="1"/>
  <c r="K49" i="3"/>
  <c r="N49" i="3"/>
  <c r="O49" i="3"/>
  <c r="Q49" i="3"/>
  <c r="A50" i="3"/>
  <c r="B50" i="3"/>
  <c r="C50" i="3"/>
  <c r="D50" i="3"/>
  <c r="G50" i="3" s="1"/>
  <c r="J50" i="3"/>
  <c r="I50" i="3" s="1"/>
  <c r="K50" i="3"/>
  <c r="N50" i="3"/>
  <c r="O50" i="3"/>
  <c r="Q50" i="3"/>
  <c r="A51" i="3"/>
  <c r="B51" i="3"/>
  <c r="Q51" i="3" s="1"/>
  <c r="C51" i="3"/>
  <c r="W51" i="3" s="1"/>
  <c r="D51" i="3"/>
  <c r="J51" i="3"/>
  <c r="I51" i="3" s="1"/>
  <c r="K51" i="3"/>
  <c r="N51" i="3"/>
  <c r="O51" i="3"/>
  <c r="A52" i="3"/>
  <c r="B52" i="3"/>
  <c r="C52" i="3"/>
  <c r="D52" i="3"/>
  <c r="J52" i="3"/>
  <c r="I52" i="3" s="1"/>
  <c r="K52" i="3"/>
  <c r="N52" i="3"/>
  <c r="O52" i="3"/>
  <c r="Q52" i="3"/>
  <c r="A53" i="3"/>
  <c r="B53" i="3"/>
  <c r="C53" i="3"/>
  <c r="D53" i="3"/>
  <c r="J53" i="3"/>
  <c r="I53" i="3" s="1"/>
  <c r="K53" i="3"/>
  <c r="N53" i="3"/>
  <c r="O53" i="3"/>
  <c r="Q53" i="3"/>
  <c r="A54" i="3"/>
  <c r="B54" i="3"/>
  <c r="C54" i="3"/>
  <c r="D54" i="3"/>
  <c r="L54" i="3" s="1"/>
  <c r="J54" i="3"/>
  <c r="I54" i="3" s="1"/>
  <c r="K54" i="3"/>
  <c r="N54" i="3"/>
  <c r="O54" i="3"/>
  <c r="Q54" i="3"/>
  <c r="A55" i="3"/>
  <c r="B55" i="3"/>
  <c r="C55" i="3"/>
  <c r="D55" i="3"/>
  <c r="J55" i="3"/>
  <c r="I55" i="3" s="1"/>
  <c r="K55" i="3"/>
  <c r="N55" i="3"/>
  <c r="O55" i="3"/>
  <c r="Q55" i="3"/>
  <c r="A56" i="3"/>
  <c r="B56" i="3"/>
  <c r="C56" i="3"/>
  <c r="G56" i="3" s="1"/>
  <c r="D56" i="3"/>
  <c r="J56" i="3"/>
  <c r="I56" i="3" s="1"/>
  <c r="K56" i="3"/>
  <c r="N56" i="3"/>
  <c r="O56" i="3"/>
  <c r="Q56" i="3"/>
  <c r="A57" i="3"/>
  <c r="B57" i="3"/>
  <c r="C57" i="3"/>
  <c r="G57" i="3" s="1"/>
  <c r="D57" i="3"/>
  <c r="I57" i="3"/>
  <c r="J57" i="3"/>
  <c r="K57" i="3"/>
  <c r="N57" i="3"/>
  <c r="O57" i="3"/>
  <c r="Q57" i="3"/>
  <c r="A58" i="3"/>
  <c r="B58" i="3"/>
  <c r="C58" i="3"/>
  <c r="D58" i="3"/>
  <c r="E58" i="3" s="1"/>
  <c r="H58" i="3" s="1"/>
  <c r="J58" i="3"/>
  <c r="I58" i="3" s="1"/>
  <c r="K58" i="3"/>
  <c r="N58" i="3"/>
  <c r="O58" i="3"/>
  <c r="Q58" i="3"/>
  <c r="A59" i="3"/>
  <c r="B59" i="3"/>
  <c r="C59" i="3"/>
  <c r="D59" i="3"/>
  <c r="J59" i="3"/>
  <c r="I59" i="3" s="1"/>
  <c r="K59" i="3"/>
  <c r="N59" i="3"/>
  <c r="O59" i="3"/>
  <c r="Q59" i="3"/>
  <c r="A60" i="3"/>
  <c r="B60" i="3"/>
  <c r="C60" i="3"/>
  <c r="F60" i="3" s="1"/>
  <c r="D60" i="3"/>
  <c r="J60" i="3"/>
  <c r="I60" i="3" s="1"/>
  <c r="K60" i="3"/>
  <c r="N60" i="3"/>
  <c r="O60" i="3"/>
  <c r="L60" i="3" s="1"/>
  <c r="Q60" i="3"/>
  <c r="A61" i="3"/>
  <c r="B61" i="3"/>
  <c r="C61" i="3"/>
  <c r="D61" i="3"/>
  <c r="J61" i="3"/>
  <c r="I61" i="3" s="1"/>
  <c r="K61" i="3"/>
  <c r="N61" i="3"/>
  <c r="O61" i="3"/>
  <c r="Q61" i="3"/>
  <c r="A62" i="3"/>
  <c r="B62" i="3"/>
  <c r="C62" i="3"/>
  <c r="M62" i="3" s="1"/>
  <c r="D62" i="3"/>
  <c r="I62" i="3"/>
  <c r="J62" i="3"/>
  <c r="K62" i="3"/>
  <c r="N62" i="3"/>
  <c r="O62" i="3"/>
  <c r="L62" i="3" s="1"/>
  <c r="Q62" i="3"/>
  <c r="A63" i="3"/>
  <c r="B63" i="3"/>
  <c r="C63" i="3"/>
  <c r="D63" i="3"/>
  <c r="I63" i="3"/>
  <c r="J63" i="3"/>
  <c r="K63" i="3"/>
  <c r="N63" i="3"/>
  <c r="O63" i="3"/>
  <c r="L63" i="3" s="1"/>
  <c r="Q63" i="3"/>
  <c r="A64" i="3"/>
  <c r="B64" i="3"/>
  <c r="C64" i="3"/>
  <c r="D64" i="3"/>
  <c r="G64" i="3"/>
  <c r="J64" i="3"/>
  <c r="I64" i="3" s="1"/>
  <c r="K64" i="3"/>
  <c r="N64" i="3"/>
  <c r="O64" i="3"/>
  <c r="Q64" i="3"/>
  <c r="A65" i="3"/>
  <c r="B65" i="3"/>
  <c r="C65" i="3"/>
  <c r="D65" i="3"/>
  <c r="J65" i="3"/>
  <c r="I65" i="3" s="1"/>
  <c r="K65" i="3"/>
  <c r="N65" i="3"/>
  <c r="O65" i="3"/>
  <c r="Q65" i="3"/>
  <c r="A66" i="3"/>
  <c r="B66" i="3"/>
  <c r="C66" i="3"/>
  <c r="D66" i="3"/>
  <c r="J66" i="3"/>
  <c r="I66" i="3" s="1"/>
  <c r="K66" i="3"/>
  <c r="N66" i="3"/>
  <c r="O66" i="3"/>
  <c r="Q66" i="3"/>
  <c r="A67" i="3"/>
  <c r="B67" i="3"/>
  <c r="C67" i="3"/>
  <c r="F67" i="3" s="1"/>
  <c r="D67" i="3"/>
  <c r="J67" i="3"/>
  <c r="I67" i="3" s="1"/>
  <c r="K67" i="3"/>
  <c r="N67" i="3"/>
  <c r="O67" i="3"/>
  <c r="Q67" i="3"/>
  <c r="A68" i="3"/>
  <c r="B68" i="3"/>
  <c r="C68" i="3"/>
  <c r="D68" i="3"/>
  <c r="J68" i="3"/>
  <c r="I68" i="3" s="1"/>
  <c r="K68" i="3"/>
  <c r="N68" i="3"/>
  <c r="O68" i="3"/>
  <c r="Q68" i="3"/>
  <c r="A69" i="3"/>
  <c r="B69" i="3"/>
  <c r="C69" i="3"/>
  <c r="D69" i="3"/>
  <c r="L69" i="3" s="1"/>
  <c r="J69" i="3"/>
  <c r="I69" i="3" s="1"/>
  <c r="K69" i="3"/>
  <c r="N69" i="3"/>
  <c r="O69" i="3"/>
  <c r="Q69" i="3"/>
  <c r="A70" i="3"/>
  <c r="B70" i="3"/>
  <c r="C70" i="3"/>
  <c r="D70" i="3"/>
  <c r="E70" i="3"/>
  <c r="H70" i="3" s="1"/>
  <c r="J70" i="3"/>
  <c r="I70" i="3" s="1"/>
  <c r="K70" i="3"/>
  <c r="L70" i="3"/>
  <c r="N70" i="3"/>
  <c r="O70" i="3"/>
  <c r="Q70" i="3"/>
  <c r="A71" i="3"/>
  <c r="B71" i="3"/>
  <c r="C71" i="3"/>
  <c r="D71" i="3"/>
  <c r="J71" i="3"/>
  <c r="I71" i="3" s="1"/>
  <c r="K71" i="3"/>
  <c r="N71" i="3"/>
  <c r="O71" i="3"/>
  <c r="L71" i="3" s="1"/>
  <c r="Q71" i="3"/>
  <c r="A72" i="3"/>
  <c r="B72" i="3"/>
  <c r="C72" i="3"/>
  <c r="D72" i="3"/>
  <c r="J72" i="3"/>
  <c r="I72" i="3" s="1"/>
  <c r="K72" i="3"/>
  <c r="N72" i="3"/>
  <c r="O72" i="3"/>
  <c r="L72" i="3" s="1"/>
  <c r="Q72" i="3"/>
  <c r="A73" i="3"/>
  <c r="B73" i="3"/>
  <c r="C73" i="3"/>
  <c r="D73" i="3"/>
  <c r="J73" i="3"/>
  <c r="I73" i="3" s="1"/>
  <c r="K73" i="3"/>
  <c r="N73" i="3"/>
  <c r="O73" i="3"/>
  <c r="Q73" i="3"/>
  <c r="A74" i="3"/>
  <c r="B74" i="3"/>
  <c r="C74" i="3"/>
  <c r="F74" i="3" s="1"/>
  <c r="D74" i="3"/>
  <c r="I74" i="3"/>
  <c r="J74" i="3"/>
  <c r="K74" i="3"/>
  <c r="N74" i="3"/>
  <c r="O74" i="3"/>
  <c r="L74" i="3" s="1"/>
  <c r="Q74" i="3"/>
  <c r="A75" i="3"/>
  <c r="B75" i="3"/>
  <c r="C75" i="3"/>
  <c r="D75" i="3"/>
  <c r="E75" i="3" s="1"/>
  <c r="H75" i="3" s="1"/>
  <c r="J75" i="3"/>
  <c r="I75" i="3" s="1"/>
  <c r="K75" i="3"/>
  <c r="N75" i="3"/>
  <c r="O75" i="3"/>
  <c r="Q75" i="3"/>
  <c r="A76" i="3"/>
  <c r="B76" i="3"/>
  <c r="C76" i="3"/>
  <c r="D76" i="3"/>
  <c r="G76" i="3" s="1"/>
  <c r="J76" i="3"/>
  <c r="I76" i="3" s="1"/>
  <c r="K76" i="3"/>
  <c r="N76" i="3"/>
  <c r="O76" i="3"/>
  <c r="Q76" i="3"/>
  <c r="A77" i="3"/>
  <c r="B77" i="3"/>
  <c r="C77" i="3"/>
  <c r="D77" i="3"/>
  <c r="I77" i="3"/>
  <c r="J77" i="3"/>
  <c r="K77" i="3"/>
  <c r="N77" i="3"/>
  <c r="O77" i="3"/>
  <c r="Q77" i="3"/>
  <c r="A78" i="3"/>
  <c r="B78" i="3"/>
  <c r="C78" i="3"/>
  <c r="D78" i="3"/>
  <c r="L78" i="3" s="1"/>
  <c r="J78" i="3"/>
  <c r="I78" i="3" s="1"/>
  <c r="K78" i="3"/>
  <c r="N78" i="3"/>
  <c r="O78" i="3"/>
  <c r="Q78" i="3"/>
  <c r="A79" i="3"/>
  <c r="B79" i="3"/>
  <c r="C79" i="3"/>
  <c r="D79" i="3"/>
  <c r="J79" i="3"/>
  <c r="I79" i="3" s="1"/>
  <c r="K79" i="3"/>
  <c r="N79" i="3"/>
  <c r="O79" i="3"/>
  <c r="Q79" i="3"/>
  <c r="A80" i="3"/>
  <c r="B80" i="3"/>
  <c r="C80" i="3"/>
  <c r="D80" i="3"/>
  <c r="J80" i="3"/>
  <c r="I80" i="3" s="1"/>
  <c r="K80" i="3"/>
  <c r="N80" i="3"/>
  <c r="O80" i="3"/>
  <c r="L80" i="3" s="1"/>
  <c r="Q80" i="3"/>
  <c r="A81" i="3"/>
  <c r="B81" i="3"/>
  <c r="C81" i="3"/>
  <c r="M81" i="3" s="1"/>
  <c r="D81" i="3"/>
  <c r="F81" i="3"/>
  <c r="I81" i="3"/>
  <c r="J81" i="3"/>
  <c r="K81" i="3"/>
  <c r="N81" i="3"/>
  <c r="O81" i="3"/>
  <c r="L81" i="3" s="1"/>
  <c r="Q81" i="3"/>
  <c r="A82" i="3"/>
  <c r="B82" i="3"/>
  <c r="C82" i="3"/>
  <c r="G82" i="3" s="1"/>
  <c r="D82" i="3"/>
  <c r="J82" i="3"/>
  <c r="I82" i="3" s="1"/>
  <c r="K82" i="3"/>
  <c r="N82" i="3"/>
  <c r="O82" i="3"/>
  <c r="Q82" i="3"/>
  <c r="A83" i="3"/>
  <c r="B83" i="3"/>
  <c r="C83" i="3"/>
  <c r="G83" i="3" s="1"/>
  <c r="D83" i="3"/>
  <c r="E83" i="3"/>
  <c r="J83" i="3"/>
  <c r="I83" i="3" s="1"/>
  <c r="K83" i="3"/>
  <c r="N83" i="3"/>
  <c r="O83" i="3"/>
  <c r="L83" i="3" s="1"/>
  <c r="Q83" i="3"/>
  <c r="A84" i="3"/>
  <c r="B84" i="3"/>
  <c r="C84" i="3"/>
  <c r="E84" i="3" s="1"/>
  <c r="D84" i="3"/>
  <c r="J84" i="3"/>
  <c r="I84" i="3" s="1"/>
  <c r="K84" i="3"/>
  <c r="N84" i="3"/>
  <c r="O84" i="3"/>
  <c r="Q84" i="3"/>
  <c r="A85" i="3"/>
  <c r="B85" i="3"/>
  <c r="C85" i="3"/>
  <c r="D85" i="3"/>
  <c r="J85" i="3"/>
  <c r="I85" i="3" s="1"/>
  <c r="K85" i="3"/>
  <c r="N85" i="3"/>
  <c r="O85" i="3"/>
  <c r="Q85" i="3"/>
  <c r="A86" i="3"/>
  <c r="B86" i="3"/>
  <c r="C86" i="3"/>
  <c r="D86" i="3"/>
  <c r="J86" i="3"/>
  <c r="I86" i="3" s="1"/>
  <c r="K86" i="3"/>
  <c r="N86" i="3"/>
  <c r="O86" i="3"/>
  <c r="Q86" i="3"/>
  <c r="A87" i="3"/>
  <c r="B87" i="3"/>
  <c r="C87" i="3"/>
  <c r="G87" i="3" s="1"/>
  <c r="D87" i="3"/>
  <c r="J87" i="3"/>
  <c r="I87" i="3" s="1"/>
  <c r="K87" i="3"/>
  <c r="N87" i="3"/>
  <c r="O87" i="3"/>
  <c r="L87" i="3" s="1"/>
  <c r="Q87" i="3"/>
  <c r="A88" i="3"/>
  <c r="B88" i="3"/>
  <c r="C88" i="3"/>
  <c r="D88" i="3"/>
  <c r="J88" i="3"/>
  <c r="I88" i="3" s="1"/>
  <c r="K88" i="3"/>
  <c r="N88" i="3"/>
  <c r="O88" i="3"/>
  <c r="Q88" i="3"/>
  <c r="A89" i="3"/>
  <c r="B89" i="3"/>
  <c r="C89" i="3"/>
  <c r="M89" i="3" s="1"/>
  <c r="D89" i="3"/>
  <c r="F89" i="3"/>
  <c r="J89" i="3"/>
  <c r="I89" i="3" s="1"/>
  <c r="K89" i="3"/>
  <c r="N89" i="3"/>
  <c r="O89" i="3"/>
  <c r="Q89" i="3"/>
  <c r="A90" i="3"/>
  <c r="B90" i="3"/>
  <c r="C90" i="3"/>
  <c r="D90" i="3"/>
  <c r="I90" i="3"/>
  <c r="J90" i="3"/>
  <c r="K90" i="3"/>
  <c r="N90" i="3"/>
  <c r="O90" i="3"/>
  <c r="Q90" i="3"/>
  <c r="A91" i="3"/>
  <c r="B91" i="3"/>
  <c r="C91" i="3"/>
  <c r="D91" i="3"/>
  <c r="J91" i="3"/>
  <c r="I91" i="3" s="1"/>
  <c r="K91" i="3"/>
  <c r="N91" i="3"/>
  <c r="O91" i="3"/>
  <c r="Q91" i="3"/>
  <c r="A92" i="3"/>
  <c r="B92" i="3"/>
  <c r="C92" i="3"/>
  <c r="D92" i="3"/>
  <c r="L92" i="3" s="1"/>
  <c r="J92" i="3"/>
  <c r="I92" i="3" s="1"/>
  <c r="K92" i="3"/>
  <c r="N92" i="3"/>
  <c r="O92" i="3"/>
  <c r="Q92" i="3"/>
  <c r="A93" i="3"/>
  <c r="B93" i="3"/>
  <c r="C93" i="3"/>
  <c r="D93" i="3"/>
  <c r="E93" i="3" s="1"/>
  <c r="J93" i="3"/>
  <c r="I93" i="3" s="1"/>
  <c r="K93" i="3"/>
  <c r="N93" i="3"/>
  <c r="O93" i="3"/>
  <c r="Q93" i="3"/>
  <c r="A94" i="3"/>
  <c r="B94" i="3"/>
  <c r="C94" i="3"/>
  <c r="D94" i="3"/>
  <c r="J94" i="3"/>
  <c r="I94" i="3" s="1"/>
  <c r="K94" i="3"/>
  <c r="N94" i="3"/>
  <c r="O94" i="3"/>
  <c r="L94" i="3" s="1"/>
  <c r="Q94" i="3"/>
  <c r="A95" i="3"/>
  <c r="B95" i="3"/>
  <c r="C95" i="3"/>
  <c r="D95" i="3"/>
  <c r="J95" i="3"/>
  <c r="I95" i="3" s="1"/>
  <c r="K95" i="3"/>
  <c r="N95" i="3"/>
  <c r="O95" i="3"/>
  <c r="Q95" i="3"/>
  <c r="A96" i="3"/>
  <c r="B96" i="3"/>
  <c r="C96" i="3"/>
  <c r="M96" i="3" s="1"/>
  <c r="D96" i="3"/>
  <c r="E96" i="3"/>
  <c r="H96" i="3" s="1"/>
  <c r="J96" i="3"/>
  <c r="I96" i="3" s="1"/>
  <c r="K96" i="3"/>
  <c r="N96" i="3"/>
  <c r="O96" i="3"/>
  <c r="L96" i="3" s="1"/>
  <c r="Q96" i="3"/>
  <c r="A97" i="3"/>
  <c r="B97" i="3"/>
  <c r="C97" i="3"/>
  <c r="E97" i="3" s="1"/>
  <c r="D97" i="3"/>
  <c r="J97" i="3"/>
  <c r="I97" i="3" s="1"/>
  <c r="K97" i="3"/>
  <c r="N97" i="3"/>
  <c r="O97" i="3"/>
  <c r="Q97" i="3"/>
  <c r="A98" i="3"/>
  <c r="B98" i="3"/>
  <c r="C98" i="3"/>
  <c r="D98" i="3"/>
  <c r="J98" i="3"/>
  <c r="I98" i="3" s="1"/>
  <c r="K98" i="3"/>
  <c r="N98" i="3"/>
  <c r="O98" i="3"/>
  <c r="Q98" i="3"/>
  <c r="A99" i="3"/>
  <c r="B99" i="3"/>
  <c r="C99" i="3"/>
  <c r="G99" i="3" s="1"/>
  <c r="D99" i="3"/>
  <c r="J99" i="3"/>
  <c r="I99" i="3" s="1"/>
  <c r="K99" i="3"/>
  <c r="M99" i="3"/>
  <c r="N99" i="3"/>
  <c r="O99" i="3"/>
  <c r="Q99" i="3"/>
  <c r="A100" i="3"/>
  <c r="B100" i="3"/>
  <c r="C100" i="3"/>
  <c r="D100" i="3"/>
  <c r="F100" i="3" s="1"/>
  <c r="J100" i="3"/>
  <c r="I100" i="3" s="1"/>
  <c r="K100" i="3"/>
  <c r="N100" i="3"/>
  <c r="O100" i="3"/>
  <c r="L100" i="3" s="1"/>
  <c r="Q100" i="3"/>
  <c r="A101" i="3"/>
  <c r="B101" i="3"/>
  <c r="C101" i="3"/>
  <c r="D101" i="3"/>
  <c r="J101" i="3"/>
  <c r="I101" i="3" s="1"/>
  <c r="K101" i="3"/>
  <c r="M101" i="3"/>
  <c r="N101" i="3"/>
  <c r="O101" i="3"/>
  <c r="Q101" i="3"/>
  <c r="A102" i="3"/>
  <c r="B102" i="3"/>
  <c r="C102" i="3"/>
  <c r="F102" i="3" s="1"/>
  <c r="D102" i="3"/>
  <c r="G102" i="3"/>
  <c r="J102" i="3"/>
  <c r="I102" i="3" s="1"/>
  <c r="K102" i="3"/>
  <c r="L102" i="3"/>
  <c r="N102" i="3"/>
  <c r="O102" i="3"/>
  <c r="Q102" i="3"/>
  <c r="A103" i="3"/>
  <c r="B103" i="3"/>
  <c r="C103" i="3"/>
  <c r="E103" i="3" s="1"/>
  <c r="D103" i="3"/>
  <c r="J103" i="3"/>
  <c r="I103" i="3" s="1"/>
  <c r="K103" i="3"/>
  <c r="L103" i="3"/>
  <c r="N103" i="3"/>
  <c r="O103" i="3"/>
  <c r="Q103" i="3"/>
  <c r="A104" i="3"/>
  <c r="B104" i="3"/>
  <c r="C104" i="3"/>
  <c r="D104" i="3"/>
  <c r="J104" i="3"/>
  <c r="I104" i="3" s="1"/>
  <c r="K104" i="3"/>
  <c r="M104" i="3"/>
  <c r="N104" i="3"/>
  <c r="O104" i="3"/>
  <c r="Q104" i="3"/>
  <c r="A105" i="3"/>
  <c r="B105" i="3"/>
  <c r="C105" i="3"/>
  <c r="E105" i="3" s="1"/>
  <c r="D105" i="3"/>
  <c r="J105" i="3"/>
  <c r="I105" i="3" s="1"/>
  <c r="K105" i="3"/>
  <c r="L105" i="3"/>
  <c r="N105" i="3"/>
  <c r="O105" i="3"/>
  <c r="Q105" i="3"/>
  <c r="A106" i="3"/>
  <c r="B106" i="3"/>
  <c r="C106" i="3"/>
  <c r="D106" i="3"/>
  <c r="J106" i="3"/>
  <c r="I106" i="3" s="1"/>
  <c r="K106" i="3"/>
  <c r="N106" i="3"/>
  <c r="O106" i="3"/>
  <c r="L106" i="3" s="1"/>
  <c r="Q106" i="3"/>
  <c r="A107" i="3"/>
  <c r="B107" i="3"/>
  <c r="C107" i="3"/>
  <c r="D107" i="3"/>
  <c r="J107" i="3"/>
  <c r="I107" i="3" s="1"/>
  <c r="K107" i="3"/>
  <c r="N107" i="3"/>
  <c r="O107" i="3"/>
  <c r="Q107" i="3"/>
  <c r="A108" i="3"/>
  <c r="B108" i="3"/>
  <c r="C108" i="3"/>
  <c r="D108" i="3"/>
  <c r="J108" i="3"/>
  <c r="I108" i="3" s="1"/>
  <c r="K108" i="3"/>
  <c r="N108" i="3"/>
  <c r="O108" i="3"/>
  <c r="Q108" i="3"/>
  <c r="A109" i="3"/>
  <c r="B109" i="3"/>
  <c r="C109" i="3"/>
  <c r="D109" i="3"/>
  <c r="J109" i="3"/>
  <c r="I109" i="3" s="1"/>
  <c r="K109" i="3"/>
  <c r="N109" i="3"/>
  <c r="O109" i="3"/>
  <c r="L109" i="3" s="1"/>
  <c r="Q109" i="3"/>
  <c r="A110" i="3"/>
  <c r="B110" i="3"/>
  <c r="C110" i="3"/>
  <c r="D110" i="3"/>
  <c r="J110" i="3"/>
  <c r="I110" i="3" s="1"/>
  <c r="K110" i="3"/>
  <c r="N110" i="3"/>
  <c r="O110" i="3"/>
  <c r="Q110" i="3"/>
  <c r="A111" i="3"/>
  <c r="B111" i="3"/>
  <c r="C111" i="3"/>
  <c r="D111" i="3"/>
  <c r="F111" i="3"/>
  <c r="J111" i="3"/>
  <c r="I111" i="3" s="1"/>
  <c r="K111" i="3"/>
  <c r="N111" i="3"/>
  <c r="O111" i="3"/>
  <c r="L111" i="3" s="1"/>
  <c r="Q111" i="3"/>
  <c r="A112" i="3"/>
  <c r="B112" i="3"/>
  <c r="C112" i="3"/>
  <c r="D112" i="3"/>
  <c r="J112" i="3"/>
  <c r="I112" i="3" s="1"/>
  <c r="K112" i="3"/>
  <c r="N112" i="3"/>
  <c r="O112" i="3"/>
  <c r="Q112" i="3"/>
  <c r="A113" i="3"/>
  <c r="B113" i="3"/>
  <c r="C113" i="3"/>
  <c r="D113" i="3"/>
  <c r="J113" i="3"/>
  <c r="I113" i="3" s="1"/>
  <c r="K113" i="3"/>
  <c r="N113" i="3"/>
  <c r="O113" i="3"/>
  <c r="Q113" i="3"/>
  <c r="A114" i="3"/>
  <c r="B114" i="3"/>
  <c r="C114" i="3"/>
  <c r="D114" i="3"/>
  <c r="J114" i="3"/>
  <c r="I114" i="3" s="1"/>
  <c r="K114" i="3"/>
  <c r="N114" i="3"/>
  <c r="O114" i="3"/>
  <c r="Q114" i="3"/>
  <c r="A115" i="3"/>
  <c r="B115" i="3"/>
  <c r="C115" i="3"/>
  <c r="D115" i="3"/>
  <c r="E115" i="3" s="1"/>
  <c r="J115" i="3"/>
  <c r="I115" i="3" s="1"/>
  <c r="K115" i="3"/>
  <c r="N115" i="3"/>
  <c r="O115" i="3"/>
  <c r="L115" i="3" s="1"/>
  <c r="Q115" i="3"/>
  <c r="A116" i="3"/>
  <c r="B116" i="3"/>
  <c r="C116" i="3"/>
  <c r="D116" i="3"/>
  <c r="J116" i="3"/>
  <c r="I116" i="3" s="1"/>
  <c r="K116" i="3"/>
  <c r="N116" i="3"/>
  <c r="O116" i="3"/>
  <c r="Q116" i="3"/>
  <c r="A117" i="3"/>
  <c r="B117" i="3"/>
  <c r="C117" i="3"/>
  <c r="F117" i="3" s="1"/>
  <c r="D117" i="3"/>
  <c r="G117" i="3" s="1"/>
  <c r="J117" i="3"/>
  <c r="I117" i="3" s="1"/>
  <c r="K117" i="3"/>
  <c r="N117" i="3"/>
  <c r="O117" i="3"/>
  <c r="Q117" i="3"/>
  <c r="A118" i="3"/>
  <c r="B118" i="3"/>
  <c r="C118" i="3"/>
  <c r="E118" i="3" s="1"/>
  <c r="D118" i="3"/>
  <c r="J118" i="3"/>
  <c r="I118" i="3" s="1"/>
  <c r="K118" i="3"/>
  <c r="N118" i="3"/>
  <c r="O118" i="3"/>
  <c r="L118" i="3" s="1"/>
  <c r="Q118" i="3"/>
  <c r="A119" i="3"/>
  <c r="B119" i="3"/>
  <c r="C119" i="3"/>
  <c r="D119" i="3"/>
  <c r="J119" i="3"/>
  <c r="I119" i="3" s="1"/>
  <c r="K119" i="3"/>
  <c r="N119" i="3"/>
  <c r="O119" i="3"/>
  <c r="L119" i="3" s="1"/>
  <c r="Q119" i="3"/>
  <c r="A120" i="3"/>
  <c r="B120" i="3"/>
  <c r="C120" i="3"/>
  <c r="D120" i="3"/>
  <c r="J120" i="3"/>
  <c r="I120" i="3" s="1"/>
  <c r="K120" i="3"/>
  <c r="N120" i="3"/>
  <c r="O120" i="3"/>
  <c r="Q120" i="3"/>
  <c r="A121" i="3"/>
  <c r="B121" i="3"/>
  <c r="C121" i="3"/>
  <c r="M121" i="3" s="1"/>
  <c r="D121" i="3"/>
  <c r="J121" i="3"/>
  <c r="I121" i="3" s="1"/>
  <c r="K121" i="3"/>
  <c r="N121" i="3"/>
  <c r="O121" i="3"/>
  <c r="Q121" i="3"/>
  <c r="A122" i="3"/>
  <c r="B122" i="3"/>
  <c r="C122" i="3"/>
  <c r="D122" i="3"/>
  <c r="J122" i="3"/>
  <c r="I122" i="3" s="1"/>
  <c r="K122" i="3"/>
  <c r="N122" i="3"/>
  <c r="O122" i="3"/>
  <c r="Q122" i="3"/>
  <c r="A123" i="3"/>
  <c r="B123" i="3"/>
  <c r="C123" i="3"/>
  <c r="G123" i="3" s="1"/>
  <c r="D123" i="3"/>
  <c r="J123" i="3"/>
  <c r="I123" i="3" s="1"/>
  <c r="K123" i="3"/>
  <c r="N123" i="3"/>
  <c r="O123" i="3"/>
  <c r="L123" i="3" s="1"/>
  <c r="Q123" i="3"/>
  <c r="A124" i="3"/>
  <c r="B124" i="3"/>
  <c r="C124" i="3"/>
  <c r="D124" i="3"/>
  <c r="J124" i="3"/>
  <c r="I124" i="3" s="1"/>
  <c r="K124" i="3"/>
  <c r="N124" i="3"/>
  <c r="O124" i="3"/>
  <c r="L124" i="3" s="1"/>
  <c r="Q124" i="3"/>
  <c r="A125" i="3"/>
  <c r="B125" i="3"/>
  <c r="C125" i="3"/>
  <c r="D125" i="3"/>
  <c r="J125" i="3"/>
  <c r="I125" i="3" s="1"/>
  <c r="K125" i="3"/>
  <c r="N125" i="3"/>
  <c r="O125" i="3"/>
  <c r="Q125" i="3"/>
  <c r="A126" i="3"/>
  <c r="B126" i="3"/>
  <c r="C126" i="3"/>
  <c r="D126" i="3"/>
  <c r="F126" i="3"/>
  <c r="J126" i="3"/>
  <c r="I126" i="3" s="1"/>
  <c r="K126" i="3"/>
  <c r="N126" i="3"/>
  <c r="O126" i="3"/>
  <c r="L126" i="3" s="1"/>
  <c r="Q126" i="3"/>
  <c r="A127" i="3"/>
  <c r="B127" i="3"/>
  <c r="C127" i="3"/>
  <c r="D127" i="3"/>
  <c r="L127" i="3" s="1"/>
  <c r="J127" i="3"/>
  <c r="I127" i="3" s="1"/>
  <c r="K127" i="3"/>
  <c r="N127" i="3"/>
  <c r="O127" i="3"/>
  <c r="Q127" i="3"/>
  <c r="A128" i="3"/>
  <c r="B128" i="3"/>
  <c r="C128" i="3"/>
  <c r="D128" i="3"/>
  <c r="J128" i="3"/>
  <c r="I128" i="3" s="1"/>
  <c r="K128" i="3"/>
  <c r="N128" i="3"/>
  <c r="O128" i="3"/>
  <c r="Q128" i="3"/>
  <c r="A129" i="3"/>
  <c r="B129" i="3"/>
  <c r="C129" i="3"/>
  <c r="D129" i="3"/>
  <c r="J129" i="3"/>
  <c r="I129" i="3" s="1"/>
  <c r="K129" i="3"/>
  <c r="N129" i="3"/>
  <c r="O129" i="3"/>
  <c r="Q129" i="3"/>
  <c r="A130" i="3"/>
  <c r="B130" i="3"/>
  <c r="C130" i="3"/>
  <c r="D130" i="3"/>
  <c r="J130" i="3"/>
  <c r="I130" i="3" s="1"/>
  <c r="K130" i="3"/>
  <c r="M130" i="3"/>
  <c r="N130" i="3"/>
  <c r="O130" i="3"/>
  <c r="L130" i="3" s="1"/>
  <c r="Q130" i="3"/>
  <c r="A131" i="3"/>
  <c r="B131" i="3"/>
  <c r="C131" i="3"/>
  <c r="D131" i="3"/>
  <c r="J131" i="3"/>
  <c r="I131" i="3" s="1"/>
  <c r="K131" i="3"/>
  <c r="N131" i="3"/>
  <c r="O131" i="3"/>
  <c r="Q131" i="3"/>
  <c r="A132" i="3"/>
  <c r="B132" i="3"/>
  <c r="C132" i="3"/>
  <c r="D132" i="3"/>
  <c r="J132" i="3"/>
  <c r="I132" i="3" s="1"/>
  <c r="K132" i="3"/>
  <c r="N132" i="3"/>
  <c r="O132" i="3"/>
  <c r="Q132" i="3"/>
  <c r="A133" i="3"/>
  <c r="B133" i="3"/>
  <c r="C133" i="3"/>
  <c r="G133" i="3" s="1"/>
  <c r="D133" i="3"/>
  <c r="J133" i="3"/>
  <c r="I133" i="3" s="1"/>
  <c r="K133" i="3"/>
  <c r="L133" i="3"/>
  <c r="N133" i="3"/>
  <c r="O133" i="3"/>
  <c r="Q133" i="3"/>
  <c r="A134" i="3"/>
  <c r="B134" i="3"/>
  <c r="C134" i="3"/>
  <c r="D134" i="3"/>
  <c r="J134" i="3"/>
  <c r="I134" i="3" s="1"/>
  <c r="K134" i="3"/>
  <c r="N134" i="3"/>
  <c r="O134" i="3"/>
  <c r="Q134" i="3"/>
  <c r="A135" i="3"/>
  <c r="B135" i="3"/>
  <c r="C135" i="3"/>
  <c r="D135" i="3"/>
  <c r="G135" i="3" s="1"/>
  <c r="J135" i="3"/>
  <c r="I135" i="3" s="1"/>
  <c r="K135" i="3"/>
  <c r="N135" i="3"/>
  <c r="O135" i="3"/>
  <c r="L135" i="3" s="1"/>
  <c r="Q135" i="3"/>
  <c r="A136" i="3"/>
  <c r="B136" i="3"/>
  <c r="C136" i="3"/>
  <c r="F136" i="3" s="1"/>
  <c r="D136" i="3"/>
  <c r="G136" i="3" s="1"/>
  <c r="I136" i="3"/>
  <c r="J136" i="3"/>
  <c r="K136" i="3"/>
  <c r="N136" i="3"/>
  <c r="O136" i="3"/>
  <c r="L136" i="3" s="1"/>
  <c r="Q136" i="3"/>
  <c r="A137" i="3"/>
  <c r="B137" i="3"/>
  <c r="C137" i="3"/>
  <c r="D137" i="3"/>
  <c r="J137" i="3"/>
  <c r="I137" i="3" s="1"/>
  <c r="K137" i="3"/>
  <c r="N137" i="3"/>
  <c r="O137" i="3"/>
  <c r="Q137" i="3"/>
  <c r="A138" i="3"/>
  <c r="B138" i="3"/>
  <c r="C138" i="3"/>
  <c r="E138" i="3" s="1"/>
  <c r="D138" i="3"/>
  <c r="J138" i="3"/>
  <c r="I138" i="3" s="1"/>
  <c r="K138" i="3"/>
  <c r="N138" i="3"/>
  <c r="O138" i="3"/>
  <c r="L138" i="3" s="1"/>
  <c r="Q138" i="3"/>
  <c r="A139" i="3"/>
  <c r="B139" i="3"/>
  <c r="C139" i="3"/>
  <c r="D139" i="3"/>
  <c r="J139" i="3"/>
  <c r="I139" i="3" s="1"/>
  <c r="K139" i="3"/>
  <c r="M139" i="3"/>
  <c r="N139" i="3"/>
  <c r="O139" i="3"/>
  <c r="Q139" i="3"/>
  <c r="A140" i="3"/>
  <c r="B140" i="3"/>
  <c r="C140" i="3"/>
  <c r="D140" i="3"/>
  <c r="J140" i="3"/>
  <c r="I140" i="3" s="1"/>
  <c r="K140" i="3"/>
  <c r="N140" i="3"/>
  <c r="O140" i="3"/>
  <c r="Q140" i="3"/>
  <c r="A141" i="3"/>
  <c r="B141" i="3"/>
  <c r="C141" i="3"/>
  <c r="M141" i="3" s="1"/>
  <c r="D141" i="3"/>
  <c r="I141" i="3"/>
  <c r="J141" i="3"/>
  <c r="K141" i="3"/>
  <c r="N141" i="3"/>
  <c r="O141" i="3"/>
  <c r="L141" i="3" s="1"/>
  <c r="Q141" i="3"/>
  <c r="A142" i="3"/>
  <c r="B142" i="3"/>
  <c r="C142" i="3"/>
  <c r="D142" i="3"/>
  <c r="J142" i="3"/>
  <c r="I142" i="3" s="1"/>
  <c r="K142" i="3"/>
  <c r="N142" i="3"/>
  <c r="O142" i="3"/>
  <c r="L142" i="3" s="1"/>
  <c r="Q142" i="3"/>
  <c r="A143" i="3"/>
  <c r="B143" i="3"/>
  <c r="C143" i="3"/>
  <c r="M143" i="3" s="1"/>
  <c r="D143" i="3"/>
  <c r="J143" i="3"/>
  <c r="I143" i="3" s="1"/>
  <c r="K143" i="3"/>
  <c r="N143" i="3"/>
  <c r="O143" i="3"/>
  <c r="L143" i="3" s="1"/>
  <c r="Q143" i="3"/>
  <c r="A144" i="3"/>
  <c r="B144" i="3"/>
  <c r="C144" i="3"/>
  <c r="D144" i="3"/>
  <c r="E144" i="3" s="1"/>
  <c r="I144" i="3"/>
  <c r="J144" i="3"/>
  <c r="K144" i="3"/>
  <c r="N144" i="3"/>
  <c r="O144" i="3"/>
  <c r="Q144" i="3"/>
  <c r="A145" i="3"/>
  <c r="B145" i="3"/>
  <c r="C145" i="3"/>
  <c r="D145" i="3"/>
  <c r="J145" i="3"/>
  <c r="I145" i="3" s="1"/>
  <c r="K145" i="3"/>
  <c r="N145" i="3"/>
  <c r="O145" i="3"/>
  <c r="Q145" i="3"/>
  <c r="A146" i="3"/>
  <c r="B146" i="3"/>
  <c r="C146" i="3"/>
  <c r="D146" i="3"/>
  <c r="J146" i="3"/>
  <c r="I146" i="3" s="1"/>
  <c r="K146" i="3"/>
  <c r="N146" i="3"/>
  <c r="O146" i="3"/>
  <c r="Q146" i="3"/>
  <c r="A147" i="3"/>
  <c r="B147" i="3"/>
  <c r="C147" i="3"/>
  <c r="D147" i="3"/>
  <c r="J147" i="3"/>
  <c r="I147" i="3" s="1"/>
  <c r="K147" i="3"/>
  <c r="N147" i="3"/>
  <c r="O147" i="3"/>
  <c r="L147" i="3" s="1"/>
  <c r="Q147" i="3"/>
  <c r="A148" i="3"/>
  <c r="B148" i="3"/>
  <c r="C148" i="3"/>
  <c r="D148" i="3"/>
  <c r="M148" i="3" s="1"/>
  <c r="G148" i="3"/>
  <c r="J148" i="3"/>
  <c r="I148" i="3" s="1"/>
  <c r="K148" i="3"/>
  <c r="N148" i="3"/>
  <c r="O148" i="3"/>
  <c r="Q148" i="3"/>
  <c r="A149" i="3"/>
  <c r="B149" i="3"/>
  <c r="C149" i="3"/>
  <c r="D149" i="3"/>
  <c r="J149" i="3"/>
  <c r="I149" i="3" s="1"/>
  <c r="K149" i="3"/>
  <c r="L149" i="3"/>
  <c r="N149" i="3"/>
  <c r="O149" i="3"/>
  <c r="Q149" i="3"/>
  <c r="A150" i="3"/>
  <c r="B150" i="3"/>
  <c r="C150" i="3"/>
  <c r="D150" i="3"/>
  <c r="J150" i="3"/>
  <c r="I150" i="3" s="1"/>
  <c r="K150" i="3"/>
  <c r="L150" i="3"/>
  <c r="N150" i="3"/>
  <c r="O150" i="3"/>
  <c r="Q150" i="3"/>
  <c r="A151" i="3"/>
  <c r="B151" i="3"/>
  <c r="C151" i="3"/>
  <c r="D151" i="3"/>
  <c r="J151" i="3"/>
  <c r="I151" i="3" s="1"/>
  <c r="K151" i="3"/>
  <c r="N151" i="3"/>
  <c r="O151" i="3"/>
  <c r="L151" i="3" s="1"/>
  <c r="Q151" i="3"/>
  <c r="A152" i="3"/>
  <c r="B152" i="3"/>
  <c r="C152" i="3"/>
  <c r="D152" i="3"/>
  <c r="J152" i="3"/>
  <c r="I152" i="3" s="1"/>
  <c r="K152" i="3"/>
  <c r="N152" i="3"/>
  <c r="O152" i="3"/>
  <c r="Q152" i="3"/>
  <c r="A153" i="3"/>
  <c r="B153" i="3"/>
  <c r="C153" i="3"/>
  <c r="M153" i="3" s="1"/>
  <c r="D153" i="3"/>
  <c r="J153" i="3"/>
  <c r="I153" i="3" s="1"/>
  <c r="K153" i="3"/>
  <c r="N153" i="3"/>
  <c r="O153" i="3"/>
  <c r="Q153" i="3"/>
  <c r="A154" i="3"/>
  <c r="B154" i="3"/>
  <c r="C154" i="3"/>
  <c r="D154" i="3"/>
  <c r="J154" i="3"/>
  <c r="I154" i="3" s="1"/>
  <c r="K154" i="3"/>
  <c r="N154" i="3"/>
  <c r="O154" i="3"/>
  <c r="Q154" i="3"/>
  <c r="A155" i="3"/>
  <c r="B155" i="3"/>
  <c r="C155" i="3"/>
  <c r="F155" i="3" s="1"/>
  <c r="D155" i="3"/>
  <c r="J155" i="3"/>
  <c r="I155" i="3" s="1"/>
  <c r="K155" i="3"/>
  <c r="N155" i="3"/>
  <c r="O155" i="3"/>
  <c r="L155" i="3" s="1"/>
  <c r="Q155" i="3"/>
  <c r="A156" i="3"/>
  <c r="B156" i="3"/>
  <c r="C156" i="3"/>
  <c r="G156" i="3" s="1"/>
  <c r="D156" i="3"/>
  <c r="F156" i="3"/>
  <c r="J156" i="3"/>
  <c r="I156" i="3" s="1"/>
  <c r="K156" i="3"/>
  <c r="N156" i="3"/>
  <c r="O156" i="3"/>
  <c r="Q156" i="3"/>
  <c r="A157" i="3"/>
  <c r="B157" i="3"/>
  <c r="C157" i="3"/>
  <c r="D157" i="3"/>
  <c r="J157" i="3"/>
  <c r="I157" i="3" s="1"/>
  <c r="K157" i="3"/>
  <c r="N157" i="3"/>
  <c r="O157" i="3"/>
  <c r="L157" i="3" s="1"/>
  <c r="Q157" i="3"/>
  <c r="A158" i="3"/>
  <c r="B158" i="3"/>
  <c r="C158" i="3"/>
  <c r="D158" i="3"/>
  <c r="J158" i="3"/>
  <c r="I158" i="3" s="1"/>
  <c r="K158" i="3"/>
  <c r="N158" i="3"/>
  <c r="O158" i="3"/>
  <c r="L158" i="3" s="1"/>
  <c r="Q158" i="3"/>
  <c r="A159" i="3"/>
  <c r="B159" i="3"/>
  <c r="C159" i="3"/>
  <c r="F159" i="3" s="1"/>
  <c r="D159" i="3"/>
  <c r="E159" i="3"/>
  <c r="J159" i="3"/>
  <c r="I159" i="3" s="1"/>
  <c r="K159" i="3"/>
  <c r="N159" i="3"/>
  <c r="O159" i="3"/>
  <c r="L159" i="3" s="1"/>
  <c r="Q159" i="3"/>
  <c r="A160" i="3"/>
  <c r="B160" i="3"/>
  <c r="C160" i="3"/>
  <c r="D160" i="3"/>
  <c r="L160" i="3" s="1"/>
  <c r="J160" i="3"/>
  <c r="I160" i="3" s="1"/>
  <c r="K160" i="3"/>
  <c r="N160" i="3"/>
  <c r="O160" i="3"/>
  <c r="Q160" i="3"/>
  <c r="A161" i="3"/>
  <c r="B161" i="3"/>
  <c r="C161" i="3"/>
  <c r="D161" i="3"/>
  <c r="J161" i="3"/>
  <c r="I161" i="3" s="1"/>
  <c r="K161" i="3"/>
  <c r="N161" i="3"/>
  <c r="O161" i="3"/>
  <c r="Q161" i="3"/>
  <c r="A162" i="3"/>
  <c r="B162" i="3"/>
  <c r="C162" i="3"/>
  <c r="D162" i="3"/>
  <c r="J162" i="3"/>
  <c r="I162" i="3" s="1"/>
  <c r="K162" i="3"/>
  <c r="N162" i="3"/>
  <c r="O162" i="3"/>
  <c r="L162" i="3" s="1"/>
  <c r="Q162" i="3"/>
  <c r="A163" i="3"/>
  <c r="B163" i="3"/>
  <c r="C163" i="3"/>
  <c r="D163" i="3"/>
  <c r="J163" i="3"/>
  <c r="I163" i="3" s="1"/>
  <c r="K163" i="3"/>
  <c r="N163" i="3"/>
  <c r="O163" i="3"/>
  <c r="Q163" i="3"/>
  <c r="A164" i="3"/>
  <c r="B164" i="3"/>
  <c r="C164" i="3"/>
  <c r="M164" i="3" s="1"/>
  <c r="D164" i="3"/>
  <c r="E164" i="3"/>
  <c r="J164" i="3"/>
  <c r="I164" i="3" s="1"/>
  <c r="K164" i="3"/>
  <c r="N164" i="3"/>
  <c r="O164" i="3"/>
  <c r="L164" i="3" s="1"/>
  <c r="Q164" i="3"/>
  <c r="A165" i="3"/>
  <c r="B165" i="3"/>
  <c r="C165" i="3"/>
  <c r="D165" i="3"/>
  <c r="J165" i="3"/>
  <c r="I165" i="3" s="1"/>
  <c r="K165" i="3"/>
  <c r="N165" i="3"/>
  <c r="O165" i="3"/>
  <c r="Q165" i="3"/>
  <c r="A166" i="3"/>
  <c r="B166" i="3"/>
  <c r="C166" i="3"/>
  <c r="E166" i="3" s="1"/>
  <c r="H166" i="3" s="1"/>
  <c r="D166" i="3"/>
  <c r="J166" i="3"/>
  <c r="I166" i="3" s="1"/>
  <c r="K166" i="3"/>
  <c r="N166" i="3"/>
  <c r="O166" i="3"/>
  <c r="Q166" i="3"/>
  <c r="A167" i="3"/>
  <c r="B167" i="3"/>
  <c r="C167" i="3"/>
  <c r="D167" i="3"/>
  <c r="J167" i="3"/>
  <c r="I167" i="3" s="1"/>
  <c r="K167" i="3"/>
  <c r="N167" i="3"/>
  <c r="O167" i="3"/>
  <c r="Q167" i="3"/>
  <c r="A168" i="3"/>
  <c r="B168" i="3"/>
  <c r="C168" i="3"/>
  <c r="F168" i="3" s="1"/>
  <c r="D168" i="3"/>
  <c r="L168" i="3" s="1"/>
  <c r="J168" i="3"/>
  <c r="I168" i="3" s="1"/>
  <c r="K168" i="3"/>
  <c r="N168" i="3"/>
  <c r="O168" i="3"/>
  <c r="Q168" i="3"/>
  <c r="A169" i="3"/>
  <c r="B169" i="3"/>
  <c r="C169" i="3"/>
  <c r="D169" i="3"/>
  <c r="J169" i="3"/>
  <c r="I169" i="3" s="1"/>
  <c r="K169" i="3"/>
  <c r="N169" i="3"/>
  <c r="O169" i="3"/>
  <c r="Q169" i="3"/>
  <c r="A170" i="3"/>
  <c r="B170" i="3"/>
  <c r="C170" i="3"/>
  <c r="D170" i="3"/>
  <c r="G170" i="3"/>
  <c r="J170" i="3"/>
  <c r="I170" i="3" s="1"/>
  <c r="K170" i="3"/>
  <c r="N170" i="3"/>
  <c r="O170" i="3"/>
  <c r="Q170" i="3"/>
  <c r="A171" i="3"/>
  <c r="B171" i="3"/>
  <c r="C171" i="3"/>
  <c r="D171" i="3"/>
  <c r="J171" i="3"/>
  <c r="I171" i="3" s="1"/>
  <c r="K171" i="3"/>
  <c r="N171" i="3"/>
  <c r="O171" i="3"/>
  <c r="Q171" i="3"/>
  <c r="A172" i="3"/>
  <c r="B172" i="3"/>
  <c r="C172" i="3"/>
  <c r="D172" i="3"/>
  <c r="I172" i="3"/>
  <c r="J172" i="3"/>
  <c r="K172" i="3"/>
  <c r="N172" i="3"/>
  <c r="O172" i="3"/>
  <c r="Q172" i="3"/>
  <c r="A173" i="3"/>
  <c r="B173" i="3"/>
  <c r="C173" i="3"/>
  <c r="D173" i="3"/>
  <c r="J173" i="3"/>
  <c r="I173" i="3" s="1"/>
  <c r="K173" i="3"/>
  <c r="L173" i="3"/>
  <c r="N173" i="3"/>
  <c r="O173" i="3"/>
  <c r="Q173" i="3"/>
  <c r="A174" i="3"/>
  <c r="B174" i="3"/>
  <c r="C174" i="3"/>
  <c r="D174" i="3"/>
  <c r="J174" i="3"/>
  <c r="I174" i="3" s="1"/>
  <c r="K174" i="3"/>
  <c r="N174" i="3"/>
  <c r="O174" i="3"/>
  <c r="Q174" i="3"/>
  <c r="A175" i="3"/>
  <c r="B175" i="3"/>
  <c r="C175" i="3"/>
  <c r="D175" i="3"/>
  <c r="J175" i="3"/>
  <c r="I175" i="3" s="1"/>
  <c r="K175" i="3"/>
  <c r="N175" i="3"/>
  <c r="O175" i="3"/>
  <c r="Q175" i="3"/>
  <c r="A176" i="3"/>
  <c r="B176" i="3"/>
  <c r="C176" i="3"/>
  <c r="D176" i="3"/>
  <c r="J176" i="3"/>
  <c r="I176" i="3" s="1"/>
  <c r="K176" i="3"/>
  <c r="N176" i="3"/>
  <c r="O176" i="3"/>
  <c r="Q176" i="3"/>
  <c r="A177" i="3"/>
  <c r="B177" i="3"/>
  <c r="C177" i="3"/>
  <c r="D177" i="3"/>
  <c r="J177" i="3"/>
  <c r="I177" i="3" s="1"/>
  <c r="K177" i="3"/>
  <c r="N177" i="3"/>
  <c r="O177" i="3"/>
  <c r="Q177" i="3"/>
  <c r="A178" i="3"/>
  <c r="B178" i="3"/>
  <c r="C178" i="3"/>
  <c r="D178" i="3"/>
  <c r="J178" i="3"/>
  <c r="I178" i="3" s="1"/>
  <c r="K178" i="3"/>
  <c r="N178" i="3"/>
  <c r="O178" i="3"/>
  <c r="Q178" i="3"/>
  <c r="A179" i="3"/>
  <c r="B179" i="3"/>
  <c r="C179" i="3"/>
  <c r="D179" i="3"/>
  <c r="G179" i="3"/>
  <c r="J179" i="3"/>
  <c r="I179" i="3" s="1"/>
  <c r="K179" i="3"/>
  <c r="N179" i="3"/>
  <c r="O179" i="3"/>
  <c r="L179" i="3" s="1"/>
  <c r="Q179" i="3"/>
  <c r="A180" i="3"/>
  <c r="B180" i="3"/>
  <c r="C180" i="3"/>
  <c r="D180" i="3"/>
  <c r="F180" i="3"/>
  <c r="J180" i="3"/>
  <c r="I180" i="3" s="1"/>
  <c r="K180" i="3"/>
  <c r="N180" i="3"/>
  <c r="O180" i="3"/>
  <c r="Q180" i="3"/>
  <c r="A181" i="3"/>
  <c r="B181" i="3"/>
  <c r="C181" i="3"/>
  <c r="D181" i="3"/>
  <c r="I181" i="3"/>
  <c r="J181" i="3"/>
  <c r="K181" i="3"/>
  <c r="N181" i="3"/>
  <c r="O181" i="3"/>
  <c r="Q181" i="3"/>
  <c r="A182" i="3"/>
  <c r="B182" i="3"/>
  <c r="C182" i="3"/>
  <c r="D182" i="3"/>
  <c r="J182" i="3"/>
  <c r="I182" i="3" s="1"/>
  <c r="K182" i="3"/>
  <c r="N182" i="3"/>
  <c r="O182" i="3"/>
  <c r="L182" i="3" s="1"/>
  <c r="Q182" i="3"/>
  <c r="A183" i="3"/>
  <c r="B183" i="3"/>
  <c r="C183" i="3"/>
  <c r="D183" i="3"/>
  <c r="F183" i="3"/>
  <c r="G183" i="3"/>
  <c r="J183" i="3"/>
  <c r="I183" i="3" s="1"/>
  <c r="K183" i="3"/>
  <c r="L183" i="3"/>
  <c r="N183" i="3"/>
  <c r="O183" i="3"/>
  <c r="Q183" i="3"/>
  <c r="A184" i="3"/>
  <c r="B184" i="3"/>
  <c r="C184" i="3"/>
  <c r="D184" i="3"/>
  <c r="J184" i="3"/>
  <c r="I184" i="3" s="1"/>
  <c r="K184" i="3"/>
  <c r="N184" i="3"/>
  <c r="O184" i="3"/>
  <c r="Q184" i="3"/>
  <c r="A185" i="3"/>
  <c r="B185" i="3"/>
  <c r="C185" i="3"/>
  <c r="D185" i="3"/>
  <c r="I185" i="3"/>
  <c r="J185" i="3"/>
  <c r="K185" i="3"/>
  <c r="N185" i="3"/>
  <c r="O185" i="3"/>
  <c r="L185" i="3" s="1"/>
  <c r="Q185" i="3"/>
  <c r="A186" i="3"/>
  <c r="B186" i="3"/>
  <c r="C186" i="3"/>
  <c r="D186" i="3"/>
  <c r="J186" i="3"/>
  <c r="I186" i="3" s="1"/>
  <c r="K186" i="3"/>
  <c r="N186" i="3"/>
  <c r="O186" i="3"/>
  <c r="Q186" i="3"/>
  <c r="A187" i="3"/>
  <c r="B187" i="3"/>
  <c r="C187" i="3"/>
  <c r="F187" i="3" s="1"/>
  <c r="D187" i="3"/>
  <c r="J187" i="3"/>
  <c r="I187" i="3" s="1"/>
  <c r="K187" i="3"/>
  <c r="N187" i="3"/>
  <c r="O187" i="3"/>
  <c r="Q187" i="3"/>
  <c r="A188" i="3"/>
  <c r="B188" i="3"/>
  <c r="C188" i="3"/>
  <c r="E188" i="3" s="1"/>
  <c r="H188" i="3" s="1"/>
  <c r="D188" i="3"/>
  <c r="J188" i="3"/>
  <c r="I188" i="3" s="1"/>
  <c r="K188" i="3"/>
  <c r="N188" i="3"/>
  <c r="O188" i="3"/>
  <c r="L188" i="3" s="1"/>
  <c r="Q188" i="3"/>
  <c r="A189" i="3"/>
  <c r="B189" i="3"/>
  <c r="C189" i="3"/>
  <c r="G189" i="3" s="1"/>
  <c r="D189" i="3"/>
  <c r="J189" i="3"/>
  <c r="I189" i="3" s="1"/>
  <c r="K189" i="3"/>
  <c r="N189" i="3"/>
  <c r="O189" i="3"/>
  <c r="Q189" i="3"/>
  <c r="A190" i="3"/>
  <c r="B190" i="3"/>
  <c r="C190" i="3"/>
  <c r="D190" i="3"/>
  <c r="G190" i="3" s="1"/>
  <c r="J190" i="3"/>
  <c r="I190" i="3" s="1"/>
  <c r="K190" i="3"/>
  <c r="N190" i="3"/>
  <c r="O190" i="3"/>
  <c r="Q190" i="3"/>
  <c r="A191" i="3"/>
  <c r="B191" i="3"/>
  <c r="C191" i="3"/>
  <c r="D191" i="3"/>
  <c r="J191" i="3"/>
  <c r="I191" i="3" s="1"/>
  <c r="K191" i="3"/>
  <c r="N191" i="3"/>
  <c r="O191" i="3"/>
  <c r="Q191" i="3"/>
  <c r="A192" i="3"/>
  <c r="B192" i="3"/>
  <c r="C192" i="3"/>
  <c r="M192" i="3" s="1"/>
  <c r="D192" i="3"/>
  <c r="I192" i="3"/>
  <c r="J192" i="3"/>
  <c r="K192" i="3"/>
  <c r="N192" i="3"/>
  <c r="O192" i="3"/>
  <c r="Q192" i="3"/>
  <c r="A193" i="3"/>
  <c r="B193" i="3"/>
  <c r="C193" i="3"/>
  <c r="D193" i="3"/>
  <c r="I193" i="3"/>
  <c r="J193" i="3"/>
  <c r="K193" i="3"/>
  <c r="N193" i="3"/>
  <c r="O193" i="3"/>
  <c r="Q193" i="3"/>
  <c r="A194" i="3"/>
  <c r="B194" i="3"/>
  <c r="C194" i="3"/>
  <c r="D194" i="3"/>
  <c r="J194" i="3"/>
  <c r="I194" i="3" s="1"/>
  <c r="K194" i="3"/>
  <c r="N194" i="3"/>
  <c r="O194" i="3"/>
  <c r="Q194" i="3"/>
  <c r="A195" i="3"/>
  <c r="B195" i="3"/>
  <c r="C195" i="3"/>
  <c r="D195" i="3"/>
  <c r="J195" i="3"/>
  <c r="I195" i="3" s="1"/>
  <c r="K195" i="3"/>
  <c r="N195" i="3"/>
  <c r="O195" i="3"/>
  <c r="Q195" i="3"/>
  <c r="A196" i="3"/>
  <c r="B196" i="3"/>
  <c r="C196" i="3"/>
  <c r="D196" i="3"/>
  <c r="F196" i="3" s="1"/>
  <c r="J196" i="3"/>
  <c r="I196" i="3" s="1"/>
  <c r="K196" i="3"/>
  <c r="N196" i="3"/>
  <c r="O196" i="3"/>
  <c r="Q196" i="3"/>
  <c r="A197" i="3"/>
  <c r="B197" i="3"/>
  <c r="C197" i="3"/>
  <c r="G197" i="3" s="1"/>
  <c r="D197" i="3"/>
  <c r="I197" i="3"/>
  <c r="J197" i="3"/>
  <c r="K197" i="3"/>
  <c r="N197" i="3"/>
  <c r="O197" i="3"/>
  <c r="Q197" i="3"/>
  <c r="A198" i="3"/>
  <c r="B198" i="3"/>
  <c r="C198" i="3"/>
  <c r="E198" i="3" s="1"/>
  <c r="D198" i="3"/>
  <c r="G198" i="3" s="1"/>
  <c r="J198" i="3"/>
  <c r="I198" i="3" s="1"/>
  <c r="K198" i="3"/>
  <c r="N198" i="3"/>
  <c r="O198" i="3"/>
  <c r="Q198" i="3"/>
  <c r="A199" i="3"/>
  <c r="B199" i="3"/>
  <c r="C199" i="3"/>
  <c r="D199" i="3"/>
  <c r="J199" i="3"/>
  <c r="I199" i="3" s="1"/>
  <c r="K199" i="3"/>
  <c r="N199" i="3"/>
  <c r="O199" i="3"/>
  <c r="Q199" i="3"/>
  <c r="A200" i="3"/>
  <c r="B200" i="3"/>
  <c r="C200" i="3"/>
  <c r="D200" i="3"/>
  <c r="J200" i="3"/>
  <c r="I200" i="3" s="1"/>
  <c r="K200" i="3"/>
  <c r="N200" i="3"/>
  <c r="O200" i="3"/>
  <c r="Q200" i="3"/>
  <c r="A201" i="3"/>
  <c r="B201" i="3"/>
  <c r="C201" i="3"/>
  <c r="D201" i="3"/>
  <c r="J201" i="3"/>
  <c r="I201" i="3" s="1"/>
  <c r="K201" i="3"/>
  <c r="N201" i="3"/>
  <c r="O201" i="3"/>
  <c r="Q201" i="3"/>
  <c r="A202" i="3"/>
  <c r="B202" i="3"/>
  <c r="C202" i="3"/>
  <c r="D202" i="3"/>
  <c r="J202" i="3"/>
  <c r="I202" i="3" s="1"/>
  <c r="K202" i="3"/>
  <c r="N202" i="3"/>
  <c r="O202" i="3"/>
  <c r="Q202" i="3"/>
  <c r="A203" i="3"/>
  <c r="B203" i="3"/>
  <c r="C203" i="3"/>
  <c r="D203" i="3"/>
  <c r="I203" i="3"/>
  <c r="J203" i="3"/>
  <c r="K203" i="3"/>
  <c r="N203" i="3"/>
  <c r="O203" i="3"/>
  <c r="Q203" i="3"/>
  <c r="A204" i="3"/>
  <c r="B204" i="3"/>
  <c r="C204" i="3"/>
  <c r="D204" i="3"/>
  <c r="J204" i="3"/>
  <c r="I204" i="3" s="1"/>
  <c r="K204" i="3"/>
  <c r="N204" i="3"/>
  <c r="O204" i="3"/>
  <c r="Q204" i="3"/>
  <c r="A205" i="3"/>
  <c r="B205" i="3"/>
  <c r="C205" i="3"/>
  <c r="D205" i="3"/>
  <c r="J205" i="3"/>
  <c r="I205" i="3" s="1"/>
  <c r="K205" i="3"/>
  <c r="N205" i="3"/>
  <c r="O205" i="3"/>
  <c r="Q205" i="3"/>
  <c r="A206" i="3"/>
  <c r="B206" i="3"/>
  <c r="C206" i="3"/>
  <c r="D206" i="3"/>
  <c r="I206" i="3"/>
  <c r="J206" i="3"/>
  <c r="K206" i="3"/>
  <c r="N206" i="3"/>
  <c r="O206" i="3"/>
  <c r="Q206" i="3"/>
  <c r="A207" i="3"/>
  <c r="B207" i="3"/>
  <c r="C207" i="3"/>
  <c r="G207" i="3" s="1"/>
  <c r="D207" i="3"/>
  <c r="L207" i="3" s="1"/>
  <c r="J207" i="3"/>
  <c r="I207" i="3" s="1"/>
  <c r="K207" i="3"/>
  <c r="N207" i="3"/>
  <c r="O207" i="3"/>
  <c r="Q207" i="3"/>
  <c r="A208" i="3"/>
  <c r="B208" i="3"/>
  <c r="C208" i="3"/>
  <c r="D208" i="3"/>
  <c r="J208" i="3"/>
  <c r="I208" i="3" s="1"/>
  <c r="K208" i="3"/>
  <c r="N208" i="3"/>
  <c r="O208" i="3"/>
  <c r="L208" i="3" s="1"/>
  <c r="Q208" i="3"/>
  <c r="A209" i="3"/>
  <c r="B209" i="3"/>
  <c r="C209" i="3"/>
  <c r="D209" i="3"/>
  <c r="J209" i="3"/>
  <c r="I209" i="3" s="1"/>
  <c r="K209" i="3"/>
  <c r="N209" i="3"/>
  <c r="O209" i="3"/>
  <c r="Q209" i="3"/>
  <c r="A210" i="3"/>
  <c r="B210" i="3"/>
  <c r="C210" i="3"/>
  <c r="D210" i="3"/>
  <c r="J210" i="3"/>
  <c r="I210" i="3" s="1"/>
  <c r="K210" i="3"/>
  <c r="N210" i="3"/>
  <c r="O210" i="3"/>
  <c r="Q210" i="3"/>
  <c r="A211" i="3"/>
  <c r="B211" i="3"/>
  <c r="C211" i="3"/>
  <c r="D211" i="3"/>
  <c r="L211" i="3" s="1"/>
  <c r="G211" i="3"/>
  <c r="J211" i="3"/>
  <c r="I211" i="3" s="1"/>
  <c r="K211" i="3"/>
  <c r="N211" i="3"/>
  <c r="O211" i="3"/>
  <c r="Q211" i="3"/>
  <c r="A212" i="3"/>
  <c r="B212" i="3"/>
  <c r="C212" i="3"/>
  <c r="D212" i="3"/>
  <c r="I212" i="3"/>
  <c r="J212" i="3"/>
  <c r="K212" i="3"/>
  <c r="N212" i="3"/>
  <c r="O212" i="3"/>
  <c r="Q212" i="3"/>
  <c r="A213" i="3"/>
  <c r="B213" i="3"/>
  <c r="C213" i="3"/>
  <c r="D213" i="3"/>
  <c r="J213" i="3"/>
  <c r="I213" i="3" s="1"/>
  <c r="K213" i="3"/>
  <c r="N213" i="3"/>
  <c r="O213" i="3"/>
  <c r="Q213" i="3"/>
  <c r="A214" i="3"/>
  <c r="B214" i="3"/>
  <c r="C214" i="3"/>
  <c r="D214" i="3"/>
  <c r="J214" i="3"/>
  <c r="I214" i="3" s="1"/>
  <c r="K214" i="3"/>
  <c r="N214" i="3"/>
  <c r="O214" i="3"/>
  <c r="L214" i="3" s="1"/>
  <c r="Q214" i="3"/>
  <c r="A215" i="3"/>
  <c r="B215" i="3"/>
  <c r="C215" i="3"/>
  <c r="D215" i="3"/>
  <c r="J215" i="3"/>
  <c r="I215" i="3" s="1"/>
  <c r="K215" i="3"/>
  <c r="N215" i="3"/>
  <c r="O215" i="3"/>
  <c r="Q215" i="3"/>
  <c r="A216" i="3"/>
  <c r="B216" i="3"/>
  <c r="C216" i="3"/>
  <c r="D216" i="3"/>
  <c r="J216" i="3"/>
  <c r="I216" i="3" s="1"/>
  <c r="K216" i="3"/>
  <c r="N216" i="3"/>
  <c r="O216" i="3"/>
  <c r="Q216" i="3"/>
  <c r="A217" i="3"/>
  <c r="B217" i="3"/>
  <c r="C217" i="3"/>
  <c r="D217" i="3"/>
  <c r="J217" i="3"/>
  <c r="I217" i="3" s="1"/>
  <c r="K217" i="3"/>
  <c r="N217" i="3"/>
  <c r="O217" i="3"/>
  <c r="Q217" i="3"/>
  <c r="A218" i="3"/>
  <c r="B218" i="3"/>
  <c r="C218" i="3"/>
  <c r="D218" i="3"/>
  <c r="J218" i="3"/>
  <c r="I218" i="3" s="1"/>
  <c r="K218" i="3"/>
  <c r="M218" i="3"/>
  <c r="N218" i="3"/>
  <c r="O218" i="3"/>
  <c r="Q218" i="3"/>
  <c r="A219" i="3"/>
  <c r="B219" i="3"/>
  <c r="C219" i="3"/>
  <c r="D219" i="3"/>
  <c r="J219" i="3"/>
  <c r="I219" i="3" s="1"/>
  <c r="K219" i="3"/>
  <c r="N219" i="3"/>
  <c r="O219" i="3"/>
  <c r="Q219" i="3"/>
  <c r="A220" i="3"/>
  <c r="B220" i="3"/>
  <c r="C220" i="3"/>
  <c r="D220" i="3"/>
  <c r="F220" i="3" s="1"/>
  <c r="J220" i="3"/>
  <c r="I220" i="3" s="1"/>
  <c r="K220" i="3"/>
  <c r="N220" i="3"/>
  <c r="O220" i="3"/>
  <c r="Q220" i="3"/>
  <c r="A221" i="3"/>
  <c r="B221" i="3"/>
  <c r="C221" i="3"/>
  <c r="D221" i="3"/>
  <c r="J221" i="3"/>
  <c r="I221" i="3" s="1"/>
  <c r="K221" i="3"/>
  <c r="M221" i="3"/>
  <c r="N221" i="3"/>
  <c r="O221" i="3"/>
  <c r="Q221" i="3"/>
  <c r="A222" i="3"/>
  <c r="B222" i="3"/>
  <c r="C222" i="3"/>
  <c r="D222" i="3"/>
  <c r="J222" i="3"/>
  <c r="I222" i="3" s="1"/>
  <c r="K222" i="3"/>
  <c r="N222" i="3"/>
  <c r="O222" i="3"/>
  <c r="Q222" i="3"/>
  <c r="A223" i="3"/>
  <c r="B223" i="3"/>
  <c r="C223" i="3"/>
  <c r="D223" i="3"/>
  <c r="J223" i="3"/>
  <c r="I223" i="3" s="1"/>
  <c r="K223" i="3"/>
  <c r="N223" i="3"/>
  <c r="O223" i="3"/>
  <c r="Q223" i="3"/>
  <c r="A224" i="3"/>
  <c r="B224" i="3"/>
  <c r="C224" i="3"/>
  <c r="D224" i="3"/>
  <c r="L224" i="3" s="1"/>
  <c r="I224" i="3"/>
  <c r="J224" i="3"/>
  <c r="K224" i="3"/>
  <c r="N224" i="3"/>
  <c r="O224" i="3"/>
  <c r="Q224" i="3"/>
  <c r="A225" i="3"/>
  <c r="B225" i="3"/>
  <c r="C225" i="3"/>
  <c r="D225" i="3"/>
  <c r="J225" i="3"/>
  <c r="I225" i="3" s="1"/>
  <c r="K225" i="3"/>
  <c r="N225" i="3"/>
  <c r="O225" i="3"/>
  <c r="Q225" i="3"/>
  <c r="A226" i="3"/>
  <c r="B226" i="3"/>
  <c r="C226" i="3"/>
  <c r="D226" i="3"/>
  <c r="J226" i="3"/>
  <c r="I226" i="3" s="1"/>
  <c r="K226" i="3"/>
  <c r="M226" i="3"/>
  <c r="N226" i="3"/>
  <c r="O226" i="3"/>
  <c r="Q226" i="3"/>
  <c r="A227" i="3"/>
  <c r="B227" i="3"/>
  <c r="C227" i="3"/>
  <c r="D227" i="3"/>
  <c r="J227" i="3"/>
  <c r="I227" i="3" s="1"/>
  <c r="K227" i="3"/>
  <c r="N227" i="3"/>
  <c r="O227" i="3"/>
  <c r="Q227" i="3"/>
  <c r="A228" i="3"/>
  <c r="B228" i="3"/>
  <c r="C228" i="3"/>
  <c r="D228" i="3"/>
  <c r="E228" i="3" s="1"/>
  <c r="H228" i="3" s="1"/>
  <c r="J228" i="3"/>
  <c r="I228" i="3" s="1"/>
  <c r="K228" i="3"/>
  <c r="N228" i="3"/>
  <c r="O228" i="3"/>
  <c r="Q228" i="3"/>
  <c r="A229" i="3"/>
  <c r="B229" i="3"/>
  <c r="C229" i="3"/>
  <c r="M229" i="3" s="1"/>
  <c r="D229" i="3"/>
  <c r="J229" i="3"/>
  <c r="I229" i="3" s="1"/>
  <c r="K229" i="3"/>
  <c r="N229" i="3"/>
  <c r="O229" i="3"/>
  <c r="Q229" i="3"/>
  <c r="A230" i="3"/>
  <c r="B230" i="3"/>
  <c r="C230" i="3"/>
  <c r="D230" i="3"/>
  <c r="G230" i="3" s="1"/>
  <c r="I230" i="3"/>
  <c r="J230" i="3"/>
  <c r="K230" i="3"/>
  <c r="N230" i="3"/>
  <c r="O230" i="3"/>
  <c r="Q230" i="3"/>
  <c r="A231" i="3"/>
  <c r="B231" i="3"/>
  <c r="C231" i="3"/>
  <c r="D231" i="3"/>
  <c r="J231" i="3"/>
  <c r="I231" i="3" s="1"/>
  <c r="K231" i="3"/>
  <c r="N231" i="3"/>
  <c r="O231" i="3"/>
  <c r="Q231" i="3"/>
  <c r="A232" i="3"/>
  <c r="B232" i="3"/>
  <c r="C232" i="3"/>
  <c r="D232" i="3"/>
  <c r="J232" i="3"/>
  <c r="I232" i="3" s="1"/>
  <c r="K232" i="3"/>
  <c r="N232" i="3"/>
  <c r="O232" i="3"/>
  <c r="Q232" i="3"/>
  <c r="A233" i="3"/>
  <c r="B233" i="3"/>
  <c r="C233" i="3"/>
  <c r="D233" i="3"/>
  <c r="J233" i="3"/>
  <c r="I233" i="3" s="1"/>
  <c r="K233" i="3"/>
  <c r="N233" i="3"/>
  <c r="O233" i="3"/>
  <c r="Q233" i="3"/>
  <c r="A234" i="3"/>
  <c r="B234" i="3"/>
  <c r="C234" i="3"/>
  <c r="D234" i="3"/>
  <c r="J234" i="3"/>
  <c r="I234" i="3" s="1"/>
  <c r="K234" i="3"/>
  <c r="N234" i="3"/>
  <c r="O234" i="3"/>
  <c r="Q234" i="3"/>
  <c r="A235" i="3"/>
  <c r="B235" i="3"/>
  <c r="C235" i="3"/>
  <c r="D235" i="3"/>
  <c r="J235" i="3"/>
  <c r="I235" i="3" s="1"/>
  <c r="K235" i="3"/>
  <c r="N235" i="3"/>
  <c r="O235" i="3"/>
  <c r="Q235" i="3"/>
  <c r="A236" i="3"/>
  <c r="B236" i="3"/>
  <c r="C236" i="3"/>
  <c r="D236" i="3"/>
  <c r="E236" i="3"/>
  <c r="H236" i="3" s="1"/>
  <c r="F236" i="3"/>
  <c r="J236" i="3"/>
  <c r="I236" i="3" s="1"/>
  <c r="K236" i="3"/>
  <c r="N236" i="3"/>
  <c r="O236" i="3"/>
  <c r="L236" i="3" s="1"/>
  <c r="Q236" i="3"/>
  <c r="A237" i="3"/>
  <c r="B237" i="3"/>
  <c r="C237" i="3"/>
  <c r="D237" i="3"/>
  <c r="J237" i="3"/>
  <c r="I237" i="3" s="1"/>
  <c r="K237" i="3"/>
  <c r="N237" i="3"/>
  <c r="O237" i="3"/>
  <c r="Q237" i="3"/>
  <c r="A238" i="3"/>
  <c r="B238" i="3"/>
  <c r="C238" i="3"/>
  <c r="D238" i="3"/>
  <c r="G238" i="3" s="1"/>
  <c r="J238" i="3"/>
  <c r="I238" i="3" s="1"/>
  <c r="K238" i="3"/>
  <c r="N238" i="3"/>
  <c r="O238" i="3"/>
  <c r="Q238" i="3"/>
  <c r="A239" i="3"/>
  <c r="B239" i="3"/>
  <c r="C239" i="3"/>
  <c r="F239" i="3" s="1"/>
  <c r="D239" i="3"/>
  <c r="J239" i="3"/>
  <c r="I239" i="3" s="1"/>
  <c r="K239" i="3"/>
  <c r="N239" i="3"/>
  <c r="O239" i="3"/>
  <c r="L239" i="3" s="1"/>
  <c r="Q239" i="3"/>
  <c r="A240" i="3"/>
  <c r="B240" i="3"/>
  <c r="C240" i="3"/>
  <c r="D240" i="3"/>
  <c r="I240" i="3"/>
  <c r="J240" i="3"/>
  <c r="K240" i="3"/>
  <c r="N240" i="3"/>
  <c r="O240" i="3"/>
  <c r="Q240" i="3"/>
  <c r="A241" i="3"/>
  <c r="B241" i="3"/>
  <c r="C241" i="3"/>
  <c r="D241" i="3"/>
  <c r="J241" i="3"/>
  <c r="I241" i="3" s="1"/>
  <c r="K241" i="3"/>
  <c r="M241" i="3"/>
  <c r="N241" i="3"/>
  <c r="O241" i="3"/>
  <c r="Q241" i="3"/>
  <c r="A242" i="3"/>
  <c r="B242" i="3"/>
  <c r="C242" i="3"/>
  <c r="D242" i="3"/>
  <c r="J242" i="3"/>
  <c r="I242" i="3" s="1"/>
  <c r="K242" i="3"/>
  <c r="N242" i="3"/>
  <c r="O242" i="3"/>
  <c r="Q242" i="3"/>
  <c r="A243" i="3"/>
  <c r="B243" i="3"/>
  <c r="C243" i="3"/>
  <c r="D243" i="3"/>
  <c r="J243" i="3"/>
  <c r="I243" i="3" s="1"/>
  <c r="K243" i="3"/>
  <c r="N243" i="3"/>
  <c r="O243" i="3"/>
  <c r="Q243" i="3"/>
  <c r="A244" i="3"/>
  <c r="B244" i="3"/>
  <c r="C244" i="3"/>
  <c r="D244" i="3"/>
  <c r="G244" i="3" s="1"/>
  <c r="J244" i="3"/>
  <c r="I244" i="3" s="1"/>
  <c r="K244" i="3"/>
  <c r="N244" i="3"/>
  <c r="O244" i="3"/>
  <c r="Q244" i="3"/>
  <c r="A245" i="3"/>
  <c r="B245" i="3"/>
  <c r="C245" i="3"/>
  <c r="D245" i="3"/>
  <c r="J245" i="3"/>
  <c r="I245" i="3" s="1"/>
  <c r="K245" i="3"/>
  <c r="N245" i="3"/>
  <c r="O245" i="3"/>
  <c r="Q245" i="3"/>
  <c r="A246" i="3"/>
  <c r="B246" i="3"/>
  <c r="C246" i="3"/>
  <c r="D246" i="3"/>
  <c r="J246" i="3"/>
  <c r="I246" i="3" s="1"/>
  <c r="K246" i="3"/>
  <c r="N246" i="3"/>
  <c r="O246" i="3"/>
  <c r="Q246" i="3"/>
  <c r="A247" i="3"/>
  <c r="B247" i="3"/>
  <c r="C247" i="3"/>
  <c r="D247" i="3"/>
  <c r="L247" i="3" s="1"/>
  <c r="J247" i="3"/>
  <c r="I247" i="3" s="1"/>
  <c r="K247" i="3"/>
  <c r="N247" i="3"/>
  <c r="O247" i="3"/>
  <c r="Q247" i="3"/>
  <c r="A248" i="3"/>
  <c r="B248" i="3"/>
  <c r="C248" i="3"/>
  <c r="D248" i="3"/>
  <c r="J248" i="3"/>
  <c r="I248" i="3" s="1"/>
  <c r="K248" i="3"/>
  <c r="N248" i="3"/>
  <c r="O248" i="3"/>
  <c r="Q248" i="3"/>
  <c r="A249" i="3"/>
  <c r="B249" i="3"/>
  <c r="C249" i="3"/>
  <c r="D249" i="3"/>
  <c r="J249" i="3"/>
  <c r="I249" i="3" s="1"/>
  <c r="K249" i="3"/>
  <c r="N249" i="3"/>
  <c r="O249" i="3"/>
  <c r="Q249" i="3"/>
  <c r="A250" i="3"/>
  <c r="B250" i="3"/>
  <c r="C250" i="3"/>
  <c r="D250" i="3"/>
  <c r="J250" i="3"/>
  <c r="I250" i="3" s="1"/>
  <c r="K250" i="3"/>
  <c r="N250" i="3"/>
  <c r="O250" i="3"/>
  <c r="Q250" i="3"/>
  <c r="A251" i="3"/>
  <c r="B251" i="3"/>
  <c r="C251" i="3"/>
  <c r="D251" i="3"/>
  <c r="J251" i="3"/>
  <c r="I251" i="3" s="1"/>
  <c r="K251" i="3"/>
  <c r="N251" i="3"/>
  <c r="O251" i="3"/>
  <c r="Q251" i="3"/>
  <c r="A252" i="3"/>
  <c r="B252" i="3"/>
  <c r="C252" i="3"/>
  <c r="E252" i="3" s="1"/>
  <c r="H252" i="3" s="1"/>
  <c r="D252" i="3"/>
  <c r="J252" i="3"/>
  <c r="I252" i="3" s="1"/>
  <c r="K252" i="3"/>
  <c r="N252" i="3"/>
  <c r="O252" i="3"/>
  <c r="Q252" i="3"/>
  <c r="A253" i="3"/>
  <c r="B253" i="3"/>
  <c r="C253" i="3"/>
  <c r="M253" i="3" s="1"/>
  <c r="D253" i="3"/>
  <c r="J253" i="3"/>
  <c r="I253" i="3" s="1"/>
  <c r="K253" i="3"/>
  <c r="N253" i="3"/>
  <c r="O253" i="3"/>
  <c r="Q253" i="3"/>
  <c r="A254" i="3"/>
  <c r="B254" i="3"/>
  <c r="C254" i="3"/>
  <c r="D254" i="3"/>
  <c r="I254" i="3"/>
  <c r="J254" i="3"/>
  <c r="K254" i="3"/>
  <c r="N254" i="3"/>
  <c r="O254" i="3"/>
  <c r="Q254" i="3"/>
  <c r="A255" i="3"/>
  <c r="B255" i="3"/>
  <c r="C255" i="3"/>
  <c r="D255" i="3"/>
  <c r="J255" i="3"/>
  <c r="I255" i="3" s="1"/>
  <c r="K255" i="3"/>
  <c r="N255" i="3"/>
  <c r="O255" i="3"/>
  <c r="Q255" i="3"/>
  <c r="A256" i="3"/>
  <c r="B256" i="3"/>
  <c r="C256" i="3"/>
  <c r="D256" i="3"/>
  <c r="F256" i="3" s="1"/>
  <c r="J256" i="3"/>
  <c r="I256" i="3" s="1"/>
  <c r="K256" i="3"/>
  <c r="N256" i="3"/>
  <c r="O256" i="3"/>
  <c r="Q256" i="3"/>
  <c r="A257" i="3"/>
  <c r="B257" i="3"/>
  <c r="C257" i="3"/>
  <c r="D257" i="3"/>
  <c r="E257" i="3" s="1"/>
  <c r="J257" i="3"/>
  <c r="I257" i="3" s="1"/>
  <c r="K257" i="3"/>
  <c r="N257" i="3"/>
  <c r="O257" i="3"/>
  <c r="Q257" i="3"/>
  <c r="A258" i="3"/>
  <c r="B258" i="3"/>
  <c r="C258" i="3"/>
  <c r="D258" i="3"/>
  <c r="J258" i="3"/>
  <c r="I258" i="3" s="1"/>
  <c r="K258" i="3"/>
  <c r="N258" i="3"/>
  <c r="O258" i="3"/>
  <c r="Q258" i="3"/>
  <c r="A259" i="3"/>
  <c r="B259" i="3"/>
  <c r="C259" i="3"/>
  <c r="D259" i="3"/>
  <c r="J259" i="3"/>
  <c r="I259" i="3" s="1"/>
  <c r="K259" i="3"/>
  <c r="N259" i="3"/>
  <c r="O259" i="3"/>
  <c r="Q259" i="3"/>
  <c r="A260" i="3"/>
  <c r="B260" i="3"/>
  <c r="C260" i="3"/>
  <c r="E260" i="3" s="1"/>
  <c r="D260" i="3"/>
  <c r="F260" i="3"/>
  <c r="G260" i="3"/>
  <c r="J260" i="3"/>
  <c r="I260" i="3" s="1"/>
  <c r="K260" i="3"/>
  <c r="N260" i="3"/>
  <c r="O260" i="3"/>
  <c r="L260" i="3" s="1"/>
  <c r="Q260" i="3"/>
  <c r="A261" i="3"/>
  <c r="B261" i="3"/>
  <c r="C261" i="3"/>
  <c r="D261" i="3"/>
  <c r="F261" i="3" s="1"/>
  <c r="J261" i="3"/>
  <c r="I261" i="3" s="1"/>
  <c r="K261" i="3"/>
  <c r="N261" i="3"/>
  <c r="O261" i="3"/>
  <c r="Q261" i="3"/>
  <c r="A262" i="3"/>
  <c r="B262" i="3"/>
  <c r="C262" i="3"/>
  <c r="D262" i="3"/>
  <c r="J262" i="3"/>
  <c r="I262" i="3" s="1"/>
  <c r="K262" i="3"/>
  <c r="M262" i="3"/>
  <c r="N262" i="3"/>
  <c r="O262" i="3"/>
  <c r="L262" i="3" s="1"/>
  <c r="Q262" i="3"/>
  <c r="A263" i="3"/>
  <c r="B263" i="3"/>
  <c r="C263" i="3"/>
  <c r="D263" i="3"/>
  <c r="J263" i="3"/>
  <c r="I263" i="3" s="1"/>
  <c r="K263" i="3"/>
  <c r="N263" i="3"/>
  <c r="O263" i="3"/>
  <c r="Q263" i="3"/>
  <c r="A264" i="3"/>
  <c r="B264" i="3"/>
  <c r="C264" i="3"/>
  <c r="D264" i="3"/>
  <c r="I264" i="3"/>
  <c r="J264" i="3"/>
  <c r="K264" i="3"/>
  <c r="N264" i="3"/>
  <c r="O264" i="3"/>
  <c r="Q264" i="3"/>
  <c r="A265" i="3"/>
  <c r="B265" i="3"/>
  <c r="C265" i="3"/>
  <c r="D265" i="3"/>
  <c r="M265" i="3" s="1"/>
  <c r="J265" i="3"/>
  <c r="I265" i="3" s="1"/>
  <c r="K265" i="3"/>
  <c r="N265" i="3"/>
  <c r="O265" i="3"/>
  <c r="Q265" i="3"/>
  <c r="A266" i="3"/>
  <c r="B266" i="3"/>
  <c r="C266" i="3"/>
  <c r="D266" i="3"/>
  <c r="E266" i="3" s="1"/>
  <c r="H266" i="3" s="1"/>
  <c r="J266" i="3"/>
  <c r="I266" i="3" s="1"/>
  <c r="K266" i="3"/>
  <c r="N266" i="3"/>
  <c r="O266" i="3"/>
  <c r="Q266" i="3"/>
  <c r="A267" i="3"/>
  <c r="B267" i="3"/>
  <c r="C267" i="3"/>
  <c r="D267" i="3"/>
  <c r="J267" i="3"/>
  <c r="I267" i="3" s="1"/>
  <c r="K267" i="3"/>
  <c r="N267" i="3"/>
  <c r="O267" i="3"/>
  <c r="Q267" i="3"/>
  <c r="A268" i="3"/>
  <c r="B268" i="3"/>
  <c r="C268" i="3"/>
  <c r="F268" i="3" s="1"/>
  <c r="D268" i="3"/>
  <c r="J268" i="3"/>
  <c r="I268" i="3" s="1"/>
  <c r="K268" i="3"/>
  <c r="N268" i="3"/>
  <c r="O268" i="3"/>
  <c r="Q268" i="3"/>
  <c r="A269" i="3"/>
  <c r="B269" i="3"/>
  <c r="C269" i="3"/>
  <c r="D269" i="3"/>
  <c r="J269" i="3"/>
  <c r="I269" i="3" s="1"/>
  <c r="K269" i="3"/>
  <c r="N269" i="3"/>
  <c r="O269" i="3"/>
  <c r="Q269" i="3"/>
  <c r="A270" i="3"/>
  <c r="B270" i="3"/>
  <c r="C270" i="3"/>
  <c r="D270" i="3"/>
  <c r="J270" i="3"/>
  <c r="I270" i="3" s="1"/>
  <c r="K270" i="3"/>
  <c r="N270" i="3"/>
  <c r="O270" i="3"/>
  <c r="Q270" i="3"/>
  <c r="A271" i="3"/>
  <c r="B271" i="3"/>
  <c r="C271" i="3"/>
  <c r="D271" i="3"/>
  <c r="J271" i="3"/>
  <c r="I271" i="3" s="1"/>
  <c r="K271" i="3"/>
  <c r="M271" i="3"/>
  <c r="N271" i="3"/>
  <c r="O271" i="3"/>
  <c r="Q271" i="3"/>
  <c r="A272" i="3"/>
  <c r="B272" i="3"/>
  <c r="C272" i="3"/>
  <c r="D272" i="3"/>
  <c r="J272" i="3"/>
  <c r="I272" i="3" s="1"/>
  <c r="K272" i="3"/>
  <c r="N272" i="3"/>
  <c r="O272" i="3"/>
  <c r="Q272" i="3"/>
  <c r="A273" i="3"/>
  <c r="B273" i="3"/>
  <c r="C273" i="3"/>
  <c r="M273" i="3" s="1"/>
  <c r="D273" i="3"/>
  <c r="J273" i="3"/>
  <c r="I273" i="3" s="1"/>
  <c r="K273" i="3"/>
  <c r="N273" i="3"/>
  <c r="O273" i="3"/>
  <c r="Q273" i="3"/>
  <c r="A274" i="3"/>
  <c r="B274" i="3"/>
  <c r="C274" i="3"/>
  <c r="D274" i="3"/>
  <c r="M274" i="3" s="1"/>
  <c r="I274" i="3"/>
  <c r="J274" i="3"/>
  <c r="K274" i="3"/>
  <c r="N274" i="3"/>
  <c r="O274" i="3"/>
  <c r="Q274" i="3"/>
  <c r="A275" i="3"/>
  <c r="B275" i="3"/>
  <c r="C275" i="3"/>
  <c r="D275" i="3"/>
  <c r="J275" i="3"/>
  <c r="I275" i="3" s="1"/>
  <c r="K275" i="3"/>
  <c r="N275" i="3"/>
  <c r="O275" i="3"/>
  <c r="Q275" i="3"/>
  <c r="A276" i="3"/>
  <c r="B276" i="3"/>
  <c r="C276" i="3"/>
  <c r="D276" i="3"/>
  <c r="J276" i="3"/>
  <c r="I276" i="3" s="1"/>
  <c r="K276" i="3"/>
  <c r="N276" i="3"/>
  <c r="O276" i="3"/>
  <c r="Q276" i="3"/>
  <c r="A277" i="3"/>
  <c r="B277" i="3"/>
  <c r="C277" i="3"/>
  <c r="D277" i="3"/>
  <c r="I277" i="3"/>
  <c r="J277" i="3"/>
  <c r="K277" i="3"/>
  <c r="N277" i="3"/>
  <c r="O277" i="3"/>
  <c r="Q277" i="3"/>
  <c r="A278" i="3"/>
  <c r="B278" i="3"/>
  <c r="C278" i="3"/>
  <c r="D278" i="3"/>
  <c r="F278" i="3" s="1"/>
  <c r="E278" i="3"/>
  <c r="I278" i="3"/>
  <c r="J278" i="3"/>
  <c r="K278" i="3"/>
  <c r="N278" i="3"/>
  <c r="O278" i="3"/>
  <c r="Q278" i="3"/>
  <c r="A279" i="3"/>
  <c r="B279" i="3"/>
  <c r="C279" i="3"/>
  <c r="D279" i="3"/>
  <c r="M279" i="3" s="1"/>
  <c r="J279" i="3"/>
  <c r="I279" i="3" s="1"/>
  <c r="K279" i="3"/>
  <c r="N279" i="3"/>
  <c r="O279" i="3"/>
  <c r="Q279" i="3"/>
  <c r="A280" i="3"/>
  <c r="B280" i="3"/>
  <c r="C280" i="3"/>
  <c r="D280" i="3"/>
  <c r="I280" i="3"/>
  <c r="J280" i="3"/>
  <c r="K280" i="3"/>
  <c r="N280" i="3"/>
  <c r="O280" i="3"/>
  <c r="Q280" i="3"/>
  <c r="A281" i="3"/>
  <c r="B281" i="3"/>
  <c r="C281" i="3"/>
  <c r="D281" i="3"/>
  <c r="L281" i="3" s="1"/>
  <c r="J281" i="3"/>
  <c r="I281" i="3" s="1"/>
  <c r="K281" i="3"/>
  <c r="N281" i="3"/>
  <c r="O281" i="3"/>
  <c r="Q281" i="3"/>
  <c r="A282" i="3"/>
  <c r="B282" i="3"/>
  <c r="C282" i="3"/>
  <c r="G282" i="3" s="1"/>
  <c r="D282" i="3"/>
  <c r="J282" i="3"/>
  <c r="I282" i="3" s="1"/>
  <c r="K282" i="3"/>
  <c r="N282" i="3"/>
  <c r="O282" i="3"/>
  <c r="Q282" i="3"/>
  <c r="A283" i="3"/>
  <c r="B283" i="3"/>
  <c r="C283" i="3"/>
  <c r="D283" i="3"/>
  <c r="G283" i="3"/>
  <c r="J283" i="3"/>
  <c r="I283" i="3" s="1"/>
  <c r="K283" i="3"/>
  <c r="N283" i="3"/>
  <c r="O283" i="3"/>
  <c r="L283" i="3" s="1"/>
  <c r="Q283" i="3"/>
  <c r="A284" i="3"/>
  <c r="B284" i="3"/>
  <c r="C284" i="3"/>
  <c r="D284" i="3"/>
  <c r="J284" i="3"/>
  <c r="I284" i="3" s="1"/>
  <c r="K284" i="3"/>
  <c r="N284" i="3"/>
  <c r="O284" i="3"/>
  <c r="Q284" i="3"/>
  <c r="A285" i="3"/>
  <c r="B285" i="3"/>
  <c r="C285" i="3"/>
  <c r="E285" i="3" s="1"/>
  <c r="H285" i="3" s="1"/>
  <c r="D285" i="3"/>
  <c r="M285" i="3" s="1"/>
  <c r="F285" i="3"/>
  <c r="J285" i="3"/>
  <c r="I285" i="3" s="1"/>
  <c r="K285" i="3"/>
  <c r="N285" i="3"/>
  <c r="O285" i="3"/>
  <c r="Q285" i="3"/>
  <c r="A286" i="3"/>
  <c r="B286" i="3"/>
  <c r="C286" i="3"/>
  <c r="D286" i="3"/>
  <c r="J286" i="3"/>
  <c r="I286" i="3" s="1"/>
  <c r="K286" i="3"/>
  <c r="N286" i="3"/>
  <c r="O286" i="3"/>
  <c r="Q286" i="3"/>
  <c r="A287" i="3"/>
  <c r="B287" i="3"/>
  <c r="C287" i="3"/>
  <c r="D287" i="3"/>
  <c r="J287" i="3"/>
  <c r="I287" i="3" s="1"/>
  <c r="K287" i="3"/>
  <c r="N287" i="3"/>
  <c r="O287" i="3"/>
  <c r="Q287" i="3"/>
  <c r="A288" i="3"/>
  <c r="B288" i="3"/>
  <c r="C288" i="3"/>
  <c r="D288" i="3"/>
  <c r="J288" i="3"/>
  <c r="I288" i="3" s="1"/>
  <c r="K288" i="3"/>
  <c r="N288" i="3"/>
  <c r="O288" i="3"/>
  <c r="Q288" i="3"/>
  <c r="A289" i="3"/>
  <c r="B289" i="3"/>
  <c r="C289" i="3"/>
  <c r="E289" i="3" s="1"/>
  <c r="D289" i="3"/>
  <c r="J289" i="3"/>
  <c r="I289" i="3" s="1"/>
  <c r="K289" i="3"/>
  <c r="M289" i="3"/>
  <c r="N289" i="3"/>
  <c r="O289" i="3"/>
  <c r="Q289" i="3"/>
  <c r="A290" i="3"/>
  <c r="B290" i="3"/>
  <c r="C290" i="3"/>
  <c r="D290" i="3"/>
  <c r="J290" i="3"/>
  <c r="I290" i="3" s="1"/>
  <c r="K290" i="3"/>
  <c r="N290" i="3"/>
  <c r="O290" i="3"/>
  <c r="Q290" i="3"/>
  <c r="A291" i="3"/>
  <c r="B291" i="3"/>
  <c r="C291" i="3"/>
  <c r="D291" i="3"/>
  <c r="J291" i="3"/>
  <c r="I291" i="3" s="1"/>
  <c r="K291" i="3"/>
  <c r="N291" i="3"/>
  <c r="O291" i="3"/>
  <c r="Q291" i="3"/>
  <c r="A292" i="3"/>
  <c r="B292" i="3"/>
  <c r="C292" i="3"/>
  <c r="D292" i="3"/>
  <c r="J292" i="3"/>
  <c r="I292" i="3" s="1"/>
  <c r="K292" i="3"/>
  <c r="N292" i="3"/>
  <c r="O292" i="3"/>
  <c r="Q292" i="3"/>
  <c r="A293" i="3"/>
  <c r="B293" i="3"/>
  <c r="C293" i="3"/>
  <c r="D293" i="3"/>
  <c r="E293" i="3" s="1"/>
  <c r="H293" i="3" s="1"/>
  <c r="J293" i="3"/>
  <c r="I293" i="3" s="1"/>
  <c r="K293" i="3"/>
  <c r="N293" i="3"/>
  <c r="O293" i="3"/>
  <c r="Q293" i="3"/>
  <c r="A294" i="3"/>
  <c r="B294" i="3"/>
  <c r="C294" i="3"/>
  <c r="G294" i="3" s="1"/>
  <c r="D294" i="3"/>
  <c r="J294" i="3"/>
  <c r="I294" i="3" s="1"/>
  <c r="K294" i="3"/>
  <c r="N294" i="3"/>
  <c r="O294" i="3"/>
  <c r="Q294" i="3"/>
  <c r="A295" i="3"/>
  <c r="B295" i="3"/>
  <c r="C295" i="3"/>
  <c r="D295" i="3"/>
  <c r="G295" i="3"/>
  <c r="J295" i="3"/>
  <c r="I295" i="3" s="1"/>
  <c r="K295" i="3"/>
  <c r="N295" i="3"/>
  <c r="O295" i="3"/>
  <c r="Q295" i="3"/>
  <c r="A296" i="3"/>
  <c r="B296" i="3"/>
  <c r="C296" i="3"/>
  <c r="D296" i="3"/>
  <c r="G296" i="3" s="1"/>
  <c r="J296" i="3"/>
  <c r="I296" i="3" s="1"/>
  <c r="K296" i="3"/>
  <c r="N296" i="3"/>
  <c r="O296" i="3"/>
  <c r="Q296" i="3"/>
  <c r="A297" i="3"/>
  <c r="B297" i="3"/>
  <c r="C297" i="3"/>
  <c r="D297" i="3"/>
  <c r="L297" i="3" s="1"/>
  <c r="I297" i="3"/>
  <c r="J297" i="3"/>
  <c r="K297" i="3"/>
  <c r="N297" i="3"/>
  <c r="O297" i="3"/>
  <c r="Q297" i="3"/>
  <c r="A298" i="3"/>
  <c r="B298" i="3"/>
  <c r="C298" i="3"/>
  <c r="D298" i="3"/>
  <c r="I298" i="3"/>
  <c r="J298" i="3"/>
  <c r="K298" i="3"/>
  <c r="N298" i="3"/>
  <c r="O298" i="3"/>
  <c r="L298" i="3" s="1"/>
  <c r="Q298" i="3"/>
  <c r="A299" i="3"/>
  <c r="B299" i="3"/>
  <c r="C299" i="3"/>
  <c r="D299" i="3"/>
  <c r="J299" i="3"/>
  <c r="I299" i="3" s="1"/>
  <c r="K299" i="3"/>
  <c r="N299" i="3"/>
  <c r="O299" i="3"/>
  <c r="Q299" i="3"/>
  <c r="A300" i="3"/>
  <c r="B300" i="3"/>
  <c r="C300" i="3"/>
  <c r="D300" i="3"/>
  <c r="F300" i="3" s="1"/>
  <c r="J300" i="3"/>
  <c r="I300" i="3" s="1"/>
  <c r="K300" i="3"/>
  <c r="N300" i="3"/>
  <c r="O300" i="3"/>
  <c r="Q300" i="3"/>
  <c r="A301" i="3"/>
  <c r="B301" i="3"/>
  <c r="C301" i="3"/>
  <c r="D301" i="3"/>
  <c r="J301" i="3"/>
  <c r="I301" i="3" s="1"/>
  <c r="K301" i="3"/>
  <c r="N301" i="3"/>
  <c r="O301" i="3"/>
  <c r="L301" i="3" s="1"/>
  <c r="Q301" i="3"/>
  <c r="A302" i="3"/>
  <c r="B302" i="3"/>
  <c r="C302" i="3"/>
  <c r="D302" i="3"/>
  <c r="J302" i="3"/>
  <c r="I302" i="3" s="1"/>
  <c r="K302" i="3"/>
  <c r="N302" i="3"/>
  <c r="O302" i="3"/>
  <c r="Q302" i="3"/>
  <c r="A303" i="3"/>
  <c r="B303" i="3"/>
  <c r="C303" i="3"/>
  <c r="D303" i="3"/>
  <c r="J303" i="3"/>
  <c r="I303" i="3" s="1"/>
  <c r="K303" i="3"/>
  <c r="N303" i="3"/>
  <c r="O303" i="3"/>
  <c r="Q303" i="3"/>
  <c r="A304" i="3"/>
  <c r="B304" i="3"/>
  <c r="C304" i="3"/>
  <c r="M304" i="3" s="1"/>
  <c r="D304" i="3"/>
  <c r="F304" i="3"/>
  <c r="J304" i="3"/>
  <c r="I304" i="3" s="1"/>
  <c r="K304" i="3"/>
  <c r="N304" i="3"/>
  <c r="O304" i="3"/>
  <c r="Q304" i="3"/>
  <c r="A305" i="3"/>
  <c r="B305" i="3"/>
  <c r="C305" i="3"/>
  <c r="D305" i="3"/>
  <c r="J305" i="3"/>
  <c r="I305" i="3" s="1"/>
  <c r="K305" i="3"/>
  <c r="N305" i="3"/>
  <c r="O305" i="3"/>
  <c r="Q305" i="3"/>
  <c r="A306" i="3"/>
  <c r="B306" i="3"/>
  <c r="C306" i="3"/>
  <c r="D306" i="3"/>
  <c r="L306" i="3" s="1"/>
  <c r="J306" i="3"/>
  <c r="I306" i="3" s="1"/>
  <c r="K306" i="3"/>
  <c r="N306" i="3"/>
  <c r="O306" i="3"/>
  <c r="Q306" i="3"/>
  <c r="A307" i="3"/>
  <c r="B307" i="3"/>
  <c r="C307" i="3"/>
  <c r="D307" i="3"/>
  <c r="J307" i="3"/>
  <c r="I307" i="3" s="1"/>
  <c r="K307" i="3"/>
  <c r="N307" i="3"/>
  <c r="O307" i="3"/>
  <c r="Q307" i="3"/>
  <c r="A308" i="3"/>
  <c r="B308" i="3"/>
  <c r="C308" i="3"/>
  <c r="D308" i="3"/>
  <c r="J308" i="3"/>
  <c r="I308" i="3" s="1"/>
  <c r="K308" i="3"/>
  <c r="N308" i="3"/>
  <c r="O308" i="3"/>
  <c r="L308" i="3" s="1"/>
  <c r="Q308" i="3"/>
  <c r="A309" i="3"/>
  <c r="B309" i="3"/>
  <c r="C309" i="3"/>
  <c r="D309" i="3"/>
  <c r="E309" i="3"/>
  <c r="J309" i="3"/>
  <c r="I309" i="3" s="1"/>
  <c r="K309" i="3"/>
  <c r="L309" i="3"/>
  <c r="N309" i="3"/>
  <c r="O309" i="3"/>
  <c r="Q309" i="3"/>
  <c r="A310" i="3"/>
  <c r="B310" i="3"/>
  <c r="C310" i="3"/>
  <c r="G310" i="3" s="1"/>
  <c r="D310" i="3"/>
  <c r="J310" i="3"/>
  <c r="I310" i="3" s="1"/>
  <c r="K310" i="3"/>
  <c r="N310" i="3"/>
  <c r="O310" i="3"/>
  <c r="L310" i="3" s="1"/>
  <c r="Q310" i="3"/>
  <c r="A311" i="3"/>
  <c r="B311" i="3"/>
  <c r="C311" i="3"/>
  <c r="D311" i="3"/>
  <c r="J311" i="3"/>
  <c r="I311" i="3" s="1"/>
  <c r="K311" i="3"/>
  <c r="N311" i="3"/>
  <c r="O311" i="3"/>
  <c r="L311" i="3" s="1"/>
  <c r="Q311" i="3"/>
  <c r="A312" i="3"/>
  <c r="B312" i="3"/>
  <c r="C312" i="3"/>
  <c r="D312" i="3"/>
  <c r="F312" i="3"/>
  <c r="J312" i="3"/>
  <c r="I312" i="3" s="1"/>
  <c r="K312" i="3"/>
  <c r="N312" i="3"/>
  <c r="O312" i="3"/>
  <c r="Q312" i="3"/>
  <c r="A313" i="3"/>
  <c r="B313" i="3"/>
  <c r="C313" i="3"/>
  <c r="D313" i="3"/>
  <c r="J313" i="3"/>
  <c r="I313" i="3" s="1"/>
  <c r="K313" i="3"/>
  <c r="N313" i="3"/>
  <c r="O313" i="3"/>
  <c r="Q313" i="3"/>
  <c r="A314" i="3"/>
  <c r="B314" i="3"/>
  <c r="C314" i="3"/>
  <c r="D314" i="3"/>
  <c r="I314" i="3"/>
  <c r="J314" i="3"/>
  <c r="K314" i="3"/>
  <c r="N314" i="3"/>
  <c r="O314" i="3"/>
  <c r="L314" i="3" s="1"/>
  <c r="Q314" i="3"/>
  <c r="A315" i="3"/>
  <c r="B315" i="3"/>
  <c r="C315" i="3"/>
  <c r="D315" i="3"/>
  <c r="G315" i="3" s="1"/>
  <c r="J315" i="3"/>
  <c r="I315" i="3" s="1"/>
  <c r="K315" i="3"/>
  <c r="N315" i="3"/>
  <c r="O315" i="3"/>
  <c r="Q315" i="3"/>
  <c r="A316" i="3"/>
  <c r="B316" i="3"/>
  <c r="C316" i="3"/>
  <c r="E316" i="3" s="1"/>
  <c r="D316" i="3"/>
  <c r="F316" i="3"/>
  <c r="J316" i="3"/>
  <c r="I316" i="3" s="1"/>
  <c r="K316" i="3"/>
  <c r="N316" i="3"/>
  <c r="O316" i="3"/>
  <c r="Q316" i="3"/>
  <c r="A317" i="3"/>
  <c r="B317" i="3"/>
  <c r="C317" i="3"/>
  <c r="D317" i="3"/>
  <c r="L317" i="3" s="1"/>
  <c r="J317" i="3"/>
  <c r="I317" i="3" s="1"/>
  <c r="K317" i="3"/>
  <c r="N317" i="3"/>
  <c r="O317" i="3"/>
  <c r="Q317" i="3"/>
  <c r="A318" i="3"/>
  <c r="B318" i="3"/>
  <c r="C318" i="3"/>
  <c r="G318" i="3" s="1"/>
  <c r="D318" i="3"/>
  <c r="J318" i="3"/>
  <c r="I318" i="3" s="1"/>
  <c r="K318" i="3"/>
  <c r="N318" i="3"/>
  <c r="O318" i="3"/>
  <c r="L318" i="3" s="1"/>
  <c r="Q318" i="3"/>
  <c r="A319" i="3"/>
  <c r="B319" i="3"/>
  <c r="C319" i="3"/>
  <c r="F319" i="3" s="1"/>
  <c r="D319" i="3"/>
  <c r="G319" i="3"/>
  <c r="J319" i="3"/>
  <c r="I319" i="3" s="1"/>
  <c r="K319" i="3"/>
  <c r="N319" i="3"/>
  <c r="O319" i="3"/>
  <c r="Q319" i="3"/>
  <c r="A320" i="3"/>
  <c r="B320" i="3"/>
  <c r="C320" i="3"/>
  <c r="D320" i="3"/>
  <c r="J320" i="3"/>
  <c r="I320" i="3" s="1"/>
  <c r="K320" i="3"/>
  <c r="N320" i="3"/>
  <c r="O320" i="3"/>
  <c r="Q320" i="3"/>
  <c r="A321" i="3"/>
  <c r="B321" i="3"/>
  <c r="C321" i="3"/>
  <c r="D321" i="3"/>
  <c r="F321" i="3" s="1"/>
  <c r="J321" i="3"/>
  <c r="I321" i="3" s="1"/>
  <c r="K321" i="3"/>
  <c r="N321" i="3"/>
  <c r="O321" i="3"/>
  <c r="Q321" i="3"/>
  <c r="A322" i="3"/>
  <c r="B322" i="3"/>
  <c r="C322" i="3"/>
  <c r="D322" i="3"/>
  <c r="I322" i="3"/>
  <c r="J322" i="3"/>
  <c r="K322" i="3"/>
  <c r="N322" i="3"/>
  <c r="O322" i="3"/>
  <c r="L322" i="3" s="1"/>
  <c r="Q322" i="3"/>
  <c r="A323" i="3"/>
  <c r="B323" i="3"/>
  <c r="C323" i="3"/>
  <c r="D323" i="3"/>
  <c r="J323" i="3"/>
  <c r="I323" i="3" s="1"/>
  <c r="K323" i="3"/>
  <c r="N323" i="3"/>
  <c r="O323" i="3"/>
  <c r="Q323" i="3"/>
  <c r="A324" i="3"/>
  <c r="B324" i="3"/>
  <c r="C324" i="3"/>
  <c r="D324" i="3"/>
  <c r="J324" i="3"/>
  <c r="I324" i="3" s="1"/>
  <c r="K324" i="3"/>
  <c r="N324" i="3"/>
  <c r="O324" i="3"/>
  <c r="Q324" i="3"/>
  <c r="A325" i="3"/>
  <c r="B325" i="3"/>
  <c r="C325" i="3"/>
  <c r="E325" i="3" s="1"/>
  <c r="H325" i="3" s="1"/>
  <c r="D325" i="3"/>
  <c r="F325" i="3" s="1"/>
  <c r="J325" i="3"/>
  <c r="I325" i="3" s="1"/>
  <c r="K325" i="3"/>
  <c r="N325" i="3"/>
  <c r="O325" i="3"/>
  <c r="Q325" i="3"/>
  <c r="A326" i="3"/>
  <c r="B326" i="3"/>
  <c r="C326" i="3"/>
  <c r="D326" i="3"/>
  <c r="J326" i="3"/>
  <c r="I326" i="3" s="1"/>
  <c r="K326" i="3"/>
  <c r="L326" i="3"/>
  <c r="N326" i="3"/>
  <c r="O326" i="3"/>
  <c r="Q326" i="3"/>
  <c r="A327" i="3"/>
  <c r="B327" i="3"/>
  <c r="C327" i="3"/>
  <c r="D327" i="3"/>
  <c r="F327" i="3" s="1"/>
  <c r="J327" i="3"/>
  <c r="I327" i="3" s="1"/>
  <c r="K327" i="3"/>
  <c r="N327" i="3"/>
  <c r="O327" i="3"/>
  <c r="Q327" i="3"/>
  <c r="A328" i="3"/>
  <c r="B328" i="3"/>
  <c r="C328" i="3"/>
  <c r="F328" i="3" s="1"/>
  <c r="D328" i="3"/>
  <c r="J328" i="3"/>
  <c r="I328" i="3" s="1"/>
  <c r="K328" i="3"/>
  <c r="N328" i="3"/>
  <c r="O328" i="3"/>
  <c r="Q328" i="3"/>
  <c r="A329" i="3"/>
  <c r="B329" i="3"/>
  <c r="C329" i="3"/>
  <c r="D329" i="3"/>
  <c r="J329" i="3"/>
  <c r="I329" i="3" s="1"/>
  <c r="K329" i="3"/>
  <c r="L329" i="3"/>
  <c r="N329" i="3"/>
  <c r="O329" i="3"/>
  <c r="Q329" i="3"/>
  <c r="A330" i="3"/>
  <c r="B330" i="3"/>
  <c r="C330" i="3"/>
  <c r="E330" i="3" s="1"/>
  <c r="D330" i="3"/>
  <c r="I330" i="3"/>
  <c r="J330" i="3"/>
  <c r="K330" i="3"/>
  <c r="N330" i="3"/>
  <c r="O330" i="3"/>
  <c r="Q330" i="3"/>
  <c r="A331" i="3"/>
  <c r="B331" i="3"/>
  <c r="C331" i="3"/>
  <c r="D331" i="3"/>
  <c r="J331" i="3"/>
  <c r="I331" i="3" s="1"/>
  <c r="K331" i="3"/>
  <c r="N331" i="3"/>
  <c r="O331" i="3"/>
  <c r="Q331" i="3"/>
  <c r="A332" i="3"/>
  <c r="B332" i="3"/>
  <c r="C332" i="3"/>
  <c r="D332" i="3"/>
  <c r="J332" i="3"/>
  <c r="I332" i="3" s="1"/>
  <c r="K332" i="3"/>
  <c r="N332" i="3"/>
  <c r="O332" i="3"/>
  <c r="L332" i="3" s="1"/>
  <c r="Q332" i="3"/>
  <c r="A333" i="3"/>
  <c r="B333" i="3"/>
  <c r="C333" i="3"/>
  <c r="D333" i="3"/>
  <c r="M333" i="3" s="1"/>
  <c r="J333" i="3"/>
  <c r="I333" i="3" s="1"/>
  <c r="K333" i="3"/>
  <c r="N333" i="3"/>
  <c r="O333" i="3"/>
  <c r="Q333" i="3"/>
  <c r="A334" i="3"/>
  <c r="B334" i="3"/>
  <c r="C334" i="3"/>
  <c r="D334" i="3"/>
  <c r="J334" i="3"/>
  <c r="I334" i="3" s="1"/>
  <c r="K334" i="3"/>
  <c r="N334" i="3"/>
  <c r="O334" i="3"/>
  <c r="Q334" i="3"/>
  <c r="A335" i="3"/>
  <c r="B335" i="3"/>
  <c r="C335" i="3"/>
  <c r="D335" i="3"/>
  <c r="G335" i="3" s="1"/>
  <c r="J335" i="3"/>
  <c r="I335" i="3" s="1"/>
  <c r="K335" i="3"/>
  <c r="N335" i="3"/>
  <c r="O335" i="3"/>
  <c r="Q335" i="3"/>
  <c r="A336" i="3"/>
  <c r="B336" i="3"/>
  <c r="C336" i="3"/>
  <c r="E336" i="3" s="1"/>
  <c r="D336" i="3"/>
  <c r="G336" i="3" s="1"/>
  <c r="F336" i="3"/>
  <c r="J336" i="3"/>
  <c r="I336" i="3" s="1"/>
  <c r="K336" i="3"/>
  <c r="M336" i="3"/>
  <c r="N336" i="3"/>
  <c r="O336" i="3"/>
  <c r="Q336" i="3"/>
  <c r="A337" i="3"/>
  <c r="B337" i="3"/>
  <c r="C337" i="3"/>
  <c r="D337" i="3"/>
  <c r="J337" i="3"/>
  <c r="I337" i="3" s="1"/>
  <c r="K337" i="3"/>
  <c r="N337" i="3"/>
  <c r="O337" i="3"/>
  <c r="Q337" i="3"/>
  <c r="A338" i="3"/>
  <c r="B338" i="3"/>
  <c r="C338" i="3"/>
  <c r="D338" i="3"/>
  <c r="J338" i="3"/>
  <c r="I338" i="3" s="1"/>
  <c r="K338" i="3"/>
  <c r="N338" i="3"/>
  <c r="O338" i="3"/>
  <c r="Q338" i="3"/>
  <c r="A339" i="3"/>
  <c r="B339" i="3"/>
  <c r="C339" i="3"/>
  <c r="D339" i="3"/>
  <c r="J339" i="3"/>
  <c r="I339" i="3" s="1"/>
  <c r="K339" i="3"/>
  <c r="N339" i="3"/>
  <c r="O339" i="3"/>
  <c r="L339" i="3" s="1"/>
  <c r="Q339" i="3"/>
  <c r="A340" i="3"/>
  <c r="B340" i="3"/>
  <c r="C340" i="3"/>
  <c r="D340" i="3"/>
  <c r="J340" i="3"/>
  <c r="I340" i="3" s="1"/>
  <c r="K340" i="3"/>
  <c r="N340" i="3"/>
  <c r="O340" i="3"/>
  <c r="L340" i="3" s="1"/>
  <c r="Q340" i="3"/>
  <c r="A341" i="3"/>
  <c r="B341" i="3"/>
  <c r="C341" i="3"/>
  <c r="F341" i="3" s="1"/>
  <c r="D341" i="3"/>
  <c r="J341" i="3"/>
  <c r="I341" i="3" s="1"/>
  <c r="K341" i="3"/>
  <c r="N341" i="3"/>
  <c r="O341" i="3"/>
  <c r="Q341" i="3"/>
  <c r="A342" i="3"/>
  <c r="B342" i="3"/>
  <c r="C342" i="3"/>
  <c r="D342" i="3"/>
  <c r="J342" i="3"/>
  <c r="I342" i="3" s="1"/>
  <c r="K342" i="3"/>
  <c r="N342" i="3"/>
  <c r="O342" i="3"/>
  <c r="Q342" i="3"/>
  <c r="A343" i="3"/>
  <c r="B343" i="3"/>
  <c r="C343" i="3"/>
  <c r="D343" i="3"/>
  <c r="J343" i="3"/>
  <c r="I343" i="3" s="1"/>
  <c r="K343" i="3"/>
  <c r="N343" i="3"/>
  <c r="O343" i="3"/>
  <c r="L343" i="3" s="1"/>
  <c r="Q343" i="3"/>
  <c r="A344" i="3"/>
  <c r="B344" i="3"/>
  <c r="C344" i="3"/>
  <c r="F344" i="3" s="1"/>
  <c r="D344" i="3"/>
  <c r="E344" i="3"/>
  <c r="J344" i="3"/>
  <c r="I344" i="3" s="1"/>
  <c r="K344" i="3"/>
  <c r="N344" i="3"/>
  <c r="O344" i="3"/>
  <c r="Q344" i="3"/>
  <c r="A345" i="3"/>
  <c r="B345" i="3"/>
  <c r="C345" i="3"/>
  <c r="E345" i="3" s="1"/>
  <c r="D345" i="3"/>
  <c r="J345" i="3"/>
  <c r="I345" i="3" s="1"/>
  <c r="K345" i="3"/>
  <c r="N345" i="3"/>
  <c r="O345" i="3"/>
  <c r="L345" i="3" s="1"/>
  <c r="Q345" i="3"/>
  <c r="A346" i="3"/>
  <c r="B346" i="3"/>
  <c r="C346" i="3"/>
  <c r="D346" i="3"/>
  <c r="I346" i="3"/>
  <c r="J346" i="3"/>
  <c r="K346" i="3"/>
  <c r="M346" i="3"/>
  <c r="N346" i="3"/>
  <c r="O346" i="3"/>
  <c r="Q346" i="3"/>
  <c r="A347" i="3"/>
  <c r="B347" i="3"/>
  <c r="C347" i="3"/>
  <c r="G347" i="3" s="1"/>
  <c r="D347" i="3"/>
  <c r="L347" i="3" s="1"/>
  <c r="J347" i="3"/>
  <c r="I347" i="3" s="1"/>
  <c r="K347" i="3"/>
  <c r="N347" i="3"/>
  <c r="O347" i="3"/>
  <c r="Q347" i="3"/>
  <c r="A348" i="3"/>
  <c r="B348" i="3"/>
  <c r="C348" i="3"/>
  <c r="F348" i="3" s="1"/>
  <c r="D348" i="3"/>
  <c r="J348" i="3"/>
  <c r="I348" i="3" s="1"/>
  <c r="K348" i="3"/>
  <c r="N348" i="3"/>
  <c r="O348" i="3"/>
  <c r="Q348" i="3"/>
  <c r="A349" i="3"/>
  <c r="B349" i="3"/>
  <c r="C349" i="3"/>
  <c r="D349" i="3"/>
  <c r="J349" i="3"/>
  <c r="I349" i="3" s="1"/>
  <c r="K349" i="3"/>
  <c r="N349" i="3"/>
  <c r="O349" i="3"/>
  <c r="L349" i="3" s="1"/>
  <c r="Q349" i="3"/>
  <c r="A350" i="3"/>
  <c r="B350" i="3"/>
  <c r="C350" i="3"/>
  <c r="D350" i="3"/>
  <c r="L350" i="3" s="1"/>
  <c r="G350" i="3"/>
  <c r="J350" i="3"/>
  <c r="I350" i="3" s="1"/>
  <c r="K350" i="3"/>
  <c r="N350" i="3"/>
  <c r="O350" i="3"/>
  <c r="Q350" i="3"/>
  <c r="A351" i="3"/>
  <c r="B351" i="3"/>
  <c r="C351" i="3"/>
  <c r="D351" i="3"/>
  <c r="J351" i="3"/>
  <c r="I351" i="3" s="1"/>
  <c r="K351" i="3"/>
  <c r="N351" i="3"/>
  <c r="O351" i="3"/>
  <c r="Q351" i="3"/>
  <c r="A352" i="3"/>
  <c r="B352" i="3"/>
  <c r="C352" i="3"/>
  <c r="D352" i="3"/>
  <c r="J352" i="3"/>
  <c r="I352" i="3" s="1"/>
  <c r="K352" i="3"/>
  <c r="N352" i="3"/>
  <c r="O352" i="3"/>
  <c r="Q352" i="3"/>
  <c r="A353" i="3"/>
  <c r="B353" i="3"/>
  <c r="C353" i="3"/>
  <c r="D353" i="3"/>
  <c r="J353" i="3"/>
  <c r="I353" i="3" s="1"/>
  <c r="K353" i="3"/>
  <c r="N353" i="3"/>
  <c r="O353" i="3"/>
  <c r="L353" i="3" s="1"/>
  <c r="Q353" i="3"/>
  <c r="A354" i="3"/>
  <c r="B354" i="3"/>
  <c r="C354" i="3"/>
  <c r="D354" i="3"/>
  <c r="I354" i="3"/>
  <c r="J354" i="3"/>
  <c r="K354" i="3"/>
  <c r="N354" i="3"/>
  <c r="O354" i="3"/>
  <c r="Q354" i="3"/>
  <c r="A355" i="3"/>
  <c r="B355" i="3"/>
  <c r="C355" i="3"/>
  <c r="D355" i="3"/>
  <c r="G355" i="3"/>
  <c r="J355" i="3"/>
  <c r="I355" i="3" s="1"/>
  <c r="K355" i="3"/>
  <c r="N355" i="3"/>
  <c r="O355" i="3"/>
  <c r="L355" i="3" s="1"/>
  <c r="Q355" i="3"/>
  <c r="A356" i="3"/>
  <c r="B356" i="3"/>
  <c r="C356" i="3"/>
  <c r="D356" i="3"/>
  <c r="F356" i="3" s="1"/>
  <c r="J356" i="3"/>
  <c r="I356" i="3" s="1"/>
  <c r="K356" i="3"/>
  <c r="N356" i="3"/>
  <c r="O356" i="3"/>
  <c r="Q356" i="3"/>
  <c r="A357" i="3"/>
  <c r="B357" i="3"/>
  <c r="C357" i="3"/>
  <c r="M357" i="3" s="1"/>
  <c r="D357" i="3"/>
  <c r="F357" i="3"/>
  <c r="J357" i="3"/>
  <c r="I357" i="3" s="1"/>
  <c r="K357" i="3"/>
  <c r="N357" i="3"/>
  <c r="O357" i="3"/>
  <c r="L357" i="3" s="1"/>
  <c r="Q357" i="3"/>
  <c r="A358" i="3"/>
  <c r="B358" i="3"/>
  <c r="C358" i="3"/>
  <c r="D358" i="3"/>
  <c r="J358" i="3"/>
  <c r="I358" i="3" s="1"/>
  <c r="K358" i="3"/>
  <c r="N358" i="3"/>
  <c r="O358" i="3"/>
  <c r="Q358" i="3"/>
  <c r="A359" i="3"/>
  <c r="B359" i="3"/>
  <c r="C359" i="3"/>
  <c r="D359" i="3"/>
  <c r="J359" i="3"/>
  <c r="I359" i="3" s="1"/>
  <c r="K359" i="3"/>
  <c r="N359" i="3"/>
  <c r="O359" i="3"/>
  <c r="Q359" i="3"/>
  <c r="A360" i="3"/>
  <c r="B360" i="3"/>
  <c r="C360" i="3"/>
  <c r="E360" i="3" s="1"/>
  <c r="D360" i="3"/>
  <c r="G360" i="3"/>
  <c r="J360" i="3"/>
  <c r="I360" i="3" s="1"/>
  <c r="K360" i="3"/>
  <c r="N360" i="3"/>
  <c r="O360" i="3"/>
  <c r="L360" i="3" s="1"/>
  <c r="Q360" i="3"/>
  <c r="A361" i="3"/>
  <c r="B361" i="3"/>
  <c r="C361" i="3"/>
  <c r="D361" i="3"/>
  <c r="J361" i="3"/>
  <c r="I361" i="3" s="1"/>
  <c r="K361" i="3"/>
  <c r="N361" i="3"/>
  <c r="O361" i="3"/>
  <c r="Q361" i="3"/>
  <c r="A362" i="3"/>
  <c r="B362" i="3"/>
  <c r="C362" i="3"/>
  <c r="E362" i="3" s="1"/>
  <c r="D362" i="3"/>
  <c r="J362" i="3"/>
  <c r="I362" i="3" s="1"/>
  <c r="K362" i="3"/>
  <c r="N362" i="3"/>
  <c r="O362" i="3"/>
  <c r="Q362" i="3"/>
  <c r="A363" i="3"/>
  <c r="B363" i="3"/>
  <c r="C363" i="3"/>
  <c r="D363" i="3"/>
  <c r="J363" i="3"/>
  <c r="I363" i="3" s="1"/>
  <c r="K363" i="3"/>
  <c r="N363" i="3"/>
  <c r="O363" i="3"/>
  <c r="Q363" i="3"/>
  <c r="A364" i="3"/>
  <c r="B364" i="3"/>
  <c r="C364" i="3"/>
  <c r="F364" i="3" s="1"/>
  <c r="D364" i="3"/>
  <c r="J364" i="3"/>
  <c r="I364" i="3" s="1"/>
  <c r="K364" i="3"/>
  <c r="N364" i="3"/>
  <c r="O364" i="3"/>
  <c r="Q364" i="3"/>
  <c r="A365" i="3"/>
  <c r="B365" i="3"/>
  <c r="C365" i="3"/>
  <c r="D365" i="3"/>
  <c r="E365" i="3"/>
  <c r="J365" i="3"/>
  <c r="I365" i="3" s="1"/>
  <c r="K365" i="3"/>
  <c r="N365" i="3"/>
  <c r="O365" i="3"/>
  <c r="L365" i="3" s="1"/>
  <c r="Q365" i="3"/>
  <c r="A366" i="3"/>
  <c r="B366" i="3"/>
  <c r="C366" i="3"/>
  <c r="D366" i="3"/>
  <c r="M366" i="3" s="1"/>
  <c r="J366" i="3"/>
  <c r="I366" i="3" s="1"/>
  <c r="K366" i="3"/>
  <c r="N366" i="3"/>
  <c r="O366" i="3"/>
  <c r="Q366" i="3"/>
  <c r="A367" i="3"/>
  <c r="B367" i="3"/>
  <c r="C367" i="3"/>
  <c r="D367" i="3"/>
  <c r="G367" i="3"/>
  <c r="J367" i="3"/>
  <c r="I367" i="3" s="1"/>
  <c r="K367" i="3"/>
  <c r="N367" i="3"/>
  <c r="O367" i="3"/>
  <c r="Q367" i="3"/>
  <c r="A368" i="3"/>
  <c r="B368" i="3"/>
  <c r="C368" i="3"/>
  <c r="D368" i="3"/>
  <c r="J368" i="3"/>
  <c r="I368" i="3" s="1"/>
  <c r="K368" i="3"/>
  <c r="N368" i="3"/>
  <c r="O368" i="3"/>
  <c r="Q368" i="3"/>
  <c r="A369" i="3"/>
  <c r="B369" i="3"/>
  <c r="C369" i="3"/>
  <c r="D369" i="3"/>
  <c r="J369" i="3"/>
  <c r="I369" i="3" s="1"/>
  <c r="K369" i="3"/>
  <c r="N369" i="3"/>
  <c r="O369" i="3"/>
  <c r="Q369" i="3"/>
  <c r="A370" i="3"/>
  <c r="B370" i="3"/>
  <c r="C370" i="3"/>
  <c r="D370" i="3"/>
  <c r="E370" i="3" s="1"/>
  <c r="I370" i="3"/>
  <c r="J370" i="3"/>
  <c r="K370" i="3"/>
  <c r="N370" i="3"/>
  <c r="O370" i="3"/>
  <c r="Q370" i="3"/>
  <c r="A371" i="3"/>
  <c r="B371" i="3"/>
  <c r="C371" i="3"/>
  <c r="G371" i="3" s="1"/>
  <c r="D371" i="3"/>
  <c r="J371" i="3"/>
  <c r="I371" i="3" s="1"/>
  <c r="K371" i="3"/>
  <c r="N371" i="3"/>
  <c r="O371" i="3"/>
  <c r="Q371" i="3"/>
  <c r="A372" i="3"/>
  <c r="B372" i="3"/>
  <c r="C372" i="3"/>
  <c r="D372" i="3"/>
  <c r="J372" i="3"/>
  <c r="I372" i="3" s="1"/>
  <c r="K372" i="3"/>
  <c r="N372" i="3"/>
  <c r="O372" i="3"/>
  <c r="Q372" i="3"/>
  <c r="A373" i="3"/>
  <c r="B373" i="3"/>
  <c r="C373" i="3"/>
  <c r="D373" i="3"/>
  <c r="I373" i="3"/>
  <c r="J373" i="3"/>
  <c r="K373" i="3"/>
  <c r="N373" i="3"/>
  <c r="O373" i="3"/>
  <c r="L373" i="3" s="1"/>
  <c r="Q373" i="3"/>
  <c r="A374" i="3"/>
  <c r="B374" i="3"/>
  <c r="C374" i="3"/>
  <c r="D374" i="3"/>
  <c r="J374" i="3"/>
  <c r="I374" i="3" s="1"/>
  <c r="K374" i="3"/>
  <c r="N374" i="3"/>
  <c r="O374" i="3"/>
  <c r="Q374" i="3"/>
  <c r="A375" i="3"/>
  <c r="B375" i="3"/>
  <c r="C375" i="3"/>
  <c r="G375" i="3" s="1"/>
  <c r="D375" i="3"/>
  <c r="J375" i="3"/>
  <c r="I375" i="3" s="1"/>
  <c r="K375" i="3"/>
  <c r="N375" i="3"/>
  <c r="O375" i="3"/>
  <c r="Q375" i="3"/>
  <c r="A376" i="3"/>
  <c r="B376" i="3"/>
  <c r="C376" i="3"/>
  <c r="F376" i="3" s="1"/>
  <c r="D376" i="3"/>
  <c r="E376" i="3" s="1"/>
  <c r="J376" i="3"/>
  <c r="I376" i="3" s="1"/>
  <c r="K376" i="3"/>
  <c r="M376" i="3"/>
  <c r="N376" i="3"/>
  <c r="O376" i="3"/>
  <c r="Q376" i="3"/>
  <c r="A377" i="3"/>
  <c r="B377" i="3"/>
  <c r="C377" i="3"/>
  <c r="D377" i="3"/>
  <c r="J377" i="3"/>
  <c r="I377" i="3" s="1"/>
  <c r="K377" i="3"/>
  <c r="N377" i="3"/>
  <c r="O377" i="3"/>
  <c r="Q377" i="3"/>
  <c r="A378" i="3"/>
  <c r="B378" i="3"/>
  <c r="C378" i="3"/>
  <c r="D378" i="3"/>
  <c r="M378" i="3" s="1"/>
  <c r="J378" i="3"/>
  <c r="I378" i="3" s="1"/>
  <c r="K378" i="3"/>
  <c r="N378" i="3"/>
  <c r="O378" i="3"/>
  <c r="Q378" i="3"/>
  <c r="A379" i="3"/>
  <c r="B379" i="3"/>
  <c r="C379" i="3"/>
  <c r="D379" i="3"/>
  <c r="G379" i="3"/>
  <c r="J379" i="3"/>
  <c r="I379" i="3" s="1"/>
  <c r="K379" i="3"/>
  <c r="N379" i="3"/>
  <c r="O379" i="3"/>
  <c r="L379" i="3" s="1"/>
  <c r="Q379" i="3"/>
  <c r="A380" i="3"/>
  <c r="B380" i="3"/>
  <c r="C380" i="3"/>
  <c r="D380" i="3"/>
  <c r="I380" i="3"/>
  <c r="J380" i="3"/>
  <c r="K380" i="3"/>
  <c r="N380" i="3"/>
  <c r="O380" i="3"/>
  <c r="Q380" i="3"/>
  <c r="A381" i="3"/>
  <c r="B381" i="3"/>
  <c r="C381" i="3"/>
  <c r="E381" i="3" s="1"/>
  <c r="H381" i="3" s="1"/>
  <c r="D381" i="3"/>
  <c r="J381" i="3"/>
  <c r="I381" i="3" s="1"/>
  <c r="K381" i="3"/>
  <c r="M381" i="3"/>
  <c r="N381" i="3"/>
  <c r="O381" i="3"/>
  <c r="Q381" i="3"/>
  <c r="A382" i="3"/>
  <c r="B382" i="3"/>
  <c r="C382" i="3"/>
  <c r="D382" i="3"/>
  <c r="J382" i="3"/>
  <c r="I382" i="3" s="1"/>
  <c r="K382" i="3"/>
  <c r="N382" i="3"/>
  <c r="O382" i="3"/>
  <c r="L382" i="3" s="1"/>
  <c r="Q382" i="3"/>
  <c r="A383" i="3"/>
  <c r="B383" i="3"/>
  <c r="C383" i="3"/>
  <c r="D383" i="3"/>
  <c r="J383" i="3"/>
  <c r="I383" i="3" s="1"/>
  <c r="K383" i="3"/>
  <c r="N383" i="3"/>
  <c r="O383" i="3"/>
  <c r="Q383" i="3"/>
  <c r="A384" i="3"/>
  <c r="B384" i="3"/>
  <c r="C384" i="3"/>
  <c r="G384" i="3" s="1"/>
  <c r="D384" i="3"/>
  <c r="J384" i="3"/>
  <c r="I384" i="3" s="1"/>
  <c r="K384" i="3"/>
  <c r="N384" i="3"/>
  <c r="O384" i="3"/>
  <c r="Q384" i="3"/>
  <c r="A385" i="3"/>
  <c r="B385" i="3"/>
  <c r="C385" i="3"/>
  <c r="D385" i="3"/>
  <c r="J385" i="3"/>
  <c r="I385" i="3" s="1"/>
  <c r="K385" i="3"/>
  <c r="N385" i="3"/>
  <c r="O385" i="3"/>
  <c r="Q385" i="3"/>
  <c r="A386" i="3"/>
  <c r="B386" i="3"/>
  <c r="C386" i="3"/>
  <c r="D386" i="3"/>
  <c r="J386" i="3"/>
  <c r="I386" i="3" s="1"/>
  <c r="K386" i="3"/>
  <c r="N386" i="3"/>
  <c r="O386" i="3"/>
  <c r="L386" i="3" s="1"/>
  <c r="Q386" i="3"/>
  <c r="A387" i="3"/>
  <c r="B387" i="3"/>
  <c r="C387" i="3"/>
  <c r="D387" i="3"/>
  <c r="J387" i="3"/>
  <c r="I387" i="3" s="1"/>
  <c r="K387" i="3"/>
  <c r="N387" i="3"/>
  <c r="O387" i="3"/>
  <c r="L387" i="3" s="1"/>
  <c r="Q387" i="3"/>
  <c r="A388" i="3"/>
  <c r="B388" i="3"/>
  <c r="C388" i="3"/>
  <c r="G388" i="3" s="1"/>
  <c r="D388" i="3"/>
  <c r="I388" i="3"/>
  <c r="J388" i="3"/>
  <c r="K388" i="3"/>
  <c r="N388" i="3"/>
  <c r="O388" i="3"/>
  <c r="Q388" i="3"/>
  <c r="A389" i="3"/>
  <c r="B389" i="3"/>
  <c r="C389" i="3"/>
  <c r="D389" i="3"/>
  <c r="J389" i="3"/>
  <c r="I389" i="3" s="1"/>
  <c r="K389" i="3"/>
  <c r="N389" i="3"/>
  <c r="O389" i="3"/>
  <c r="L389" i="3" s="1"/>
  <c r="Q389" i="3"/>
  <c r="A390" i="3"/>
  <c r="B390" i="3"/>
  <c r="C390" i="3"/>
  <c r="D390" i="3"/>
  <c r="G390" i="3" s="1"/>
  <c r="J390" i="3"/>
  <c r="I390" i="3" s="1"/>
  <c r="K390" i="3"/>
  <c r="N390" i="3"/>
  <c r="O390" i="3"/>
  <c r="Q390" i="3"/>
  <c r="A391" i="3"/>
  <c r="B391" i="3"/>
  <c r="C391" i="3"/>
  <c r="D391" i="3"/>
  <c r="J391" i="3"/>
  <c r="I391" i="3" s="1"/>
  <c r="K391" i="3"/>
  <c r="N391" i="3"/>
  <c r="O391" i="3"/>
  <c r="Q391" i="3"/>
  <c r="A392" i="3"/>
  <c r="B392" i="3"/>
  <c r="C392" i="3"/>
  <c r="D392" i="3"/>
  <c r="J392" i="3"/>
  <c r="I392" i="3" s="1"/>
  <c r="K392" i="3"/>
  <c r="N392" i="3"/>
  <c r="O392" i="3"/>
  <c r="L392" i="3" s="1"/>
  <c r="Q392" i="3"/>
  <c r="A393" i="3"/>
  <c r="B393" i="3"/>
  <c r="C393" i="3"/>
  <c r="D393" i="3"/>
  <c r="J393" i="3"/>
  <c r="I393" i="3" s="1"/>
  <c r="K393" i="3"/>
  <c r="N393" i="3"/>
  <c r="O393" i="3"/>
  <c r="Q393" i="3"/>
  <c r="A394" i="3"/>
  <c r="B394" i="3"/>
  <c r="C394" i="3"/>
  <c r="D394" i="3"/>
  <c r="J394" i="3"/>
  <c r="I394" i="3" s="1"/>
  <c r="K394" i="3"/>
  <c r="L394" i="3"/>
  <c r="N394" i="3"/>
  <c r="O394" i="3"/>
  <c r="Q394" i="3"/>
  <c r="A395" i="3"/>
  <c r="B395" i="3"/>
  <c r="C395" i="3"/>
  <c r="D395" i="3"/>
  <c r="J395" i="3"/>
  <c r="I395" i="3" s="1"/>
  <c r="K395" i="3"/>
  <c r="N395" i="3"/>
  <c r="O395" i="3"/>
  <c r="Q395" i="3"/>
  <c r="A396" i="3"/>
  <c r="B396" i="3"/>
  <c r="C396" i="3"/>
  <c r="D396" i="3"/>
  <c r="J396" i="3"/>
  <c r="I396" i="3" s="1"/>
  <c r="K396" i="3"/>
  <c r="N396" i="3"/>
  <c r="O396" i="3"/>
  <c r="Q396" i="3"/>
  <c r="A397" i="3"/>
  <c r="B397" i="3"/>
  <c r="C397" i="3"/>
  <c r="F397" i="3" s="1"/>
  <c r="D397" i="3"/>
  <c r="L397" i="3" s="1"/>
  <c r="J397" i="3"/>
  <c r="I397" i="3" s="1"/>
  <c r="K397" i="3"/>
  <c r="N397" i="3"/>
  <c r="O397" i="3"/>
  <c r="Q397" i="3"/>
  <c r="A398" i="3"/>
  <c r="B398" i="3"/>
  <c r="C398" i="3"/>
  <c r="E398" i="3" s="1"/>
  <c r="D398" i="3"/>
  <c r="J398" i="3"/>
  <c r="I398" i="3" s="1"/>
  <c r="K398" i="3"/>
  <c r="N398" i="3"/>
  <c r="O398" i="3"/>
  <c r="Q398" i="3"/>
  <c r="A399" i="3"/>
  <c r="B399" i="3"/>
  <c r="C399" i="3"/>
  <c r="F399" i="3" s="1"/>
  <c r="D399" i="3"/>
  <c r="J399" i="3"/>
  <c r="I399" i="3" s="1"/>
  <c r="K399" i="3"/>
  <c r="N399" i="3"/>
  <c r="O399" i="3"/>
  <c r="L399" i="3" s="1"/>
  <c r="Q399" i="3"/>
  <c r="A400" i="3"/>
  <c r="B400" i="3"/>
  <c r="C400" i="3"/>
  <c r="D400" i="3"/>
  <c r="J400" i="3"/>
  <c r="I400" i="3" s="1"/>
  <c r="K400" i="3"/>
  <c r="N400" i="3"/>
  <c r="O400" i="3"/>
  <c r="Q400" i="3"/>
  <c r="A401" i="3"/>
  <c r="B401" i="3"/>
  <c r="C401" i="3"/>
  <c r="D401" i="3"/>
  <c r="J401" i="3"/>
  <c r="I401" i="3" s="1"/>
  <c r="K401" i="3"/>
  <c r="N401" i="3"/>
  <c r="O401" i="3"/>
  <c r="Q401" i="3"/>
  <c r="A402" i="3"/>
  <c r="B402" i="3"/>
  <c r="C402" i="3"/>
  <c r="D402" i="3"/>
  <c r="J402" i="3"/>
  <c r="I402" i="3" s="1"/>
  <c r="K402" i="3"/>
  <c r="N402" i="3"/>
  <c r="O402" i="3"/>
  <c r="Q402" i="3"/>
  <c r="A403" i="3"/>
  <c r="B403" i="3"/>
  <c r="C403" i="3"/>
  <c r="D403" i="3"/>
  <c r="J403" i="3"/>
  <c r="I403" i="3" s="1"/>
  <c r="K403" i="3"/>
  <c r="N403" i="3"/>
  <c r="O403" i="3"/>
  <c r="Q403" i="3"/>
  <c r="A404" i="3"/>
  <c r="B404" i="3"/>
  <c r="C404" i="3"/>
  <c r="D404" i="3"/>
  <c r="J404" i="3"/>
  <c r="I404" i="3" s="1"/>
  <c r="K404" i="3"/>
  <c r="N404" i="3"/>
  <c r="O404" i="3"/>
  <c r="Q404" i="3"/>
  <c r="A405" i="3"/>
  <c r="B405" i="3"/>
  <c r="C405" i="3"/>
  <c r="M405" i="3" s="1"/>
  <c r="D405" i="3"/>
  <c r="I405" i="3"/>
  <c r="J405" i="3"/>
  <c r="K405" i="3"/>
  <c r="N405" i="3"/>
  <c r="O405" i="3"/>
  <c r="Q405" i="3"/>
  <c r="A406" i="3"/>
  <c r="B406" i="3"/>
  <c r="C406" i="3"/>
  <c r="D406" i="3"/>
  <c r="J406" i="3"/>
  <c r="I406" i="3" s="1"/>
  <c r="K406" i="3"/>
  <c r="N406" i="3"/>
  <c r="O406" i="3"/>
  <c r="Q406" i="3"/>
  <c r="A407" i="3"/>
  <c r="B407" i="3"/>
  <c r="C407" i="3"/>
  <c r="D407" i="3"/>
  <c r="L407" i="3" s="1"/>
  <c r="J407" i="3"/>
  <c r="I407" i="3" s="1"/>
  <c r="K407" i="3"/>
  <c r="N407" i="3"/>
  <c r="O407" i="3"/>
  <c r="Q407" i="3"/>
  <c r="A408" i="3"/>
  <c r="B408" i="3"/>
  <c r="C408" i="3"/>
  <c r="G408" i="3" s="1"/>
  <c r="D408" i="3"/>
  <c r="J408" i="3"/>
  <c r="I408" i="3" s="1"/>
  <c r="K408" i="3"/>
  <c r="N408" i="3"/>
  <c r="O408" i="3"/>
  <c r="Q408" i="3"/>
  <c r="A409" i="3"/>
  <c r="B409" i="3"/>
  <c r="C409" i="3"/>
  <c r="D409" i="3"/>
  <c r="E409" i="3"/>
  <c r="J409" i="3"/>
  <c r="I409" i="3" s="1"/>
  <c r="K409" i="3"/>
  <c r="N409" i="3"/>
  <c r="O409" i="3"/>
  <c r="Q409" i="3"/>
  <c r="A410" i="3"/>
  <c r="B410" i="3"/>
  <c r="C410" i="3"/>
  <c r="D410" i="3"/>
  <c r="J410" i="3"/>
  <c r="I410" i="3" s="1"/>
  <c r="K410" i="3"/>
  <c r="N410" i="3"/>
  <c r="O410" i="3"/>
  <c r="Q410" i="3"/>
  <c r="A411" i="3"/>
  <c r="B411" i="3"/>
  <c r="C411" i="3"/>
  <c r="D411" i="3"/>
  <c r="G411" i="3"/>
  <c r="J411" i="3"/>
  <c r="I411" i="3" s="1"/>
  <c r="K411" i="3"/>
  <c r="N411" i="3"/>
  <c r="O411" i="3"/>
  <c r="Q411" i="3"/>
  <c r="A412" i="3"/>
  <c r="B412" i="3"/>
  <c r="C412" i="3"/>
  <c r="D412" i="3"/>
  <c r="J412" i="3"/>
  <c r="I412" i="3" s="1"/>
  <c r="K412" i="3"/>
  <c r="N412" i="3"/>
  <c r="O412" i="3"/>
  <c r="Q412" i="3"/>
  <c r="A413" i="3"/>
  <c r="B413" i="3"/>
  <c r="C413" i="3"/>
  <c r="D413" i="3"/>
  <c r="J413" i="3"/>
  <c r="I413" i="3" s="1"/>
  <c r="K413" i="3"/>
  <c r="N413" i="3"/>
  <c r="O413" i="3"/>
  <c r="L413" i="3" s="1"/>
  <c r="Q413" i="3"/>
  <c r="A414" i="3"/>
  <c r="B414" i="3"/>
  <c r="C414" i="3"/>
  <c r="D414" i="3"/>
  <c r="J414" i="3"/>
  <c r="I414" i="3" s="1"/>
  <c r="K414" i="3"/>
  <c r="N414" i="3"/>
  <c r="O414" i="3"/>
  <c r="Q414" i="3"/>
  <c r="A415" i="3"/>
  <c r="B415" i="3"/>
  <c r="C415" i="3"/>
  <c r="D415" i="3"/>
  <c r="J415" i="3"/>
  <c r="I415" i="3" s="1"/>
  <c r="K415" i="3"/>
  <c r="N415" i="3"/>
  <c r="O415" i="3"/>
  <c r="Q415" i="3"/>
  <c r="A416" i="3"/>
  <c r="B416" i="3"/>
  <c r="C416" i="3"/>
  <c r="D416" i="3"/>
  <c r="J416" i="3"/>
  <c r="I416" i="3" s="1"/>
  <c r="K416" i="3"/>
  <c r="N416" i="3"/>
  <c r="O416" i="3"/>
  <c r="Q416" i="3"/>
  <c r="A417" i="3"/>
  <c r="B417" i="3"/>
  <c r="C417" i="3"/>
  <c r="D417" i="3"/>
  <c r="E417" i="3" s="1"/>
  <c r="H417" i="3" s="1"/>
  <c r="J417" i="3"/>
  <c r="I417" i="3" s="1"/>
  <c r="K417" i="3"/>
  <c r="N417" i="3"/>
  <c r="O417" i="3"/>
  <c r="Q417" i="3"/>
  <c r="A418" i="3"/>
  <c r="B418" i="3"/>
  <c r="C418" i="3"/>
  <c r="D418" i="3"/>
  <c r="J418" i="3"/>
  <c r="I418" i="3" s="1"/>
  <c r="K418" i="3"/>
  <c r="N418" i="3"/>
  <c r="O418" i="3"/>
  <c r="Q418" i="3"/>
  <c r="A419" i="3"/>
  <c r="B419" i="3"/>
  <c r="C419" i="3"/>
  <c r="D419" i="3"/>
  <c r="J419" i="3"/>
  <c r="I419" i="3" s="1"/>
  <c r="K419" i="3"/>
  <c r="N419" i="3"/>
  <c r="O419" i="3"/>
  <c r="Q419" i="3"/>
  <c r="A420" i="3"/>
  <c r="B420" i="3"/>
  <c r="C420" i="3"/>
  <c r="D420" i="3"/>
  <c r="J420" i="3"/>
  <c r="I420" i="3" s="1"/>
  <c r="K420" i="3"/>
  <c r="N420" i="3"/>
  <c r="O420" i="3"/>
  <c r="Q420" i="3"/>
  <c r="A421" i="3"/>
  <c r="B421" i="3"/>
  <c r="C421" i="3"/>
  <c r="F421" i="3" s="1"/>
  <c r="D421" i="3"/>
  <c r="J421" i="3"/>
  <c r="I421" i="3" s="1"/>
  <c r="K421" i="3"/>
  <c r="N421" i="3"/>
  <c r="O421" i="3"/>
  <c r="L421" i="3" s="1"/>
  <c r="Q421" i="3"/>
  <c r="A422" i="3"/>
  <c r="B422" i="3"/>
  <c r="C422" i="3"/>
  <c r="D422" i="3"/>
  <c r="J422" i="3"/>
  <c r="I422" i="3" s="1"/>
  <c r="K422" i="3"/>
  <c r="N422" i="3"/>
  <c r="O422" i="3"/>
  <c r="Q422" i="3"/>
  <c r="A423" i="3"/>
  <c r="B423" i="3"/>
  <c r="C423" i="3"/>
  <c r="D423" i="3"/>
  <c r="J423" i="3"/>
  <c r="I423" i="3" s="1"/>
  <c r="K423" i="3"/>
  <c r="N423" i="3"/>
  <c r="O423" i="3"/>
  <c r="Q423" i="3"/>
  <c r="A424" i="3"/>
  <c r="B424" i="3"/>
  <c r="C424" i="3"/>
  <c r="D424" i="3"/>
  <c r="I424" i="3"/>
  <c r="J424" i="3"/>
  <c r="K424" i="3"/>
  <c r="N424" i="3"/>
  <c r="O424" i="3"/>
  <c r="L424" i="3" s="1"/>
  <c r="Q424" i="3"/>
  <c r="A425" i="3"/>
  <c r="B425" i="3"/>
  <c r="C425" i="3"/>
  <c r="D425" i="3"/>
  <c r="L425" i="3" s="1"/>
  <c r="I425" i="3"/>
  <c r="J425" i="3"/>
  <c r="K425" i="3"/>
  <c r="N425" i="3"/>
  <c r="O425" i="3"/>
  <c r="Q425" i="3"/>
  <c r="A426" i="3"/>
  <c r="B426" i="3"/>
  <c r="C426" i="3"/>
  <c r="D426" i="3"/>
  <c r="G426" i="3"/>
  <c r="J426" i="3"/>
  <c r="I426" i="3" s="1"/>
  <c r="K426" i="3"/>
  <c r="N426" i="3"/>
  <c r="O426" i="3"/>
  <c r="Q426" i="3"/>
  <c r="A427" i="3"/>
  <c r="B427" i="3"/>
  <c r="C427" i="3"/>
  <c r="D427" i="3"/>
  <c r="G427" i="3" s="1"/>
  <c r="J427" i="3"/>
  <c r="I427" i="3" s="1"/>
  <c r="K427" i="3"/>
  <c r="N427" i="3"/>
  <c r="O427" i="3"/>
  <c r="Q427" i="3"/>
  <c r="A428" i="3"/>
  <c r="B428" i="3"/>
  <c r="C428" i="3"/>
  <c r="D428" i="3"/>
  <c r="J428" i="3"/>
  <c r="I428" i="3" s="1"/>
  <c r="K428" i="3"/>
  <c r="N428" i="3"/>
  <c r="O428" i="3"/>
  <c r="Q428" i="3"/>
  <c r="A429" i="3"/>
  <c r="B429" i="3"/>
  <c r="C429" i="3"/>
  <c r="D429" i="3"/>
  <c r="J429" i="3"/>
  <c r="I429" i="3" s="1"/>
  <c r="K429" i="3"/>
  <c r="M429" i="3"/>
  <c r="N429" i="3"/>
  <c r="O429" i="3"/>
  <c r="Q429" i="3"/>
  <c r="A430" i="3"/>
  <c r="B430" i="3"/>
  <c r="C430" i="3"/>
  <c r="D430" i="3"/>
  <c r="J430" i="3"/>
  <c r="I430" i="3" s="1"/>
  <c r="K430" i="3"/>
  <c r="N430" i="3"/>
  <c r="O430" i="3"/>
  <c r="Q430" i="3"/>
  <c r="A431" i="3"/>
  <c r="B431" i="3"/>
  <c r="C431" i="3"/>
  <c r="D431" i="3"/>
  <c r="J431" i="3"/>
  <c r="I431" i="3" s="1"/>
  <c r="K431" i="3"/>
  <c r="N431" i="3"/>
  <c r="O431" i="3"/>
  <c r="Q431" i="3"/>
  <c r="A432" i="3"/>
  <c r="B432" i="3"/>
  <c r="C432" i="3"/>
  <c r="D432" i="3"/>
  <c r="J432" i="3"/>
  <c r="I432" i="3" s="1"/>
  <c r="K432" i="3"/>
  <c r="M432" i="3"/>
  <c r="N432" i="3"/>
  <c r="O432" i="3"/>
  <c r="L432" i="3" s="1"/>
  <c r="Q432" i="3"/>
  <c r="A433" i="3"/>
  <c r="B433" i="3"/>
  <c r="C433" i="3"/>
  <c r="D433" i="3"/>
  <c r="J433" i="3"/>
  <c r="I433" i="3" s="1"/>
  <c r="K433" i="3"/>
  <c r="N433" i="3"/>
  <c r="O433" i="3"/>
  <c r="Q433" i="3"/>
  <c r="A434" i="3"/>
  <c r="B434" i="3"/>
  <c r="C434" i="3"/>
  <c r="G434" i="3" s="1"/>
  <c r="D434" i="3"/>
  <c r="J434" i="3"/>
  <c r="I434" i="3" s="1"/>
  <c r="K434" i="3"/>
  <c r="N434" i="3"/>
  <c r="O434" i="3"/>
  <c r="Q434" i="3"/>
  <c r="A435" i="3"/>
  <c r="B435" i="3"/>
  <c r="C435" i="3"/>
  <c r="F435" i="3" s="1"/>
  <c r="D435" i="3"/>
  <c r="G435" i="3"/>
  <c r="J435" i="3"/>
  <c r="I435" i="3" s="1"/>
  <c r="K435" i="3"/>
  <c r="N435" i="3"/>
  <c r="O435" i="3"/>
  <c r="L435" i="3" s="1"/>
  <c r="Q435" i="3"/>
  <c r="A436" i="3"/>
  <c r="B436" i="3"/>
  <c r="C436" i="3"/>
  <c r="D436" i="3"/>
  <c r="I436" i="3"/>
  <c r="J436" i="3"/>
  <c r="K436" i="3"/>
  <c r="N436" i="3"/>
  <c r="O436" i="3"/>
  <c r="Q436" i="3"/>
  <c r="A437" i="3"/>
  <c r="B437" i="3"/>
  <c r="C437" i="3"/>
  <c r="F437" i="3" s="1"/>
  <c r="D437" i="3"/>
  <c r="E437" i="3"/>
  <c r="J437" i="3"/>
  <c r="I437" i="3" s="1"/>
  <c r="K437" i="3"/>
  <c r="N437" i="3"/>
  <c r="O437" i="3"/>
  <c r="Q437" i="3"/>
  <c r="A438" i="3"/>
  <c r="B438" i="3"/>
  <c r="C438" i="3"/>
  <c r="D438" i="3"/>
  <c r="J438" i="3"/>
  <c r="I438" i="3" s="1"/>
  <c r="K438" i="3"/>
  <c r="N438" i="3"/>
  <c r="O438" i="3"/>
  <c r="Q438" i="3"/>
  <c r="A439" i="3"/>
  <c r="B439" i="3"/>
  <c r="C439" i="3"/>
  <c r="D439" i="3"/>
  <c r="J439" i="3"/>
  <c r="I439" i="3" s="1"/>
  <c r="K439" i="3"/>
  <c r="N439" i="3"/>
  <c r="O439" i="3"/>
  <c r="Q439" i="3"/>
  <c r="A440" i="3"/>
  <c r="B440" i="3"/>
  <c r="C440" i="3"/>
  <c r="F440" i="3" s="1"/>
  <c r="D440" i="3"/>
  <c r="J440" i="3"/>
  <c r="I440" i="3" s="1"/>
  <c r="K440" i="3"/>
  <c r="N440" i="3"/>
  <c r="O440" i="3"/>
  <c r="Q440" i="3"/>
  <c r="A441" i="3"/>
  <c r="B441" i="3"/>
  <c r="C441" i="3"/>
  <c r="D441" i="3"/>
  <c r="J441" i="3"/>
  <c r="I441" i="3" s="1"/>
  <c r="K441" i="3"/>
  <c r="N441" i="3"/>
  <c r="O441" i="3"/>
  <c r="L441" i="3" s="1"/>
  <c r="Q441" i="3"/>
  <c r="A442" i="3"/>
  <c r="B442" i="3"/>
  <c r="C442" i="3"/>
  <c r="G442" i="3" s="1"/>
  <c r="D442" i="3"/>
  <c r="J442" i="3"/>
  <c r="I442" i="3" s="1"/>
  <c r="K442" i="3"/>
  <c r="N442" i="3"/>
  <c r="O442" i="3"/>
  <c r="Q442" i="3"/>
  <c r="A443" i="3"/>
  <c r="B443" i="3"/>
  <c r="C443" i="3"/>
  <c r="F443" i="3" s="1"/>
  <c r="D443" i="3"/>
  <c r="J443" i="3"/>
  <c r="I443" i="3" s="1"/>
  <c r="K443" i="3"/>
  <c r="N443" i="3"/>
  <c r="O443" i="3"/>
  <c r="L443" i="3" s="1"/>
  <c r="Q443" i="3"/>
  <c r="A444" i="3"/>
  <c r="B444" i="3"/>
  <c r="C444" i="3"/>
  <c r="G444" i="3" s="1"/>
  <c r="D444" i="3"/>
  <c r="J444" i="3"/>
  <c r="I444" i="3" s="1"/>
  <c r="K444" i="3"/>
  <c r="M444" i="3"/>
  <c r="N444" i="3"/>
  <c r="O444" i="3"/>
  <c r="Q444" i="3"/>
  <c r="A445" i="3"/>
  <c r="B445" i="3"/>
  <c r="C445" i="3"/>
  <c r="D445" i="3"/>
  <c r="I445" i="3"/>
  <c r="J445" i="3"/>
  <c r="K445" i="3"/>
  <c r="L445" i="3"/>
  <c r="N445" i="3"/>
  <c r="O445" i="3"/>
  <c r="Q445" i="3"/>
  <c r="A446" i="3"/>
  <c r="B446" i="3"/>
  <c r="C446" i="3"/>
  <c r="D446" i="3"/>
  <c r="I446" i="3"/>
  <c r="J446" i="3"/>
  <c r="K446" i="3"/>
  <c r="N446" i="3"/>
  <c r="O446" i="3"/>
  <c r="Q446" i="3"/>
  <c r="A447" i="3"/>
  <c r="B447" i="3"/>
  <c r="C447" i="3"/>
  <c r="D447" i="3"/>
  <c r="J447" i="3"/>
  <c r="I447" i="3" s="1"/>
  <c r="K447" i="3"/>
  <c r="L447" i="3"/>
  <c r="M447" i="3"/>
  <c r="N447" i="3"/>
  <c r="O447" i="3"/>
  <c r="Q447" i="3"/>
  <c r="A448" i="3"/>
  <c r="B448" i="3"/>
  <c r="C448" i="3"/>
  <c r="D448" i="3"/>
  <c r="I448" i="3"/>
  <c r="J448" i="3"/>
  <c r="K448" i="3"/>
  <c r="N448" i="3"/>
  <c r="O448" i="3"/>
  <c r="Q448" i="3"/>
  <c r="A449" i="3"/>
  <c r="B449" i="3"/>
  <c r="C449" i="3"/>
  <c r="D449" i="3"/>
  <c r="J449" i="3"/>
  <c r="I449" i="3" s="1"/>
  <c r="K449" i="3"/>
  <c r="N449" i="3"/>
  <c r="O449" i="3"/>
  <c r="Q449" i="3"/>
  <c r="A450" i="3"/>
  <c r="B450" i="3"/>
  <c r="C450" i="3"/>
  <c r="M450" i="3" s="1"/>
  <c r="D450" i="3"/>
  <c r="J450" i="3"/>
  <c r="I450" i="3" s="1"/>
  <c r="K450" i="3"/>
  <c r="N450" i="3"/>
  <c r="O450" i="3"/>
  <c r="Q450" i="3"/>
  <c r="A451" i="3"/>
  <c r="B451" i="3"/>
  <c r="C451" i="3"/>
  <c r="D451" i="3"/>
  <c r="L451" i="3" s="1"/>
  <c r="I451" i="3"/>
  <c r="J451" i="3"/>
  <c r="K451" i="3"/>
  <c r="N451" i="3"/>
  <c r="O451" i="3"/>
  <c r="Q451" i="3"/>
  <c r="A452" i="3"/>
  <c r="B452" i="3"/>
  <c r="C452" i="3"/>
  <c r="D452" i="3"/>
  <c r="L452" i="3" s="1"/>
  <c r="J452" i="3"/>
  <c r="I452" i="3" s="1"/>
  <c r="K452" i="3"/>
  <c r="N452" i="3"/>
  <c r="O452" i="3"/>
  <c r="Q452" i="3"/>
  <c r="A453" i="3"/>
  <c r="B453" i="3"/>
  <c r="C453" i="3"/>
  <c r="D453" i="3"/>
  <c r="J453" i="3"/>
  <c r="I453" i="3" s="1"/>
  <c r="K453" i="3"/>
  <c r="N453" i="3"/>
  <c r="O453" i="3"/>
  <c r="Q453" i="3"/>
  <c r="A454" i="3"/>
  <c r="B454" i="3"/>
  <c r="C454" i="3"/>
  <c r="D454" i="3"/>
  <c r="I454" i="3"/>
  <c r="J454" i="3"/>
  <c r="K454" i="3"/>
  <c r="N454" i="3"/>
  <c r="O454" i="3"/>
  <c r="Q454" i="3"/>
  <c r="A455" i="3"/>
  <c r="B455" i="3"/>
  <c r="C455" i="3"/>
  <c r="D455" i="3"/>
  <c r="J455" i="3"/>
  <c r="I455" i="3" s="1"/>
  <c r="K455" i="3"/>
  <c r="N455" i="3"/>
  <c r="O455" i="3"/>
  <c r="Q455" i="3"/>
  <c r="A456" i="3"/>
  <c r="B456" i="3"/>
  <c r="C456" i="3"/>
  <c r="D456" i="3"/>
  <c r="L456" i="3" s="1"/>
  <c r="J456" i="3"/>
  <c r="I456" i="3" s="1"/>
  <c r="K456" i="3"/>
  <c r="N456" i="3"/>
  <c r="O456" i="3"/>
  <c r="Q456" i="3"/>
  <c r="A457" i="3"/>
  <c r="B457" i="3"/>
  <c r="C457" i="3"/>
  <c r="D457" i="3"/>
  <c r="J457" i="3"/>
  <c r="I457" i="3" s="1"/>
  <c r="K457" i="3"/>
  <c r="N457" i="3"/>
  <c r="O457" i="3"/>
  <c r="Q457" i="3"/>
  <c r="A458" i="3"/>
  <c r="B458" i="3"/>
  <c r="C458" i="3"/>
  <c r="D458" i="3"/>
  <c r="J458" i="3"/>
  <c r="I458" i="3" s="1"/>
  <c r="K458" i="3"/>
  <c r="N458" i="3"/>
  <c r="O458" i="3"/>
  <c r="Q458" i="3"/>
  <c r="A459" i="3"/>
  <c r="B459" i="3"/>
  <c r="C459" i="3"/>
  <c r="D459" i="3"/>
  <c r="E459" i="3" s="1"/>
  <c r="I459" i="3"/>
  <c r="J459" i="3"/>
  <c r="K459" i="3"/>
  <c r="N459" i="3"/>
  <c r="O459" i="3"/>
  <c r="Q459" i="3"/>
  <c r="A460" i="3"/>
  <c r="B460" i="3"/>
  <c r="C460" i="3"/>
  <c r="D460" i="3"/>
  <c r="J460" i="3"/>
  <c r="I460" i="3" s="1"/>
  <c r="K460" i="3"/>
  <c r="N460" i="3"/>
  <c r="O460" i="3"/>
  <c r="L460" i="3" s="1"/>
  <c r="Q460" i="3"/>
  <c r="A461" i="3"/>
  <c r="B461" i="3"/>
  <c r="C461" i="3"/>
  <c r="D461" i="3"/>
  <c r="J461" i="3"/>
  <c r="I461" i="3" s="1"/>
  <c r="K461" i="3"/>
  <c r="N461" i="3"/>
  <c r="O461" i="3"/>
  <c r="Q461" i="3"/>
  <c r="A462" i="3"/>
  <c r="B462" i="3"/>
  <c r="C462" i="3"/>
  <c r="D462" i="3"/>
  <c r="F462" i="3" s="1"/>
  <c r="J462" i="3"/>
  <c r="I462" i="3" s="1"/>
  <c r="K462" i="3"/>
  <c r="N462" i="3"/>
  <c r="O462" i="3"/>
  <c r="Q462" i="3"/>
  <c r="A463" i="3"/>
  <c r="B463" i="3"/>
  <c r="C463" i="3"/>
  <c r="D463" i="3"/>
  <c r="G463" i="3"/>
  <c r="J463" i="3"/>
  <c r="I463" i="3" s="1"/>
  <c r="K463" i="3"/>
  <c r="N463" i="3"/>
  <c r="O463" i="3"/>
  <c r="Q463" i="3"/>
  <c r="A464" i="3"/>
  <c r="B464" i="3"/>
  <c r="C464" i="3"/>
  <c r="D464" i="3"/>
  <c r="J464" i="3"/>
  <c r="I464" i="3" s="1"/>
  <c r="K464" i="3"/>
  <c r="N464" i="3"/>
  <c r="O464" i="3"/>
  <c r="Q464" i="3"/>
  <c r="A465" i="3"/>
  <c r="B465" i="3"/>
  <c r="C465" i="3"/>
  <c r="D465" i="3"/>
  <c r="J465" i="3"/>
  <c r="I465" i="3" s="1"/>
  <c r="K465" i="3"/>
  <c r="L465" i="3"/>
  <c r="N465" i="3"/>
  <c r="O465" i="3"/>
  <c r="Q465" i="3"/>
  <c r="A466" i="3"/>
  <c r="B466" i="3"/>
  <c r="C466" i="3"/>
  <c r="G466" i="3" s="1"/>
  <c r="D466" i="3"/>
  <c r="E466" i="3"/>
  <c r="H466" i="3" s="1"/>
  <c r="J466" i="3"/>
  <c r="I466" i="3" s="1"/>
  <c r="K466" i="3"/>
  <c r="N466" i="3"/>
  <c r="O466" i="3"/>
  <c r="Q466" i="3"/>
  <c r="A467" i="3"/>
  <c r="B467" i="3"/>
  <c r="C467" i="3"/>
  <c r="G467" i="3" s="1"/>
  <c r="D467" i="3"/>
  <c r="J467" i="3"/>
  <c r="I467" i="3" s="1"/>
  <c r="K467" i="3"/>
  <c r="N467" i="3"/>
  <c r="O467" i="3"/>
  <c r="Q467" i="3"/>
  <c r="A468" i="3"/>
  <c r="B468" i="3"/>
  <c r="C468" i="3"/>
  <c r="E468" i="3" s="1"/>
  <c r="H468" i="3" s="1"/>
  <c r="D468" i="3"/>
  <c r="J468" i="3"/>
  <c r="I468" i="3" s="1"/>
  <c r="K468" i="3"/>
  <c r="L468" i="3"/>
  <c r="N468" i="3"/>
  <c r="O468" i="3"/>
  <c r="Q468" i="3"/>
  <c r="A469" i="3"/>
  <c r="B469" i="3"/>
  <c r="C469" i="3"/>
  <c r="D469" i="3"/>
  <c r="G469" i="3" s="1"/>
  <c r="J469" i="3"/>
  <c r="I469" i="3" s="1"/>
  <c r="K469" i="3"/>
  <c r="N469" i="3"/>
  <c r="O469" i="3"/>
  <c r="Q469" i="3"/>
  <c r="A470" i="3"/>
  <c r="B470" i="3"/>
  <c r="C470" i="3"/>
  <c r="D470" i="3"/>
  <c r="J470" i="3"/>
  <c r="I470" i="3" s="1"/>
  <c r="K470" i="3"/>
  <c r="N470" i="3"/>
  <c r="O470" i="3"/>
  <c r="Q470" i="3"/>
  <c r="A471" i="3"/>
  <c r="B471" i="3"/>
  <c r="C471" i="3"/>
  <c r="G471" i="3" s="1"/>
  <c r="D471" i="3"/>
  <c r="J471" i="3"/>
  <c r="I471" i="3" s="1"/>
  <c r="K471" i="3"/>
  <c r="N471" i="3"/>
  <c r="O471" i="3"/>
  <c r="L471" i="3" s="1"/>
  <c r="Q471" i="3"/>
  <c r="A472" i="3"/>
  <c r="B472" i="3"/>
  <c r="C472" i="3"/>
  <c r="D472" i="3"/>
  <c r="G472" i="3" s="1"/>
  <c r="J472" i="3"/>
  <c r="I472" i="3" s="1"/>
  <c r="K472" i="3"/>
  <c r="N472" i="3"/>
  <c r="O472" i="3"/>
  <c r="Q472" i="3"/>
  <c r="A473" i="3"/>
  <c r="B473" i="3"/>
  <c r="C473" i="3"/>
  <c r="D473" i="3"/>
  <c r="J473" i="3"/>
  <c r="I473" i="3" s="1"/>
  <c r="K473" i="3"/>
  <c r="N473" i="3"/>
  <c r="O473" i="3"/>
  <c r="Q473" i="3"/>
  <c r="A474" i="3"/>
  <c r="B474" i="3"/>
  <c r="C474" i="3"/>
  <c r="D474" i="3"/>
  <c r="J474" i="3"/>
  <c r="I474" i="3" s="1"/>
  <c r="K474" i="3"/>
  <c r="N474" i="3"/>
  <c r="O474" i="3"/>
  <c r="Q474" i="3"/>
  <c r="A475" i="3"/>
  <c r="B475" i="3"/>
  <c r="C475" i="3"/>
  <c r="D475" i="3"/>
  <c r="J475" i="3"/>
  <c r="I475" i="3" s="1"/>
  <c r="K475" i="3"/>
  <c r="N475" i="3"/>
  <c r="O475" i="3"/>
  <c r="Q475" i="3"/>
  <c r="A476" i="3"/>
  <c r="B476" i="3"/>
  <c r="C476" i="3"/>
  <c r="D476" i="3"/>
  <c r="L476" i="3" s="1"/>
  <c r="I476" i="3"/>
  <c r="J476" i="3"/>
  <c r="K476" i="3"/>
  <c r="N476" i="3"/>
  <c r="O476" i="3"/>
  <c r="Q476" i="3"/>
  <c r="A477" i="3"/>
  <c r="B477" i="3"/>
  <c r="C477" i="3"/>
  <c r="D477" i="3"/>
  <c r="J477" i="3"/>
  <c r="I477" i="3" s="1"/>
  <c r="K477" i="3"/>
  <c r="N477" i="3"/>
  <c r="O477" i="3"/>
  <c r="Q477" i="3"/>
  <c r="A478" i="3"/>
  <c r="B478" i="3"/>
  <c r="C478" i="3"/>
  <c r="D478" i="3"/>
  <c r="I478" i="3"/>
  <c r="J478" i="3"/>
  <c r="K478" i="3"/>
  <c r="N478" i="3"/>
  <c r="O478" i="3"/>
  <c r="L478" i="3" s="1"/>
  <c r="Q478" i="3"/>
  <c r="A479" i="3"/>
  <c r="B479" i="3"/>
  <c r="C479" i="3"/>
  <c r="D479" i="3"/>
  <c r="J479" i="3"/>
  <c r="I479" i="3" s="1"/>
  <c r="K479" i="3"/>
  <c r="N479" i="3"/>
  <c r="O479" i="3"/>
  <c r="Q479" i="3"/>
  <c r="A480" i="3"/>
  <c r="B480" i="3"/>
  <c r="C480" i="3"/>
  <c r="D480" i="3"/>
  <c r="J480" i="3"/>
  <c r="I480" i="3" s="1"/>
  <c r="K480" i="3"/>
  <c r="L480" i="3"/>
  <c r="N480" i="3"/>
  <c r="O480" i="3"/>
  <c r="Q480" i="3"/>
  <c r="A481" i="3"/>
  <c r="B481" i="3"/>
  <c r="C481" i="3"/>
  <c r="F481" i="3" s="1"/>
  <c r="D481" i="3"/>
  <c r="J481" i="3"/>
  <c r="I481" i="3" s="1"/>
  <c r="K481" i="3"/>
  <c r="N481" i="3"/>
  <c r="O481" i="3"/>
  <c r="Q481" i="3"/>
  <c r="A482" i="3"/>
  <c r="B482" i="3"/>
  <c r="C482" i="3"/>
  <c r="D482" i="3"/>
  <c r="J482" i="3"/>
  <c r="I482" i="3" s="1"/>
  <c r="K482" i="3"/>
  <c r="N482" i="3"/>
  <c r="O482" i="3"/>
  <c r="Q482" i="3"/>
  <c r="A483" i="3"/>
  <c r="B483" i="3"/>
  <c r="C483" i="3"/>
  <c r="D483" i="3"/>
  <c r="J483" i="3"/>
  <c r="I483" i="3" s="1"/>
  <c r="K483" i="3"/>
  <c r="N483" i="3"/>
  <c r="O483" i="3"/>
  <c r="L483" i="3" s="1"/>
  <c r="Q483" i="3"/>
  <c r="A484" i="3"/>
  <c r="B484" i="3"/>
  <c r="C484" i="3"/>
  <c r="D484" i="3"/>
  <c r="J484" i="3"/>
  <c r="I484" i="3" s="1"/>
  <c r="K484" i="3"/>
  <c r="N484" i="3"/>
  <c r="O484" i="3"/>
  <c r="L484" i="3" s="1"/>
  <c r="Q484" i="3"/>
  <c r="A485" i="3"/>
  <c r="B485" i="3"/>
  <c r="C485" i="3"/>
  <c r="D485" i="3"/>
  <c r="G485" i="3" s="1"/>
  <c r="J485" i="3"/>
  <c r="I485" i="3" s="1"/>
  <c r="K485" i="3"/>
  <c r="N485" i="3"/>
  <c r="O485" i="3"/>
  <c r="Q485" i="3"/>
  <c r="A486" i="3"/>
  <c r="B486" i="3"/>
  <c r="C486" i="3"/>
  <c r="W486" i="3" s="1"/>
  <c r="D486" i="3"/>
  <c r="J486" i="3"/>
  <c r="I486" i="3" s="1"/>
  <c r="K486" i="3"/>
  <c r="N486" i="3"/>
  <c r="O486" i="3"/>
  <c r="L486" i="3" s="1"/>
  <c r="Q486" i="3"/>
  <c r="A487" i="3"/>
  <c r="B487" i="3"/>
  <c r="C487" i="3"/>
  <c r="G487" i="3" s="1"/>
  <c r="D487" i="3"/>
  <c r="J487" i="3"/>
  <c r="I487" i="3" s="1"/>
  <c r="K487" i="3"/>
  <c r="N487" i="3"/>
  <c r="O487" i="3"/>
  <c r="Q487" i="3"/>
  <c r="A488" i="3"/>
  <c r="B488" i="3"/>
  <c r="C488" i="3"/>
  <c r="D488" i="3"/>
  <c r="G488" i="3" s="1"/>
  <c r="J488" i="3"/>
  <c r="I488" i="3" s="1"/>
  <c r="K488" i="3"/>
  <c r="N488" i="3"/>
  <c r="O488" i="3"/>
  <c r="Q488" i="3"/>
  <c r="A489" i="3"/>
  <c r="B489" i="3"/>
  <c r="C489" i="3"/>
  <c r="F489" i="3" s="1"/>
  <c r="D489" i="3"/>
  <c r="I489" i="3"/>
  <c r="J489" i="3"/>
  <c r="K489" i="3"/>
  <c r="N489" i="3"/>
  <c r="O489" i="3"/>
  <c r="Q489" i="3"/>
  <c r="A490" i="3"/>
  <c r="B490" i="3"/>
  <c r="C490" i="3"/>
  <c r="D490" i="3"/>
  <c r="G490" i="3" s="1"/>
  <c r="E490" i="3"/>
  <c r="J490" i="3"/>
  <c r="I490" i="3" s="1"/>
  <c r="K490" i="3"/>
  <c r="N490" i="3"/>
  <c r="O490" i="3"/>
  <c r="Q490" i="3"/>
  <c r="A491" i="3"/>
  <c r="B491" i="3"/>
  <c r="C491" i="3"/>
  <c r="D491" i="3"/>
  <c r="J491" i="3"/>
  <c r="I491" i="3" s="1"/>
  <c r="K491" i="3"/>
  <c r="N491" i="3"/>
  <c r="O491" i="3"/>
  <c r="Q491" i="3"/>
  <c r="A492" i="3"/>
  <c r="B492" i="3"/>
  <c r="C492" i="3"/>
  <c r="D492" i="3"/>
  <c r="I492" i="3"/>
  <c r="J492" i="3"/>
  <c r="K492" i="3"/>
  <c r="N492" i="3"/>
  <c r="O492" i="3"/>
  <c r="L492" i="3" s="1"/>
  <c r="Q492" i="3"/>
  <c r="A493" i="3"/>
  <c r="B493" i="3"/>
  <c r="C493" i="3"/>
  <c r="D493" i="3"/>
  <c r="G493" i="3"/>
  <c r="J493" i="3"/>
  <c r="I493" i="3" s="1"/>
  <c r="K493" i="3"/>
  <c r="N493" i="3"/>
  <c r="O493" i="3"/>
  <c r="Q493" i="3"/>
  <c r="A494" i="3"/>
  <c r="B494" i="3"/>
  <c r="C494" i="3"/>
  <c r="D494" i="3"/>
  <c r="I494" i="3"/>
  <c r="J494" i="3"/>
  <c r="K494" i="3"/>
  <c r="N494" i="3"/>
  <c r="O494" i="3"/>
  <c r="Q494" i="3"/>
  <c r="A495" i="3"/>
  <c r="B495" i="3"/>
  <c r="C495" i="3"/>
  <c r="F495" i="3" s="1"/>
  <c r="D495" i="3"/>
  <c r="J495" i="3"/>
  <c r="I495" i="3" s="1"/>
  <c r="K495" i="3"/>
  <c r="N495" i="3"/>
  <c r="O495" i="3"/>
  <c r="Q495" i="3"/>
  <c r="A496" i="3"/>
  <c r="B496" i="3"/>
  <c r="C496" i="3"/>
  <c r="W496" i="3" s="1"/>
  <c r="D496" i="3"/>
  <c r="J496" i="3"/>
  <c r="I496" i="3" s="1"/>
  <c r="K496" i="3"/>
  <c r="N496" i="3"/>
  <c r="O496" i="3"/>
  <c r="Q496" i="3"/>
  <c r="A497" i="3"/>
  <c r="B497" i="3"/>
  <c r="C497" i="3"/>
  <c r="D497" i="3"/>
  <c r="J497" i="3"/>
  <c r="I497" i="3" s="1"/>
  <c r="K497" i="3"/>
  <c r="N497" i="3"/>
  <c r="O497" i="3"/>
  <c r="L497" i="3" s="1"/>
  <c r="Q497" i="3"/>
  <c r="A498" i="3"/>
  <c r="B498" i="3"/>
  <c r="C498" i="3"/>
  <c r="D498" i="3"/>
  <c r="J498" i="3"/>
  <c r="I498" i="3" s="1"/>
  <c r="K498" i="3"/>
  <c r="N498" i="3"/>
  <c r="O498" i="3"/>
  <c r="Q498" i="3"/>
  <c r="A499" i="3"/>
  <c r="B499" i="3"/>
  <c r="C499" i="3"/>
  <c r="G499" i="3" s="1"/>
  <c r="D499" i="3"/>
  <c r="J499" i="3"/>
  <c r="I499" i="3" s="1"/>
  <c r="K499" i="3"/>
  <c r="N499" i="3"/>
  <c r="O499" i="3"/>
  <c r="Q499" i="3"/>
  <c r="A500" i="3"/>
  <c r="B500" i="3"/>
  <c r="C500" i="3"/>
  <c r="D500" i="3"/>
  <c r="J500" i="3"/>
  <c r="I500" i="3" s="1"/>
  <c r="K500" i="3"/>
  <c r="N500" i="3"/>
  <c r="O500" i="3"/>
  <c r="L500" i="3" s="1"/>
  <c r="Q500" i="3"/>
  <c r="A501" i="3"/>
  <c r="B501" i="3"/>
  <c r="C501" i="3"/>
  <c r="G501" i="3" s="1"/>
  <c r="D501" i="3"/>
  <c r="J501" i="3"/>
  <c r="I501" i="3" s="1"/>
  <c r="K501" i="3"/>
  <c r="N501" i="3"/>
  <c r="O501" i="3"/>
  <c r="Q501" i="3"/>
  <c r="A502" i="3"/>
  <c r="B502" i="3"/>
  <c r="C502" i="3"/>
  <c r="G502" i="3" s="1"/>
  <c r="D502" i="3"/>
  <c r="F502" i="3"/>
  <c r="I502" i="3"/>
  <c r="J502" i="3"/>
  <c r="K502" i="3"/>
  <c r="N502" i="3"/>
  <c r="O502" i="3"/>
  <c r="Q502" i="3"/>
  <c r="A503" i="3"/>
  <c r="B503" i="3"/>
  <c r="C503" i="3"/>
  <c r="E503" i="3" s="1"/>
  <c r="D503" i="3"/>
  <c r="F503" i="3"/>
  <c r="H503" i="3"/>
  <c r="J503" i="3"/>
  <c r="I503" i="3" s="1"/>
  <c r="K503" i="3"/>
  <c r="N503" i="3"/>
  <c r="O503" i="3"/>
  <c r="Q503" i="3"/>
  <c r="A504" i="3"/>
  <c r="B504" i="3"/>
  <c r="C504" i="3"/>
  <c r="D504" i="3"/>
  <c r="J504" i="3"/>
  <c r="I504" i="3" s="1"/>
  <c r="K504" i="3"/>
  <c r="N504" i="3"/>
  <c r="O504" i="3"/>
  <c r="Q504" i="3"/>
  <c r="A505" i="3"/>
  <c r="B505" i="3"/>
  <c r="C505" i="3"/>
  <c r="F505" i="3" s="1"/>
  <c r="D505" i="3"/>
  <c r="I505" i="3"/>
  <c r="J505" i="3"/>
  <c r="K505" i="3"/>
  <c r="N505" i="3"/>
  <c r="O505" i="3"/>
  <c r="L505" i="3" s="1"/>
  <c r="Q505" i="3"/>
  <c r="A506" i="3"/>
  <c r="B506" i="3"/>
  <c r="C506" i="3"/>
  <c r="D506" i="3"/>
  <c r="E506" i="3"/>
  <c r="G506" i="3"/>
  <c r="J506" i="3"/>
  <c r="I506" i="3" s="1"/>
  <c r="K506" i="3"/>
  <c r="N506" i="3"/>
  <c r="O506" i="3"/>
  <c r="L506" i="3" s="1"/>
  <c r="Q506" i="3"/>
  <c r="A507" i="3"/>
  <c r="B507" i="3"/>
  <c r="C507" i="3"/>
  <c r="G507" i="3" s="1"/>
  <c r="D507" i="3"/>
  <c r="J507" i="3"/>
  <c r="I507" i="3" s="1"/>
  <c r="K507" i="3"/>
  <c r="N507" i="3"/>
  <c r="O507" i="3"/>
  <c r="Q507" i="3"/>
  <c r="A508" i="3"/>
  <c r="B508" i="3"/>
  <c r="C508" i="3"/>
  <c r="D508" i="3"/>
  <c r="J508" i="3"/>
  <c r="I508" i="3" s="1"/>
  <c r="K508" i="3"/>
  <c r="N508" i="3"/>
  <c r="O508" i="3"/>
  <c r="Q508" i="3"/>
  <c r="A509" i="3"/>
  <c r="B509" i="3"/>
  <c r="C509" i="3"/>
  <c r="G509" i="3" s="1"/>
  <c r="D509" i="3"/>
  <c r="J509" i="3"/>
  <c r="I509" i="3" s="1"/>
  <c r="K509" i="3"/>
  <c r="N509" i="3"/>
  <c r="O509" i="3"/>
  <c r="Q509" i="3"/>
  <c r="A510" i="3"/>
  <c r="B510" i="3"/>
  <c r="C510" i="3"/>
  <c r="D510" i="3"/>
  <c r="I510" i="3"/>
  <c r="J510" i="3"/>
  <c r="K510" i="3"/>
  <c r="N510" i="3"/>
  <c r="O510" i="3"/>
  <c r="Q510" i="3"/>
  <c r="A511" i="3"/>
  <c r="B511" i="3"/>
  <c r="C511" i="3"/>
  <c r="D511" i="3"/>
  <c r="J511" i="3"/>
  <c r="I511" i="3" s="1"/>
  <c r="K511" i="3"/>
  <c r="N511" i="3"/>
  <c r="O511" i="3"/>
  <c r="L511" i="3" s="1"/>
  <c r="Q511" i="3"/>
  <c r="A512" i="3"/>
  <c r="B512" i="3"/>
  <c r="C512" i="3"/>
  <c r="D512" i="3"/>
  <c r="G512" i="3" s="1"/>
  <c r="J512" i="3"/>
  <c r="I512" i="3" s="1"/>
  <c r="K512" i="3"/>
  <c r="N512" i="3"/>
  <c r="O512" i="3"/>
  <c r="Q512" i="3"/>
  <c r="A513" i="3"/>
  <c r="B513" i="3"/>
  <c r="C513" i="3"/>
  <c r="D513" i="3"/>
  <c r="J513" i="3"/>
  <c r="I513" i="3" s="1"/>
  <c r="K513" i="3"/>
  <c r="N513" i="3"/>
  <c r="O513" i="3"/>
  <c r="Q513" i="3"/>
  <c r="A514" i="3"/>
  <c r="B514" i="3"/>
  <c r="C514" i="3"/>
  <c r="D514" i="3"/>
  <c r="J514" i="3"/>
  <c r="I514" i="3" s="1"/>
  <c r="K514" i="3"/>
  <c r="N514" i="3"/>
  <c r="O514" i="3"/>
  <c r="Q514" i="3"/>
  <c r="A515" i="3"/>
  <c r="B515" i="3"/>
  <c r="C515" i="3"/>
  <c r="F515" i="3" s="1"/>
  <c r="D515" i="3"/>
  <c r="L515" i="3" s="1"/>
  <c r="J515" i="3"/>
  <c r="I515" i="3" s="1"/>
  <c r="K515" i="3"/>
  <c r="N515" i="3"/>
  <c r="O515" i="3"/>
  <c r="Q515" i="3"/>
  <c r="A516" i="3"/>
  <c r="B516" i="3"/>
  <c r="C516" i="3"/>
  <c r="D516" i="3"/>
  <c r="J516" i="3"/>
  <c r="I516" i="3" s="1"/>
  <c r="K516" i="3"/>
  <c r="N516" i="3"/>
  <c r="O516" i="3"/>
  <c r="Q516" i="3"/>
  <c r="A517" i="3"/>
  <c r="B517" i="3"/>
  <c r="C517" i="3"/>
  <c r="D517" i="3"/>
  <c r="J517" i="3"/>
  <c r="I517" i="3" s="1"/>
  <c r="K517" i="3"/>
  <c r="N517" i="3"/>
  <c r="O517" i="3"/>
  <c r="Q517" i="3"/>
  <c r="A518" i="3"/>
  <c r="B518" i="3"/>
  <c r="C518" i="3"/>
  <c r="D518" i="3"/>
  <c r="J518" i="3"/>
  <c r="I518" i="3" s="1"/>
  <c r="K518" i="3"/>
  <c r="N518" i="3"/>
  <c r="O518" i="3"/>
  <c r="Q518" i="3"/>
  <c r="A519" i="3"/>
  <c r="B519" i="3"/>
  <c r="C519" i="3"/>
  <c r="F519" i="3" s="1"/>
  <c r="D519" i="3"/>
  <c r="G519" i="3"/>
  <c r="J519" i="3"/>
  <c r="I519" i="3" s="1"/>
  <c r="K519" i="3"/>
  <c r="N519" i="3"/>
  <c r="O519" i="3"/>
  <c r="L519" i="3" s="1"/>
  <c r="Q519" i="3"/>
  <c r="A520" i="3"/>
  <c r="B520" i="3"/>
  <c r="C520" i="3"/>
  <c r="G520" i="3" s="1"/>
  <c r="D520" i="3"/>
  <c r="J520" i="3"/>
  <c r="I520" i="3" s="1"/>
  <c r="K520" i="3"/>
  <c r="N520" i="3"/>
  <c r="O520" i="3"/>
  <c r="L520" i="3" s="1"/>
  <c r="Q520" i="3"/>
  <c r="A521" i="3"/>
  <c r="B521" i="3"/>
  <c r="C521" i="3"/>
  <c r="D521" i="3"/>
  <c r="J521" i="3"/>
  <c r="I521" i="3" s="1"/>
  <c r="K521" i="3"/>
  <c r="N521" i="3"/>
  <c r="O521" i="3"/>
  <c r="Q521" i="3"/>
  <c r="A522" i="3"/>
  <c r="B522" i="3"/>
  <c r="C522" i="3"/>
  <c r="D522" i="3"/>
  <c r="M522" i="3" s="1"/>
  <c r="J522" i="3"/>
  <c r="I522" i="3" s="1"/>
  <c r="K522" i="3"/>
  <c r="N522" i="3"/>
  <c r="O522" i="3"/>
  <c r="Q522" i="3"/>
  <c r="A523" i="3"/>
  <c r="B523" i="3"/>
  <c r="C523" i="3"/>
  <c r="D523" i="3"/>
  <c r="F523" i="3" s="1"/>
  <c r="J523" i="3"/>
  <c r="I523" i="3" s="1"/>
  <c r="K523" i="3"/>
  <c r="N523" i="3"/>
  <c r="O523" i="3"/>
  <c r="L523" i="3" s="1"/>
  <c r="Q523" i="3"/>
  <c r="A524" i="3"/>
  <c r="B524" i="3"/>
  <c r="C524" i="3"/>
  <c r="D524" i="3"/>
  <c r="L524" i="3" s="1"/>
  <c r="J524" i="3"/>
  <c r="I524" i="3" s="1"/>
  <c r="K524" i="3"/>
  <c r="N524" i="3"/>
  <c r="O524" i="3"/>
  <c r="Q524" i="3"/>
  <c r="A525" i="3"/>
  <c r="B525" i="3"/>
  <c r="C525" i="3"/>
  <c r="D525" i="3"/>
  <c r="J525" i="3"/>
  <c r="I525" i="3" s="1"/>
  <c r="K525" i="3"/>
  <c r="N525" i="3"/>
  <c r="O525" i="3"/>
  <c r="Q525" i="3"/>
  <c r="A526" i="3"/>
  <c r="B526" i="3"/>
  <c r="C526" i="3"/>
  <c r="D526" i="3"/>
  <c r="J526" i="3"/>
  <c r="I526" i="3" s="1"/>
  <c r="K526" i="3"/>
  <c r="N526" i="3"/>
  <c r="O526" i="3"/>
  <c r="Q526" i="3"/>
  <c r="A527" i="3"/>
  <c r="B527" i="3"/>
  <c r="C527" i="3"/>
  <c r="D527" i="3"/>
  <c r="E527" i="3"/>
  <c r="H527" i="3" s="1"/>
  <c r="J527" i="3"/>
  <c r="I527" i="3" s="1"/>
  <c r="K527" i="3"/>
  <c r="N527" i="3"/>
  <c r="O527" i="3"/>
  <c r="Q527" i="3"/>
  <c r="A528" i="3"/>
  <c r="B528" i="3"/>
  <c r="C528" i="3"/>
  <c r="D528" i="3"/>
  <c r="I528" i="3"/>
  <c r="J528" i="3"/>
  <c r="K528" i="3"/>
  <c r="L528" i="3"/>
  <c r="N528" i="3"/>
  <c r="O528" i="3"/>
  <c r="Q528" i="3"/>
  <c r="A529" i="3"/>
  <c r="B529" i="3"/>
  <c r="C529" i="3"/>
  <c r="D529" i="3"/>
  <c r="F529" i="3" s="1"/>
  <c r="J529" i="3"/>
  <c r="I529" i="3" s="1"/>
  <c r="K529" i="3"/>
  <c r="N529" i="3"/>
  <c r="O529" i="3"/>
  <c r="Q529" i="3"/>
  <c r="A530" i="3"/>
  <c r="B530" i="3"/>
  <c r="C530" i="3"/>
  <c r="D530" i="3"/>
  <c r="E530" i="3" s="1"/>
  <c r="J530" i="3"/>
  <c r="I530" i="3" s="1"/>
  <c r="K530" i="3"/>
  <c r="N530" i="3"/>
  <c r="O530" i="3"/>
  <c r="Q530" i="3"/>
  <c r="A531" i="3"/>
  <c r="B531" i="3"/>
  <c r="C531" i="3"/>
  <c r="D531" i="3"/>
  <c r="I531" i="3"/>
  <c r="J531" i="3"/>
  <c r="K531" i="3"/>
  <c r="N531" i="3"/>
  <c r="O531" i="3"/>
  <c r="L531" i="3" s="1"/>
  <c r="Q531" i="3"/>
  <c r="A532" i="3"/>
  <c r="B532" i="3"/>
  <c r="C532" i="3"/>
  <c r="D532" i="3"/>
  <c r="M532" i="3" s="1"/>
  <c r="J532" i="3"/>
  <c r="I532" i="3" s="1"/>
  <c r="K532" i="3"/>
  <c r="L532" i="3"/>
  <c r="N532" i="3"/>
  <c r="O532" i="3"/>
  <c r="Q532" i="3"/>
  <c r="A533" i="3"/>
  <c r="B533" i="3"/>
  <c r="C533" i="3"/>
  <c r="D533" i="3"/>
  <c r="G533" i="3" s="1"/>
  <c r="J533" i="3"/>
  <c r="I533" i="3" s="1"/>
  <c r="K533" i="3"/>
  <c r="N533" i="3"/>
  <c r="O533" i="3"/>
  <c r="Q533" i="3"/>
  <c r="A534" i="3"/>
  <c r="B534" i="3"/>
  <c r="C534" i="3"/>
  <c r="F534" i="3" s="1"/>
  <c r="D534" i="3"/>
  <c r="J534" i="3"/>
  <c r="I534" i="3" s="1"/>
  <c r="K534" i="3"/>
  <c r="N534" i="3"/>
  <c r="O534" i="3"/>
  <c r="L534" i="3" s="1"/>
  <c r="Q534" i="3"/>
  <c r="A535" i="3"/>
  <c r="B535" i="3"/>
  <c r="C535" i="3"/>
  <c r="F535" i="3" s="1"/>
  <c r="D535" i="3"/>
  <c r="E535" i="3"/>
  <c r="J535" i="3"/>
  <c r="I535" i="3" s="1"/>
  <c r="K535" i="3"/>
  <c r="N535" i="3"/>
  <c r="O535" i="3"/>
  <c r="Q535" i="3"/>
  <c r="A536" i="3"/>
  <c r="B536" i="3"/>
  <c r="C536" i="3"/>
  <c r="D536" i="3"/>
  <c r="J536" i="3"/>
  <c r="I536" i="3" s="1"/>
  <c r="K536" i="3"/>
  <c r="N536" i="3"/>
  <c r="O536" i="3"/>
  <c r="L536" i="3" s="1"/>
  <c r="Q536" i="3"/>
  <c r="A537" i="3"/>
  <c r="B537" i="3"/>
  <c r="C537" i="3"/>
  <c r="D537" i="3"/>
  <c r="F537" i="3" s="1"/>
  <c r="J537" i="3"/>
  <c r="I537" i="3" s="1"/>
  <c r="K537" i="3"/>
  <c r="N537" i="3"/>
  <c r="O537" i="3"/>
  <c r="Q537" i="3"/>
  <c r="A538" i="3"/>
  <c r="B538" i="3"/>
  <c r="C538" i="3"/>
  <c r="D538" i="3"/>
  <c r="E538" i="3"/>
  <c r="J538" i="3"/>
  <c r="I538" i="3" s="1"/>
  <c r="K538" i="3"/>
  <c r="N538" i="3"/>
  <c r="O538" i="3"/>
  <c r="Q538" i="3"/>
  <c r="A539" i="3"/>
  <c r="B539" i="3"/>
  <c r="C539" i="3"/>
  <c r="D539" i="3"/>
  <c r="I539" i="3"/>
  <c r="J539" i="3"/>
  <c r="K539" i="3"/>
  <c r="N539" i="3"/>
  <c r="O539" i="3"/>
  <c r="Q539" i="3"/>
  <c r="A540" i="3"/>
  <c r="B540" i="3"/>
  <c r="C540" i="3"/>
  <c r="D540" i="3"/>
  <c r="J540" i="3"/>
  <c r="I540" i="3" s="1"/>
  <c r="K540" i="3"/>
  <c r="L540" i="3"/>
  <c r="M540" i="3"/>
  <c r="N540" i="3"/>
  <c r="O540" i="3"/>
  <c r="Q540" i="3"/>
  <c r="A541" i="3"/>
  <c r="B541" i="3"/>
  <c r="C541" i="3"/>
  <c r="D541" i="3"/>
  <c r="J541" i="3"/>
  <c r="I541" i="3" s="1"/>
  <c r="K541" i="3"/>
  <c r="N541" i="3"/>
  <c r="O541" i="3"/>
  <c r="Q541" i="3"/>
  <c r="A542" i="3"/>
  <c r="B542" i="3"/>
  <c r="C542" i="3"/>
  <c r="D542" i="3"/>
  <c r="J542" i="3"/>
  <c r="I542" i="3" s="1"/>
  <c r="K542" i="3"/>
  <c r="N542" i="3"/>
  <c r="O542" i="3"/>
  <c r="Q542" i="3"/>
  <c r="A543" i="3"/>
  <c r="B543" i="3"/>
  <c r="C543" i="3"/>
  <c r="D543" i="3"/>
  <c r="E543" i="3"/>
  <c r="J543" i="3"/>
  <c r="I543" i="3" s="1"/>
  <c r="K543" i="3"/>
  <c r="N543" i="3"/>
  <c r="O543" i="3"/>
  <c r="L543" i="3" s="1"/>
  <c r="Q543" i="3"/>
  <c r="A544" i="3"/>
  <c r="B544" i="3"/>
  <c r="C544" i="3"/>
  <c r="D544" i="3"/>
  <c r="F544" i="3" s="1"/>
  <c r="I544" i="3"/>
  <c r="J544" i="3"/>
  <c r="K544" i="3"/>
  <c r="N544" i="3"/>
  <c r="O544" i="3"/>
  <c r="Q544" i="3"/>
  <c r="A545" i="3"/>
  <c r="B545" i="3"/>
  <c r="C545" i="3"/>
  <c r="D545" i="3"/>
  <c r="I545" i="3"/>
  <c r="J545" i="3"/>
  <c r="K545" i="3"/>
  <c r="N545" i="3"/>
  <c r="O545" i="3"/>
  <c r="Q545" i="3"/>
  <c r="A546" i="3"/>
  <c r="B546" i="3"/>
  <c r="C546" i="3"/>
  <c r="G546" i="3" s="1"/>
  <c r="D546" i="3"/>
  <c r="E546" i="3"/>
  <c r="J546" i="3"/>
  <c r="I546" i="3" s="1"/>
  <c r="K546" i="3"/>
  <c r="N546" i="3"/>
  <c r="O546" i="3"/>
  <c r="L546" i="3" s="1"/>
  <c r="Q546" i="3"/>
  <c r="A547" i="3"/>
  <c r="B547" i="3"/>
  <c r="C547" i="3"/>
  <c r="D547" i="3"/>
  <c r="F547" i="3" s="1"/>
  <c r="I547" i="3"/>
  <c r="J547" i="3"/>
  <c r="K547" i="3"/>
  <c r="N547" i="3"/>
  <c r="O547" i="3"/>
  <c r="Q547" i="3"/>
  <c r="A548" i="3"/>
  <c r="B548" i="3"/>
  <c r="C548" i="3"/>
  <c r="D548" i="3"/>
  <c r="J548" i="3"/>
  <c r="I548" i="3" s="1"/>
  <c r="K548" i="3"/>
  <c r="L548" i="3"/>
  <c r="N548" i="3"/>
  <c r="O548" i="3"/>
  <c r="Q548" i="3"/>
  <c r="A549" i="3"/>
  <c r="B549" i="3"/>
  <c r="C549" i="3"/>
  <c r="G549" i="3" s="1"/>
  <c r="D549" i="3"/>
  <c r="J549" i="3"/>
  <c r="I549" i="3" s="1"/>
  <c r="K549" i="3"/>
  <c r="N549" i="3"/>
  <c r="O549" i="3"/>
  <c r="L549" i="3" s="1"/>
  <c r="Q549" i="3"/>
  <c r="A550" i="3"/>
  <c r="B550" i="3"/>
  <c r="C550" i="3"/>
  <c r="D550" i="3"/>
  <c r="J550" i="3"/>
  <c r="I550" i="3" s="1"/>
  <c r="K550" i="3"/>
  <c r="N550" i="3"/>
  <c r="O550" i="3"/>
  <c r="Q550" i="3"/>
  <c r="A551" i="3"/>
  <c r="B551" i="3"/>
  <c r="C551" i="3"/>
  <c r="D551" i="3"/>
  <c r="E551" i="3" s="1"/>
  <c r="G551" i="3"/>
  <c r="J551" i="3"/>
  <c r="I551" i="3" s="1"/>
  <c r="K551" i="3"/>
  <c r="N551" i="3"/>
  <c r="O551" i="3"/>
  <c r="Q551" i="3"/>
  <c r="A552" i="3"/>
  <c r="B552" i="3"/>
  <c r="C552" i="3"/>
  <c r="D552" i="3"/>
  <c r="G552" i="3"/>
  <c r="J552" i="3"/>
  <c r="I552" i="3" s="1"/>
  <c r="K552" i="3"/>
  <c r="N552" i="3"/>
  <c r="O552" i="3"/>
  <c r="L552" i="3" s="1"/>
  <c r="Q552" i="3"/>
  <c r="A553" i="3"/>
  <c r="B553" i="3"/>
  <c r="C553" i="3"/>
  <c r="D553" i="3"/>
  <c r="F553" i="3" s="1"/>
  <c r="J553" i="3"/>
  <c r="I553" i="3" s="1"/>
  <c r="K553" i="3"/>
  <c r="N553" i="3"/>
  <c r="O553" i="3"/>
  <c r="Q553" i="3"/>
  <c r="A554" i="3"/>
  <c r="B554" i="3"/>
  <c r="C554" i="3"/>
  <c r="D554" i="3"/>
  <c r="J554" i="3"/>
  <c r="I554" i="3" s="1"/>
  <c r="K554" i="3"/>
  <c r="N554" i="3"/>
  <c r="O554" i="3"/>
  <c r="Q554" i="3"/>
  <c r="A555" i="3"/>
  <c r="B555" i="3"/>
  <c r="C555" i="3"/>
  <c r="D555" i="3"/>
  <c r="J555" i="3"/>
  <c r="I555" i="3" s="1"/>
  <c r="K555" i="3"/>
  <c r="N555" i="3"/>
  <c r="O555" i="3"/>
  <c r="Q555" i="3"/>
  <c r="A556" i="3"/>
  <c r="B556" i="3"/>
  <c r="C556" i="3"/>
  <c r="M556" i="3" s="1"/>
  <c r="D556" i="3"/>
  <c r="I556" i="3"/>
  <c r="J556" i="3"/>
  <c r="K556" i="3"/>
  <c r="L556" i="3"/>
  <c r="N556" i="3"/>
  <c r="O556" i="3"/>
  <c r="Q556" i="3"/>
  <c r="A557" i="3"/>
  <c r="B557" i="3"/>
  <c r="C557" i="3"/>
  <c r="D557" i="3"/>
  <c r="J557" i="3"/>
  <c r="I557" i="3" s="1"/>
  <c r="K557" i="3"/>
  <c r="N557" i="3"/>
  <c r="O557" i="3"/>
  <c r="Q557" i="3"/>
  <c r="A558" i="3"/>
  <c r="B558" i="3"/>
  <c r="C558" i="3"/>
  <c r="W558" i="3" s="1"/>
  <c r="D558" i="3"/>
  <c r="J558" i="3"/>
  <c r="I558" i="3" s="1"/>
  <c r="K558" i="3"/>
  <c r="N558" i="3"/>
  <c r="O558" i="3"/>
  <c r="Q558" i="3"/>
  <c r="A559" i="3"/>
  <c r="B559" i="3"/>
  <c r="C559" i="3"/>
  <c r="D559" i="3"/>
  <c r="J559" i="3"/>
  <c r="I559" i="3" s="1"/>
  <c r="K559" i="3"/>
  <c r="N559" i="3"/>
  <c r="O559" i="3"/>
  <c r="Q559" i="3"/>
  <c r="A560" i="3"/>
  <c r="B560" i="3"/>
  <c r="C560" i="3"/>
  <c r="D560" i="3"/>
  <c r="I560" i="3"/>
  <c r="J560" i="3"/>
  <c r="K560" i="3"/>
  <c r="N560" i="3"/>
  <c r="O560" i="3"/>
  <c r="Q560" i="3"/>
  <c r="A561" i="3"/>
  <c r="B561" i="3"/>
  <c r="C561" i="3"/>
  <c r="D561" i="3"/>
  <c r="J561" i="3"/>
  <c r="I561" i="3" s="1"/>
  <c r="K561" i="3"/>
  <c r="N561" i="3"/>
  <c r="O561" i="3"/>
  <c r="Q561" i="3"/>
  <c r="A562" i="3"/>
  <c r="B562" i="3"/>
  <c r="C562" i="3"/>
  <c r="D562" i="3"/>
  <c r="J562" i="3"/>
  <c r="I562" i="3" s="1"/>
  <c r="K562" i="3"/>
  <c r="N562" i="3"/>
  <c r="O562" i="3"/>
  <c r="Q562" i="3"/>
  <c r="A563" i="3"/>
  <c r="B563" i="3"/>
  <c r="C563" i="3"/>
  <c r="W563" i="3" s="1"/>
  <c r="D563" i="3"/>
  <c r="L563" i="3" s="1"/>
  <c r="J563" i="3"/>
  <c r="I563" i="3" s="1"/>
  <c r="K563" i="3"/>
  <c r="N563" i="3"/>
  <c r="O563" i="3"/>
  <c r="Q563" i="3"/>
  <c r="A564" i="3"/>
  <c r="B564" i="3"/>
  <c r="C564" i="3"/>
  <c r="D564" i="3"/>
  <c r="L564" i="3" s="1"/>
  <c r="J564" i="3"/>
  <c r="I564" i="3" s="1"/>
  <c r="K564" i="3"/>
  <c r="N564" i="3"/>
  <c r="O564" i="3"/>
  <c r="Q564" i="3"/>
  <c r="A565" i="3"/>
  <c r="B565" i="3"/>
  <c r="C565" i="3"/>
  <c r="D565" i="3"/>
  <c r="I565" i="3"/>
  <c r="J565" i="3"/>
  <c r="K565" i="3"/>
  <c r="N565" i="3"/>
  <c r="O565" i="3"/>
  <c r="L565" i="3" s="1"/>
  <c r="Q565" i="3"/>
  <c r="A566" i="3"/>
  <c r="B566" i="3"/>
  <c r="C566" i="3"/>
  <c r="D566" i="3"/>
  <c r="J566" i="3"/>
  <c r="I566" i="3" s="1"/>
  <c r="K566" i="3"/>
  <c r="N566" i="3"/>
  <c r="O566" i="3"/>
  <c r="Q566" i="3"/>
  <c r="A567" i="3"/>
  <c r="B567" i="3"/>
  <c r="C567" i="3"/>
  <c r="D567" i="3"/>
  <c r="E567" i="3" s="1"/>
  <c r="H567" i="3" s="1"/>
  <c r="J567" i="3"/>
  <c r="I567" i="3" s="1"/>
  <c r="K567" i="3"/>
  <c r="N567" i="3"/>
  <c r="O567" i="3"/>
  <c r="Q567" i="3"/>
  <c r="A568" i="3"/>
  <c r="B568" i="3"/>
  <c r="C568" i="3"/>
  <c r="G568" i="3" s="1"/>
  <c r="D568" i="3"/>
  <c r="F568" i="3" s="1"/>
  <c r="J568" i="3"/>
  <c r="I568" i="3" s="1"/>
  <c r="K568" i="3"/>
  <c r="N568" i="3"/>
  <c r="O568" i="3"/>
  <c r="Q568" i="3"/>
  <c r="A569" i="3"/>
  <c r="B569" i="3"/>
  <c r="C569" i="3"/>
  <c r="F569" i="3" s="1"/>
  <c r="D569" i="3"/>
  <c r="J569" i="3"/>
  <c r="I569" i="3" s="1"/>
  <c r="K569" i="3"/>
  <c r="L569" i="3"/>
  <c r="N569" i="3"/>
  <c r="O569" i="3"/>
  <c r="Q569" i="3"/>
  <c r="A570" i="3"/>
  <c r="B570" i="3"/>
  <c r="C570" i="3"/>
  <c r="D570" i="3"/>
  <c r="E570" i="3"/>
  <c r="J570" i="3"/>
  <c r="I570" i="3" s="1"/>
  <c r="K570" i="3"/>
  <c r="N570" i="3"/>
  <c r="O570" i="3"/>
  <c r="Q570" i="3"/>
  <c r="A571" i="3"/>
  <c r="B571" i="3"/>
  <c r="C571" i="3"/>
  <c r="W571" i="3" s="1"/>
  <c r="D571" i="3"/>
  <c r="I571" i="3"/>
  <c r="J571" i="3"/>
  <c r="K571" i="3"/>
  <c r="N571" i="3"/>
  <c r="O571" i="3"/>
  <c r="L571" i="3" s="1"/>
  <c r="Q571" i="3"/>
  <c r="A572" i="3"/>
  <c r="B572" i="3"/>
  <c r="C572" i="3"/>
  <c r="D572" i="3"/>
  <c r="J572" i="3"/>
  <c r="I572" i="3" s="1"/>
  <c r="K572" i="3"/>
  <c r="N572" i="3"/>
  <c r="O572" i="3"/>
  <c r="Q572" i="3"/>
  <c r="A573" i="3"/>
  <c r="B573" i="3"/>
  <c r="C573" i="3"/>
  <c r="D573" i="3"/>
  <c r="J573" i="3"/>
  <c r="I573" i="3" s="1"/>
  <c r="K573" i="3"/>
  <c r="N573" i="3"/>
  <c r="O573" i="3"/>
  <c r="Q573" i="3"/>
  <c r="A574" i="3"/>
  <c r="B574" i="3"/>
  <c r="C574" i="3"/>
  <c r="D574" i="3"/>
  <c r="G574" i="3"/>
  <c r="J574" i="3"/>
  <c r="I574" i="3" s="1"/>
  <c r="K574" i="3"/>
  <c r="N574" i="3"/>
  <c r="O574" i="3"/>
  <c r="Q574" i="3"/>
  <c r="A575" i="3"/>
  <c r="B575" i="3"/>
  <c r="C575" i="3"/>
  <c r="D575" i="3"/>
  <c r="F575" i="3" s="1"/>
  <c r="G575" i="3"/>
  <c r="J575" i="3"/>
  <c r="I575" i="3" s="1"/>
  <c r="K575" i="3"/>
  <c r="N575" i="3"/>
  <c r="O575" i="3"/>
  <c r="L575" i="3" s="1"/>
  <c r="Q575" i="3"/>
  <c r="A576" i="3"/>
  <c r="B576" i="3"/>
  <c r="C576" i="3"/>
  <c r="D576" i="3"/>
  <c r="J576" i="3"/>
  <c r="I576" i="3" s="1"/>
  <c r="K576" i="3"/>
  <c r="N576" i="3"/>
  <c r="O576" i="3"/>
  <c r="Q576" i="3"/>
  <c r="A577" i="3"/>
  <c r="B577" i="3"/>
  <c r="C577" i="3"/>
  <c r="D577" i="3"/>
  <c r="J577" i="3"/>
  <c r="I577" i="3" s="1"/>
  <c r="K577" i="3"/>
  <c r="N577" i="3"/>
  <c r="O577" i="3"/>
  <c r="Q577" i="3"/>
  <c r="A578" i="3"/>
  <c r="B578" i="3"/>
  <c r="C578" i="3"/>
  <c r="G578" i="3" s="1"/>
  <c r="D578" i="3"/>
  <c r="J578" i="3"/>
  <c r="I578" i="3" s="1"/>
  <c r="K578" i="3"/>
  <c r="N578" i="3"/>
  <c r="O578" i="3"/>
  <c r="L578" i="3" s="1"/>
  <c r="Q578" i="3"/>
  <c r="A579" i="3"/>
  <c r="B579" i="3"/>
  <c r="C579" i="3"/>
  <c r="D579" i="3"/>
  <c r="J579" i="3"/>
  <c r="I579" i="3" s="1"/>
  <c r="K579" i="3"/>
  <c r="N579" i="3"/>
  <c r="O579" i="3"/>
  <c r="Q579" i="3"/>
  <c r="A580" i="3"/>
  <c r="B580" i="3"/>
  <c r="C580" i="3"/>
  <c r="D580" i="3"/>
  <c r="M580" i="3" s="1"/>
  <c r="J580" i="3"/>
  <c r="I580" i="3" s="1"/>
  <c r="K580" i="3"/>
  <c r="N580" i="3"/>
  <c r="O580" i="3"/>
  <c r="Q580" i="3"/>
  <c r="A581" i="3"/>
  <c r="B581" i="3"/>
  <c r="C581" i="3"/>
  <c r="D581" i="3"/>
  <c r="I581" i="3"/>
  <c r="J581" i="3"/>
  <c r="K581" i="3"/>
  <c r="N581" i="3"/>
  <c r="O581" i="3"/>
  <c r="Q581" i="3"/>
  <c r="A582" i="3"/>
  <c r="B582" i="3"/>
  <c r="C582" i="3"/>
  <c r="D582" i="3"/>
  <c r="J582" i="3"/>
  <c r="I582" i="3" s="1"/>
  <c r="K582" i="3"/>
  <c r="N582" i="3"/>
  <c r="O582" i="3"/>
  <c r="Q582" i="3"/>
  <c r="A583" i="3"/>
  <c r="B583" i="3"/>
  <c r="C583" i="3"/>
  <c r="D583" i="3"/>
  <c r="M583" i="3" s="1"/>
  <c r="I583" i="3"/>
  <c r="J583" i="3"/>
  <c r="K583" i="3"/>
  <c r="N583" i="3"/>
  <c r="O583" i="3"/>
  <c r="Q583" i="3"/>
  <c r="A584" i="3"/>
  <c r="B584" i="3"/>
  <c r="C584" i="3"/>
  <c r="E584" i="3" s="1"/>
  <c r="D584" i="3"/>
  <c r="I584" i="3"/>
  <c r="J584" i="3"/>
  <c r="K584" i="3"/>
  <c r="M584" i="3"/>
  <c r="N584" i="3"/>
  <c r="O584" i="3"/>
  <c r="Q584" i="3"/>
  <c r="A585" i="3"/>
  <c r="B585" i="3"/>
  <c r="C585" i="3"/>
  <c r="D585" i="3"/>
  <c r="G585" i="3"/>
  <c r="J585" i="3"/>
  <c r="I585" i="3" s="1"/>
  <c r="K585" i="3"/>
  <c r="N585" i="3"/>
  <c r="O585" i="3"/>
  <c r="L585" i="3" s="1"/>
  <c r="Q585" i="3"/>
  <c r="A586" i="3"/>
  <c r="B586" i="3"/>
  <c r="C586" i="3"/>
  <c r="D586" i="3"/>
  <c r="F586" i="3" s="1"/>
  <c r="J586" i="3"/>
  <c r="I586" i="3" s="1"/>
  <c r="K586" i="3"/>
  <c r="N586" i="3"/>
  <c r="O586" i="3"/>
  <c r="Q586" i="3"/>
  <c r="A587" i="3"/>
  <c r="B587" i="3"/>
  <c r="C587" i="3"/>
  <c r="D587" i="3"/>
  <c r="J587" i="3"/>
  <c r="I587" i="3" s="1"/>
  <c r="K587" i="3"/>
  <c r="N587" i="3"/>
  <c r="O587" i="3"/>
  <c r="Q587" i="3"/>
  <c r="A588" i="3"/>
  <c r="B588" i="3"/>
  <c r="C588" i="3"/>
  <c r="M588" i="3" s="1"/>
  <c r="D588" i="3"/>
  <c r="I588" i="3"/>
  <c r="J588" i="3"/>
  <c r="K588" i="3"/>
  <c r="N588" i="3"/>
  <c r="O588" i="3"/>
  <c r="L588" i="3" s="1"/>
  <c r="Q588" i="3"/>
  <c r="A589" i="3"/>
  <c r="B589" i="3"/>
  <c r="C589" i="3"/>
  <c r="D589" i="3"/>
  <c r="J589" i="3"/>
  <c r="I589" i="3" s="1"/>
  <c r="K589" i="3"/>
  <c r="N589" i="3"/>
  <c r="O589" i="3"/>
  <c r="Q589" i="3"/>
  <c r="A590" i="3"/>
  <c r="B590" i="3"/>
  <c r="C590" i="3"/>
  <c r="D590" i="3"/>
  <c r="J590" i="3"/>
  <c r="I590" i="3" s="1"/>
  <c r="K590" i="3"/>
  <c r="N590" i="3"/>
  <c r="O590" i="3"/>
  <c r="Q590" i="3"/>
  <c r="A591" i="3"/>
  <c r="B591" i="3"/>
  <c r="C591" i="3"/>
  <c r="D591" i="3"/>
  <c r="J591" i="3"/>
  <c r="I591" i="3" s="1"/>
  <c r="K591" i="3"/>
  <c r="N591" i="3"/>
  <c r="O591" i="3"/>
  <c r="Q591" i="3"/>
  <c r="A592" i="3"/>
  <c r="B592" i="3"/>
  <c r="C592" i="3"/>
  <c r="D592" i="3"/>
  <c r="J592" i="3"/>
  <c r="I592" i="3" s="1"/>
  <c r="K592" i="3"/>
  <c r="N592" i="3"/>
  <c r="O592" i="3"/>
  <c r="Q592" i="3"/>
  <c r="A593" i="3"/>
  <c r="B593" i="3"/>
  <c r="C593" i="3"/>
  <c r="F593" i="3" s="1"/>
  <c r="D593" i="3"/>
  <c r="J593" i="3"/>
  <c r="I593" i="3" s="1"/>
  <c r="K593" i="3"/>
  <c r="N593" i="3"/>
  <c r="O593" i="3"/>
  <c r="L593" i="3" s="1"/>
  <c r="Q593" i="3"/>
  <c r="A594" i="3"/>
  <c r="B594" i="3"/>
  <c r="C594" i="3"/>
  <c r="D594" i="3"/>
  <c r="F594" i="3" s="1"/>
  <c r="E594" i="3"/>
  <c r="J594" i="3"/>
  <c r="I594" i="3" s="1"/>
  <c r="K594" i="3"/>
  <c r="M594" i="3"/>
  <c r="N594" i="3"/>
  <c r="O594" i="3"/>
  <c r="Q594" i="3"/>
  <c r="A595" i="3"/>
  <c r="B595" i="3"/>
  <c r="C595" i="3"/>
  <c r="D595" i="3"/>
  <c r="J595" i="3"/>
  <c r="I595" i="3" s="1"/>
  <c r="K595" i="3"/>
  <c r="N595" i="3"/>
  <c r="O595" i="3"/>
  <c r="L595" i="3" s="1"/>
  <c r="Q595" i="3"/>
  <c r="A596" i="3"/>
  <c r="B596" i="3"/>
  <c r="C596" i="3"/>
  <c r="D596" i="3"/>
  <c r="I596" i="3"/>
  <c r="J596" i="3"/>
  <c r="K596" i="3"/>
  <c r="N596" i="3"/>
  <c r="O596" i="3"/>
  <c r="Q596" i="3"/>
  <c r="A597" i="3"/>
  <c r="B597" i="3"/>
  <c r="C597" i="3"/>
  <c r="D597" i="3"/>
  <c r="J597" i="3"/>
  <c r="I597" i="3" s="1"/>
  <c r="K597" i="3"/>
  <c r="N597" i="3"/>
  <c r="O597" i="3"/>
  <c r="Q597" i="3"/>
  <c r="A598" i="3"/>
  <c r="B598" i="3"/>
  <c r="C598" i="3"/>
  <c r="D598" i="3"/>
  <c r="J598" i="3"/>
  <c r="I598" i="3" s="1"/>
  <c r="K598" i="3"/>
  <c r="N598" i="3"/>
  <c r="O598" i="3"/>
  <c r="L598" i="3" s="1"/>
  <c r="Q598" i="3"/>
  <c r="A599" i="3"/>
  <c r="B599" i="3"/>
  <c r="C599" i="3"/>
  <c r="M599" i="3" s="1"/>
  <c r="D599" i="3"/>
  <c r="J599" i="3"/>
  <c r="I599" i="3" s="1"/>
  <c r="K599" i="3"/>
  <c r="N599" i="3"/>
  <c r="O599" i="3"/>
  <c r="Q599" i="3"/>
  <c r="A600" i="3"/>
  <c r="B600" i="3"/>
  <c r="C600" i="3"/>
  <c r="G600" i="3" s="1"/>
  <c r="D600" i="3"/>
  <c r="J600" i="3"/>
  <c r="I600" i="3" s="1"/>
  <c r="K600" i="3"/>
  <c r="N600" i="3"/>
  <c r="O600" i="3"/>
  <c r="L600" i="3" s="1"/>
  <c r="Q600" i="3"/>
  <c r="A601" i="3"/>
  <c r="B601" i="3"/>
  <c r="C601" i="3"/>
  <c r="D601" i="3"/>
  <c r="J601" i="3"/>
  <c r="I601" i="3" s="1"/>
  <c r="K601" i="3"/>
  <c r="N601" i="3"/>
  <c r="O601" i="3"/>
  <c r="L601" i="3" s="1"/>
  <c r="Q601" i="3"/>
  <c r="A602" i="3"/>
  <c r="B602" i="3"/>
  <c r="C602" i="3"/>
  <c r="D602" i="3"/>
  <c r="J602" i="3"/>
  <c r="I602" i="3" s="1"/>
  <c r="K602" i="3"/>
  <c r="N602" i="3"/>
  <c r="O602" i="3"/>
  <c r="Q602" i="3"/>
  <c r="A603" i="3"/>
  <c r="B603" i="3"/>
  <c r="C603" i="3"/>
  <c r="D603" i="3"/>
  <c r="F603" i="3" s="1"/>
  <c r="I603" i="3"/>
  <c r="J603" i="3"/>
  <c r="K603" i="3"/>
  <c r="N603" i="3"/>
  <c r="O603" i="3"/>
  <c r="Q603" i="3"/>
  <c r="A604" i="3"/>
  <c r="B604" i="3"/>
  <c r="C604" i="3"/>
  <c r="G604" i="3" s="1"/>
  <c r="D604" i="3"/>
  <c r="E604" i="3"/>
  <c r="H604" i="3" s="1"/>
  <c r="F604" i="3"/>
  <c r="I604" i="3"/>
  <c r="J604" i="3"/>
  <c r="K604" i="3"/>
  <c r="N604" i="3"/>
  <c r="O604" i="3"/>
  <c r="L604" i="3" s="1"/>
  <c r="Q604" i="3"/>
  <c r="A605" i="3"/>
  <c r="B605" i="3"/>
  <c r="C605" i="3"/>
  <c r="D605" i="3"/>
  <c r="J605" i="3"/>
  <c r="I605" i="3" s="1"/>
  <c r="K605" i="3"/>
  <c r="M605" i="3"/>
  <c r="N605" i="3"/>
  <c r="O605" i="3"/>
  <c r="Q605" i="3"/>
  <c r="A606" i="3"/>
  <c r="B606" i="3"/>
  <c r="C606" i="3"/>
  <c r="D606" i="3"/>
  <c r="F606" i="3" s="1"/>
  <c r="I606" i="3"/>
  <c r="J606" i="3"/>
  <c r="K606" i="3"/>
  <c r="N606" i="3"/>
  <c r="O606" i="3"/>
  <c r="Q606" i="3"/>
  <c r="A607" i="3"/>
  <c r="B607" i="3"/>
  <c r="C607" i="3"/>
  <c r="W607" i="3" s="1"/>
  <c r="D607" i="3"/>
  <c r="J607" i="3"/>
  <c r="I607" i="3" s="1"/>
  <c r="K607" i="3"/>
  <c r="L607" i="3"/>
  <c r="N607" i="3"/>
  <c r="O607" i="3"/>
  <c r="Q607" i="3"/>
  <c r="A608" i="3"/>
  <c r="B608" i="3"/>
  <c r="C608" i="3"/>
  <c r="D608" i="3"/>
  <c r="J608" i="3"/>
  <c r="I608" i="3" s="1"/>
  <c r="K608" i="3"/>
  <c r="N608" i="3"/>
  <c r="O608" i="3"/>
  <c r="Q608" i="3"/>
  <c r="A609" i="3"/>
  <c r="B609" i="3"/>
  <c r="C609" i="3"/>
  <c r="F609" i="3" s="1"/>
  <c r="D609" i="3"/>
  <c r="J609" i="3"/>
  <c r="I609" i="3" s="1"/>
  <c r="K609" i="3"/>
  <c r="N609" i="3"/>
  <c r="O609" i="3"/>
  <c r="L609" i="3" s="1"/>
  <c r="Q609" i="3"/>
  <c r="A610" i="3"/>
  <c r="B610" i="3"/>
  <c r="C610" i="3"/>
  <c r="D610" i="3"/>
  <c r="E610" i="3"/>
  <c r="H610" i="3" s="1"/>
  <c r="J610" i="3"/>
  <c r="I610" i="3" s="1"/>
  <c r="K610" i="3"/>
  <c r="N610" i="3"/>
  <c r="O610" i="3"/>
  <c r="Q610" i="3"/>
  <c r="A611" i="3"/>
  <c r="B611" i="3"/>
  <c r="C611" i="3"/>
  <c r="F611" i="3" s="1"/>
  <c r="D611" i="3"/>
  <c r="J611" i="3"/>
  <c r="I611" i="3" s="1"/>
  <c r="K611" i="3"/>
  <c r="N611" i="3"/>
  <c r="O611" i="3"/>
  <c r="Q611" i="3"/>
  <c r="A612" i="3"/>
  <c r="B612" i="3"/>
  <c r="C612" i="3"/>
  <c r="D612" i="3"/>
  <c r="J612" i="3"/>
  <c r="I612" i="3" s="1"/>
  <c r="K612" i="3"/>
  <c r="N612" i="3"/>
  <c r="O612" i="3"/>
  <c r="L612" i="3" s="1"/>
  <c r="Q612" i="3"/>
  <c r="A613" i="3"/>
  <c r="B613" i="3"/>
  <c r="C613" i="3"/>
  <c r="D613" i="3"/>
  <c r="G613" i="3" s="1"/>
  <c r="J613" i="3"/>
  <c r="I613" i="3" s="1"/>
  <c r="K613" i="3"/>
  <c r="N613" i="3"/>
  <c r="O613" i="3"/>
  <c r="Q613" i="3"/>
  <c r="A614" i="3"/>
  <c r="B614" i="3"/>
  <c r="C614" i="3"/>
  <c r="D614" i="3"/>
  <c r="F614" i="3"/>
  <c r="J614" i="3"/>
  <c r="I614" i="3" s="1"/>
  <c r="K614" i="3"/>
  <c r="N614" i="3"/>
  <c r="O614" i="3"/>
  <c r="Q614" i="3"/>
  <c r="A615" i="3"/>
  <c r="B615" i="3"/>
  <c r="C615" i="3"/>
  <c r="D615" i="3"/>
  <c r="L615" i="3" s="1"/>
  <c r="J615" i="3"/>
  <c r="I615" i="3" s="1"/>
  <c r="K615" i="3"/>
  <c r="N615" i="3"/>
  <c r="O615" i="3"/>
  <c r="Q615" i="3"/>
  <c r="A616" i="3"/>
  <c r="B616" i="3"/>
  <c r="C616" i="3"/>
  <c r="G616" i="3" s="1"/>
  <c r="D616" i="3"/>
  <c r="J616" i="3"/>
  <c r="I616" i="3" s="1"/>
  <c r="K616" i="3"/>
  <c r="N616" i="3"/>
  <c r="O616" i="3"/>
  <c r="L616" i="3" s="1"/>
  <c r="Q616" i="3"/>
  <c r="A617" i="3"/>
  <c r="B617" i="3"/>
  <c r="C617" i="3"/>
  <c r="F617" i="3" s="1"/>
  <c r="D617" i="3"/>
  <c r="J617" i="3"/>
  <c r="I617" i="3" s="1"/>
  <c r="K617" i="3"/>
  <c r="N617" i="3"/>
  <c r="O617" i="3"/>
  <c r="L617" i="3" s="1"/>
  <c r="Q617" i="3"/>
  <c r="A618" i="3"/>
  <c r="B618" i="3"/>
  <c r="C618" i="3"/>
  <c r="D618" i="3"/>
  <c r="J618" i="3"/>
  <c r="I618" i="3" s="1"/>
  <c r="K618" i="3"/>
  <c r="N618" i="3"/>
  <c r="O618" i="3"/>
  <c r="L618" i="3" s="1"/>
  <c r="Q618" i="3"/>
  <c r="A619" i="3"/>
  <c r="B619" i="3"/>
  <c r="C619" i="3"/>
  <c r="D619" i="3"/>
  <c r="J619" i="3"/>
  <c r="I619" i="3" s="1"/>
  <c r="K619" i="3"/>
  <c r="N619" i="3"/>
  <c r="O619" i="3"/>
  <c r="Q619" i="3"/>
  <c r="A620" i="3"/>
  <c r="B620" i="3"/>
  <c r="C620" i="3"/>
  <c r="D620" i="3"/>
  <c r="F620" i="3"/>
  <c r="J620" i="3"/>
  <c r="I620" i="3" s="1"/>
  <c r="K620" i="3"/>
  <c r="N620" i="3"/>
  <c r="O620" i="3"/>
  <c r="Q620" i="3"/>
  <c r="A621" i="3"/>
  <c r="B621" i="3"/>
  <c r="C621" i="3"/>
  <c r="F621" i="3" s="1"/>
  <c r="D621" i="3"/>
  <c r="J621" i="3"/>
  <c r="I621" i="3" s="1"/>
  <c r="K621" i="3"/>
  <c r="N621" i="3"/>
  <c r="O621" i="3"/>
  <c r="Q621" i="3"/>
  <c r="A622" i="3"/>
  <c r="B622" i="3"/>
  <c r="C622" i="3"/>
  <c r="D622" i="3"/>
  <c r="F622" i="3"/>
  <c r="J622" i="3"/>
  <c r="I622" i="3" s="1"/>
  <c r="K622" i="3"/>
  <c r="N622" i="3"/>
  <c r="O622" i="3"/>
  <c r="Q622" i="3"/>
  <c r="A623" i="3"/>
  <c r="B623" i="3"/>
  <c r="C623" i="3"/>
  <c r="E623" i="3" s="1"/>
  <c r="H623" i="3" s="1"/>
  <c r="D623" i="3"/>
  <c r="L623" i="3" s="1"/>
  <c r="J623" i="3"/>
  <c r="I623" i="3" s="1"/>
  <c r="K623" i="3"/>
  <c r="N623" i="3"/>
  <c r="O623" i="3"/>
  <c r="Q623" i="3"/>
  <c r="A624" i="3"/>
  <c r="B624" i="3"/>
  <c r="C624" i="3"/>
  <c r="E624" i="3" s="1"/>
  <c r="D624" i="3"/>
  <c r="J624" i="3"/>
  <c r="I624" i="3" s="1"/>
  <c r="K624" i="3"/>
  <c r="N624" i="3"/>
  <c r="O624" i="3"/>
  <c r="Q624" i="3"/>
  <c r="A625" i="3"/>
  <c r="B625" i="3"/>
  <c r="C625" i="3"/>
  <c r="F625" i="3" s="1"/>
  <c r="D625" i="3"/>
  <c r="J625" i="3"/>
  <c r="I625" i="3" s="1"/>
  <c r="K625" i="3"/>
  <c r="N625" i="3"/>
  <c r="O625" i="3"/>
  <c r="L625" i="3" s="1"/>
  <c r="Q625" i="3"/>
  <c r="A626" i="3"/>
  <c r="B626" i="3"/>
  <c r="C626" i="3"/>
  <c r="M626" i="3" s="1"/>
  <c r="D626" i="3"/>
  <c r="J626" i="3"/>
  <c r="I626" i="3" s="1"/>
  <c r="K626" i="3"/>
  <c r="N626" i="3"/>
  <c r="O626" i="3"/>
  <c r="Q626" i="3"/>
  <c r="A627" i="3"/>
  <c r="B627" i="3"/>
  <c r="C627" i="3"/>
  <c r="D627" i="3"/>
  <c r="F627" i="3" s="1"/>
  <c r="J627" i="3"/>
  <c r="I627" i="3" s="1"/>
  <c r="K627" i="3"/>
  <c r="N627" i="3"/>
  <c r="O627" i="3"/>
  <c r="Q627" i="3"/>
  <c r="A628" i="3"/>
  <c r="B628" i="3"/>
  <c r="C628" i="3"/>
  <c r="D628" i="3"/>
  <c r="J628" i="3"/>
  <c r="I628" i="3" s="1"/>
  <c r="K628" i="3"/>
  <c r="N628" i="3"/>
  <c r="O628" i="3"/>
  <c r="Q628" i="3"/>
  <c r="A629" i="3"/>
  <c r="B629" i="3"/>
  <c r="C629" i="3"/>
  <c r="W629" i="3" s="1"/>
  <c r="D629" i="3"/>
  <c r="J629" i="3"/>
  <c r="I629" i="3" s="1"/>
  <c r="K629" i="3"/>
  <c r="N629" i="3"/>
  <c r="O629" i="3"/>
  <c r="Q629" i="3"/>
  <c r="A630" i="3"/>
  <c r="B630" i="3"/>
  <c r="C630" i="3"/>
  <c r="D630" i="3"/>
  <c r="J630" i="3"/>
  <c r="I630" i="3" s="1"/>
  <c r="K630" i="3"/>
  <c r="N630" i="3"/>
  <c r="O630" i="3"/>
  <c r="Q630" i="3"/>
  <c r="A631" i="3"/>
  <c r="B631" i="3"/>
  <c r="C631" i="3"/>
  <c r="E631" i="3" s="1"/>
  <c r="H631" i="3" s="1"/>
  <c r="D631" i="3"/>
  <c r="J631" i="3"/>
  <c r="I631" i="3" s="1"/>
  <c r="K631" i="3"/>
  <c r="N631" i="3"/>
  <c r="O631" i="3"/>
  <c r="Q631" i="3"/>
  <c r="A632" i="3"/>
  <c r="B632" i="3"/>
  <c r="C632" i="3"/>
  <c r="D632" i="3"/>
  <c r="E632" i="3"/>
  <c r="H632" i="3" s="1"/>
  <c r="J632" i="3"/>
  <c r="I632" i="3" s="1"/>
  <c r="K632" i="3"/>
  <c r="N632" i="3"/>
  <c r="O632" i="3"/>
  <c r="Q632" i="3"/>
  <c r="A633" i="3"/>
  <c r="B633" i="3"/>
  <c r="C633" i="3"/>
  <c r="D633" i="3"/>
  <c r="F633" i="3"/>
  <c r="J633" i="3"/>
  <c r="I633" i="3" s="1"/>
  <c r="K633" i="3"/>
  <c r="N633" i="3"/>
  <c r="O633" i="3"/>
  <c r="Q633" i="3"/>
  <c r="A634" i="3"/>
  <c r="B634" i="3"/>
  <c r="C634" i="3"/>
  <c r="M634" i="3" s="1"/>
  <c r="D634" i="3"/>
  <c r="J634" i="3"/>
  <c r="I634" i="3" s="1"/>
  <c r="K634" i="3"/>
  <c r="N634" i="3"/>
  <c r="O634" i="3"/>
  <c r="Q634" i="3"/>
  <c r="A635" i="3"/>
  <c r="B635" i="3"/>
  <c r="C635" i="3"/>
  <c r="D635" i="3"/>
  <c r="J635" i="3"/>
  <c r="I635" i="3" s="1"/>
  <c r="K635" i="3"/>
  <c r="N635" i="3"/>
  <c r="O635" i="3"/>
  <c r="Q635" i="3"/>
  <c r="A636" i="3"/>
  <c r="B636" i="3"/>
  <c r="C636" i="3"/>
  <c r="D636" i="3"/>
  <c r="F636" i="3" s="1"/>
  <c r="J636" i="3"/>
  <c r="I636" i="3" s="1"/>
  <c r="K636" i="3"/>
  <c r="N636" i="3"/>
  <c r="O636" i="3"/>
  <c r="Q636" i="3"/>
  <c r="A637" i="3"/>
  <c r="B637" i="3"/>
  <c r="C637" i="3"/>
  <c r="E637" i="3" s="1"/>
  <c r="D637" i="3"/>
  <c r="J637" i="3"/>
  <c r="I637" i="3" s="1"/>
  <c r="K637" i="3"/>
  <c r="N637" i="3"/>
  <c r="O637" i="3"/>
  <c r="Q637" i="3"/>
  <c r="A638" i="3"/>
  <c r="B638" i="3"/>
  <c r="C638" i="3"/>
  <c r="E638" i="3" s="1"/>
  <c r="D638" i="3"/>
  <c r="J638" i="3"/>
  <c r="I638" i="3" s="1"/>
  <c r="K638" i="3"/>
  <c r="N638" i="3"/>
  <c r="O638" i="3"/>
  <c r="L638" i="3" s="1"/>
  <c r="Q638" i="3"/>
  <c r="A639" i="3"/>
  <c r="B639" i="3"/>
  <c r="C639" i="3"/>
  <c r="D639" i="3"/>
  <c r="L639" i="3" s="1"/>
  <c r="J639" i="3"/>
  <c r="I639" i="3" s="1"/>
  <c r="K639" i="3"/>
  <c r="N639" i="3"/>
  <c r="O639" i="3"/>
  <c r="Q639" i="3"/>
  <c r="A640" i="3"/>
  <c r="B640" i="3"/>
  <c r="C640" i="3"/>
  <c r="D640" i="3"/>
  <c r="G640" i="3" s="1"/>
  <c r="J640" i="3"/>
  <c r="I640" i="3" s="1"/>
  <c r="K640" i="3"/>
  <c r="N640" i="3"/>
  <c r="O640" i="3"/>
  <c r="Q640" i="3"/>
  <c r="A641" i="3"/>
  <c r="B641" i="3"/>
  <c r="C641" i="3"/>
  <c r="D641" i="3"/>
  <c r="E641" i="3" s="1"/>
  <c r="I641" i="3"/>
  <c r="J641" i="3"/>
  <c r="K641" i="3"/>
  <c r="N641" i="3"/>
  <c r="O641" i="3"/>
  <c r="Q641" i="3"/>
  <c r="A642" i="3"/>
  <c r="B642" i="3"/>
  <c r="C642" i="3"/>
  <c r="F642" i="3" s="1"/>
  <c r="D642" i="3"/>
  <c r="J642" i="3"/>
  <c r="I642" i="3" s="1"/>
  <c r="K642" i="3"/>
  <c r="N642" i="3"/>
  <c r="O642" i="3"/>
  <c r="Q642" i="3"/>
  <c r="A643" i="3"/>
  <c r="B643" i="3"/>
  <c r="C643" i="3"/>
  <c r="D643" i="3"/>
  <c r="G643" i="3"/>
  <c r="J643" i="3"/>
  <c r="I643" i="3" s="1"/>
  <c r="K643" i="3"/>
  <c r="N643" i="3"/>
  <c r="O643" i="3"/>
  <c r="Q643" i="3"/>
  <c r="A644" i="3"/>
  <c r="B644" i="3"/>
  <c r="C644" i="3"/>
  <c r="D644" i="3"/>
  <c r="I644" i="3"/>
  <c r="J644" i="3"/>
  <c r="K644" i="3"/>
  <c r="N644" i="3"/>
  <c r="O644" i="3"/>
  <c r="Q644" i="3"/>
  <c r="A645" i="3"/>
  <c r="B645" i="3"/>
  <c r="C645" i="3"/>
  <c r="D645" i="3"/>
  <c r="F645" i="3"/>
  <c r="J645" i="3"/>
  <c r="I645" i="3" s="1"/>
  <c r="K645" i="3"/>
  <c r="M645" i="3"/>
  <c r="N645" i="3"/>
  <c r="O645" i="3"/>
  <c r="Q645" i="3"/>
  <c r="A646" i="3"/>
  <c r="B646" i="3"/>
  <c r="C646" i="3"/>
  <c r="D646" i="3"/>
  <c r="L646" i="3" s="1"/>
  <c r="J646" i="3"/>
  <c r="I646" i="3" s="1"/>
  <c r="K646" i="3"/>
  <c r="N646" i="3"/>
  <c r="O646" i="3"/>
  <c r="Q646" i="3"/>
  <c r="A647" i="3"/>
  <c r="B647" i="3"/>
  <c r="C647" i="3"/>
  <c r="W647" i="3" s="1"/>
  <c r="D647" i="3"/>
  <c r="J647" i="3"/>
  <c r="I647" i="3" s="1"/>
  <c r="K647" i="3"/>
  <c r="N647" i="3"/>
  <c r="O647" i="3"/>
  <c r="L647" i="3" s="1"/>
  <c r="Q647" i="3"/>
  <c r="A648" i="3"/>
  <c r="B648" i="3"/>
  <c r="C648" i="3"/>
  <c r="D648" i="3"/>
  <c r="J648" i="3"/>
  <c r="I648" i="3" s="1"/>
  <c r="K648" i="3"/>
  <c r="N648" i="3"/>
  <c r="O648" i="3"/>
  <c r="Q648" i="3"/>
  <c r="A649" i="3"/>
  <c r="B649" i="3"/>
  <c r="C649" i="3"/>
  <c r="D649" i="3"/>
  <c r="F649" i="3" s="1"/>
  <c r="J649" i="3"/>
  <c r="I649" i="3" s="1"/>
  <c r="K649" i="3"/>
  <c r="N649" i="3"/>
  <c r="O649" i="3"/>
  <c r="Q649" i="3"/>
  <c r="A650" i="3"/>
  <c r="B650" i="3"/>
  <c r="C650" i="3"/>
  <c r="D650" i="3"/>
  <c r="J650" i="3"/>
  <c r="I650" i="3" s="1"/>
  <c r="K650" i="3"/>
  <c r="N650" i="3"/>
  <c r="O650" i="3"/>
  <c r="Q650" i="3"/>
  <c r="A651" i="3"/>
  <c r="B651" i="3"/>
  <c r="C651" i="3"/>
  <c r="D651" i="3"/>
  <c r="G651" i="3"/>
  <c r="J651" i="3"/>
  <c r="I651" i="3" s="1"/>
  <c r="K651" i="3"/>
  <c r="N651" i="3"/>
  <c r="O651" i="3"/>
  <c r="Q651" i="3"/>
  <c r="A652" i="3"/>
  <c r="B652" i="3"/>
  <c r="C652" i="3"/>
  <c r="G652" i="3" s="1"/>
  <c r="D652" i="3"/>
  <c r="J652" i="3"/>
  <c r="I652" i="3" s="1"/>
  <c r="K652" i="3"/>
  <c r="N652" i="3"/>
  <c r="O652" i="3"/>
  <c r="Q652" i="3"/>
  <c r="A653" i="3"/>
  <c r="B653" i="3"/>
  <c r="C653" i="3"/>
  <c r="M653" i="3" s="1"/>
  <c r="D653" i="3"/>
  <c r="J653" i="3"/>
  <c r="I653" i="3" s="1"/>
  <c r="K653" i="3"/>
  <c r="L653" i="3"/>
  <c r="N653" i="3"/>
  <c r="O653" i="3"/>
  <c r="Q653" i="3"/>
  <c r="A654" i="3"/>
  <c r="B654" i="3"/>
  <c r="C654" i="3"/>
  <c r="W654" i="3" s="1"/>
  <c r="D654" i="3"/>
  <c r="J654" i="3"/>
  <c r="I654" i="3" s="1"/>
  <c r="K654" i="3"/>
  <c r="N654" i="3"/>
  <c r="O654" i="3"/>
  <c r="Q654" i="3"/>
  <c r="A655" i="3"/>
  <c r="B655" i="3"/>
  <c r="C655" i="3"/>
  <c r="W655" i="3" s="1"/>
  <c r="D655" i="3"/>
  <c r="J655" i="3"/>
  <c r="I655" i="3" s="1"/>
  <c r="K655" i="3"/>
  <c r="N655" i="3"/>
  <c r="O655" i="3"/>
  <c r="L655" i="3" s="1"/>
  <c r="Q655" i="3"/>
  <c r="A656" i="3"/>
  <c r="B656" i="3"/>
  <c r="C656" i="3"/>
  <c r="G656" i="3" s="1"/>
  <c r="D656" i="3"/>
  <c r="J656" i="3"/>
  <c r="I656" i="3" s="1"/>
  <c r="K656" i="3"/>
  <c r="N656" i="3"/>
  <c r="O656" i="3"/>
  <c r="Q656" i="3"/>
  <c r="A657" i="3"/>
  <c r="B657" i="3"/>
  <c r="C657" i="3"/>
  <c r="W657" i="3" s="1"/>
  <c r="D657" i="3"/>
  <c r="J657" i="3"/>
  <c r="I657" i="3" s="1"/>
  <c r="K657" i="3"/>
  <c r="N657" i="3"/>
  <c r="O657" i="3"/>
  <c r="L657" i="3" s="1"/>
  <c r="Q657" i="3"/>
  <c r="A658" i="3"/>
  <c r="B658" i="3"/>
  <c r="C658" i="3"/>
  <c r="D658" i="3"/>
  <c r="M658" i="3" s="1"/>
  <c r="J658" i="3"/>
  <c r="I658" i="3" s="1"/>
  <c r="K658" i="3"/>
  <c r="N658" i="3"/>
  <c r="O658" i="3"/>
  <c r="Q658" i="3"/>
  <c r="A659" i="3"/>
  <c r="B659" i="3"/>
  <c r="C659" i="3"/>
  <c r="D659" i="3"/>
  <c r="G659" i="3"/>
  <c r="J659" i="3"/>
  <c r="I659" i="3" s="1"/>
  <c r="K659" i="3"/>
  <c r="N659" i="3"/>
  <c r="O659" i="3"/>
  <c r="Q659" i="3"/>
  <c r="A660" i="3"/>
  <c r="B660" i="3"/>
  <c r="C660" i="3"/>
  <c r="G660" i="3" s="1"/>
  <c r="D660" i="3"/>
  <c r="F660" i="3"/>
  <c r="I660" i="3"/>
  <c r="J660" i="3"/>
  <c r="K660" i="3"/>
  <c r="N660" i="3"/>
  <c r="O660" i="3"/>
  <c r="Q660" i="3"/>
  <c r="A661" i="3"/>
  <c r="B661" i="3"/>
  <c r="C661" i="3"/>
  <c r="D661" i="3"/>
  <c r="E661" i="3"/>
  <c r="J661" i="3"/>
  <c r="I661" i="3" s="1"/>
  <c r="K661" i="3"/>
  <c r="M661" i="3"/>
  <c r="N661" i="3"/>
  <c r="O661" i="3"/>
  <c r="L661" i="3" s="1"/>
  <c r="Q661" i="3"/>
  <c r="A662" i="3"/>
  <c r="B662" i="3"/>
  <c r="C662" i="3"/>
  <c r="D662" i="3"/>
  <c r="J662" i="3"/>
  <c r="I662" i="3" s="1"/>
  <c r="K662" i="3"/>
  <c r="N662" i="3"/>
  <c r="O662" i="3"/>
  <c r="L662" i="3" s="1"/>
  <c r="Q662" i="3"/>
  <c r="A663" i="3"/>
  <c r="B663" i="3"/>
  <c r="C663" i="3"/>
  <c r="D663" i="3"/>
  <c r="J663" i="3"/>
  <c r="I663" i="3" s="1"/>
  <c r="K663" i="3"/>
  <c r="L663" i="3"/>
  <c r="N663" i="3"/>
  <c r="O663" i="3"/>
  <c r="Q663" i="3"/>
  <c r="A664" i="3"/>
  <c r="B664" i="3"/>
  <c r="C664" i="3"/>
  <c r="G664" i="3" s="1"/>
  <c r="D664" i="3"/>
  <c r="J664" i="3"/>
  <c r="I664" i="3" s="1"/>
  <c r="K664" i="3"/>
  <c r="N664" i="3"/>
  <c r="O664" i="3"/>
  <c r="Q664" i="3"/>
  <c r="A665" i="3"/>
  <c r="B665" i="3"/>
  <c r="C665" i="3"/>
  <c r="F665" i="3" s="1"/>
  <c r="D665" i="3"/>
  <c r="I665" i="3"/>
  <c r="J665" i="3"/>
  <c r="K665" i="3"/>
  <c r="N665" i="3"/>
  <c r="O665" i="3"/>
  <c r="L665" i="3" s="1"/>
  <c r="Q665" i="3"/>
  <c r="A666" i="3"/>
  <c r="B666" i="3"/>
  <c r="C666" i="3"/>
  <c r="D666" i="3"/>
  <c r="J666" i="3"/>
  <c r="I666" i="3" s="1"/>
  <c r="K666" i="3"/>
  <c r="N666" i="3"/>
  <c r="O666" i="3"/>
  <c r="Q666" i="3"/>
  <c r="A667" i="3"/>
  <c r="B667" i="3"/>
  <c r="C667" i="3"/>
  <c r="D667" i="3"/>
  <c r="J667" i="3"/>
  <c r="I667" i="3" s="1"/>
  <c r="K667" i="3"/>
  <c r="N667" i="3"/>
  <c r="O667" i="3"/>
  <c r="L667" i="3" s="1"/>
  <c r="Q667" i="3"/>
  <c r="A668" i="3"/>
  <c r="B668" i="3"/>
  <c r="C668" i="3"/>
  <c r="D668" i="3"/>
  <c r="J668" i="3"/>
  <c r="I668" i="3" s="1"/>
  <c r="K668" i="3"/>
  <c r="N668" i="3"/>
  <c r="O668" i="3"/>
  <c r="Q668" i="3"/>
  <c r="A669" i="3"/>
  <c r="B669" i="3"/>
  <c r="C669" i="3"/>
  <c r="D669" i="3"/>
  <c r="L669" i="3" s="1"/>
  <c r="E669" i="3"/>
  <c r="J669" i="3"/>
  <c r="I669" i="3" s="1"/>
  <c r="K669" i="3"/>
  <c r="N669" i="3"/>
  <c r="O669" i="3"/>
  <c r="Q669" i="3"/>
  <c r="A670" i="3"/>
  <c r="B670" i="3"/>
  <c r="C670" i="3"/>
  <c r="W670" i="3" s="1"/>
  <c r="D670" i="3"/>
  <c r="J670" i="3"/>
  <c r="I670" i="3" s="1"/>
  <c r="K670" i="3"/>
  <c r="N670" i="3"/>
  <c r="O670" i="3"/>
  <c r="L670" i="3" s="1"/>
  <c r="Q670" i="3"/>
  <c r="A671" i="3"/>
  <c r="B671" i="3"/>
  <c r="C671" i="3"/>
  <c r="D671" i="3"/>
  <c r="J671" i="3"/>
  <c r="I671" i="3" s="1"/>
  <c r="K671" i="3"/>
  <c r="N671" i="3"/>
  <c r="O671" i="3"/>
  <c r="Q671" i="3"/>
  <c r="A672" i="3"/>
  <c r="B672" i="3"/>
  <c r="C672" i="3"/>
  <c r="D672" i="3"/>
  <c r="J672" i="3"/>
  <c r="I672" i="3" s="1"/>
  <c r="K672" i="3"/>
  <c r="N672" i="3"/>
  <c r="O672" i="3"/>
  <c r="Q672" i="3"/>
  <c r="A673" i="3"/>
  <c r="B673" i="3"/>
  <c r="C673" i="3"/>
  <c r="D673" i="3"/>
  <c r="E673" i="3" s="1"/>
  <c r="I673" i="3"/>
  <c r="J673" i="3"/>
  <c r="K673" i="3"/>
  <c r="N673" i="3"/>
  <c r="O673" i="3"/>
  <c r="Q673" i="3"/>
  <c r="A674" i="3"/>
  <c r="B674" i="3"/>
  <c r="C674" i="3"/>
  <c r="E674" i="3" s="1"/>
  <c r="H674" i="3" s="1"/>
  <c r="D674" i="3"/>
  <c r="J674" i="3"/>
  <c r="I674" i="3" s="1"/>
  <c r="K674" i="3"/>
  <c r="N674" i="3"/>
  <c r="O674" i="3"/>
  <c r="L674" i="3" s="1"/>
  <c r="Q674" i="3"/>
  <c r="A675" i="3"/>
  <c r="B675" i="3"/>
  <c r="C675" i="3"/>
  <c r="E675" i="3" s="1"/>
  <c r="D675" i="3"/>
  <c r="G675" i="3"/>
  <c r="J675" i="3"/>
  <c r="I675" i="3" s="1"/>
  <c r="K675" i="3"/>
  <c r="N675" i="3"/>
  <c r="O675" i="3"/>
  <c r="Q675" i="3"/>
  <c r="A676" i="3"/>
  <c r="B676" i="3"/>
  <c r="C676" i="3"/>
  <c r="D676" i="3"/>
  <c r="I676" i="3"/>
  <c r="J676" i="3"/>
  <c r="K676" i="3"/>
  <c r="N676" i="3"/>
  <c r="O676" i="3"/>
  <c r="Q676" i="3"/>
  <c r="A677" i="3"/>
  <c r="B677" i="3"/>
  <c r="C677" i="3"/>
  <c r="W677" i="3" s="1"/>
  <c r="D677" i="3"/>
  <c r="J677" i="3"/>
  <c r="I677" i="3" s="1"/>
  <c r="K677" i="3"/>
  <c r="L677" i="3"/>
  <c r="N677" i="3"/>
  <c r="O677" i="3"/>
  <c r="Q677" i="3"/>
  <c r="A678" i="3"/>
  <c r="B678" i="3"/>
  <c r="C678" i="3"/>
  <c r="D678" i="3"/>
  <c r="L678" i="3" s="1"/>
  <c r="J678" i="3"/>
  <c r="I678" i="3" s="1"/>
  <c r="K678" i="3"/>
  <c r="N678" i="3"/>
  <c r="O678" i="3"/>
  <c r="Q678" i="3"/>
  <c r="A679" i="3"/>
  <c r="B679" i="3"/>
  <c r="C679" i="3"/>
  <c r="D679" i="3"/>
  <c r="J679" i="3"/>
  <c r="I679" i="3" s="1"/>
  <c r="K679" i="3"/>
  <c r="N679" i="3"/>
  <c r="O679" i="3"/>
  <c r="L679" i="3" s="1"/>
  <c r="Q679" i="3"/>
  <c r="A680" i="3"/>
  <c r="B680" i="3"/>
  <c r="C680" i="3"/>
  <c r="E680" i="3" s="1"/>
  <c r="D680" i="3"/>
  <c r="J680" i="3"/>
  <c r="I680" i="3" s="1"/>
  <c r="K680" i="3"/>
  <c r="N680" i="3"/>
  <c r="O680" i="3"/>
  <c r="Q680" i="3"/>
  <c r="A681" i="3"/>
  <c r="B681" i="3"/>
  <c r="C681" i="3"/>
  <c r="D681" i="3"/>
  <c r="E681" i="3" s="1"/>
  <c r="J681" i="3"/>
  <c r="I681" i="3" s="1"/>
  <c r="K681" i="3"/>
  <c r="N681" i="3"/>
  <c r="O681" i="3"/>
  <c r="L681" i="3" s="1"/>
  <c r="Q681" i="3"/>
  <c r="A682" i="3"/>
  <c r="B682" i="3"/>
  <c r="C682" i="3"/>
  <c r="D682" i="3"/>
  <c r="E682" i="3" s="1"/>
  <c r="H682" i="3" s="1"/>
  <c r="J682" i="3"/>
  <c r="I682" i="3" s="1"/>
  <c r="K682" i="3"/>
  <c r="N682" i="3"/>
  <c r="O682" i="3"/>
  <c r="Q682" i="3"/>
  <c r="A683" i="3"/>
  <c r="B683" i="3"/>
  <c r="C683" i="3"/>
  <c r="E683" i="3" s="1"/>
  <c r="D683" i="3"/>
  <c r="G683" i="3"/>
  <c r="J683" i="3"/>
  <c r="I683" i="3" s="1"/>
  <c r="K683" i="3"/>
  <c r="N683" i="3"/>
  <c r="O683" i="3"/>
  <c r="L683" i="3" s="1"/>
  <c r="Q683" i="3"/>
  <c r="A684" i="3"/>
  <c r="B684" i="3"/>
  <c r="C684" i="3"/>
  <c r="D684" i="3"/>
  <c r="G684" i="3"/>
  <c r="J684" i="3"/>
  <c r="I684" i="3" s="1"/>
  <c r="K684" i="3"/>
  <c r="N684" i="3"/>
  <c r="O684" i="3"/>
  <c r="Q684" i="3"/>
  <c r="A685" i="3"/>
  <c r="B685" i="3"/>
  <c r="C685" i="3"/>
  <c r="D685" i="3"/>
  <c r="J685" i="3"/>
  <c r="I685" i="3" s="1"/>
  <c r="K685" i="3"/>
  <c r="N685" i="3"/>
  <c r="O685" i="3"/>
  <c r="Q685" i="3"/>
  <c r="A686" i="3"/>
  <c r="B686" i="3"/>
  <c r="C686" i="3"/>
  <c r="D686" i="3"/>
  <c r="J686" i="3"/>
  <c r="I686" i="3" s="1"/>
  <c r="K686" i="3"/>
  <c r="L686" i="3"/>
  <c r="N686" i="3"/>
  <c r="O686" i="3"/>
  <c r="Q686" i="3"/>
  <c r="A687" i="3"/>
  <c r="B687" i="3"/>
  <c r="C687" i="3"/>
  <c r="W687" i="3" s="1"/>
  <c r="D687" i="3"/>
  <c r="J687" i="3"/>
  <c r="I687" i="3" s="1"/>
  <c r="K687" i="3"/>
  <c r="N687" i="3"/>
  <c r="O687" i="3"/>
  <c r="Q687" i="3"/>
  <c r="A688" i="3"/>
  <c r="B688" i="3"/>
  <c r="C688" i="3"/>
  <c r="D688" i="3"/>
  <c r="J688" i="3"/>
  <c r="I688" i="3" s="1"/>
  <c r="K688" i="3"/>
  <c r="N688" i="3"/>
  <c r="O688" i="3"/>
  <c r="Q688" i="3"/>
  <c r="A689" i="3"/>
  <c r="B689" i="3"/>
  <c r="C689" i="3"/>
  <c r="D689" i="3"/>
  <c r="J689" i="3"/>
  <c r="I689" i="3" s="1"/>
  <c r="K689" i="3"/>
  <c r="N689" i="3"/>
  <c r="O689" i="3"/>
  <c r="Q689" i="3"/>
  <c r="A690" i="3"/>
  <c r="B690" i="3"/>
  <c r="C690" i="3"/>
  <c r="D690" i="3"/>
  <c r="J690" i="3"/>
  <c r="I690" i="3" s="1"/>
  <c r="K690" i="3"/>
  <c r="N690" i="3"/>
  <c r="O690" i="3"/>
  <c r="Q690" i="3"/>
  <c r="A691" i="3"/>
  <c r="B691" i="3"/>
  <c r="C691" i="3"/>
  <c r="D691" i="3"/>
  <c r="F691" i="3" s="1"/>
  <c r="J691" i="3"/>
  <c r="I691" i="3" s="1"/>
  <c r="K691" i="3"/>
  <c r="N691" i="3"/>
  <c r="O691" i="3"/>
  <c r="Q691" i="3"/>
  <c r="A692" i="3"/>
  <c r="B692" i="3"/>
  <c r="C692" i="3"/>
  <c r="D692" i="3"/>
  <c r="F692" i="3"/>
  <c r="J692" i="3"/>
  <c r="I692" i="3" s="1"/>
  <c r="K692" i="3"/>
  <c r="N692" i="3"/>
  <c r="O692" i="3"/>
  <c r="L692" i="3" s="1"/>
  <c r="Q692" i="3"/>
  <c r="A693" i="3"/>
  <c r="B693" i="3"/>
  <c r="C693" i="3"/>
  <c r="E693" i="3" s="1"/>
  <c r="D693" i="3"/>
  <c r="F693" i="3"/>
  <c r="J693" i="3"/>
  <c r="I693" i="3" s="1"/>
  <c r="K693" i="3"/>
  <c r="N693" i="3"/>
  <c r="O693" i="3"/>
  <c r="Q693" i="3"/>
  <c r="A694" i="3"/>
  <c r="B694" i="3"/>
  <c r="C694" i="3"/>
  <c r="D694" i="3"/>
  <c r="J694" i="3"/>
  <c r="I694" i="3" s="1"/>
  <c r="K694" i="3"/>
  <c r="N694" i="3"/>
  <c r="O694" i="3"/>
  <c r="L694" i="3" s="1"/>
  <c r="Q694" i="3"/>
  <c r="A695" i="3"/>
  <c r="B695" i="3"/>
  <c r="C695" i="3"/>
  <c r="D695" i="3"/>
  <c r="L695" i="3" s="1"/>
  <c r="J695" i="3"/>
  <c r="I695" i="3" s="1"/>
  <c r="K695" i="3"/>
  <c r="N695" i="3"/>
  <c r="O695" i="3"/>
  <c r="Q695" i="3"/>
  <c r="A696" i="3"/>
  <c r="B696" i="3"/>
  <c r="C696" i="3"/>
  <c r="G696" i="3" s="1"/>
  <c r="D696" i="3"/>
  <c r="J696" i="3"/>
  <c r="I696" i="3" s="1"/>
  <c r="K696" i="3"/>
  <c r="N696" i="3"/>
  <c r="O696" i="3"/>
  <c r="Q696" i="3"/>
  <c r="A697" i="3"/>
  <c r="B697" i="3"/>
  <c r="C697" i="3"/>
  <c r="D697" i="3"/>
  <c r="E697" i="3" s="1"/>
  <c r="I697" i="3"/>
  <c r="J697" i="3"/>
  <c r="K697" i="3"/>
  <c r="N697" i="3"/>
  <c r="O697" i="3"/>
  <c r="Q697" i="3"/>
  <c r="A698" i="3"/>
  <c r="B698" i="3"/>
  <c r="C698" i="3"/>
  <c r="D698" i="3"/>
  <c r="J698" i="3"/>
  <c r="I698" i="3" s="1"/>
  <c r="K698" i="3"/>
  <c r="N698" i="3"/>
  <c r="O698" i="3"/>
  <c r="Q698" i="3"/>
  <c r="A699" i="3"/>
  <c r="B699" i="3"/>
  <c r="C699" i="3"/>
  <c r="D699" i="3"/>
  <c r="J699" i="3"/>
  <c r="I699" i="3" s="1"/>
  <c r="K699" i="3"/>
  <c r="N699" i="3"/>
  <c r="O699" i="3"/>
  <c r="Q699" i="3"/>
  <c r="A700" i="3"/>
  <c r="B700" i="3"/>
  <c r="C700" i="3"/>
  <c r="W700" i="3" s="1"/>
  <c r="D700" i="3"/>
  <c r="J700" i="3"/>
  <c r="I700" i="3" s="1"/>
  <c r="K700" i="3"/>
  <c r="N700" i="3"/>
  <c r="O700" i="3"/>
  <c r="L700" i="3" s="1"/>
  <c r="Q700" i="3"/>
  <c r="A701" i="3"/>
  <c r="B701" i="3"/>
  <c r="C701" i="3"/>
  <c r="M701" i="3" s="1"/>
  <c r="D701" i="3"/>
  <c r="F701" i="3" s="1"/>
  <c r="J701" i="3"/>
  <c r="I701" i="3" s="1"/>
  <c r="K701" i="3"/>
  <c r="N701" i="3"/>
  <c r="O701" i="3"/>
  <c r="L701" i="3" s="1"/>
  <c r="Q701" i="3"/>
  <c r="A702" i="3"/>
  <c r="B702" i="3"/>
  <c r="C702" i="3"/>
  <c r="W702" i="3" s="1"/>
  <c r="D702" i="3"/>
  <c r="J702" i="3"/>
  <c r="I702" i="3" s="1"/>
  <c r="K702" i="3"/>
  <c r="N702" i="3"/>
  <c r="O702" i="3"/>
  <c r="Q702" i="3"/>
  <c r="A703" i="3"/>
  <c r="B703" i="3"/>
  <c r="C703" i="3"/>
  <c r="W703" i="3" s="1"/>
  <c r="D703" i="3"/>
  <c r="J703" i="3"/>
  <c r="I703" i="3" s="1"/>
  <c r="K703" i="3"/>
  <c r="N703" i="3"/>
  <c r="O703" i="3"/>
  <c r="L703" i="3" s="1"/>
  <c r="Q703" i="3"/>
  <c r="A704" i="3"/>
  <c r="B704" i="3"/>
  <c r="C704" i="3"/>
  <c r="D704" i="3"/>
  <c r="J704" i="3"/>
  <c r="I704" i="3" s="1"/>
  <c r="K704" i="3"/>
  <c r="N704" i="3"/>
  <c r="O704" i="3"/>
  <c r="Q704" i="3"/>
  <c r="A705" i="3"/>
  <c r="B705" i="3"/>
  <c r="C705" i="3"/>
  <c r="W705" i="3" s="1"/>
  <c r="D705" i="3"/>
  <c r="E705" i="3" s="1"/>
  <c r="J705" i="3"/>
  <c r="I705" i="3" s="1"/>
  <c r="K705" i="3"/>
  <c r="N705" i="3"/>
  <c r="O705" i="3"/>
  <c r="Q705" i="3"/>
  <c r="A706" i="3"/>
  <c r="B706" i="3"/>
  <c r="C706" i="3"/>
  <c r="D706" i="3"/>
  <c r="J706" i="3"/>
  <c r="I706" i="3" s="1"/>
  <c r="K706" i="3"/>
  <c r="N706" i="3"/>
  <c r="O706" i="3"/>
  <c r="Q706" i="3"/>
  <c r="A707" i="3"/>
  <c r="B707" i="3"/>
  <c r="C707" i="3"/>
  <c r="D707" i="3"/>
  <c r="F707" i="3" s="1"/>
  <c r="J707" i="3"/>
  <c r="I707" i="3" s="1"/>
  <c r="K707" i="3"/>
  <c r="N707" i="3"/>
  <c r="O707" i="3"/>
  <c r="L707" i="3" s="1"/>
  <c r="Q707" i="3"/>
  <c r="A708" i="3"/>
  <c r="B708" i="3"/>
  <c r="C708" i="3"/>
  <c r="D708" i="3"/>
  <c r="J708" i="3"/>
  <c r="I708" i="3" s="1"/>
  <c r="K708" i="3"/>
  <c r="N708" i="3"/>
  <c r="O708" i="3"/>
  <c r="Q708" i="3"/>
  <c r="A709" i="3"/>
  <c r="B709" i="3"/>
  <c r="C709" i="3"/>
  <c r="F709" i="3" s="1"/>
  <c r="D709" i="3"/>
  <c r="J709" i="3"/>
  <c r="I709" i="3" s="1"/>
  <c r="K709" i="3"/>
  <c r="N709" i="3"/>
  <c r="O709" i="3"/>
  <c r="Q709" i="3"/>
  <c r="A710" i="3"/>
  <c r="B710" i="3"/>
  <c r="C710" i="3"/>
  <c r="D710" i="3"/>
  <c r="I710" i="3"/>
  <c r="J710" i="3"/>
  <c r="K710" i="3"/>
  <c r="N710" i="3"/>
  <c r="O710" i="3"/>
  <c r="L710" i="3" s="1"/>
  <c r="Q710" i="3"/>
  <c r="A711" i="3"/>
  <c r="B711" i="3"/>
  <c r="C711" i="3"/>
  <c r="D711" i="3"/>
  <c r="J711" i="3"/>
  <c r="I711" i="3" s="1"/>
  <c r="K711" i="3"/>
  <c r="N711" i="3"/>
  <c r="O711" i="3"/>
  <c r="Q711" i="3"/>
  <c r="A712" i="3"/>
  <c r="B712" i="3"/>
  <c r="C712" i="3"/>
  <c r="G712" i="3" s="1"/>
  <c r="D712" i="3"/>
  <c r="J712" i="3"/>
  <c r="I712" i="3" s="1"/>
  <c r="K712" i="3"/>
  <c r="N712" i="3"/>
  <c r="O712" i="3"/>
  <c r="L712" i="3" s="1"/>
  <c r="Q712" i="3"/>
  <c r="A713" i="3"/>
  <c r="B713" i="3"/>
  <c r="C713" i="3"/>
  <c r="F713" i="3" s="1"/>
  <c r="D713" i="3"/>
  <c r="I713" i="3"/>
  <c r="J713" i="3"/>
  <c r="K713" i="3"/>
  <c r="N713" i="3"/>
  <c r="O713" i="3"/>
  <c r="Q713" i="3"/>
  <c r="A714" i="3"/>
  <c r="B714" i="3"/>
  <c r="C714" i="3"/>
  <c r="D714" i="3"/>
  <c r="I714" i="3"/>
  <c r="J714" i="3"/>
  <c r="K714" i="3"/>
  <c r="N714" i="3"/>
  <c r="O714" i="3"/>
  <c r="Q714" i="3"/>
  <c r="A715" i="3"/>
  <c r="B715" i="3"/>
  <c r="C715" i="3"/>
  <c r="W715" i="3" s="1"/>
  <c r="D715" i="3"/>
  <c r="J715" i="3"/>
  <c r="I715" i="3" s="1"/>
  <c r="K715" i="3"/>
  <c r="N715" i="3"/>
  <c r="O715" i="3"/>
  <c r="Q715" i="3"/>
  <c r="A716" i="3"/>
  <c r="B716" i="3"/>
  <c r="C716" i="3"/>
  <c r="D716" i="3"/>
  <c r="G716" i="3"/>
  <c r="J716" i="3"/>
  <c r="I716" i="3" s="1"/>
  <c r="K716" i="3"/>
  <c r="N716" i="3"/>
  <c r="O716" i="3"/>
  <c r="Q716" i="3"/>
  <c r="A717" i="3"/>
  <c r="B717" i="3"/>
  <c r="C717" i="3"/>
  <c r="D717" i="3"/>
  <c r="J717" i="3"/>
  <c r="I717" i="3" s="1"/>
  <c r="K717" i="3"/>
  <c r="N717" i="3"/>
  <c r="O717" i="3"/>
  <c r="L717" i="3" s="1"/>
  <c r="Q717" i="3"/>
  <c r="A718" i="3"/>
  <c r="B718" i="3"/>
  <c r="C718" i="3"/>
  <c r="W718" i="3" s="1"/>
  <c r="D718" i="3"/>
  <c r="I718" i="3"/>
  <c r="J718" i="3"/>
  <c r="K718" i="3"/>
  <c r="M718" i="3"/>
  <c r="N718" i="3"/>
  <c r="O718" i="3"/>
  <c r="Q718" i="3"/>
  <c r="A719" i="3"/>
  <c r="B719" i="3"/>
  <c r="C719" i="3"/>
  <c r="D719" i="3"/>
  <c r="J719" i="3"/>
  <c r="I719" i="3" s="1"/>
  <c r="K719" i="3"/>
  <c r="N719" i="3"/>
  <c r="O719" i="3"/>
  <c r="Q719" i="3"/>
  <c r="A720" i="3"/>
  <c r="B720" i="3"/>
  <c r="C720" i="3"/>
  <c r="D720" i="3"/>
  <c r="J720" i="3"/>
  <c r="I720" i="3" s="1"/>
  <c r="K720" i="3"/>
  <c r="N720" i="3"/>
  <c r="O720" i="3"/>
  <c r="Q720" i="3"/>
  <c r="A721" i="3"/>
  <c r="B721" i="3"/>
  <c r="C721" i="3"/>
  <c r="D721" i="3"/>
  <c r="F721" i="3" s="1"/>
  <c r="J721" i="3"/>
  <c r="I721" i="3" s="1"/>
  <c r="K721" i="3"/>
  <c r="N721" i="3"/>
  <c r="O721" i="3"/>
  <c r="Q721" i="3"/>
  <c r="A722" i="3"/>
  <c r="B722" i="3"/>
  <c r="C722" i="3"/>
  <c r="M722" i="3" s="1"/>
  <c r="D722" i="3"/>
  <c r="E722" i="3" s="1"/>
  <c r="H722" i="3" s="1"/>
  <c r="I722" i="3"/>
  <c r="J722" i="3"/>
  <c r="K722" i="3"/>
  <c r="N722" i="3"/>
  <c r="O722" i="3"/>
  <c r="L722" i="3" s="1"/>
  <c r="Q722" i="3"/>
  <c r="A723" i="3"/>
  <c r="B723" i="3"/>
  <c r="C723" i="3"/>
  <c r="D723" i="3"/>
  <c r="G723" i="3" s="1"/>
  <c r="J723" i="3"/>
  <c r="I723" i="3" s="1"/>
  <c r="K723" i="3"/>
  <c r="N723" i="3"/>
  <c r="O723" i="3"/>
  <c r="L723" i="3" s="1"/>
  <c r="Q723" i="3"/>
  <c r="A724" i="3"/>
  <c r="B724" i="3"/>
  <c r="C724" i="3"/>
  <c r="D724" i="3"/>
  <c r="J724" i="3"/>
  <c r="I724" i="3" s="1"/>
  <c r="K724" i="3"/>
  <c r="N724" i="3"/>
  <c r="O724" i="3"/>
  <c r="Q724" i="3"/>
  <c r="A725" i="3"/>
  <c r="B725" i="3"/>
  <c r="C725" i="3"/>
  <c r="D725" i="3"/>
  <c r="J725" i="3"/>
  <c r="I725" i="3" s="1"/>
  <c r="K725" i="3"/>
  <c r="N725" i="3"/>
  <c r="O725" i="3"/>
  <c r="L725" i="3" s="1"/>
  <c r="Q725" i="3"/>
  <c r="A726" i="3"/>
  <c r="B726" i="3"/>
  <c r="C726" i="3"/>
  <c r="M726" i="3" s="1"/>
  <c r="D726" i="3"/>
  <c r="G726" i="3" s="1"/>
  <c r="J726" i="3"/>
  <c r="I726" i="3" s="1"/>
  <c r="K726" i="3"/>
  <c r="N726" i="3"/>
  <c r="O726" i="3"/>
  <c r="Q726" i="3"/>
  <c r="A727" i="3"/>
  <c r="B727" i="3"/>
  <c r="C727" i="3"/>
  <c r="W727" i="3" s="1"/>
  <c r="D727" i="3"/>
  <c r="J727" i="3"/>
  <c r="I727" i="3" s="1"/>
  <c r="K727" i="3"/>
  <c r="N727" i="3"/>
  <c r="O727" i="3"/>
  <c r="Q727" i="3"/>
  <c r="A728" i="3"/>
  <c r="B728" i="3"/>
  <c r="C728" i="3"/>
  <c r="D728" i="3"/>
  <c r="J728" i="3"/>
  <c r="I728" i="3" s="1"/>
  <c r="K728" i="3"/>
  <c r="N728" i="3"/>
  <c r="O728" i="3"/>
  <c r="Q728" i="3"/>
  <c r="A729" i="3"/>
  <c r="B729" i="3"/>
  <c r="C729" i="3"/>
  <c r="F729" i="3" s="1"/>
  <c r="D729" i="3"/>
  <c r="J729" i="3"/>
  <c r="I729" i="3" s="1"/>
  <c r="K729" i="3"/>
  <c r="N729" i="3"/>
  <c r="O729" i="3"/>
  <c r="L729" i="3" s="1"/>
  <c r="Q729" i="3"/>
  <c r="A730" i="3"/>
  <c r="B730" i="3"/>
  <c r="C730" i="3"/>
  <c r="D730" i="3"/>
  <c r="E730" i="3"/>
  <c r="H730" i="3" s="1"/>
  <c r="J730" i="3"/>
  <c r="I730" i="3" s="1"/>
  <c r="K730" i="3"/>
  <c r="N730" i="3"/>
  <c r="O730" i="3"/>
  <c r="Q730" i="3"/>
  <c r="A731" i="3"/>
  <c r="B731" i="3"/>
  <c r="C731" i="3"/>
  <c r="D731" i="3"/>
  <c r="J731" i="3"/>
  <c r="I731" i="3" s="1"/>
  <c r="K731" i="3"/>
  <c r="N731" i="3"/>
  <c r="O731" i="3"/>
  <c r="Q731" i="3"/>
  <c r="A732" i="3"/>
  <c r="B732" i="3"/>
  <c r="C732" i="3"/>
  <c r="D732" i="3"/>
  <c r="F732" i="3" s="1"/>
  <c r="I732" i="3"/>
  <c r="J732" i="3"/>
  <c r="K732" i="3"/>
  <c r="N732" i="3"/>
  <c r="O732" i="3"/>
  <c r="Q732" i="3"/>
  <c r="A733" i="3"/>
  <c r="B733" i="3"/>
  <c r="C733" i="3"/>
  <c r="D733" i="3"/>
  <c r="J733" i="3"/>
  <c r="I733" i="3" s="1"/>
  <c r="K733" i="3"/>
  <c r="N733" i="3"/>
  <c r="O733" i="3"/>
  <c r="Q733" i="3"/>
  <c r="A734" i="3"/>
  <c r="B734" i="3"/>
  <c r="C734" i="3"/>
  <c r="D734" i="3"/>
  <c r="I734" i="3"/>
  <c r="J734" i="3"/>
  <c r="K734" i="3"/>
  <c r="N734" i="3"/>
  <c r="O734" i="3"/>
  <c r="L734" i="3" s="1"/>
  <c r="Q734" i="3"/>
  <c r="A735" i="3"/>
  <c r="B735" i="3"/>
  <c r="C735" i="3"/>
  <c r="D735" i="3"/>
  <c r="J735" i="3"/>
  <c r="I735" i="3" s="1"/>
  <c r="K735" i="3"/>
  <c r="N735" i="3"/>
  <c r="O735" i="3"/>
  <c r="Q735" i="3"/>
  <c r="A736" i="3"/>
  <c r="B736" i="3"/>
  <c r="C736" i="3"/>
  <c r="G736" i="3" s="1"/>
  <c r="D736" i="3"/>
  <c r="J736" i="3"/>
  <c r="I736" i="3" s="1"/>
  <c r="K736" i="3"/>
  <c r="N736" i="3"/>
  <c r="O736" i="3"/>
  <c r="Q736" i="3"/>
  <c r="A737" i="3"/>
  <c r="B737" i="3"/>
  <c r="C737" i="3"/>
  <c r="D737" i="3"/>
  <c r="F737" i="3"/>
  <c r="I737" i="3"/>
  <c r="J737" i="3"/>
  <c r="K737" i="3"/>
  <c r="L737" i="3"/>
  <c r="N737" i="3"/>
  <c r="O737" i="3"/>
  <c r="Q737" i="3"/>
  <c r="A738" i="3"/>
  <c r="B738" i="3"/>
  <c r="C738" i="3"/>
  <c r="F738" i="3" s="1"/>
  <c r="D738" i="3"/>
  <c r="E738" i="3"/>
  <c r="H738" i="3" s="1"/>
  <c r="J738" i="3"/>
  <c r="I738" i="3" s="1"/>
  <c r="K738" i="3"/>
  <c r="N738" i="3"/>
  <c r="O738" i="3"/>
  <c r="L738" i="3" s="1"/>
  <c r="Q738" i="3"/>
  <c r="A739" i="3"/>
  <c r="B739" i="3"/>
  <c r="C739" i="3"/>
  <c r="D739" i="3"/>
  <c r="J739" i="3"/>
  <c r="I739" i="3" s="1"/>
  <c r="K739" i="3"/>
  <c r="N739" i="3"/>
  <c r="O739" i="3"/>
  <c r="Q739" i="3"/>
  <c r="A740" i="3"/>
  <c r="B740" i="3"/>
  <c r="C740" i="3"/>
  <c r="D740" i="3"/>
  <c r="J740" i="3"/>
  <c r="I740" i="3" s="1"/>
  <c r="K740" i="3"/>
  <c r="N740" i="3"/>
  <c r="O740" i="3"/>
  <c r="Q740" i="3"/>
  <c r="A741" i="3"/>
  <c r="B741" i="3"/>
  <c r="C741" i="3"/>
  <c r="M741" i="3" s="1"/>
  <c r="D741" i="3"/>
  <c r="E741" i="3" s="1"/>
  <c r="J741" i="3"/>
  <c r="I741" i="3" s="1"/>
  <c r="K741" i="3"/>
  <c r="N741" i="3"/>
  <c r="O741" i="3"/>
  <c r="Q741" i="3"/>
  <c r="A742" i="3"/>
  <c r="B742" i="3"/>
  <c r="C742" i="3"/>
  <c r="W742" i="3" s="1"/>
  <c r="D742" i="3"/>
  <c r="J742" i="3"/>
  <c r="I742" i="3" s="1"/>
  <c r="K742" i="3"/>
  <c r="N742" i="3"/>
  <c r="O742" i="3"/>
  <c r="Q742" i="3"/>
  <c r="A743" i="3"/>
  <c r="B743" i="3"/>
  <c r="C743" i="3"/>
  <c r="D743" i="3"/>
  <c r="J743" i="3"/>
  <c r="I743" i="3" s="1"/>
  <c r="K743" i="3"/>
  <c r="N743" i="3"/>
  <c r="O743" i="3"/>
  <c r="L743" i="3" s="1"/>
  <c r="Q743" i="3"/>
  <c r="A744" i="3"/>
  <c r="B744" i="3"/>
  <c r="C744" i="3"/>
  <c r="W744" i="3" s="1"/>
  <c r="D744" i="3"/>
  <c r="J744" i="3"/>
  <c r="I744" i="3" s="1"/>
  <c r="K744" i="3"/>
  <c r="N744" i="3"/>
  <c r="O744" i="3"/>
  <c r="Q744" i="3"/>
  <c r="A745" i="3"/>
  <c r="B745" i="3"/>
  <c r="C745" i="3"/>
  <c r="D745" i="3"/>
  <c r="E745" i="3" s="1"/>
  <c r="J745" i="3"/>
  <c r="I745" i="3" s="1"/>
  <c r="K745" i="3"/>
  <c r="N745" i="3"/>
  <c r="O745" i="3"/>
  <c r="Q745" i="3"/>
  <c r="A746" i="3"/>
  <c r="B746" i="3"/>
  <c r="C746" i="3"/>
  <c r="F746" i="3" s="1"/>
  <c r="D746" i="3"/>
  <c r="J746" i="3"/>
  <c r="I746" i="3" s="1"/>
  <c r="K746" i="3"/>
  <c r="N746" i="3"/>
  <c r="O746" i="3"/>
  <c r="Q746" i="3"/>
  <c r="A747" i="3"/>
  <c r="B747" i="3"/>
  <c r="C747" i="3"/>
  <c r="D747" i="3"/>
  <c r="J747" i="3"/>
  <c r="I747" i="3" s="1"/>
  <c r="K747" i="3"/>
  <c r="N747" i="3"/>
  <c r="O747" i="3"/>
  <c r="Q747" i="3"/>
  <c r="A748" i="3"/>
  <c r="B748" i="3"/>
  <c r="C748" i="3"/>
  <c r="D748" i="3"/>
  <c r="J748" i="3"/>
  <c r="I748" i="3" s="1"/>
  <c r="K748" i="3"/>
  <c r="N748" i="3"/>
  <c r="O748" i="3"/>
  <c r="Q748" i="3"/>
  <c r="A749" i="3"/>
  <c r="B749" i="3"/>
  <c r="C749" i="3"/>
  <c r="F749" i="3" s="1"/>
  <c r="D749" i="3"/>
  <c r="J749" i="3"/>
  <c r="I749" i="3" s="1"/>
  <c r="K749" i="3"/>
  <c r="N749" i="3"/>
  <c r="O749" i="3"/>
  <c r="Q749" i="3"/>
  <c r="A750" i="3"/>
  <c r="B750" i="3"/>
  <c r="C750" i="3"/>
  <c r="D750" i="3"/>
  <c r="I750" i="3"/>
  <c r="J750" i="3"/>
  <c r="K750" i="3"/>
  <c r="N750" i="3"/>
  <c r="O750" i="3"/>
  <c r="L750" i="3" s="1"/>
  <c r="Q750" i="3"/>
  <c r="A751" i="3"/>
  <c r="B751" i="3"/>
  <c r="C751" i="3"/>
  <c r="W751" i="3" s="1"/>
  <c r="D751" i="3"/>
  <c r="J751" i="3"/>
  <c r="I751" i="3" s="1"/>
  <c r="K751" i="3"/>
  <c r="N751" i="3"/>
  <c r="O751" i="3"/>
  <c r="Q751" i="3"/>
  <c r="A752" i="3"/>
  <c r="B752" i="3"/>
  <c r="C752" i="3"/>
  <c r="D752" i="3"/>
  <c r="G752" i="3" s="1"/>
  <c r="J752" i="3"/>
  <c r="I752" i="3" s="1"/>
  <c r="K752" i="3"/>
  <c r="N752" i="3"/>
  <c r="O752" i="3"/>
  <c r="Q752" i="3"/>
  <c r="A753" i="3"/>
  <c r="B753" i="3"/>
  <c r="C753" i="3"/>
  <c r="D753" i="3"/>
  <c r="F753" i="3"/>
  <c r="J753" i="3"/>
  <c r="I753" i="3" s="1"/>
  <c r="K753" i="3"/>
  <c r="L753" i="3"/>
  <c r="N753" i="3"/>
  <c r="O753" i="3"/>
  <c r="Q753" i="3"/>
  <c r="A754" i="3"/>
  <c r="B754" i="3"/>
  <c r="C754" i="3"/>
  <c r="E754" i="3" s="1"/>
  <c r="H754" i="3" s="1"/>
  <c r="D754" i="3"/>
  <c r="J754" i="3"/>
  <c r="I754" i="3" s="1"/>
  <c r="K754" i="3"/>
  <c r="N754" i="3"/>
  <c r="O754" i="3"/>
  <c r="Q754" i="3"/>
  <c r="A755" i="3"/>
  <c r="B755" i="3"/>
  <c r="C755" i="3"/>
  <c r="D755" i="3"/>
  <c r="G755" i="3" s="1"/>
  <c r="J755" i="3"/>
  <c r="I755" i="3" s="1"/>
  <c r="K755" i="3"/>
  <c r="N755" i="3"/>
  <c r="O755" i="3"/>
  <c r="Q755" i="3"/>
  <c r="A756" i="3"/>
  <c r="B756" i="3"/>
  <c r="C756" i="3"/>
  <c r="G756" i="3" s="1"/>
  <c r="D756" i="3"/>
  <c r="F756" i="3" s="1"/>
  <c r="I756" i="3"/>
  <c r="J756" i="3"/>
  <c r="K756" i="3"/>
  <c r="N756" i="3"/>
  <c r="O756" i="3"/>
  <c r="Q756" i="3"/>
  <c r="A757" i="3"/>
  <c r="B757" i="3"/>
  <c r="C757" i="3"/>
  <c r="D757" i="3"/>
  <c r="M757" i="3" s="1"/>
  <c r="J757" i="3"/>
  <c r="I757" i="3" s="1"/>
  <c r="K757" i="3"/>
  <c r="N757" i="3"/>
  <c r="O757" i="3"/>
  <c r="Q757" i="3"/>
  <c r="A758" i="3"/>
  <c r="B758" i="3"/>
  <c r="C758" i="3"/>
  <c r="D758" i="3"/>
  <c r="G758" i="3" s="1"/>
  <c r="J758" i="3"/>
  <c r="I758" i="3" s="1"/>
  <c r="K758" i="3"/>
  <c r="N758" i="3"/>
  <c r="O758" i="3"/>
  <c r="Q758" i="3"/>
  <c r="A759" i="3"/>
  <c r="B759" i="3"/>
  <c r="C759" i="3"/>
  <c r="D759" i="3"/>
  <c r="J759" i="3"/>
  <c r="I759" i="3" s="1"/>
  <c r="K759" i="3"/>
  <c r="N759" i="3"/>
  <c r="O759" i="3"/>
  <c r="Q759" i="3"/>
  <c r="A760" i="3"/>
  <c r="B760" i="3"/>
  <c r="C760" i="3"/>
  <c r="D760" i="3"/>
  <c r="G760" i="3" s="1"/>
  <c r="J760" i="3"/>
  <c r="I760" i="3" s="1"/>
  <c r="K760" i="3"/>
  <c r="N760" i="3"/>
  <c r="O760" i="3"/>
  <c r="Q760" i="3"/>
  <c r="A761" i="3"/>
  <c r="B761" i="3"/>
  <c r="C761" i="3"/>
  <c r="G761" i="3" s="1"/>
  <c r="D761" i="3"/>
  <c r="F761" i="3"/>
  <c r="J761" i="3"/>
  <c r="I761" i="3" s="1"/>
  <c r="K761" i="3"/>
  <c r="N761" i="3"/>
  <c r="O761" i="3"/>
  <c r="Q761" i="3"/>
  <c r="A762" i="3"/>
  <c r="B762" i="3"/>
  <c r="C762" i="3"/>
  <c r="D762" i="3"/>
  <c r="J762" i="3"/>
  <c r="I762" i="3" s="1"/>
  <c r="K762" i="3"/>
  <c r="N762" i="3"/>
  <c r="O762" i="3"/>
  <c r="Q762" i="3"/>
  <c r="A763" i="3"/>
  <c r="B763" i="3"/>
  <c r="C763" i="3"/>
  <c r="D763" i="3"/>
  <c r="J763" i="3"/>
  <c r="I763" i="3" s="1"/>
  <c r="K763" i="3"/>
  <c r="N763" i="3"/>
  <c r="O763" i="3"/>
  <c r="L763" i="3" s="1"/>
  <c r="Q763" i="3"/>
  <c r="A764" i="3"/>
  <c r="B764" i="3"/>
  <c r="C764" i="3"/>
  <c r="D764" i="3"/>
  <c r="G764" i="3" s="1"/>
  <c r="J764" i="3"/>
  <c r="I764" i="3" s="1"/>
  <c r="K764" i="3"/>
  <c r="N764" i="3"/>
  <c r="O764" i="3"/>
  <c r="Q764" i="3"/>
  <c r="A765" i="3"/>
  <c r="B765" i="3"/>
  <c r="C765" i="3"/>
  <c r="D765" i="3"/>
  <c r="F765" i="3" s="1"/>
  <c r="J765" i="3"/>
  <c r="I765" i="3" s="1"/>
  <c r="K765" i="3"/>
  <c r="N765" i="3"/>
  <c r="O765" i="3"/>
  <c r="Q765" i="3"/>
  <c r="A766" i="3"/>
  <c r="B766" i="3"/>
  <c r="C766" i="3"/>
  <c r="W766" i="3" s="1"/>
  <c r="D766" i="3"/>
  <c r="J766" i="3"/>
  <c r="I766" i="3" s="1"/>
  <c r="K766" i="3"/>
  <c r="N766" i="3"/>
  <c r="O766" i="3"/>
  <c r="Q766" i="3"/>
  <c r="A767" i="3"/>
  <c r="B767" i="3"/>
  <c r="C767" i="3"/>
  <c r="D767" i="3"/>
  <c r="J767" i="3"/>
  <c r="I767" i="3" s="1"/>
  <c r="K767" i="3"/>
  <c r="N767" i="3"/>
  <c r="O767" i="3"/>
  <c r="Q767" i="3"/>
  <c r="A768" i="3"/>
  <c r="B768" i="3"/>
  <c r="C768" i="3"/>
  <c r="D768" i="3"/>
  <c r="J768" i="3"/>
  <c r="I768" i="3" s="1"/>
  <c r="K768" i="3"/>
  <c r="N768" i="3"/>
  <c r="O768" i="3"/>
  <c r="Q768" i="3"/>
  <c r="A769" i="3"/>
  <c r="B769" i="3"/>
  <c r="C769" i="3"/>
  <c r="D769" i="3"/>
  <c r="L769" i="3" s="1"/>
  <c r="J769" i="3"/>
  <c r="I769" i="3" s="1"/>
  <c r="K769" i="3"/>
  <c r="N769" i="3"/>
  <c r="O769" i="3"/>
  <c r="Q769" i="3"/>
  <c r="A770" i="3"/>
  <c r="B770" i="3"/>
  <c r="C770" i="3"/>
  <c r="E770" i="3" s="1"/>
  <c r="H770" i="3" s="1"/>
  <c r="D770" i="3"/>
  <c r="J770" i="3"/>
  <c r="I770" i="3" s="1"/>
  <c r="K770" i="3"/>
  <c r="N770" i="3"/>
  <c r="O770" i="3"/>
  <c r="Q770" i="3"/>
  <c r="A771" i="3"/>
  <c r="B771" i="3"/>
  <c r="C771" i="3"/>
  <c r="D771" i="3"/>
  <c r="F771" i="3" s="1"/>
  <c r="J771" i="3"/>
  <c r="I771" i="3" s="1"/>
  <c r="K771" i="3"/>
  <c r="N771" i="3"/>
  <c r="O771" i="3"/>
  <c r="Q771" i="3"/>
  <c r="A772" i="3"/>
  <c r="B772" i="3"/>
  <c r="C772" i="3"/>
  <c r="D772" i="3"/>
  <c r="J772" i="3"/>
  <c r="I772" i="3" s="1"/>
  <c r="K772" i="3"/>
  <c r="N772" i="3"/>
  <c r="O772" i="3"/>
  <c r="Q772" i="3"/>
  <c r="A773" i="3"/>
  <c r="B773" i="3"/>
  <c r="C773" i="3"/>
  <c r="D773" i="3"/>
  <c r="G773" i="3" s="1"/>
  <c r="J773" i="3"/>
  <c r="I773" i="3" s="1"/>
  <c r="K773" i="3"/>
  <c r="N773" i="3"/>
  <c r="O773" i="3"/>
  <c r="Q773" i="3"/>
  <c r="A774" i="3"/>
  <c r="B774" i="3"/>
  <c r="C774" i="3"/>
  <c r="F774" i="3" s="1"/>
  <c r="D774" i="3"/>
  <c r="J774" i="3"/>
  <c r="I774" i="3" s="1"/>
  <c r="K774" i="3"/>
  <c r="N774" i="3"/>
  <c r="O774" i="3"/>
  <c r="Q774" i="3"/>
  <c r="A775" i="3"/>
  <c r="B775" i="3"/>
  <c r="C775" i="3"/>
  <c r="D775" i="3"/>
  <c r="J775" i="3"/>
  <c r="I775" i="3" s="1"/>
  <c r="K775" i="3"/>
  <c r="N775" i="3"/>
  <c r="O775" i="3"/>
  <c r="Q775" i="3"/>
  <c r="A776" i="3"/>
  <c r="B776" i="3"/>
  <c r="C776" i="3"/>
  <c r="W776" i="3" s="1"/>
  <c r="D776" i="3"/>
  <c r="G776" i="3"/>
  <c r="J776" i="3"/>
  <c r="I776" i="3" s="1"/>
  <c r="K776" i="3"/>
  <c r="N776" i="3"/>
  <c r="O776" i="3"/>
  <c r="L776" i="3" s="1"/>
  <c r="Q776" i="3"/>
  <c r="A777" i="3"/>
  <c r="B777" i="3"/>
  <c r="C777" i="3"/>
  <c r="D777" i="3"/>
  <c r="F777" i="3"/>
  <c r="J777" i="3"/>
  <c r="I777" i="3" s="1"/>
  <c r="K777" i="3"/>
  <c r="N777" i="3"/>
  <c r="O777" i="3"/>
  <c r="Q777" i="3"/>
  <c r="A778" i="3"/>
  <c r="B778" i="3"/>
  <c r="C778" i="3"/>
  <c r="D778" i="3"/>
  <c r="J778" i="3"/>
  <c r="I778" i="3" s="1"/>
  <c r="K778" i="3"/>
  <c r="N778" i="3"/>
  <c r="O778" i="3"/>
  <c r="Q778" i="3"/>
  <c r="A779" i="3"/>
  <c r="B779" i="3"/>
  <c r="C779" i="3"/>
  <c r="E779" i="3" s="1"/>
  <c r="H779" i="3" s="1"/>
  <c r="D779" i="3"/>
  <c r="J779" i="3"/>
  <c r="I779" i="3" s="1"/>
  <c r="K779" i="3"/>
  <c r="N779" i="3"/>
  <c r="O779" i="3"/>
  <c r="Q779" i="3"/>
  <c r="A780" i="3"/>
  <c r="B780" i="3"/>
  <c r="C780" i="3"/>
  <c r="D780" i="3"/>
  <c r="G780" i="3"/>
  <c r="J780" i="3"/>
  <c r="I780" i="3" s="1"/>
  <c r="K780" i="3"/>
  <c r="N780" i="3"/>
  <c r="O780" i="3"/>
  <c r="Q780" i="3"/>
  <c r="A781" i="3"/>
  <c r="B781" i="3"/>
  <c r="C781" i="3"/>
  <c r="D781" i="3"/>
  <c r="J781" i="3"/>
  <c r="I781" i="3" s="1"/>
  <c r="K781" i="3"/>
  <c r="L781" i="3"/>
  <c r="N781" i="3"/>
  <c r="O781" i="3"/>
  <c r="Q781" i="3"/>
  <c r="A782" i="3"/>
  <c r="B782" i="3"/>
  <c r="C782" i="3"/>
  <c r="W782" i="3" s="1"/>
  <c r="D782" i="3"/>
  <c r="I782" i="3"/>
  <c r="J782" i="3"/>
  <c r="K782" i="3"/>
  <c r="N782" i="3"/>
  <c r="O782" i="3"/>
  <c r="Q782" i="3"/>
  <c r="A783" i="3"/>
  <c r="B783" i="3"/>
  <c r="C783" i="3"/>
  <c r="D783" i="3"/>
  <c r="J783" i="3"/>
  <c r="I783" i="3" s="1"/>
  <c r="K783" i="3"/>
  <c r="N783" i="3"/>
  <c r="O783" i="3"/>
  <c r="Q783" i="3"/>
  <c r="A784" i="3"/>
  <c r="B784" i="3"/>
  <c r="C784" i="3"/>
  <c r="M784" i="3" s="1"/>
  <c r="D784" i="3"/>
  <c r="J784" i="3"/>
  <c r="I784" i="3" s="1"/>
  <c r="K784" i="3"/>
  <c r="N784" i="3"/>
  <c r="O784" i="3"/>
  <c r="Q784" i="3"/>
  <c r="A785" i="3"/>
  <c r="B785" i="3"/>
  <c r="C785" i="3"/>
  <c r="W785" i="3" s="1"/>
  <c r="D785" i="3"/>
  <c r="J785" i="3"/>
  <c r="I785" i="3" s="1"/>
  <c r="K785" i="3"/>
  <c r="N785" i="3"/>
  <c r="O785" i="3"/>
  <c r="L785" i="3" s="1"/>
  <c r="Q785" i="3"/>
  <c r="A786" i="3"/>
  <c r="B786" i="3"/>
  <c r="C786" i="3"/>
  <c r="D786" i="3"/>
  <c r="I786" i="3"/>
  <c r="J786" i="3"/>
  <c r="K786" i="3"/>
  <c r="N786" i="3"/>
  <c r="O786" i="3"/>
  <c r="Q786" i="3"/>
  <c r="A787" i="3"/>
  <c r="B787" i="3"/>
  <c r="C787" i="3"/>
  <c r="D787" i="3"/>
  <c r="L787" i="3" s="1"/>
  <c r="J787" i="3"/>
  <c r="I787" i="3" s="1"/>
  <c r="K787" i="3"/>
  <c r="N787" i="3"/>
  <c r="O787" i="3"/>
  <c r="Q787" i="3"/>
  <c r="A788" i="3"/>
  <c r="B788" i="3"/>
  <c r="C788" i="3"/>
  <c r="D788" i="3"/>
  <c r="J788" i="3"/>
  <c r="I788" i="3" s="1"/>
  <c r="K788" i="3"/>
  <c r="N788" i="3"/>
  <c r="O788" i="3"/>
  <c r="Q788" i="3"/>
  <c r="A789" i="3"/>
  <c r="B789" i="3"/>
  <c r="C789" i="3"/>
  <c r="D789" i="3"/>
  <c r="F789" i="3" s="1"/>
  <c r="I789" i="3"/>
  <c r="J789" i="3"/>
  <c r="K789" i="3"/>
  <c r="N789" i="3"/>
  <c r="O789" i="3"/>
  <c r="Q789" i="3"/>
  <c r="A790" i="3"/>
  <c r="B790" i="3"/>
  <c r="C790" i="3"/>
  <c r="D790" i="3"/>
  <c r="I790" i="3"/>
  <c r="J790" i="3"/>
  <c r="K790" i="3"/>
  <c r="N790" i="3"/>
  <c r="O790" i="3"/>
  <c r="Q790" i="3"/>
  <c r="A791" i="3"/>
  <c r="B791" i="3"/>
  <c r="C791" i="3"/>
  <c r="D791" i="3"/>
  <c r="J791" i="3"/>
  <c r="I791" i="3" s="1"/>
  <c r="K791" i="3"/>
  <c r="N791" i="3"/>
  <c r="O791" i="3"/>
  <c r="Q791" i="3"/>
  <c r="A792" i="3"/>
  <c r="B792" i="3"/>
  <c r="C792" i="3"/>
  <c r="D792" i="3"/>
  <c r="I792" i="3"/>
  <c r="J792" i="3"/>
  <c r="K792" i="3"/>
  <c r="N792" i="3"/>
  <c r="O792" i="3"/>
  <c r="L792" i="3" s="1"/>
  <c r="Q792" i="3"/>
  <c r="A793" i="3"/>
  <c r="B793" i="3"/>
  <c r="C793" i="3"/>
  <c r="D793" i="3"/>
  <c r="J793" i="3"/>
  <c r="I793" i="3" s="1"/>
  <c r="K793" i="3"/>
  <c r="N793" i="3"/>
  <c r="O793" i="3"/>
  <c r="L793" i="3" s="1"/>
  <c r="Q793" i="3"/>
  <c r="A794" i="3"/>
  <c r="B794" i="3"/>
  <c r="C794" i="3"/>
  <c r="D794" i="3"/>
  <c r="J794" i="3"/>
  <c r="I794" i="3" s="1"/>
  <c r="K794" i="3"/>
  <c r="N794" i="3"/>
  <c r="O794" i="3"/>
  <c r="L794" i="3" s="1"/>
  <c r="Q794" i="3"/>
  <c r="A795" i="3"/>
  <c r="B795" i="3"/>
  <c r="C795" i="3"/>
  <c r="D795" i="3"/>
  <c r="J795" i="3"/>
  <c r="I795" i="3" s="1"/>
  <c r="K795" i="3"/>
  <c r="N795" i="3"/>
  <c r="O795" i="3"/>
  <c r="Q795" i="3"/>
  <c r="A796" i="3"/>
  <c r="B796" i="3"/>
  <c r="C796" i="3"/>
  <c r="M796" i="3" s="1"/>
  <c r="D796" i="3"/>
  <c r="J796" i="3"/>
  <c r="I796" i="3" s="1"/>
  <c r="K796" i="3"/>
  <c r="N796" i="3"/>
  <c r="O796" i="3"/>
  <c r="L796" i="3" s="1"/>
  <c r="Q796" i="3"/>
  <c r="A797" i="3"/>
  <c r="B797" i="3"/>
  <c r="C797" i="3"/>
  <c r="D797" i="3"/>
  <c r="J797" i="3"/>
  <c r="I797" i="3" s="1"/>
  <c r="K797" i="3"/>
  <c r="N797" i="3"/>
  <c r="O797" i="3"/>
  <c r="Q797" i="3"/>
  <c r="A798" i="3"/>
  <c r="B798" i="3"/>
  <c r="C798" i="3"/>
  <c r="D798" i="3"/>
  <c r="J798" i="3"/>
  <c r="I798" i="3" s="1"/>
  <c r="K798" i="3"/>
  <c r="N798" i="3"/>
  <c r="O798" i="3"/>
  <c r="Q798" i="3"/>
  <c r="A799" i="3"/>
  <c r="B799" i="3"/>
  <c r="C799" i="3"/>
  <c r="D799" i="3"/>
  <c r="G799" i="3"/>
  <c r="J799" i="3"/>
  <c r="I799" i="3" s="1"/>
  <c r="K799" i="3"/>
  <c r="N799" i="3"/>
  <c r="O799" i="3"/>
  <c r="L799" i="3" s="1"/>
  <c r="Q799" i="3"/>
  <c r="A800" i="3"/>
  <c r="B800" i="3"/>
  <c r="C800" i="3"/>
  <c r="D800" i="3"/>
  <c r="J800" i="3"/>
  <c r="I800" i="3" s="1"/>
  <c r="K800" i="3"/>
  <c r="N800" i="3"/>
  <c r="O800" i="3"/>
  <c r="Q800" i="3"/>
  <c r="A801" i="3"/>
  <c r="B801" i="3"/>
  <c r="C801" i="3"/>
  <c r="W801" i="3" s="1"/>
  <c r="D801" i="3"/>
  <c r="J801" i="3"/>
  <c r="I801" i="3" s="1"/>
  <c r="K801" i="3"/>
  <c r="N801" i="3"/>
  <c r="O801" i="3"/>
  <c r="L801" i="3" s="1"/>
  <c r="Q801" i="3"/>
  <c r="A802" i="3"/>
  <c r="B802" i="3"/>
  <c r="C802" i="3"/>
  <c r="D802" i="3"/>
  <c r="J802" i="3"/>
  <c r="I802" i="3" s="1"/>
  <c r="K802" i="3"/>
  <c r="N802" i="3"/>
  <c r="O802" i="3"/>
  <c r="L802" i="3" s="1"/>
  <c r="Q802" i="3"/>
  <c r="A803" i="3"/>
  <c r="B803" i="3"/>
  <c r="C803" i="3"/>
  <c r="E803" i="3" s="1"/>
  <c r="H803" i="3" s="1"/>
  <c r="D803" i="3"/>
  <c r="J803" i="3"/>
  <c r="I803" i="3" s="1"/>
  <c r="K803" i="3"/>
  <c r="N803" i="3"/>
  <c r="O803" i="3"/>
  <c r="Q803" i="3"/>
  <c r="A804" i="3"/>
  <c r="B804" i="3"/>
  <c r="C804" i="3"/>
  <c r="D804" i="3"/>
  <c r="J804" i="3"/>
  <c r="I804" i="3" s="1"/>
  <c r="K804" i="3"/>
  <c r="N804" i="3"/>
  <c r="O804" i="3"/>
  <c r="Q804" i="3"/>
  <c r="A805" i="3"/>
  <c r="B805" i="3"/>
  <c r="C805" i="3"/>
  <c r="D805" i="3"/>
  <c r="J805" i="3"/>
  <c r="I805" i="3" s="1"/>
  <c r="K805" i="3"/>
  <c r="N805" i="3"/>
  <c r="O805" i="3"/>
  <c r="Q805" i="3"/>
  <c r="A806" i="3"/>
  <c r="B806" i="3"/>
  <c r="C806" i="3"/>
  <c r="G806" i="3" s="1"/>
  <c r="D806" i="3"/>
  <c r="J806" i="3"/>
  <c r="I806" i="3" s="1"/>
  <c r="K806" i="3"/>
  <c r="N806" i="3"/>
  <c r="O806" i="3"/>
  <c r="Q806" i="3"/>
  <c r="A807" i="3"/>
  <c r="B807" i="3"/>
  <c r="C807" i="3"/>
  <c r="W807" i="3" s="1"/>
  <c r="D807" i="3"/>
  <c r="E807" i="3"/>
  <c r="J807" i="3"/>
  <c r="I807" i="3" s="1"/>
  <c r="K807" i="3"/>
  <c r="N807" i="3"/>
  <c r="O807" i="3"/>
  <c r="L807" i="3" s="1"/>
  <c r="Q807" i="3"/>
  <c r="A808" i="3"/>
  <c r="B808" i="3"/>
  <c r="C808" i="3"/>
  <c r="W808" i="3" s="1"/>
  <c r="D808" i="3"/>
  <c r="L808" i="3" s="1"/>
  <c r="J808" i="3"/>
  <c r="I808" i="3" s="1"/>
  <c r="K808" i="3"/>
  <c r="N808" i="3"/>
  <c r="O808" i="3"/>
  <c r="Q808" i="3"/>
  <c r="A809" i="3"/>
  <c r="B809" i="3"/>
  <c r="C809" i="3"/>
  <c r="D809" i="3"/>
  <c r="J809" i="3"/>
  <c r="I809" i="3" s="1"/>
  <c r="K809" i="3"/>
  <c r="N809" i="3"/>
  <c r="O809" i="3"/>
  <c r="L809" i="3" s="1"/>
  <c r="Q809" i="3"/>
  <c r="A810" i="3"/>
  <c r="B810" i="3"/>
  <c r="C810" i="3"/>
  <c r="D810" i="3"/>
  <c r="I810" i="3"/>
  <c r="J810" i="3"/>
  <c r="K810" i="3"/>
  <c r="N810" i="3"/>
  <c r="O810" i="3"/>
  <c r="L810" i="3" s="1"/>
  <c r="Q810" i="3"/>
  <c r="A811" i="3"/>
  <c r="B811" i="3"/>
  <c r="C811" i="3"/>
  <c r="E811" i="3" s="1"/>
  <c r="H811" i="3" s="1"/>
  <c r="D811" i="3"/>
  <c r="J811" i="3"/>
  <c r="I811" i="3" s="1"/>
  <c r="K811" i="3"/>
  <c r="N811" i="3"/>
  <c r="O811" i="3"/>
  <c r="Q811" i="3"/>
  <c r="A812" i="3"/>
  <c r="B812" i="3"/>
  <c r="C812" i="3"/>
  <c r="F812" i="3" s="1"/>
  <c r="D812" i="3"/>
  <c r="J812" i="3"/>
  <c r="I812" i="3" s="1"/>
  <c r="K812" i="3"/>
  <c r="N812" i="3"/>
  <c r="O812" i="3"/>
  <c r="L812" i="3" s="1"/>
  <c r="Q812" i="3"/>
  <c r="A813" i="3"/>
  <c r="B813" i="3"/>
  <c r="C813" i="3"/>
  <c r="G813" i="3" s="1"/>
  <c r="D813" i="3"/>
  <c r="F813" i="3" s="1"/>
  <c r="J813" i="3"/>
  <c r="I813" i="3" s="1"/>
  <c r="K813" i="3"/>
  <c r="N813" i="3"/>
  <c r="O813" i="3"/>
  <c r="Q813" i="3"/>
  <c r="A814" i="3"/>
  <c r="B814" i="3"/>
  <c r="C814" i="3"/>
  <c r="D814" i="3"/>
  <c r="J814" i="3"/>
  <c r="I814" i="3" s="1"/>
  <c r="K814" i="3"/>
  <c r="N814" i="3"/>
  <c r="O814" i="3"/>
  <c r="Q814" i="3"/>
  <c r="A815" i="3"/>
  <c r="B815" i="3"/>
  <c r="C815" i="3"/>
  <c r="W815" i="3" s="1"/>
  <c r="D815" i="3"/>
  <c r="E815" i="3" s="1"/>
  <c r="J815" i="3"/>
  <c r="I815" i="3" s="1"/>
  <c r="K815" i="3"/>
  <c r="N815" i="3"/>
  <c r="O815" i="3"/>
  <c r="Q815" i="3"/>
  <c r="A816" i="3"/>
  <c r="B816" i="3"/>
  <c r="C816" i="3"/>
  <c r="W816" i="3" s="1"/>
  <c r="D816" i="3"/>
  <c r="J816" i="3"/>
  <c r="I816" i="3" s="1"/>
  <c r="K816" i="3"/>
  <c r="N816" i="3"/>
  <c r="O816" i="3"/>
  <c r="Q816" i="3"/>
  <c r="A817" i="3"/>
  <c r="B817" i="3"/>
  <c r="C817" i="3"/>
  <c r="D817" i="3"/>
  <c r="G817" i="3"/>
  <c r="J817" i="3"/>
  <c r="I817" i="3" s="1"/>
  <c r="K817" i="3"/>
  <c r="N817" i="3"/>
  <c r="O817" i="3"/>
  <c r="L817" i="3" s="1"/>
  <c r="Q817" i="3"/>
  <c r="A818" i="3"/>
  <c r="B818" i="3"/>
  <c r="C818" i="3"/>
  <c r="D818" i="3"/>
  <c r="J818" i="3"/>
  <c r="I818" i="3" s="1"/>
  <c r="K818" i="3"/>
  <c r="N818" i="3"/>
  <c r="O818" i="3"/>
  <c r="Q818" i="3"/>
  <c r="A819" i="3"/>
  <c r="B819" i="3"/>
  <c r="C819" i="3"/>
  <c r="D819" i="3"/>
  <c r="M819" i="3" s="1"/>
  <c r="J819" i="3"/>
  <c r="I819" i="3" s="1"/>
  <c r="K819" i="3"/>
  <c r="N819" i="3"/>
  <c r="O819" i="3"/>
  <c r="L819" i="3" s="1"/>
  <c r="Q819" i="3"/>
  <c r="A820" i="3"/>
  <c r="B820" i="3"/>
  <c r="C820" i="3"/>
  <c r="D820" i="3"/>
  <c r="J820" i="3"/>
  <c r="I820" i="3" s="1"/>
  <c r="K820" i="3"/>
  <c r="N820" i="3"/>
  <c r="O820" i="3"/>
  <c r="Q820" i="3"/>
  <c r="A821" i="3"/>
  <c r="B821" i="3"/>
  <c r="C821" i="3"/>
  <c r="D821" i="3"/>
  <c r="G821" i="3"/>
  <c r="J821" i="3"/>
  <c r="I821" i="3" s="1"/>
  <c r="K821" i="3"/>
  <c r="N821" i="3"/>
  <c r="O821" i="3"/>
  <c r="Q821" i="3"/>
  <c r="A822" i="3"/>
  <c r="B822" i="3"/>
  <c r="C822" i="3"/>
  <c r="D822" i="3"/>
  <c r="M822" i="3" s="1"/>
  <c r="F822" i="3"/>
  <c r="J822" i="3"/>
  <c r="I822" i="3" s="1"/>
  <c r="K822" i="3"/>
  <c r="N822" i="3"/>
  <c r="O822" i="3"/>
  <c r="Q822" i="3"/>
  <c r="A823" i="3"/>
  <c r="B823" i="3"/>
  <c r="C823" i="3"/>
  <c r="D823" i="3"/>
  <c r="E823" i="3"/>
  <c r="J823" i="3"/>
  <c r="I823" i="3" s="1"/>
  <c r="K823" i="3"/>
  <c r="N823" i="3"/>
  <c r="O823" i="3"/>
  <c r="Q823" i="3"/>
  <c r="A824" i="3"/>
  <c r="B824" i="3"/>
  <c r="C824" i="3"/>
  <c r="M824" i="3" s="1"/>
  <c r="D824" i="3"/>
  <c r="J824" i="3"/>
  <c r="I824" i="3" s="1"/>
  <c r="K824" i="3"/>
  <c r="N824" i="3"/>
  <c r="O824" i="3"/>
  <c r="L824" i="3" s="1"/>
  <c r="Q824" i="3"/>
  <c r="A825" i="3"/>
  <c r="B825" i="3"/>
  <c r="C825" i="3"/>
  <c r="D825" i="3"/>
  <c r="J825" i="3"/>
  <c r="I825" i="3" s="1"/>
  <c r="K825" i="3"/>
  <c r="N825" i="3"/>
  <c r="O825" i="3"/>
  <c r="Q825" i="3"/>
  <c r="A826" i="3"/>
  <c r="B826" i="3"/>
  <c r="C826" i="3"/>
  <c r="F826" i="3" s="1"/>
  <c r="D826" i="3"/>
  <c r="J826" i="3"/>
  <c r="I826" i="3" s="1"/>
  <c r="K826" i="3"/>
  <c r="N826" i="3"/>
  <c r="O826" i="3"/>
  <c r="L826" i="3" s="1"/>
  <c r="Q826" i="3"/>
  <c r="A827" i="3"/>
  <c r="B827" i="3"/>
  <c r="C827" i="3"/>
  <c r="D827" i="3"/>
  <c r="E827" i="3" s="1"/>
  <c r="H827" i="3" s="1"/>
  <c r="I827" i="3"/>
  <c r="J827" i="3"/>
  <c r="K827" i="3"/>
  <c r="N827" i="3"/>
  <c r="O827" i="3"/>
  <c r="Q827" i="3"/>
  <c r="A828" i="3"/>
  <c r="B828" i="3"/>
  <c r="C828" i="3"/>
  <c r="D828" i="3"/>
  <c r="J828" i="3"/>
  <c r="I828" i="3" s="1"/>
  <c r="K828" i="3"/>
  <c r="N828" i="3"/>
  <c r="O828" i="3"/>
  <c r="L828" i="3" s="1"/>
  <c r="Q828" i="3"/>
  <c r="A829" i="3"/>
  <c r="B829" i="3"/>
  <c r="C829" i="3"/>
  <c r="F829" i="3" s="1"/>
  <c r="D829" i="3"/>
  <c r="J829" i="3"/>
  <c r="I829" i="3" s="1"/>
  <c r="K829" i="3"/>
  <c r="N829" i="3"/>
  <c r="O829" i="3"/>
  <c r="Q829" i="3"/>
  <c r="A830" i="3"/>
  <c r="B830" i="3"/>
  <c r="C830" i="3"/>
  <c r="D830" i="3"/>
  <c r="E830" i="3" s="1"/>
  <c r="J830" i="3"/>
  <c r="I830" i="3" s="1"/>
  <c r="K830" i="3"/>
  <c r="N830" i="3"/>
  <c r="O830" i="3"/>
  <c r="L830" i="3" s="1"/>
  <c r="Q830" i="3"/>
  <c r="A831" i="3"/>
  <c r="B831" i="3"/>
  <c r="C831" i="3"/>
  <c r="D831" i="3"/>
  <c r="I831" i="3"/>
  <c r="J831" i="3"/>
  <c r="K831" i="3"/>
  <c r="M831" i="3"/>
  <c r="N831" i="3"/>
  <c r="O831" i="3"/>
  <c r="L831" i="3" s="1"/>
  <c r="Q831" i="3"/>
  <c r="A832" i="3"/>
  <c r="B832" i="3"/>
  <c r="C832" i="3"/>
  <c r="D832" i="3"/>
  <c r="J832" i="3"/>
  <c r="I832" i="3" s="1"/>
  <c r="K832" i="3"/>
  <c r="N832" i="3"/>
  <c r="O832" i="3"/>
  <c r="Q832" i="3"/>
  <c r="A833" i="3"/>
  <c r="B833" i="3"/>
  <c r="C833" i="3"/>
  <c r="W833" i="3" s="1"/>
  <c r="D833" i="3"/>
  <c r="G833" i="3" s="1"/>
  <c r="J833" i="3"/>
  <c r="I833" i="3" s="1"/>
  <c r="K833" i="3"/>
  <c r="N833" i="3"/>
  <c r="O833" i="3"/>
  <c r="Q833" i="3"/>
  <c r="A834" i="3"/>
  <c r="B834" i="3"/>
  <c r="C834" i="3"/>
  <c r="D834" i="3"/>
  <c r="J834" i="3"/>
  <c r="I834" i="3" s="1"/>
  <c r="K834" i="3"/>
  <c r="N834" i="3"/>
  <c r="O834" i="3"/>
  <c r="Q834" i="3"/>
  <c r="A835" i="3"/>
  <c r="B835" i="3"/>
  <c r="C835" i="3"/>
  <c r="D835" i="3"/>
  <c r="I835" i="3"/>
  <c r="J835" i="3"/>
  <c r="K835" i="3"/>
  <c r="N835" i="3"/>
  <c r="O835" i="3"/>
  <c r="Q835" i="3"/>
  <c r="A836" i="3"/>
  <c r="B836" i="3"/>
  <c r="C836" i="3"/>
  <c r="D836" i="3"/>
  <c r="I836" i="3"/>
  <c r="J836" i="3"/>
  <c r="K836" i="3"/>
  <c r="N836" i="3"/>
  <c r="O836" i="3"/>
  <c r="Q836" i="3"/>
  <c r="A837" i="3"/>
  <c r="B837" i="3"/>
  <c r="C837" i="3"/>
  <c r="D837" i="3"/>
  <c r="I837" i="3"/>
  <c r="J837" i="3"/>
  <c r="K837" i="3"/>
  <c r="N837" i="3"/>
  <c r="O837" i="3"/>
  <c r="Q837" i="3"/>
  <c r="A838" i="3"/>
  <c r="B838" i="3"/>
  <c r="C838" i="3"/>
  <c r="W838" i="3" s="1"/>
  <c r="D838" i="3"/>
  <c r="J838" i="3"/>
  <c r="I838" i="3" s="1"/>
  <c r="K838" i="3"/>
  <c r="N838" i="3"/>
  <c r="O838" i="3"/>
  <c r="Q838" i="3"/>
  <c r="A839" i="3"/>
  <c r="B839" i="3"/>
  <c r="C839" i="3"/>
  <c r="D839" i="3"/>
  <c r="G839" i="3" s="1"/>
  <c r="J839" i="3"/>
  <c r="I839" i="3" s="1"/>
  <c r="K839" i="3"/>
  <c r="N839" i="3"/>
  <c r="O839" i="3"/>
  <c r="Q839" i="3"/>
  <c r="A840" i="3"/>
  <c r="B840" i="3"/>
  <c r="C840" i="3"/>
  <c r="D840" i="3"/>
  <c r="I840" i="3"/>
  <c r="J840" i="3"/>
  <c r="K840" i="3"/>
  <c r="N840" i="3"/>
  <c r="O840" i="3"/>
  <c r="Q840" i="3"/>
  <c r="A841" i="3"/>
  <c r="B841" i="3"/>
  <c r="C841" i="3"/>
  <c r="D841" i="3"/>
  <c r="J841" i="3"/>
  <c r="I841" i="3" s="1"/>
  <c r="K841" i="3"/>
  <c r="N841" i="3"/>
  <c r="O841" i="3"/>
  <c r="Q841" i="3"/>
  <c r="A842" i="3"/>
  <c r="B842" i="3"/>
  <c r="C842" i="3"/>
  <c r="D842" i="3"/>
  <c r="F842" i="3" s="1"/>
  <c r="J842" i="3"/>
  <c r="I842" i="3" s="1"/>
  <c r="K842" i="3"/>
  <c r="N842" i="3"/>
  <c r="O842" i="3"/>
  <c r="L842" i="3" s="1"/>
  <c r="Q842" i="3"/>
  <c r="A843" i="3"/>
  <c r="B843" i="3"/>
  <c r="C843" i="3"/>
  <c r="D843" i="3"/>
  <c r="J843" i="3"/>
  <c r="I843" i="3" s="1"/>
  <c r="K843" i="3"/>
  <c r="N843" i="3"/>
  <c r="O843" i="3"/>
  <c r="Q843" i="3"/>
  <c r="A844" i="3"/>
  <c r="B844" i="3"/>
  <c r="C844" i="3"/>
  <c r="G844" i="3" s="1"/>
  <c r="D844" i="3"/>
  <c r="J844" i="3"/>
  <c r="I844" i="3" s="1"/>
  <c r="K844" i="3"/>
  <c r="L844" i="3"/>
  <c r="N844" i="3"/>
  <c r="O844" i="3"/>
  <c r="Q844" i="3"/>
  <c r="A845" i="3"/>
  <c r="B845" i="3"/>
  <c r="C845" i="3"/>
  <c r="D845" i="3"/>
  <c r="G845" i="3" s="1"/>
  <c r="F845" i="3"/>
  <c r="J845" i="3"/>
  <c r="I845" i="3" s="1"/>
  <c r="K845" i="3"/>
  <c r="N845" i="3"/>
  <c r="O845" i="3"/>
  <c r="L845" i="3" s="1"/>
  <c r="Q845" i="3"/>
  <c r="A846" i="3"/>
  <c r="B846" i="3"/>
  <c r="C846" i="3"/>
  <c r="D846" i="3"/>
  <c r="E846" i="3" s="1"/>
  <c r="J846" i="3"/>
  <c r="I846" i="3" s="1"/>
  <c r="K846" i="3"/>
  <c r="N846" i="3"/>
  <c r="O846" i="3"/>
  <c r="Q846" i="3"/>
  <c r="A847" i="3"/>
  <c r="B847" i="3"/>
  <c r="C847" i="3"/>
  <c r="D847" i="3"/>
  <c r="I847" i="3"/>
  <c r="J847" i="3"/>
  <c r="K847" i="3"/>
  <c r="N847" i="3"/>
  <c r="O847" i="3"/>
  <c r="Q847" i="3"/>
  <c r="A848" i="3"/>
  <c r="B848" i="3"/>
  <c r="C848" i="3"/>
  <c r="E848" i="3" s="1"/>
  <c r="D848" i="3"/>
  <c r="J848" i="3"/>
  <c r="I848" i="3" s="1"/>
  <c r="K848" i="3"/>
  <c r="N848" i="3"/>
  <c r="O848" i="3"/>
  <c r="Q848" i="3"/>
  <c r="A849" i="3"/>
  <c r="B849" i="3"/>
  <c r="C849" i="3"/>
  <c r="W849" i="3" s="1"/>
  <c r="D849" i="3"/>
  <c r="J849" i="3"/>
  <c r="I849" i="3" s="1"/>
  <c r="K849" i="3"/>
  <c r="N849" i="3"/>
  <c r="O849" i="3"/>
  <c r="Q849" i="3"/>
  <c r="A850" i="3"/>
  <c r="B850" i="3"/>
  <c r="C850" i="3"/>
  <c r="D850" i="3"/>
  <c r="J850" i="3"/>
  <c r="I850" i="3" s="1"/>
  <c r="K850" i="3"/>
  <c r="N850" i="3"/>
  <c r="O850" i="3"/>
  <c r="L850" i="3" s="1"/>
  <c r="Q850" i="3"/>
  <c r="A851" i="3"/>
  <c r="B851" i="3"/>
  <c r="C851" i="3"/>
  <c r="F851" i="3" s="1"/>
  <c r="D851" i="3"/>
  <c r="E851" i="3"/>
  <c r="H851" i="3" s="1"/>
  <c r="J851" i="3"/>
  <c r="I851" i="3" s="1"/>
  <c r="K851" i="3"/>
  <c r="N851" i="3"/>
  <c r="O851" i="3"/>
  <c r="L851" i="3" s="1"/>
  <c r="Q851" i="3"/>
  <c r="A852" i="3"/>
  <c r="B852" i="3"/>
  <c r="C852" i="3"/>
  <c r="D852" i="3"/>
  <c r="J852" i="3"/>
  <c r="I852" i="3" s="1"/>
  <c r="K852" i="3"/>
  <c r="N852" i="3"/>
  <c r="O852" i="3"/>
  <c r="Q852" i="3"/>
  <c r="A853" i="3"/>
  <c r="B853" i="3"/>
  <c r="C853" i="3"/>
  <c r="F853" i="3" s="1"/>
  <c r="D853" i="3"/>
  <c r="J853" i="3"/>
  <c r="I853" i="3" s="1"/>
  <c r="K853" i="3"/>
  <c r="N853" i="3"/>
  <c r="O853" i="3"/>
  <c r="Q853" i="3"/>
  <c r="A854" i="3"/>
  <c r="B854" i="3"/>
  <c r="C854" i="3"/>
  <c r="F854" i="3" s="1"/>
  <c r="D854" i="3"/>
  <c r="J854" i="3"/>
  <c r="I854" i="3" s="1"/>
  <c r="K854" i="3"/>
  <c r="N854" i="3"/>
  <c r="O854" i="3"/>
  <c r="L854" i="3" s="1"/>
  <c r="Q854" i="3"/>
  <c r="A855" i="3"/>
  <c r="B855" i="3"/>
  <c r="C855" i="3"/>
  <c r="W855" i="3" s="1"/>
  <c r="D855" i="3"/>
  <c r="J855" i="3"/>
  <c r="I855" i="3" s="1"/>
  <c r="K855" i="3"/>
  <c r="N855" i="3"/>
  <c r="O855" i="3"/>
  <c r="L855" i="3" s="1"/>
  <c r="Q855" i="3"/>
  <c r="A856" i="3"/>
  <c r="B856" i="3"/>
  <c r="C856" i="3"/>
  <c r="D856" i="3"/>
  <c r="J856" i="3"/>
  <c r="I856" i="3" s="1"/>
  <c r="K856" i="3"/>
  <c r="N856" i="3"/>
  <c r="O856" i="3"/>
  <c r="Q856" i="3"/>
  <c r="A857" i="3"/>
  <c r="B857" i="3"/>
  <c r="C857" i="3"/>
  <c r="D857" i="3"/>
  <c r="J857" i="3"/>
  <c r="I857" i="3" s="1"/>
  <c r="K857" i="3"/>
  <c r="N857" i="3"/>
  <c r="O857" i="3"/>
  <c r="Q857" i="3"/>
  <c r="A858" i="3"/>
  <c r="B858" i="3"/>
  <c r="C858" i="3"/>
  <c r="W858" i="3" s="1"/>
  <c r="D858" i="3"/>
  <c r="I858" i="3"/>
  <c r="J858" i="3"/>
  <c r="K858" i="3"/>
  <c r="N858" i="3"/>
  <c r="O858" i="3"/>
  <c r="Q858" i="3"/>
  <c r="A859" i="3"/>
  <c r="B859" i="3"/>
  <c r="C859" i="3"/>
  <c r="F859" i="3" s="1"/>
  <c r="D859" i="3"/>
  <c r="J859" i="3"/>
  <c r="I859" i="3" s="1"/>
  <c r="K859" i="3"/>
  <c r="N859" i="3"/>
  <c r="O859" i="3"/>
  <c r="L859" i="3" s="1"/>
  <c r="Q859" i="3"/>
  <c r="A860" i="3"/>
  <c r="B860" i="3"/>
  <c r="C860" i="3"/>
  <c r="D860" i="3"/>
  <c r="J860" i="3"/>
  <c r="I860" i="3" s="1"/>
  <c r="K860" i="3"/>
  <c r="N860" i="3"/>
  <c r="O860" i="3"/>
  <c r="Q860" i="3"/>
  <c r="A861" i="3"/>
  <c r="B861" i="3"/>
  <c r="C861" i="3"/>
  <c r="D861" i="3"/>
  <c r="J861" i="3"/>
  <c r="I861" i="3" s="1"/>
  <c r="K861" i="3"/>
  <c r="N861" i="3"/>
  <c r="O861" i="3"/>
  <c r="Q861" i="3"/>
  <c r="A862" i="3"/>
  <c r="B862" i="3"/>
  <c r="C862" i="3"/>
  <c r="W862" i="3" s="1"/>
  <c r="D862" i="3"/>
  <c r="F862" i="3" s="1"/>
  <c r="J862" i="3"/>
  <c r="I862" i="3" s="1"/>
  <c r="K862" i="3"/>
  <c r="N862" i="3"/>
  <c r="O862" i="3"/>
  <c r="Q862" i="3"/>
  <c r="A863" i="3"/>
  <c r="B863" i="3"/>
  <c r="C863" i="3"/>
  <c r="W863" i="3" s="1"/>
  <c r="D863" i="3"/>
  <c r="J863" i="3"/>
  <c r="I863" i="3" s="1"/>
  <c r="K863" i="3"/>
  <c r="N863" i="3"/>
  <c r="O863" i="3"/>
  <c r="L863" i="3" s="1"/>
  <c r="Q863" i="3"/>
  <c r="A864" i="3"/>
  <c r="B864" i="3"/>
  <c r="C864" i="3"/>
  <c r="D864" i="3"/>
  <c r="J864" i="3"/>
  <c r="I864" i="3" s="1"/>
  <c r="K864" i="3"/>
  <c r="N864" i="3"/>
  <c r="O864" i="3"/>
  <c r="Q864" i="3"/>
  <c r="A865" i="3"/>
  <c r="B865" i="3"/>
  <c r="C865" i="3"/>
  <c r="D865" i="3"/>
  <c r="J865" i="3"/>
  <c r="I865" i="3" s="1"/>
  <c r="K865" i="3"/>
  <c r="N865" i="3"/>
  <c r="O865" i="3"/>
  <c r="Q865" i="3"/>
  <c r="A866" i="3"/>
  <c r="B866" i="3"/>
  <c r="C866" i="3"/>
  <c r="W866" i="3" s="1"/>
  <c r="D866" i="3"/>
  <c r="J866" i="3"/>
  <c r="I866" i="3" s="1"/>
  <c r="K866" i="3"/>
  <c r="N866" i="3"/>
  <c r="O866" i="3"/>
  <c r="L866" i="3" s="1"/>
  <c r="Q866" i="3"/>
  <c r="A867" i="3"/>
  <c r="B867" i="3"/>
  <c r="C867" i="3"/>
  <c r="D867" i="3"/>
  <c r="E867" i="3" s="1"/>
  <c r="H867" i="3" s="1"/>
  <c r="J867" i="3"/>
  <c r="I867" i="3" s="1"/>
  <c r="K867" i="3"/>
  <c r="N867" i="3"/>
  <c r="O867" i="3"/>
  <c r="Q867" i="3"/>
  <c r="A868" i="3"/>
  <c r="B868" i="3"/>
  <c r="C868" i="3"/>
  <c r="W868" i="3" s="1"/>
  <c r="D868" i="3"/>
  <c r="J868" i="3"/>
  <c r="I868" i="3" s="1"/>
  <c r="K868" i="3"/>
  <c r="N868" i="3"/>
  <c r="O868" i="3"/>
  <c r="L868" i="3" s="1"/>
  <c r="Q868" i="3"/>
  <c r="A869" i="3"/>
  <c r="B869" i="3"/>
  <c r="C869" i="3"/>
  <c r="F869" i="3" s="1"/>
  <c r="D869" i="3"/>
  <c r="J869" i="3"/>
  <c r="I869" i="3" s="1"/>
  <c r="K869" i="3"/>
  <c r="N869" i="3"/>
  <c r="O869" i="3"/>
  <c r="L869" i="3" s="1"/>
  <c r="Q869" i="3"/>
  <c r="A870" i="3"/>
  <c r="B870" i="3"/>
  <c r="C870" i="3"/>
  <c r="D870" i="3"/>
  <c r="F870" i="3" s="1"/>
  <c r="E870" i="3"/>
  <c r="J870" i="3"/>
  <c r="I870" i="3" s="1"/>
  <c r="K870" i="3"/>
  <c r="N870" i="3"/>
  <c r="O870" i="3"/>
  <c r="Q870" i="3"/>
  <c r="A871" i="3"/>
  <c r="B871" i="3"/>
  <c r="C871" i="3"/>
  <c r="W871" i="3" s="1"/>
  <c r="D871" i="3"/>
  <c r="I871" i="3"/>
  <c r="J871" i="3"/>
  <c r="K871" i="3"/>
  <c r="M871" i="3"/>
  <c r="N871" i="3"/>
  <c r="O871" i="3"/>
  <c r="L871" i="3" s="1"/>
  <c r="Q871" i="3"/>
  <c r="A872" i="3"/>
  <c r="B872" i="3"/>
  <c r="C872" i="3"/>
  <c r="E872" i="3" s="1"/>
  <c r="H872" i="3" s="1"/>
  <c r="D872" i="3"/>
  <c r="J872" i="3"/>
  <c r="I872" i="3" s="1"/>
  <c r="K872" i="3"/>
  <c r="N872" i="3"/>
  <c r="O872" i="3"/>
  <c r="Q872" i="3"/>
  <c r="A873" i="3"/>
  <c r="B873" i="3"/>
  <c r="C873" i="3"/>
  <c r="W873" i="3" s="1"/>
  <c r="D873" i="3"/>
  <c r="J873" i="3"/>
  <c r="I873" i="3" s="1"/>
  <c r="K873" i="3"/>
  <c r="N873" i="3"/>
  <c r="O873" i="3"/>
  <c r="Q873" i="3"/>
  <c r="A874" i="3"/>
  <c r="B874" i="3"/>
  <c r="C874" i="3"/>
  <c r="D874" i="3"/>
  <c r="J874" i="3"/>
  <c r="I874" i="3" s="1"/>
  <c r="K874" i="3"/>
  <c r="N874" i="3"/>
  <c r="O874" i="3"/>
  <c r="Q874" i="3"/>
  <c r="A875" i="3"/>
  <c r="B875" i="3"/>
  <c r="C875" i="3"/>
  <c r="W875" i="3" s="1"/>
  <c r="D875" i="3"/>
  <c r="J875" i="3"/>
  <c r="I875" i="3" s="1"/>
  <c r="K875" i="3"/>
  <c r="M875" i="3"/>
  <c r="N875" i="3"/>
  <c r="O875" i="3"/>
  <c r="Q875" i="3"/>
  <c r="A876" i="3"/>
  <c r="B876" i="3"/>
  <c r="C876" i="3"/>
  <c r="W876" i="3" s="1"/>
  <c r="D876" i="3"/>
  <c r="J876" i="3"/>
  <c r="I876" i="3" s="1"/>
  <c r="K876" i="3"/>
  <c r="N876" i="3"/>
  <c r="O876" i="3"/>
  <c r="Q876" i="3"/>
  <c r="A877" i="3"/>
  <c r="B877" i="3"/>
  <c r="C877" i="3"/>
  <c r="D877" i="3"/>
  <c r="I877" i="3"/>
  <c r="J877" i="3"/>
  <c r="K877" i="3"/>
  <c r="N877" i="3"/>
  <c r="O877" i="3"/>
  <c r="Q877" i="3"/>
  <c r="A878" i="3"/>
  <c r="B878" i="3"/>
  <c r="C878" i="3"/>
  <c r="W878" i="3" s="1"/>
  <c r="D878" i="3"/>
  <c r="J878" i="3"/>
  <c r="I878" i="3" s="1"/>
  <c r="K878" i="3"/>
  <c r="N878" i="3"/>
  <c r="O878" i="3"/>
  <c r="L878" i="3" s="1"/>
  <c r="Q878" i="3"/>
  <c r="A879" i="3"/>
  <c r="B879" i="3"/>
  <c r="C879" i="3"/>
  <c r="D879" i="3"/>
  <c r="G879" i="3" s="1"/>
  <c r="J879" i="3"/>
  <c r="I879" i="3" s="1"/>
  <c r="K879" i="3"/>
  <c r="N879" i="3"/>
  <c r="O879" i="3"/>
  <c r="Q879" i="3"/>
  <c r="A880" i="3"/>
  <c r="B880" i="3"/>
  <c r="C880" i="3"/>
  <c r="D880" i="3"/>
  <c r="J880" i="3"/>
  <c r="I880" i="3" s="1"/>
  <c r="K880" i="3"/>
  <c r="N880" i="3"/>
  <c r="O880" i="3"/>
  <c r="L880" i="3" s="1"/>
  <c r="Q880" i="3"/>
  <c r="A881" i="3"/>
  <c r="B881" i="3"/>
  <c r="C881" i="3"/>
  <c r="D881" i="3"/>
  <c r="J881" i="3"/>
  <c r="I881" i="3" s="1"/>
  <c r="K881" i="3"/>
  <c r="N881" i="3"/>
  <c r="O881" i="3"/>
  <c r="Q881" i="3"/>
  <c r="A882" i="3"/>
  <c r="B882" i="3"/>
  <c r="C882" i="3"/>
  <c r="F882" i="3" s="1"/>
  <c r="D882" i="3"/>
  <c r="J882" i="3"/>
  <c r="I882" i="3" s="1"/>
  <c r="K882" i="3"/>
  <c r="N882" i="3"/>
  <c r="O882" i="3"/>
  <c r="Q882" i="3"/>
  <c r="A883" i="3"/>
  <c r="B883" i="3"/>
  <c r="C883" i="3"/>
  <c r="W883" i="3" s="1"/>
  <c r="D883" i="3"/>
  <c r="J883" i="3"/>
  <c r="I883" i="3" s="1"/>
  <c r="K883" i="3"/>
  <c r="N883" i="3"/>
  <c r="O883" i="3"/>
  <c r="Q883" i="3"/>
  <c r="A884" i="3"/>
  <c r="B884" i="3"/>
  <c r="C884" i="3"/>
  <c r="D884" i="3"/>
  <c r="L884" i="3" s="1"/>
  <c r="J884" i="3"/>
  <c r="I884" i="3" s="1"/>
  <c r="K884" i="3"/>
  <c r="N884" i="3"/>
  <c r="O884" i="3"/>
  <c r="Q884" i="3"/>
  <c r="A885" i="3"/>
  <c r="B885" i="3"/>
  <c r="C885" i="3"/>
  <c r="W885" i="3" s="1"/>
  <c r="D885" i="3"/>
  <c r="I885" i="3"/>
  <c r="J885" i="3"/>
  <c r="K885" i="3"/>
  <c r="N885" i="3"/>
  <c r="O885" i="3"/>
  <c r="L885" i="3" s="1"/>
  <c r="Q885" i="3"/>
  <c r="A886" i="3"/>
  <c r="B886" i="3"/>
  <c r="C886" i="3"/>
  <c r="D886" i="3"/>
  <c r="J886" i="3"/>
  <c r="I886" i="3" s="1"/>
  <c r="K886" i="3"/>
  <c r="N886" i="3"/>
  <c r="O886" i="3"/>
  <c r="Q886" i="3"/>
  <c r="A887" i="3"/>
  <c r="B887" i="3"/>
  <c r="C887" i="3"/>
  <c r="W887" i="3" s="1"/>
  <c r="D887" i="3"/>
  <c r="E887" i="3"/>
  <c r="J887" i="3"/>
  <c r="I887" i="3" s="1"/>
  <c r="K887" i="3"/>
  <c r="N887" i="3"/>
  <c r="O887" i="3"/>
  <c r="Q887" i="3"/>
  <c r="A888" i="3"/>
  <c r="B888" i="3"/>
  <c r="C888" i="3"/>
  <c r="D888" i="3"/>
  <c r="I888" i="3"/>
  <c r="J888" i="3"/>
  <c r="K888" i="3"/>
  <c r="N888" i="3"/>
  <c r="O888" i="3"/>
  <c r="Q888" i="3"/>
  <c r="A889" i="3"/>
  <c r="B889" i="3"/>
  <c r="C889" i="3"/>
  <c r="W889" i="3" s="1"/>
  <c r="D889" i="3"/>
  <c r="J889" i="3"/>
  <c r="I889" i="3" s="1"/>
  <c r="K889" i="3"/>
  <c r="N889" i="3"/>
  <c r="O889" i="3"/>
  <c r="L889" i="3" s="1"/>
  <c r="Q889" i="3"/>
  <c r="A890" i="3"/>
  <c r="B890" i="3"/>
  <c r="C890" i="3"/>
  <c r="D890" i="3"/>
  <c r="F890" i="3" s="1"/>
  <c r="J890" i="3"/>
  <c r="I890" i="3" s="1"/>
  <c r="K890" i="3"/>
  <c r="N890" i="3"/>
  <c r="O890" i="3"/>
  <c r="Q890" i="3"/>
  <c r="A891" i="3"/>
  <c r="B891" i="3"/>
  <c r="C891" i="3"/>
  <c r="D891" i="3"/>
  <c r="J891" i="3"/>
  <c r="I891" i="3" s="1"/>
  <c r="K891" i="3"/>
  <c r="N891" i="3"/>
  <c r="O891" i="3"/>
  <c r="L891" i="3" s="1"/>
  <c r="Q891" i="3"/>
  <c r="A892" i="3"/>
  <c r="B892" i="3"/>
  <c r="C892" i="3"/>
  <c r="W892" i="3" s="1"/>
  <c r="D892" i="3"/>
  <c r="J892" i="3"/>
  <c r="I892" i="3" s="1"/>
  <c r="K892" i="3"/>
  <c r="L892" i="3"/>
  <c r="N892" i="3"/>
  <c r="O892" i="3"/>
  <c r="Q892" i="3"/>
  <c r="A893" i="3"/>
  <c r="B893" i="3"/>
  <c r="C893" i="3"/>
  <c r="D893" i="3"/>
  <c r="F893" i="3"/>
  <c r="J893" i="3"/>
  <c r="I893" i="3" s="1"/>
  <c r="K893" i="3"/>
  <c r="N893" i="3"/>
  <c r="O893" i="3"/>
  <c r="Q893" i="3"/>
  <c r="A894" i="3"/>
  <c r="B894" i="3"/>
  <c r="C894" i="3"/>
  <c r="M894" i="3" s="1"/>
  <c r="D894" i="3"/>
  <c r="J894" i="3"/>
  <c r="I894" i="3" s="1"/>
  <c r="K894" i="3"/>
  <c r="N894" i="3"/>
  <c r="O894" i="3"/>
  <c r="Q894" i="3"/>
  <c r="A895" i="3"/>
  <c r="B895" i="3"/>
  <c r="C895" i="3"/>
  <c r="D895" i="3"/>
  <c r="M895" i="3" s="1"/>
  <c r="J895" i="3"/>
  <c r="I895" i="3" s="1"/>
  <c r="K895" i="3"/>
  <c r="N895" i="3"/>
  <c r="O895" i="3"/>
  <c r="L895" i="3" s="1"/>
  <c r="Q895" i="3"/>
  <c r="A896" i="3"/>
  <c r="B896" i="3"/>
  <c r="C896" i="3"/>
  <c r="G896" i="3" s="1"/>
  <c r="D896" i="3"/>
  <c r="E896" i="3"/>
  <c r="H896" i="3" s="1"/>
  <c r="J896" i="3"/>
  <c r="I896" i="3" s="1"/>
  <c r="K896" i="3"/>
  <c r="N896" i="3"/>
  <c r="O896" i="3"/>
  <c r="L896" i="3" s="1"/>
  <c r="Q896" i="3"/>
  <c r="A897" i="3"/>
  <c r="B897" i="3"/>
  <c r="C897" i="3"/>
  <c r="D897" i="3"/>
  <c r="J897" i="3"/>
  <c r="I897" i="3" s="1"/>
  <c r="K897" i="3"/>
  <c r="N897" i="3"/>
  <c r="O897" i="3"/>
  <c r="Q897" i="3"/>
  <c r="A898" i="3"/>
  <c r="B898" i="3"/>
  <c r="C898" i="3"/>
  <c r="W898" i="3" s="1"/>
  <c r="D898" i="3"/>
  <c r="L898" i="3" s="1"/>
  <c r="J898" i="3"/>
  <c r="I898" i="3" s="1"/>
  <c r="K898" i="3"/>
  <c r="N898" i="3"/>
  <c r="O898" i="3"/>
  <c r="Q898" i="3"/>
  <c r="A899" i="3"/>
  <c r="B899" i="3"/>
  <c r="C899" i="3"/>
  <c r="D899" i="3"/>
  <c r="F899" i="3" s="1"/>
  <c r="E899" i="3"/>
  <c r="J899" i="3"/>
  <c r="I899" i="3" s="1"/>
  <c r="K899" i="3"/>
  <c r="M899" i="3"/>
  <c r="N899" i="3"/>
  <c r="O899" i="3"/>
  <c r="Q899" i="3"/>
  <c r="A900" i="3"/>
  <c r="B900" i="3"/>
  <c r="C900" i="3"/>
  <c r="D900" i="3"/>
  <c r="J900" i="3"/>
  <c r="I900" i="3" s="1"/>
  <c r="K900" i="3"/>
  <c r="N900" i="3"/>
  <c r="O900" i="3"/>
  <c r="Q900" i="3"/>
  <c r="A901" i="3"/>
  <c r="B901" i="3"/>
  <c r="C901" i="3"/>
  <c r="D901" i="3"/>
  <c r="J901" i="3"/>
  <c r="I901" i="3" s="1"/>
  <c r="K901" i="3"/>
  <c r="N901" i="3"/>
  <c r="O901" i="3"/>
  <c r="Q901" i="3"/>
  <c r="A902" i="3"/>
  <c r="B902" i="3"/>
  <c r="C902" i="3"/>
  <c r="E902" i="3" s="1"/>
  <c r="H902" i="3" s="1"/>
  <c r="D902" i="3"/>
  <c r="J902" i="3"/>
  <c r="I902" i="3" s="1"/>
  <c r="K902" i="3"/>
  <c r="N902" i="3"/>
  <c r="O902" i="3"/>
  <c r="L902" i="3" s="1"/>
  <c r="Q902" i="3"/>
  <c r="A903" i="3"/>
  <c r="B903" i="3"/>
  <c r="C903" i="3"/>
  <c r="M903" i="3" s="1"/>
  <c r="D903" i="3"/>
  <c r="L903" i="3" s="1"/>
  <c r="G903" i="3"/>
  <c r="J903" i="3"/>
  <c r="I903" i="3" s="1"/>
  <c r="K903" i="3"/>
  <c r="N903" i="3"/>
  <c r="O903" i="3"/>
  <c r="Q903" i="3"/>
  <c r="A904" i="3"/>
  <c r="B904" i="3"/>
  <c r="C904" i="3"/>
  <c r="W904" i="3" s="1"/>
  <c r="D904" i="3"/>
  <c r="J904" i="3"/>
  <c r="I904" i="3" s="1"/>
  <c r="K904" i="3"/>
  <c r="N904" i="3"/>
  <c r="O904" i="3"/>
  <c r="Q904" i="3"/>
  <c r="A905" i="3"/>
  <c r="B905" i="3"/>
  <c r="C905" i="3"/>
  <c r="D905" i="3"/>
  <c r="M905" i="3" s="1"/>
  <c r="J905" i="3"/>
  <c r="I905" i="3" s="1"/>
  <c r="K905" i="3"/>
  <c r="N905" i="3"/>
  <c r="O905" i="3"/>
  <c r="Q905" i="3"/>
  <c r="A906" i="3"/>
  <c r="B906" i="3"/>
  <c r="C906" i="3"/>
  <c r="W906" i="3" s="1"/>
  <c r="D906" i="3"/>
  <c r="J906" i="3"/>
  <c r="I906" i="3" s="1"/>
  <c r="K906" i="3"/>
  <c r="N906" i="3"/>
  <c r="O906" i="3"/>
  <c r="Q906" i="3"/>
  <c r="A907" i="3"/>
  <c r="B907" i="3"/>
  <c r="C907" i="3"/>
  <c r="D907" i="3"/>
  <c r="J907" i="3"/>
  <c r="I907" i="3" s="1"/>
  <c r="K907" i="3"/>
  <c r="M907" i="3"/>
  <c r="N907" i="3"/>
  <c r="O907" i="3"/>
  <c r="Q907" i="3"/>
  <c r="A908" i="3"/>
  <c r="B908" i="3"/>
  <c r="C908" i="3"/>
  <c r="D908" i="3"/>
  <c r="M908" i="3" s="1"/>
  <c r="E908" i="3"/>
  <c r="H908" i="3" s="1"/>
  <c r="J908" i="3"/>
  <c r="I908" i="3" s="1"/>
  <c r="K908" i="3"/>
  <c r="N908" i="3"/>
  <c r="O908" i="3"/>
  <c r="Q908" i="3"/>
  <c r="A909" i="3"/>
  <c r="B909" i="3"/>
  <c r="C909" i="3"/>
  <c r="W909" i="3" s="1"/>
  <c r="D909" i="3"/>
  <c r="I909" i="3"/>
  <c r="J909" i="3"/>
  <c r="K909" i="3"/>
  <c r="N909" i="3"/>
  <c r="O909" i="3"/>
  <c r="Q909" i="3"/>
  <c r="A910" i="3"/>
  <c r="B910" i="3"/>
  <c r="C910" i="3"/>
  <c r="D910" i="3"/>
  <c r="J910" i="3"/>
  <c r="I910" i="3" s="1"/>
  <c r="K910" i="3"/>
  <c r="N910" i="3"/>
  <c r="O910" i="3"/>
  <c r="Q910" i="3"/>
  <c r="A911" i="3"/>
  <c r="B911" i="3"/>
  <c r="C911" i="3"/>
  <c r="F911" i="3" s="1"/>
  <c r="D911" i="3"/>
  <c r="J911" i="3"/>
  <c r="I911" i="3" s="1"/>
  <c r="K911" i="3"/>
  <c r="N911" i="3"/>
  <c r="O911" i="3"/>
  <c r="L911" i="3" s="1"/>
  <c r="Q911" i="3"/>
  <c r="A912" i="3"/>
  <c r="B912" i="3"/>
  <c r="C912" i="3"/>
  <c r="W912" i="3" s="1"/>
  <c r="D912" i="3"/>
  <c r="I912" i="3"/>
  <c r="J912" i="3"/>
  <c r="K912" i="3"/>
  <c r="N912" i="3"/>
  <c r="O912" i="3"/>
  <c r="Q912" i="3"/>
  <c r="A913" i="3"/>
  <c r="B913" i="3"/>
  <c r="C913" i="3"/>
  <c r="D913" i="3"/>
  <c r="J913" i="3"/>
  <c r="I913" i="3" s="1"/>
  <c r="K913" i="3"/>
  <c r="N913" i="3"/>
  <c r="O913" i="3"/>
  <c r="L913" i="3" s="1"/>
  <c r="Q913" i="3"/>
  <c r="A914" i="3"/>
  <c r="B914" i="3"/>
  <c r="C914" i="3"/>
  <c r="F914" i="3" s="1"/>
  <c r="D914" i="3"/>
  <c r="J914" i="3"/>
  <c r="I914" i="3" s="1"/>
  <c r="K914" i="3"/>
  <c r="N914" i="3"/>
  <c r="O914" i="3"/>
  <c r="L914" i="3" s="1"/>
  <c r="Q914" i="3"/>
  <c r="A915" i="3"/>
  <c r="B915" i="3"/>
  <c r="C915" i="3"/>
  <c r="D915" i="3"/>
  <c r="J915" i="3"/>
  <c r="I915" i="3" s="1"/>
  <c r="K915" i="3"/>
  <c r="N915" i="3"/>
  <c r="O915" i="3"/>
  <c r="Q915" i="3"/>
  <c r="A916" i="3"/>
  <c r="B916" i="3"/>
  <c r="C916" i="3"/>
  <c r="E916" i="3" s="1"/>
  <c r="H916" i="3" s="1"/>
  <c r="D916" i="3"/>
  <c r="J916" i="3"/>
  <c r="I916" i="3" s="1"/>
  <c r="K916" i="3"/>
  <c r="M916" i="3"/>
  <c r="N916" i="3"/>
  <c r="O916" i="3"/>
  <c r="Q916" i="3"/>
  <c r="A917" i="3"/>
  <c r="B917" i="3"/>
  <c r="C917" i="3"/>
  <c r="W917" i="3" s="1"/>
  <c r="D917" i="3"/>
  <c r="I917" i="3"/>
  <c r="J917" i="3"/>
  <c r="K917" i="3"/>
  <c r="N917" i="3"/>
  <c r="O917" i="3"/>
  <c r="Q917" i="3"/>
  <c r="A918" i="3"/>
  <c r="B918" i="3"/>
  <c r="C918" i="3"/>
  <c r="E918" i="3" s="1"/>
  <c r="H918" i="3" s="1"/>
  <c r="D918" i="3"/>
  <c r="J918" i="3"/>
  <c r="I918" i="3" s="1"/>
  <c r="K918" i="3"/>
  <c r="N918" i="3"/>
  <c r="O918" i="3"/>
  <c r="Q918" i="3"/>
  <c r="A919" i="3"/>
  <c r="B919" i="3"/>
  <c r="C919" i="3"/>
  <c r="G919" i="3" s="1"/>
  <c r="D919" i="3"/>
  <c r="E919" i="3" s="1"/>
  <c r="J919" i="3"/>
  <c r="I919" i="3" s="1"/>
  <c r="K919" i="3"/>
  <c r="L919" i="3"/>
  <c r="M919" i="3"/>
  <c r="N919" i="3"/>
  <c r="O919" i="3"/>
  <c r="Q919" i="3"/>
  <c r="A920" i="3"/>
  <c r="B920" i="3"/>
  <c r="C920" i="3"/>
  <c r="D920" i="3"/>
  <c r="I920" i="3"/>
  <c r="J920" i="3"/>
  <c r="K920" i="3"/>
  <c r="N920" i="3"/>
  <c r="O920" i="3"/>
  <c r="Q920" i="3"/>
  <c r="A921" i="3"/>
  <c r="B921" i="3"/>
  <c r="C921" i="3"/>
  <c r="W921" i="3" s="1"/>
  <c r="D921" i="3"/>
  <c r="J921" i="3"/>
  <c r="I921" i="3" s="1"/>
  <c r="K921" i="3"/>
  <c r="N921" i="3"/>
  <c r="O921" i="3"/>
  <c r="Q921" i="3"/>
  <c r="A922" i="3"/>
  <c r="B922" i="3"/>
  <c r="C922" i="3"/>
  <c r="F922" i="3" s="1"/>
  <c r="D922" i="3"/>
  <c r="G922" i="3" s="1"/>
  <c r="J922" i="3"/>
  <c r="I922" i="3" s="1"/>
  <c r="K922" i="3"/>
  <c r="N922" i="3"/>
  <c r="O922" i="3"/>
  <c r="L922" i="3" s="1"/>
  <c r="Q922" i="3"/>
  <c r="A923" i="3"/>
  <c r="B923" i="3"/>
  <c r="C923" i="3"/>
  <c r="M923" i="3" s="1"/>
  <c r="D923" i="3"/>
  <c r="E923" i="3" s="1"/>
  <c r="I923" i="3"/>
  <c r="J923" i="3"/>
  <c r="K923" i="3"/>
  <c r="N923" i="3"/>
  <c r="O923" i="3"/>
  <c r="Q923" i="3"/>
  <c r="A924" i="3"/>
  <c r="B924" i="3"/>
  <c r="C924" i="3"/>
  <c r="D924" i="3"/>
  <c r="F924" i="3" s="1"/>
  <c r="J924" i="3"/>
  <c r="I924" i="3" s="1"/>
  <c r="K924" i="3"/>
  <c r="N924" i="3"/>
  <c r="O924" i="3"/>
  <c r="Q924" i="3"/>
  <c r="A925" i="3"/>
  <c r="B925" i="3"/>
  <c r="C925" i="3"/>
  <c r="D925" i="3"/>
  <c r="F925" i="3" s="1"/>
  <c r="J925" i="3"/>
  <c r="I925" i="3" s="1"/>
  <c r="K925" i="3"/>
  <c r="N925" i="3"/>
  <c r="O925" i="3"/>
  <c r="L925" i="3" s="1"/>
  <c r="Q925" i="3"/>
  <c r="A926" i="3"/>
  <c r="B926" i="3"/>
  <c r="C926" i="3"/>
  <c r="G926" i="3" s="1"/>
  <c r="D926" i="3"/>
  <c r="J926" i="3"/>
  <c r="I926" i="3" s="1"/>
  <c r="K926" i="3"/>
  <c r="N926" i="3"/>
  <c r="O926" i="3"/>
  <c r="Q926" i="3"/>
  <c r="A927" i="3"/>
  <c r="B927" i="3"/>
  <c r="C927" i="3"/>
  <c r="G927" i="3" s="1"/>
  <c r="D927" i="3"/>
  <c r="F927" i="3"/>
  <c r="I927" i="3"/>
  <c r="J927" i="3"/>
  <c r="K927" i="3"/>
  <c r="M927" i="3"/>
  <c r="N927" i="3"/>
  <c r="O927" i="3"/>
  <c r="L927" i="3" s="1"/>
  <c r="Q927" i="3"/>
  <c r="A928" i="3"/>
  <c r="B928" i="3"/>
  <c r="C928" i="3"/>
  <c r="D928" i="3"/>
  <c r="E928" i="3" s="1"/>
  <c r="I928" i="3"/>
  <c r="J928" i="3"/>
  <c r="K928" i="3"/>
  <c r="N928" i="3"/>
  <c r="O928" i="3"/>
  <c r="L928" i="3" s="1"/>
  <c r="Q928" i="3"/>
  <c r="A929" i="3"/>
  <c r="B929" i="3"/>
  <c r="C929" i="3"/>
  <c r="D929" i="3"/>
  <c r="J929" i="3"/>
  <c r="I929" i="3" s="1"/>
  <c r="K929" i="3"/>
  <c r="N929" i="3"/>
  <c r="O929" i="3"/>
  <c r="Q929" i="3"/>
  <c r="A930" i="3"/>
  <c r="B930" i="3"/>
  <c r="C930" i="3"/>
  <c r="E930" i="3" s="1"/>
  <c r="H930" i="3" s="1"/>
  <c r="D930" i="3"/>
  <c r="G930" i="3"/>
  <c r="J930" i="3"/>
  <c r="I930" i="3" s="1"/>
  <c r="K930" i="3"/>
  <c r="N930" i="3"/>
  <c r="O930" i="3"/>
  <c r="L930" i="3" s="1"/>
  <c r="Q930" i="3"/>
  <c r="A931" i="3"/>
  <c r="B931" i="3"/>
  <c r="C931" i="3"/>
  <c r="G931" i="3" s="1"/>
  <c r="D931" i="3"/>
  <c r="J931" i="3"/>
  <c r="I931" i="3" s="1"/>
  <c r="K931" i="3"/>
  <c r="N931" i="3"/>
  <c r="O931" i="3"/>
  <c r="Q931" i="3"/>
  <c r="A932" i="3"/>
  <c r="B932" i="3"/>
  <c r="C932" i="3"/>
  <c r="E932" i="3" s="1"/>
  <c r="D932" i="3"/>
  <c r="J932" i="3"/>
  <c r="I932" i="3" s="1"/>
  <c r="K932" i="3"/>
  <c r="N932" i="3"/>
  <c r="O932" i="3"/>
  <c r="Q932" i="3"/>
  <c r="A933" i="3"/>
  <c r="B933" i="3"/>
  <c r="C933" i="3"/>
  <c r="D933" i="3"/>
  <c r="G933" i="3" s="1"/>
  <c r="J933" i="3"/>
  <c r="I933" i="3" s="1"/>
  <c r="K933" i="3"/>
  <c r="N933" i="3"/>
  <c r="O933" i="3"/>
  <c r="Q933" i="3"/>
  <c r="A934" i="3"/>
  <c r="B934" i="3"/>
  <c r="C934" i="3"/>
  <c r="D934" i="3"/>
  <c r="J934" i="3"/>
  <c r="I934" i="3" s="1"/>
  <c r="K934" i="3"/>
  <c r="N934" i="3"/>
  <c r="O934" i="3"/>
  <c r="Q934" i="3"/>
  <c r="A935" i="3"/>
  <c r="B935" i="3"/>
  <c r="C935" i="3"/>
  <c r="D935" i="3"/>
  <c r="F935" i="3"/>
  <c r="J935" i="3"/>
  <c r="I935" i="3" s="1"/>
  <c r="K935" i="3"/>
  <c r="N935" i="3"/>
  <c r="O935" i="3"/>
  <c r="Q935" i="3"/>
  <c r="A936" i="3"/>
  <c r="B936" i="3"/>
  <c r="C936" i="3"/>
  <c r="D936" i="3"/>
  <c r="J936" i="3"/>
  <c r="I936" i="3" s="1"/>
  <c r="K936" i="3"/>
  <c r="N936" i="3"/>
  <c r="O936" i="3"/>
  <c r="Q936" i="3"/>
  <c r="A937" i="3"/>
  <c r="B937" i="3"/>
  <c r="C937" i="3"/>
  <c r="E937" i="3" s="1"/>
  <c r="D937" i="3"/>
  <c r="J937" i="3"/>
  <c r="I937" i="3" s="1"/>
  <c r="K937" i="3"/>
  <c r="N937" i="3"/>
  <c r="O937" i="3"/>
  <c r="L937" i="3" s="1"/>
  <c r="Q937" i="3"/>
  <c r="A938" i="3"/>
  <c r="B938" i="3"/>
  <c r="C938" i="3"/>
  <c r="D938" i="3"/>
  <c r="J938" i="3"/>
  <c r="I938" i="3" s="1"/>
  <c r="K938" i="3"/>
  <c r="N938" i="3"/>
  <c r="O938" i="3"/>
  <c r="Q938" i="3"/>
  <c r="A939" i="3"/>
  <c r="B939" i="3"/>
  <c r="C939" i="3"/>
  <c r="G939" i="3" s="1"/>
  <c r="D939" i="3"/>
  <c r="J939" i="3"/>
  <c r="I939" i="3" s="1"/>
  <c r="K939" i="3"/>
  <c r="N939" i="3"/>
  <c r="O939" i="3"/>
  <c r="L939" i="3" s="1"/>
  <c r="Q939" i="3"/>
  <c r="A940" i="3"/>
  <c r="B940" i="3"/>
  <c r="C940" i="3"/>
  <c r="D940" i="3"/>
  <c r="J940" i="3"/>
  <c r="I940" i="3" s="1"/>
  <c r="K940" i="3"/>
  <c r="N940" i="3"/>
  <c r="O940" i="3"/>
  <c r="Q940" i="3"/>
  <c r="A941" i="3"/>
  <c r="B941" i="3"/>
  <c r="C941" i="3"/>
  <c r="W941" i="3" s="1"/>
  <c r="D941" i="3"/>
  <c r="J941" i="3"/>
  <c r="I941" i="3" s="1"/>
  <c r="K941" i="3"/>
  <c r="N941" i="3"/>
  <c r="O941" i="3"/>
  <c r="Q941" i="3"/>
  <c r="A942" i="3"/>
  <c r="B942" i="3"/>
  <c r="C942" i="3"/>
  <c r="G942" i="3" s="1"/>
  <c r="D942" i="3"/>
  <c r="F942" i="3"/>
  <c r="J942" i="3"/>
  <c r="I942" i="3" s="1"/>
  <c r="K942" i="3"/>
  <c r="N942" i="3"/>
  <c r="O942" i="3"/>
  <c r="L942" i="3" s="1"/>
  <c r="Q942" i="3"/>
  <c r="A943" i="3"/>
  <c r="B943" i="3"/>
  <c r="C943" i="3"/>
  <c r="W943" i="3" s="1"/>
  <c r="D943" i="3"/>
  <c r="J943" i="3"/>
  <c r="I943" i="3" s="1"/>
  <c r="K943" i="3"/>
  <c r="N943" i="3"/>
  <c r="O943" i="3"/>
  <c r="Q943" i="3"/>
  <c r="A944" i="3"/>
  <c r="B944" i="3"/>
  <c r="C944" i="3"/>
  <c r="F944" i="3" s="1"/>
  <c r="D944" i="3"/>
  <c r="I944" i="3"/>
  <c r="J944" i="3"/>
  <c r="K944" i="3"/>
  <c r="N944" i="3"/>
  <c r="O944" i="3"/>
  <c r="L944" i="3" s="1"/>
  <c r="Q944" i="3"/>
  <c r="A945" i="3"/>
  <c r="B945" i="3"/>
  <c r="C945" i="3"/>
  <c r="D945" i="3"/>
  <c r="J945" i="3"/>
  <c r="I945" i="3" s="1"/>
  <c r="K945" i="3"/>
  <c r="N945" i="3"/>
  <c r="O945" i="3"/>
  <c r="Q945" i="3"/>
  <c r="A946" i="3"/>
  <c r="B946" i="3"/>
  <c r="C946" i="3"/>
  <c r="G946" i="3" s="1"/>
  <c r="D946" i="3"/>
  <c r="J946" i="3"/>
  <c r="I946" i="3" s="1"/>
  <c r="K946" i="3"/>
  <c r="N946" i="3"/>
  <c r="O946" i="3"/>
  <c r="L946" i="3" s="1"/>
  <c r="Q946" i="3"/>
  <c r="A947" i="3"/>
  <c r="B947" i="3"/>
  <c r="C947" i="3"/>
  <c r="W947" i="3" s="1"/>
  <c r="D947" i="3"/>
  <c r="E947" i="3" s="1"/>
  <c r="J947" i="3"/>
  <c r="I947" i="3" s="1"/>
  <c r="K947" i="3"/>
  <c r="N947" i="3"/>
  <c r="O947" i="3"/>
  <c r="Q947" i="3"/>
  <c r="A948" i="3"/>
  <c r="B948" i="3"/>
  <c r="C948" i="3"/>
  <c r="D948" i="3"/>
  <c r="J948" i="3"/>
  <c r="I948" i="3" s="1"/>
  <c r="K948" i="3"/>
  <c r="N948" i="3"/>
  <c r="O948" i="3"/>
  <c r="Q948" i="3"/>
  <c r="A949" i="3"/>
  <c r="B949" i="3"/>
  <c r="C949" i="3"/>
  <c r="D949" i="3"/>
  <c r="J949" i="3"/>
  <c r="I949" i="3" s="1"/>
  <c r="K949" i="3"/>
  <c r="N949" i="3"/>
  <c r="O949" i="3"/>
  <c r="L949" i="3" s="1"/>
  <c r="Q949" i="3"/>
  <c r="A950" i="3"/>
  <c r="B950" i="3"/>
  <c r="C950" i="3"/>
  <c r="W950" i="3" s="1"/>
  <c r="D950" i="3"/>
  <c r="I950" i="3"/>
  <c r="J950" i="3"/>
  <c r="K950" i="3"/>
  <c r="N950" i="3"/>
  <c r="O950" i="3"/>
  <c r="Q950" i="3"/>
  <c r="A951" i="3"/>
  <c r="B951" i="3"/>
  <c r="C951" i="3"/>
  <c r="D951" i="3"/>
  <c r="E951" i="3"/>
  <c r="H951" i="3" s="1"/>
  <c r="J951" i="3"/>
  <c r="I951" i="3" s="1"/>
  <c r="K951" i="3"/>
  <c r="N951" i="3"/>
  <c r="O951" i="3"/>
  <c r="Q951" i="3"/>
  <c r="A952" i="3"/>
  <c r="B952" i="3"/>
  <c r="C952" i="3"/>
  <c r="D952" i="3"/>
  <c r="E952" i="3" s="1"/>
  <c r="J952" i="3"/>
  <c r="I952" i="3" s="1"/>
  <c r="K952" i="3"/>
  <c r="N952" i="3"/>
  <c r="O952" i="3"/>
  <c r="Q952" i="3"/>
  <c r="A953" i="3"/>
  <c r="B953" i="3"/>
  <c r="C953" i="3"/>
  <c r="D953" i="3"/>
  <c r="J953" i="3"/>
  <c r="I953" i="3" s="1"/>
  <c r="K953" i="3"/>
  <c r="N953" i="3"/>
  <c r="O953" i="3"/>
  <c r="Q953" i="3"/>
  <c r="A954" i="3"/>
  <c r="B954" i="3"/>
  <c r="C954" i="3"/>
  <c r="D954" i="3"/>
  <c r="J954" i="3"/>
  <c r="I954" i="3" s="1"/>
  <c r="K954" i="3"/>
  <c r="N954" i="3"/>
  <c r="O954" i="3"/>
  <c r="Q954" i="3"/>
  <c r="A955" i="3"/>
  <c r="B955" i="3"/>
  <c r="C955" i="3"/>
  <c r="D955" i="3"/>
  <c r="I955" i="3"/>
  <c r="J955" i="3"/>
  <c r="K955" i="3"/>
  <c r="N955" i="3"/>
  <c r="O955" i="3"/>
  <c r="Q955" i="3"/>
  <c r="A956" i="3"/>
  <c r="B956" i="3"/>
  <c r="C956" i="3"/>
  <c r="D956" i="3"/>
  <c r="J956" i="3"/>
  <c r="I956" i="3" s="1"/>
  <c r="K956" i="3"/>
  <c r="N956" i="3"/>
  <c r="O956" i="3"/>
  <c r="Q956" i="3"/>
  <c r="A957" i="3"/>
  <c r="B957" i="3"/>
  <c r="C957" i="3"/>
  <c r="D957" i="3"/>
  <c r="J957" i="3"/>
  <c r="I957" i="3" s="1"/>
  <c r="K957" i="3"/>
  <c r="N957" i="3"/>
  <c r="O957" i="3"/>
  <c r="Q957" i="3"/>
  <c r="A958" i="3"/>
  <c r="B958" i="3"/>
  <c r="C958" i="3"/>
  <c r="W958" i="3" s="1"/>
  <c r="D958" i="3"/>
  <c r="J958" i="3"/>
  <c r="I958" i="3" s="1"/>
  <c r="K958" i="3"/>
  <c r="N958" i="3"/>
  <c r="O958" i="3"/>
  <c r="Q958" i="3"/>
  <c r="A959" i="3"/>
  <c r="B959" i="3"/>
  <c r="C959" i="3"/>
  <c r="E959" i="3" s="1"/>
  <c r="H959" i="3" s="1"/>
  <c r="D959" i="3"/>
  <c r="J959" i="3"/>
  <c r="I959" i="3" s="1"/>
  <c r="K959" i="3"/>
  <c r="N959" i="3"/>
  <c r="O959" i="3"/>
  <c r="L959" i="3" s="1"/>
  <c r="Q959" i="3"/>
  <c r="A960" i="3"/>
  <c r="B960" i="3"/>
  <c r="C960" i="3"/>
  <c r="D960" i="3"/>
  <c r="J960" i="3"/>
  <c r="I960" i="3" s="1"/>
  <c r="K960" i="3"/>
  <c r="L960" i="3"/>
  <c r="N960" i="3"/>
  <c r="O960" i="3"/>
  <c r="Q960" i="3"/>
  <c r="A961" i="3"/>
  <c r="B961" i="3"/>
  <c r="C961" i="3"/>
  <c r="D961" i="3"/>
  <c r="J961" i="3"/>
  <c r="I961" i="3" s="1"/>
  <c r="K961" i="3"/>
  <c r="N961" i="3"/>
  <c r="O961" i="3"/>
  <c r="Q961" i="3"/>
  <c r="A962" i="3"/>
  <c r="B962" i="3"/>
  <c r="C962" i="3"/>
  <c r="D962" i="3"/>
  <c r="J962" i="3"/>
  <c r="I962" i="3" s="1"/>
  <c r="K962" i="3"/>
  <c r="N962" i="3"/>
  <c r="O962" i="3"/>
  <c r="Q962" i="3"/>
  <c r="A963" i="3"/>
  <c r="B963" i="3"/>
  <c r="C963" i="3"/>
  <c r="G963" i="3" s="1"/>
  <c r="D963" i="3"/>
  <c r="L963" i="3" s="1"/>
  <c r="J963" i="3"/>
  <c r="I963" i="3" s="1"/>
  <c r="K963" i="3"/>
  <c r="N963" i="3"/>
  <c r="O963" i="3"/>
  <c r="Q963" i="3"/>
  <c r="A964" i="3"/>
  <c r="B964" i="3"/>
  <c r="C964" i="3"/>
  <c r="W964" i="3" s="1"/>
  <c r="D964" i="3"/>
  <c r="I964" i="3"/>
  <c r="J964" i="3"/>
  <c r="K964" i="3"/>
  <c r="N964" i="3"/>
  <c r="O964" i="3"/>
  <c r="Q964" i="3"/>
  <c r="A965" i="3"/>
  <c r="B965" i="3"/>
  <c r="C965" i="3"/>
  <c r="G965" i="3" s="1"/>
  <c r="D965" i="3"/>
  <c r="J965" i="3"/>
  <c r="I965" i="3" s="1"/>
  <c r="K965" i="3"/>
  <c r="N965" i="3"/>
  <c r="O965" i="3"/>
  <c r="L965" i="3" s="1"/>
  <c r="Q965" i="3"/>
  <c r="A966" i="3"/>
  <c r="B966" i="3"/>
  <c r="C966" i="3"/>
  <c r="F966" i="3" s="1"/>
  <c r="D966" i="3"/>
  <c r="J966" i="3"/>
  <c r="I966" i="3" s="1"/>
  <c r="K966" i="3"/>
  <c r="N966" i="3"/>
  <c r="O966" i="3"/>
  <c r="Q966" i="3"/>
  <c r="A967" i="3"/>
  <c r="B967" i="3"/>
  <c r="C967" i="3"/>
  <c r="E967" i="3" s="1"/>
  <c r="H967" i="3" s="1"/>
  <c r="D967" i="3"/>
  <c r="J967" i="3"/>
  <c r="I967" i="3" s="1"/>
  <c r="K967" i="3"/>
  <c r="N967" i="3"/>
  <c r="O967" i="3"/>
  <c r="L967" i="3" s="1"/>
  <c r="Q967" i="3"/>
  <c r="A968" i="3"/>
  <c r="B968" i="3"/>
  <c r="C968" i="3"/>
  <c r="F968" i="3" s="1"/>
  <c r="D968" i="3"/>
  <c r="I968" i="3"/>
  <c r="J968" i="3"/>
  <c r="K968" i="3"/>
  <c r="N968" i="3"/>
  <c r="O968" i="3"/>
  <c r="Q968" i="3"/>
  <c r="A969" i="3"/>
  <c r="B969" i="3"/>
  <c r="C969" i="3"/>
  <c r="D969" i="3"/>
  <c r="J969" i="3"/>
  <c r="I969" i="3" s="1"/>
  <c r="K969" i="3"/>
  <c r="N969" i="3"/>
  <c r="O969" i="3"/>
  <c r="Q969" i="3"/>
  <c r="A970" i="3"/>
  <c r="B970" i="3"/>
  <c r="C970" i="3"/>
  <c r="D970" i="3"/>
  <c r="J970" i="3"/>
  <c r="I970" i="3" s="1"/>
  <c r="K970" i="3"/>
  <c r="N970" i="3"/>
  <c r="O970" i="3"/>
  <c r="Q970" i="3"/>
  <c r="A971" i="3"/>
  <c r="B971" i="3"/>
  <c r="C971" i="3"/>
  <c r="D971" i="3"/>
  <c r="J971" i="3"/>
  <c r="I971" i="3" s="1"/>
  <c r="K971" i="3"/>
  <c r="N971" i="3"/>
  <c r="O971" i="3"/>
  <c r="Q971" i="3"/>
  <c r="A972" i="3"/>
  <c r="B972" i="3"/>
  <c r="C972" i="3"/>
  <c r="E972" i="3" s="1"/>
  <c r="D972" i="3"/>
  <c r="I972" i="3"/>
  <c r="J972" i="3"/>
  <c r="K972" i="3"/>
  <c r="N972" i="3"/>
  <c r="O972" i="3"/>
  <c r="L972" i="3" s="1"/>
  <c r="Q972" i="3"/>
  <c r="A973" i="3"/>
  <c r="B973" i="3"/>
  <c r="C973" i="3"/>
  <c r="D973" i="3"/>
  <c r="G973" i="3" s="1"/>
  <c r="J973" i="3"/>
  <c r="I973" i="3" s="1"/>
  <c r="K973" i="3"/>
  <c r="N973" i="3"/>
  <c r="O973" i="3"/>
  <c r="L973" i="3" s="1"/>
  <c r="Q973" i="3"/>
  <c r="A974" i="3"/>
  <c r="B974" i="3"/>
  <c r="C974" i="3"/>
  <c r="G974" i="3" s="1"/>
  <c r="D974" i="3"/>
  <c r="J974" i="3"/>
  <c r="I974" i="3" s="1"/>
  <c r="K974" i="3"/>
  <c r="N974" i="3"/>
  <c r="O974" i="3"/>
  <c r="Q974" i="3"/>
  <c r="A975" i="3"/>
  <c r="B975" i="3"/>
  <c r="C975" i="3"/>
  <c r="D975" i="3"/>
  <c r="J975" i="3"/>
  <c r="I975" i="3" s="1"/>
  <c r="K975" i="3"/>
  <c r="M975" i="3"/>
  <c r="N975" i="3"/>
  <c r="O975" i="3"/>
  <c r="L975" i="3" s="1"/>
  <c r="Q975" i="3"/>
  <c r="A976" i="3"/>
  <c r="B976" i="3"/>
  <c r="C976" i="3"/>
  <c r="D976" i="3"/>
  <c r="J976" i="3"/>
  <c r="I976" i="3" s="1"/>
  <c r="K976" i="3"/>
  <c r="N976" i="3"/>
  <c r="O976" i="3"/>
  <c r="Q976" i="3"/>
  <c r="A977" i="3"/>
  <c r="B977" i="3"/>
  <c r="C977" i="3"/>
  <c r="D977" i="3"/>
  <c r="I977" i="3"/>
  <c r="J977" i="3"/>
  <c r="K977" i="3"/>
  <c r="N977" i="3"/>
  <c r="O977" i="3"/>
  <c r="Q977" i="3"/>
  <c r="A978" i="3"/>
  <c r="B978" i="3"/>
  <c r="C978" i="3"/>
  <c r="F978" i="3" s="1"/>
  <c r="D978" i="3"/>
  <c r="E978" i="3"/>
  <c r="H978" i="3" s="1"/>
  <c r="J978" i="3"/>
  <c r="I978" i="3" s="1"/>
  <c r="K978" i="3"/>
  <c r="N978" i="3"/>
  <c r="O978" i="3"/>
  <c r="L978" i="3" s="1"/>
  <c r="Q978" i="3"/>
  <c r="A979" i="3"/>
  <c r="B979" i="3"/>
  <c r="C979" i="3"/>
  <c r="W979" i="3" s="1"/>
  <c r="D979" i="3"/>
  <c r="J979" i="3"/>
  <c r="I979" i="3" s="1"/>
  <c r="K979" i="3"/>
  <c r="N979" i="3"/>
  <c r="O979" i="3"/>
  <c r="L979" i="3" s="1"/>
  <c r="Q979" i="3"/>
  <c r="A980" i="3"/>
  <c r="B980" i="3"/>
  <c r="C980" i="3"/>
  <c r="D980" i="3"/>
  <c r="J980" i="3"/>
  <c r="I980" i="3" s="1"/>
  <c r="K980" i="3"/>
  <c r="N980" i="3"/>
  <c r="O980" i="3"/>
  <c r="Q980" i="3"/>
  <c r="A981" i="3"/>
  <c r="B981" i="3"/>
  <c r="C981" i="3"/>
  <c r="G981" i="3" s="1"/>
  <c r="D981" i="3"/>
  <c r="J981" i="3"/>
  <c r="I981" i="3" s="1"/>
  <c r="K981" i="3"/>
  <c r="N981" i="3"/>
  <c r="O981" i="3"/>
  <c r="Q981" i="3"/>
  <c r="A982" i="3"/>
  <c r="B982" i="3"/>
  <c r="C982" i="3"/>
  <c r="G982" i="3" s="1"/>
  <c r="D982" i="3"/>
  <c r="F982" i="3"/>
  <c r="I982" i="3"/>
  <c r="J982" i="3"/>
  <c r="K982" i="3"/>
  <c r="N982" i="3"/>
  <c r="O982" i="3"/>
  <c r="L982" i="3" s="1"/>
  <c r="Q982" i="3"/>
  <c r="A983" i="3"/>
  <c r="B983" i="3"/>
  <c r="C983" i="3"/>
  <c r="D983" i="3"/>
  <c r="J983" i="3"/>
  <c r="I983" i="3" s="1"/>
  <c r="K983" i="3"/>
  <c r="N983" i="3"/>
  <c r="O983" i="3"/>
  <c r="Q983" i="3"/>
  <c r="A984" i="3"/>
  <c r="B984" i="3"/>
  <c r="C984" i="3"/>
  <c r="F984" i="3" s="1"/>
  <c r="D984" i="3"/>
  <c r="J984" i="3"/>
  <c r="I984" i="3" s="1"/>
  <c r="K984" i="3"/>
  <c r="N984" i="3"/>
  <c r="O984" i="3"/>
  <c r="L984" i="3" s="1"/>
  <c r="Q984" i="3"/>
  <c r="A985" i="3"/>
  <c r="B985" i="3"/>
  <c r="C985" i="3"/>
  <c r="D985" i="3"/>
  <c r="J985" i="3"/>
  <c r="I985" i="3" s="1"/>
  <c r="K985" i="3"/>
  <c r="N985" i="3"/>
  <c r="O985" i="3"/>
  <c r="Q985" i="3"/>
  <c r="A986" i="3"/>
  <c r="B986" i="3"/>
  <c r="C986" i="3"/>
  <c r="E986" i="3" s="1"/>
  <c r="H986" i="3" s="1"/>
  <c r="D986" i="3"/>
  <c r="J986" i="3"/>
  <c r="I986" i="3" s="1"/>
  <c r="K986" i="3"/>
  <c r="M986" i="3"/>
  <c r="N986" i="3"/>
  <c r="O986" i="3"/>
  <c r="Q986" i="3"/>
  <c r="A987" i="3"/>
  <c r="B987" i="3"/>
  <c r="C987" i="3"/>
  <c r="W987" i="3" s="1"/>
  <c r="D987" i="3"/>
  <c r="I987" i="3"/>
  <c r="J987" i="3"/>
  <c r="K987" i="3"/>
  <c r="N987" i="3"/>
  <c r="O987" i="3"/>
  <c r="Q987" i="3"/>
  <c r="A988" i="3"/>
  <c r="B988" i="3"/>
  <c r="C988" i="3"/>
  <c r="W988" i="3" s="1"/>
  <c r="D988" i="3"/>
  <c r="J988" i="3"/>
  <c r="I988" i="3" s="1"/>
  <c r="K988" i="3"/>
  <c r="N988" i="3"/>
  <c r="O988" i="3"/>
  <c r="L988" i="3" s="1"/>
  <c r="Q988" i="3"/>
  <c r="A989" i="3"/>
  <c r="B989" i="3"/>
  <c r="C989" i="3"/>
  <c r="G989" i="3" s="1"/>
  <c r="D989" i="3"/>
  <c r="J989" i="3"/>
  <c r="I989" i="3" s="1"/>
  <c r="K989" i="3"/>
  <c r="N989" i="3"/>
  <c r="O989" i="3"/>
  <c r="L989" i="3" s="1"/>
  <c r="Q989" i="3"/>
  <c r="A990" i="3"/>
  <c r="B990" i="3"/>
  <c r="C990" i="3"/>
  <c r="D990" i="3"/>
  <c r="J990" i="3"/>
  <c r="I990" i="3" s="1"/>
  <c r="K990" i="3"/>
  <c r="N990" i="3"/>
  <c r="O990" i="3"/>
  <c r="Q990" i="3"/>
  <c r="A991" i="3"/>
  <c r="B991" i="3"/>
  <c r="C991" i="3"/>
  <c r="W991" i="3" s="1"/>
  <c r="D991" i="3"/>
  <c r="J991" i="3"/>
  <c r="I991" i="3" s="1"/>
  <c r="K991" i="3"/>
  <c r="N991" i="3"/>
  <c r="O991" i="3"/>
  <c r="Q991" i="3"/>
  <c r="A992" i="3"/>
  <c r="B992" i="3"/>
  <c r="C992" i="3"/>
  <c r="W992" i="3" s="1"/>
  <c r="D992" i="3"/>
  <c r="E992" i="3" s="1"/>
  <c r="I992" i="3"/>
  <c r="J992" i="3"/>
  <c r="K992" i="3"/>
  <c r="N992" i="3"/>
  <c r="O992" i="3"/>
  <c r="L992" i="3" s="1"/>
  <c r="Q992" i="3"/>
  <c r="A993" i="3"/>
  <c r="B993" i="3"/>
  <c r="C993" i="3"/>
  <c r="D993" i="3"/>
  <c r="I993" i="3"/>
  <c r="J993" i="3"/>
  <c r="K993" i="3"/>
  <c r="N993" i="3"/>
  <c r="O993" i="3"/>
  <c r="L993" i="3" s="1"/>
  <c r="Q993" i="3"/>
  <c r="A994" i="3"/>
  <c r="B994" i="3"/>
  <c r="C994" i="3"/>
  <c r="E994" i="3" s="1"/>
  <c r="H994" i="3" s="1"/>
  <c r="D994" i="3"/>
  <c r="J994" i="3"/>
  <c r="I994" i="3" s="1"/>
  <c r="K994" i="3"/>
  <c r="N994" i="3"/>
  <c r="O994" i="3"/>
  <c r="Q994" i="3"/>
  <c r="A995" i="3"/>
  <c r="B995" i="3"/>
  <c r="C995" i="3"/>
  <c r="W995" i="3" s="1"/>
  <c r="D995" i="3"/>
  <c r="J995" i="3"/>
  <c r="I995" i="3" s="1"/>
  <c r="K995" i="3"/>
  <c r="L995" i="3"/>
  <c r="N995" i="3"/>
  <c r="O995" i="3"/>
  <c r="Q995" i="3"/>
  <c r="A996" i="3"/>
  <c r="B996" i="3"/>
  <c r="C996" i="3"/>
  <c r="D996" i="3"/>
  <c r="L996" i="3" s="1"/>
  <c r="I996" i="3"/>
  <c r="J996" i="3"/>
  <c r="K996" i="3"/>
  <c r="N996" i="3"/>
  <c r="O996" i="3"/>
  <c r="Q996" i="3"/>
  <c r="A997" i="3"/>
  <c r="B997" i="3"/>
  <c r="C997" i="3"/>
  <c r="D997" i="3"/>
  <c r="J997" i="3"/>
  <c r="I997" i="3" s="1"/>
  <c r="K997" i="3"/>
  <c r="N997" i="3"/>
  <c r="O997" i="3"/>
  <c r="Q997" i="3"/>
  <c r="A998" i="3"/>
  <c r="B998" i="3"/>
  <c r="C998" i="3"/>
  <c r="D998" i="3"/>
  <c r="I998" i="3"/>
  <c r="J998" i="3"/>
  <c r="K998" i="3"/>
  <c r="N998" i="3"/>
  <c r="O998" i="3"/>
  <c r="Q998" i="3"/>
  <c r="A999" i="3"/>
  <c r="B999" i="3"/>
  <c r="C999" i="3"/>
  <c r="E999" i="3" s="1"/>
  <c r="H999" i="3" s="1"/>
  <c r="D999" i="3"/>
  <c r="J999" i="3"/>
  <c r="I999" i="3" s="1"/>
  <c r="K999" i="3"/>
  <c r="N999" i="3"/>
  <c r="O999" i="3"/>
  <c r="L999" i="3" s="1"/>
  <c r="Q999" i="3"/>
  <c r="A1000" i="3"/>
  <c r="B1000" i="3"/>
  <c r="C1000" i="3"/>
  <c r="W1000" i="3" s="1"/>
  <c r="D1000" i="3"/>
  <c r="J1000" i="3"/>
  <c r="I1000" i="3" s="1"/>
  <c r="K1000" i="3"/>
  <c r="N1000" i="3"/>
  <c r="O1000" i="3"/>
  <c r="Q1000" i="3"/>
  <c r="W20" i="3"/>
  <c r="W22" i="3"/>
  <c r="W23" i="3"/>
  <c r="W25" i="3"/>
  <c r="W26" i="3"/>
  <c r="W27" i="3"/>
  <c r="W30" i="3"/>
  <c r="W32" i="3"/>
  <c r="W33" i="3"/>
  <c r="W34" i="3"/>
  <c r="W38" i="3"/>
  <c r="W39" i="3"/>
  <c r="W41" i="3"/>
  <c r="W43" i="3"/>
  <c r="W45" i="3"/>
  <c r="W46" i="3"/>
  <c r="W49" i="3"/>
  <c r="W50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7" i="3"/>
  <c r="W488" i="3"/>
  <c r="W489" i="3"/>
  <c r="W490" i="3"/>
  <c r="W491" i="3"/>
  <c r="W492" i="3"/>
  <c r="W493" i="3"/>
  <c r="W494" i="3"/>
  <c r="W495" i="3"/>
  <c r="W497" i="3"/>
  <c r="W498" i="3"/>
  <c r="W499" i="3"/>
  <c r="W500" i="3"/>
  <c r="W501" i="3"/>
  <c r="W502" i="3"/>
  <c r="W503" i="3"/>
  <c r="W504" i="3"/>
  <c r="W505" i="3"/>
  <c r="W506" i="3"/>
  <c r="W508" i="3"/>
  <c r="W509" i="3"/>
  <c r="W510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9" i="3"/>
  <c r="W560" i="3"/>
  <c r="W561" i="3"/>
  <c r="W562" i="3"/>
  <c r="W564" i="3"/>
  <c r="W565" i="3"/>
  <c r="W567" i="3"/>
  <c r="W569" i="3"/>
  <c r="W572" i="3"/>
  <c r="W573" i="3"/>
  <c r="W574" i="3"/>
  <c r="W575" i="3"/>
  <c r="W576" i="3"/>
  <c r="W577" i="3"/>
  <c r="W578" i="3"/>
  <c r="W579" i="3"/>
  <c r="W580" i="3"/>
  <c r="W581" i="3"/>
  <c r="W583" i="3"/>
  <c r="W584" i="3"/>
  <c r="W585" i="3"/>
  <c r="W586" i="3"/>
  <c r="W589" i="3"/>
  <c r="W590" i="3"/>
  <c r="W591" i="3"/>
  <c r="W592" i="3"/>
  <c r="W593" i="3"/>
  <c r="W594" i="3"/>
  <c r="W595" i="3"/>
  <c r="W596" i="3"/>
  <c r="W597" i="3"/>
  <c r="W598" i="3"/>
  <c r="W601" i="3"/>
  <c r="W602" i="3"/>
  <c r="W603" i="3"/>
  <c r="W605" i="3"/>
  <c r="W606" i="3"/>
  <c r="W608" i="3"/>
  <c r="W610" i="3"/>
  <c r="W612" i="3"/>
  <c r="W613" i="3"/>
  <c r="W614" i="3"/>
  <c r="W615" i="3"/>
  <c r="W616" i="3"/>
  <c r="W617" i="3"/>
  <c r="W618" i="3"/>
  <c r="W619" i="3"/>
  <c r="W620" i="3"/>
  <c r="W621" i="3"/>
  <c r="W622" i="3"/>
  <c r="W624" i="3"/>
  <c r="W625" i="3"/>
  <c r="W626" i="3"/>
  <c r="W627" i="3"/>
  <c r="W628" i="3"/>
  <c r="W630" i="3"/>
  <c r="W631" i="3"/>
  <c r="W632" i="3"/>
  <c r="W633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8" i="3"/>
  <c r="W649" i="3"/>
  <c r="W650" i="3"/>
  <c r="W651" i="3"/>
  <c r="W653" i="3"/>
  <c r="W656" i="3"/>
  <c r="W658" i="3"/>
  <c r="W659" i="3"/>
  <c r="W660" i="3"/>
  <c r="W661" i="3"/>
  <c r="W662" i="3"/>
  <c r="W663" i="3"/>
  <c r="W664" i="3"/>
  <c r="W666" i="3"/>
  <c r="W667" i="3"/>
  <c r="W668" i="3"/>
  <c r="W669" i="3"/>
  <c r="W671" i="3"/>
  <c r="W672" i="3"/>
  <c r="W673" i="3"/>
  <c r="W674" i="3"/>
  <c r="W675" i="3"/>
  <c r="W676" i="3"/>
  <c r="W678" i="3"/>
  <c r="W679" i="3"/>
  <c r="W680" i="3"/>
  <c r="W681" i="3"/>
  <c r="W682" i="3"/>
  <c r="W684" i="3"/>
  <c r="W685" i="3"/>
  <c r="W686" i="3"/>
  <c r="W689" i="3"/>
  <c r="W691" i="3"/>
  <c r="W692" i="3"/>
  <c r="W693" i="3"/>
  <c r="W694" i="3"/>
  <c r="W695" i="3"/>
  <c r="W696" i="3"/>
  <c r="W697" i="3"/>
  <c r="W698" i="3"/>
  <c r="W699" i="3"/>
  <c r="W701" i="3"/>
  <c r="W704" i="3"/>
  <c r="W706" i="3"/>
  <c r="W707" i="3"/>
  <c r="W708" i="3"/>
  <c r="W709" i="3"/>
  <c r="W711" i="3"/>
  <c r="W712" i="3"/>
  <c r="W713" i="3"/>
  <c r="W714" i="3"/>
  <c r="W716" i="3"/>
  <c r="W717" i="3"/>
  <c r="W719" i="3"/>
  <c r="W721" i="3"/>
  <c r="W722" i="3"/>
  <c r="W723" i="3"/>
  <c r="W724" i="3"/>
  <c r="W725" i="3"/>
  <c r="W726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3" i="3"/>
  <c r="W745" i="3"/>
  <c r="W746" i="3"/>
  <c r="W747" i="3"/>
  <c r="W748" i="3"/>
  <c r="W749" i="3"/>
  <c r="W752" i="3"/>
  <c r="W753" i="3"/>
  <c r="W755" i="3"/>
  <c r="W756" i="3"/>
  <c r="W757" i="3"/>
  <c r="W758" i="3"/>
  <c r="W759" i="3"/>
  <c r="W760" i="3"/>
  <c r="W761" i="3"/>
  <c r="W762" i="3"/>
  <c r="W763" i="3"/>
  <c r="W764" i="3"/>
  <c r="W765" i="3"/>
  <c r="W767" i="3"/>
  <c r="W768" i="3"/>
  <c r="W769" i="3"/>
  <c r="W770" i="3"/>
  <c r="W771" i="3"/>
  <c r="W772" i="3"/>
  <c r="W773" i="3"/>
  <c r="W775" i="3"/>
  <c r="W777" i="3"/>
  <c r="W778" i="3"/>
  <c r="W780" i="3"/>
  <c r="W781" i="3"/>
  <c r="W784" i="3"/>
  <c r="W786" i="3"/>
  <c r="W787" i="3"/>
  <c r="W789" i="3"/>
  <c r="W790" i="3"/>
  <c r="W792" i="3"/>
  <c r="W793" i="3"/>
  <c r="W794" i="3"/>
  <c r="W795" i="3"/>
  <c r="W796" i="3"/>
  <c r="W798" i="3"/>
  <c r="W799" i="3"/>
  <c r="W802" i="3"/>
  <c r="W804" i="3"/>
  <c r="W805" i="3"/>
  <c r="W810" i="3"/>
  <c r="W812" i="3"/>
  <c r="W814" i="3"/>
  <c r="W817" i="3"/>
  <c r="W818" i="3"/>
  <c r="W819" i="3"/>
  <c r="W820" i="3"/>
  <c r="W821" i="3"/>
  <c r="W822" i="3"/>
  <c r="W823" i="3"/>
  <c r="W824" i="3"/>
  <c r="W826" i="3"/>
  <c r="W827" i="3"/>
  <c r="W828" i="3"/>
  <c r="W829" i="3"/>
  <c r="W830" i="3"/>
  <c r="W831" i="3"/>
  <c r="W835" i="3"/>
  <c r="W836" i="3"/>
  <c r="W839" i="3"/>
  <c r="W840" i="3"/>
  <c r="W842" i="3"/>
  <c r="W844" i="3"/>
  <c r="W845" i="3"/>
  <c r="W846" i="3"/>
  <c r="W847" i="3"/>
  <c r="W850" i="3"/>
  <c r="W851" i="3"/>
  <c r="W852" i="3"/>
  <c r="W853" i="3"/>
  <c r="W854" i="3"/>
  <c r="W856" i="3"/>
  <c r="W857" i="3"/>
  <c r="W860" i="3"/>
  <c r="W861" i="3"/>
  <c r="W864" i="3"/>
  <c r="W865" i="3"/>
  <c r="W867" i="3"/>
  <c r="W869" i="3"/>
  <c r="W870" i="3"/>
  <c r="W872" i="3"/>
  <c r="W879" i="3"/>
  <c r="W880" i="3"/>
  <c r="W882" i="3"/>
  <c r="W884" i="3"/>
  <c r="W886" i="3"/>
  <c r="W888" i="3"/>
  <c r="W890" i="3"/>
  <c r="W891" i="3"/>
  <c r="W893" i="3"/>
  <c r="W894" i="3"/>
  <c r="W895" i="3"/>
  <c r="W897" i="3"/>
  <c r="W899" i="3"/>
  <c r="W900" i="3"/>
  <c r="W905" i="3"/>
  <c r="W907" i="3"/>
  <c r="W908" i="3"/>
  <c r="W910" i="3"/>
  <c r="W911" i="3"/>
  <c r="W913" i="3"/>
  <c r="W914" i="3"/>
  <c r="W916" i="3"/>
  <c r="W919" i="3"/>
  <c r="W920" i="3"/>
  <c r="W922" i="3"/>
  <c r="W923" i="3"/>
  <c r="W924" i="3"/>
  <c r="W925" i="3"/>
  <c r="W926" i="3"/>
  <c r="W928" i="3"/>
  <c r="W930" i="3"/>
  <c r="W933" i="3"/>
  <c r="W939" i="3"/>
  <c r="W940" i="3"/>
  <c r="W946" i="3"/>
  <c r="W948" i="3"/>
  <c r="W949" i="3"/>
  <c r="W951" i="3"/>
  <c r="W954" i="3"/>
  <c r="W955" i="3"/>
  <c r="W956" i="3"/>
  <c r="W960" i="3"/>
  <c r="W965" i="3"/>
  <c r="W968" i="3"/>
  <c r="W970" i="3"/>
  <c r="W973" i="3"/>
  <c r="W976" i="3"/>
  <c r="W978" i="3"/>
  <c r="W981" i="3"/>
  <c r="W982" i="3"/>
  <c r="W984" i="3"/>
  <c r="W986" i="3"/>
  <c r="W990" i="3"/>
  <c r="W994" i="3"/>
  <c r="W996" i="3"/>
  <c r="W998" i="3"/>
  <c r="W999" i="3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2" i="8"/>
  <c r="E26" i="3" l="1"/>
  <c r="H26" i="3" s="1"/>
  <c r="F12" i="3"/>
  <c r="L17" i="3"/>
  <c r="G51" i="3"/>
  <c r="M42" i="3"/>
  <c r="M22" i="3"/>
  <c r="F18" i="3"/>
  <c r="E19" i="3"/>
  <c r="W42" i="3"/>
  <c r="L18" i="3"/>
  <c r="L31" i="3"/>
  <c r="M28" i="3"/>
  <c r="F41" i="3"/>
  <c r="M18" i="3"/>
  <c r="L39" i="3"/>
  <c r="E27" i="3"/>
  <c r="H27" i="3" s="1"/>
  <c r="W28" i="3"/>
  <c r="M44" i="3"/>
  <c r="G32" i="3"/>
  <c r="L28" i="3"/>
  <c r="F49" i="3"/>
  <c r="L45" i="3"/>
  <c r="L33" i="3"/>
  <c r="L50" i="3"/>
  <c r="E35" i="3"/>
  <c r="H35" i="3" s="1"/>
  <c r="G28" i="3"/>
  <c r="L22" i="3"/>
  <c r="M38" i="3"/>
  <c r="L321" i="3"/>
  <c r="G915" i="3"/>
  <c r="W741" i="3"/>
  <c r="W652" i="3"/>
  <c r="W604" i="3"/>
  <c r="W588" i="3"/>
  <c r="W568" i="3"/>
  <c r="W467" i="3"/>
  <c r="E996" i="3"/>
  <c r="E991" i="3"/>
  <c r="H991" i="3" s="1"/>
  <c r="G978" i="3"/>
  <c r="G975" i="3"/>
  <c r="L953" i="3"/>
  <c r="L948" i="3"/>
  <c r="L938" i="3"/>
  <c r="P938" i="3" s="1"/>
  <c r="E935" i="3"/>
  <c r="H935" i="3" s="1"/>
  <c r="L905" i="3"/>
  <c r="L876" i="3"/>
  <c r="L874" i="3"/>
  <c r="G865" i="3"/>
  <c r="M863" i="3"/>
  <c r="G857" i="3"/>
  <c r="E822" i="3"/>
  <c r="M738" i="3"/>
  <c r="E698" i="3"/>
  <c r="H698" i="3" s="1"/>
  <c r="L691" i="3"/>
  <c r="L671" i="3"/>
  <c r="E642" i="3"/>
  <c r="H642" i="3" s="1"/>
  <c r="E599" i="3"/>
  <c r="G535" i="3"/>
  <c r="F510" i="3"/>
  <c r="L463" i="3"/>
  <c r="L411" i="3"/>
  <c r="E369" i="3"/>
  <c r="F215" i="3"/>
  <c r="G215" i="3"/>
  <c r="L829" i="3"/>
  <c r="G725" i="3"/>
  <c r="E725" i="3"/>
  <c r="F710" i="3"/>
  <c r="E710" i="3"/>
  <c r="E548" i="3"/>
  <c r="H548" i="3" s="1"/>
  <c r="M548" i="3"/>
  <c r="G333" i="3"/>
  <c r="E333" i="3"/>
  <c r="F333" i="3"/>
  <c r="P333" i="3" s="1"/>
  <c r="E301" i="3"/>
  <c r="H301" i="3" s="1"/>
  <c r="M301" i="3"/>
  <c r="W967" i="3"/>
  <c r="W944" i="3"/>
  <c r="W813" i="3"/>
  <c r="W774" i="3"/>
  <c r="W634" i="3"/>
  <c r="G999" i="3"/>
  <c r="L966" i="3"/>
  <c r="E965" i="3"/>
  <c r="E960" i="3"/>
  <c r="E955" i="3"/>
  <c r="F950" i="3"/>
  <c r="L936" i="3"/>
  <c r="L931" i="3"/>
  <c r="F930" i="3"/>
  <c r="L908" i="3"/>
  <c r="F860" i="3"/>
  <c r="G855" i="3"/>
  <c r="L853" i="3"/>
  <c r="F850" i="3"/>
  <c r="G836" i="3"/>
  <c r="G831" i="3"/>
  <c r="G820" i="3"/>
  <c r="L805" i="3"/>
  <c r="L664" i="3"/>
  <c r="G637" i="3"/>
  <c r="M637" i="3"/>
  <c r="M535" i="3"/>
  <c r="M530" i="3"/>
  <c r="E495" i="3"/>
  <c r="H495" i="3" s="1"/>
  <c r="G495" i="3"/>
  <c r="M495" i="3"/>
  <c r="E487" i="3"/>
  <c r="H487" i="3" s="1"/>
  <c r="E440" i="3"/>
  <c r="W972" i="3"/>
  <c r="G825" i="3"/>
  <c r="F791" i="3"/>
  <c r="G788" i="3"/>
  <c r="E788" i="3"/>
  <c r="W903" i="3"/>
  <c r="L917" i="3"/>
  <c r="G902" i="3"/>
  <c r="L897" i="3"/>
  <c r="L777" i="3"/>
  <c r="L757" i="3"/>
  <c r="M746" i="3"/>
  <c r="L719" i="3"/>
  <c r="L714" i="3"/>
  <c r="G645" i="3"/>
  <c r="E645" i="3"/>
  <c r="M613" i="3"/>
  <c r="F551" i="3"/>
  <c r="M551" i="3"/>
  <c r="F543" i="3"/>
  <c r="G543" i="3"/>
  <c r="M543" i="3"/>
  <c r="L334" i="3"/>
  <c r="F277" i="3"/>
  <c r="M277" i="3"/>
  <c r="F843" i="3"/>
  <c r="W791" i="3"/>
  <c r="W902" i="3"/>
  <c r="W848" i="3"/>
  <c r="W683" i="3"/>
  <c r="W600" i="3"/>
  <c r="F986" i="3"/>
  <c r="L969" i="3"/>
  <c r="L956" i="3"/>
  <c r="G916" i="3"/>
  <c r="M911" i="3"/>
  <c r="M910" i="3"/>
  <c r="F902" i="3"/>
  <c r="M797" i="3"/>
  <c r="L767" i="3"/>
  <c r="L762" i="3"/>
  <c r="L749" i="3"/>
  <c r="G713" i="3"/>
  <c r="F708" i="3"/>
  <c r="L687" i="3"/>
  <c r="F584" i="3"/>
  <c r="G584" i="3"/>
  <c r="E559" i="3"/>
  <c r="H559" i="3" s="1"/>
  <c r="W966" i="3"/>
  <c r="W942" i="3"/>
  <c r="W918" i="3"/>
  <c r="W754" i="3"/>
  <c r="W665" i="3"/>
  <c r="W599" i="3"/>
  <c r="E997" i="3"/>
  <c r="E976" i="3"/>
  <c r="F958" i="3"/>
  <c r="E953" i="3"/>
  <c r="E948" i="3"/>
  <c r="M946" i="3"/>
  <c r="L941" i="3"/>
  <c r="M938" i="3"/>
  <c r="L934" i="3"/>
  <c r="E894" i="3"/>
  <c r="H894" i="3" s="1"/>
  <c r="G889" i="3"/>
  <c r="L882" i="3"/>
  <c r="L875" i="3"/>
  <c r="L834" i="3"/>
  <c r="G829" i="3"/>
  <c r="F823" i="3"/>
  <c r="L811" i="3"/>
  <c r="E810" i="3"/>
  <c r="E802" i="3"/>
  <c r="M792" i="3"/>
  <c r="E784" i="3"/>
  <c r="E774" i="3"/>
  <c r="L736" i="3"/>
  <c r="L711" i="3"/>
  <c r="L697" i="3"/>
  <c r="G691" i="3"/>
  <c r="E676" i="3"/>
  <c r="F676" i="3"/>
  <c r="M674" i="3"/>
  <c r="L611" i="3"/>
  <c r="E600" i="3"/>
  <c r="M567" i="3"/>
  <c r="L539" i="3"/>
  <c r="E463" i="3"/>
  <c r="F463" i="3"/>
  <c r="G443" i="3"/>
  <c r="E304" i="3"/>
  <c r="G304" i="3"/>
  <c r="F280" i="3"/>
  <c r="F690" i="3"/>
  <c r="E690" i="3"/>
  <c r="H690" i="3" s="1"/>
  <c r="M983" i="3"/>
  <c r="W963" i="3"/>
  <c r="W806" i="3"/>
  <c r="W788" i="3"/>
  <c r="L998" i="3"/>
  <c r="E971" i="3"/>
  <c r="L964" i="3"/>
  <c r="F943" i="3"/>
  <c r="F866" i="3"/>
  <c r="M846" i="3"/>
  <c r="L840" i="3"/>
  <c r="L827" i="3"/>
  <c r="E769" i="3"/>
  <c r="M749" i="3"/>
  <c r="E746" i="3"/>
  <c r="H746" i="3" s="1"/>
  <c r="F716" i="3"/>
  <c r="F699" i="3"/>
  <c r="M677" i="3"/>
  <c r="L649" i="3"/>
  <c r="F613" i="3"/>
  <c r="M600" i="3"/>
  <c r="G557" i="3"/>
  <c r="L529" i="3"/>
  <c r="G528" i="3"/>
  <c r="G511" i="3"/>
  <c r="M511" i="3"/>
  <c r="L507" i="3"/>
  <c r="L459" i="3"/>
  <c r="G428" i="3"/>
  <c r="M421" i="3"/>
  <c r="M309" i="3"/>
  <c r="F309" i="3"/>
  <c r="F72" i="3"/>
  <c r="G72" i="3"/>
  <c r="L464" i="3"/>
  <c r="W915" i="3"/>
  <c r="L985" i="3"/>
  <c r="L980" i="3"/>
  <c r="G966" i="3"/>
  <c r="M918" i="3"/>
  <c r="L915" i="3"/>
  <c r="G914" i="3"/>
  <c r="F903" i="3"/>
  <c r="G877" i="3"/>
  <c r="M859" i="3"/>
  <c r="L843" i="3"/>
  <c r="E832" i="3"/>
  <c r="H832" i="3" s="1"/>
  <c r="M827" i="3"/>
  <c r="L814" i="3"/>
  <c r="L788" i="3"/>
  <c r="L765" i="3"/>
  <c r="L747" i="3"/>
  <c r="F741" i="3"/>
  <c r="E664" i="3"/>
  <c r="E613" i="3"/>
  <c r="H613" i="3" s="1"/>
  <c r="F562" i="3"/>
  <c r="F531" i="3"/>
  <c r="L449" i="3"/>
  <c r="E329" i="3"/>
  <c r="F329" i="3"/>
  <c r="M329" i="3"/>
  <c r="F228" i="3"/>
  <c r="F946" i="3"/>
  <c r="P946" i="3" s="1"/>
  <c r="W932" i="3"/>
  <c r="W896" i="3"/>
  <c r="W859" i="3"/>
  <c r="W843" i="3"/>
  <c r="W803" i="3"/>
  <c r="W611" i="3"/>
  <c r="W507" i="3"/>
  <c r="M967" i="3"/>
  <c r="E956" i="3"/>
  <c r="M951" i="3"/>
  <c r="E946" i="3"/>
  <c r="H946" i="3" s="1"/>
  <c r="G911" i="3"/>
  <c r="G908" i="3"/>
  <c r="E903" i="3"/>
  <c r="G887" i="3"/>
  <c r="M870" i="3"/>
  <c r="M854" i="3"/>
  <c r="G846" i="3"/>
  <c r="L838" i="3"/>
  <c r="E824" i="3"/>
  <c r="H824" i="3" s="1"/>
  <c r="M806" i="3"/>
  <c r="G798" i="3"/>
  <c r="G777" i="3"/>
  <c r="E749" i="3"/>
  <c r="F739" i="3"/>
  <c r="E714" i="3"/>
  <c r="H714" i="3" s="1"/>
  <c r="E709" i="3"/>
  <c r="F669" i="3"/>
  <c r="G611" i="3"/>
  <c r="L553" i="3"/>
  <c r="E552" i="3"/>
  <c r="H552" i="3" s="1"/>
  <c r="P552" i="3" s="1"/>
  <c r="M552" i="3"/>
  <c r="L537" i="3"/>
  <c r="F404" i="3"/>
  <c r="G397" i="3"/>
  <c r="M397" i="3"/>
  <c r="F317" i="3"/>
  <c r="E312" i="3"/>
  <c r="W690" i="3"/>
  <c r="W825" i="3"/>
  <c r="W983" i="3"/>
  <c r="W931" i="3"/>
  <c r="L983" i="3"/>
  <c r="E926" i="3"/>
  <c r="M915" i="3"/>
  <c r="G892" i="3"/>
  <c r="F846" i="3"/>
  <c r="P846" i="3" s="1"/>
  <c r="M843" i="3"/>
  <c r="L825" i="3"/>
  <c r="M788" i="3"/>
  <c r="L783" i="3"/>
  <c r="L758" i="3"/>
  <c r="L732" i="3"/>
  <c r="L720" i="3"/>
  <c r="L705" i="3"/>
  <c r="M621" i="3"/>
  <c r="M568" i="3"/>
  <c r="L522" i="3"/>
  <c r="L510" i="3"/>
  <c r="F407" i="3"/>
  <c r="M390" i="3"/>
  <c r="E390" i="3"/>
  <c r="H390" i="3" s="1"/>
  <c r="W609" i="3"/>
  <c r="L970" i="3"/>
  <c r="P970" i="3" s="1"/>
  <c r="L952" i="3"/>
  <c r="L947" i="3"/>
  <c r="G918" i="3"/>
  <c r="G906" i="3"/>
  <c r="L901" i="3"/>
  <c r="M880" i="3"/>
  <c r="E875" i="3"/>
  <c r="H875" i="3" s="1"/>
  <c r="L865" i="3"/>
  <c r="L852" i="3"/>
  <c r="G849" i="3"/>
  <c r="M840" i="3"/>
  <c r="M838" i="3"/>
  <c r="E785" i="3"/>
  <c r="G677" i="3"/>
  <c r="E677" i="3"/>
  <c r="H677" i="3" s="1"/>
  <c r="E621" i="3"/>
  <c r="H621" i="3" s="1"/>
  <c r="G621" i="3"/>
  <c r="L573" i="3"/>
  <c r="L114" i="3"/>
  <c r="E114" i="3"/>
  <c r="E954" i="3"/>
  <c r="H954" i="3" s="1"/>
  <c r="F918" i="3"/>
  <c r="F885" i="3"/>
  <c r="G870" i="3"/>
  <c r="E859" i="3"/>
  <c r="H859" i="3" s="1"/>
  <c r="F717" i="3"/>
  <c r="M710" i="3"/>
  <c r="F657" i="3"/>
  <c r="L645" i="3"/>
  <c r="L637" i="3"/>
  <c r="M624" i="3"/>
  <c r="E596" i="3"/>
  <c r="H596" i="3" s="1"/>
  <c r="L584" i="3"/>
  <c r="F542" i="3"/>
  <c r="L442" i="3"/>
  <c r="G366" i="3"/>
  <c r="M349" i="3"/>
  <c r="E349" i="3"/>
  <c r="H349" i="3" s="1"/>
  <c r="F349" i="3"/>
  <c r="W974" i="3"/>
  <c r="W927" i="3"/>
  <c r="W779" i="3"/>
  <c r="W710" i="3"/>
  <c r="W623" i="3"/>
  <c r="M999" i="3"/>
  <c r="E993" i="3"/>
  <c r="L986" i="3"/>
  <c r="E985" i="3"/>
  <c r="H985" i="3" s="1"/>
  <c r="E980" i="3"/>
  <c r="M978" i="3"/>
  <c r="E977" i="3"/>
  <c r="G967" i="3"/>
  <c r="L950" i="3"/>
  <c r="L932" i="3"/>
  <c r="L916" i="3"/>
  <c r="E912" i="3"/>
  <c r="L907" i="3"/>
  <c r="L899" i="3"/>
  <c r="G873" i="3"/>
  <c r="E854" i="3"/>
  <c r="E843" i="3"/>
  <c r="H843" i="3" s="1"/>
  <c r="L841" i="3"/>
  <c r="F830" i="3"/>
  <c r="F819" i="3"/>
  <c r="F806" i="3"/>
  <c r="E801" i="3"/>
  <c r="G791" i="3"/>
  <c r="L789" i="3"/>
  <c r="F788" i="3"/>
  <c r="L771" i="3"/>
  <c r="E765" i="3"/>
  <c r="M765" i="3"/>
  <c r="L761" i="3"/>
  <c r="L713" i="3"/>
  <c r="F652" i="3"/>
  <c r="M642" i="3"/>
  <c r="L574" i="3"/>
  <c r="L668" i="3"/>
  <c r="F630" i="3"/>
  <c r="L567" i="3"/>
  <c r="L518" i="3"/>
  <c r="F444" i="3"/>
  <c r="L434" i="3"/>
  <c r="F428" i="3"/>
  <c r="E397" i="3"/>
  <c r="E366" i="3"/>
  <c r="F340" i="3"/>
  <c r="E294" i="3"/>
  <c r="H294" i="3" s="1"/>
  <c r="F289" i="3"/>
  <c r="L285" i="3"/>
  <c r="F273" i="3"/>
  <c r="F253" i="3"/>
  <c r="L215" i="3"/>
  <c r="M129" i="3"/>
  <c r="F83" i="3"/>
  <c r="P83" i="3" s="1"/>
  <c r="L489" i="3"/>
  <c r="G483" i="3"/>
  <c r="G453" i="3"/>
  <c r="L416" i="3"/>
  <c r="L393" i="3"/>
  <c r="E377" i="3"/>
  <c r="G369" i="3"/>
  <c r="G361" i="3"/>
  <c r="L325" i="3"/>
  <c r="E297" i="3"/>
  <c r="G287" i="3"/>
  <c r="G251" i="3"/>
  <c r="F224" i="3"/>
  <c r="M217" i="3"/>
  <c r="L210" i="3"/>
  <c r="L195" i="3"/>
  <c r="M176" i="3"/>
  <c r="L125" i="3"/>
  <c r="G114" i="3"/>
  <c r="L110" i="3"/>
  <c r="L76" i="3"/>
  <c r="M75" i="3"/>
  <c r="L68" i="3"/>
  <c r="L58" i="3"/>
  <c r="E49" i="3"/>
  <c r="H49" i="3" s="1"/>
  <c r="F29" i="3"/>
  <c r="L741" i="3"/>
  <c r="G737" i="3"/>
  <c r="F689" i="3"/>
  <c r="L685" i="3"/>
  <c r="F684" i="3"/>
  <c r="L634" i="3"/>
  <c r="E575" i="3"/>
  <c r="H575" i="3" s="1"/>
  <c r="L568" i="3"/>
  <c r="E564" i="3"/>
  <c r="F554" i="3"/>
  <c r="F545" i="3"/>
  <c r="F497" i="3"/>
  <c r="G431" i="3"/>
  <c r="L391" i="3"/>
  <c r="L381" i="3"/>
  <c r="L331" i="3"/>
  <c r="M325" i="3"/>
  <c r="E300" i="3"/>
  <c r="F295" i="3"/>
  <c r="M261" i="3"/>
  <c r="L259" i="3"/>
  <c r="L245" i="3"/>
  <c r="G202" i="3"/>
  <c r="L174" i="3"/>
  <c r="E161" i="3"/>
  <c r="H161" i="3" s="1"/>
  <c r="E156" i="3"/>
  <c r="H156" i="3" s="1"/>
  <c r="L154" i="3"/>
  <c r="F148" i="3"/>
  <c r="L146" i="3"/>
  <c r="L108" i="3"/>
  <c r="E102" i="3"/>
  <c r="G89" i="3"/>
  <c r="M58" i="3"/>
  <c r="F57" i="3"/>
  <c r="G52" i="3"/>
  <c r="E34" i="3"/>
  <c r="H34" i="3" s="1"/>
  <c r="L312" i="3"/>
  <c r="L290" i="3"/>
  <c r="M280" i="3"/>
  <c r="L272" i="3"/>
  <c r="M198" i="3"/>
  <c r="G187" i="3"/>
  <c r="G164" i="3"/>
  <c r="E148" i="3"/>
  <c r="M118" i="3"/>
  <c r="F84" i="3"/>
  <c r="L20" i="3"/>
  <c r="L48" i="3"/>
  <c r="L778" i="3"/>
  <c r="L760" i="3"/>
  <c r="L752" i="3"/>
  <c r="L731" i="3"/>
  <c r="F730" i="3"/>
  <c r="L716" i="3"/>
  <c r="L698" i="3"/>
  <c r="F697" i="3"/>
  <c r="L680" i="3"/>
  <c r="L656" i="3"/>
  <c r="L648" i="3"/>
  <c r="G636" i="3"/>
  <c r="E626" i="3"/>
  <c r="E618" i="3"/>
  <c r="G594" i="3"/>
  <c r="L530" i="3"/>
  <c r="L521" i="3"/>
  <c r="L504" i="3"/>
  <c r="L501" i="3"/>
  <c r="L490" i="3"/>
  <c r="E461" i="3"/>
  <c r="F451" i="3"/>
  <c r="L438" i="3"/>
  <c r="G437" i="3"/>
  <c r="L422" i="3"/>
  <c r="F416" i="3"/>
  <c r="L404" i="3"/>
  <c r="G393" i="3"/>
  <c r="F388" i="3"/>
  <c r="L384" i="3"/>
  <c r="L371" i="3"/>
  <c r="L362" i="3"/>
  <c r="L346" i="3"/>
  <c r="L275" i="3"/>
  <c r="M254" i="3"/>
  <c r="F240" i="3"/>
  <c r="L216" i="3"/>
  <c r="L175" i="3"/>
  <c r="L121" i="3"/>
  <c r="M115" i="3"/>
  <c r="G92" i="3"/>
  <c r="L82" i="3"/>
  <c r="G58" i="3"/>
  <c r="E45" i="3"/>
  <c r="H45" i="3" s="1"/>
  <c r="F42" i="3"/>
  <c r="P42" i="3" s="1"/>
  <c r="L38" i="3"/>
  <c r="L299" i="3"/>
  <c r="L255" i="3"/>
  <c r="L201" i="3"/>
  <c r="L165" i="3"/>
  <c r="G100" i="3"/>
  <c r="L85" i="3"/>
  <c r="F58" i="3"/>
  <c r="L46" i="3"/>
  <c r="L786" i="3"/>
  <c r="L768" i="3"/>
  <c r="F733" i="3"/>
  <c r="G728" i="3"/>
  <c r="E723" i="3"/>
  <c r="G718" i="3"/>
  <c r="L651" i="3"/>
  <c r="L632" i="3"/>
  <c r="L622" i="3"/>
  <c r="L619" i="3"/>
  <c r="L606" i="3"/>
  <c r="F560" i="3"/>
  <c r="E532" i="3"/>
  <c r="H532" i="3" s="1"/>
  <c r="M524" i="3"/>
  <c r="L485" i="3"/>
  <c r="L475" i="3"/>
  <c r="L457" i="3"/>
  <c r="L444" i="3"/>
  <c r="M440" i="3"/>
  <c r="G421" i="3"/>
  <c r="L417" i="3"/>
  <c r="L366" i="3"/>
  <c r="L363" i="3"/>
  <c r="F352" i="3"/>
  <c r="L342" i="3"/>
  <c r="G312" i="3"/>
  <c r="L307" i="3"/>
  <c r="L302" i="3"/>
  <c r="L294" i="3"/>
  <c r="E288" i="3"/>
  <c r="G267" i="3"/>
  <c r="F259" i="3"/>
  <c r="L248" i="3"/>
  <c r="M233" i="3"/>
  <c r="M193" i="3"/>
  <c r="L191" i="3"/>
  <c r="G188" i="3"/>
  <c r="G182" i="3"/>
  <c r="L177" i="3"/>
  <c r="M128" i="3"/>
  <c r="G108" i="3"/>
  <c r="L79" i="3"/>
  <c r="L26" i="3"/>
  <c r="G432" i="3"/>
  <c r="F381" i="3"/>
  <c r="L369" i="3"/>
  <c r="G365" i="3"/>
  <c r="M344" i="3"/>
  <c r="P344" i="3" s="1"/>
  <c r="G334" i="3"/>
  <c r="E286" i="3"/>
  <c r="H286" i="3" s="1"/>
  <c r="L268" i="3"/>
  <c r="G250" i="3"/>
  <c r="L229" i="3"/>
  <c r="F198" i="3"/>
  <c r="L189" i="3"/>
  <c r="E113" i="3"/>
  <c r="L95" i="3"/>
  <c r="L75" i="3"/>
  <c r="E43" i="3"/>
  <c r="H43" i="3" s="1"/>
  <c r="F35" i="3"/>
  <c r="M26" i="3"/>
  <c r="M20" i="3"/>
  <c r="M83" i="3"/>
  <c r="L16" i="3"/>
  <c r="L377" i="3"/>
  <c r="M312" i="3"/>
  <c r="G299" i="3"/>
  <c r="L258" i="3"/>
  <c r="L170" i="3"/>
  <c r="F144" i="3"/>
  <c r="M85" i="3"/>
  <c r="M82" i="3"/>
  <c r="E74" i="3"/>
  <c r="E46" i="3"/>
  <c r="F33" i="3"/>
  <c r="L673" i="3"/>
  <c r="L641" i="3"/>
  <c r="L628" i="3"/>
  <c r="F574" i="3"/>
  <c r="L570" i="3"/>
  <c r="L559" i="3"/>
  <c r="P559" i="3" s="1"/>
  <c r="L545" i="3"/>
  <c r="L542" i="3"/>
  <c r="L491" i="3"/>
  <c r="E485" i="3"/>
  <c r="L466" i="3"/>
  <c r="L423" i="3"/>
  <c r="L408" i="3"/>
  <c r="E394" i="3"/>
  <c r="L372" i="3"/>
  <c r="G363" i="3"/>
  <c r="M361" i="3"/>
  <c r="L351" i="3"/>
  <c r="F326" i="3"/>
  <c r="G307" i="3"/>
  <c r="L300" i="3"/>
  <c r="F248" i="3"/>
  <c r="L202" i="3"/>
  <c r="M183" i="3"/>
  <c r="L171" i="3"/>
  <c r="L166" i="3"/>
  <c r="L139" i="3"/>
  <c r="L86" i="3"/>
  <c r="L24" i="3"/>
  <c r="M789" i="3"/>
  <c r="F763" i="3"/>
  <c r="L709" i="3"/>
  <c r="L704" i="3"/>
  <c r="L689" i="3"/>
  <c r="L676" i="3"/>
  <c r="E659" i="3"/>
  <c r="E651" i="3"/>
  <c r="H651" i="3" s="1"/>
  <c r="L644" i="3"/>
  <c r="E643" i="3"/>
  <c r="F635" i="3"/>
  <c r="L633" i="3"/>
  <c r="G622" i="3"/>
  <c r="L594" i="3"/>
  <c r="E577" i="3"/>
  <c r="H577" i="3" s="1"/>
  <c r="M575" i="3"/>
  <c r="G536" i="3"/>
  <c r="L508" i="3"/>
  <c r="L494" i="3"/>
  <c r="L481" i="3"/>
  <c r="L473" i="3"/>
  <c r="E433" i="3"/>
  <c r="L426" i="3"/>
  <c r="G415" i="3"/>
  <c r="E392" i="3"/>
  <c r="H392" i="3" s="1"/>
  <c r="L380" i="3"/>
  <c r="E374" i="3"/>
  <c r="F369" i="3"/>
  <c r="L367" i="3"/>
  <c r="F358" i="3"/>
  <c r="G342" i="3"/>
  <c r="L333" i="3"/>
  <c r="L327" i="3"/>
  <c r="L324" i="3"/>
  <c r="L319" i="3"/>
  <c r="L295" i="3"/>
  <c r="L292" i="3"/>
  <c r="L271" i="3"/>
  <c r="L256" i="3"/>
  <c r="G236" i="3"/>
  <c r="L161" i="3"/>
  <c r="L156" i="3"/>
  <c r="L148" i="3"/>
  <c r="F101" i="3"/>
  <c r="L99" i="3"/>
  <c r="G75" i="3"/>
  <c r="L57" i="3"/>
  <c r="L52" i="3"/>
  <c r="L42" i="3"/>
  <c r="G41" i="3"/>
  <c r="F26" i="3"/>
  <c r="G18" i="3"/>
  <c r="E987" i="3"/>
  <c r="L971" i="3"/>
  <c r="F951" i="3"/>
  <c r="G934" i="3"/>
  <c r="F934" i="3"/>
  <c r="W934" i="3"/>
  <c r="M926" i="3"/>
  <c r="F906" i="3"/>
  <c r="E900" i="3"/>
  <c r="H900" i="3" s="1"/>
  <c r="M900" i="3"/>
  <c r="F897" i="3"/>
  <c r="E897" i="3"/>
  <c r="G897" i="3"/>
  <c r="E886" i="3"/>
  <c r="F886" i="3"/>
  <c r="G886" i="3"/>
  <c r="M886" i="3"/>
  <c r="F883" i="3"/>
  <c r="M883" i="3"/>
  <c r="F878" i="3"/>
  <c r="P878" i="3" s="1"/>
  <c r="G878" i="3"/>
  <c r="M878" i="3"/>
  <c r="M867" i="3"/>
  <c r="G797" i="3"/>
  <c r="L797" i="3"/>
  <c r="L773" i="3"/>
  <c r="F764" i="3"/>
  <c r="F745" i="3"/>
  <c r="G644" i="3"/>
  <c r="F644" i="3"/>
  <c r="E591" i="3"/>
  <c r="H591" i="3" s="1"/>
  <c r="F591" i="3"/>
  <c r="M591" i="3"/>
  <c r="G591" i="3"/>
  <c r="F740" i="3"/>
  <c r="G740" i="3"/>
  <c r="G990" i="3"/>
  <c r="F990" i="3"/>
  <c r="E968" i="3"/>
  <c r="G951" i="3"/>
  <c r="L951" i="3"/>
  <c r="F909" i="3"/>
  <c r="G909" i="3"/>
  <c r="G861" i="3"/>
  <c r="F861" i="3"/>
  <c r="F858" i="3"/>
  <c r="L815" i="3"/>
  <c r="E814" i="3"/>
  <c r="F814" i="3"/>
  <c r="G814" i="3"/>
  <c r="M814" i="3"/>
  <c r="F800" i="3"/>
  <c r="E800" i="3"/>
  <c r="H800" i="3" s="1"/>
  <c r="P800" i="3" s="1"/>
  <c r="M800" i="3"/>
  <c r="W800" i="3"/>
  <c r="L733" i="3"/>
  <c r="F714" i="3"/>
  <c r="M714" i="3"/>
  <c r="E706" i="3"/>
  <c r="H706" i="3" s="1"/>
  <c r="M706" i="3"/>
  <c r="L1000" i="3"/>
  <c r="M991" i="3"/>
  <c r="L977" i="3"/>
  <c r="G943" i="3"/>
  <c r="E943" i="3"/>
  <c r="H943" i="3" s="1"/>
  <c r="L890" i="3"/>
  <c r="F811" i="3"/>
  <c r="M811" i="3"/>
  <c r="F778" i="3"/>
  <c r="E778" i="3"/>
  <c r="H778" i="3" s="1"/>
  <c r="F770" i="3"/>
  <c r="M770" i="3"/>
  <c r="F650" i="3"/>
  <c r="E650" i="3"/>
  <c r="H650" i="3" s="1"/>
  <c r="M650" i="3"/>
  <c r="F570" i="3"/>
  <c r="M570" i="3"/>
  <c r="F954" i="3"/>
  <c r="G954" i="3"/>
  <c r="M954" i="3"/>
  <c r="G938" i="3"/>
  <c r="L933" i="3"/>
  <c r="F926" i="3"/>
  <c r="G910" i="3"/>
  <c r="P910" i="3" s="1"/>
  <c r="G876" i="3"/>
  <c r="L818" i="3"/>
  <c r="E773" i="3"/>
  <c r="F762" i="3"/>
  <c r="E762" i="3"/>
  <c r="H762" i="3" s="1"/>
  <c r="M762" i="3"/>
  <c r="G717" i="3"/>
  <c r="E717" i="3"/>
  <c r="M717" i="3"/>
  <c r="E688" i="3"/>
  <c r="W688" i="3"/>
  <c r="F618" i="3"/>
  <c r="M618" i="3"/>
  <c r="G573" i="3"/>
  <c r="G994" i="3"/>
  <c r="L961" i="3"/>
  <c r="E957" i="3"/>
  <c r="H957" i="3" s="1"/>
  <c r="G957" i="3"/>
  <c r="L955" i="3"/>
  <c r="F938" i="3"/>
  <c r="G935" i="3"/>
  <c r="L935" i="3"/>
  <c r="F910" i="3"/>
  <c r="F884" i="3"/>
  <c r="G884" i="3"/>
  <c r="F803" i="3"/>
  <c r="M803" i="3"/>
  <c r="E781" i="3"/>
  <c r="F781" i="3"/>
  <c r="F754" i="3"/>
  <c r="M754" i="3"/>
  <c r="G653" i="3"/>
  <c r="E653" i="3"/>
  <c r="H653" i="3" s="1"/>
  <c r="P653" i="3" s="1"/>
  <c r="F653" i="3"/>
  <c r="F602" i="3"/>
  <c r="G602" i="3"/>
  <c r="E602" i="3"/>
  <c r="M602" i="3"/>
  <c r="G403" i="3"/>
  <c r="L403" i="3"/>
  <c r="F962" i="3"/>
  <c r="E962" i="3"/>
  <c r="H962" i="3" s="1"/>
  <c r="G962" i="3"/>
  <c r="G997" i="3"/>
  <c r="F991" i="3"/>
  <c r="F974" i="3"/>
  <c r="G971" i="3"/>
  <c r="W971" i="3"/>
  <c r="E949" i="3"/>
  <c r="H949" i="3" s="1"/>
  <c r="G949" i="3"/>
  <c r="E938" i="3"/>
  <c r="H938" i="3" s="1"/>
  <c r="M935" i="3"/>
  <c r="G917" i="3"/>
  <c r="E910" i="3"/>
  <c r="H910" i="3" s="1"/>
  <c r="G871" i="3"/>
  <c r="E871" i="3"/>
  <c r="G862" i="3"/>
  <c r="L849" i="3"/>
  <c r="F790" i="3"/>
  <c r="G790" i="3"/>
  <c r="F773" i="3"/>
  <c r="M773" i="3"/>
  <c r="G757" i="3"/>
  <c r="E757" i="3"/>
  <c r="H757" i="3" s="1"/>
  <c r="F757" i="3"/>
  <c r="G720" i="3"/>
  <c r="W720" i="3"/>
  <c r="E699" i="3"/>
  <c r="E667" i="3"/>
  <c r="G667" i="3"/>
  <c r="M629" i="3"/>
  <c r="G629" i="3"/>
  <c r="E629" i="3"/>
  <c r="F629" i="3"/>
  <c r="F917" i="3"/>
  <c r="G907" i="3"/>
  <c r="E907" i="3"/>
  <c r="F901" i="3"/>
  <c r="W901" i="3"/>
  <c r="G901" i="3"/>
  <c r="M785" i="3"/>
  <c r="M608" i="3"/>
  <c r="E608" i="3"/>
  <c r="E524" i="3"/>
  <c r="E479" i="3"/>
  <c r="H479" i="3" s="1"/>
  <c r="G479" i="3"/>
  <c r="F479" i="3"/>
  <c r="F474" i="3"/>
  <c r="M474" i="3"/>
  <c r="E474" i="3"/>
  <c r="G474" i="3"/>
  <c r="G406" i="3"/>
  <c r="M406" i="3"/>
  <c r="E406" i="3"/>
  <c r="E401" i="3"/>
  <c r="M401" i="3"/>
  <c r="E1000" i="3"/>
  <c r="H1000" i="3" s="1"/>
  <c r="F994" i="3"/>
  <c r="M994" i="3"/>
  <c r="E941" i="3"/>
  <c r="G941" i="3"/>
  <c r="E924" i="3"/>
  <c r="H924" i="3" s="1"/>
  <c r="E921" i="3"/>
  <c r="M862" i="3"/>
  <c r="E862" i="3"/>
  <c r="G793" i="3"/>
  <c r="M793" i="3"/>
  <c r="G733" i="3"/>
  <c r="E733" i="3"/>
  <c r="M733" i="3"/>
  <c r="W962" i="3"/>
  <c r="G983" i="3"/>
  <c r="E983" i="3"/>
  <c r="H983" i="3" s="1"/>
  <c r="F983" i="3"/>
  <c r="E961" i="3"/>
  <c r="M959" i="3"/>
  <c r="G924" i="3"/>
  <c r="M924" i="3"/>
  <c r="P902" i="3"/>
  <c r="F818" i="3"/>
  <c r="E804" i="3"/>
  <c r="H804" i="3" s="1"/>
  <c r="G804" i="3"/>
  <c r="F632" i="3"/>
  <c r="M632" i="3"/>
  <c r="W980" i="3"/>
  <c r="W524" i="3"/>
  <c r="L987" i="3"/>
  <c r="L962" i="3"/>
  <c r="P962" i="3" s="1"/>
  <c r="F936" i="3"/>
  <c r="W936" i="3"/>
  <c r="L906" i="3"/>
  <c r="H899" i="3"/>
  <c r="G893" i="3"/>
  <c r="E796" i="3"/>
  <c r="F796" i="3"/>
  <c r="G796" i="3"/>
  <c r="L745" i="3"/>
  <c r="E731" i="3"/>
  <c r="H731" i="3" s="1"/>
  <c r="G731" i="3"/>
  <c r="E541" i="3"/>
  <c r="G541" i="3"/>
  <c r="E989" i="3"/>
  <c r="W989" i="3"/>
  <c r="E964" i="3"/>
  <c r="H964" i="3" s="1"/>
  <c r="L940" i="3"/>
  <c r="L909" i="3"/>
  <c r="E888" i="3"/>
  <c r="M888" i="3"/>
  <c r="L858" i="3"/>
  <c r="F821" i="3"/>
  <c r="M807" i="3"/>
  <c r="F758" i="3"/>
  <c r="L727" i="3"/>
  <c r="F700" i="3"/>
  <c r="G700" i="3"/>
  <c r="L693" i="3"/>
  <c r="L658" i="3"/>
  <c r="L591" i="3"/>
  <c r="F558" i="3"/>
  <c r="F538" i="3"/>
  <c r="G538" i="3"/>
  <c r="M538" i="3"/>
  <c r="E975" i="3"/>
  <c r="H975" i="3" s="1"/>
  <c r="F975" i="3"/>
  <c r="M962" i="3"/>
  <c r="L943" i="3"/>
  <c r="F928" i="3"/>
  <c r="G869" i="3"/>
  <c r="G847" i="3"/>
  <c r="E847" i="3"/>
  <c r="L740" i="3"/>
  <c r="L706" i="3"/>
  <c r="G496" i="3"/>
  <c r="L496" i="3"/>
  <c r="M587" i="3"/>
  <c r="E587" i="3"/>
  <c r="H587" i="3" s="1"/>
  <c r="W832" i="3"/>
  <c r="W797" i="3"/>
  <c r="W997" i="3"/>
  <c r="G998" i="3"/>
  <c r="F998" i="3"/>
  <c r="L968" i="3"/>
  <c r="F967" i="3"/>
  <c r="F959" i="3"/>
  <c r="L929" i="3"/>
  <c r="L926" i="3"/>
  <c r="E915" i="3"/>
  <c r="M902" i="3"/>
  <c r="G894" i="3"/>
  <c r="E883" i="3"/>
  <c r="H883" i="3" s="1"/>
  <c r="E878" i="3"/>
  <c r="L867" i="3"/>
  <c r="E863" i="3"/>
  <c r="H863" i="3" s="1"/>
  <c r="P863" i="3" s="1"/>
  <c r="F863" i="3"/>
  <c r="F855" i="3"/>
  <c r="E838" i="3"/>
  <c r="H838" i="3" s="1"/>
  <c r="F838" i="3"/>
  <c r="G838" i="3"/>
  <c r="L836" i="3"/>
  <c r="F835" i="3"/>
  <c r="E835" i="3"/>
  <c r="H835" i="3" s="1"/>
  <c r="M835" i="3"/>
  <c r="E742" i="3"/>
  <c r="L650" i="3"/>
  <c r="G582" i="3"/>
  <c r="W582" i="3"/>
  <c r="G571" i="3"/>
  <c r="E571" i="3"/>
  <c r="H571" i="3" s="1"/>
  <c r="P571" i="3" s="1"/>
  <c r="M571" i="3"/>
  <c r="W959" i="3"/>
  <c r="W957" i="3"/>
  <c r="W938" i="3"/>
  <c r="W811" i="3"/>
  <c r="W975" i="3"/>
  <c r="W935" i="3"/>
  <c r="W587" i="3"/>
  <c r="W570" i="3"/>
  <c r="E984" i="3"/>
  <c r="E981" i="3"/>
  <c r="F970" i="3"/>
  <c r="E970" i="3"/>
  <c r="H970" i="3" s="1"/>
  <c r="G970" i="3"/>
  <c r="M970" i="3"/>
  <c r="E945" i="3"/>
  <c r="H945" i="3" s="1"/>
  <c r="M943" i="3"/>
  <c r="P943" i="3" s="1"/>
  <c r="G900" i="3"/>
  <c r="F894" i="3"/>
  <c r="F891" i="3"/>
  <c r="E891" i="3"/>
  <c r="H891" i="3" s="1"/>
  <c r="M891" i="3"/>
  <c r="F805" i="3"/>
  <c r="G805" i="3"/>
  <c r="F797" i="3"/>
  <c r="L795" i="3"/>
  <c r="F783" i="3"/>
  <c r="W783" i="3"/>
  <c r="M781" i="3"/>
  <c r="M778" i="3"/>
  <c r="E685" i="3"/>
  <c r="F685" i="3"/>
  <c r="M685" i="3"/>
  <c r="F641" i="3"/>
  <c r="G612" i="3"/>
  <c r="F612" i="3"/>
  <c r="F566" i="3"/>
  <c r="W566" i="3"/>
  <c r="F561" i="3"/>
  <c r="E561" i="3"/>
  <c r="H561" i="3" s="1"/>
  <c r="G561" i="3"/>
  <c r="M561" i="3"/>
  <c r="F482" i="3"/>
  <c r="E482" i="3"/>
  <c r="M482" i="3"/>
  <c r="G482" i="3"/>
  <c r="M479" i="3"/>
  <c r="G359" i="3"/>
  <c r="F359" i="3"/>
  <c r="E276" i="3"/>
  <c r="G276" i="3"/>
  <c r="M276" i="3"/>
  <c r="M258" i="3"/>
  <c r="E258" i="3"/>
  <c r="H258" i="3" s="1"/>
  <c r="L900" i="3"/>
  <c r="P900" i="3" s="1"/>
  <c r="L881" i="3"/>
  <c r="E880" i="3"/>
  <c r="L856" i="3"/>
  <c r="F852" i="3"/>
  <c r="G852" i="3"/>
  <c r="L837" i="3"/>
  <c r="M830" i="3"/>
  <c r="M823" i="3"/>
  <c r="G822" i="3"/>
  <c r="L813" i="3"/>
  <c r="F780" i="3"/>
  <c r="E777" i="3"/>
  <c r="G774" i="3"/>
  <c r="E761" i="3"/>
  <c r="L756" i="3"/>
  <c r="L728" i="3"/>
  <c r="M725" i="3"/>
  <c r="E718" i="3"/>
  <c r="M709" i="3"/>
  <c r="F705" i="3"/>
  <c r="G693" i="3"/>
  <c r="L688" i="3"/>
  <c r="F681" i="3"/>
  <c r="F675" i="3"/>
  <c r="G624" i="3"/>
  <c r="G607" i="3"/>
  <c r="M607" i="3"/>
  <c r="F590" i="3"/>
  <c r="G590" i="3"/>
  <c r="M564" i="3"/>
  <c r="G544" i="3"/>
  <c r="G527" i="3"/>
  <c r="F527" i="3"/>
  <c r="F490" i="3"/>
  <c r="M490" i="3"/>
  <c r="L433" i="3"/>
  <c r="G409" i="3"/>
  <c r="F409" i="3"/>
  <c r="M338" i="3"/>
  <c r="E338" i="3"/>
  <c r="H338" i="3" s="1"/>
  <c r="E324" i="3"/>
  <c r="F324" i="3"/>
  <c r="E721" i="3"/>
  <c r="L721" i="3"/>
  <c r="G669" i="3"/>
  <c r="M669" i="3"/>
  <c r="F666" i="3"/>
  <c r="E666" i="3"/>
  <c r="H666" i="3" s="1"/>
  <c r="F550" i="3"/>
  <c r="G550" i="3"/>
  <c r="E477" i="3"/>
  <c r="G477" i="3"/>
  <c r="E449" i="3"/>
  <c r="H449" i="3" s="1"/>
  <c r="M449" i="3"/>
  <c r="G991" i="3"/>
  <c r="E988" i="3"/>
  <c r="G958" i="3"/>
  <c r="G955" i="3"/>
  <c r="F952" i="3"/>
  <c r="E939" i="3"/>
  <c r="M930" i="3"/>
  <c r="E929" i="3"/>
  <c r="H929" i="3" s="1"/>
  <c r="L923" i="3"/>
  <c r="L857" i="3"/>
  <c r="F836" i="3"/>
  <c r="L820" i="3"/>
  <c r="E819" i="3"/>
  <c r="H819" i="3" s="1"/>
  <c r="L816" i="3"/>
  <c r="G812" i="3"/>
  <c r="L806" i="3"/>
  <c r="F804" i="3"/>
  <c r="F798" i="3"/>
  <c r="F784" i="3"/>
  <c r="M782" i="3"/>
  <c r="L772" i="3"/>
  <c r="E771" i="3"/>
  <c r="H771" i="3" s="1"/>
  <c r="G749" i="3"/>
  <c r="G734" i="3"/>
  <c r="G721" i="3"/>
  <c r="F718" i="3"/>
  <c r="E715" i="3"/>
  <c r="H715" i="3" s="1"/>
  <c r="L640" i="3"/>
  <c r="E633" i="3"/>
  <c r="G630" i="3"/>
  <c r="E616" i="3"/>
  <c r="F610" i="3"/>
  <c r="M610" i="3"/>
  <c r="L597" i="3"/>
  <c r="M596" i="3"/>
  <c r="F511" i="3"/>
  <c r="E508" i="3"/>
  <c r="M508" i="3"/>
  <c r="L320" i="3"/>
  <c r="E995" i="3"/>
  <c r="H995" i="3" s="1"/>
  <c r="E936" i="3"/>
  <c r="E911" i="3"/>
  <c r="M904" i="3"/>
  <c r="E895" i="3"/>
  <c r="H895" i="3" s="1"/>
  <c r="G830" i="3"/>
  <c r="E812" i="3"/>
  <c r="H812" i="3" s="1"/>
  <c r="L759" i="3"/>
  <c r="L744" i="3"/>
  <c r="M616" i="3"/>
  <c r="F605" i="3"/>
  <c r="G605" i="3"/>
  <c r="F567" i="3"/>
  <c r="G567" i="3"/>
  <c r="E522" i="3"/>
  <c r="G522" i="3"/>
  <c r="E511" i="3"/>
  <c r="G470" i="3"/>
  <c r="F470" i="3"/>
  <c r="F452" i="3"/>
  <c r="M452" i="3"/>
  <c r="E452" i="3"/>
  <c r="H452" i="3" s="1"/>
  <c r="F419" i="3"/>
  <c r="G419" i="3"/>
  <c r="M373" i="3"/>
  <c r="E373" i="3"/>
  <c r="F373" i="3"/>
  <c r="L888" i="3"/>
  <c r="L886" i="3"/>
  <c r="G863" i="3"/>
  <c r="F731" i="3"/>
  <c r="F725" i="3"/>
  <c r="G676" i="3"/>
  <c r="F667" i="3"/>
  <c r="F619" i="3"/>
  <c r="G619" i="3"/>
  <c r="F559" i="3"/>
  <c r="G559" i="3"/>
  <c r="M559" i="3"/>
  <c r="F539" i="3"/>
  <c r="E519" i="3"/>
  <c r="M519" i="3"/>
  <c r="F514" i="3"/>
  <c r="E514" i="3"/>
  <c r="G514" i="3"/>
  <c r="M514" i="3"/>
  <c r="G430" i="3"/>
  <c r="M430" i="3"/>
  <c r="F396" i="3"/>
  <c r="G396" i="3"/>
  <c r="E352" i="3"/>
  <c r="G352" i="3"/>
  <c r="E341" i="3"/>
  <c r="M341" i="3"/>
  <c r="E441" i="3"/>
  <c r="M441" i="3"/>
  <c r="F999" i="3"/>
  <c r="F992" i="3"/>
  <c r="L990" i="3"/>
  <c r="G986" i="3"/>
  <c r="P986" i="3" s="1"/>
  <c r="E979" i="3"/>
  <c r="H979" i="3" s="1"/>
  <c r="E969" i="3"/>
  <c r="H969" i="3" s="1"/>
  <c r="G959" i="3"/>
  <c r="L957" i="3"/>
  <c r="L954" i="3"/>
  <c r="E933" i="3"/>
  <c r="L924" i="3"/>
  <c r="G899" i="3"/>
  <c r="P899" i="3" s="1"/>
  <c r="F896" i="3"/>
  <c r="L893" i="3"/>
  <c r="G885" i="3"/>
  <c r="F867" i="3"/>
  <c r="L864" i="3"/>
  <c r="L861" i="3"/>
  <c r="G860" i="3"/>
  <c r="G854" i="3"/>
  <c r="P854" i="3" s="1"/>
  <c r="M851" i="3"/>
  <c r="M848" i="3"/>
  <c r="E840" i="3"/>
  <c r="H840" i="3" s="1"/>
  <c r="G837" i="3"/>
  <c r="L835" i="3"/>
  <c r="G823" i="3"/>
  <c r="E805" i="3"/>
  <c r="L803" i="3"/>
  <c r="L800" i="3"/>
  <c r="G785" i="3"/>
  <c r="L770" i="3"/>
  <c r="L754" i="3"/>
  <c r="G750" i="3"/>
  <c r="F747" i="3"/>
  <c r="E737" i="3"/>
  <c r="G709" i="3"/>
  <c r="F706" i="3"/>
  <c r="G685" i="3"/>
  <c r="F673" i="3"/>
  <c r="G661" i="3"/>
  <c r="F661" i="3"/>
  <c r="F658" i="3"/>
  <c r="E658" i="3"/>
  <c r="H658" i="3" s="1"/>
  <c r="F646" i="3"/>
  <c r="F643" i="3"/>
  <c r="G597" i="3"/>
  <c r="G531" i="3"/>
  <c r="G494" i="3"/>
  <c r="F494" i="3"/>
  <c r="M455" i="3"/>
  <c r="E455" i="3"/>
  <c r="F455" i="3"/>
  <c r="P455" i="3" s="1"/>
  <c r="G455" i="3"/>
  <c r="F447" i="3"/>
  <c r="E447" i="3"/>
  <c r="H447" i="3" s="1"/>
  <c r="G447" i="3"/>
  <c r="E389" i="3"/>
  <c r="H389" i="3" s="1"/>
  <c r="F389" i="3"/>
  <c r="M389" i="3"/>
  <c r="M320" i="3"/>
  <c r="E320" i="3"/>
  <c r="G320" i="3"/>
  <c r="F320" i="3"/>
  <c r="F792" i="3"/>
  <c r="E792" i="3"/>
  <c r="F750" i="3"/>
  <c r="M750" i="3"/>
  <c r="L748" i="3"/>
  <c r="F682" i="3"/>
  <c r="M682" i="3"/>
  <c r="G628" i="3"/>
  <c r="F628" i="3"/>
  <c r="L997" i="3"/>
  <c r="L994" i="3"/>
  <c r="F976" i="3"/>
  <c r="E963" i="3"/>
  <c r="E940" i="3"/>
  <c r="H940" i="3" s="1"/>
  <c r="E920" i="3"/>
  <c r="L910" i="3"/>
  <c r="F908" i="3"/>
  <c r="F900" i="3"/>
  <c r="L894" i="3"/>
  <c r="L873" i="3"/>
  <c r="L872" i="3"/>
  <c r="E831" i="3"/>
  <c r="H831" i="3" s="1"/>
  <c r="L821" i="3"/>
  <c r="E813" i="3"/>
  <c r="H813" i="3" s="1"/>
  <c r="G789" i="3"/>
  <c r="F772" i="3"/>
  <c r="F769" i="3"/>
  <c r="L764" i="3"/>
  <c r="E753" i="3"/>
  <c r="L735" i="3"/>
  <c r="F722" i="3"/>
  <c r="L690" i="3"/>
  <c r="F677" i="3"/>
  <c r="E649" i="3"/>
  <c r="F634" i="3"/>
  <c r="E634" i="3"/>
  <c r="H634" i="3" s="1"/>
  <c r="L621" i="3"/>
  <c r="M586" i="3"/>
  <c r="L580" i="3"/>
  <c r="E568" i="3"/>
  <c r="H568" i="3" s="1"/>
  <c r="L561" i="3"/>
  <c r="L487" i="3"/>
  <c r="G486" i="3"/>
  <c r="F486" i="3"/>
  <c r="L474" i="3"/>
  <c r="F436" i="3"/>
  <c r="G436" i="3"/>
  <c r="M436" i="3"/>
  <c r="E436" i="3"/>
  <c r="L337" i="3"/>
  <c r="E337" i="3"/>
  <c r="L883" i="3"/>
  <c r="L862" i="3"/>
  <c r="M815" i="3"/>
  <c r="L780" i="3"/>
  <c r="L730" i="3"/>
  <c r="L696" i="3"/>
  <c r="M693" i="3"/>
  <c r="E560" i="3"/>
  <c r="H560" i="3" s="1"/>
  <c r="L560" i="3"/>
  <c r="L541" i="3"/>
  <c r="G498" i="3"/>
  <c r="M498" i="3"/>
  <c r="M471" i="3"/>
  <c r="E471" i="3"/>
  <c r="H471" i="3" s="1"/>
  <c r="F471" i="3"/>
  <c r="G413" i="3"/>
  <c r="E413" i="3"/>
  <c r="M413" i="3"/>
  <c r="W511" i="3"/>
  <c r="L974" i="3"/>
  <c r="W952" i="3"/>
  <c r="W750" i="3"/>
  <c r="W542" i="3"/>
  <c r="L991" i="3"/>
  <c r="E973" i="3"/>
  <c r="F960" i="3"/>
  <c r="G950" i="3"/>
  <c r="G947" i="3"/>
  <c r="E944" i="3"/>
  <c r="E927" i="3"/>
  <c r="H927" i="3" s="1"/>
  <c r="P927" i="3" s="1"/>
  <c r="G923" i="3"/>
  <c r="L921" i="3"/>
  <c r="L918" i="3"/>
  <c r="P918" i="3" s="1"/>
  <c r="F916" i="3"/>
  <c r="P916" i="3" s="1"/>
  <c r="F892" i="3"/>
  <c r="F875" i="3"/>
  <c r="L870" i="3"/>
  <c r="L848" i="3"/>
  <c r="L846" i="3"/>
  <c r="F827" i="3"/>
  <c r="E806" i="3"/>
  <c r="L804" i="3"/>
  <c r="L784" i="3"/>
  <c r="M774" i="3"/>
  <c r="G769" i="3"/>
  <c r="E763" i="3"/>
  <c r="G741" i="3"/>
  <c r="L739" i="3"/>
  <c r="G732" i="3"/>
  <c r="F726" i="3"/>
  <c r="F723" i="3"/>
  <c r="G701" i="3"/>
  <c r="E701" i="3"/>
  <c r="H701" i="3" s="1"/>
  <c r="L699" i="3"/>
  <c r="F698" i="3"/>
  <c r="M698" i="3"/>
  <c r="M690" i="3"/>
  <c r="F662" i="3"/>
  <c r="L660" i="3"/>
  <c r="F659" i="3"/>
  <c r="L624" i="3"/>
  <c r="L590" i="3"/>
  <c r="F552" i="3"/>
  <c r="E420" i="3"/>
  <c r="G420" i="3"/>
  <c r="M420" i="3"/>
  <c r="F420" i="3"/>
  <c r="M398" i="3"/>
  <c r="L981" i="3"/>
  <c r="L958" i="3"/>
  <c r="L945" i="3"/>
  <c r="E931" i="3"/>
  <c r="E913" i="3"/>
  <c r="L877" i="3"/>
  <c r="L822" i="3"/>
  <c r="L798" i="3"/>
  <c r="E793" i="3"/>
  <c r="L791" i="3"/>
  <c r="L774" i="3"/>
  <c r="L751" i="3"/>
  <c r="L746" i="3"/>
  <c r="M730" i="3"/>
  <c r="E729" i="3"/>
  <c r="H729" i="3" s="1"/>
  <c r="L724" i="3"/>
  <c r="E689" i="3"/>
  <c r="H689" i="3" s="1"/>
  <c r="L675" i="3"/>
  <c r="G668" i="3"/>
  <c r="F668" i="3"/>
  <c r="M666" i="3"/>
  <c r="E665" i="3"/>
  <c r="L642" i="3"/>
  <c r="L630" i="3"/>
  <c r="L627" i="3"/>
  <c r="L613" i="3"/>
  <c r="P613" i="3" s="1"/>
  <c r="E583" i="3"/>
  <c r="H583" i="3" s="1"/>
  <c r="F583" i="3"/>
  <c r="G583" i="3"/>
  <c r="L533" i="3"/>
  <c r="M527" i="3"/>
  <c r="L516" i="3"/>
  <c r="L499" i="3"/>
  <c r="F458" i="3"/>
  <c r="M458" i="3"/>
  <c r="E458" i="3"/>
  <c r="H458" i="3" s="1"/>
  <c r="G458" i="3"/>
  <c r="L409" i="3"/>
  <c r="L401" i="3"/>
  <c r="E353" i="3"/>
  <c r="F353" i="3"/>
  <c r="G504" i="3"/>
  <c r="E467" i="3"/>
  <c r="L462" i="3"/>
  <c r="G405" i="3"/>
  <c r="E405" i="3"/>
  <c r="H405" i="3" s="1"/>
  <c r="M330" i="3"/>
  <c r="L330" i="3"/>
  <c r="L477" i="3"/>
  <c r="F433" i="3"/>
  <c r="F412" i="3"/>
  <c r="M409" i="3"/>
  <c r="M352" i="3"/>
  <c r="G341" i="3"/>
  <c r="L525" i="3"/>
  <c r="L513" i="3"/>
  <c r="L493" i="3"/>
  <c r="L454" i="3"/>
  <c r="E453" i="3"/>
  <c r="F427" i="3"/>
  <c r="E672" i="3"/>
  <c r="E656" i="3"/>
  <c r="H656" i="3" s="1"/>
  <c r="E640" i="3"/>
  <c r="H640" i="3" s="1"/>
  <c r="F637" i="3"/>
  <c r="L635" i="3"/>
  <c r="G599" i="3"/>
  <c r="L558" i="3"/>
  <c r="M487" i="3"/>
  <c r="L469" i="3"/>
  <c r="M463" i="3"/>
  <c r="G462" i="3"/>
  <c r="G459" i="3"/>
  <c r="L450" i="3"/>
  <c r="G424" i="3"/>
  <c r="M424" i="3"/>
  <c r="L419" i="3"/>
  <c r="M269" i="3"/>
  <c r="F269" i="3"/>
  <c r="G269" i="3"/>
  <c r="E269" i="3"/>
  <c r="M200" i="3"/>
  <c r="E200" i="3"/>
  <c r="G200" i="3"/>
  <c r="F200" i="3"/>
  <c r="L620" i="3"/>
  <c r="L614" i="3"/>
  <c r="M604" i="3"/>
  <c r="L587" i="3"/>
  <c r="L526" i="3"/>
  <c r="M503" i="3"/>
  <c r="L472" i="3"/>
  <c r="L405" i="3"/>
  <c r="L378" i="3"/>
  <c r="L439" i="3"/>
  <c r="L436" i="3"/>
  <c r="F431" i="3"/>
  <c r="L431" i="3"/>
  <c r="L368" i="3"/>
  <c r="F413" i="3"/>
  <c r="E317" i="3"/>
  <c r="M317" i="3"/>
  <c r="M296" i="3"/>
  <c r="M208" i="3"/>
  <c r="E208" i="3"/>
  <c r="F208" i="3"/>
  <c r="G208" i="3"/>
  <c r="L636" i="3"/>
  <c r="E635" i="3"/>
  <c r="G635" i="3"/>
  <c r="L608" i="3"/>
  <c r="G581" i="3"/>
  <c r="G562" i="3"/>
  <c r="L550" i="3"/>
  <c r="E549" i="3"/>
  <c r="L547" i="3"/>
  <c r="F513" i="3"/>
  <c r="F506" i="3"/>
  <c r="M506" i="3"/>
  <c r="G503" i="3"/>
  <c r="P503" i="3" s="1"/>
  <c r="E493" i="3"/>
  <c r="L488" i="3"/>
  <c r="L482" i="3"/>
  <c r="L479" i="3"/>
  <c r="G454" i="3"/>
  <c r="F454" i="3"/>
  <c r="E444" i="3"/>
  <c r="H444" i="3" s="1"/>
  <c r="L437" i="3"/>
  <c r="E428" i="3"/>
  <c r="H428" i="3" s="1"/>
  <c r="P428" i="3" s="1"/>
  <c r="M428" i="3"/>
  <c r="L420" i="3"/>
  <c r="M417" i="3"/>
  <c r="M393" i="3"/>
  <c r="M384" i="3"/>
  <c r="E384" i="3"/>
  <c r="F384" i="3"/>
  <c r="G376" i="3"/>
  <c r="L338" i="3"/>
  <c r="G323" i="3"/>
  <c r="M216" i="3"/>
  <c r="G216" i="3"/>
  <c r="L596" i="3"/>
  <c r="L582" i="3"/>
  <c r="G558" i="3"/>
  <c r="L538" i="3"/>
  <c r="L535" i="3"/>
  <c r="G530" i="3"/>
  <c r="L498" i="3"/>
  <c r="F487" i="3"/>
  <c r="P487" i="3" s="1"/>
  <c r="L467" i="3"/>
  <c r="L446" i="3"/>
  <c r="L440" i="3"/>
  <c r="M439" i="3"/>
  <c r="M433" i="3"/>
  <c r="F432" i="3"/>
  <c r="F414" i="3"/>
  <c r="M414" i="3"/>
  <c r="G368" i="3"/>
  <c r="L860" i="3"/>
  <c r="L833" i="3"/>
  <c r="L832" i="3"/>
  <c r="F799" i="3"/>
  <c r="L790" i="3"/>
  <c r="G781" i="3"/>
  <c r="L779" i="3"/>
  <c r="L775" i="3"/>
  <c r="G765" i="3"/>
  <c r="G745" i="3"/>
  <c r="E739" i="3"/>
  <c r="G692" i="3"/>
  <c r="L684" i="3"/>
  <c r="F683" i="3"/>
  <c r="E648" i="3"/>
  <c r="G648" i="3"/>
  <c r="L643" i="3"/>
  <c r="F626" i="3"/>
  <c r="G620" i="3"/>
  <c r="G614" i="3"/>
  <c r="L602" i="3"/>
  <c r="E588" i="3"/>
  <c r="L577" i="3"/>
  <c r="F576" i="3"/>
  <c r="L551" i="3"/>
  <c r="E540" i="3"/>
  <c r="H540" i="3" s="1"/>
  <c r="G517" i="3"/>
  <c r="F507" i="3"/>
  <c r="L495" i="3"/>
  <c r="G461" i="3"/>
  <c r="E432" i="3"/>
  <c r="G429" i="3"/>
  <c r="F405" i="3"/>
  <c r="L400" i="3"/>
  <c r="F393" i="3"/>
  <c r="G357" i="3"/>
  <c r="E357" i="3"/>
  <c r="L341" i="3"/>
  <c r="F335" i="3"/>
  <c r="L599" i="3"/>
  <c r="L583" i="3"/>
  <c r="F579" i="3"/>
  <c r="L512" i="3"/>
  <c r="G478" i="3"/>
  <c r="F478" i="3"/>
  <c r="L427" i="3"/>
  <c r="E393" i="3"/>
  <c r="E328" i="3"/>
  <c r="M328" i="3"/>
  <c r="L286" i="3"/>
  <c r="M248" i="3"/>
  <c r="F245" i="3"/>
  <c r="E245" i="3"/>
  <c r="H245" i="3" s="1"/>
  <c r="G245" i="3"/>
  <c r="L243" i="3"/>
  <c r="F190" i="3"/>
  <c r="G293" i="3"/>
  <c r="L293" i="3"/>
  <c r="L278" i="3"/>
  <c r="M268" i="3"/>
  <c r="G268" i="3"/>
  <c r="L228" i="3"/>
  <c r="F206" i="3"/>
  <c r="G206" i="3"/>
  <c r="G195" i="3"/>
  <c r="F195" i="3"/>
  <c r="E145" i="3"/>
  <c r="M145" i="3"/>
  <c r="G381" i="3"/>
  <c r="L336" i="3"/>
  <c r="M293" i="3"/>
  <c r="M288" i="3"/>
  <c r="F288" i="3"/>
  <c r="G288" i="3"/>
  <c r="E274" i="3"/>
  <c r="L246" i="3"/>
  <c r="F217" i="3"/>
  <c r="L172" i="3"/>
  <c r="E277" i="3"/>
  <c r="G277" i="3"/>
  <c r="E220" i="3"/>
  <c r="H220" i="3" s="1"/>
  <c r="E201" i="3"/>
  <c r="H201" i="3" s="1"/>
  <c r="M201" i="3"/>
  <c r="F201" i="3"/>
  <c r="E151" i="3"/>
  <c r="M151" i="3"/>
  <c r="G73" i="3"/>
  <c r="M73" i="3"/>
  <c r="F73" i="3"/>
  <c r="E73" i="3"/>
  <c r="G196" i="3"/>
  <c r="G172" i="3"/>
  <c r="M172" i="3"/>
  <c r="E321" i="3"/>
  <c r="G309" i="3"/>
  <c r="M278" i="3"/>
  <c r="M272" i="3"/>
  <c r="F272" i="3"/>
  <c r="F251" i="3"/>
  <c r="M207" i="3"/>
  <c r="E207" i="3"/>
  <c r="H207" i="3" s="1"/>
  <c r="F191" i="3"/>
  <c r="G191" i="3"/>
  <c r="M191" i="3"/>
  <c r="E191" i="3"/>
  <c r="F188" i="3"/>
  <c r="M188" i="3"/>
  <c r="E172" i="3"/>
  <c r="G90" i="3"/>
  <c r="M90" i="3"/>
  <c r="G344" i="3"/>
  <c r="F301" i="3"/>
  <c r="L232" i="3"/>
  <c r="E210" i="3"/>
  <c r="M210" i="3"/>
  <c r="E713" i="3"/>
  <c r="G710" i="3"/>
  <c r="F694" i="3"/>
  <c r="L682" i="3"/>
  <c r="E657" i="3"/>
  <c r="L652" i="3"/>
  <c r="F651" i="3"/>
  <c r="L631" i="3"/>
  <c r="L629" i="3"/>
  <c r="E615" i="3"/>
  <c r="H615" i="3" s="1"/>
  <c r="G608" i="3"/>
  <c r="L554" i="3"/>
  <c r="F546" i="3"/>
  <c r="P546" i="3" s="1"/>
  <c r="F518" i="3"/>
  <c r="G515" i="3"/>
  <c r="L509" i="3"/>
  <c r="L502" i="3"/>
  <c r="G491" i="3"/>
  <c r="L470" i="3"/>
  <c r="E469" i="3"/>
  <c r="F466" i="3"/>
  <c r="M466" i="3"/>
  <c r="L461" i="3"/>
  <c r="L458" i="3"/>
  <c r="E450" i="3"/>
  <c r="H450" i="3" s="1"/>
  <c r="M437" i="3"/>
  <c r="L414" i="3"/>
  <c r="G398" i="3"/>
  <c r="L390" i="3"/>
  <c r="P390" i="3" s="1"/>
  <c r="F377" i="3"/>
  <c r="M369" i="3"/>
  <c r="M321" i="3"/>
  <c r="L316" i="3"/>
  <c r="G301" i="3"/>
  <c r="F254" i="3"/>
  <c r="E202" i="3"/>
  <c r="H202" i="3" s="1"/>
  <c r="M202" i="3"/>
  <c r="E165" i="3"/>
  <c r="F165" i="3"/>
  <c r="E292" i="3"/>
  <c r="F292" i="3"/>
  <c r="E284" i="3"/>
  <c r="F284" i="3"/>
  <c r="F270" i="3"/>
  <c r="E270" i="3"/>
  <c r="H270" i="3" s="1"/>
  <c r="E262" i="3"/>
  <c r="H262" i="3" s="1"/>
  <c r="P262" i="3" s="1"/>
  <c r="G262" i="3"/>
  <c r="F221" i="3"/>
  <c r="G221" i="3"/>
  <c r="E221" i="3"/>
  <c r="F205" i="3"/>
  <c r="G205" i="3"/>
  <c r="L708" i="3"/>
  <c r="E707" i="3"/>
  <c r="H707" i="3" s="1"/>
  <c r="E691" i="3"/>
  <c r="E684" i="3"/>
  <c r="F678" i="3"/>
  <c r="F674" i="3"/>
  <c r="L672" i="3"/>
  <c r="L666" i="3"/>
  <c r="L659" i="3"/>
  <c r="G638" i="3"/>
  <c r="L626" i="3"/>
  <c r="L610" i="3"/>
  <c r="L603" i="3"/>
  <c r="L589" i="3"/>
  <c r="L586" i="3"/>
  <c r="E533" i="3"/>
  <c r="L527" i="3"/>
  <c r="F522" i="3"/>
  <c r="L503" i="3"/>
  <c r="F498" i="3"/>
  <c r="E498" i="3"/>
  <c r="G475" i="3"/>
  <c r="L415" i="3"/>
  <c r="G401" i="3"/>
  <c r="F401" i="3"/>
  <c r="P401" i="3" s="1"/>
  <c r="L396" i="3"/>
  <c r="M392" i="3"/>
  <c r="L288" i="3"/>
  <c r="E287" i="3"/>
  <c r="F287" i="3"/>
  <c r="L277" i="3"/>
  <c r="E265" i="3"/>
  <c r="H265" i="3" s="1"/>
  <c r="L263" i="3"/>
  <c r="F247" i="3"/>
  <c r="L206" i="3"/>
  <c r="F197" i="3"/>
  <c r="G116" i="3"/>
  <c r="F116" i="3"/>
  <c r="G328" i="3"/>
  <c r="M282" i="3"/>
  <c r="L273" i="3"/>
  <c r="E273" i="3"/>
  <c r="H273" i="3" s="1"/>
  <c r="M245" i="3"/>
  <c r="G229" i="3"/>
  <c r="E229" i="3"/>
  <c r="F229" i="3"/>
  <c r="L217" i="3"/>
  <c r="E176" i="3"/>
  <c r="E173" i="3"/>
  <c r="M173" i="3"/>
  <c r="G119" i="3"/>
  <c r="E119" i="3"/>
  <c r="F119" i="3"/>
  <c r="M119" i="3"/>
  <c r="G389" i="3"/>
  <c r="L376" i="3"/>
  <c r="F375" i="3"/>
  <c r="E296" i="3"/>
  <c r="H296" i="3" s="1"/>
  <c r="P296" i="3" s="1"/>
  <c r="F296" i="3"/>
  <c r="F293" i="3"/>
  <c r="L291" i="3"/>
  <c r="E268" i="3"/>
  <c r="L261" i="3"/>
  <c r="M252" i="3"/>
  <c r="F252" i="3"/>
  <c r="G252" i="3"/>
  <c r="E237" i="3"/>
  <c r="G237" i="3"/>
  <c r="F237" i="3"/>
  <c r="M237" i="3"/>
  <c r="F232" i="3"/>
  <c r="G222" i="3"/>
  <c r="F203" i="3"/>
  <c r="G203" i="3"/>
  <c r="L97" i="3"/>
  <c r="M97" i="3"/>
  <c r="E65" i="3"/>
  <c r="H65" i="3" s="1"/>
  <c r="F65" i="3"/>
  <c r="M65" i="3"/>
  <c r="L21" i="3"/>
  <c r="F21" i="3"/>
  <c r="M21" i="3"/>
  <c r="E68" i="3"/>
  <c r="F68" i="3"/>
  <c r="G68" i="3"/>
  <c r="E199" i="3"/>
  <c r="L194" i="3"/>
  <c r="E193" i="3"/>
  <c r="H193" i="3" s="1"/>
  <c r="F173" i="3"/>
  <c r="M140" i="3"/>
  <c r="G111" i="3"/>
  <c r="E111" i="3"/>
  <c r="M111" i="3"/>
  <c r="F19" i="3"/>
  <c r="F109" i="3"/>
  <c r="M109" i="3"/>
  <c r="E109" i="3"/>
  <c r="E50" i="3"/>
  <c r="H50" i="3" s="1"/>
  <c r="F50" i="3"/>
  <c r="M50" i="3"/>
  <c r="E205" i="3"/>
  <c r="H205" i="3" s="1"/>
  <c r="E196" i="3"/>
  <c r="L104" i="3"/>
  <c r="E22" i="3"/>
  <c r="H22" i="3" s="1"/>
  <c r="L453" i="3"/>
  <c r="L430" i="3"/>
  <c r="L428" i="3"/>
  <c r="F367" i="3"/>
  <c r="F345" i="3"/>
  <c r="G326" i="3"/>
  <c r="L289" i="3"/>
  <c r="L280" i="3"/>
  <c r="L270" i="3"/>
  <c r="L250" i="3"/>
  <c r="M135" i="3"/>
  <c r="E135" i="3"/>
  <c r="F135" i="3"/>
  <c r="L128" i="3"/>
  <c r="M117" i="3"/>
  <c r="M105" i="3"/>
  <c r="F93" i="3"/>
  <c r="M74" i="3"/>
  <c r="G74" i="3"/>
  <c r="E101" i="3"/>
  <c r="H101" i="3" s="1"/>
  <c r="G101" i="3"/>
  <c r="H74" i="3"/>
  <c r="G25" i="3"/>
  <c r="F25" i="3"/>
  <c r="L145" i="3"/>
  <c r="F123" i="3"/>
  <c r="M123" i="3"/>
  <c r="E123" i="3"/>
  <c r="L65" i="3"/>
  <c r="P65" i="3" s="1"/>
  <c r="L303" i="3"/>
  <c r="G302" i="3"/>
  <c r="E261" i="3"/>
  <c r="G261" i="3"/>
  <c r="L254" i="3"/>
  <c r="M247" i="3"/>
  <c r="E244" i="3"/>
  <c r="H244" i="3" s="1"/>
  <c r="L181" i="3"/>
  <c r="F166" i="3"/>
  <c r="M166" i="3"/>
  <c r="L193" i="3"/>
  <c r="E180" i="3"/>
  <c r="G180" i="3"/>
  <c r="M180" i="3"/>
  <c r="L176" i="3"/>
  <c r="L90" i="3"/>
  <c r="L44" i="3"/>
  <c r="G44" i="3"/>
  <c r="G36" i="3"/>
  <c r="E36" i="3"/>
  <c r="F36" i="3"/>
  <c r="M36" i="3"/>
  <c r="F417" i="3"/>
  <c r="F390" i="3"/>
  <c r="L315" i="3"/>
  <c r="F286" i="3"/>
  <c r="G286" i="3"/>
  <c r="F276" i="3"/>
  <c r="G270" i="3"/>
  <c r="E253" i="3"/>
  <c r="H253" i="3" s="1"/>
  <c r="G253" i="3"/>
  <c r="L251" i="3"/>
  <c r="M234" i="3"/>
  <c r="M175" i="3"/>
  <c r="L140" i="3"/>
  <c r="M86" i="3"/>
  <c r="E86" i="3"/>
  <c r="G569" i="3"/>
  <c r="L566" i="3"/>
  <c r="F530" i="3"/>
  <c r="L514" i="3"/>
  <c r="E501" i="3"/>
  <c r="G480" i="3"/>
  <c r="E460" i="3"/>
  <c r="H460" i="3" s="1"/>
  <c r="L455" i="3"/>
  <c r="G418" i="3"/>
  <c r="G404" i="3"/>
  <c r="L395" i="3"/>
  <c r="M394" i="3"/>
  <c r="L388" i="3"/>
  <c r="M365" i="3"/>
  <c r="F365" i="3"/>
  <c r="G317" i="3"/>
  <c r="F311" i="3"/>
  <c r="E308" i="3"/>
  <c r="F308" i="3"/>
  <c r="G289" i="3"/>
  <c r="G280" i="3"/>
  <c r="E280" i="3"/>
  <c r="G210" i="3"/>
  <c r="L205" i="3"/>
  <c r="G204" i="3"/>
  <c r="L196" i="3"/>
  <c r="L187" i="3"/>
  <c r="M159" i="3"/>
  <c r="L153" i="3"/>
  <c r="E153" i="3"/>
  <c r="H153" i="3" s="1"/>
  <c r="M126" i="3"/>
  <c r="E126" i="3"/>
  <c r="G126" i="3"/>
  <c r="E89" i="3"/>
  <c r="G65" i="3"/>
  <c r="L238" i="3"/>
  <c r="L220" i="3"/>
  <c r="M215" i="3"/>
  <c r="E197" i="3"/>
  <c r="L190" i="3"/>
  <c r="G178" i="3"/>
  <c r="E174" i="3"/>
  <c r="H174" i="3" s="1"/>
  <c r="M125" i="3"/>
  <c r="L117" i="3"/>
  <c r="E106" i="3"/>
  <c r="H106" i="3" s="1"/>
  <c r="L93" i="3"/>
  <c r="F80" i="3"/>
  <c r="M45" i="3"/>
  <c r="L41" i="3"/>
  <c r="L37" i="3"/>
  <c r="L34" i="3"/>
  <c r="L356" i="3"/>
  <c r="L335" i="3"/>
  <c r="L328" i="3"/>
  <c r="L304" i="3"/>
  <c r="L282" i="3"/>
  <c r="L264" i="3"/>
  <c r="G259" i="3"/>
  <c r="L244" i="3"/>
  <c r="P244" i="3" s="1"/>
  <c r="L230" i="3"/>
  <c r="G228" i="3"/>
  <c r="L221" i="3"/>
  <c r="E206" i="3"/>
  <c r="H206" i="3" s="1"/>
  <c r="E189" i="3"/>
  <c r="H189" i="3" s="1"/>
  <c r="L186" i="3"/>
  <c r="L180" i="3"/>
  <c r="G175" i="3"/>
  <c r="F164" i="3"/>
  <c r="F147" i="3"/>
  <c r="L144" i="3"/>
  <c r="M136" i="3"/>
  <c r="M120" i="3"/>
  <c r="G109" i="3"/>
  <c r="M103" i="3"/>
  <c r="M93" i="3"/>
  <c r="G81" i="3"/>
  <c r="F75" i="3"/>
  <c r="P75" i="3" s="1"/>
  <c r="L64" i="3"/>
  <c r="L35" i="3"/>
  <c r="M34" i="3"/>
  <c r="G26" i="3"/>
  <c r="E25" i="3"/>
  <c r="H25" i="3" s="1"/>
  <c r="L204" i="3"/>
  <c r="G154" i="3"/>
  <c r="L101" i="3"/>
  <c r="F82" i="3"/>
  <c r="E81" i="3"/>
  <c r="M35" i="3"/>
  <c r="G19" i="3"/>
  <c r="L218" i="3"/>
  <c r="L203" i="3"/>
  <c r="L200" i="3"/>
  <c r="M161" i="3"/>
  <c r="E132" i="3"/>
  <c r="H132" i="3" s="1"/>
  <c r="M114" i="3"/>
  <c r="L113" i="3"/>
  <c r="M110" i="3"/>
  <c r="L84" i="3"/>
  <c r="E82" i="3"/>
  <c r="H82" i="3" s="1"/>
  <c r="G67" i="3"/>
  <c r="P58" i="3"/>
  <c r="E57" i="3"/>
  <c r="H57" i="3" s="1"/>
  <c r="L49" i="3"/>
  <c r="L36" i="3"/>
  <c r="L30" i="3"/>
  <c r="L23" i="3"/>
  <c r="L61" i="3"/>
  <c r="E41" i="3"/>
  <c r="G34" i="3"/>
  <c r="E33" i="3"/>
  <c r="H33" i="3" s="1"/>
  <c r="F20" i="3"/>
  <c r="L276" i="3"/>
  <c r="F264" i="3"/>
  <c r="L252" i="3"/>
  <c r="F244" i="3"/>
  <c r="L242" i="3"/>
  <c r="G220" i="3"/>
  <c r="L212" i="3"/>
  <c r="M205" i="3"/>
  <c r="M196" i="3"/>
  <c r="E190" i="3"/>
  <c r="F179" i="3"/>
  <c r="F176" i="3"/>
  <c r="F172" i="3"/>
  <c r="M156" i="3"/>
  <c r="P156" i="3" s="1"/>
  <c r="E117" i="3"/>
  <c r="H117" i="3" s="1"/>
  <c r="P117" i="3" s="1"/>
  <c r="L88" i="3"/>
  <c r="E61" i="3"/>
  <c r="G42" i="3"/>
  <c r="G35" i="3"/>
  <c r="F34" i="3"/>
  <c r="E20" i="3"/>
  <c r="H20" i="3" s="1"/>
  <c r="G373" i="3"/>
  <c r="L364" i="3"/>
  <c r="M353" i="3"/>
  <c r="G349" i="3"/>
  <c r="P349" i="3" s="1"/>
  <c r="L344" i="3"/>
  <c r="F297" i="3"/>
  <c r="L287" i="3"/>
  <c r="G285" i="3"/>
  <c r="P285" i="3" s="1"/>
  <c r="L269" i="3"/>
  <c r="M260" i="3"/>
  <c r="P260" i="3" s="1"/>
  <c r="L231" i="3"/>
  <c r="F211" i="3"/>
  <c r="L197" i="3"/>
  <c r="E183" i="3"/>
  <c r="E169" i="3"/>
  <c r="L163" i="3"/>
  <c r="G162" i="3"/>
  <c r="G155" i="3"/>
  <c r="F114" i="3"/>
  <c r="M102" i="3"/>
  <c r="L73" i="3"/>
  <c r="M68" i="3"/>
  <c r="L56" i="3"/>
  <c r="L55" i="3"/>
  <c r="G49" i="3"/>
  <c r="M46" i="3"/>
  <c r="L25" i="3"/>
  <c r="L253" i="3"/>
  <c r="M244" i="3"/>
  <c r="L240" i="3"/>
  <c r="L237" i="3"/>
  <c r="L198" i="3"/>
  <c r="G146" i="3"/>
  <c r="L134" i="3"/>
  <c r="G94" i="3"/>
  <c r="L89" i="3"/>
  <c r="F53" i="3"/>
  <c r="L51" i="3"/>
  <c r="L40" i="3"/>
  <c r="L32" i="3"/>
  <c r="L359" i="3"/>
  <c r="L352" i="3"/>
  <c r="L348" i="3"/>
  <c r="G329" i="3"/>
  <c r="G325" i="3"/>
  <c r="P325" i="3" s="1"/>
  <c r="L323" i="3"/>
  <c r="L296" i="3"/>
  <c r="F294" i="3"/>
  <c r="L284" i="3"/>
  <c r="E283" i="3"/>
  <c r="H283" i="3" s="1"/>
  <c r="F262" i="3"/>
  <c r="G258" i="3"/>
  <c r="L223" i="3"/>
  <c r="E215" i="3"/>
  <c r="H215" i="3" s="1"/>
  <c r="L213" i="3"/>
  <c r="L192" i="3"/>
  <c r="F163" i="3"/>
  <c r="G125" i="3"/>
  <c r="L112" i="3"/>
  <c r="L77" i="3"/>
  <c r="L67" i="3"/>
  <c r="L47" i="3"/>
  <c r="E29" i="3"/>
  <c r="G21" i="3"/>
  <c r="L19" i="3"/>
  <c r="M12" i="3"/>
  <c r="M10" i="3"/>
  <c r="L10" i="3"/>
  <c r="L8" i="3"/>
  <c r="E10" i="3"/>
  <c r="H10" i="3" s="1"/>
  <c r="F9" i="3"/>
  <c r="L9" i="3"/>
  <c r="L12" i="3"/>
  <c r="L7" i="3"/>
  <c r="G9" i="3"/>
  <c r="G10" i="3"/>
  <c r="F10" i="3"/>
  <c r="E4" i="3"/>
  <c r="H4" i="3" s="1"/>
  <c r="L3" i="3"/>
  <c r="E11" i="3"/>
  <c r="H11" i="3" s="1"/>
  <c r="W11" i="3"/>
  <c r="G11" i="3"/>
  <c r="M3" i="3"/>
  <c r="W4" i="3"/>
  <c r="M4" i="3"/>
  <c r="L15" i="3"/>
  <c r="L14" i="3"/>
  <c r="E17" i="3"/>
  <c r="H17" i="3" s="1"/>
  <c r="E9" i="3"/>
  <c r="L11" i="3"/>
  <c r="E12" i="3"/>
  <c r="H12" i="3" s="1"/>
  <c r="W3" i="3"/>
  <c r="F3" i="3"/>
  <c r="G3" i="3"/>
  <c r="E3" i="3"/>
  <c r="H3" i="3" s="1"/>
  <c r="W16" i="3"/>
  <c r="G16" i="3"/>
  <c r="F17" i="3"/>
  <c r="G17" i="3"/>
  <c r="L5" i="3"/>
  <c r="L4" i="3"/>
  <c r="E5" i="3"/>
  <c r="W5" i="3"/>
  <c r="F5" i="3"/>
  <c r="M5" i="3"/>
  <c r="E18" i="3"/>
  <c r="H18" i="3" s="1"/>
  <c r="H996" i="3"/>
  <c r="H981" i="3"/>
  <c r="H960" i="3"/>
  <c r="H955" i="3"/>
  <c r="H952" i="3"/>
  <c r="H947" i="3"/>
  <c r="H937" i="3"/>
  <c r="H932" i="3"/>
  <c r="H988" i="3"/>
  <c r="H973" i="3"/>
  <c r="H944" i="3"/>
  <c r="H939" i="3"/>
  <c r="H993" i="3"/>
  <c r="H965" i="3"/>
  <c r="H936" i="3"/>
  <c r="H931" i="3"/>
  <c r="H913" i="3"/>
  <c r="H911" i="3"/>
  <c r="P911" i="3"/>
  <c r="H880" i="3"/>
  <c r="H987" i="3"/>
  <c r="H980" i="3"/>
  <c r="H928" i="3"/>
  <c r="H992" i="3"/>
  <c r="H972" i="3"/>
  <c r="H941" i="3"/>
  <c r="H919" i="3"/>
  <c r="H912" i="3"/>
  <c r="H888" i="3"/>
  <c r="H968" i="3"/>
  <c r="H920" i="3"/>
  <c r="H997" i="3"/>
  <c r="H984" i="3"/>
  <c r="H977" i="3"/>
  <c r="H933" i="3"/>
  <c r="H921" i="3"/>
  <c r="H848" i="3"/>
  <c r="H963" i="3"/>
  <c r="H989" i="3"/>
  <c r="H976" i="3"/>
  <c r="H971" i="3"/>
  <c r="H961" i="3"/>
  <c r="H956" i="3"/>
  <c r="H953" i="3"/>
  <c r="H948" i="3"/>
  <c r="H847" i="3"/>
  <c r="H718" i="3"/>
  <c r="M998" i="3"/>
  <c r="E998" i="3"/>
  <c r="F997" i="3"/>
  <c r="G996" i="3"/>
  <c r="M990" i="3"/>
  <c r="E990" i="3"/>
  <c r="F989" i="3"/>
  <c r="G988" i="3"/>
  <c r="M982" i="3"/>
  <c r="E982" i="3"/>
  <c r="F981" i="3"/>
  <c r="G980" i="3"/>
  <c r="M974" i="3"/>
  <c r="E974" i="3"/>
  <c r="F973" i="3"/>
  <c r="G972" i="3"/>
  <c r="M966" i="3"/>
  <c r="E966" i="3"/>
  <c r="F965" i="3"/>
  <c r="P965" i="3" s="1"/>
  <c r="G964" i="3"/>
  <c r="M958" i="3"/>
  <c r="E958" i="3"/>
  <c r="F957" i="3"/>
  <c r="G956" i="3"/>
  <c r="M950" i="3"/>
  <c r="E950" i="3"/>
  <c r="F949" i="3"/>
  <c r="G948" i="3"/>
  <c r="M942" i="3"/>
  <c r="E942" i="3"/>
  <c r="F941" i="3"/>
  <c r="G940" i="3"/>
  <c r="M934" i="3"/>
  <c r="E934" i="3"/>
  <c r="F933" i="3"/>
  <c r="P933" i="3" s="1"/>
  <c r="G932" i="3"/>
  <c r="H923" i="3"/>
  <c r="M921" i="3"/>
  <c r="F921" i="3"/>
  <c r="L920" i="3"/>
  <c r="G920" i="3"/>
  <c r="H915" i="3"/>
  <c r="M913" i="3"/>
  <c r="F913" i="3"/>
  <c r="L912" i="3"/>
  <c r="G912" i="3"/>
  <c r="H907" i="3"/>
  <c r="F905" i="3"/>
  <c r="L904" i="3"/>
  <c r="G904" i="3"/>
  <c r="E898" i="3"/>
  <c r="M898" i="3"/>
  <c r="G898" i="3"/>
  <c r="G895" i="3"/>
  <c r="F868" i="3"/>
  <c r="M856" i="3"/>
  <c r="F856" i="3"/>
  <c r="G856" i="3"/>
  <c r="F828" i="3"/>
  <c r="M816" i="3"/>
  <c r="F816" i="3"/>
  <c r="G816" i="3"/>
  <c r="H814" i="3"/>
  <c r="P814" i="3" s="1"/>
  <c r="H805" i="3"/>
  <c r="H793" i="3"/>
  <c r="F766" i="3"/>
  <c r="H739" i="3"/>
  <c r="E711" i="3"/>
  <c r="M711" i="3"/>
  <c r="F711" i="3"/>
  <c r="G711" i="3"/>
  <c r="H709" i="3"/>
  <c r="E704" i="3"/>
  <c r="M704" i="3"/>
  <c r="F704" i="3"/>
  <c r="G704" i="3"/>
  <c r="H664" i="3"/>
  <c r="H661" i="3"/>
  <c r="P661" i="3"/>
  <c r="H887" i="3"/>
  <c r="H878" i="3"/>
  <c r="E841" i="3"/>
  <c r="M841" i="3"/>
  <c r="F841" i="3"/>
  <c r="E834" i="3"/>
  <c r="M834" i="3"/>
  <c r="G834" i="3"/>
  <c r="G766" i="3"/>
  <c r="E766" i="3"/>
  <c r="L766" i="3"/>
  <c r="M766" i="3"/>
  <c r="H659" i="3"/>
  <c r="W877" i="3"/>
  <c r="W837" i="3"/>
  <c r="M997" i="3"/>
  <c r="F996" i="3"/>
  <c r="G995" i="3"/>
  <c r="P994" i="3"/>
  <c r="M989" i="3"/>
  <c r="F988" i="3"/>
  <c r="P988" i="3" s="1"/>
  <c r="G987" i="3"/>
  <c r="M981" i="3"/>
  <c r="F980" i="3"/>
  <c r="G979" i="3"/>
  <c r="P978" i="3"/>
  <c r="M973" i="3"/>
  <c r="F972" i="3"/>
  <c r="M965" i="3"/>
  <c r="F964" i="3"/>
  <c r="M957" i="3"/>
  <c r="F956" i="3"/>
  <c r="P954" i="3"/>
  <c r="M949" i="3"/>
  <c r="F948" i="3"/>
  <c r="P948" i="3" s="1"/>
  <c r="M941" i="3"/>
  <c r="F940" i="3"/>
  <c r="M933" i="3"/>
  <c r="F932" i="3"/>
  <c r="H926" i="3"/>
  <c r="P926" i="3" s="1"/>
  <c r="P924" i="3"/>
  <c r="F923" i="3"/>
  <c r="E922" i="3"/>
  <c r="M922" i="3"/>
  <c r="F915" i="3"/>
  <c r="P915" i="3" s="1"/>
  <c r="E914" i="3"/>
  <c r="M914" i="3"/>
  <c r="P908" i="3"/>
  <c r="F907" i="3"/>
  <c r="P907" i="3" s="1"/>
  <c r="E906" i="3"/>
  <c r="M906" i="3"/>
  <c r="F895" i="3"/>
  <c r="E893" i="3"/>
  <c r="M893" i="3"/>
  <c r="E890" i="3"/>
  <c r="M890" i="3"/>
  <c r="G890" i="3"/>
  <c r="M887" i="3"/>
  <c r="E884" i="3"/>
  <c r="M884" i="3"/>
  <c r="F879" i="3"/>
  <c r="M872" i="3"/>
  <c r="F872" i="3"/>
  <c r="P872" i="3" s="1"/>
  <c r="G872" i="3"/>
  <c r="E857" i="3"/>
  <c r="M857" i="3"/>
  <c r="F857" i="3"/>
  <c r="H854" i="3"/>
  <c r="E853" i="3"/>
  <c r="M853" i="3"/>
  <c r="E850" i="3"/>
  <c r="M850" i="3"/>
  <c r="G850" i="3"/>
  <c r="M847" i="3"/>
  <c r="E844" i="3"/>
  <c r="M844" i="3"/>
  <c r="F839" i="3"/>
  <c r="M832" i="3"/>
  <c r="F832" i="3"/>
  <c r="G832" i="3"/>
  <c r="H823" i="3"/>
  <c r="E817" i="3"/>
  <c r="M817" i="3"/>
  <c r="F817" i="3"/>
  <c r="H785" i="3"/>
  <c r="E744" i="3"/>
  <c r="M744" i="3"/>
  <c r="F744" i="3"/>
  <c r="G744" i="3"/>
  <c r="H733" i="3"/>
  <c r="P733" i="3" s="1"/>
  <c r="H676" i="3"/>
  <c r="L976" i="3"/>
  <c r="E868" i="3"/>
  <c r="M868" i="3"/>
  <c r="E828" i="3"/>
  <c r="M828" i="3"/>
  <c r="E809" i="3"/>
  <c r="M809" i="3"/>
  <c r="F809" i="3"/>
  <c r="G809" i="3"/>
  <c r="H657" i="3"/>
  <c r="M996" i="3"/>
  <c r="F995" i="3"/>
  <c r="M988" i="3"/>
  <c r="F987" i="3"/>
  <c r="P987" i="3" s="1"/>
  <c r="M980" i="3"/>
  <c r="F979" i="3"/>
  <c r="M972" i="3"/>
  <c r="F971" i="3"/>
  <c r="M964" i="3"/>
  <c r="F963" i="3"/>
  <c r="M956" i="3"/>
  <c r="F955" i="3"/>
  <c r="M948" i="3"/>
  <c r="F947" i="3"/>
  <c r="M940" i="3"/>
  <c r="F939" i="3"/>
  <c r="M932" i="3"/>
  <c r="F931" i="3"/>
  <c r="G925" i="3"/>
  <c r="L887" i="3"/>
  <c r="E879" i="3"/>
  <c r="E873" i="3"/>
  <c r="M873" i="3"/>
  <c r="F873" i="3"/>
  <c r="H870" i="3"/>
  <c r="E869" i="3"/>
  <c r="M869" i="3"/>
  <c r="E866" i="3"/>
  <c r="M866" i="3"/>
  <c r="G866" i="3"/>
  <c r="E864" i="3"/>
  <c r="E860" i="3"/>
  <c r="M860" i="3"/>
  <c r="L847" i="3"/>
  <c r="F844" i="3"/>
  <c r="E839" i="3"/>
  <c r="E833" i="3"/>
  <c r="M833" i="3"/>
  <c r="F833" i="3"/>
  <c r="H830" i="3"/>
  <c r="P830" i="3"/>
  <c r="E829" i="3"/>
  <c r="M829" i="3"/>
  <c r="E808" i="3"/>
  <c r="M808" i="3"/>
  <c r="F808" i="3"/>
  <c r="G808" i="3"/>
  <c r="H806" i="3"/>
  <c r="P806" i="3" s="1"/>
  <c r="E795" i="3"/>
  <c r="M795" i="3"/>
  <c r="F795" i="3"/>
  <c r="G795" i="3"/>
  <c r="H761" i="3"/>
  <c r="F715" i="3"/>
  <c r="G715" i="3"/>
  <c r="H688" i="3"/>
  <c r="H685" i="3"/>
  <c r="H683" i="3"/>
  <c r="H681" i="3"/>
  <c r="H788" i="3"/>
  <c r="P788" i="3"/>
  <c r="H737" i="3"/>
  <c r="E671" i="3"/>
  <c r="M671" i="3"/>
  <c r="F671" i="3"/>
  <c r="G671" i="3"/>
  <c r="M995" i="3"/>
  <c r="G993" i="3"/>
  <c r="M987" i="3"/>
  <c r="G985" i="3"/>
  <c r="M979" i="3"/>
  <c r="G977" i="3"/>
  <c r="M971" i="3"/>
  <c r="G969" i="3"/>
  <c r="M963" i="3"/>
  <c r="G961" i="3"/>
  <c r="M955" i="3"/>
  <c r="G953" i="3"/>
  <c r="M947" i="3"/>
  <c r="G945" i="3"/>
  <c r="M939" i="3"/>
  <c r="G937" i="3"/>
  <c r="M931" i="3"/>
  <c r="G929" i="3"/>
  <c r="H897" i="3"/>
  <c r="F888" i="3"/>
  <c r="G888" i="3"/>
  <c r="F848" i="3"/>
  <c r="G848" i="3"/>
  <c r="E826" i="3"/>
  <c r="M826" i="3"/>
  <c r="G826" i="3"/>
  <c r="E820" i="3"/>
  <c r="M820" i="3"/>
  <c r="H815" i="3"/>
  <c r="E787" i="3"/>
  <c r="M787" i="3"/>
  <c r="F787" i="3"/>
  <c r="G787" i="3"/>
  <c r="E735" i="3"/>
  <c r="M735" i="3"/>
  <c r="F735" i="3"/>
  <c r="G735" i="3"/>
  <c r="G702" i="3"/>
  <c r="E702" i="3"/>
  <c r="L702" i="3"/>
  <c r="M702" i="3"/>
  <c r="H635" i="3"/>
  <c r="H633" i="3"/>
  <c r="E874" i="3"/>
  <c r="M874" i="3"/>
  <c r="G874" i="3"/>
  <c r="W834" i="3"/>
  <c r="G1000" i="3"/>
  <c r="P999" i="3"/>
  <c r="F993" i="3"/>
  <c r="G992" i="3"/>
  <c r="P991" i="3"/>
  <c r="F985" i="3"/>
  <c r="G984" i="3"/>
  <c r="F977" i="3"/>
  <c r="G976" i="3"/>
  <c r="P975" i="3"/>
  <c r="F969" i="3"/>
  <c r="G968" i="3"/>
  <c r="P967" i="3"/>
  <c r="F961" i="3"/>
  <c r="G960" i="3"/>
  <c r="P960" i="3" s="1"/>
  <c r="P959" i="3"/>
  <c r="F953" i="3"/>
  <c r="G952" i="3"/>
  <c r="P951" i="3"/>
  <c r="F945" i="3"/>
  <c r="G944" i="3"/>
  <c r="F937" i="3"/>
  <c r="G936" i="3"/>
  <c r="P935" i="3"/>
  <c r="F929" i="3"/>
  <c r="G928" i="3"/>
  <c r="F919" i="3"/>
  <c r="P919" i="3" s="1"/>
  <c r="M896" i="3"/>
  <c r="P896" i="3" s="1"/>
  <c r="E889" i="3"/>
  <c r="M889" i="3"/>
  <c r="F889" i="3"/>
  <c r="H886" i="3"/>
  <c r="E885" i="3"/>
  <c r="M885" i="3"/>
  <c r="E882" i="3"/>
  <c r="M882" i="3"/>
  <c r="G882" i="3"/>
  <c r="M879" i="3"/>
  <c r="E876" i="3"/>
  <c r="M876" i="3"/>
  <c r="F876" i="3"/>
  <c r="F871" i="3"/>
  <c r="M864" i="3"/>
  <c r="F864" i="3"/>
  <c r="G864" i="3"/>
  <c r="E855" i="3"/>
  <c r="E849" i="3"/>
  <c r="M849" i="3"/>
  <c r="F849" i="3"/>
  <c r="H846" i="3"/>
  <c r="E845" i="3"/>
  <c r="M845" i="3"/>
  <c r="E842" i="3"/>
  <c r="M842" i="3"/>
  <c r="G842" i="3"/>
  <c r="M839" i="3"/>
  <c r="E836" i="3"/>
  <c r="M836" i="3"/>
  <c r="F831" i="3"/>
  <c r="L823" i="3"/>
  <c r="F820" i="3"/>
  <c r="F815" i="3"/>
  <c r="G815" i="3"/>
  <c r="F782" i="3"/>
  <c r="E782" i="3"/>
  <c r="G782" i="3"/>
  <c r="E775" i="3"/>
  <c r="M775" i="3"/>
  <c r="F775" i="3"/>
  <c r="G775" i="3"/>
  <c r="H773" i="3"/>
  <c r="P773" i="3" s="1"/>
  <c r="E768" i="3"/>
  <c r="M768" i="3"/>
  <c r="F768" i="3"/>
  <c r="G768" i="3"/>
  <c r="F755" i="3"/>
  <c r="L755" i="3"/>
  <c r="E748" i="3"/>
  <c r="M748" i="3"/>
  <c r="F748" i="3"/>
  <c r="G748" i="3"/>
  <c r="H742" i="3"/>
  <c r="F702" i="3"/>
  <c r="H637" i="3"/>
  <c r="M912" i="3"/>
  <c r="E881" i="3"/>
  <c r="M881" i="3"/>
  <c r="F881" i="3"/>
  <c r="E877" i="3"/>
  <c r="M877" i="3"/>
  <c r="E837" i="3"/>
  <c r="M837" i="3"/>
  <c r="W993" i="3"/>
  <c r="W985" i="3"/>
  <c r="W977" i="3"/>
  <c r="W969" i="3"/>
  <c r="W961" i="3"/>
  <c r="W953" i="3"/>
  <c r="W945" i="3"/>
  <c r="W937" i="3"/>
  <c r="W929" i="3"/>
  <c r="W881" i="3"/>
  <c r="W841" i="3"/>
  <c r="W809" i="3"/>
  <c r="F1000" i="3"/>
  <c r="M993" i="3"/>
  <c r="M985" i="3"/>
  <c r="M977" i="3"/>
  <c r="M969" i="3"/>
  <c r="M961" i="3"/>
  <c r="M953" i="3"/>
  <c r="M945" i="3"/>
  <c r="M937" i="3"/>
  <c r="M929" i="3"/>
  <c r="E925" i="3"/>
  <c r="M925" i="3"/>
  <c r="G921" i="3"/>
  <c r="F920" i="3"/>
  <c r="E917" i="3"/>
  <c r="M917" i="3"/>
  <c r="G913" i="3"/>
  <c r="F912" i="3"/>
  <c r="E909" i="3"/>
  <c r="M909" i="3"/>
  <c r="G905" i="3"/>
  <c r="F904" i="3"/>
  <c r="H903" i="3"/>
  <c r="P903" i="3" s="1"/>
  <c r="E901" i="3"/>
  <c r="M901" i="3"/>
  <c r="G881" i="3"/>
  <c r="L879" i="3"/>
  <c r="F877" i="3"/>
  <c r="F874" i="3"/>
  <c r="H871" i="3"/>
  <c r="P871" i="3"/>
  <c r="E865" i="3"/>
  <c r="M865" i="3"/>
  <c r="F865" i="3"/>
  <c r="H862" i="3"/>
  <c r="E861" i="3"/>
  <c r="M861" i="3"/>
  <c r="G841" i="3"/>
  <c r="L839" i="3"/>
  <c r="F837" i="3"/>
  <c r="F834" i="3"/>
  <c r="F824" i="3"/>
  <c r="G824" i="3"/>
  <c r="H810" i="3"/>
  <c r="H807" i="3"/>
  <c r="F794" i="3"/>
  <c r="M794" i="3"/>
  <c r="E794" i="3"/>
  <c r="G794" i="3"/>
  <c r="L782" i="3"/>
  <c r="G742" i="3"/>
  <c r="L742" i="3"/>
  <c r="M742" i="3"/>
  <c r="E654" i="3"/>
  <c r="M654" i="3"/>
  <c r="L654" i="3"/>
  <c r="E647" i="3"/>
  <c r="M647" i="3"/>
  <c r="F647" i="3"/>
  <c r="G647" i="3"/>
  <c r="M920" i="3"/>
  <c r="H801" i="3"/>
  <c r="W874" i="3"/>
  <c r="M1000" i="3"/>
  <c r="M992" i="3"/>
  <c r="M984" i="3"/>
  <c r="M976" i="3"/>
  <c r="M968" i="3"/>
  <c r="M960" i="3"/>
  <c r="M952" i="3"/>
  <c r="M944" i="3"/>
  <c r="M936" i="3"/>
  <c r="M928" i="3"/>
  <c r="E905" i="3"/>
  <c r="E904" i="3"/>
  <c r="F898" i="3"/>
  <c r="M897" i="3"/>
  <c r="P897" i="3" s="1"/>
  <c r="E892" i="3"/>
  <c r="M892" i="3"/>
  <c r="F887" i="3"/>
  <c r="F880" i="3"/>
  <c r="G880" i="3"/>
  <c r="G868" i="3"/>
  <c r="E858" i="3"/>
  <c r="M858" i="3"/>
  <c r="G858" i="3"/>
  <c r="E856" i="3"/>
  <c r="M855" i="3"/>
  <c r="G853" i="3"/>
  <c r="E852" i="3"/>
  <c r="M852" i="3"/>
  <c r="F847" i="3"/>
  <c r="F840" i="3"/>
  <c r="G840" i="3"/>
  <c r="G828" i="3"/>
  <c r="E825" i="3"/>
  <c r="M825" i="3"/>
  <c r="F825" i="3"/>
  <c r="H822" i="3"/>
  <c r="E821" i="3"/>
  <c r="M821" i="3"/>
  <c r="E818" i="3"/>
  <c r="M818" i="3"/>
  <c r="G818" i="3"/>
  <c r="E816" i="3"/>
  <c r="F807" i="3"/>
  <c r="G807" i="3"/>
  <c r="H802" i="3"/>
  <c r="H796" i="3"/>
  <c r="P796" i="3" s="1"/>
  <c r="F786" i="3"/>
  <c r="M786" i="3"/>
  <c r="E786" i="3"/>
  <c r="G786" i="3"/>
  <c r="F779" i="3"/>
  <c r="G779" i="3"/>
  <c r="E724" i="3"/>
  <c r="M724" i="3"/>
  <c r="F724" i="3"/>
  <c r="G724" i="3"/>
  <c r="L715" i="3"/>
  <c r="H697" i="3"/>
  <c r="F654" i="3"/>
  <c r="E601" i="3"/>
  <c r="M601" i="3"/>
  <c r="G601" i="3"/>
  <c r="F601" i="3"/>
  <c r="G891" i="3"/>
  <c r="P891" i="3" s="1"/>
  <c r="G883" i="3"/>
  <c r="P883" i="3" s="1"/>
  <c r="G875" i="3"/>
  <c r="G867" i="3"/>
  <c r="G859" i="3"/>
  <c r="P859" i="3" s="1"/>
  <c r="G851" i="3"/>
  <c r="G843" i="3"/>
  <c r="G835" i="3"/>
  <c r="G827" i="3"/>
  <c r="P827" i="3" s="1"/>
  <c r="G819" i="3"/>
  <c r="M813" i="3"/>
  <c r="G811" i="3"/>
  <c r="M805" i="3"/>
  <c r="G803" i="3"/>
  <c r="P803" i="3" s="1"/>
  <c r="G800" i="3"/>
  <c r="E798" i="3"/>
  <c r="E797" i="3"/>
  <c r="G792" i="3"/>
  <c r="E790" i="3"/>
  <c r="E789" i="3"/>
  <c r="G784" i="3"/>
  <c r="H777" i="3"/>
  <c r="G771" i="3"/>
  <c r="E764" i="3"/>
  <c r="M764" i="3"/>
  <c r="E758" i="3"/>
  <c r="E755" i="3"/>
  <c r="E751" i="3"/>
  <c r="M751" i="3"/>
  <c r="F751" i="3"/>
  <c r="G751" i="3"/>
  <c r="H749" i="3"/>
  <c r="F742" i="3"/>
  <c r="L726" i="3"/>
  <c r="E720" i="3"/>
  <c r="M720" i="3"/>
  <c r="F720" i="3"/>
  <c r="H713" i="3"/>
  <c r="G707" i="3"/>
  <c r="E700" i="3"/>
  <c r="M700" i="3"/>
  <c r="E694" i="3"/>
  <c r="G694" i="3"/>
  <c r="E687" i="3"/>
  <c r="M687" i="3"/>
  <c r="F687" i="3"/>
  <c r="G687" i="3"/>
  <c r="E670" i="3"/>
  <c r="M670" i="3"/>
  <c r="P604" i="3"/>
  <c r="M812" i="3"/>
  <c r="P812" i="3" s="1"/>
  <c r="G810" i="3"/>
  <c r="M804" i="3"/>
  <c r="P804" i="3" s="1"/>
  <c r="G802" i="3"/>
  <c r="M798" i="3"/>
  <c r="M790" i="3"/>
  <c r="E783" i="3"/>
  <c r="M783" i="3"/>
  <c r="G783" i="3"/>
  <c r="E760" i="3"/>
  <c r="M760" i="3"/>
  <c r="F760" i="3"/>
  <c r="H753" i="3"/>
  <c r="G747" i="3"/>
  <c r="E740" i="3"/>
  <c r="M740" i="3"/>
  <c r="E734" i="3"/>
  <c r="E727" i="3"/>
  <c r="M727" i="3"/>
  <c r="F727" i="3"/>
  <c r="G727" i="3"/>
  <c r="H725" i="3"/>
  <c r="P725" i="3"/>
  <c r="H723" i="3"/>
  <c r="E696" i="3"/>
  <c r="M696" i="3"/>
  <c r="F696" i="3"/>
  <c r="H680" i="3"/>
  <c r="H675" i="3"/>
  <c r="F670" i="3"/>
  <c r="E663" i="3"/>
  <c r="M663" i="3"/>
  <c r="F663" i="3"/>
  <c r="G663" i="3"/>
  <c r="E646" i="3"/>
  <c r="M646" i="3"/>
  <c r="P621" i="3"/>
  <c r="F810" i="3"/>
  <c r="F802" i="3"/>
  <c r="G801" i="3"/>
  <c r="E799" i="3"/>
  <c r="M799" i="3"/>
  <c r="H792" i="3"/>
  <c r="E791" i="3"/>
  <c r="M791" i="3"/>
  <c r="H784" i="3"/>
  <c r="E780" i="3"/>
  <c r="M780" i="3"/>
  <c r="H774" i="3"/>
  <c r="P774" i="3" s="1"/>
  <c r="G772" i="3"/>
  <c r="E767" i="3"/>
  <c r="M767" i="3"/>
  <c r="F767" i="3"/>
  <c r="G767" i="3"/>
  <c r="H765" i="3"/>
  <c r="P765" i="3" s="1"/>
  <c r="H763" i="3"/>
  <c r="E736" i="3"/>
  <c r="M736" i="3"/>
  <c r="F736" i="3"/>
  <c r="E716" i="3"/>
  <c r="M716" i="3"/>
  <c r="H710" i="3"/>
  <c r="P710" i="3" s="1"/>
  <c r="G708" i="3"/>
  <c r="E703" i="3"/>
  <c r="M703" i="3"/>
  <c r="F703" i="3"/>
  <c r="G703" i="3"/>
  <c r="H699" i="3"/>
  <c r="E686" i="3"/>
  <c r="M686" i="3"/>
  <c r="G686" i="3"/>
  <c r="H673" i="3"/>
  <c r="H649" i="3"/>
  <c r="E639" i="3"/>
  <c r="M639" i="3"/>
  <c r="F639" i="3"/>
  <c r="G639" i="3"/>
  <c r="E592" i="3"/>
  <c r="M592" i="3"/>
  <c r="F592" i="3"/>
  <c r="G592" i="3"/>
  <c r="L592" i="3"/>
  <c r="H541" i="3"/>
  <c r="M810" i="3"/>
  <c r="M802" i="3"/>
  <c r="F801" i="3"/>
  <c r="P801" i="3" s="1"/>
  <c r="F793" i="3"/>
  <c r="P793" i="3" s="1"/>
  <c r="F785" i="3"/>
  <c r="E776" i="3"/>
  <c r="M776" i="3"/>
  <c r="F776" i="3"/>
  <c r="H769" i="3"/>
  <c r="G763" i="3"/>
  <c r="M758" i="3"/>
  <c r="E756" i="3"/>
  <c r="M756" i="3"/>
  <c r="E750" i="3"/>
  <c r="E747" i="3"/>
  <c r="E743" i="3"/>
  <c r="M743" i="3"/>
  <c r="F743" i="3"/>
  <c r="G743" i="3"/>
  <c r="H741" i="3"/>
  <c r="P741" i="3" s="1"/>
  <c r="F734" i="3"/>
  <c r="L718" i="3"/>
  <c r="E712" i="3"/>
  <c r="M712" i="3"/>
  <c r="F712" i="3"/>
  <c r="H705" i="3"/>
  <c r="G699" i="3"/>
  <c r="M694" i="3"/>
  <c r="H691" i="3"/>
  <c r="F686" i="3"/>
  <c r="E679" i="3"/>
  <c r="M679" i="3"/>
  <c r="F679" i="3"/>
  <c r="G679" i="3"/>
  <c r="H667" i="3"/>
  <c r="P667" i="3" s="1"/>
  <c r="E662" i="3"/>
  <c r="M662" i="3"/>
  <c r="G662" i="3"/>
  <c r="M801" i="3"/>
  <c r="E752" i="3"/>
  <c r="M752" i="3"/>
  <c r="F752" i="3"/>
  <c r="H745" i="3"/>
  <c r="G739" i="3"/>
  <c r="M734" i="3"/>
  <c r="E732" i="3"/>
  <c r="M732" i="3"/>
  <c r="E726" i="3"/>
  <c r="E719" i="3"/>
  <c r="M719" i="3"/>
  <c r="F719" i="3"/>
  <c r="G719" i="3"/>
  <c r="H717" i="3"/>
  <c r="P717" i="3" s="1"/>
  <c r="H693" i="3"/>
  <c r="P693" i="3" s="1"/>
  <c r="H684" i="3"/>
  <c r="P684" i="3" s="1"/>
  <c r="H672" i="3"/>
  <c r="H669" i="3"/>
  <c r="P669" i="3" s="1"/>
  <c r="H665" i="3"/>
  <c r="E655" i="3"/>
  <c r="M655" i="3"/>
  <c r="F655" i="3"/>
  <c r="G655" i="3"/>
  <c r="H643" i="3"/>
  <c r="H594" i="3"/>
  <c r="P594" i="3" s="1"/>
  <c r="E772" i="3"/>
  <c r="M772" i="3"/>
  <c r="E759" i="3"/>
  <c r="M759" i="3"/>
  <c r="F759" i="3"/>
  <c r="G759" i="3"/>
  <c r="E728" i="3"/>
  <c r="M728" i="3"/>
  <c r="F728" i="3"/>
  <c r="H721" i="3"/>
  <c r="E708" i="3"/>
  <c r="M708" i="3"/>
  <c r="E695" i="3"/>
  <c r="M695" i="3"/>
  <c r="F695" i="3"/>
  <c r="G695" i="3"/>
  <c r="E678" i="3"/>
  <c r="M678" i="3"/>
  <c r="G678" i="3"/>
  <c r="H648" i="3"/>
  <c r="H645" i="3"/>
  <c r="P645" i="3"/>
  <c r="H641" i="3"/>
  <c r="H638" i="3"/>
  <c r="G778" i="3"/>
  <c r="G770" i="3"/>
  <c r="P770" i="3" s="1"/>
  <c r="G762" i="3"/>
  <c r="P762" i="3" s="1"/>
  <c r="G754" i="3"/>
  <c r="P754" i="3" s="1"/>
  <c r="G746" i="3"/>
  <c r="G738" i="3"/>
  <c r="P738" i="3" s="1"/>
  <c r="G730" i="3"/>
  <c r="G722" i="3"/>
  <c r="P722" i="3" s="1"/>
  <c r="G714" i="3"/>
  <c r="G706" i="3"/>
  <c r="G698" i="3"/>
  <c r="M692" i="3"/>
  <c r="E692" i="3"/>
  <c r="G690" i="3"/>
  <c r="M684" i="3"/>
  <c r="G682" i="3"/>
  <c r="M676" i="3"/>
  <c r="G674" i="3"/>
  <c r="P674" i="3" s="1"/>
  <c r="M668" i="3"/>
  <c r="E668" i="3"/>
  <c r="G666" i="3"/>
  <c r="M660" i="3"/>
  <c r="E660" i="3"/>
  <c r="G658" i="3"/>
  <c r="P658" i="3" s="1"/>
  <c r="M652" i="3"/>
  <c r="E652" i="3"/>
  <c r="G650" i="3"/>
  <c r="P650" i="3" s="1"/>
  <c r="M644" i="3"/>
  <c r="E644" i="3"/>
  <c r="G642" i="3"/>
  <c r="P642" i="3" s="1"/>
  <c r="M636" i="3"/>
  <c r="E636" i="3"/>
  <c r="G634" i="3"/>
  <c r="P634" i="3" s="1"/>
  <c r="F631" i="3"/>
  <c r="E630" i="3"/>
  <c r="E628" i="3"/>
  <c r="E627" i="3"/>
  <c r="M627" i="3"/>
  <c r="F623" i="3"/>
  <c r="E622" i="3"/>
  <c r="E620" i="3"/>
  <c r="E619" i="3"/>
  <c r="M619" i="3"/>
  <c r="F615" i="3"/>
  <c r="E614" i="3"/>
  <c r="E612" i="3"/>
  <c r="E611" i="3"/>
  <c r="M611" i="3"/>
  <c r="F607" i="3"/>
  <c r="E606" i="3"/>
  <c r="M606" i="3"/>
  <c r="L605" i="3"/>
  <c r="G603" i="3"/>
  <c r="H599" i="3"/>
  <c r="E598" i="3"/>
  <c r="M598" i="3"/>
  <c r="G598" i="3"/>
  <c r="H584" i="3"/>
  <c r="F577" i="3"/>
  <c r="G577" i="3"/>
  <c r="L557" i="3"/>
  <c r="F556" i="3"/>
  <c r="G556" i="3"/>
  <c r="E556" i="3"/>
  <c r="E555" i="3"/>
  <c r="M555" i="3"/>
  <c r="F555" i="3"/>
  <c r="L555" i="3"/>
  <c r="G526" i="3"/>
  <c r="E526" i="3"/>
  <c r="M526" i="3"/>
  <c r="F526" i="3"/>
  <c r="E521" i="3"/>
  <c r="M521" i="3"/>
  <c r="G521" i="3"/>
  <c r="F521" i="3"/>
  <c r="H508" i="3"/>
  <c r="M779" i="3"/>
  <c r="M771" i="3"/>
  <c r="M763" i="3"/>
  <c r="M755" i="3"/>
  <c r="G753" i="3"/>
  <c r="M747" i="3"/>
  <c r="M739" i="3"/>
  <c r="M731" i="3"/>
  <c r="P731" i="3" s="1"/>
  <c r="G729" i="3"/>
  <c r="M723" i="3"/>
  <c r="M715" i="3"/>
  <c r="M707" i="3"/>
  <c r="G705" i="3"/>
  <c r="M699" i="3"/>
  <c r="G697" i="3"/>
  <c r="M691" i="3"/>
  <c r="G689" i="3"/>
  <c r="M683" i="3"/>
  <c r="G681" i="3"/>
  <c r="P681" i="3" s="1"/>
  <c r="M675" i="3"/>
  <c r="G673" i="3"/>
  <c r="M667" i="3"/>
  <c r="G665" i="3"/>
  <c r="M659" i="3"/>
  <c r="G657" i="3"/>
  <c r="M651" i="3"/>
  <c r="G649" i="3"/>
  <c r="M643" i="3"/>
  <c r="G641" i="3"/>
  <c r="M635" i="3"/>
  <c r="G633" i="3"/>
  <c r="G632" i="3"/>
  <c r="M630" i="3"/>
  <c r="M628" i="3"/>
  <c r="M622" i="3"/>
  <c r="M620" i="3"/>
  <c r="M614" i="3"/>
  <c r="M612" i="3"/>
  <c r="E607" i="3"/>
  <c r="F599" i="3"/>
  <c r="P599" i="3" s="1"/>
  <c r="F596" i="3"/>
  <c r="G596" i="3"/>
  <c r="H588" i="3"/>
  <c r="E586" i="3"/>
  <c r="G586" i="3"/>
  <c r="E578" i="3"/>
  <c r="F578" i="3"/>
  <c r="M578" i="3"/>
  <c r="M577" i="3"/>
  <c r="H543" i="3"/>
  <c r="P543" i="3" s="1"/>
  <c r="L517" i="3"/>
  <c r="H453" i="3"/>
  <c r="G688" i="3"/>
  <c r="G680" i="3"/>
  <c r="G672" i="3"/>
  <c r="H624" i="3"/>
  <c r="H616" i="3"/>
  <c r="H608" i="3"/>
  <c r="E603" i="3"/>
  <c r="M603" i="3"/>
  <c r="E597" i="3"/>
  <c r="M597" i="3"/>
  <c r="F597" i="3"/>
  <c r="P583" i="3"/>
  <c r="L581" i="3"/>
  <c r="G563" i="3"/>
  <c r="E563" i="3"/>
  <c r="F563" i="3"/>
  <c r="F516" i="3"/>
  <c r="G516" i="3"/>
  <c r="E516" i="3"/>
  <c r="M777" i="3"/>
  <c r="M769" i="3"/>
  <c r="M761" i="3"/>
  <c r="P761" i="3" s="1"/>
  <c r="M753" i="3"/>
  <c r="M745" i="3"/>
  <c r="M737" i="3"/>
  <c r="M729" i="3"/>
  <c r="M721" i="3"/>
  <c r="M713" i="3"/>
  <c r="P713" i="3" s="1"/>
  <c r="M705" i="3"/>
  <c r="M697" i="3"/>
  <c r="M689" i="3"/>
  <c r="F688" i="3"/>
  <c r="M681" i="3"/>
  <c r="F680" i="3"/>
  <c r="M673" i="3"/>
  <c r="F672" i="3"/>
  <c r="M665" i="3"/>
  <c r="F664" i="3"/>
  <c r="M657" i="3"/>
  <c r="F656" i="3"/>
  <c r="M649" i="3"/>
  <c r="F648" i="3"/>
  <c r="M641" i="3"/>
  <c r="F640" i="3"/>
  <c r="M633" i="3"/>
  <c r="M631" i="3"/>
  <c r="G631" i="3"/>
  <c r="M623" i="3"/>
  <c r="G623" i="3"/>
  <c r="M615" i="3"/>
  <c r="G615" i="3"/>
  <c r="H600" i="3"/>
  <c r="E595" i="3"/>
  <c r="F595" i="3"/>
  <c r="M595" i="3"/>
  <c r="G576" i="3"/>
  <c r="E576" i="3"/>
  <c r="M576" i="3"/>
  <c r="H522" i="3"/>
  <c r="P522" i="3"/>
  <c r="H467" i="3"/>
  <c r="P417" i="3"/>
  <c r="M688" i="3"/>
  <c r="M680" i="3"/>
  <c r="M672" i="3"/>
  <c r="G670" i="3"/>
  <c r="M664" i="3"/>
  <c r="M656" i="3"/>
  <c r="G654" i="3"/>
  <c r="M648" i="3"/>
  <c r="G646" i="3"/>
  <c r="M640" i="3"/>
  <c r="H626" i="3"/>
  <c r="F624" i="3"/>
  <c r="H618" i="3"/>
  <c r="F616" i="3"/>
  <c r="F608" i="3"/>
  <c r="E593" i="3"/>
  <c r="M593" i="3"/>
  <c r="G593" i="3"/>
  <c r="E585" i="3"/>
  <c r="M585" i="3"/>
  <c r="F585" i="3"/>
  <c r="F580" i="3"/>
  <c r="G580" i="3"/>
  <c r="E580" i="3"/>
  <c r="H570" i="3"/>
  <c r="H524" i="3"/>
  <c r="M516" i="3"/>
  <c r="F638" i="3"/>
  <c r="H629" i="3"/>
  <c r="P629" i="3" s="1"/>
  <c r="G626" i="3"/>
  <c r="G618" i="3"/>
  <c r="P618" i="3" s="1"/>
  <c r="G610" i="3"/>
  <c r="P610" i="3" s="1"/>
  <c r="G606" i="3"/>
  <c r="E605" i="3"/>
  <c r="F600" i="3"/>
  <c r="L572" i="3"/>
  <c r="M572" i="3"/>
  <c r="E572" i="3"/>
  <c r="E565" i="3"/>
  <c r="M565" i="3"/>
  <c r="F565" i="3"/>
  <c r="G565" i="3"/>
  <c r="H549" i="3"/>
  <c r="M638" i="3"/>
  <c r="G627" i="3"/>
  <c r="E625" i="3"/>
  <c r="M625" i="3"/>
  <c r="G625" i="3"/>
  <c r="E617" i="3"/>
  <c r="M617" i="3"/>
  <c r="G617" i="3"/>
  <c r="E609" i="3"/>
  <c r="M609" i="3"/>
  <c r="G609" i="3"/>
  <c r="F598" i="3"/>
  <c r="E589" i="3"/>
  <c r="M589" i="3"/>
  <c r="F589" i="3"/>
  <c r="G589" i="3"/>
  <c r="G587" i="3"/>
  <c r="F587" i="3"/>
  <c r="E582" i="3"/>
  <c r="M582" i="3"/>
  <c r="F582" i="3"/>
  <c r="L579" i="3"/>
  <c r="M579" i="3"/>
  <c r="E579" i="3"/>
  <c r="L576" i="3"/>
  <c r="H564" i="3"/>
  <c r="M563" i="3"/>
  <c r="G595" i="3"/>
  <c r="E574" i="3"/>
  <c r="M574" i="3"/>
  <c r="F571" i="3"/>
  <c r="M569" i="3"/>
  <c r="E569" i="3"/>
  <c r="E562" i="3"/>
  <c r="G560" i="3"/>
  <c r="E558" i="3"/>
  <c r="M558" i="3"/>
  <c r="G555" i="3"/>
  <c r="M546" i="3"/>
  <c r="E544" i="3"/>
  <c r="G525" i="3"/>
  <c r="E517" i="3"/>
  <c r="E512" i="3"/>
  <c r="M512" i="3"/>
  <c r="F512" i="3"/>
  <c r="E507" i="3"/>
  <c r="M507" i="3"/>
  <c r="E499" i="3"/>
  <c r="M499" i="3"/>
  <c r="F499" i="3"/>
  <c r="E491" i="3"/>
  <c r="M491" i="3"/>
  <c r="F491" i="3"/>
  <c r="E483" i="3"/>
  <c r="M483" i="3"/>
  <c r="F483" i="3"/>
  <c r="E475" i="3"/>
  <c r="M475" i="3"/>
  <c r="F475" i="3"/>
  <c r="E473" i="3"/>
  <c r="M473" i="3"/>
  <c r="G473" i="3"/>
  <c r="P471" i="3"/>
  <c r="H469" i="3"/>
  <c r="E464" i="3"/>
  <c r="M464" i="3"/>
  <c r="F464" i="3"/>
  <c r="G464" i="3"/>
  <c r="H455" i="3"/>
  <c r="E445" i="3"/>
  <c r="M445" i="3"/>
  <c r="F445" i="3"/>
  <c r="G445" i="3"/>
  <c r="H441" i="3"/>
  <c r="E438" i="3"/>
  <c r="M438" i="3"/>
  <c r="F438" i="3"/>
  <c r="G438" i="3"/>
  <c r="E423" i="3"/>
  <c r="M423" i="3"/>
  <c r="F423" i="3"/>
  <c r="G423" i="3"/>
  <c r="H366" i="3"/>
  <c r="H336" i="3"/>
  <c r="P336" i="3" s="1"/>
  <c r="E566" i="3"/>
  <c r="M566" i="3"/>
  <c r="G554" i="3"/>
  <c r="E553" i="3"/>
  <c r="M553" i="3"/>
  <c r="G553" i="3"/>
  <c r="H551" i="3"/>
  <c r="P551" i="3" s="1"/>
  <c r="E547" i="3"/>
  <c r="M547" i="3"/>
  <c r="E539" i="3"/>
  <c r="M539" i="3"/>
  <c r="H535" i="3"/>
  <c r="P535" i="3" s="1"/>
  <c r="G534" i="3"/>
  <c r="E534" i="3"/>
  <c r="M534" i="3"/>
  <c r="H530" i="3"/>
  <c r="P530" i="3" s="1"/>
  <c r="E529" i="3"/>
  <c r="M529" i="3"/>
  <c r="G529" i="3"/>
  <c r="F524" i="3"/>
  <c r="G524" i="3"/>
  <c r="E505" i="3"/>
  <c r="M505" i="3"/>
  <c r="G505" i="3"/>
  <c r="H501" i="3"/>
  <c r="E497" i="3"/>
  <c r="M497" i="3"/>
  <c r="G497" i="3"/>
  <c r="H493" i="3"/>
  <c r="E489" i="3"/>
  <c r="M489" i="3"/>
  <c r="G489" i="3"/>
  <c r="H485" i="3"/>
  <c r="E481" i="3"/>
  <c r="M481" i="3"/>
  <c r="G481" i="3"/>
  <c r="H477" i="3"/>
  <c r="H432" i="3"/>
  <c r="P432" i="3"/>
  <c r="H370" i="3"/>
  <c r="G579" i="3"/>
  <c r="M562" i="3"/>
  <c r="M560" i="3"/>
  <c r="E554" i="3"/>
  <c r="E550" i="3"/>
  <c r="M550" i="3"/>
  <c r="G547" i="3"/>
  <c r="M544" i="3"/>
  <c r="G539" i="3"/>
  <c r="E525" i="3"/>
  <c r="E520" i="3"/>
  <c r="M520" i="3"/>
  <c r="F520" i="3"/>
  <c r="E515" i="3"/>
  <c r="M515" i="3"/>
  <c r="H459" i="3"/>
  <c r="E457" i="3"/>
  <c r="M457" i="3"/>
  <c r="F457" i="3"/>
  <c r="G457" i="3"/>
  <c r="H440" i="3"/>
  <c r="H373" i="3"/>
  <c r="P373" i="3" s="1"/>
  <c r="F305" i="3"/>
  <c r="E305" i="3"/>
  <c r="M305" i="3"/>
  <c r="L305" i="3"/>
  <c r="F588" i="3"/>
  <c r="G588" i="3"/>
  <c r="L562" i="3"/>
  <c r="L544" i="3"/>
  <c r="E537" i="3"/>
  <c r="M537" i="3"/>
  <c r="G537" i="3"/>
  <c r="F532" i="3"/>
  <c r="P532" i="3" s="1"/>
  <c r="G532" i="3"/>
  <c r="G510" i="3"/>
  <c r="E510" i="3"/>
  <c r="M510" i="3"/>
  <c r="H506" i="3"/>
  <c r="P506" i="3" s="1"/>
  <c r="H498" i="3"/>
  <c r="P498" i="3" s="1"/>
  <c r="H490" i="3"/>
  <c r="P490" i="3" s="1"/>
  <c r="H482" i="3"/>
  <c r="P482" i="3" s="1"/>
  <c r="H474" i="3"/>
  <c r="P474" i="3"/>
  <c r="E472" i="3"/>
  <c r="M472" i="3"/>
  <c r="F472" i="3"/>
  <c r="H461" i="3"/>
  <c r="H436" i="3"/>
  <c r="F422" i="3"/>
  <c r="M422" i="3"/>
  <c r="E422" i="3"/>
  <c r="G422" i="3"/>
  <c r="L418" i="3"/>
  <c r="E383" i="3"/>
  <c r="M383" i="3"/>
  <c r="F383" i="3"/>
  <c r="G383" i="3"/>
  <c r="P381" i="3"/>
  <c r="H546" i="3"/>
  <c r="E545" i="3"/>
  <c r="M545" i="3"/>
  <c r="G545" i="3"/>
  <c r="G542" i="3"/>
  <c r="E542" i="3"/>
  <c r="M542" i="3"/>
  <c r="H538" i="3"/>
  <c r="H533" i="3"/>
  <c r="E528" i="3"/>
  <c r="M528" i="3"/>
  <c r="F528" i="3"/>
  <c r="E523" i="3"/>
  <c r="M523" i="3"/>
  <c r="E504" i="3"/>
  <c r="M504" i="3"/>
  <c r="F504" i="3"/>
  <c r="E496" i="3"/>
  <c r="M496" i="3"/>
  <c r="F496" i="3"/>
  <c r="E488" i="3"/>
  <c r="M488" i="3"/>
  <c r="F488" i="3"/>
  <c r="E480" i="3"/>
  <c r="M480" i="3"/>
  <c r="F480" i="3"/>
  <c r="H463" i="3"/>
  <c r="P463" i="3" s="1"/>
  <c r="E456" i="3"/>
  <c r="M456" i="3"/>
  <c r="F456" i="3"/>
  <c r="G456" i="3"/>
  <c r="M400" i="3"/>
  <c r="E400" i="3"/>
  <c r="F400" i="3"/>
  <c r="G400" i="3"/>
  <c r="F386" i="3"/>
  <c r="G386" i="3"/>
  <c r="E386" i="3"/>
  <c r="M386" i="3"/>
  <c r="E385" i="3"/>
  <c r="F385" i="3"/>
  <c r="L385" i="3"/>
  <c r="M385" i="3"/>
  <c r="E581" i="3"/>
  <c r="M581" i="3"/>
  <c r="F581" i="3"/>
  <c r="F572" i="3"/>
  <c r="G572" i="3"/>
  <c r="G570" i="3"/>
  <c r="E557" i="3"/>
  <c r="M557" i="3"/>
  <c r="F557" i="3"/>
  <c r="G523" i="3"/>
  <c r="G518" i="3"/>
  <c r="E518" i="3"/>
  <c r="M518" i="3"/>
  <c r="E513" i="3"/>
  <c r="M513" i="3"/>
  <c r="G513" i="3"/>
  <c r="F508" i="3"/>
  <c r="G508" i="3"/>
  <c r="E448" i="3"/>
  <c r="F448" i="3"/>
  <c r="L448" i="3"/>
  <c r="M448" i="3"/>
  <c r="H437" i="3"/>
  <c r="H433" i="3"/>
  <c r="H374" i="3"/>
  <c r="H362" i="3"/>
  <c r="E590" i="3"/>
  <c r="M590" i="3"/>
  <c r="E573" i="3"/>
  <c r="M573" i="3"/>
  <c r="F573" i="3"/>
  <c r="G566" i="3"/>
  <c r="F564" i="3"/>
  <c r="G564" i="3"/>
  <c r="M554" i="3"/>
  <c r="F548" i="3"/>
  <c r="G548" i="3"/>
  <c r="F540" i="3"/>
  <c r="G540" i="3"/>
  <c r="E536" i="3"/>
  <c r="M536" i="3"/>
  <c r="F536" i="3"/>
  <c r="E531" i="3"/>
  <c r="M531" i="3"/>
  <c r="E509" i="3"/>
  <c r="E500" i="3"/>
  <c r="M500" i="3"/>
  <c r="F500" i="3"/>
  <c r="G500" i="3"/>
  <c r="E492" i="3"/>
  <c r="M492" i="3"/>
  <c r="F492" i="3"/>
  <c r="G492" i="3"/>
  <c r="E484" i="3"/>
  <c r="M484" i="3"/>
  <c r="F484" i="3"/>
  <c r="G484" i="3"/>
  <c r="E476" i="3"/>
  <c r="M476" i="3"/>
  <c r="F476" i="3"/>
  <c r="G476" i="3"/>
  <c r="F473" i="3"/>
  <c r="E465" i="3"/>
  <c r="M465" i="3"/>
  <c r="F465" i="3"/>
  <c r="G465" i="3"/>
  <c r="E446" i="3"/>
  <c r="M446" i="3"/>
  <c r="F446" i="3"/>
  <c r="G446" i="3"/>
  <c r="E439" i="3"/>
  <c r="F439" i="3"/>
  <c r="G439" i="3"/>
  <c r="H324" i="3"/>
  <c r="F549" i="3"/>
  <c r="F541" i="3"/>
  <c r="F533" i="3"/>
  <c r="F525" i="3"/>
  <c r="F517" i="3"/>
  <c r="F509" i="3"/>
  <c r="M502" i="3"/>
  <c r="E502" i="3"/>
  <c r="F501" i="3"/>
  <c r="M494" i="3"/>
  <c r="E494" i="3"/>
  <c r="F493" i="3"/>
  <c r="M486" i="3"/>
  <c r="E486" i="3"/>
  <c r="F485" i="3"/>
  <c r="P485" i="3" s="1"/>
  <c r="M478" i="3"/>
  <c r="E478" i="3"/>
  <c r="F477" i="3"/>
  <c r="M470" i="3"/>
  <c r="E470" i="3"/>
  <c r="F469" i="3"/>
  <c r="G468" i="3"/>
  <c r="M462" i="3"/>
  <c r="E462" i="3"/>
  <c r="F461" i="3"/>
  <c r="P461" i="3" s="1"/>
  <c r="G460" i="3"/>
  <c r="M454" i="3"/>
  <c r="E454" i="3"/>
  <c r="F453" i="3"/>
  <c r="G452" i="3"/>
  <c r="P452" i="3" s="1"/>
  <c r="G451" i="3"/>
  <c r="G450" i="3"/>
  <c r="G448" i="3"/>
  <c r="E427" i="3"/>
  <c r="M427" i="3"/>
  <c r="F424" i="3"/>
  <c r="E418" i="3"/>
  <c r="M418" i="3"/>
  <c r="F418" i="3"/>
  <c r="H413" i="3"/>
  <c r="H406" i="3"/>
  <c r="E391" i="3"/>
  <c r="M391" i="3"/>
  <c r="F391" i="3"/>
  <c r="L370" i="3"/>
  <c r="M370" i="3"/>
  <c r="E368" i="3"/>
  <c r="F368" i="3"/>
  <c r="M368" i="3"/>
  <c r="L354" i="3"/>
  <c r="M354" i="3"/>
  <c r="E332" i="3"/>
  <c r="M332" i="3"/>
  <c r="G332" i="3"/>
  <c r="F332" i="3"/>
  <c r="M255" i="3"/>
  <c r="F255" i="3"/>
  <c r="M549" i="3"/>
  <c r="M541" i="3"/>
  <c r="M533" i="3"/>
  <c r="M525" i="3"/>
  <c r="M517" i="3"/>
  <c r="M509" i="3"/>
  <c r="M501" i="3"/>
  <c r="M493" i="3"/>
  <c r="M485" i="3"/>
  <c r="M477" i="3"/>
  <c r="M469" i="3"/>
  <c r="F468" i="3"/>
  <c r="P466" i="3"/>
  <c r="M461" i="3"/>
  <c r="F460" i="3"/>
  <c r="P458" i="3"/>
  <c r="M453" i="3"/>
  <c r="G440" i="3"/>
  <c r="E424" i="3"/>
  <c r="L410" i="3"/>
  <c r="M410" i="3"/>
  <c r="E387" i="3"/>
  <c r="M387" i="3"/>
  <c r="F387" i="3"/>
  <c r="G387" i="3"/>
  <c r="L383" i="3"/>
  <c r="L375" i="3"/>
  <c r="F346" i="3"/>
  <c r="G346" i="3"/>
  <c r="E346" i="3"/>
  <c r="E331" i="3"/>
  <c r="M331" i="3"/>
  <c r="F331" i="3"/>
  <c r="G331" i="3"/>
  <c r="H278" i="3"/>
  <c r="M223" i="3"/>
  <c r="E223" i="3"/>
  <c r="G223" i="3"/>
  <c r="F223" i="3"/>
  <c r="M468" i="3"/>
  <c r="F467" i="3"/>
  <c r="M460" i="3"/>
  <c r="F459" i="3"/>
  <c r="F449" i="3"/>
  <c r="G449" i="3"/>
  <c r="F429" i="3"/>
  <c r="E419" i="3"/>
  <c r="M419" i="3"/>
  <c r="G416" i="3"/>
  <c r="E416" i="3"/>
  <c r="M416" i="3"/>
  <c r="E414" i="3"/>
  <c r="M408" i="3"/>
  <c r="E408" i="3"/>
  <c r="F408" i="3"/>
  <c r="H397" i="3"/>
  <c r="P397" i="3" s="1"/>
  <c r="E395" i="3"/>
  <c r="M395" i="3"/>
  <c r="F395" i="3"/>
  <c r="G395" i="3"/>
  <c r="H393" i="3"/>
  <c r="L374" i="3"/>
  <c r="G374" i="3"/>
  <c r="E358" i="3"/>
  <c r="M358" i="3"/>
  <c r="G358" i="3"/>
  <c r="H337" i="3"/>
  <c r="H317" i="3"/>
  <c r="P317" i="3" s="1"/>
  <c r="M467" i="3"/>
  <c r="M459" i="3"/>
  <c r="E451" i="3"/>
  <c r="M451" i="3"/>
  <c r="F450" i="3"/>
  <c r="F441" i="3"/>
  <c r="G441" i="3"/>
  <c r="E430" i="3"/>
  <c r="E429" i="3"/>
  <c r="E425" i="3"/>
  <c r="H420" i="3"/>
  <c r="H384" i="3"/>
  <c r="P384" i="3" s="1"/>
  <c r="L361" i="3"/>
  <c r="E361" i="3"/>
  <c r="F361" i="3"/>
  <c r="H345" i="3"/>
  <c r="E339" i="3"/>
  <c r="M339" i="3"/>
  <c r="F339" i="3"/>
  <c r="G339" i="3"/>
  <c r="H330" i="3"/>
  <c r="E442" i="3"/>
  <c r="M442" i="3"/>
  <c r="F442" i="3"/>
  <c r="E434" i="3"/>
  <c r="M434" i="3"/>
  <c r="F434" i="3"/>
  <c r="H394" i="3"/>
  <c r="E382" i="3"/>
  <c r="G382" i="3"/>
  <c r="F378" i="3"/>
  <c r="G378" i="3"/>
  <c r="E378" i="3"/>
  <c r="H365" i="3"/>
  <c r="F313" i="3"/>
  <c r="L313" i="3"/>
  <c r="M313" i="3"/>
  <c r="E313" i="3"/>
  <c r="H309" i="3"/>
  <c r="H276" i="3"/>
  <c r="P276" i="3" s="1"/>
  <c r="E431" i="3"/>
  <c r="M431" i="3"/>
  <c r="F430" i="3"/>
  <c r="L429" i="3"/>
  <c r="M425" i="3"/>
  <c r="F425" i="3"/>
  <c r="E421" i="3"/>
  <c r="E415" i="3"/>
  <c r="M415" i="3"/>
  <c r="F415" i="3"/>
  <c r="G412" i="3"/>
  <c r="H398" i="3"/>
  <c r="F382" i="3"/>
  <c r="H377" i="3"/>
  <c r="M374" i="3"/>
  <c r="L358" i="3"/>
  <c r="E343" i="3"/>
  <c r="M343" i="3"/>
  <c r="F343" i="3"/>
  <c r="G343" i="3"/>
  <c r="H341" i="3"/>
  <c r="P341" i="3" s="1"/>
  <c r="H333" i="3"/>
  <c r="E443" i="3"/>
  <c r="M443" i="3"/>
  <c r="E435" i="3"/>
  <c r="M435" i="3"/>
  <c r="E426" i="3"/>
  <c r="M426" i="3"/>
  <c r="F426" i="3"/>
  <c r="L412" i="3"/>
  <c r="L402" i="3"/>
  <c r="M402" i="3"/>
  <c r="G391" i="3"/>
  <c r="M382" i="3"/>
  <c r="E380" i="3"/>
  <c r="M380" i="3"/>
  <c r="F380" i="3"/>
  <c r="G380" i="3"/>
  <c r="H360" i="3"/>
  <c r="H328" i="3"/>
  <c r="H316" i="3"/>
  <c r="G414" i="3"/>
  <c r="F410" i="3"/>
  <c r="G410" i="3"/>
  <c r="F402" i="3"/>
  <c r="G402" i="3"/>
  <c r="G392" i="3"/>
  <c r="G385" i="3"/>
  <c r="E372" i="3"/>
  <c r="M372" i="3"/>
  <c r="H369" i="3"/>
  <c r="P369" i="3"/>
  <c r="F354" i="3"/>
  <c r="G354" i="3"/>
  <c r="E351" i="3"/>
  <c r="M351" i="3"/>
  <c r="E342" i="3"/>
  <c r="M342" i="3"/>
  <c r="G311" i="3"/>
  <c r="E310" i="3"/>
  <c r="M310" i="3"/>
  <c r="G305" i="3"/>
  <c r="E303" i="3"/>
  <c r="M303" i="3"/>
  <c r="E298" i="3"/>
  <c r="M298" i="3"/>
  <c r="F298" i="3"/>
  <c r="G298" i="3"/>
  <c r="H280" i="3"/>
  <c r="H274" i="3"/>
  <c r="H268" i="3"/>
  <c r="P268" i="3" s="1"/>
  <c r="F246" i="3"/>
  <c r="E246" i="3"/>
  <c r="G246" i="3"/>
  <c r="H118" i="3"/>
  <c r="G95" i="3"/>
  <c r="E95" i="3"/>
  <c r="F95" i="3"/>
  <c r="M95" i="3"/>
  <c r="E91" i="3"/>
  <c r="L91" i="3"/>
  <c r="M91" i="3"/>
  <c r="E411" i="3"/>
  <c r="M411" i="3"/>
  <c r="F411" i="3"/>
  <c r="E407" i="3"/>
  <c r="M407" i="3"/>
  <c r="L406" i="3"/>
  <c r="F406" i="3"/>
  <c r="E403" i="3"/>
  <c r="M403" i="3"/>
  <c r="F403" i="3"/>
  <c r="E399" i="3"/>
  <c r="M399" i="3"/>
  <c r="L398" i="3"/>
  <c r="F398" i="3"/>
  <c r="P398" i="3" s="1"/>
  <c r="F394" i="3"/>
  <c r="G394" i="3"/>
  <c r="F392" i="3"/>
  <c r="M377" i="3"/>
  <c r="G377" i="3"/>
  <c r="E364" i="3"/>
  <c r="M364" i="3"/>
  <c r="M360" i="3"/>
  <c r="E355" i="3"/>
  <c r="M355" i="3"/>
  <c r="F355" i="3"/>
  <c r="H352" i="3"/>
  <c r="E348" i="3"/>
  <c r="M348" i="3"/>
  <c r="G348" i="3"/>
  <c r="M345" i="3"/>
  <c r="G345" i="3"/>
  <c r="F342" i="3"/>
  <c r="F337" i="3"/>
  <c r="F330" i="3"/>
  <c r="G330" i="3"/>
  <c r="E327" i="3"/>
  <c r="M327" i="3"/>
  <c r="E322" i="3"/>
  <c r="M322" i="3"/>
  <c r="F322" i="3"/>
  <c r="G322" i="3"/>
  <c r="H320" i="3"/>
  <c r="P320" i="3" s="1"/>
  <c r="E315" i="3"/>
  <c r="M315" i="3"/>
  <c r="F315" i="3"/>
  <c r="F310" i="3"/>
  <c r="H300" i="3"/>
  <c r="E290" i="3"/>
  <c r="M290" i="3"/>
  <c r="F290" i="3"/>
  <c r="G290" i="3"/>
  <c r="H288" i="3"/>
  <c r="P288" i="3" s="1"/>
  <c r="G278" i="3"/>
  <c r="M231" i="3"/>
  <c r="E231" i="3"/>
  <c r="G231" i="3"/>
  <c r="F231" i="3"/>
  <c r="E225" i="3"/>
  <c r="F225" i="3"/>
  <c r="L225" i="3"/>
  <c r="M225" i="3"/>
  <c r="E334" i="3"/>
  <c r="M334" i="3"/>
  <c r="E318" i="3"/>
  <c r="M318" i="3"/>
  <c r="G313" i="3"/>
  <c r="E311" i="3"/>
  <c r="M311" i="3"/>
  <c r="E306" i="3"/>
  <c r="M306" i="3"/>
  <c r="F306" i="3"/>
  <c r="G306" i="3"/>
  <c r="H304" i="3"/>
  <c r="P304" i="3"/>
  <c r="E299" i="3"/>
  <c r="M299" i="3"/>
  <c r="F299" i="3"/>
  <c r="H297" i="3"/>
  <c r="H260" i="3"/>
  <c r="H257" i="3"/>
  <c r="F249" i="3"/>
  <c r="L249" i="3"/>
  <c r="E249" i="3"/>
  <c r="M249" i="3"/>
  <c r="L209" i="3"/>
  <c r="F209" i="3"/>
  <c r="M209" i="3"/>
  <c r="E412" i="3"/>
  <c r="M412" i="3"/>
  <c r="H409" i="3"/>
  <c r="P409" i="3" s="1"/>
  <c r="E404" i="3"/>
  <c r="M404" i="3"/>
  <c r="H401" i="3"/>
  <c r="E379" i="3"/>
  <c r="M379" i="3"/>
  <c r="F379" i="3"/>
  <c r="H376" i="3"/>
  <c r="E375" i="3"/>
  <c r="M375" i="3"/>
  <c r="F374" i="3"/>
  <c r="F370" i="3"/>
  <c r="G370" i="3"/>
  <c r="H353" i="3"/>
  <c r="E347" i="3"/>
  <c r="M347" i="3"/>
  <c r="F347" i="3"/>
  <c r="H344" i="3"/>
  <c r="E340" i="3"/>
  <c r="M340" i="3"/>
  <c r="G340" i="3"/>
  <c r="M337" i="3"/>
  <c r="G337" i="3"/>
  <c r="F334" i="3"/>
  <c r="E323" i="3"/>
  <c r="M323" i="3"/>
  <c r="F323" i="3"/>
  <c r="H321" i="3"/>
  <c r="F318" i="3"/>
  <c r="H308" i="3"/>
  <c r="H289" i="3"/>
  <c r="P289" i="3" s="1"/>
  <c r="E279" i="3"/>
  <c r="F279" i="3"/>
  <c r="G279" i="3"/>
  <c r="E271" i="3"/>
  <c r="G271" i="3"/>
  <c r="F271" i="3"/>
  <c r="M246" i="3"/>
  <c r="P237" i="3"/>
  <c r="H237" i="3"/>
  <c r="F212" i="3"/>
  <c r="E212" i="3"/>
  <c r="G212" i="3"/>
  <c r="M212" i="3"/>
  <c r="G433" i="3"/>
  <c r="P433" i="3" s="1"/>
  <c r="G425" i="3"/>
  <c r="G417" i="3"/>
  <c r="E396" i="3"/>
  <c r="M396" i="3"/>
  <c r="G372" i="3"/>
  <c r="E371" i="3"/>
  <c r="M371" i="3"/>
  <c r="F371" i="3"/>
  <c r="E367" i="3"/>
  <c r="M367" i="3"/>
  <c r="F366" i="3"/>
  <c r="M362" i="3"/>
  <c r="F362" i="3"/>
  <c r="G362" i="3"/>
  <c r="F360" i="3"/>
  <c r="E359" i="3"/>
  <c r="M359" i="3"/>
  <c r="G351" i="3"/>
  <c r="E350" i="3"/>
  <c r="M350" i="3"/>
  <c r="H329" i="3"/>
  <c r="P329" i="3" s="1"/>
  <c r="G303" i="3"/>
  <c r="E302" i="3"/>
  <c r="M302" i="3"/>
  <c r="G297" i="3"/>
  <c r="E295" i="3"/>
  <c r="M295" i="3"/>
  <c r="H292" i="3"/>
  <c r="H277" i="3"/>
  <c r="F275" i="3"/>
  <c r="G275" i="3"/>
  <c r="G266" i="3"/>
  <c r="M266" i="3"/>
  <c r="E263" i="3"/>
  <c r="G263" i="3"/>
  <c r="F263" i="3"/>
  <c r="M263" i="3"/>
  <c r="F227" i="3"/>
  <c r="G227" i="3"/>
  <c r="F219" i="3"/>
  <c r="G219" i="3"/>
  <c r="E410" i="3"/>
  <c r="G407" i="3"/>
  <c r="E402" i="3"/>
  <c r="G399" i="3"/>
  <c r="P389" i="3"/>
  <c r="E388" i="3"/>
  <c r="M388" i="3"/>
  <c r="F372" i="3"/>
  <c r="G364" i="3"/>
  <c r="E363" i="3"/>
  <c r="M363" i="3"/>
  <c r="F363" i="3"/>
  <c r="E356" i="3"/>
  <c r="M356" i="3"/>
  <c r="G356" i="3"/>
  <c r="E354" i="3"/>
  <c r="G353" i="3"/>
  <c r="F351" i="3"/>
  <c r="F350" i="3"/>
  <c r="F338" i="3"/>
  <c r="G338" i="3"/>
  <c r="E335" i="3"/>
  <c r="M335" i="3"/>
  <c r="G327" i="3"/>
  <c r="E326" i="3"/>
  <c r="M326" i="3"/>
  <c r="G321" i="3"/>
  <c r="E319" i="3"/>
  <c r="M319" i="3"/>
  <c r="E314" i="3"/>
  <c r="M314" i="3"/>
  <c r="F314" i="3"/>
  <c r="G314" i="3"/>
  <c r="H312" i="3"/>
  <c r="P312" i="3" s="1"/>
  <c r="E307" i="3"/>
  <c r="M307" i="3"/>
  <c r="F307" i="3"/>
  <c r="F303" i="3"/>
  <c r="F302" i="3"/>
  <c r="M297" i="3"/>
  <c r="E291" i="3"/>
  <c r="M291" i="3"/>
  <c r="F291" i="3"/>
  <c r="G291" i="3"/>
  <c r="H287" i="3"/>
  <c r="H284" i="3"/>
  <c r="L279" i="3"/>
  <c r="M287" i="3"/>
  <c r="L266" i="3"/>
  <c r="M257" i="3"/>
  <c r="E255" i="3"/>
  <c r="G255" i="3"/>
  <c r="P252" i="3"/>
  <c r="E250" i="3"/>
  <c r="E242" i="3"/>
  <c r="G242" i="3"/>
  <c r="E238" i="3"/>
  <c r="M238" i="3"/>
  <c r="F238" i="3"/>
  <c r="L235" i="3"/>
  <c r="G324" i="3"/>
  <c r="G316" i="3"/>
  <c r="G308" i="3"/>
  <c r="G300" i="3"/>
  <c r="M294" i="3"/>
  <c r="P294" i="3" s="1"/>
  <c r="G292" i="3"/>
  <c r="M286" i="3"/>
  <c r="G284" i="3"/>
  <c r="E281" i="3"/>
  <c r="E272" i="3"/>
  <c r="G272" i="3"/>
  <c r="F267" i="3"/>
  <c r="E247" i="3"/>
  <c r="G247" i="3"/>
  <c r="M240" i="3"/>
  <c r="E240" i="3"/>
  <c r="G240" i="3"/>
  <c r="E234" i="3"/>
  <c r="G234" i="3"/>
  <c r="E230" i="3"/>
  <c r="M230" i="3"/>
  <c r="F230" i="3"/>
  <c r="L227" i="3"/>
  <c r="F213" i="3"/>
  <c r="E213" i="3"/>
  <c r="G213" i="3"/>
  <c r="E171" i="3"/>
  <c r="M171" i="3"/>
  <c r="F171" i="3"/>
  <c r="G171" i="3"/>
  <c r="E264" i="3"/>
  <c r="G264" i="3"/>
  <c r="M232" i="3"/>
  <c r="E232" i="3"/>
  <c r="G232" i="3"/>
  <c r="E226" i="3"/>
  <c r="G226" i="3"/>
  <c r="E222" i="3"/>
  <c r="M222" i="3"/>
  <c r="F222" i="3"/>
  <c r="L219" i="3"/>
  <c r="M324" i="3"/>
  <c r="M316" i="3"/>
  <c r="M308" i="3"/>
  <c r="M300" i="3"/>
  <c r="M292" i="3"/>
  <c r="M284" i="3"/>
  <c r="F283" i="3"/>
  <c r="M281" i="3"/>
  <c r="F281" i="3"/>
  <c r="G281" i="3"/>
  <c r="G274" i="3"/>
  <c r="M264" i="3"/>
  <c r="E256" i="3"/>
  <c r="G256" i="3"/>
  <c r="G254" i="3"/>
  <c r="L234" i="3"/>
  <c r="M224" i="3"/>
  <c r="E224" i="3"/>
  <c r="G224" i="3"/>
  <c r="M283" i="3"/>
  <c r="E282" i="3"/>
  <c r="F282" i="3"/>
  <c r="L274" i="3"/>
  <c r="M270" i="3"/>
  <c r="L267" i="3"/>
  <c r="F265" i="3"/>
  <c r="P265" i="3" s="1"/>
  <c r="L265" i="3"/>
  <c r="M256" i="3"/>
  <c r="E254" i="3"/>
  <c r="M250" i="3"/>
  <c r="E248" i="3"/>
  <c r="G248" i="3"/>
  <c r="F243" i="3"/>
  <c r="G243" i="3"/>
  <c r="M242" i="3"/>
  <c r="E241" i="3"/>
  <c r="F241" i="3"/>
  <c r="L241" i="3"/>
  <c r="L226" i="3"/>
  <c r="F218" i="3"/>
  <c r="E218" i="3"/>
  <c r="G218" i="3"/>
  <c r="F214" i="3"/>
  <c r="G214" i="3"/>
  <c r="M213" i="3"/>
  <c r="H210" i="3"/>
  <c r="H197" i="3"/>
  <c r="F257" i="3"/>
  <c r="L257" i="3"/>
  <c r="M239" i="3"/>
  <c r="E239" i="3"/>
  <c r="G239" i="3"/>
  <c r="F235" i="3"/>
  <c r="G235" i="3"/>
  <c r="E233" i="3"/>
  <c r="F233" i="3"/>
  <c r="L233" i="3"/>
  <c r="L222" i="3"/>
  <c r="H169" i="3"/>
  <c r="E275" i="3"/>
  <c r="M275" i="3"/>
  <c r="F274" i="3"/>
  <c r="G273" i="3"/>
  <c r="E267" i="3"/>
  <c r="M267" i="3"/>
  <c r="F266" i="3"/>
  <c r="G265" i="3"/>
  <c r="E259" i="3"/>
  <c r="M259" i="3"/>
  <c r="F258" i="3"/>
  <c r="P258" i="3" s="1"/>
  <c r="G257" i="3"/>
  <c r="E251" i="3"/>
  <c r="M251" i="3"/>
  <c r="F250" i="3"/>
  <c r="G249" i="3"/>
  <c r="E243" i="3"/>
  <c r="M243" i="3"/>
  <c r="F242" i="3"/>
  <c r="G241" i="3"/>
  <c r="M236" i="3"/>
  <c r="E235" i="3"/>
  <c r="M235" i="3"/>
  <c r="F234" i="3"/>
  <c r="G233" i="3"/>
  <c r="M228" i="3"/>
  <c r="E227" i="3"/>
  <c r="M227" i="3"/>
  <c r="F226" i="3"/>
  <c r="G225" i="3"/>
  <c r="M220" i="3"/>
  <c r="E219" i="3"/>
  <c r="M219" i="3"/>
  <c r="F216" i="3"/>
  <c r="E214" i="3"/>
  <c r="M214" i="3"/>
  <c r="E209" i="3"/>
  <c r="F207" i="3"/>
  <c r="P207" i="3" s="1"/>
  <c r="L199" i="3"/>
  <c r="E194" i="3"/>
  <c r="M194" i="3"/>
  <c r="F194" i="3"/>
  <c r="G194" i="3"/>
  <c r="G192" i="3"/>
  <c r="E192" i="3"/>
  <c r="F192" i="3"/>
  <c r="H183" i="3"/>
  <c r="P183" i="3" s="1"/>
  <c r="E143" i="3"/>
  <c r="F143" i="3"/>
  <c r="G143" i="3"/>
  <c r="E140" i="3"/>
  <c r="G140" i="3"/>
  <c r="E216" i="3"/>
  <c r="H190" i="3"/>
  <c r="P190" i="3" s="1"/>
  <c r="E181" i="3"/>
  <c r="M181" i="3"/>
  <c r="F181" i="3"/>
  <c r="G181" i="3"/>
  <c r="E158" i="3"/>
  <c r="M158" i="3"/>
  <c r="F158" i="3"/>
  <c r="G158" i="3"/>
  <c r="H151" i="3"/>
  <c r="H200" i="3"/>
  <c r="P200" i="3" s="1"/>
  <c r="H198" i="3"/>
  <c r="P198" i="3" s="1"/>
  <c r="F185" i="3"/>
  <c r="G185" i="3"/>
  <c r="E185" i="3"/>
  <c r="L184" i="3"/>
  <c r="M184" i="3"/>
  <c r="E184" i="3"/>
  <c r="L178" i="3"/>
  <c r="H172" i="3"/>
  <c r="P172" i="3" s="1"/>
  <c r="G160" i="3"/>
  <c r="E160" i="3"/>
  <c r="F160" i="3"/>
  <c r="H145" i="3"/>
  <c r="E142" i="3"/>
  <c r="M142" i="3"/>
  <c r="F142" i="3"/>
  <c r="G142" i="3"/>
  <c r="L98" i="3"/>
  <c r="E98" i="3"/>
  <c r="H208" i="3"/>
  <c r="P208" i="3" s="1"/>
  <c r="H191" i="3"/>
  <c r="P191" i="3" s="1"/>
  <c r="M185" i="3"/>
  <c r="F184" i="3"/>
  <c r="F177" i="3"/>
  <c r="G177" i="3"/>
  <c r="E177" i="3"/>
  <c r="E157" i="3"/>
  <c r="M157" i="3"/>
  <c r="F157" i="3"/>
  <c r="G157" i="3"/>
  <c r="E134" i="3"/>
  <c r="M134" i="3"/>
  <c r="F134" i="3"/>
  <c r="G134" i="3"/>
  <c r="E131" i="3"/>
  <c r="F131" i="3"/>
  <c r="L131" i="3"/>
  <c r="M131" i="3"/>
  <c r="L122" i="3"/>
  <c r="E122" i="3"/>
  <c r="F122" i="3"/>
  <c r="H113" i="3"/>
  <c r="F107" i="3"/>
  <c r="M107" i="3"/>
  <c r="E107" i="3"/>
  <c r="G107" i="3"/>
  <c r="H199" i="3"/>
  <c r="E186" i="3"/>
  <c r="M186" i="3"/>
  <c r="F186" i="3"/>
  <c r="G186" i="3"/>
  <c r="E175" i="3"/>
  <c r="F175" i="3"/>
  <c r="H173" i="3"/>
  <c r="G168" i="3"/>
  <c r="E168" i="3"/>
  <c r="L167" i="3"/>
  <c r="M167" i="3"/>
  <c r="E150" i="3"/>
  <c r="M150" i="3"/>
  <c r="F150" i="3"/>
  <c r="G150" i="3"/>
  <c r="H144" i="3"/>
  <c r="G139" i="3"/>
  <c r="E139" i="3"/>
  <c r="F139" i="3"/>
  <c r="F199" i="3"/>
  <c r="G199" i="3"/>
  <c r="M199" i="3"/>
  <c r="E182" i="3"/>
  <c r="M182" i="3"/>
  <c r="F182" i="3"/>
  <c r="M168" i="3"/>
  <c r="E167" i="3"/>
  <c r="H165" i="3"/>
  <c r="P165" i="3" s="1"/>
  <c r="M160" i="3"/>
  <c r="E152" i="3"/>
  <c r="F152" i="3"/>
  <c r="L152" i="3"/>
  <c r="M152" i="3"/>
  <c r="F141" i="3"/>
  <c r="G141" i="3"/>
  <c r="H109" i="3"/>
  <c r="P109" i="3" s="1"/>
  <c r="G217" i="3"/>
  <c r="E217" i="3"/>
  <c r="M204" i="3"/>
  <c r="E204" i="3"/>
  <c r="F204" i="3"/>
  <c r="M177" i="3"/>
  <c r="H176" i="3"/>
  <c r="L169" i="3"/>
  <c r="M169" i="3"/>
  <c r="E149" i="3"/>
  <c r="M149" i="3"/>
  <c r="F149" i="3"/>
  <c r="G149" i="3"/>
  <c r="H138" i="3"/>
  <c r="E137" i="3"/>
  <c r="L137" i="3"/>
  <c r="M137" i="3"/>
  <c r="E124" i="3"/>
  <c r="M124" i="3"/>
  <c r="G124" i="3"/>
  <c r="F124" i="3"/>
  <c r="H103" i="3"/>
  <c r="P101" i="3"/>
  <c r="M206" i="3"/>
  <c r="P206" i="3" s="1"/>
  <c r="M197" i="3"/>
  <c r="E195" i="3"/>
  <c r="M195" i="3"/>
  <c r="M190" i="3"/>
  <c r="F189" i="3"/>
  <c r="E178" i="3"/>
  <c r="M178" i="3"/>
  <c r="F178" i="3"/>
  <c r="G174" i="3"/>
  <c r="F169" i="3"/>
  <c r="G169" i="3"/>
  <c r="G167" i="3"/>
  <c r="G152" i="3"/>
  <c r="E141" i="3"/>
  <c r="F140" i="3"/>
  <c r="F137" i="3"/>
  <c r="G137" i="3"/>
  <c r="G131" i="3"/>
  <c r="G127" i="3"/>
  <c r="E127" i="3"/>
  <c r="F127" i="3"/>
  <c r="F125" i="3"/>
  <c r="G122" i="3"/>
  <c r="F118" i="3"/>
  <c r="G118" i="3"/>
  <c r="H114" i="3"/>
  <c r="P114" i="3" s="1"/>
  <c r="M113" i="3"/>
  <c r="G110" i="3"/>
  <c r="L107" i="3"/>
  <c r="G98" i="3"/>
  <c r="M98" i="3"/>
  <c r="F91" i="3"/>
  <c r="G91" i="3"/>
  <c r="H89" i="3"/>
  <c r="P89" i="3" s="1"/>
  <c r="H84" i="3"/>
  <c r="E59" i="3"/>
  <c r="M59" i="3"/>
  <c r="F59" i="3"/>
  <c r="G59" i="3"/>
  <c r="E55" i="3"/>
  <c r="M55" i="3"/>
  <c r="F55" i="3"/>
  <c r="G55" i="3"/>
  <c r="M189" i="3"/>
  <c r="E187" i="3"/>
  <c r="M187" i="3"/>
  <c r="F174" i="3"/>
  <c r="G173" i="3"/>
  <c r="P173" i="3" s="1"/>
  <c r="E170" i="3"/>
  <c r="M170" i="3"/>
  <c r="F170" i="3"/>
  <c r="F167" i="3"/>
  <c r="G166" i="3"/>
  <c r="P166" i="3" s="1"/>
  <c r="H164" i="3"/>
  <c r="P164" i="3" s="1"/>
  <c r="G163" i="3"/>
  <c r="F161" i="3"/>
  <c r="G161" i="3"/>
  <c r="G159" i="3"/>
  <c r="P159" i="3" s="1"/>
  <c r="M144" i="3"/>
  <c r="G144" i="3"/>
  <c r="L132" i="3"/>
  <c r="M132" i="3"/>
  <c r="L129" i="3"/>
  <c r="E125" i="3"/>
  <c r="L120" i="3"/>
  <c r="E116" i="3"/>
  <c r="M116" i="3"/>
  <c r="F112" i="3"/>
  <c r="G112" i="3"/>
  <c r="E112" i="3"/>
  <c r="F110" i="3"/>
  <c r="G103" i="3"/>
  <c r="F103" i="3"/>
  <c r="E100" i="3"/>
  <c r="M100" i="3"/>
  <c r="F94" i="3"/>
  <c r="E92" i="3"/>
  <c r="F92" i="3"/>
  <c r="M92" i="3"/>
  <c r="F78" i="3"/>
  <c r="G78" i="3"/>
  <c r="E78" i="3"/>
  <c r="M78" i="3"/>
  <c r="E63" i="3"/>
  <c r="M63" i="3"/>
  <c r="F63" i="3"/>
  <c r="G63" i="3"/>
  <c r="E211" i="3"/>
  <c r="M211" i="3"/>
  <c r="F210" i="3"/>
  <c r="P210" i="3" s="1"/>
  <c r="G209" i="3"/>
  <c r="E203" i="3"/>
  <c r="M203" i="3"/>
  <c r="F202" i="3"/>
  <c r="G201" i="3"/>
  <c r="P201" i="3" s="1"/>
  <c r="E179" i="3"/>
  <c r="M179" i="3"/>
  <c r="M174" i="3"/>
  <c r="G165" i="3"/>
  <c r="E162" i="3"/>
  <c r="M162" i="3"/>
  <c r="F162" i="3"/>
  <c r="F153" i="3"/>
  <c r="G153" i="3"/>
  <c r="G151" i="3"/>
  <c r="H135" i="3"/>
  <c r="P135" i="3" s="1"/>
  <c r="E128" i="3"/>
  <c r="M127" i="3"/>
  <c r="H123" i="3"/>
  <c r="P123" i="3" s="1"/>
  <c r="M122" i="3"/>
  <c r="L116" i="3"/>
  <c r="E110" i="3"/>
  <c r="E104" i="3"/>
  <c r="E94" i="3"/>
  <c r="M84" i="3"/>
  <c r="H159" i="3"/>
  <c r="E154" i="3"/>
  <c r="M154" i="3"/>
  <c r="F154" i="3"/>
  <c r="F151" i="3"/>
  <c r="H148" i="3"/>
  <c r="P148" i="3" s="1"/>
  <c r="G147" i="3"/>
  <c r="F145" i="3"/>
  <c r="G145" i="3"/>
  <c r="F138" i="3"/>
  <c r="G138" i="3"/>
  <c r="G130" i="3"/>
  <c r="E130" i="3"/>
  <c r="F130" i="3"/>
  <c r="F121" i="3"/>
  <c r="G121" i="3"/>
  <c r="E121" i="3"/>
  <c r="H119" i="3"/>
  <c r="P119" i="3" s="1"/>
  <c r="H115" i="3"/>
  <c r="G106" i="3"/>
  <c r="F106" i="3"/>
  <c r="H97" i="3"/>
  <c r="H86" i="3"/>
  <c r="E80" i="3"/>
  <c r="M80" i="3"/>
  <c r="G80" i="3"/>
  <c r="G69" i="3"/>
  <c r="E69" i="3"/>
  <c r="F69" i="3"/>
  <c r="M69" i="3"/>
  <c r="G184" i="3"/>
  <c r="M165" i="3"/>
  <c r="E163" i="3"/>
  <c r="M163" i="3"/>
  <c r="E146" i="3"/>
  <c r="M146" i="3"/>
  <c r="F146" i="3"/>
  <c r="E136" i="3"/>
  <c r="F128" i="3"/>
  <c r="G128" i="3"/>
  <c r="H126" i="3"/>
  <c r="P126" i="3" s="1"/>
  <c r="M112" i="3"/>
  <c r="E108" i="3"/>
  <c r="M108" i="3"/>
  <c r="F108" i="3"/>
  <c r="F104" i="3"/>
  <c r="G104" i="3"/>
  <c r="E88" i="3"/>
  <c r="M88" i="3"/>
  <c r="F88" i="3"/>
  <c r="G88" i="3"/>
  <c r="F193" i="3"/>
  <c r="G193" i="3"/>
  <c r="G176" i="3"/>
  <c r="E155" i="3"/>
  <c r="M155" i="3"/>
  <c r="M138" i="3"/>
  <c r="E129" i="3"/>
  <c r="E120" i="3"/>
  <c r="F115" i="3"/>
  <c r="G115" i="3"/>
  <c r="H111" i="3"/>
  <c r="P111" i="3" s="1"/>
  <c r="M106" i="3"/>
  <c r="H102" i="3"/>
  <c r="P102" i="3" s="1"/>
  <c r="F99" i="3"/>
  <c r="E99" i="3"/>
  <c r="F98" i="3"/>
  <c r="F97" i="3"/>
  <c r="G97" i="3"/>
  <c r="M94" i="3"/>
  <c r="F86" i="3"/>
  <c r="G86" i="3"/>
  <c r="H41" i="3"/>
  <c r="E147" i="3"/>
  <c r="M147" i="3"/>
  <c r="F113" i="3"/>
  <c r="G113" i="3"/>
  <c r="H105" i="3"/>
  <c r="H93" i="3"/>
  <c r="H68" i="3"/>
  <c r="P68" i="3" s="1"/>
  <c r="E66" i="3"/>
  <c r="M66" i="3"/>
  <c r="F66" i="3"/>
  <c r="G66" i="3"/>
  <c r="L59" i="3"/>
  <c r="F132" i="3"/>
  <c r="G132" i="3"/>
  <c r="F129" i="3"/>
  <c r="G129" i="3"/>
  <c r="F120" i="3"/>
  <c r="G120" i="3"/>
  <c r="F90" i="3"/>
  <c r="H61" i="3"/>
  <c r="E133" i="3"/>
  <c r="M133" i="3"/>
  <c r="F133" i="3"/>
  <c r="F105" i="3"/>
  <c r="G105" i="3"/>
  <c r="F96" i="3"/>
  <c r="P96" i="3" s="1"/>
  <c r="G96" i="3"/>
  <c r="E90" i="3"/>
  <c r="H83" i="3"/>
  <c r="G77" i="3"/>
  <c r="E77" i="3"/>
  <c r="M77" i="3"/>
  <c r="F77" i="3"/>
  <c r="L66" i="3"/>
  <c r="E52" i="3"/>
  <c r="M52" i="3"/>
  <c r="F52" i="3"/>
  <c r="G85" i="3"/>
  <c r="E85" i="3"/>
  <c r="F85" i="3"/>
  <c r="M76" i="3"/>
  <c r="E76" i="3"/>
  <c r="F76" i="3"/>
  <c r="G60" i="3"/>
  <c r="M60" i="3"/>
  <c r="E60" i="3"/>
  <c r="E48" i="3"/>
  <c r="M48" i="3"/>
  <c r="F48" i="3"/>
  <c r="G48" i="3"/>
  <c r="H29" i="3"/>
  <c r="H46" i="3"/>
  <c r="E67" i="3"/>
  <c r="M67" i="3"/>
  <c r="F54" i="3"/>
  <c r="G54" i="3"/>
  <c r="M54" i="3"/>
  <c r="E54" i="3"/>
  <c r="E51" i="3"/>
  <c r="M51" i="3"/>
  <c r="F51" i="3"/>
  <c r="G37" i="3"/>
  <c r="E37" i="3"/>
  <c r="F37" i="3"/>
  <c r="M37" i="3"/>
  <c r="G84" i="3"/>
  <c r="E79" i="3"/>
  <c r="M79" i="3"/>
  <c r="F79" i="3"/>
  <c r="G79" i="3"/>
  <c r="L53" i="3"/>
  <c r="P26" i="3"/>
  <c r="E24" i="3"/>
  <c r="M24" i="3"/>
  <c r="F24" i="3"/>
  <c r="G24" i="3"/>
  <c r="E47" i="3"/>
  <c r="M47" i="3"/>
  <c r="F47" i="3"/>
  <c r="G47" i="3"/>
  <c r="E40" i="3"/>
  <c r="M40" i="3"/>
  <c r="F40" i="3"/>
  <c r="G40" i="3"/>
  <c r="H38" i="3"/>
  <c r="H36" i="3"/>
  <c r="F43" i="3"/>
  <c r="G43" i="3"/>
  <c r="F27" i="3"/>
  <c r="G27" i="3"/>
  <c r="H19" i="3"/>
  <c r="F70" i="3"/>
  <c r="G70" i="3"/>
  <c r="F62" i="3"/>
  <c r="G62" i="3"/>
  <c r="E62" i="3"/>
  <c r="E53" i="3"/>
  <c r="M43" i="3"/>
  <c r="M27" i="3"/>
  <c r="F14" i="3"/>
  <c r="G14" i="3"/>
  <c r="M14" i="3"/>
  <c r="E14" i="3"/>
  <c r="E13" i="3"/>
  <c r="F13" i="3"/>
  <c r="L13" i="3"/>
  <c r="M13" i="3"/>
  <c r="E87" i="3"/>
  <c r="M87" i="3"/>
  <c r="F87" i="3"/>
  <c r="M70" i="3"/>
  <c r="E44" i="3"/>
  <c r="F44" i="3"/>
  <c r="L43" i="3"/>
  <c r="E31" i="3"/>
  <c r="M31" i="3"/>
  <c r="F31" i="3"/>
  <c r="G31" i="3"/>
  <c r="E28" i="3"/>
  <c r="F28" i="3"/>
  <c r="L27" i="3"/>
  <c r="E6" i="3"/>
  <c r="L6" i="3"/>
  <c r="M6" i="3"/>
  <c r="E71" i="3"/>
  <c r="M71" i="3"/>
  <c r="F71" i="3"/>
  <c r="G71" i="3"/>
  <c r="G61" i="3"/>
  <c r="F61" i="3"/>
  <c r="M61" i="3"/>
  <c r="F30" i="3"/>
  <c r="G30" i="3"/>
  <c r="E30" i="3"/>
  <c r="M30" i="3"/>
  <c r="L29" i="3"/>
  <c r="M29" i="3"/>
  <c r="E72" i="3"/>
  <c r="M72" i="3"/>
  <c r="E64" i="3"/>
  <c r="M64" i="3"/>
  <c r="F64" i="3"/>
  <c r="G53" i="3"/>
  <c r="E39" i="3"/>
  <c r="M39" i="3"/>
  <c r="F39" i="3"/>
  <c r="G39" i="3"/>
  <c r="G13" i="3"/>
  <c r="F6" i="3"/>
  <c r="G6" i="3"/>
  <c r="G4" i="3"/>
  <c r="G93" i="3"/>
  <c r="E56" i="3"/>
  <c r="M56" i="3"/>
  <c r="F56" i="3"/>
  <c r="M53" i="3"/>
  <c r="G45" i="3"/>
  <c r="F22" i="3"/>
  <c r="G22" i="3"/>
  <c r="G20" i="3"/>
  <c r="E16" i="3"/>
  <c r="M16" i="3"/>
  <c r="F16" i="3"/>
  <c r="E8" i="3"/>
  <c r="M8" i="3"/>
  <c r="F8" i="3"/>
  <c r="G8" i="3"/>
  <c r="F4" i="3"/>
  <c r="G12" i="3"/>
  <c r="F46" i="3"/>
  <c r="G46" i="3"/>
  <c r="G29" i="3"/>
  <c r="P29" i="3" s="1"/>
  <c r="E23" i="3"/>
  <c r="M23" i="3"/>
  <c r="F23" i="3"/>
  <c r="G23" i="3"/>
  <c r="E21" i="3"/>
  <c r="M19" i="3"/>
  <c r="F11" i="3"/>
  <c r="E7" i="3"/>
  <c r="M7" i="3"/>
  <c r="F7" i="3"/>
  <c r="G7" i="3"/>
  <c r="F38" i="3"/>
  <c r="G38" i="3"/>
  <c r="E32" i="3"/>
  <c r="M32" i="3"/>
  <c r="F32" i="3"/>
  <c r="M11" i="3"/>
  <c r="G5" i="3"/>
  <c r="E15" i="3"/>
  <c r="M15" i="3"/>
  <c r="F15" i="3"/>
  <c r="G15" i="3"/>
  <c r="M57" i="3"/>
  <c r="P57" i="3" s="1"/>
  <c r="M49" i="3"/>
  <c r="M41" i="3"/>
  <c r="M33" i="3"/>
  <c r="M25" i="3"/>
  <c r="M17" i="3"/>
  <c r="M9" i="3"/>
  <c r="C956" i="4"/>
  <c r="C957" i="4"/>
  <c r="C958" i="4"/>
  <c r="C959" i="4"/>
  <c r="C960" i="4"/>
  <c r="P35" i="3" l="1"/>
  <c r="P19" i="3"/>
  <c r="P25" i="3"/>
  <c r="P34" i="3"/>
  <c r="P45" i="3"/>
  <c r="P538" i="3"/>
  <c r="P328" i="3"/>
  <c r="P365" i="3"/>
  <c r="P467" i="3"/>
  <c r="P541" i="3"/>
  <c r="H514" i="3"/>
  <c r="P514" i="3" s="1"/>
  <c r="P753" i="3"/>
  <c r="P811" i="3"/>
  <c r="P832" i="3"/>
  <c r="P921" i="3"/>
  <c r="P957" i="3"/>
  <c r="P393" i="3"/>
  <c r="P637" i="3"/>
  <c r="P567" i="3"/>
  <c r="P280" i="3"/>
  <c r="P316" i="3"/>
  <c r="P330" i="3"/>
  <c r="P626" i="3"/>
  <c r="P608" i="3"/>
  <c r="P683" i="3"/>
  <c r="P682" i="3"/>
  <c r="P984" i="3"/>
  <c r="P848" i="3"/>
  <c r="P82" i="3"/>
  <c r="P376" i="3"/>
  <c r="P202" i="3"/>
  <c r="P392" i="3"/>
  <c r="P436" i="3"/>
  <c r="P985" i="3"/>
  <c r="P287" i="3"/>
  <c r="P337" i="3"/>
  <c r="P437" i="3"/>
  <c r="P690" i="3"/>
  <c r="P757" i="3"/>
  <c r="P769" i="3"/>
  <c r="P707" i="3"/>
  <c r="P843" i="3"/>
  <c r="P33" i="3"/>
  <c r="P228" i="3"/>
  <c r="P300" i="3"/>
  <c r="P345" i="3"/>
  <c r="P394" i="3"/>
  <c r="P633" i="3"/>
  <c r="P575" i="3"/>
  <c r="P777" i="3"/>
  <c r="P851" i="3"/>
  <c r="P495" i="3"/>
  <c r="P784" i="3"/>
  <c r="P822" i="3"/>
  <c r="P50" i="3"/>
  <c r="P819" i="3"/>
  <c r="P49" i="3"/>
  <c r="P548" i="3"/>
  <c r="P641" i="3"/>
  <c r="P698" i="3"/>
  <c r="P867" i="3"/>
  <c r="P886" i="3"/>
  <c r="P923" i="3"/>
  <c r="P420" i="3"/>
  <c r="P501" i="3"/>
  <c r="P570" i="3"/>
  <c r="P584" i="3"/>
  <c r="P706" i="3"/>
  <c r="P785" i="3"/>
  <c r="P115" i="3"/>
  <c r="P413" i="3"/>
  <c r="P524" i="3"/>
  <c r="P714" i="3"/>
  <c r="P862" i="3"/>
  <c r="P983" i="3"/>
  <c r="P564" i="3"/>
  <c r="P677" i="3"/>
  <c r="P961" i="3"/>
  <c r="P945" i="3"/>
  <c r="P527" i="3"/>
  <c r="P561" i="3"/>
  <c r="P778" i="3"/>
  <c r="P43" i="3"/>
  <c r="P324" i="3"/>
  <c r="P273" i="3"/>
  <c r="P596" i="3"/>
  <c r="P657" i="3"/>
  <c r="P729" i="3"/>
  <c r="P623" i="3"/>
  <c r="P730" i="3"/>
  <c r="P749" i="3"/>
  <c r="P912" i="3"/>
  <c r="P831" i="3"/>
  <c r="P640" i="3"/>
  <c r="P36" i="3"/>
  <c r="P352" i="3"/>
  <c r="P20" i="3"/>
  <c r="P284" i="3"/>
  <c r="P277" i="3"/>
  <c r="P374" i="3"/>
  <c r="P469" i="3"/>
  <c r="P913" i="3"/>
  <c r="P968" i="3"/>
  <c r="P737" i="3"/>
  <c r="P685" i="3"/>
  <c r="P301" i="3"/>
  <c r="P236" i="3"/>
  <c r="P286" i="3"/>
  <c r="P459" i="3"/>
  <c r="P600" i="3"/>
  <c r="P680" i="3"/>
  <c r="P665" i="3"/>
  <c r="P746" i="3"/>
  <c r="P643" i="3"/>
  <c r="P928" i="3"/>
  <c r="P930" i="3"/>
  <c r="P405" i="3"/>
  <c r="P309" i="3"/>
  <c r="P588" i="3"/>
  <c r="P84" i="3"/>
  <c r="P278" i="3"/>
  <c r="P533" i="3"/>
  <c r="P823" i="3"/>
  <c r="P74" i="3"/>
  <c r="P701" i="3"/>
  <c r="P870" i="3"/>
  <c r="P813" i="3"/>
  <c r="P27" i="3"/>
  <c r="P377" i="3"/>
  <c r="P651" i="3"/>
  <c r="P723" i="3"/>
  <c r="P815" i="3"/>
  <c r="P953" i="3"/>
  <c r="H781" i="3"/>
  <c r="P781" i="3" s="1"/>
  <c r="H269" i="3"/>
  <c r="P269" i="3" s="1"/>
  <c r="P807" i="3"/>
  <c r="P847" i="3"/>
  <c r="P989" i="3"/>
  <c r="P441" i="3"/>
  <c r="P132" i="3"/>
  <c r="P86" i="3"/>
  <c r="P138" i="3"/>
  <c r="P449" i="3"/>
  <c r="P688" i="3"/>
  <c r="P666" i="3"/>
  <c r="P1000" i="3"/>
  <c r="P931" i="3"/>
  <c r="P995" i="3"/>
  <c r="P253" i="3"/>
  <c r="H196" i="3"/>
  <c r="P196" i="3"/>
  <c r="P840" i="3"/>
  <c r="P587" i="3"/>
  <c r="P673" i="3"/>
  <c r="P835" i="3"/>
  <c r="P939" i="3"/>
  <c r="P996" i="3"/>
  <c r="H81" i="3"/>
  <c r="P81" i="3"/>
  <c r="H180" i="3"/>
  <c r="P180" i="3" s="1"/>
  <c r="P145" i="3"/>
  <c r="P97" i="3"/>
  <c r="P220" i="3"/>
  <c r="P270" i="3"/>
  <c r="P360" i="3"/>
  <c r="P568" i="3"/>
  <c r="P631" i="3"/>
  <c r="P771" i="3"/>
  <c r="P824" i="3"/>
  <c r="P920" i="3"/>
  <c r="P969" i="3"/>
  <c r="P964" i="3"/>
  <c r="P997" i="3"/>
  <c r="P805" i="3"/>
  <c r="P508" i="3"/>
  <c r="P292" i="3"/>
  <c r="P638" i="3"/>
  <c r="P616" i="3"/>
  <c r="P721" i="3"/>
  <c r="P792" i="3"/>
  <c r="P929" i="3"/>
  <c r="P635" i="3"/>
  <c r="P947" i="3"/>
  <c r="P479" i="3"/>
  <c r="H602" i="3"/>
  <c r="P602" i="3" s="1"/>
  <c r="P61" i="3"/>
  <c r="P106" i="3"/>
  <c r="P103" i="3"/>
  <c r="P362" i="3"/>
  <c r="P370" i="3"/>
  <c r="P477" i="3"/>
  <c r="P675" i="3"/>
  <c r="P976" i="3"/>
  <c r="P718" i="3"/>
  <c r="P215" i="3"/>
  <c r="P188" i="3"/>
  <c r="H73" i="3"/>
  <c r="P73" i="3"/>
  <c r="H519" i="3"/>
  <c r="P519" i="3" s="1"/>
  <c r="P22" i="3"/>
  <c r="P176" i="3"/>
  <c r="P161" i="3"/>
  <c r="P169" i="3"/>
  <c r="P353" i="3"/>
  <c r="P549" i="3"/>
  <c r="P624" i="3"/>
  <c r="P648" i="3"/>
  <c r="P689" i="3"/>
  <c r="P779" i="3"/>
  <c r="P936" i="3"/>
  <c r="P977" i="3"/>
  <c r="P955" i="3"/>
  <c r="P895" i="3"/>
  <c r="P972" i="3"/>
  <c r="P659" i="3"/>
  <c r="P941" i="3"/>
  <c r="P838" i="3"/>
  <c r="P444" i="3"/>
  <c r="P560" i="3"/>
  <c r="P105" i="3"/>
  <c r="P193" i="3"/>
  <c r="P151" i="3"/>
  <c r="P46" i="3"/>
  <c r="P118" i="3"/>
  <c r="P283" i="3"/>
  <c r="P308" i="3"/>
  <c r="P366" i="3"/>
  <c r="P632" i="3"/>
  <c r="P739" i="3"/>
  <c r="P691" i="3"/>
  <c r="P875" i="3"/>
  <c r="P937" i="3"/>
  <c r="P956" i="3"/>
  <c r="P932" i="3"/>
  <c r="P973" i="3"/>
  <c r="P293" i="3"/>
  <c r="H511" i="3"/>
  <c r="P511" i="3"/>
  <c r="P656" i="3"/>
  <c r="P697" i="3"/>
  <c r="P745" i="3"/>
  <c r="P963" i="3"/>
  <c r="P93" i="3"/>
  <c r="P406" i="3"/>
  <c r="P615" i="3"/>
  <c r="P699" i="3"/>
  <c r="P742" i="3"/>
  <c r="P944" i="3"/>
  <c r="H229" i="3"/>
  <c r="P229" i="3" s="1"/>
  <c r="H221" i="3"/>
  <c r="P221" i="3" s="1"/>
  <c r="P894" i="3"/>
  <c r="P297" i="3"/>
  <c r="P199" i="3"/>
  <c r="P70" i="3"/>
  <c r="P189" i="3"/>
  <c r="P257" i="3"/>
  <c r="P447" i="3"/>
  <c r="P453" i="3"/>
  <c r="P664" i="3"/>
  <c r="P705" i="3"/>
  <c r="P577" i="3"/>
  <c r="P763" i="3"/>
  <c r="P802" i="3"/>
  <c r="P888" i="3"/>
  <c r="P715" i="3"/>
  <c r="P971" i="3"/>
  <c r="P940" i="3"/>
  <c r="P980" i="3"/>
  <c r="P949" i="3"/>
  <c r="P144" i="3"/>
  <c r="P38" i="3"/>
  <c r="P41" i="3"/>
  <c r="P113" i="3"/>
  <c r="P174" i="3"/>
  <c r="P197" i="3"/>
  <c r="P493" i="3"/>
  <c r="P540" i="3"/>
  <c r="P810" i="3"/>
  <c r="P880" i="3"/>
  <c r="P992" i="3"/>
  <c r="P981" i="3"/>
  <c r="P709" i="3"/>
  <c r="H261" i="3"/>
  <c r="P261" i="3" s="1"/>
  <c r="P205" i="3"/>
  <c r="P591" i="3"/>
  <c r="P274" i="3"/>
  <c r="P321" i="3"/>
  <c r="P440" i="3"/>
  <c r="P672" i="3"/>
  <c r="P649" i="3"/>
  <c r="P887" i="3"/>
  <c r="P952" i="3"/>
  <c r="P993" i="3"/>
  <c r="P979" i="3"/>
  <c r="P676" i="3"/>
  <c r="P245" i="3"/>
  <c r="H357" i="3"/>
  <c r="P357" i="3" s="1"/>
  <c r="P10" i="3"/>
  <c r="P3" i="3"/>
  <c r="P12" i="3"/>
  <c r="P17" i="3"/>
  <c r="P11" i="3"/>
  <c r="H9" i="3"/>
  <c r="P9" i="3" s="1"/>
  <c r="P4" i="3"/>
  <c r="H5" i="3"/>
  <c r="P5" i="3" s="1"/>
  <c r="P18" i="3"/>
  <c r="H64" i="3"/>
  <c r="P64" i="3" s="1"/>
  <c r="H187" i="3"/>
  <c r="P187" i="3"/>
  <c r="H282" i="3"/>
  <c r="P282" i="3" s="1"/>
  <c r="H232" i="3"/>
  <c r="P232" i="3" s="1"/>
  <c r="H306" i="3"/>
  <c r="P306" i="3" s="1"/>
  <c r="H531" i="3"/>
  <c r="P531" i="3" s="1"/>
  <c r="H489" i="3"/>
  <c r="P489" i="3" s="1"/>
  <c r="H786" i="3"/>
  <c r="P786" i="3" s="1"/>
  <c r="H795" i="3"/>
  <c r="P795" i="3" s="1"/>
  <c r="H884" i="3"/>
  <c r="P884" i="3" s="1"/>
  <c r="H15" i="3"/>
  <c r="P15" i="3" s="1"/>
  <c r="H37" i="3"/>
  <c r="P37" i="3" s="1"/>
  <c r="H52" i="3"/>
  <c r="P52" i="3" s="1"/>
  <c r="H133" i="3"/>
  <c r="P133" i="3" s="1"/>
  <c r="H66" i="3"/>
  <c r="P66" i="3" s="1"/>
  <c r="H94" i="3"/>
  <c r="P94" i="3" s="1"/>
  <c r="H128" i="3"/>
  <c r="P128" i="3" s="1"/>
  <c r="H162" i="3"/>
  <c r="P162" i="3" s="1"/>
  <c r="H203" i="3"/>
  <c r="P203" i="3" s="1"/>
  <c r="H63" i="3"/>
  <c r="P63" i="3" s="1"/>
  <c r="H59" i="3"/>
  <c r="P59" i="3"/>
  <c r="H124" i="3"/>
  <c r="P124" i="3" s="1"/>
  <c r="H204" i="3"/>
  <c r="P204" i="3" s="1"/>
  <c r="P134" i="3"/>
  <c r="H134" i="3"/>
  <c r="H98" i="3"/>
  <c r="P98" i="3" s="1"/>
  <c r="H192" i="3"/>
  <c r="P192" i="3" s="1"/>
  <c r="H209" i="3"/>
  <c r="P209" i="3" s="1"/>
  <c r="H251" i="3"/>
  <c r="P251" i="3" s="1"/>
  <c r="H267" i="3"/>
  <c r="P267" i="3" s="1"/>
  <c r="H241" i="3"/>
  <c r="P241" i="3" s="1"/>
  <c r="H230" i="3"/>
  <c r="P230" i="3"/>
  <c r="H247" i="3"/>
  <c r="P247" i="3" s="1"/>
  <c r="H314" i="3"/>
  <c r="P314" i="3" s="1"/>
  <c r="H335" i="3"/>
  <c r="P335" i="3" s="1"/>
  <c r="H388" i="3"/>
  <c r="P388" i="3" s="1"/>
  <c r="H295" i="3"/>
  <c r="P295" i="3" s="1"/>
  <c r="H350" i="3"/>
  <c r="P350" i="3" s="1"/>
  <c r="H396" i="3"/>
  <c r="P396" i="3"/>
  <c r="H279" i="3"/>
  <c r="P279" i="3"/>
  <c r="H340" i="3"/>
  <c r="P340" i="3" s="1"/>
  <c r="H411" i="3"/>
  <c r="P411" i="3" s="1"/>
  <c r="H443" i="3"/>
  <c r="P443" i="3" s="1"/>
  <c r="H343" i="3"/>
  <c r="P343" i="3" s="1"/>
  <c r="P468" i="3"/>
  <c r="P476" i="3"/>
  <c r="H476" i="3"/>
  <c r="H492" i="3"/>
  <c r="P492" i="3" s="1"/>
  <c r="H480" i="3"/>
  <c r="P480" i="3" s="1"/>
  <c r="H545" i="3"/>
  <c r="P545" i="3" s="1"/>
  <c r="H457" i="3"/>
  <c r="P457" i="3" s="1"/>
  <c r="H525" i="3"/>
  <c r="P525" i="3" s="1"/>
  <c r="H547" i="3"/>
  <c r="P547" i="3" s="1"/>
  <c r="H491" i="3"/>
  <c r="P491" i="3" s="1"/>
  <c r="H512" i="3"/>
  <c r="P512" i="3" s="1"/>
  <c r="H558" i="3"/>
  <c r="P558" i="3" s="1"/>
  <c r="H589" i="3"/>
  <c r="P589" i="3" s="1"/>
  <c r="H605" i="3"/>
  <c r="P605" i="3" s="1"/>
  <c r="P521" i="3"/>
  <c r="H521" i="3"/>
  <c r="H555" i="3"/>
  <c r="P555" i="3" s="1"/>
  <c r="H606" i="3"/>
  <c r="P606" i="3" s="1"/>
  <c r="H619" i="3"/>
  <c r="P619" i="3" s="1"/>
  <c r="H652" i="3"/>
  <c r="P652" i="3" s="1"/>
  <c r="H759" i="3"/>
  <c r="P759" i="3" s="1"/>
  <c r="H732" i="3"/>
  <c r="P732" i="3" s="1"/>
  <c r="H662" i="3"/>
  <c r="P662" i="3" s="1"/>
  <c r="H712" i="3"/>
  <c r="P712" i="3" s="1"/>
  <c r="H743" i="3"/>
  <c r="P743" i="3" s="1"/>
  <c r="H694" i="3"/>
  <c r="P694" i="3" s="1"/>
  <c r="H720" i="3"/>
  <c r="P720" i="3" s="1"/>
  <c r="H751" i="3"/>
  <c r="P751" i="3" s="1"/>
  <c r="H601" i="3"/>
  <c r="P601" i="3" s="1"/>
  <c r="H892" i="3"/>
  <c r="P892" i="3" s="1"/>
  <c r="H865" i="3"/>
  <c r="P865" i="3" s="1"/>
  <c r="H901" i="3"/>
  <c r="P901" i="3" s="1"/>
  <c r="P877" i="3"/>
  <c r="H877" i="3"/>
  <c r="H849" i="3"/>
  <c r="P849" i="3" s="1"/>
  <c r="H876" i="3"/>
  <c r="P876" i="3" s="1"/>
  <c r="H829" i="3"/>
  <c r="P829" i="3" s="1"/>
  <c r="H869" i="3"/>
  <c r="P869" i="3" s="1"/>
  <c r="H809" i="3"/>
  <c r="P809" i="3" s="1"/>
  <c r="H92" i="3"/>
  <c r="P92" i="3"/>
  <c r="H617" i="3"/>
  <c r="P617" i="3" s="1"/>
  <c r="H593" i="3"/>
  <c r="P593" i="3" s="1"/>
  <c r="H630" i="3"/>
  <c r="P630" i="3" s="1"/>
  <c r="H678" i="3"/>
  <c r="P678" i="3" s="1"/>
  <c r="H736" i="3"/>
  <c r="P736" i="3" s="1"/>
  <c r="H16" i="3"/>
  <c r="P16" i="3" s="1"/>
  <c r="H90" i="3"/>
  <c r="P90" i="3" s="1"/>
  <c r="H88" i="3"/>
  <c r="P88" i="3" s="1"/>
  <c r="H256" i="3"/>
  <c r="P256" i="3" s="1"/>
  <c r="P171" i="3"/>
  <c r="H171" i="3"/>
  <c r="H238" i="3"/>
  <c r="P238" i="3" s="1"/>
  <c r="H356" i="3"/>
  <c r="P356" i="3"/>
  <c r="H379" i="3"/>
  <c r="P379" i="3" s="1"/>
  <c r="H412" i="3"/>
  <c r="P412" i="3" s="1"/>
  <c r="H299" i="3"/>
  <c r="P299" i="3" s="1"/>
  <c r="H311" i="3"/>
  <c r="P311" i="3" s="1"/>
  <c r="H403" i="3"/>
  <c r="P403" i="3" s="1"/>
  <c r="H382" i="3"/>
  <c r="P382" i="3" s="1"/>
  <c r="H442" i="3"/>
  <c r="P442" i="3" s="1"/>
  <c r="H339" i="3"/>
  <c r="P339" i="3" s="1"/>
  <c r="H419" i="3"/>
  <c r="P419" i="3" s="1"/>
  <c r="H332" i="3"/>
  <c r="P332" i="3" s="1"/>
  <c r="H486" i="3"/>
  <c r="P486" i="3" s="1"/>
  <c r="H590" i="3"/>
  <c r="P590" i="3" s="1"/>
  <c r="H386" i="3"/>
  <c r="P386" i="3" s="1"/>
  <c r="H504" i="3"/>
  <c r="P504" i="3" s="1"/>
  <c r="H505" i="3"/>
  <c r="P505" i="3" s="1"/>
  <c r="H423" i="3"/>
  <c r="P423" i="3" s="1"/>
  <c r="H464" i="3"/>
  <c r="P464" i="3" s="1"/>
  <c r="H517" i="3"/>
  <c r="P517" i="3" s="1"/>
  <c r="H595" i="3"/>
  <c r="P595" i="3" s="1"/>
  <c r="H563" i="3"/>
  <c r="P563" i="3" s="1"/>
  <c r="H603" i="3"/>
  <c r="P603" i="3" s="1"/>
  <c r="H556" i="3"/>
  <c r="P556" i="3" s="1"/>
  <c r="P620" i="3"/>
  <c r="H620" i="3"/>
  <c r="H747" i="3"/>
  <c r="P747" i="3" s="1"/>
  <c r="H663" i="3"/>
  <c r="P663" i="3" s="1"/>
  <c r="H755" i="3"/>
  <c r="P755" i="3" s="1"/>
  <c r="H789" i="3"/>
  <c r="P789" i="3" s="1"/>
  <c r="H858" i="3"/>
  <c r="P858" i="3" s="1"/>
  <c r="H775" i="3"/>
  <c r="P775" i="3" s="1"/>
  <c r="H842" i="3"/>
  <c r="P842" i="3" s="1"/>
  <c r="H855" i="3"/>
  <c r="P855" i="3" s="1"/>
  <c r="H735" i="3"/>
  <c r="P735" i="3"/>
  <c r="H857" i="3"/>
  <c r="P857" i="3" s="1"/>
  <c r="H841" i="3"/>
  <c r="P841" i="3" s="1"/>
  <c r="H21" i="3"/>
  <c r="P21" i="3" s="1"/>
  <c r="H129" i="3"/>
  <c r="P129" i="3" s="1"/>
  <c r="H122" i="3"/>
  <c r="P122" i="3" s="1"/>
  <c r="H158" i="3"/>
  <c r="P158" i="3" s="1"/>
  <c r="H255" i="3"/>
  <c r="P255" i="3" s="1"/>
  <c r="H310" i="3"/>
  <c r="P310" i="3" s="1"/>
  <c r="H502" i="3"/>
  <c r="P502" i="3" s="1"/>
  <c r="H87" i="3"/>
  <c r="P87" i="3" s="1"/>
  <c r="H40" i="3"/>
  <c r="P40" i="3" s="1"/>
  <c r="H104" i="3"/>
  <c r="P104" i="3" s="1"/>
  <c r="H167" i="3"/>
  <c r="P167" i="3" s="1"/>
  <c r="H110" i="3"/>
  <c r="P110" i="3" s="1"/>
  <c r="H100" i="3"/>
  <c r="P100" i="3" s="1"/>
  <c r="H141" i="3"/>
  <c r="P141" i="3" s="1"/>
  <c r="H139" i="3"/>
  <c r="P139" i="3" s="1"/>
  <c r="H160" i="3"/>
  <c r="P160" i="3" s="1"/>
  <c r="H185" i="3"/>
  <c r="P185" i="3" s="1"/>
  <c r="H214" i="3"/>
  <c r="P214" i="3" s="1"/>
  <c r="P227" i="3"/>
  <c r="H227" i="3"/>
  <c r="H233" i="3"/>
  <c r="P233" i="3" s="1"/>
  <c r="H218" i="3"/>
  <c r="P218" i="3" s="1"/>
  <c r="H234" i="3"/>
  <c r="P234" i="3" s="1"/>
  <c r="H307" i="3"/>
  <c r="P307" i="3" s="1"/>
  <c r="H319" i="3"/>
  <c r="P319" i="3" s="1"/>
  <c r="P338" i="3"/>
  <c r="H367" i="3"/>
  <c r="P367" i="3" s="1"/>
  <c r="H323" i="3"/>
  <c r="P323" i="3" s="1"/>
  <c r="H225" i="3"/>
  <c r="P225" i="3"/>
  <c r="H322" i="3"/>
  <c r="P322" i="3" s="1"/>
  <c r="H355" i="3"/>
  <c r="P355" i="3" s="1"/>
  <c r="H298" i="3"/>
  <c r="P298" i="3" s="1"/>
  <c r="H342" i="3"/>
  <c r="P342" i="3" s="1"/>
  <c r="H372" i="3"/>
  <c r="P372" i="3" s="1"/>
  <c r="H431" i="3"/>
  <c r="P431" i="3" s="1"/>
  <c r="P450" i="3"/>
  <c r="H408" i="3"/>
  <c r="P408" i="3" s="1"/>
  <c r="H418" i="3"/>
  <c r="P418" i="3" s="1"/>
  <c r="H536" i="3"/>
  <c r="P536" i="3" s="1"/>
  <c r="H513" i="3"/>
  <c r="P513" i="3" s="1"/>
  <c r="H422" i="3"/>
  <c r="P422" i="3" s="1"/>
  <c r="H481" i="3"/>
  <c r="P481" i="3" s="1"/>
  <c r="H534" i="3"/>
  <c r="P534" i="3" s="1"/>
  <c r="H475" i="3"/>
  <c r="P475" i="3" s="1"/>
  <c r="H562" i="3"/>
  <c r="P562" i="3" s="1"/>
  <c r="P582" i="3"/>
  <c r="H582" i="3"/>
  <c r="H625" i="3"/>
  <c r="P625" i="3" s="1"/>
  <c r="H585" i="3"/>
  <c r="P585" i="3" s="1"/>
  <c r="H622" i="3"/>
  <c r="P622" i="3" s="1"/>
  <c r="H636" i="3"/>
  <c r="P636" i="3" s="1"/>
  <c r="H728" i="3"/>
  <c r="P728" i="3" s="1"/>
  <c r="H772" i="3"/>
  <c r="P772" i="3" s="1"/>
  <c r="H750" i="3"/>
  <c r="P750" i="3" s="1"/>
  <c r="H716" i="3"/>
  <c r="P716" i="3" s="1"/>
  <c r="H727" i="3"/>
  <c r="P727" i="3" s="1"/>
  <c r="H670" i="3"/>
  <c r="P670" i="3"/>
  <c r="H700" i="3"/>
  <c r="P700" i="3" s="1"/>
  <c r="H758" i="3"/>
  <c r="P758" i="3" s="1"/>
  <c r="H790" i="3"/>
  <c r="P790" i="3" s="1"/>
  <c r="H724" i="3"/>
  <c r="P724" i="3" s="1"/>
  <c r="H816" i="3"/>
  <c r="P816" i="3" s="1"/>
  <c r="H917" i="3"/>
  <c r="P917" i="3" s="1"/>
  <c r="H820" i="3"/>
  <c r="P820" i="3" s="1"/>
  <c r="H671" i="3"/>
  <c r="P671" i="3" s="1"/>
  <c r="H860" i="3"/>
  <c r="P860" i="3" s="1"/>
  <c r="P828" i="3"/>
  <c r="H828" i="3"/>
  <c r="H850" i="3"/>
  <c r="P850" i="3" s="1"/>
  <c r="H906" i="3"/>
  <c r="P906" i="3" s="1"/>
  <c r="H922" i="3"/>
  <c r="P922" i="3" s="1"/>
  <c r="H766" i="3"/>
  <c r="P766" i="3" s="1"/>
  <c r="H942" i="3"/>
  <c r="P942" i="3" s="1"/>
  <c r="H958" i="3"/>
  <c r="P958" i="3"/>
  <c r="H974" i="3"/>
  <c r="P974" i="3" s="1"/>
  <c r="H990" i="3"/>
  <c r="P990" i="3" s="1"/>
  <c r="P146" i="3"/>
  <c r="H146" i="3"/>
  <c r="H195" i="3"/>
  <c r="P195" i="3" s="1"/>
  <c r="H235" i="3"/>
  <c r="P235" i="3" s="1"/>
  <c r="H254" i="3"/>
  <c r="P254" i="3" s="1"/>
  <c r="H313" i="3"/>
  <c r="P313" i="3" s="1"/>
  <c r="H430" i="3"/>
  <c r="P430" i="3" s="1"/>
  <c r="H385" i="3"/>
  <c r="P385" i="3" s="1"/>
  <c r="H473" i="3"/>
  <c r="P473" i="3" s="1"/>
  <c r="H597" i="3"/>
  <c r="P597" i="3" s="1"/>
  <c r="H821" i="3"/>
  <c r="P821" i="3" s="1"/>
  <c r="H647" i="3"/>
  <c r="P647" i="3" s="1"/>
  <c r="H704" i="3"/>
  <c r="P704" i="3" s="1"/>
  <c r="P56" i="3"/>
  <c r="H56" i="3"/>
  <c r="H140" i="3"/>
  <c r="P140" i="3" s="1"/>
  <c r="H31" i="3"/>
  <c r="P31" i="3" s="1"/>
  <c r="H67" i="3"/>
  <c r="P67" i="3" s="1"/>
  <c r="H80" i="3"/>
  <c r="P80" i="3" s="1"/>
  <c r="H116" i="3"/>
  <c r="P116" i="3" s="1"/>
  <c r="H217" i="3"/>
  <c r="P217" i="3" s="1"/>
  <c r="H23" i="3"/>
  <c r="P23" i="3" s="1"/>
  <c r="H39" i="3"/>
  <c r="P39" i="3" s="1"/>
  <c r="H6" i="3"/>
  <c r="P6" i="3" s="1"/>
  <c r="H24" i="3"/>
  <c r="P24" i="3" s="1"/>
  <c r="H60" i="3"/>
  <c r="P60" i="3" s="1"/>
  <c r="H99" i="3"/>
  <c r="P99" i="3" s="1"/>
  <c r="H170" i="3"/>
  <c r="P170" i="3" s="1"/>
  <c r="H178" i="3"/>
  <c r="P178" i="3" s="1"/>
  <c r="H137" i="3"/>
  <c r="P137" i="3" s="1"/>
  <c r="H224" i="3"/>
  <c r="P224" i="3" s="1"/>
  <c r="H222" i="3"/>
  <c r="P222" i="3" s="1"/>
  <c r="H264" i="3"/>
  <c r="P264" i="3" s="1"/>
  <c r="H213" i="3"/>
  <c r="P213" i="3" s="1"/>
  <c r="H272" i="3"/>
  <c r="P272" i="3" s="1"/>
  <c r="H242" i="3"/>
  <c r="P242" i="3" s="1"/>
  <c r="H302" i="3"/>
  <c r="P302" i="3" s="1"/>
  <c r="P359" i="3"/>
  <c r="H359" i="3"/>
  <c r="H91" i="3"/>
  <c r="P91" i="3" s="1"/>
  <c r="H380" i="3"/>
  <c r="P380" i="3" s="1"/>
  <c r="H415" i="3"/>
  <c r="P415" i="3" s="1"/>
  <c r="P223" i="3"/>
  <c r="H223" i="3"/>
  <c r="H331" i="3"/>
  <c r="P331" i="3" s="1"/>
  <c r="H391" i="3"/>
  <c r="P391" i="3" s="1"/>
  <c r="H454" i="3"/>
  <c r="P454" i="3" s="1"/>
  <c r="H470" i="3"/>
  <c r="P470" i="3" s="1"/>
  <c r="H439" i="3"/>
  <c r="P439" i="3" s="1"/>
  <c r="H465" i="3"/>
  <c r="P465" i="3" s="1"/>
  <c r="H581" i="3"/>
  <c r="P581" i="3" s="1"/>
  <c r="H456" i="3"/>
  <c r="P456" i="3" s="1"/>
  <c r="H488" i="3"/>
  <c r="P488" i="3" s="1"/>
  <c r="H523" i="3"/>
  <c r="P523" i="3"/>
  <c r="H472" i="3"/>
  <c r="P472" i="3" s="1"/>
  <c r="H445" i="3"/>
  <c r="P445" i="3" s="1"/>
  <c r="H499" i="3"/>
  <c r="P499" i="3" s="1"/>
  <c r="H569" i="3"/>
  <c r="P569" i="3" s="1"/>
  <c r="H565" i="3"/>
  <c r="P565" i="3" s="1"/>
  <c r="H578" i="3"/>
  <c r="P578" i="3" s="1"/>
  <c r="H607" i="3"/>
  <c r="P607" i="3" s="1"/>
  <c r="H526" i="3"/>
  <c r="P526" i="3" s="1"/>
  <c r="H598" i="3"/>
  <c r="P598" i="3" s="1"/>
  <c r="H611" i="3"/>
  <c r="P611" i="3" s="1"/>
  <c r="H660" i="3"/>
  <c r="P660" i="3" s="1"/>
  <c r="H695" i="3"/>
  <c r="P695" i="3" s="1"/>
  <c r="H655" i="3"/>
  <c r="P655" i="3" s="1"/>
  <c r="H776" i="3"/>
  <c r="P776" i="3" s="1"/>
  <c r="H639" i="3"/>
  <c r="P639" i="3" s="1"/>
  <c r="H780" i="3"/>
  <c r="P780" i="3" s="1"/>
  <c r="H799" i="3"/>
  <c r="P799" i="3" s="1"/>
  <c r="H646" i="3"/>
  <c r="P646" i="3" s="1"/>
  <c r="H696" i="3"/>
  <c r="P696" i="3" s="1"/>
  <c r="H734" i="3"/>
  <c r="P734" i="3" s="1"/>
  <c r="H760" i="3"/>
  <c r="P760" i="3" s="1"/>
  <c r="H852" i="3"/>
  <c r="P852" i="3" s="1"/>
  <c r="H904" i="3"/>
  <c r="P904" i="3" s="1"/>
  <c r="H654" i="3"/>
  <c r="P654" i="3"/>
  <c r="H794" i="3"/>
  <c r="P794" i="3" s="1"/>
  <c r="P861" i="3"/>
  <c r="H861" i="3"/>
  <c r="H881" i="3"/>
  <c r="P881" i="3" s="1"/>
  <c r="H768" i="3"/>
  <c r="P768" i="3" s="1"/>
  <c r="P845" i="3"/>
  <c r="H845" i="3"/>
  <c r="H889" i="3"/>
  <c r="P889" i="3" s="1"/>
  <c r="H864" i="3"/>
  <c r="P864" i="3" s="1"/>
  <c r="H890" i="3"/>
  <c r="P890" i="3" s="1"/>
  <c r="H76" i="3"/>
  <c r="P76" i="3" s="1"/>
  <c r="H462" i="3"/>
  <c r="P462" i="3" s="1"/>
  <c r="H383" i="3"/>
  <c r="P383" i="3" s="1"/>
  <c r="H566" i="3"/>
  <c r="P566" i="3" s="1"/>
  <c r="H752" i="3"/>
  <c r="P752" i="3" s="1"/>
  <c r="H744" i="3"/>
  <c r="P744" i="3" s="1"/>
  <c r="H72" i="3"/>
  <c r="P72" i="3" s="1"/>
  <c r="H163" i="3"/>
  <c r="P163" i="3" s="1"/>
  <c r="H150" i="3"/>
  <c r="P150" i="3" s="1"/>
  <c r="H48" i="3"/>
  <c r="P48" i="3" s="1"/>
  <c r="H155" i="3"/>
  <c r="P155" i="3" s="1"/>
  <c r="H53" i="3"/>
  <c r="P53" i="3" s="1"/>
  <c r="H79" i="3"/>
  <c r="P79" i="3" s="1"/>
  <c r="H51" i="3"/>
  <c r="P51" i="3" s="1"/>
  <c r="H136" i="3"/>
  <c r="P136" i="3" s="1"/>
  <c r="H154" i="3"/>
  <c r="P154" i="3" s="1"/>
  <c r="H179" i="3"/>
  <c r="P179" i="3" s="1"/>
  <c r="H211" i="3"/>
  <c r="P211" i="3" s="1"/>
  <c r="H125" i="3"/>
  <c r="P125" i="3" s="1"/>
  <c r="H55" i="3"/>
  <c r="P55" i="3" s="1"/>
  <c r="H127" i="3"/>
  <c r="P127" i="3" s="1"/>
  <c r="H168" i="3"/>
  <c r="P168" i="3" s="1"/>
  <c r="H131" i="3"/>
  <c r="P131" i="3" s="1"/>
  <c r="H157" i="3"/>
  <c r="P157" i="3"/>
  <c r="H181" i="3"/>
  <c r="P181" i="3" s="1"/>
  <c r="H143" i="3"/>
  <c r="P143" i="3" s="1"/>
  <c r="H243" i="3"/>
  <c r="P243" i="3" s="1"/>
  <c r="H259" i="3"/>
  <c r="P259" i="3" s="1"/>
  <c r="H275" i="3"/>
  <c r="P275" i="3" s="1"/>
  <c r="H240" i="3"/>
  <c r="P240" i="3" s="1"/>
  <c r="H281" i="3"/>
  <c r="P281" i="3" s="1"/>
  <c r="H250" i="3"/>
  <c r="P250" i="3" s="1"/>
  <c r="H291" i="3"/>
  <c r="P291" i="3" s="1"/>
  <c r="H363" i="3"/>
  <c r="P363" i="3" s="1"/>
  <c r="H402" i="3"/>
  <c r="P402" i="3" s="1"/>
  <c r="H375" i="3"/>
  <c r="P375" i="3" s="1"/>
  <c r="H318" i="3"/>
  <c r="P318" i="3" s="1"/>
  <c r="H315" i="3"/>
  <c r="P315" i="3" s="1"/>
  <c r="H327" i="3"/>
  <c r="P327" i="3" s="1"/>
  <c r="H246" i="3"/>
  <c r="P246" i="3" s="1"/>
  <c r="H303" i="3"/>
  <c r="P303" i="3" s="1"/>
  <c r="H351" i="3"/>
  <c r="P351" i="3" s="1"/>
  <c r="H426" i="3"/>
  <c r="P426" i="3" s="1"/>
  <c r="H421" i="3"/>
  <c r="P421" i="3" s="1"/>
  <c r="H451" i="3"/>
  <c r="P451" i="3" s="1"/>
  <c r="H414" i="3"/>
  <c r="P414" i="3" s="1"/>
  <c r="H346" i="3"/>
  <c r="P346" i="3" s="1"/>
  <c r="H387" i="3"/>
  <c r="P387" i="3"/>
  <c r="H494" i="3"/>
  <c r="P494" i="3" s="1"/>
  <c r="H484" i="3"/>
  <c r="P484" i="3" s="1"/>
  <c r="H500" i="3"/>
  <c r="P500" i="3" s="1"/>
  <c r="H542" i="3"/>
  <c r="P542" i="3" s="1"/>
  <c r="H515" i="3"/>
  <c r="P515" i="3" s="1"/>
  <c r="H497" i="3"/>
  <c r="P497" i="3" s="1"/>
  <c r="H553" i="3"/>
  <c r="P553" i="3" s="1"/>
  <c r="H544" i="3"/>
  <c r="P544" i="3" s="1"/>
  <c r="H609" i="3"/>
  <c r="P609" i="3" s="1"/>
  <c r="H572" i="3"/>
  <c r="P572" i="3" s="1"/>
  <c r="H516" i="3"/>
  <c r="P516" i="3" s="1"/>
  <c r="H612" i="3"/>
  <c r="P612" i="3" s="1"/>
  <c r="H756" i="3"/>
  <c r="P756" i="3" s="1"/>
  <c r="H764" i="3"/>
  <c r="P764" i="3" s="1"/>
  <c r="H797" i="3"/>
  <c r="P797" i="3" s="1"/>
  <c r="H825" i="3"/>
  <c r="P825" i="3" s="1"/>
  <c r="H905" i="3"/>
  <c r="P905" i="3" s="1"/>
  <c r="H782" i="3"/>
  <c r="P782" i="3" s="1"/>
  <c r="H882" i="3"/>
  <c r="P882" i="3" s="1"/>
  <c r="H702" i="3"/>
  <c r="P702" i="3"/>
  <c r="H868" i="3"/>
  <c r="P868" i="3" s="1"/>
  <c r="H853" i="3"/>
  <c r="P853" i="3" s="1"/>
  <c r="H184" i="3"/>
  <c r="P184" i="3" s="1"/>
  <c r="H424" i="3"/>
  <c r="P424" i="3"/>
  <c r="H446" i="3"/>
  <c r="P446" i="3" s="1"/>
  <c r="H573" i="3"/>
  <c r="P573" i="3" s="1"/>
  <c r="H592" i="3"/>
  <c r="P592" i="3" s="1"/>
  <c r="H130" i="3"/>
  <c r="P130" i="3" s="1"/>
  <c r="H175" i="3"/>
  <c r="P175" i="3" s="1"/>
  <c r="H85" i="3"/>
  <c r="P85" i="3" s="1"/>
  <c r="P78" i="3"/>
  <c r="H78" i="3"/>
  <c r="H30" i="3"/>
  <c r="P30" i="3" s="1"/>
  <c r="H32" i="3"/>
  <c r="P32" i="3" s="1"/>
  <c r="H44" i="3"/>
  <c r="P44" i="3" s="1"/>
  <c r="H13" i="3"/>
  <c r="P13" i="3" s="1"/>
  <c r="H62" i="3"/>
  <c r="P62" i="3"/>
  <c r="H47" i="3"/>
  <c r="P47" i="3" s="1"/>
  <c r="H54" i="3"/>
  <c r="P54" i="3" s="1"/>
  <c r="H77" i="3"/>
  <c r="P77" i="3" s="1"/>
  <c r="H121" i="3"/>
  <c r="P121" i="3" s="1"/>
  <c r="P153" i="3"/>
  <c r="H152" i="3"/>
  <c r="P152" i="3" s="1"/>
  <c r="H182" i="3"/>
  <c r="P182" i="3" s="1"/>
  <c r="H186" i="3"/>
  <c r="P186" i="3" s="1"/>
  <c r="H177" i="3"/>
  <c r="P177" i="3" s="1"/>
  <c r="H142" i="3"/>
  <c r="P142" i="3"/>
  <c r="H194" i="3"/>
  <c r="P194" i="3" s="1"/>
  <c r="H219" i="3"/>
  <c r="P219" i="3" s="1"/>
  <c r="H248" i="3"/>
  <c r="P248" i="3" s="1"/>
  <c r="H226" i="3"/>
  <c r="P226" i="3" s="1"/>
  <c r="H326" i="3"/>
  <c r="P326" i="3" s="1"/>
  <c r="H371" i="3"/>
  <c r="P371" i="3" s="1"/>
  <c r="H271" i="3"/>
  <c r="P271" i="3" s="1"/>
  <c r="H347" i="3"/>
  <c r="P347" i="3" s="1"/>
  <c r="H404" i="3"/>
  <c r="P404" i="3"/>
  <c r="H231" i="3"/>
  <c r="P231" i="3" s="1"/>
  <c r="H348" i="3"/>
  <c r="P348" i="3" s="1"/>
  <c r="H364" i="3"/>
  <c r="P364" i="3" s="1"/>
  <c r="H407" i="3"/>
  <c r="P407" i="3"/>
  <c r="H378" i="3"/>
  <c r="P378" i="3" s="1"/>
  <c r="H361" i="3"/>
  <c r="P361" i="3" s="1"/>
  <c r="H425" i="3"/>
  <c r="P425" i="3" s="1"/>
  <c r="P460" i="3"/>
  <c r="H427" i="3"/>
  <c r="P427" i="3" s="1"/>
  <c r="H509" i="3"/>
  <c r="P509" i="3" s="1"/>
  <c r="H448" i="3"/>
  <c r="P448" i="3" s="1"/>
  <c r="H557" i="3"/>
  <c r="P557" i="3" s="1"/>
  <c r="H537" i="3"/>
  <c r="P537" i="3" s="1"/>
  <c r="H550" i="3"/>
  <c r="P550" i="3" s="1"/>
  <c r="H438" i="3"/>
  <c r="P438" i="3" s="1"/>
  <c r="H483" i="3"/>
  <c r="P483" i="3" s="1"/>
  <c r="H507" i="3"/>
  <c r="P507" i="3" s="1"/>
  <c r="H579" i="3"/>
  <c r="P579" i="3" s="1"/>
  <c r="H580" i="3"/>
  <c r="P580" i="3" s="1"/>
  <c r="H576" i="3"/>
  <c r="P576" i="3" s="1"/>
  <c r="H586" i="3"/>
  <c r="P586" i="3" s="1"/>
  <c r="H614" i="3"/>
  <c r="P614" i="3"/>
  <c r="H627" i="3"/>
  <c r="P627" i="3" s="1"/>
  <c r="H644" i="3"/>
  <c r="P644" i="3" s="1"/>
  <c r="H692" i="3"/>
  <c r="P692" i="3" s="1"/>
  <c r="H708" i="3"/>
  <c r="P708" i="3"/>
  <c r="H719" i="3"/>
  <c r="P719" i="3" s="1"/>
  <c r="P703" i="3"/>
  <c r="H703" i="3"/>
  <c r="H740" i="3"/>
  <c r="P740" i="3" s="1"/>
  <c r="H798" i="3"/>
  <c r="P798" i="3" s="1"/>
  <c r="H818" i="3"/>
  <c r="P818" i="3" s="1"/>
  <c r="H748" i="3"/>
  <c r="P748" i="3" s="1"/>
  <c r="H836" i="3"/>
  <c r="P836" i="3" s="1"/>
  <c r="H874" i="3"/>
  <c r="P874" i="3" s="1"/>
  <c r="H826" i="3"/>
  <c r="P826" i="3" s="1"/>
  <c r="H808" i="3"/>
  <c r="P808" i="3" s="1"/>
  <c r="H833" i="3"/>
  <c r="P833" i="3" s="1"/>
  <c r="H873" i="3"/>
  <c r="P873" i="3"/>
  <c r="H893" i="3"/>
  <c r="P893" i="3" s="1"/>
  <c r="H711" i="3"/>
  <c r="P711" i="3" s="1"/>
  <c r="H898" i="3"/>
  <c r="P898" i="3" s="1"/>
  <c r="H216" i="3"/>
  <c r="P216" i="3"/>
  <c r="H510" i="3"/>
  <c r="P510" i="3" s="1"/>
  <c r="H520" i="3"/>
  <c r="P520" i="3" s="1"/>
  <c r="H574" i="3"/>
  <c r="P574" i="3" s="1"/>
  <c r="H791" i="3"/>
  <c r="P791" i="3" s="1"/>
  <c r="H149" i="3"/>
  <c r="P149" i="3" s="1"/>
  <c r="H107" i="3"/>
  <c r="P107" i="3" s="1"/>
  <c r="H147" i="3"/>
  <c r="P147" i="3" s="1"/>
  <c r="H7" i="3"/>
  <c r="P7" i="3" s="1"/>
  <c r="H8" i="3"/>
  <c r="P8" i="3" s="1"/>
  <c r="H71" i="3"/>
  <c r="P71" i="3" s="1"/>
  <c r="H28" i="3"/>
  <c r="P28" i="3" s="1"/>
  <c r="H14" i="3"/>
  <c r="P14" i="3" s="1"/>
  <c r="P120" i="3"/>
  <c r="H120" i="3"/>
  <c r="H108" i="3"/>
  <c r="P108" i="3" s="1"/>
  <c r="H69" i="3"/>
  <c r="P69" i="3" s="1"/>
  <c r="H112" i="3"/>
  <c r="P112" i="3" s="1"/>
  <c r="P266" i="3"/>
  <c r="H239" i="3"/>
  <c r="P239" i="3" s="1"/>
  <c r="H354" i="3"/>
  <c r="P354" i="3"/>
  <c r="H410" i="3"/>
  <c r="P410" i="3" s="1"/>
  <c r="H263" i="3"/>
  <c r="P263" i="3" s="1"/>
  <c r="H212" i="3"/>
  <c r="P212" i="3" s="1"/>
  <c r="H249" i="3"/>
  <c r="P249" i="3" s="1"/>
  <c r="H334" i="3"/>
  <c r="P334" i="3"/>
  <c r="H290" i="3"/>
  <c r="P290" i="3" s="1"/>
  <c r="H399" i="3"/>
  <c r="P399" i="3" s="1"/>
  <c r="H95" i="3"/>
  <c r="P95" i="3"/>
  <c r="H435" i="3"/>
  <c r="P435" i="3" s="1"/>
  <c r="H434" i="3"/>
  <c r="P434" i="3" s="1"/>
  <c r="H429" i="3"/>
  <c r="P429" i="3"/>
  <c r="H358" i="3"/>
  <c r="P358" i="3" s="1"/>
  <c r="H395" i="3"/>
  <c r="P395" i="3" s="1"/>
  <c r="H416" i="3"/>
  <c r="P416" i="3" s="1"/>
  <c r="H368" i="3"/>
  <c r="P368" i="3" s="1"/>
  <c r="H478" i="3"/>
  <c r="P478" i="3" s="1"/>
  <c r="H518" i="3"/>
  <c r="P518" i="3" s="1"/>
  <c r="H400" i="3"/>
  <c r="P400" i="3" s="1"/>
  <c r="H496" i="3"/>
  <c r="P496" i="3" s="1"/>
  <c r="H528" i="3"/>
  <c r="P528" i="3" s="1"/>
  <c r="H305" i="3"/>
  <c r="P305" i="3" s="1"/>
  <c r="H554" i="3"/>
  <c r="P554" i="3" s="1"/>
  <c r="H529" i="3"/>
  <c r="P529" i="3"/>
  <c r="H539" i="3"/>
  <c r="P539" i="3" s="1"/>
  <c r="H628" i="3"/>
  <c r="P628" i="3" s="1"/>
  <c r="H668" i="3"/>
  <c r="P668" i="3" s="1"/>
  <c r="H726" i="3"/>
  <c r="P726" i="3" s="1"/>
  <c r="H679" i="3"/>
  <c r="P679" i="3" s="1"/>
  <c r="H686" i="3"/>
  <c r="P686" i="3"/>
  <c r="H767" i="3"/>
  <c r="P767" i="3" s="1"/>
  <c r="H783" i="3"/>
  <c r="P783" i="3" s="1"/>
  <c r="H687" i="3"/>
  <c r="P687" i="3" s="1"/>
  <c r="H856" i="3"/>
  <c r="P856" i="3"/>
  <c r="H909" i="3"/>
  <c r="P909" i="3" s="1"/>
  <c r="H925" i="3"/>
  <c r="P925" i="3" s="1"/>
  <c r="H837" i="3"/>
  <c r="P837" i="3" s="1"/>
  <c r="H885" i="3"/>
  <c r="P885" i="3" s="1"/>
  <c r="H787" i="3"/>
  <c r="P787" i="3" s="1"/>
  <c r="H839" i="3"/>
  <c r="P839" i="3"/>
  <c r="H866" i="3"/>
  <c r="P866" i="3" s="1"/>
  <c r="H879" i="3"/>
  <c r="P879" i="3"/>
  <c r="H817" i="3"/>
  <c r="P817" i="3" s="1"/>
  <c r="H844" i="3"/>
  <c r="P844" i="3" s="1"/>
  <c r="H914" i="3"/>
  <c r="P914" i="3"/>
  <c r="H834" i="3"/>
  <c r="P834" i="3"/>
  <c r="H934" i="3"/>
  <c r="P934" i="3" s="1"/>
  <c r="H950" i="3"/>
  <c r="P950" i="3"/>
  <c r="H966" i="3"/>
  <c r="P966" i="3"/>
  <c r="H982" i="3"/>
  <c r="P982" i="3" s="1"/>
  <c r="H998" i="3"/>
  <c r="P998" i="3" s="1"/>
  <c r="C954" i="4"/>
  <c r="C955" i="4"/>
  <c r="BC3" i="4" l="1"/>
  <c r="BC4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23" i="4"/>
  <c r="BC24" i="4"/>
  <c r="BC25" i="4"/>
  <c r="BC26" i="4"/>
  <c r="BC27" i="4"/>
  <c r="BC28" i="4"/>
  <c r="BC29" i="4"/>
  <c r="BC30" i="4"/>
  <c r="BC31" i="4"/>
  <c r="BC32" i="4"/>
  <c r="BC33" i="4"/>
  <c r="BC34" i="4"/>
  <c r="BC35" i="4"/>
  <c r="BC36" i="4"/>
  <c r="BC37" i="4"/>
  <c r="BC38" i="4"/>
  <c r="BC39" i="4"/>
  <c r="BC40" i="4"/>
  <c r="BC41" i="4"/>
  <c r="BC42" i="4"/>
  <c r="BC43" i="4"/>
  <c r="BC44" i="4"/>
  <c r="BC45" i="4"/>
  <c r="BC46" i="4"/>
  <c r="BC2" i="4"/>
  <c r="C902" i="4" l="1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AO189" i="4" l="1"/>
  <c r="AL189" i="4"/>
  <c r="T2" i="3"/>
  <c r="AD2" i="3" s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AP189" i="4" l="1"/>
  <c r="AW3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245" i="4"/>
  <c r="AW246" i="4"/>
  <c r="AW247" i="4"/>
  <c r="AW248" i="4"/>
  <c r="AW249" i="4"/>
  <c r="AW250" i="4"/>
  <c r="AW251" i="4"/>
  <c r="AW252" i="4"/>
  <c r="AW253" i="4"/>
  <c r="AW254" i="4"/>
  <c r="AW255" i="4"/>
  <c r="AW256" i="4"/>
  <c r="AW257" i="4"/>
  <c r="AW258" i="4"/>
  <c r="AW259" i="4"/>
  <c r="AW260" i="4"/>
  <c r="AW261" i="4"/>
  <c r="AW262" i="4"/>
  <c r="AW263" i="4"/>
  <c r="AW264" i="4"/>
  <c r="AW265" i="4"/>
  <c r="AW266" i="4"/>
  <c r="AW267" i="4"/>
  <c r="AW268" i="4"/>
  <c r="AW269" i="4"/>
  <c r="AW270" i="4"/>
  <c r="AW271" i="4"/>
  <c r="AW272" i="4"/>
  <c r="AW273" i="4"/>
  <c r="AW274" i="4"/>
  <c r="AW275" i="4"/>
  <c r="AW276" i="4"/>
  <c r="AW277" i="4"/>
  <c r="AW278" i="4"/>
  <c r="AW279" i="4"/>
  <c r="AW280" i="4"/>
  <c r="AW281" i="4"/>
  <c r="AW282" i="4"/>
  <c r="AW283" i="4"/>
  <c r="AW284" i="4"/>
  <c r="AW285" i="4"/>
  <c r="AW286" i="4"/>
  <c r="AW287" i="4"/>
  <c r="AW288" i="4"/>
  <c r="AW289" i="4"/>
  <c r="AW290" i="4"/>
  <c r="AW291" i="4"/>
  <c r="AW292" i="4"/>
  <c r="AW293" i="4"/>
  <c r="AW294" i="4"/>
  <c r="AW295" i="4"/>
  <c r="AW296" i="4"/>
  <c r="AW297" i="4"/>
  <c r="AW298" i="4"/>
  <c r="AW299" i="4"/>
  <c r="AW300" i="4"/>
  <c r="AW301" i="4"/>
  <c r="AW302" i="4"/>
  <c r="AW303" i="4"/>
  <c r="AW304" i="4"/>
  <c r="AW305" i="4"/>
  <c r="AW306" i="4"/>
  <c r="AW307" i="4"/>
  <c r="AW308" i="4"/>
  <c r="AW309" i="4"/>
  <c r="AW310" i="4"/>
  <c r="AW311" i="4"/>
  <c r="AW312" i="4"/>
  <c r="AW313" i="4"/>
  <c r="AW314" i="4"/>
  <c r="AW315" i="4"/>
  <c r="AW316" i="4"/>
  <c r="AW317" i="4"/>
  <c r="AW318" i="4"/>
  <c r="AW319" i="4"/>
  <c r="AW320" i="4"/>
  <c r="AW321" i="4"/>
  <c r="AW322" i="4"/>
  <c r="AW323" i="4"/>
  <c r="AW324" i="4"/>
  <c r="AW325" i="4"/>
  <c r="AW326" i="4"/>
  <c r="AW327" i="4"/>
  <c r="AW328" i="4"/>
  <c r="AW329" i="4"/>
  <c r="AW330" i="4"/>
  <c r="AW331" i="4"/>
  <c r="AW332" i="4"/>
  <c r="AW333" i="4"/>
  <c r="AW334" i="4"/>
  <c r="AW335" i="4"/>
  <c r="AW336" i="4"/>
  <c r="AW337" i="4"/>
  <c r="AW338" i="4"/>
  <c r="AW339" i="4"/>
  <c r="AW340" i="4"/>
  <c r="AW341" i="4"/>
  <c r="AW342" i="4"/>
  <c r="AW343" i="4"/>
  <c r="AW344" i="4"/>
  <c r="AW345" i="4"/>
  <c r="AW346" i="4"/>
  <c r="AW347" i="4"/>
  <c r="AW348" i="4"/>
  <c r="AW349" i="4"/>
  <c r="AW350" i="4"/>
  <c r="AW351" i="4"/>
  <c r="AW352" i="4"/>
  <c r="AW353" i="4"/>
  <c r="AW354" i="4"/>
  <c r="AW355" i="4"/>
  <c r="AW356" i="4"/>
  <c r="AW357" i="4"/>
  <c r="AW358" i="4"/>
  <c r="AW359" i="4"/>
  <c r="AW360" i="4"/>
  <c r="AW361" i="4"/>
  <c r="AW362" i="4"/>
  <c r="AW363" i="4"/>
  <c r="AW364" i="4"/>
  <c r="AW365" i="4"/>
  <c r="AW366" i="4"/>
  <c r="AW367" i="4"/>
  <c r="AW368" i="4"/>
  <c r="AW369" i="4"/>
  <c r="AW370" i="4"/>
  <c r="AW371" i="4"/>
  <c r="AW372" i="4"/>
  <c r="AW373" i="4"/>
  <c r="AW374" i="4"/>
  <c r="AW375" i="4"/>
  <c r="AW376" i="4"/>
  <c r="AW377" i="4"/>
  <c r="AW378" i="4"/>
  <c r="AW379" i="4"/>
  <c r="AW380" i="4"/>
  <c r="AW381" i="4"/>
  <c r="AW382" i="4"/>
  <c r="AW383" i="4"/>
  <c r="AW384" i="4"/>
  <c r="AW385" i="4"/>
  <c r="AW386" i="4"/>
  <c r="AW387" i="4"/>
  <c r="AW388" i="4"/>
  <c r="AW389" i="4"/>
  <c r="AW390" i="4"/>
  <c r="AW391" i="4"/>
  <c r="AW392" i="4"/>
  <c r="AW393" i="4"/>
  <c r="AW394" i="4"/>
  <c r="AW395" i="4"/>
  <c r="AW396" i="4"/>
  <c r="AW397" i="4"/>
  <c r="AW398" i="4"/>
  <c r="AW399" i="4"/>
  <c r="AW400" i="4"/>
  <c r="AW401" i="4"/>
  <c r="AW402" i="4"/>
  <c r="AW403" i="4"/>
  <c r="AW404" i="4"/>
  <c r="AW405" i="4"/>
  <c r="AW406" i="4"/>
  <c r="AW407" i="4"/>
  <c r="AW408" i="4"/>
  <c r="AW409" i="4"/>
  <c r="AW410" i="4"/>
  <c r="AW411" i="4"/>
  <c r="AW412" i="4"/>
  <c r="AW413" i="4"/>
  <c r="AW414" i="4"/>
  <c r="AW415" i="4"/>
  <c r="AW416" i="4"/>
  <c r="AW417" i="4"/>
  <c r="AW418" i="4"/>
  <c r="AW419" i="4"/>
  <c r="AW420" i="4"/>
  <c r="AW421" i="4"/>
  <c r="AW422" i="4"/>
  <c r="AW423" i="4"/>
  <c r="AW424" i="4"/>
  <c r="AW425" i="4"/>
  <c r="AW426" i="4"/>
  <c r="AW427" i="4"/>
  <c r="AW428" i="4"/>
  <c r="AW429" i="4"/>
  <c r="AW430" i="4"/>
  <c r="AW431" i="4"/>
  <c r="AW432" i="4"/>
  <c r="AW433" i="4"/>
  <c r="AW434" i="4"/>
  <c r="AW435" i="4"/>
  <c r="AW436" i="4"/>
  <c r="AW437" i="4"/>
  <c r="AW438" i="4"/>
  <c r="AW439" i="4"/>
  <c r="AW440" i="4"/>
  <c r="AW441" i="4"/>
  <c r="AW442" i="4"/>
  <c r="AW443" i="4"/>
  <c r="AW444" i="4"/>
  <c r="AW445" i="4"/>
  <c r="AW446" i="4"/>
  <c r="AW447" i="4"/>
  <c r="AW448" i="4"/>
  <c r="AW449" i="4"/>
  <c r="AW450" i="4"/>
  <c r="AW451" i="4"/>
  <c r="AW452" i="4"/>
  <c r="AW453" i="4"/>
  <c r="AW454" i="4"/>
  <c r="AW455" i="4"/>
  <c r="AW456" i="4"/>
  <c r="AW457" i="4"/>
  <c r="AW458" i="4"/>
  <c r="AW459" i="4"/>
  <c r="AW460" i="4"/>
  <c r="AW461" i="4"/>
  <c r="AW462" i="4"/>
  <c r="AW463" i="4"/>
  <c r="AW464" i="4"/>
  <c r="AW465" i="4"/>
  <c r="AW466" i="4"/>
  <c r="AW467" i="4"/>
  <c r="AW468" i="4"/>
  <c r="AW469" i="4"/>
  <c r="AW470" i="4"/>
  <c r="AW471" i="4"/>
  <c r="AW472" i="4"/>
  <c r="AW473" i="4"/>
  <c r="AW474" i="4"/>
  <c r="AW475" i="4"/>
  <c r="AW476" i="4"/>
  <c r="AW477" i="4"/>
  <c r="AW478" i="4"/>
  <c r="AW479" i="4"/>
  <c r="AW480" i="4"/>
  <c r="AW481" i="4"/>
  <c r="AW482" i="4"/>
  <c r="AW483" i="4"/>
  <c r="AW484" i="4"/>
  <c r="AW485" i="4"/>
  <c r="AW486" i="4"/>
  <c r="AW487" i="4"/>
  <c r="AW488" i="4"/>
  <c r="AW489" i="4"/>
  <c r="AW490" i="4"/>
  <c r="AW491" i="4"/>
  <c r="AW492" i="4"/>
  <c r="AW493" i="4"/>
  <c r="AW494" i="4"/>
  <c r="AW495" i="4"/>
  <c r="AW496" i="4"/>
  <c r="AW497" i="4"/>
  <c r="AW498" i="4"/>
  <c r="AW499" i="4"/>
  <c r="AW500" i="4"/>
  <c r="AW501" i="4"/>
  <c r="AW502" i="4"/>
  <c r="AW503" i="4"/>
  <c r="AW504" i="4"/>
  <c r="AW505" i="4"/>
  <c r="AW506" i="4"/>
  <c r="AW507" i="4"/>
  <c r="AW508" i="4"/>
  <c r="AW509" i="4"/>
  <c r="AW510" i="4"/>
  <c r="AW511" i="4"/>
  <c r="AW512" i="4"/>
  <c r="AW513" i="4"/>
  <c r="AW514" i="4"/>
  <c r="AW515" i="4"/>
  <c r="AW516" i="4"/>
  <c r="AW517" i="4"/>
  <c r="AW518" i="4"/>
  <c r="AW519" i="4"/>
  <c r="AW520" i="4"/>
  <c r="AW521" i="4"/>
  <c r="AW522" i="4"/>
  <c r="AW523" i="4"/>
  <c r="AW524" i="4"/>
  <c r="AW525" i="4"/>
  <c r="AW526" i="4"/>
  <c r="AW527" i="4"/>
  <c r="AW528" i="4"/>
  <c r="AW529" i="4"/>
  <c r="AW530" i="4"/>
  <c r="AW531" i="4"/>
  <c r="AW532" i="4"/>
  <c r="AW533" i="4"/>
  <c r="AW534" i="4"/>
  <c r="AW535" i="4"/>
  <c r="AW536" i="4"/>
  <c r="AW537" i="4"/>
  <c r="AW538" i="4"/>
  <c r="AW539" i="4"/>
  <c r="AW540" i="4"/>
  <c r="AW541" i="4"/>
  <c r="AW542" i="4"/>
  <c r="AW543" i="4"/>
  <c r="AW544" i="4"/>
  <c r="AW545" i="4"/>
  <c r="AW546" i="4"/>
  <c r="AW547" i="4"/>
  <c r="AW548" i="4"/>
  <c r="AW549" i="4"/>
  <c r="AW550" i="4"/>
  <c r="AW551" i="4"/>
  <c r="AW552" i="4"/>
  <c r="AW553" i="4"/>
  <c r="AW554" i="4"/>
  <c r="AW555" i="4"/>
  <c r="AW556" i="4"/>
  <c r="AW557" i="4"/>
  <c r="AW558" i="4"/>
  <c r="AW559" i="4"/>
  <c r="AW560" i="4"/>
  <c r="AW561" i="4"/>
  <c r="AW562" i="4"/>
  <c r="AW563" i="4"/>
  <c r="AW564" i="4"/>
  <c r="AW565" i="4"/>
  <c r="AW566" i="4"/>
  <c r="AW567" i="4"/>
  <c r="AW568" i="4"/>
  <c r="AW569" i="4"/>
  <c r="AW570" i="4"/>
  <c r="AW571" i="4"/>
  <c r="AW572" i="4"/>
  <c r="AW573" i="4"/>
  <c r="AW574" i="4"/>
  <c r="AW575" i="4"/>
  <c r="AW576" i="4"/>
  <c r="AW577" i="4"/>
  <c r="AW578" i="4"/>
  <c r="AW579" i="4"/>
  <c r="AW580" i="4"/>
  <c r="AW581" i="4"/>
  <c r="AW582" i="4"/>
  <c r="AW583" i="4"/>
  <c r="AW584" i="4"/>
  <c r="AW585" i="4"/>
  <c r="AW586" i="4"/>
  <c r="AW587" i="4"/>
  <c r="AW588" i="4"/>
  <c r="AW589" i="4"/>
  <c r="AW590" i="4"/>
  <c r="AW591" i="4"/>
  <c r="AW592" i="4"/>
  <c r="AW593" i="4"/>
  <c r="AW594" i="4"/>
  <c r="AW595" i="4"/>
  <c r="AW596" i="4"/>
  <c r="AW597" i="4"/>
  <c r="AW598" i="4"/>
  <c r="AW599" i="4"/>
  <c r="AW600" i="4"/>
  <c r="AW601" i="4"/>
  <c r="AW602" i="4"/>
  <c r="AW603" i="4"/>
  <c r="AW604" i="4"/>
  <c r="AW605" i="4"/>
  <c r="AW606" i="4"/>
  <c r="AW607" i="4"/>
  <c r="AW608" i="4"/>
  <c r="AW609" i="4"/>
  <c r="AW610" i="4"/>
  <c r="AW611" i="4"/>
  <c r="AW612" i="4"/>
  <c r="AW613" i="4"/>
  <c r="AW614" i="4"/>
  <c r="AW615" i="4"/>
  <c r="AW616" i="4"/>
  <c r="AW617" i="4"/>
  <c r="AW618" i="4"/>
  <c r="AW619" i="4"/>
  <c r="AW620" i="4"/>
  <c r="AW621" i="4"/>
  <c r="AW622" i="4"/>
  <c r="AW623" i="4"/>
  <c r="AW624" i="4"/>
  <c r="AW625" i="4"/>
  <c r="AW626" i="4"/>
  <c r="AW627" i="4"/>
  <c r="AW628" i="4"/>
  <c r="AW629" i="4"/>
  <c r="AW630" i="4"/>
  <c r="AW631" i="4"/>
  <c r="AW632" i="4"/>
  <c r="AW633" i="4"/>
  <c r="AW634" i="4"/>
  <c r="AW635" i="4"/>
  <c r="AW636" i="4"/>
  <c r="AW637" i="4"/>
  <c r="AW638" i="4"/>
  <c r="AW639" i="4"/>
  <c r="AW640" i="4"/>
  <c r="AW641" i="4"/>
  <c r="AW642" i="4"/>
  <c r="AW643" i="4"/>
  <c r="AW644" i="4"/>
  <c r="AW645" i="4"/>
  <c r="AW646" i="4"/>
  <c r="AW647" i="4"/>
  <c r="AW648" i="4"/>
  <c r="AW649" i="4"/>
  <c r="AW650" i="4"/>
  <c r="AW651" i="4"/>
  <c r="AW652" i="4"/>
  <c r="AW653" i="4"/>
  <c r="AW654" i="4"/>
  <c r="AW655" i="4"/>
  <c r="AW656" i="4"/>
  <c r="AW657" i="4"/>
  <c r="AW658" i="4"/>
  <c r="AW659" i="4"/>
  <c r="AW660" i="4"/>
  <c r="AW661" i="4"/>
  <c r="AW662" i="4"/>
  <c r="AW663" i="4"/>
  <c r="AW664" i="4"/>
  <c r="AW665" i="4"/>
  <c r="AW666" i="4"/>
  <c r="AW667" i="4"/>
  <c r="AW668" i="4"/>
  <c r="AW669" i="4"/>
  <c r="AW670" i="4"/>
  <c r="AW671" i="4"/>
  <c r="AW672" i="4"/>
  <c r="AW673" i="4"/>
  <c r="AW674" i="4"/>
  <c r="AW675" i="4"/>
  <c r="AW676" i="4"/>
  <c r="AW677" i="4"/>
  <c r="AW678" i="4"/>
  <c r="AW679" i="4"/>
  <c r="AW680" i="4"/>
  <c r="AW681" i="4"/>
  <c r="AW682" i="4"/>
  <c r="AW683" i="4"/>
  <c r="AW684" i="4"/>
  <c r="AW685" i="4"/>
  <c r="AW686" i="4"/>
  <c r="AW687" i="4"/>
  <c r="AW688" i="4"/>
  <c r="AW689" i="4"/>
  <c r="AW690" i="4"/>
  <c r="AW691" i="4"/>
  <c r="AW692" i="4"/>
  <c r="AW693" i="4"/>
  <c r="AW694" i="4"/>
  <c r="AW695" i="4"/>
  <c r="AW696" i="4"/>
  <c r="AW697" i="4"/>
  <c r="AW698" i="4"/>
  <c r="AW699" i="4"/>
  <c r="AW700" i="4"/>
  <c r="AW701" i="4"/>
  <c r="AW702" i="4"/>
  <c r="AW703" i="4"/>
  <c r="AW704" i="4"/>
  <c r="AW705" i="4"/>
  <c r="AW706" i="4"/>
  <c r="AW707" i="4"/>
  <c r="AW708" i="4"/>
  <c r="AW709" i="4"/>
  <c r="AW710" i="4"/>
  <c r="AW711" i="4"/>
  <c r="AW712" i="4"/>
  <c r="AW713" i="4"/>
  <c r="AW714" i="4"/>
  <c r="AW715" i="4"/>
  <c r="AW716" i="4"/>
  <c r="AW717" i="4"/>
  <c r="AW718" i="4"/>
  <c r="AW719" i="4"/>
  <c r="AW720" i="4"/>
  <c r="AW721" i="4"/>
  <c r="AW722" i="4"/>
  <c r="AW723" i="4"/>
  <c r="AW724" i="4"/>
  <c r="AW725" i="4"/>
  <c r="AW726" i="4"/>
  <c r="AW727" i="4"/>
  <c r="AW728" i="4"/>
  <c r="AW729" i="4"/>
  <c r="AW730" i="4"/>
  <c r="AW731" i="4"/>
  <c r="AW732" i="4"/>
  <c r="AW733" i="4"/>
  <c r="AW734" i="4"/>
  <c r="AW735" i="4"/>
  <c r="AW736" i="4"/>
  <c r="AW737" i="4"/>
  <c r="AW738" i="4"/>
  <c r="AW739" i="4"/>
  <c r="AW740" i="4"/>
  <c r="AW741" i="4"/>
  <c r="AW742" i="4"/>
  <c r="AW743" i="4"/>
  <c r="AW744" i="4"/>
  <c r="AW745" i="4"/>
  <c r="AW746" i="4"/>
  <c r="AW747" i="4"/>
  <c r="AW748" i="4"/>
  <c r="AW749" i="4"/>
  <c r="AW750" i="4"/>
  <c r="AW751" i="4"/>
  <c r="AW752" i="4"/>
  <c r="AW753" i="4"/>
  <c r="AW754" i="4"/>
  <c r="AW755" i="4"/>
  <c r="AW756" i="4"/>
  <c r="AW757" i="4"/>
  <c r="AW758" i="4"/>
  <c r="AW759" i="4"/>
  <c r="AW760" i="4"/>
  <c r="AW761" i="4"/>
  <c r="AW762" i="4"/>
  <c r="AW763" i="4"/>
  <c r="AW764" i="4"/>
  <c r="AW765" i="4"/>
  <c r="AW766" i="4"/>
  <c r="AW767" i="4"/>
  <c r="AW768" i="4"/>
  <c r="AW769" i="4"/>
  <c r="AW770" i="4"/>
  <c r="AW771" i="4"/>
  <c r="AW772" i="4"/>
  <c r="AW773" i="4"/>
  <c r="AW774" i="4"/>
  <c r="AW775" i="4"/>
  <c r="AW776" i="4"/>
  <c r="AW777" i="4"/>
  <c r="AW778" i="4"/>
  <c r="AW779" i="4"/>
  <c r="AW780" i="4"/>
  <c r="AW781" i="4"/>
  <c r="AW782" i="4"/>
  <c r="AW783" i="4"/>
  <c r="AW784" i="4"/>
  <c r="AW785" i="4"/>
  <c r="AW786" i="4"/>
  <c r="AW787" i="4"/>
  <c r="AW788" i="4"/>
  <c r="AW789" i="4"/>
  <c r="AW790" i="4"/>
  <c r="AW791" i="4"/>
  <c r="AW792" i="4"/>
  <c r="AW793" i="4"/>
  <c r="AW794" i="4"/>
  <c r="AW795" i="4"/>
  <c r="AW796" i="4"/>
  <c r="AW797" i="4"/>
  <c r="AW798" i="4"/>
  <c r="AW799" i="4"/>
  <c r="AW800" i="4"/>
  <c r="AW801" i="4"/>
  <c r="AW802" i="4"/>
  <c r="AW803" i="4"/>
  <c r="AW804" i="4"/>
  <c r="AW805" i="4"/>
  <c r="AW806" i="4"/>
  <c r="AW807" i="4"/>
  <c r="AW808" i="4"/>
  <c r="AW809" i="4"/>
  <c r="AW810" i="4"/>
  <c r="AW811" i="4"/>
  <c r="AW812" i="4"/>
  <c r="AW813" i="4"/>
  <c r="AW814" i="4"/>
  <c r="AW815" i="4"/>
  <c r="AW816" i="4"/>
  <c r="AW817" i="4"/>
  <c r="AW818" i="4"/>
  <c r="AW819" i="4"/>
  <c r="AW820" i="4"/>
  <c r="AW821" i="4"/>
  <c r="AW822" i="4"/>
  <c r="AW823" i="4"/>
  <c r="AW824" i="4"/>
  <c r="AW825" i="4"/>
  <c r="AW826" i="4"/>
  <c r="AW827" i="4"/>
  <c r="AW828" i="4"/>
  <c r="AW829" i="4"/>
  <c r="AW830" i="4"/>
  <c r="AW831" i="4"/>
  <c r="AW832" i="4"/>
  <c r="AW833" i="4"/>
  <c r="AW834" i="4"/>
  <c r="AW835" i="4"/>
  <c r="AW836" i="4"/>
  <c r="AW837" i="4"/>
  <c r="AW838" i="4"/>
  <c r="AW839" i="4"/>
  <c r="AW840" i="4"/>
  <c r="AW841" i="4"/>
  <c r="AW842" i="4"/>
  <c r="AW843" i="4"/>
  <c r="AW844" i="4"/>
  <c r="AW845" i="4"/>
  <c r="AW846" i="4"/>
  <c r="AW847" i="4"/>
  <c r="AW848" i="4"/>
  <c r="AW849" i="4"/>
  <c r="AW850" i="4"/>
  <c r="AW851" i="4"/>
  <c r="AW852" i="4"/>
  <c r="AW853" i="4"/>
  <c r="AW854" i="4"/>
  <c r="AW855" i="4"/>
  <c r="AW856" i="4"/>
  <c r="AW857" i="4"/>
  <c r="AW858" i="4"/>
  <c r="AW859" i="4"/>
  <c r="AW860" i="4"/>
  <c r="AW861" i="4"/>
  <c r="AW862" i="4"/>
  <c r="AW863" i="4"/>
  <c r="AW864" i="4"/>
  <c r="AW865" i="4"/>
  <c r="AW866" i="4"/>
  <c r="AW867" i="4"/>
  <c r="AW868" i="4"/>
  <c r="AW869" i="4"/>
  <c r="AW870" i="4"/>
  <c r="AW871" i="4"/>
  <c r="AW872" i="4"/>
  <c r="AW873" i="4"/>
  <c r="AW874" i="4"/>
  <c r="AW875" i="4"/>
  <c r="AW876" i="4"/>
  <c r="AW877" i="4"/>
  <c r="AW878" i="4"/>
  <c r="AW879" i="4"/>
  <c r="AW880" i="4"/>
  <c r="AW881" i="4"/>
  <c r="AW882" i="4"/>
  <c r="AW883" i="4"/>
  <c r="AW884" i="4"/>
  <c r="AW885" i="4"/>
  <c r="AW886" i="4"/>
  <c r="AW887" i="4"/>
  <c r="AW888" i="4"/>
  <c r="AW889" i="4"/>
  <c r="AW890" i="4"/>
  <c r="AW891" i="4"/>
  <c r="AW892" i="4"/>
  <c r="AW893" i="4"/>
  <c r="AW894" i="4"/>
  <c r="AW895" i="4"/>
  <c r="AW896" i="4"/>
  <c r="AW897" i="4"/>
  <c r="AW898" i="4"/>
  <c r="AW899" i="4"/>
  <c r="AW900" i="4"/>
  <c r="AW901" i="4"/>
  <c r="AW902" i="4"/>
  <c r="AW903" i="4"/>
  <c r="AW904" i="4"/>
  <c r="AW905" i="4"/>
  <c r="AW906" i="4"/>
  <c r="AW907" i="4"/>
  <c r="AW908" i="4"/>
  <c r="AW909" i="4"/>
  <c r="AW910" i="4"/>
  <c r="AW911" i="4"/>
  <c r="AW912" i="4"/>
  <c r="AW913" i="4"/>
  <c r="AW914" i="4"/>
  <c r="AW915" i="4"/>
  <c r="AW916" i="4"/>
  <c r="AW917" i="4"/>
  <c r="AW918" i="4"/>
  <c r="AW919" i="4"/>
  <c r="AW920" i="4"/>
  <c r="AW921" i="4"/>
  <c r="AW922" i="4"/>
  <c r="AW923" i="4"/>
  <c r="AW924" i="4"/>
  <c r="AW925" i="4"/>
  <c r="AW926" i="4"/>
  <c r="AW927" i="4"/>
  <c r="AW928" i="4"/>
  <c r="AW929" i="4"/>
  <c r="AW930" i="4"/>
  <c r="AW931" i="4"/>
  <c r="AW932" i="4"/>
  <c r="AW933" i="4"/>
  <c r="AW934" i="4"/>
  <c r="AW935" i="4"/>
  <c r="AW936" i="4"/>
  <c r="AW937" i="4"/>
  <c r="AW938" i="4"/>
  <c r="AW939" i="4"/>
  <c r="AW940" i="4"/>
  <c r="AW941" i="4"/>
  <c r="AW942" i="4"/>
  <c r="AW943" i="4"/>
  <c r="AW944" i="4"/>
  <c r="AW945" i="4"/>
  <c r="AW946" i="4"/>
  <c r="AW947" i="4"/>
  <c r="AW948" i="4"/>
  <c r="AW949" i="4"/>
  <c r="AW950" i="4"/>
  <c r="AW951" i="4"/>
  <c r="AW952" i="4"/>
  <c r="AW953" i="4"/>
  <c r="AW954" i="4"/>
  <c r="AW955" i="4"/>
  <c r="AW956" i="4"/>
  <c r="AW957" i="4"/>
  <c r="AW958" i="4"/>
  <c r="AW959" i="4"/>
  <c r="AW960" i="4"/>
  <c r="AW961" i="4"/>
  <c r="AW962" i="4"/>
  <c r="AW963" i="4"/>
  <c r="AW964" i="4"/>
  <c r="AW965" i="4"/>
  <c r="AW966" i="4"/>
  <c r="AW967" i="4"/>
  <c r="AW968" i="4"/>
  <c r="AW969" i="4"/>
  <c r="AW970" i="4"/>
  <c r="AW971" i="4"/>
  <c r="AW972" i="4"/>
  <c r="AW973" i="4"/>
  <c r="AW974" i="4"/>
  <c r="AW975" i="4"/>
  <c r="AW976" i="4"/>
  <c r="AW977" i="4"/>
  <c r="AW978" i="4"/>
  <c r="AW979" i="4"/>
  <c r="AW980" i="4"/>
  <c r="AW981" i="4"/>
  <c r="AW982" i="4"/>
  <c r="AW983" i="4"/>
  <c r="AW984" i="4"/>
  <c r="AW985" i="4"/>
  <c r="AW986" i="4"/>
  <c r="AW987" i="4"/>
  <c r="AW988" i="4"/>
  <c r="AW989" i="4"/>
  <c r="AW990" i="4"/>
  <c r="AW991" i="4"/>
  <c r="AW992" i="4"/>
  <c r="AW993" i="4"/>
  <c r="AW994" i="4"/>
  <c r="AW995" i="4"/>
  <c r="AW2" i="4"/>
  <c r="AX3" i="4"/>
  <c r="AX4" i="4"/>
  <c r="AX5" i="4"/>
  <c r="AX6" i="4"/>
  <c r="AX7" i="4"/>
  <c r="AX8" i="4"/>
  <c r="AX9" i="4"/>
  <c r="AX10" i="4"/>
  <c r="AX11" i="4"/>
  <c r="AX12" i="4"/>
  <c r="AX13" i="4"/>
  <c r="AX14" i="4"/>
  <c r="AX15" i="4"/>
  <c r="AX16" i="4"/>
  <c r="AX17" i="4"/>
  <c r="AX18" i="4"/>
  <c r="AX19" i="4"/>
  <c r="AX20" i="4"/>
  <c r="AX21" i="4"/>
  <c r="AX22" i="4"/>
  <c r="AX23" i="4"/>
  <c r="AX24" i="4"/>
  <c r="AX25" i="4"/>
  <c r="AX26" i="4"/>
  <c r="AX27" i="4"/>
  <c r="AX28" i="4"/>
  <c r="AX29" i="4"/>
  <c r="AX30" i="4"/>
  <c r="AX31" i="4"/>
  <c r="AX32" i="4"/>
  <c r="AX33" i="4"/>
  <c r="AX34" i="4"/>
  <c r="AX35" i="4"/>
  <c r="AX36" i="4"/>
  <c r="AX37" i="4"/>
  <c r="AX38" i="4"/>
  <c r="AX39" i="4"/>
  <c r="AX40" i="4"/>
  <c r="AX41" i="4"/>
  <c r="AX42" i="4"/>
  <c r="AX43" i="4"/>
  <c r="AX44" i="4"/>
  <c r="AX45" i="4"/>
  <c r="AX46" i="4"/>
  <c r="AX47" i="4"/>
  <c r="AX48" i="4"/>
  <c r="AX49" i="4"/>
  <c r="AX50" i="4"/>
  <c r="AX51" i="4"/>
  <c r="AX52" i="4"/>
  <c r="AX53" i="4"/>
  <c r="AX54" i="4"/>
  <c r="AX55" i="4"/>
  <c r="AX56" i="4"/>
  <c r="AX57" i="4"/>
  <c r="AX58" i="4"/>
  <c r="AX59" i="4"/>
  <c r="AX60" i="4"/>
  <c r="AX61" i="4"/>
  <c r="AX62" i="4"/>
  <c r="AX63" i="4"/>
  <c r="AX64" i="4"/>
  <c r="AX65" i="4"/>
  <c r="AX66" i="4"/>
  <c r="AX67" i="4"/>
  <c r="AX68" i="4"/>
  <c r="AX69" i="4"/>
  <c r="AX70" i="4"/>
  <c r="AX71" i="4"/>
  <c r="AX72" i="4"/>
  <c r="AX73" i="4"/>
  <c r="AX74" i="4"/>
  <c r="AX75" i="4"/>
  <c r="AX76" i="4"/>
  <c r="AX77" i="4"/>
  <c r="AX78" i="4"/>
  <c r="AX79" i="4"/>
  <c r="AX80" i="4"/>
  <c r="AX81" i="4"/>
  <c r="AX82" i="4"/>
  <c r="AX83" i="4"/>
  <c r="AX84" i="4"/>
  <c r="AX85" i="4"/>
  <c r="AX86" i="4"/>
  <c r="AX87" i="4"/>
  <c r="AX88" i="4"/>
  <c r="AX89" i="4"/>
  <c r="AX90" i="4"/>
  <c r="AX91" i="4"/>
  <c r="AX92" i="4"/>
  <c r="AX93" i="4"/>
  <c r="AX94" i="4"/>
  <c r="AX95" i="4"/>
  <c r="AX96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X134" i="4"/>
  <c r="AX135" i="4"/>
  <c r="AX136" i="4"/>
  <c r="AX137" i="4"/>
  <c r="AX138" i="4"/>
  <c r="AX139" i="4"/>
  <c r="AX140" i="4"/>
  <c r="AX141" i="4"/>
  <c r="AX142" i="4"/>
  <c r="AX143" i="4"/>
  <c r="AX144" i="4"/>
  <c r="AX145" i="4"/>
  <c r="AX146" i="4"/>
  <c r="AX147" i="4"/>
  <c r="AX148" i="4"/>
  <c r="AX149" i="4"/>
  <c r="AX150" i="4"/>
  <c r="AX151" i="4"/>
  <c r="AX152" i="4"/>
  <c r="AX153" i="4"/>
  <c r="AX154" i="4"/>
  <c r="AX155" i="4"/>
  <c r="AX156" i="4"/>
  <c r="AX157" i="4"/>
  <c r="AX158" i="4"/>
  <c r="AX159" i="4"/>
  <c r="AX160" i="4"/>
  <c r="AX161" i="4"/>
  <c r="AX162" i="4"/>
  <c r="AX163" i="4"/>
  <c r="AX164" i="4"/>
  <c r="AX165" i="4"/>
  <c r="AX166" i="4"/>
  <c r="AX167" i="4"/>
  <c r="AX168" i="4"/>
  <c r="AX169" i="4"/>
  <c r="AX170" i="4"/>
  <c r="AX171" i="4"/>
  <c r="AX172" i="4"/>
  <c r="AX173" i="4"/>
  <c r="AX174" i="4"/>
  <c r="AX175" i="4"/>
  <c r="AX176" i="4"/>
  <c r="AX177" i="4"/>
  <c r="AX178" i="4"/>
  <c r="AX179" i="4"/>
  <c r="AX180" i="4"/>
  <c r="AX181" i="4"/>
  <c r="AX182" i="4"/>
  <c r="AX183" i="4"/>
  <c r="AX184" i="4"/>
  <c r="AX185" i="4"/>
  <c r="AX186" i="4"/>
  <c r="AX187" i="4"/>
  <c r="AX188" i="4"/>
  <c r="AX189" i="4"/>
  <c r="AX190" i="4"/>
  <c r="AX191" i="4"/>
  <c r="AX192" i="4"/>
  <c r="AX193" i="4"/>
  <c r="AX194" i="4"/>
  <c r="AX195" i="4"/>
  <c r="AX196" i="4"/>
  <c r="AX197" i="4"/>
  <c r="AX198" i="4"/>
  <c r="AX199" i="4"/>
  <c r="AX200" i="4"/>
  <c r="AX201" i="4"/>
  <c r="AX202" i="4"/>
  <c r="AX203" i="4"/>
  <c r="AX204" i="4"/>
  <c r="AX205" i="4"/>
  <c r="AX206" i="4"/>
  <c r="AX207" i="4"/>
  <c r="AX208" i="4"/>
  <c r="AX209" i="4"/>
  <c r="AX210" i="4"/>
  <c r="AX211" i="4"/>
  <c r="AX212" i="4"/>
  <c r="AX213" i="4"/>
  <c r="AX214" i="4"/>
  <c r="AX215" i="4"/>
  <c r="AX216" i="4"/>
  <c r="AX217" i="4"/>
  <c r="AX218" i="4"/>
  <c r="AX219" i="4"/>
  <c r="AX220" i="4"/>
  <c r="AX221" i="4"/>
  <c r="AX222" i="4"/>
  <c r="AX223" i="4"/>
  <c r="AX224" i="4"/>
  <c r="AX225" i="4"/>
  <c r="AX226" i="4"/>
  <c r="AX227" i="4"/>
  <c r="AX228" i="4"/>
  <c r="AX229" i="4"/>
  <c r="AX230" i="4"/>
  <c r="AX231" i="4"/>
  <c r="AX232" i="4"/>
  <c r="AX233" i="4"/>
  <c r="AX234" i="4"/>
  <c r="AX235" i="4"/>
  <c r="AX236" i="4"/>
  <c r="AX237" i="4"/>
  <c r="AX238" i="4"/>
  <c r="AX239" i="4"/>
  <c r="AX240" i="4"/>
  <c r="AX241" i="4"/>
  <c r="AX242" i="4"/>
  <c r="AX243" i="4"/>
  <c r="AX244" i="4"/>
  <c r="AX245" i="4"/>
  <c r="AX246" i="4"/>
  <c r="AX247" i="4"/>
  <c r="AX248" i="4"/>
  <c r="AX249" i="4"/>
  <c r="AX250" i="4"/>
  <c r="AX251" i="4"/>
  <c r="AX252" i="4"/>
  <c r="AX253" i="4"/>
  <c r="AX254" i="4"/>
  <c r="AX255" i="4"/>
  <c r="AX256" i="4"/>
  <c r="AX257" i="4"/>
  <c r="AX258" i="4"/>
  <c r="AX259" i="4"/>
  <c r="AX260" i="4"/>
  <c r="AX261" i="4"/>
  <c r="AX262" i="4"/>
  <c r="AX263" i="4"/>
  <c r="AX264" i="4"/>
  <c r="AX265" i="4"/>
  <c r="AX266" i="4"/>
  <c r="AX267" i="4"/>
  <c r="AX268" i="4"/>
  <c r="AX269" i="4"/>
  <c r="AX270" i="4"/>
  <c r="AX271" i="4"/>
  <c r="AX272" i="4"/>
  <c r="AX273" i="4"/>
  <c r="AX274" i="4"/>
  <c r="AX275" i="4"/>
  <c r="AX276" i="4"/>
  <c r="AX277" i="4"/>
  <c r="AX278" i="4"/>
  <c r="AX279" i="4"/>
  <c r="AX280" i="4"/>
  <c r="AX281" i="4"/>
  <c r="AX282" i="4"/>
  <c r="AX283" i="4"/>
  <c r="AX284" i="4"/>
  <c r="AX285" i="4"/>
  <c r="AX286" i="4"/>
  <c r="AX287" i="4"/>
  <c r="AX288" i="4"/>
  <c r="AX289" i="4"/>
  <c r="AX290" i="4"/>
  <c r="AX291" i="4"/>
  <c r="AX292" i="4"/>
  <c r="AX293" i="4"/>
  <c r="AX294" i="4"/>
  <c r="AX295" i="4"/>
  <c r="AX296" i="4"/>
  <c r="AX297" i="4"/>
  <c r="AX298" i="4"/>
  <c r="AX299" i="4"/>
  <c r="AX300" i="4"/>
  <c r="AX301" i="4"/>
  <c r="AX302" i="4"/>
  <c r="AX303" i="4"/>
  <c r="AX304" i="4"/>
  <c r="AX305" i="4"/>
  <c r="AX306" i="4"/>
  <c r="AX307" i="4"/>
  <c r="AX308" i="4"/>
  <c r="AX309" i="4"/>
  <c r="AX310" i="4"/>
  <c r="AX311" i="4"/>
  <c r="AX312" i="4"/>
  <c r="AX313" i="4"/>
  <c r="AX314" i="4"/>
  <c r="AX315" i="4"/>
  <c r="AX316" i="4"/>
  <c r="AX317" i="4"/>
  <c r="AX318" i="4"/>
  <c r="AX319" i="4"/>
  <c r="AX320" i="4"/>
  <c r="AX321" i="4"/>
  <c r="AX322" i="4"/>
  <c r="AX323" i="4"/>
  <c r="AX324" i="4"/>
  <c r="AX325" i="4"/>
  <c r="AX326" i="4"/>
  <c r="AX327" i="4"/>
  <c r="AX328" i="4"/>
  <c r="AX329" i="4"/>
  <c r="AX330" i="4"/>
  <c r="AX331" i="4"/>
  <c r="AX332" i="4"/>
  <c r="AX333" i="4"/>
  <c r="AX334" i="4"/>
  <c r="AX335" i="4"/>
  <c r="AX336" i="4"/>
  <c r="AX337" i="4"/>
  <c r="AX338" i="4"/>
  <c r="AX339" i="4"/>
  <c r="AX340" i="4"/>
  <c r="AX341" i="4"/>
  <c r="AX342" i="4"/>
  <c r="AX343" i="4"/>
  <c r="AX344" i="4"/>
  <c r="AX345" i="4"/>
  <c r="AX346" i="4"/>
  <c r="AX347" i="4"/>
  <c r="AX348" i="4"/>
  <c r="AX349" i="4"/>
  <c r="AX350" i="4"/>
  <c r="AX351" i="4"/>
  <c r="AX352" i="4"/>
  <c r="AX353" i="4"/>
  <c r="AX354" i="4"/>
  <c r="AX355" i="4"/>
  <c r="AX356" i="4"/>
  <c r="AX357" i="4"/>
  <c r="AX358" i="4"/>
  <c r="AX359" i="4"/>
  <c r="AX360" i="4"/>
  <c r="AX361" i="4"/>
  <c r="AX362" i="4"/>
  <c r="AX363" i="4"/>
  <c r="AX364" i="4"/>
  <c r="AX365" i="4"/>
  <c r="AX366" i="4"/>
  <c r="AX367" i="4"/>
  <c r="AX368" i="4"/>
  <c r="AX369" i="4"/>
  <c r="AX370" i="4"/>
  <c r="AX371" i="4"/>
  <c r="AX372" i="4"/>
  <c r="AX373" i="4"/>
  <c r="AX374" i="4"/>
  <c r="AX375" i="4"/>
  <c r="AX376" i="4"/>
  <c r="AX377" i="4"/>
  <c r="AX378" i="4"/>
  <c r="AX379" i="4"/>
  <c r="AX380" i="4"/>
  <c r="AX381" i="4"/>
  <c r="AX382" i="4"/>
  <c r="AX383" i="4"/>
  <c r="AX384" i="4"/>
  <c r="AX385" i="4"/>
  <c r="AX386" i="4"/>
  <c r="AX387" i="4"/>
  <c r="AX388" i="4"/>
  <c r="AX389" i="4"/>
  <c r="AX390" i="4"/>
  <c r="AX391" i="4"/>
  <c r="AX392" i="4"/>
  <c r="AX393" i="4"/>
  <c r="AX394" i="4"/>
  <c r="AX395" i="4"/>
  <c r="AX396" i="4"/>
  <c r="AX397" i="4"/>
  <c r="AX398" i="4"/>
  <c r="AX399" i="4"/>
  <c r="AX400" i="4"/>
  <c r="AX401" i="4"/>
  <c r="AX402" i="4"/>
  <c r="AX403" i="4"/>
  <c r="AX404" i="4"/>
  <c r="AX405" i="4"/>
  <c r="AX406" i="4"/>
  <c r="AX407" i="4"/>
  <c r="AX408" i="4"/>
  <c r="AX409" i="4"/>
  <c r="AX410" i="4"/>
  <c r="AX411" i="4"/>
  <c r="AX412" i="4"/>
  <c r="AX413" i="4"/>
  <c r="AX414" i="4"/>
  <c r="AX415" i="4"/>
  <c r="AX416" i="4"/>
  <c r="AX417" i="4"/>
  <c r="AX418" i="4"/>
  <c r="AX419" i="4"/>
  <c r="AX420" i="4"/>
  <c r="AX421" i="4"/>
  <c r="AX422" i="4"/>
  <c r="AX423" i="4"/>
  <c r="AX424" i="4"/>
  <c r="AX425" i="4"/>
  <c r="AX426" i="4"/>
  <c r="AX427" i="4"/>
  <c r="AX428" i="4"/>
  <c r="AX429" i="4"/>
  <c r="AX430" i="4"/>
  <c r="AX431" i="4"/>
  <c r="AX432" i="4"/>
  <c r="AX433" i="4"/>
  <c r="AX434" i="4"/>
  <c r="AX435" i="4"/>
  <c r="AX436" i="4"/>
  <c r="AX437" i="4"/>
  <c r="AX438" i="4"/>
  <c r="AX439" i="4"/>
  <c r="AX440" i="4"/>
  <c r="AX441" i="4"/>
  <c r="AX442" i="4"/>
  <c r="AX443" i="4"/>
  <c r="AX444" i="4"/>
  <c r="AX445" i="4"/>
  <c r="AX446" i="4"/>
  <c r="AX447" i="4"/>
  <c r="AX448" i="4"/>
  <c r="AX449" i="4"/>
  <c r="AX450" i="4"/>
  <c r="AX451" i="4"/>
  <c r="AX452" i="4"/>
  <c r="AX453" i="4"/>
  <c r="AX454" i="4"/>
  <c r="AX455" i="4"/>
  <c r="AX456" i="4"/>
  <c r="AX457" i="4"/>
  <c r="AX458" i="4"/>
  <c r="AX459" i="4"/>
  <c r="AX460" i="4"/>
  <c r="AX461" i="4"/>
  <c r="AX462" i="4"/>
  <c r="AX463" i="4"/>
  <c r="AX464" i="4"/>
  <c r="AX465" i="4"/>
  <c r="AX466" i="4"/>
  <c r="AX467" i="4"/>
  <c r="AX468" i="4"/>
  <c r="AX469" i="4"/>
  <c r="AX470" i="4"/>
  <c r="AX471" i="4"/>
  <c r="AX472" i="4"/>
  <c r="AX473" i="4"/>
  <c r="AX474" i="4"/>
  <c r="AX475" i="4"/>
  <c r="AX476" i="4"/>
  <c r="AX477" i="4"/>
  <c r="AX478" i="4"/>
  <c r="AX479" i="4"/>
  <c r="AX480" i="4"/>
  <c r="AX481" i="4"/>
  <c r="AX482" i="4"/>
  <c r="AX483" i="4"/>
  <c r="AX484" i="4"/>
  <c r="AX485" i="4"/>
  <c r="AX486" i="4"/>
  <c r="AX487" i="4"/>
  <c r="AX488" i="4"/>
  <c r="AX489" i="4"/>
  <c r="AX490" i="4"/>
  <c r="AX491" i="4"/>
  <c r="AX492" i="4"/>
  <c r="AX493" i="4"/>
  <c r="AX494" i="4"/>
  <c r="AX495" i="4"/>
  <c r="AX496" i="4"/>
  <c r="AX497" i="4"/>
  <c r="AX498" i="4"/>
  <c r="AX499" i="4"/>
  <c r="AX500" i="4"/>
  <c r="AX501" i="4"/>
  <c r="AX502" i="4"/>
  <c r="AX503" i="4"/>
  <c r="AX504" i="4"/>
  <c r="AX505" i="4"/>
  <c r="AX506" i="4"/>
  <c r="AX507" i="4"/>
  <c r="AX508" i="4"/>
  <c r="AX509" i="4"/>
  <c r="AX510" i="4"/>
  <c r="AX511" i="4"/>
  <c r="AX512" i="4"/>
  <c r="AX513" i="4"/>
  <c r="AX514" i="4"/>
  <c r="AX515" i="4"/>
  <c r="AX516" i="4"/>
  <c r="AX517" i="4"/>
  <c r="AX518" i="4"/>
  <c r="AX519" i="4"/>
  <c r="AX520" i="4"/>
  <c r="AX521" i="4"/>
  <c r="AX522" i="4"/>
  <c r="AX523" i="4"/>
  <c r="AX524" i="4"/>
  <c r="AX525" i="4"/>
  <c r="AX526" i="4"/>
  <c r="AX527" i="4"/>
  <c r="AX528" i="4"/>
  <c r="AX529" i="4"/>
  <c r="AX530" i="4"/>
  <c r="AX531" i="4"/>
  <c r="AX532" i="4"/>
  <c r="AX533" i="4"/>
  <c r="AX534" i="4"/>
  <c r="AX535" i="4"/>
  <c r="AX536" i="4"/>
  <c r="AX537" i="4"/>
  <c r="AX538" i="4"/>
  <c r="AX539" i="4"/>
  <c r="AX540" i="4"/>
  <c r="AX541" i="4"/>
  <c r="AX542" i="4"/>
  <c r="AX543" i="4"/>
  <c r="AX544" i="4"/>
  <c r="AX545" i="4"/>
  <c r="AX546" i="4"/>
  <c r="AX547" i="4"/>
  <c r="AX548" i="4"/>
  <c r="AX549" i="4"/>
  <c r="AX550" i="4"/>
  <c r="AX551" i="4"/>
  <c r="AX552" i="4"/>
  <c r="AX553" i="4"/>
  <c r="AX554" i="4"/>
  <c r="AX555" i="4"/>
  <c r="AX556" i="4"/>
  <c r="AX557" i="4"/>
  <c r="AX558" i="4"/>
  <c r="AX559" i="4"/>
  <c r="AX560" i="4"/>
  <c r="AX561" i="4"/>
  <c r="AX562" i="4"/>
  <c r="AX563" i="4"/>
  <c r="AX564" i="4"/>
  <c r="AX565" i="4"/>
  <c r="AX566" i="4"/>
  <c r="AX567" i="4"/>
  <c r="AX568" i="4"/>
  <c r="AX569" i="4"/>
  <c r="AX570" i="4"/>
  <c r="AX571" i="4"/>
  <c r="AX572" i="4"/>
  <c r="AX573" i="4"/>
  <c r="AX574" i="4"/>
  <c r="AX575" i="4"/>
  <c r="AX576" i="4"/>
  <c r="AX577" i="4"/>
  <c r="AX578" i="4"/>
  <c r="AX579" i="4"/>
  <c r="AX580" i="4"/>
  <c r="AX581" i="4"/>
  <c r="AX582" i="4"/>
  <c r="AX583" i="4"/>
  <c r="AX584" i="4"/>
  <c r="AX585" i="4"/>
  <c r="AX586" i="4"/>
  <c r="AX587" i="4"/>
  <c r="AX588" i="4"/>
  <c r="AX589" i="4"/>
  <c r="AX590" i="4"/>
  <c r="AX591" i="4"/>
  <c r="AX592" i="4"/>
  <c r="AX593" i="4"/>
  <c r="AX594" i="4"/>
  <c r="AX595" i="4"/>
  <c r="AX596" i="4"/>
  <c r="AX597" i="4"/>
  <c r="AX598" i="4"/>
  <c r="AX599" i="4"/>
  <c r="AX600" i="4"/>
  <c r="AX601" i="4"/>
  <c r="AX602" i="4"/>
  <c r="AX603" i="4"/>
  <c r="AX604" i="4"/>
  <c r="AX605" i="4"/>
  <c r="AX606" i="4"/>
  <c r="AX607" i="4"/>
  <c r="AX608" i="4"/>
  <c r="AX609" i="4"/>
  <c r="AX610" i="4"/>
  <c r="AX611" i="4"/>
  <c r="AX612" i="4"/>
  <c r="AX613" i="4"/>
  <c r="AX614" i="4"/>
  <c r="AX615" i="4"/>
  <c r="AX616" i="4"/>
  <c r="AX617" i="4"/>
  <c r="AX618" i="4"/>
  <c r="AX619" i="4"/>
  <c r="AX620" i="4"/>
  <c r="AX621" i="4"/>
  <c r="AX622" i="4"/>
  <c r="AX623" i="4"/>
  <c r="AX624" i="4"/>
  <c r="AX625" i="4"/>
  <c r="AX626" i="4"/>
  <c r="AX627" i="4"/>
  <c r="AX628" i="4"/>
  <c r="AX629" i="4"/>
  <c r="AX630" i="4"/>
  <c r="AX631" i="4"/>
  <c r="AX632" i="4"/>
  <c r="AX633" i="4"/>
  <c r="AX634" i="4"/>
  <c r="AX635" i="4"/>
  <c r="AX636" i="4"/>
  <c r="AX637" i="4"/>
  <c r="AX638" i="4"/>
  <c r="AX639" i="4"/>
  <c r="AX640" i="4"/>
  <c r="AX641" i="4"/>
  <c r="AX642" i="4"/>
  <c r="AX643" i="4"/>
  <c r="AX644" i="4"/>
  <c r="AX645" i="4"/>
  <c r="AX646" i="4"/>
  <c r="AX647" i="4"/>
  <c r="AX648" i="4"/>
  <c r="AX649" i="4"/>
  <c r="AX650" i="4"/>
  <c r="AX651" i="4"/>
  <c r="AX652" i="4"/>
  <c r="AX653" i="4"/>
  <c r="AX654" i="4"/>
  <c r="AX655" i="4"/>
  <c r="AX656" i="4"/>
  <c r="AX657" i="4"/>
  <c r="AX658" i="4"/>
  <c r="AX659" i="4"/>
  <c r="AX660" i="4"/>
  <c r="AX661" i="4"/>
  <c r="AX662" i="4"/>
  <c r="AX663" i="4"/>
  <c r="AX664" i="4"/>
  <c r="AX665" i="4"/>
  <c r="AX666" i="4"/>
  <c r="AX667" i="4"/>
  <c r="AX668" i="4"/>
  <c r="AX669" i="4"/>
  <c r="AX670" i="4"/>
  <c r="AX671" i="4"/>
  <c r="AX672" i="4"/>
  <c r="AX673" i="4"/>
  <c r="AX674" i="4"/>
  <c r="AX675" i="4"/>
  <c r="AX676" i="4"/>
  <c r="AX677" i="4"/>
  <c r="AX678" i="4"/>
  <c r="AX679" i="4"/>
  <c r="AX680" i="4"/>
  <c r="AX681" i="4"/>
  <c r="AX682" i="4"/>
  <c r="AX683" i="4"/>
  <c r="AX684" i="4"/>
  <c r="AX685" i="4"/>
  <c r="AX686" i="4"/>
  <c r="AX687" i="4"/>
  <c r="AX688" i="4"/>
  <c r="AX689" i="4"/>
  <c r="AX690" i="4"/>
  <c r="AX691" i="4"/>
  <c r="AX692" i="4"/>
  <c r="AX693" i="4"/>
  <c r="AX694" i="4"/>
  <c r="AX695" i="4"/>
  <c r="AX696" i="4"/>
  <c r="AX697" i="4"/>
  <c r="AX698" i="4"/>
  <c r="AX699" i="4"/>
  <c r="AX700" i="4"/>
  <c r="AX701" i="4"/>
  <c r="AX702" i="4"/>
  <c r="AX703" i="4"/>
  <c r="AX704" i="4"/>
  <c r="AX705" i="4"/>
  <c r="AX706" i="4"/>
  <c r="AX707" i="4"/>
  <c r="AX708" i="4"/>
  <c r="AX709" i="4"/>
  <c r="AX710" i="4"/>
  <c r="AX711" i="4"/>
  <c r="AX712" i="4"/>
  <c r="AX713" i="4"/>
  <c r="AX714" i="4"/>
  <c r="AX715" i="4"/>
  <c r="AX716" i="4"/>
  <c r="AX717" i="4"/>
  <c r="AX718" i="4"/>
  <c r="AX719" i="4"/>
  <c r="AX720" i="4"/>
  <c r="AX721" i="4"/>
  <c r="AX722" i="4"/>
  <c r="AX723" i="4"/>
  <c r="AX724" i="4"/>
  <c r="AX725" i="4"/>
  <c r="AX726" i="4"/>
  <c r="AX727" i="4"/>
  <c r="AX728" i="4"/>
  <c r="AX729" i="4"/>
  <c r="AX730" i="4"/>
  <c r="AX731" i="4"/>
  <c r="AX732" i="4"/>
  <c r="AX733" i="4"/>
  <c r="AX734" i="4"/>
  <c r="AX735" i="4"/>
  <c r="AX736" i="4"/>
  <c r="AX737" i="4"/>
  <c r="AX738" i="4"/>
  <c r="AX739" i="4"/>
  <c r="AX740" i="4"/>
  <c r="AX741" i="4"/>
  <c r="AX742" i="4"/>
  <c r="AX743" i="4"/>
  <c r="AX744" i="4"/>
  <c r="AX745" i="4"/>
  <c r="AX746" i="4"/>
  <c r="AX747" i="4"/>
  <c r="AX748" i="4"/>
  <c r="AX749" i="4"/>
  <c r="AX750" i="4"/>
  <c r="AX751" i="4"/>
  <c r="AX752" i="4"/>
  <c r="AX753" i="4"/>
  <c r="AX754" i="4"/>
  <c r="AX755" i="4"/>
  <c r="AX756" i="4"/>
  <c r="AX757" i="4"/>
  <c r="AX758" i="4"/>
  <c r="AX759" i="4"/>
  <c r="AX760" i="4"/>
  <c r="AX761" i="4"/>
  <c r="AX762" i="4"/>
  <c r="AX763" i="4"/>
  <c r="AX764" i="4"/>
  <c r="AX765" i="4"/>
  <c r="AX766" i="4"/>
  <c r="AX767" i="4"/>
  <c r="AX768" i="4"/>
  <c r="AX769" i="4"/>
  <c r="AX770" i="4"/>
  <c r="AX771" i="4"/>
  <c r="AX772" i="4"/>
  <c r="AX773" i="4"/>
  <c r="AX774" i="4"/>
  <c r="AX775" i="4"/>
  <c r="AX776" i="4"/>
  <c r="AX777" i="4"/>
  <c r="AX778" i="4"/>
  <c r="AX779" i="4"/>
  <c r="AX780" i="4"/>
  <c r="AX781" i="4"/>
  <c r="AX782" i="4"/>
  <c r="AX783" i="4"/>
  <c r="AX784" i="4"/>
  <c r="AX785" i="4"/>
  <c r="AX786" i="4"/>
  <c r="AX787" i="4"/>
  <c r="AX788" i="4"/>
  <c r="AX789" i="4"/>
  <c r="AX790" i="4"/>
  <c r="AX791" i="4"/>
  <c r="AX792" i="4"/>
  <c r="AX793" i="4"/>
  <c r="AX794" i="4"/>
  <c r="AX795" i="4"/>
  <c r="AX796" i="4"/>
  <c r="AX797" i="4"/>
  <c r="AX798" i="4"/>
  <c r="AX799" i="4"/>
  <c r="AX800" i="4"/>
  <c r="AX801" i="4"/>
  <c r="AX802" i="4"/>
  <c r="AX803" i="4"/>
  <c r="AX804" i="4"/>
  <c r="AX805" i="4"/>
  <c r="AX806" i="4"/>
  <c r="AX807" i="4"/>
  <c r="AX808" i="4"/>
  <c r="AX809" i="4"/>
  <c r="AX810" i="4"/>
  <c r="AX811" i="4"/>
  <c r="AX812" i="4"/>
  <c r="AX813" i="4"/>
  <c r="AX814" i="4"/>
  <c r="AX815" i="4"/>
  <c r="AX816" i="4"/>
  <c r="AX817" i="4"/>
  <c r="AX818" i="4"/>
  <c r="AX819" i="4"/>
  <c r="AX820" i="4"/>
  <c r="AX821" i="4"/>
  <c r="AX822" i="4"/>
  <c r="AX823" i="4"/>
  <c r="AX824" i="4"/>
  <c r="AX825" i="4"/>
  <c r="AX826" i="4"/>
  <c r="AX827" i="4"/>
  <c r="AX828" i="4"/>
  <c r="AX829" i="4"/>
  <c r="AX830" i="4"/>
  <c r="AX831" i="4"/>
  <c r="AX832" i="4"/>
  <c r="AX833" i="4"/>
  <c r="AX834" i="4"/>
  <c r="AX835" i="4"/>
  <c r="AX836" i="4"/>
  <c r="AX837" i="4"/>
  <c r="AX838" i="4"/>
  <c r="AX839" i="4"/>
  <c r="AX840" i="4"/>
  <c r="AX841" i="4"/>
  <c r="AX842" i="4"/>
  <c r="AX843" i="4"/>
  <c r="AX844" i="4"/>
  <c r="AX845" i="4"/>
  <c r="AX846" i="4"/>
  <c r="AX847" i="4"/>
  <c r="AX848" i="4"/>
  <c r="AX849" i="4"/>
  <c r="AX850" i="4"/>
  <c r="AX851" i="4"/>
  <c r="AX852" i="4"/>
  <c r="AX853" i="4"/>
  <c r="AX854" i="4"/>
  <c r="AX855" i="4"/>
  <c r="AX856" i="4"/>
  <c r="AX857" i="4"/>
  <c r="AX858" i="4"/>
  <c r="AX859" i="4"/>
  <c r="AX860" i="4"/>
  <c r="AX861" i="4"/>
  <c r="AX862" i="4"/>
  <c r="AX863" i="4"/>
  <c r="AX864" i="4"/>
  <c r="AX865" i="4"/>
  <c r="AX866" i="4"/>
  <c r="AX867" i="4"/>
  <c r="AX868" i="4"/>
  <c r="AX869" i="4"/>
  <c r="AX870" i="4"/>
  <c r="AX871" i="4"/>
  <c r="AX872" i="4"/>
  <c r="AX873" i="4"/>
  <c r="AX874" i="4"/>
  <c r="AX875" i="4"/>
  <c r="AX876" i="4"/>
  <c r="AX877" i="4"/>
  <c r="AX878" i="4"/>
  <c r="AX879" i="4"/>
  <c r="AX880" i="4"/>
  <c r="AX881" i="4"/>
  <c r="AX882" i="4"/>
  <c r="AX883" i="4"/>
  <c r="AX884" i="4"/>
  <c r="AX885" i="4"/>
  <c r="AX886" i="4"/>
  <c r="AX887" i="4"/>
  <c r="AX888" i="4"/>
  <c r="AX889" i="4"/>
  <c r="AX890" i="4"/>
  <c r="AX891" i="4"/>
  <c r="AX892" i="4"/>
  <c r="AX893" i="4"/>
  <c r="AX894" i="4"/>
  <c r="AX895" i="4"/>
  <c r="AX896" i="4"/>
  <c r="AX897" i="4"/>
  <c r="AX898" i="4"/>
  <c r="AX899" i="4"/>
  <c r="AX900" i="4"/>
  <c r="AX901" i="4"/>
  <c r="AX902" i="4"/>
  <c r="AX903" i="4"/>
  <c r="AX904" i="4"/>
  <c r="AX905" i="4"/>
  <c r="AX906" i="4"/>
  <c r="AX907" i="4"/>
  <c r="AX908" i="4"/>
  <c r="AX909" i="4"/>
  <c r="AX910" i="4"/>
  <c r="AX911" i="4"/>
  <c r="AX912" i="4"/>
  <c r="AX913" i="4"/>
  <c r="AX914" i="4"/>
  <c r="AX915" i="4"/>
  <c r="AX916" i="4"/>
  <c r="AX917" i="4"/>
  <c r="AX918" i="4"/>
  <c r="AX919" i="4"/>
  <c r="AX920" i="4"/>
  <c r="AX921" i="4"/>
  <c r="AX922" i="4"/>
  <c r="AX923" i="4"/>
  <c r="AX924" i="4"/>
  <c r="AX925" i="4"/>
  <c r="AX926" i="4"/>
  <c r="AX927" i="4"/>
  <c r="AX928" i="4"/>
  <c r="AX929" i="4"/>
  <c r="AX930" i="4"/>
  <c r="AX931" i="4"/>
  <c r="AX932" i="4"/>
  <c r="AX933" i="4"/>
  <c r="AX934" i="4"/>
  <c r="AX935" i="4"/>
  <c r="AX936" i="4"/>
  <c r="AX937" i="4"/>
  <c r="AX938" i="4"/>
  <c r="AX939" i="4"/>
  <c r="AX940" i="4"/>
  <c r="AX941" i="4"/>
  <c r="AX942" i="4"/>
  <c r="AX943" i="4"/>
  <c r="AX944" i="4"/>
  <c r="AX945" i="4"/>
  <c r="AX946" i="4"/>
  <c r="AX947" i="4"/>
  <c r="AX948" i="4"/>
  <c r="AX949" i="4"/>
  <c r="AX950" i="4"/>
  <c r="AX951" i="4"/>
  <c r="AX952" i="4"/>
  <c r="AX953" i="4"/>
  <c r="AX954" i="4"/>
  <c r="AX955" i="4"/>
  <c r="AX956" i="4"/>
  <c r="AX957" i="4"/>
  <c r="AX958" i="4"/>
  <c r="AX959" i="4"/>
  <c r="AX960" i="4"/>
  <c r="AX961" i="4"/>
  <c r="AX962" i="4"/>
  <c r="AX963" i="4"/>
  <c r="AX964" i="4"/>
  <c r="AX965" i="4"/>
  <c r="AX966" i="4"/>
  <c r="AX967" i="4"/>
  <c r="AX968" i="4"/>
  <c r="AX969" i="4"/>
  <c r="AX970" i="4"/>
  <c r="AX971" i="4"/>
  <c r="AX972" i="4"/>
  <c r="AX973" i="4"/>
  <c r="AX974" i="4"/>
  <c r="AX975" i="4"/>
  <c r="AX976" i="4"/>
  <c r="AX977" i="4"/>
  <c r="AX978" i="4"/>
  <c r="AX979" i="4"/>
  <c r="AX980" i="4"/>
  <c r="AX981" i="4"/>
  <c r="AX982" i="4"/>
  <c r="AX983" i="4"/>
  <c r="AX984" i="4"/>
  <c r="AX985" i="4"/>
  <c r="AX986" i="4"/>
  <c r="AX987" i="4"/>
  <c r="AX988" i="4"/>
  <c r="AX989" i="4"/>
  <c r="AX990" i="4"/>
  <c r="AX991" i="4"/>
  <c r="AX992" i="4"/>
  <c r="AX993" i="4"/>
  <c r="AX994" i="4"/>
  <c r="AX995" i="4"/>
  <c r="AX2" i="4"/>
  <c r="AF7" i="3"/>
  <c r="AB7" i="3"/>
  <c r="AD7" i="3"/>
  <c r="AF8" i="3"/>
  <c r="AB8" i="3"/>
  <c r="AD8" i="3"/>
  <c r="AF9" i="3"/>
  <c r="AB9" i="3"/>
  <c r="AD9" i="3"/>
  <c r="AF10" i="3"/>
  <c r="AB10" i="3"/>
  <c r="AD10" i="3"/>
  <c r="AF11" i="3"/>
  <c r="AB11" i="3"/>
  <c r="AD11" i="3"/>
  <c r="AF12" i="3"/>
  <c r="AB12" i="3"/>
  <c r="AD12" i="3"/>
  <c r="AF13" i="3"/>
  <c r="AB13" i="3"/>
  <c r="AD13" i="3"/>
  <c r="AB14" i="3"/>
  <c r="AF14" i="3"/>
  <c r="AD14" i="3"/>
  <c r="AF15" i="3"/>
  <c r="Y15" i="3"/>
  <c r="AB15" i="3"/>
  <c r="AD15" i="3"/>
  <c r="AF16" i="3"/>
  <c r="Y16" i="3"/>
  <c r="AB16" i="3"/>
  <c r="AD16" i="3"/>
  <c r="AF17" i="3"/>
  <c r="AB17" i="3"/>
  <c r="AD17" i="3"/>
  <c r="AB18" i="3"/>
  <c r="W18" i="3"/>
  <c r="AF18" i="3" s="1"/>
  <c r="AD18" i="3"/>
  <c r="AB19" i="3"/>
  <c r="W19" i="3"/>
  <c r="AF19" i="3"/>
  <c r="AD19" i="3"/>
  <c r="AE19" i="3"/>
  <c r="AF20" i="3"/>
  <c r="AB20" i="3"/>
  <c r="AD20" i="3"/>
  <c r="AF21" i="3"/>
  <c r="AB21" i="3"/>
  <c r="AD21" i="3"/>
  <c r="AF22" i="3"/>
  <c r="AB22" i="3"/>
  <c r="AD22" i="3"/>
  <c r="AF23" i="3"/>
  <c r="Y23" i="3"/>
  <c r="AB23" i="3"/>
  <c r="AD23" i="3"/>
  <c r="AF24" i="3"/>
  <c r="AB24" i="3"/>
  <c r="AD24" i="3"/>
  <c r="AF25" i="3"/>
  <c r="AB25" i="3"/>
  <c r="AD25" i="3"/>
  <c r="AF26" i="3"/>
  <c r="Y26" i="3"/>
  <c r="AB26" i="3"/>
  <c r="AD26" i="3"/>
  <c r="AF27" i="3"/>
  <c r="AB27" i="3"/>
  <c r="AD27" i="3"/>
  <c r="AF28" i="3"/>
  <c r="AB28" i="3"/>
  <c r="AD28" i="3"/>
  <c r="AF29" i="3"/>
  <c r="AB29" i="3"/>
  <c r="AD29" i="3"/>
  <c r="AF30" i="3"/>
  <c r="AB30" i="3"/>
  <c r="AD30" i="3"/>
  <c r="AF31" i="3"/>
  <c r="Y31" i="3"/>
  <c r="AB31" i="3"/>
  <c r="AD31" i="3"/>
  <c r="AF32" i="3"/>
  <c r="AB32" i="3"/>
  <c r="AD32" i="3"/>
  <c r="AF33" i="3"/>
  <c r="AB33" i="3"/>
  <c r="AD33" i="3"/>
  <c r="AF34" i="3"/>
  <c r="Y34" i="3"/>
  <c r="AB34" i="3"/>
  <c r="AD34" i="3"/>
  <c r="AF35" i="3"/>
  <c r="AB35" i="3"/>
  <c r="AD35" i="3"/>
  <c r="AF36" i="3"/>
  <c r="AB36" i="3"/>
  <c r="AD36" i="3"/>
  <c r="AF37" i="3"/>
  <c r="Y37" i="3"/>
  <c r="AB37" i="3"/>
  <c r="AD37" i="3"/>
  <c r="AF38" i="3"/>
  <c r="AB38" i="3"/>
  <c r="AD38" i="3"/>
  <c r="AF39" i="3"/>
  <c r="AB39" i="3"/>
  <c r="AD39" i="3"/>
  <c r="AF40" i="3"/>
  <c r="Y40" i="3"/>
  <c r="AB40" i="3"/>
  <c r="AD40" i="3"/>
  <c r="AF41" i="3"/>
  <c r="AB41" i="3"/>
  <c r="AD41" i="3"/>
  <c r="AF42" i="3"/>
  <c r="AB42" i="3"/>
  <c r="AD42" i="3"/>
  <c r="AF43" i="3"/>
  <c r="AB43" i="3"/>
  <c r="AD43" i="3"/>
  <c r="AE43" i="3"/>
  <c r="AF44" i="3"/>
  <c r="AB44" i="3"/>
  <c r="AD44" i="3"/>
  <c r="AF45" i="3"/>
  <c r="AB45" i="3"/>
  <c r="AD45" i="3"/>
  <c r="AF46" i="3"/>
  <c r="AB46" i="3"/>
  <c r="AD46" i="3"/>
  <c r="AF47" i="3"/>
  <c r="AB47" i="3"/>
  <c r="AD47" i="3"/>
  <c r="AF48" i="3"/>
  <c r="AB48" i="3"/>
  <c r="AD48" i="3"/>
  <c r="AF49" i="3"/>
  <c r="AB49" i="3"/>
  <c r="AD49" i="3"/>
  <c r="AF50" i="3"/>
  <c r="Y50" i="3"/>
  <c r="AB50" i="3"/>
  <c r="AD50" i="3"/>
  <c r="AF51" i="3"/>
  <c r="AB51" i="3"/>
  <c r="AD51" i="3"/>
  <c r="AB52" i="3"/>
  <c r="AD52" i="3"/>
  <c r="AF53" i="3"/>
  <c r="AB53" i="3"/>
  <c r="AD53" i="3"/>
  <c r="AF54" i="3"/>
  <c r="AB54" i="3"/>
  <c r="AD54" i="3"/>
  <c r="AF55" i="3"/>
  <c r="AB55" i="3"/>
  <c r="AD55" i="3"/>
  <c r="AF56" i="3"/>
  <c r="AB56" i="3"/>
  <c r="AD56" i="3"/>
  <c r="AF57" i="3"/>
  <c r="AB57" i="3"/>
  <c r="AD57" i="3"/>
  <c r="AF58" i="3"/>
  <c r="Y58" i="3"/>
  <c r="AB58" i="3"/>
  <c r="AD58" i="3"/>
  <c r="AF59" i="3"/>
  <c r="AB59" i="3"/>
  <c r="AD59" i="3"/>
  <c r="AF60" i="3"/>
  <c r="AB60" i="3"/>
  <c r="AD60" i="3"/>
  <c r="AF61" i="3"/>
  <c r="AB61" i="3"/>
  <c r="AD61" i="3"/>
  <c r="AF62" i="3"/>
  <c r="AB62" i="3"/>
  <c r="AD62" i="3"/>
  <c r="AF63" i="3"/>
  <c r="AB63" i="3"/>
  <c r="AD63" i="3"/>
  <c r="AF64" i="3"/>
  <c r="AB64" i="3"/>
  <c r="AD64" i="3"/>
  <c r="AF65" i="3"/>
  <c r="AB65" i="3"/>
  <c r="AD65" i="3"/>
  <c r="AF66" i="3"/>
  <c r="Y66" i="3"/>
  <c r="AB66" i="3"/>
  <c r="AD66" i="3"/>
  <c r="AF67" i="3"/>
  <c r="AB67" i="3"/>
  <c r="AF68" i="3"/>
  <c r="AB68" i="3"/>
  <c r="AD68" i="3"/>
  <c r="AF69" i="3"/>
  <c r="Y69" i="3"/>
  <c r="AB69" i="3"/>
  <c r="AD69" i="3"/>
  <c r="AF70" i="3"/>
  <c r="AB70" i="3"/>
  <c r="AD70" i="3"/>
  <c r="AF71" i="3"/>
  <c r="AB71" i="3"/>
  <c r="AD71" i="3"/>
  <c r="AF72" i="3"/>
  <c r="Y72" i="3"/>
  <c r="AB72" i="3"/>
  <c r="AD72" i="3"/>
  <c r="AF73" i="3"/>
  <c r="AB73" i="3"/>
  <c r="AD73" i="3"/>
  <c r="AF74" i="3"/>
  <c r="AB74" i="3"/>
  <c r="AF75" i="3"/>
  <c r="AB75" i="3"/>
  <c r="AD75" i="3"/>
  <c r="AF76" i="3"/>
  <c r="AB76" i="3"/>
  <c r="AD76" i="3"/>
  <c r="AF77" i="3"/>
  <c r="AB77" i="3"/>
  <c r="AD77" i="3"/>
  <c r="AF78" i="3"/>
  <c r="AB78" i="3"/>
  <c r="AD78" i="3"/>
  <c r="AF79" i="3"/>
  <c r="Y79" i="3"/>
  <c r="AB79" i="3"/>
  <c r="AD79" i="3"/>
  <c r="AF80" i="3"/>
  <c r="AB80" i="3"/>
  <c r="AD80" i="3"/>
  <c r="AF81" i="3"/>
  <c r="AB81" i="3"/>
  <c r="AD81" i="3"/>
  <c r="AF82" i="3"/>
  <c r="AB82" i="3"/>
  <c r="AD82" i="3"/>
  <c r="AF83" i="3"/>
  <c r="AB83" i="3"/>
  <c r="AD83" i="3"/>
  <c r="AF84" i="3"/>
  <c r="AB84" i="3"/>
  <c r="AD84" i="3"/>
  <c r="AF85" i="3"/>
  <c r="AB85" i="3"/>
  <c r="AD85" i="3"/>
  <c r="AF86" i="3"/>
  <c r="AB86" i="3"/>
  <c r="AD86" i="3"/>
  <c r="AF87" i="3"/>
  <c r="Y87" i="3"/>
  <c r="AB87" i="3"/>
  <c r="AD87" i="3"/>
  <c r="AF88" i="3"/>
  <c r="AB88" i="3"/>
  <c r="AD88" i="3"/>
  <c r="AF89" i="3"/>
  <c r="AB89" i="3"/>
  <c r="AD89" i="3"/>
  <c r="AF90" i="3"/>
  <c r="AB90" i="3"/>
  <c r="AD90" i="3"/>
  <c r="AE90" i="3"/>
  <c r="AF91" i="3"/>
  <c r="AB91" i="3"/>
  <c r="AD91" i="3"/>
  <c r="AF92" i="3"/>
  <c r="AB92" i="3"/>
  <c r="AD92" i="3"/>
  <c r="AF93" i="3"/>
  <c r="Y93" i="3"/>
  <c r="AB93" i="3"/>
  <c r="AD93" i="3"/>
  <c r="AF94" i="3"/>
  <c r="AB94" i="3"/>
  <c r="AD94" i="3"/>
  <c r="AF95" i="3"/>
  <c r="AB95" i="3"/>
  <c r="AD95" i="3"/>
  <c r="AF96" i="3"/>
  <c r="Y96" i="3"/>
  <c r="AB96" i="3"/>
  <c r="AD96" i="3"/>
  <c r="AF97" i="3"/>
  <c r="AB97" i="3"/>
  <c r="AD97" i="3"/>
  <c r="AF98" i="3"/>
  <c r="AB98" i="3"/>
  <c r="AD98" i="3"/>
  <c r="AF99" i="3"/>
  <c r="AB99" i="3"/>
  <c r="AD99" i="3"/>
  <c r="AF100" i="3"/>
  <c r="AB100" i="3"/>
  <c r="AD100" i="3"/>
  <c r="AF101" i="3"/>
  <c r="Y101" i="3"/>
  <c r="AB101" i="3"/>
  <c r="AD101" i="3"/>
  <c r="AF102" i="3"/>
  <c r="AB102" i="3"/>
  <c r="AD102" i="3"/>
  <c r="AF103" i="3"/>
  <c r="AB103" i="3"/>
  <c r="AD103" i="3"/>
  <c r="AF104" i="3"/>
  <c r="Y104" i="3"/>
  <c r="AB104" i="3"/>
  <c r="AD104" i="3"/>
  <c r="AE104" i="3"/>
  <c r="AF105" i="3"/>
  <c r="AB105" i="3"/>
  <c r="AD105" i="3"/>
  <c r="AF106" i="3"/>
  <c r="AB106" i="3"/>
  <c r="AD106" i="3"/>
  <c r="AF107" i="3"/>
  <c r="AB107" i="3"/>
  <c r="AD107" i="3"/>
  <c r="AF108" i="3"/>
  <c r="AB108" i="3"/>
  <c r="AD108" i="3"/>
  <c r="AF109" i="3"/>
  <c r="AB109" i="3"/>
  <c r="AD109" i="3"/>
  <c r="AF110" i="3"/>
  <c r="AB110" i="3"/>
  <c r="AD110" i="3"/>
  <c r="AF111" i="3"/>
  <c r="AB111" i="3"/>
  <c r="AD111" i="3"/>
  <c r="AF112" i="3"/>
  <c r="AB112" i="3"/>
  <c r="AD112" i="3"/>
  <c r="AF113" i="3"/>
  <c r="AB113" i="3"/>
  <c r="AD113" i="3"/>
  <c r="AF114" i="3"/>
  <c r="AB114" i="3"/>
  <c r="AD114" i="3"/>
  <c r="AF115" i="3"/>
  <c r="AB115" i="3"/>
  <c r="AD115" i="3"/>
  <c r="AF116" i="3"/>
  <c r="AB116" i="3"/>
  <c r="AD116" i="3"/>
  <c r="AF117" i="3"/>
  <c r="AB117" i="3"/>
  <c r="AD117" i="3"/>
  <c r="AF118" i="3"/>
  <c r="AB118" i="3"/>
  <c r="AD118" i="3"/>
  <c r="AF119" i="3"/>
  <c r="AB119" i="3"/>
  <c r="AD119" i="3"/>
  <c r="AF120" i="3"/>
  <c r="AB120" i="3"/>
  <c r="AF121" i="3"/>
  <c r="AB121" i="3"/>
  <c r="AD121" i="3"/>
  <c r="AF122" i="3"/>
  <c r="AB122" i="3"/>
  <c r="AD122" i="3"/>
  <c r="AB123" i="3"/>
  <c r="AD123" i="3"/>
  <c r="AF124" i="3"/>
  <c r="AB124" i="3"/>
  <c r="AF125" i="3"/>
  <c r="AB125" i="3"/>
  <c r="AD125" i="3"/>
  <c r="AF126" i="3"/>
  <c r="AB126" i="3"/>
  <c r="AD126" i="3"/>
  <c r="AF127" i="3"/>
  <c r="Y127" i="3"/>
  <c r="AB127" i="3"/>
  <c r="AD127" i="3"/>
  <c r="AF128" i="3"/>
  <c r="AB128" i="3"/>
  <c r="AD128" i="3"/>
  <c r="AF129" i="3"/>
  <c r="AB129" i="3"/>
  <c r="AF130" i="3"/>
  <c r="Y130" i="3"/>
  <c r="AB130" i="3"/>
  <c r="AD130" i="3"/>
  <c r="AF131" i="3"/>
  <c r="AB131" i="3"/>
  <c r="AD131" i="3"/>
  <c r="AF132" i="3"/>
  <c r="AB132" i="3"/>
  <c r="AD132" i="3"/>
  <c r="AF133" i="3"/>
  <c r="Y133" i="3"/>
  <c r="AB133" i="3"/>
  <c r="AD133" i="3"/>
  <c r="AF134" i="3"/>
  <c r="AB134" i="3"/>
  <c r="AD134" i="3"/>
  <c r="AF135" i="3"/>
  <c r="AB135" i="3"/>
  <c r="AD135" i="3"/>
  <c r="AF136" i="3"/>
  <c r="AB136" i="3"/>
  <c r="AD136" i="3"/>
  <c r="AF137" i="3"/>
  <c r="AB137" i="3"/>
  <c r="AD137" i="3"/>
  <c r="AF138" i="3"/>
  <c r="Y138" i="3"/>
  <c r="AB138" i="3"/>
  <c r="AD138" i="3"/>
  <c r="AF139" i="3"/>
  <c r="AB139" i="3"/>
  <c r="AD139" i="3"/>
  <c r="AF140" i="3"/>
  <c r="AB140" i="3"/>
  <c r="AD140" i="3"/>
  <c r="AF141" i="3"/>
  <c r="Y141" i="3"/>
  <c r="AB141" i="3"/>
  <c r="AD141" i="3"/>
  <c r="AF142" i="3"/>
  <c r="AB142" i="3"/>
  <c r="AD142" i="3"/>
  <c r="AF143" i="3"/>
  <c r="AB143" i="3"/>
  <c r="AF144" i="3"/>
  <c r="AB144" i="3"/>
  <c r="AF145" i="3"/>
  <c r="AB145" i="3"/>
  <c r="AD145" i="3"/>
  <c r="AF146" i="3"/>
  <c r="Y146" i="3"/>
  <c r="AB146" i="3"/>
  <c r="AD146" i="3"/>
  <c r="AF147" i="3"/>
  <c r="AB147" i="3"/>
  <c r="AD147" i="3"/>
  <c r="AF148" i="3"/>
  <c r="AB148" i="3"/>
  <c r="AD148" i="3"/>
  <c r="AF149" i="3"/>
  <c r="AB149" i="3"/>
  <c r="AF150" i="3"/>
  <c r="AB150" i="3"/>
  <c r="AD150" i="3"/>
  <c r="AF151" i="3"/>
  <c r="AB151" i="3"/>
  <c r="AD151" i="3"/>
  <c r="AF152" i="3"/>
  <c r="AB152" i="3"/>
  <c r="AD152" i="3"/>
  <c r="AF153" i="3"/>
  <c r="AB153" i="3"/>
  <c r="AD153" i="3"/>
  <c r="AF154" i="3"/>
  <c r="AB154" i="3"/>
  <c r="AD154" i="3"/>
  <c r="AF155" i="3"/>
  <c r="AB155" i="3"/>
  <c r="AD155" i="3"/>
  <c r="AF156" i="3"/>
  <c r="AB156" i="3"/>
  <c r="AD156" i="3"/>
  <c r="AF157" i="3"/>
  <c r="AB157" i="3"/>
  <c r="AD157" i="3"/>
  <c r="AF158" i="3"/>
  <c r="AB158" i="3"/>
  <c r="AD158" i="3"/>
  <c r="AF159" i="3"/>
  <c r="Y159" i="3"/>
  <c r="AB159" i="3"/>
  <c r="AD159" i="3"/>
  <c r="AB160" i="3"/>
  <c r="AD160" i="3"/>
  <c r="AF161" i="3"/>
  <c r="AB161" i="3"/>
  <c r="AF162" i="3"/>
  <c r="AB162" i="3"/>
  <c r="AD162" i="3"/>
  <c r="AF163" i="3"/>
  <c r="AB163" i="3"/>
  <c r="AD163" i="3"/>
  <c r="AF164" i="3"/>
  <c r="AB164" i="3"/>
  <c r="AD164" i="3"/>
  <c r="AF165" i="3"/>
  <c r="AB165" i="3"/>
  <c r="AF166" i="3"/>
  <c r="AB166" i="3"/>
  <c r="AD166" i="3"/>
  <c r="AF167" i="3"/>
  <c r="Y167" i="3"/>
  <c r="AB167" i="3"/>
  <c r="AD167" i="3"/>
  <c r="AF168" i="3"/>
  <c r="AB168" i="3"/>
  <c r="AD168" i="3"/>
  <c r="AF169" i="3"/>
  <c r="AB169" i="3"/>
  <c r="AD169" i="3"/>
  <c r="AF170" i="3"/>
  <c r="AB170" i="3"/>
  <c r="AD170" i="3"/>
  <c r="AF171" i="3"/>
  <c r="AB171" i="3"/>
  <c r="AD171" i="3"/>
  <c r="AF172" i="3"/>
  <c r="AB172" i="3"/>
  <c r="AD172" i="3"/>
  <c r="AF173" i="3"/>
  <c r="AB173" i="3"/>
  <c r="AD173" i="3"/>
  <c r="AF174" i="3"/>
  <c r="AB174" i="3"/>
  <c r="AD174" i="3"/>
  <c r="AF175" i="3"/>
  <c r="AB175" i="3"/>
  <c r="AD175" i="3"/>
  <c r="AF176" i="3"/>
  <c r="AB176" i="3"/>
  <c r="AD176" i="3"/>
  <c r="AF177" i="3"/>
  <c r="AB177" i="3"/>
  <c r="AD177" i="3"/>
  <c r="AF178" i="3"/>
  <c r="AB178" i="3"/>
  <c r="AF179" i="3"/>
  <c r="AB179" i="3"/>
  <c r="AD179" i="3"/>
  <c r="AF180" i="3"/>
  <c r="Y180" i="3"/>
  <c r="AB180" i="3"/>
  <c r="AD180" i="3"/>
  <c r="AB181" i="3"/>
  <c r="AD181" i="3"/>
  <c r="AF182" i="3"/>
  <c r="Y182" i="3"/>
  <c r="AB182" i="3"/>
  <c r="AD182" i="3"/>
  <c r="AF183" i="3"/>
  <c r="Y183" i="3"/>
  <c r="AB183" i="3"/>
  <c r="AD183" i="3"/>
  <c r="AF184" i="3"/>
  <c r="AB184" i="3"/>
  <c r="AD184" i="3"/>
  <c r="AB185" i="3"/>
  <c r="AD185" i="3"/>
  <c r="AF186" i="3"/>
  <c r="AB186" i="3"/>
  <c r="AD186" i="3"/>
  <c r="AF187" i="3"/>
  <c r="AB187" i="3"/>
  <c r="AD187" i="3"/>
  <c r="AF188" i="3"/>
  <c r="AB188" i="3"/>
  <c r="AD188" i="3"/>
  <c r="AE188" i="3"/>
  <c r="AF189" i="3"/>
  <c r="AB189" i="3"/>
  <c r="AD189" i="3"/>
  <c r="AF190" i="3"/>
  <c r="AB190" i="3"/>
  <c r="AD190" i="3"/>
  <c r="AF191" i="3"/>
  <c r="AB191" i="3"/>
  <c r="AD191" i="3"/>
  <c r="AF192" i="3"/>
  <c r="AB192" i="3"/>
  <c r="AD192" i="3"/>
  <c r="AF193" i="3"/>
  <c r="AB193" i="3"/>
  <c r="AD193" i="3"/>
  <c r="AF194" i="3"/>
  <c r="AB194" i="3"/>
  <c r="AD194" i="3"/>
  <c r="AF195" i="3"/>
  <c r="AB195" i="3"/>
  <c r="AF196" i="3"/>
  <c r="AB196" i="3"/>
  <c r="AD196" i="3"/>
  <c r="AF197" i="3"/>
  <c r="AB197" i="3"/>
  <c r="AD197" i="3"/>
  <c r="AE197" i="3"/>
  <c r="AF198" i="3"/>
  <c r="AB198" i="3"/>
  <c r="AD198" i="3"/>
  <c r="AF199" i="3"/>
  <c r="AB199" i="3"/>
  <c r="AD199" i="3"/>
  <c r="AF200" i="3"/>
  <c r="AB200" i="3"/>
  <c r="AD200" i="3"/>
  <c r="AF201" i="3"/>
  <c r="AB201" i="3"/>
  <c r="AD201" i="3"/>
  <c r="AF202" i="3"/>
  <c r="AB202" i="3"/>
  <c r="AD202" i="3"/>
  <c r="AF203" i="3"/>
  <c r="AB203" i="3"/>
  <c r="AD203" i="3"/>
  <c r="AF204" i="3"/>
  <c r="AB204" i="3"/>
  <c r="AD204" i="3"/>
  <c r="AF205" i="3"/>
  <c r="AB205" i="3"/>
  <c r="AD205" i="3"/>
  <c r="AF206" i="3"/>
  <c r="AB206" i="3"/>
  <c r="AD206" i="3"/>
  <c r="AF207" i="3"/>
  <c r="AB207" i="3"/>
  <c r="AD207" i="3"/>
  <c r="AF208" i="3"/>
  <c r="AB208" i="3"/>
  <c r="AD208" i="3"/>
  <c r="AF209" i="3"/>
  <c r="AB209" i="3"/>
  <c r="AD209" i="3"/>
  <c r="AF210" i="3"/>
  <c r="AB210" i="3"/>
  <c r="AD210" i="3"/>
  <c r="AF211" i="3"/>
  <c r="AB211" i="3"/>
  <c r="AD211" i="3"/>
  <c r="AF212" i="3"/>
  <c r="AB212" i="3"/>
  <c r="AD212" i="3"/>
  <c r="AF213" i="3"/>
  <c r="AB213" i="3"/>
  <c r="AD213" i="3"/>
  <c r="AF214" i="3"/>
  <c r="AB214" i="3"/>
  <c r="AD214" i="3"/>
  <c r="AF215" i="3"/>
  <c r="AB215" i="3"/>
  <c r="AD215" i="3"/>
  <c r="AF216" i="3"/>
  <c r="AB216" i="3"/>
  <c r="AD216" i="3"/>
  <c r="AF217" i="3"/>
  <c r="Y217" i="3"/>
  <c r="AB217" i="3"/>
  <c r="AD217" i="3"/>
  <c r="AF218" i="3"/>
  <c r="AB218" i="3"/>
  <c r="AD218" i="3"/>
  <c r="AF219" i="3"/>
  <c r="AB219" i="3"/>
  <c r="AD219" i="3"/>
  <c r="AF220" i="3"/>
  <c r="AB220" i="3"/>
  <c r="AD220" i="3"/>
  <c r="AF221" i="3"/>
  <c r="AB221" i="3"/>
  <c r="AD221" i="3"/>
  <c r="AF222" i="3"/>
  <c r="AB222" i="3"/>
  <c r="AD222" i="3"/>
  <c r="AF223" i="3"/>
  <c r="AB223" i="3"/>
  <c r="AD223" i="3"/>
  <c r="AF224" i="3"/>
  <c r="AB224" i="3"/>
  <c r="AD224" i="3"/>
  <c r="AF225" i="3"/>
  <c r="Y225" i="3"/>
  <c r="AB225" i="3"/>
  <c r="AD225" i="3"/>
  <c r="AF226" i="3"/>
  <c r="AB226" i="3"/>
  <c r="AD226" i="3"/>
  <c r="AF227" i="3"/>
  <c r="AB227" i="3"/>
  <c r="AD227" i="3"/>
  <c r="AF228" i="3"/>
  <c r="AB228" i="3"/>
  <c r="AD228" i="3"/>
  <c r="AF229" i="3"/>
  <c r="AB229" i="3"/>
  <c r="AD229" i="3"/>
  <c r="AF230" i="3"/>
  <c r="AB230" i="3"/>
  <c r="AD230" i="3"/>
  <c r="AF231" i="3"/>
  <c r="AB231" i="3"/>
  <c r="AD231" i="3"/>
  <c r="AF232" i="3"/>
  <c r="AB232" i="3"/>
  <c r="AD232" i="3"/>
  <c r="AF233" i="3"/>
  <c r="Y233" i="3"/>
  <c r="AB233" i="3"/>
  <c r="AD233" i="3"/>
  <c r="AF234" i="3"/>
  <c r="AB234" i="3"/>
  <c r="AD234" i="3"/>
  <c r="AF235" i="3"/>
  <c r="AB235" i="3"/>
  <c r="AD235" i="3"/>
  <c r="AF236" i="3"/>
  <c r="AB236" i="3"/>
  <c r="AD236" i="3"/>
  <c r="AF237" i="3"/>
  <c r="AB237" i="3"/>
  <c r="AD237" i="3"/>
  <c r="AF238" i="3"/>
  <c r="AB238" i="3"/>
  <c r="AD238" i="3"/>
  <c r="AF239" i="3"/>
  <c r="Y239" i="3"/>
  <c r="AB239" i="3"/>
  <c r="AD239" i="3"/>
  <c r="AF240" i="3"/>
  <c r="AB240" i="3"/>
  <c r="AD240" i="3"/>
  <c r="AF241" i="3"/>
  <c r="AB241" i="3"/>
  <c r="AD241" i="3"/>
  <c r="AF242" i="3"/>
  <c r="Y242" i="3"/>
  <c r="AB242" i="3"/>
  <c r="AD242" i="3"/>
  <c r="AF243" i="3"/>
  <c r="AB243" i="3"/>
  <c r="AD243" i="3"/>
  <c r="AF244" i="3"/>
  <c r="AB244" i="3"/>
  <c r="AF245" i="3"/>
  <c r="AB245" i="3"/>
  <c r="AD245" i="3"/>
  <c r="AF246" i="3"/>
  <c r="AB246" i="3"/>
  <c r="AD246" i="3"/>
  <c r="AF247" i="3"/>
  <c r="AB247" i="3"/>
  <c r="AD247" i="3"/>
  <c r="AF248" i="3"/>
  <c r="AB248" i="3"/>
  <c r="AD248" i="3"/>
  <c r="AF249" i="3"/>
  <c r="AB249" i="3"/>
  <c r="AD249" i="3"/>
  <c r="AF250" i="3"/>
  <c r="AB250" i="3"/>
  <c r="AD250" i="3"/>
  <c r="AF251" i="3"/>
  <c r="AB251" i="3"/>
  <c r="AD251" i="3"/>
  <c r="AF252" i="3"/>
  <c r="AB252" i="3"/>
  <c r="AD252" i="3"/>
  <c r="AB253" i="3"/>
  <c r="AD253" i="3"/>
  <c r="AF254" i="3"/>
  <c r="AB254" i="3"/>
  <c r="AD254" i="3"/>
  <c r="AF255" i="3"/>
  <c r="AB255" i="3"/>
  <c r="AD255" i="3"/>
  <c r="AF256" i="3"/>
  <c r="AB256" i="3"/>
  <c r="AD256" i="3"/>
  <c r="AF257" i="3"/>
  <c r="AB257" i="3"/>
  <c r="AD257" i="3"/>
  <c r="AF258" i="3"/>
  <c r="AB258" i="3"/>
  <c r="AD258" i="3"/>
  <c r="AF259" i="3"/>
  <c r="AB259" i="3"/>
  <c r="AD259" i="3"/>
  <c r="AF260" i="3"/>
  <c r="AB260" i="3"/>
  <c r="AD260" i="3"/>
  <c r="AF261" i="3"/>
  <c r="AB261" i="3"/>
  <c r="AD261" i="3"/>
  <c r="AF262" i="3"/>
  <c r="AB262" i="3"/>
  <c r="AD262" i="3"/>
  <c r="AF263" i="3"/>
  <c r="AB263" i="3"/>
  <c r="AD263" i="3"/>
  <c r="AF264" i="3"/>
  <c r="AB264" i="3"/>
  <c r="AD264" i="3"/>
  <c r="AF265" i="3"/>
  <c r="AB265" i="3"/>
  <c r="AD265" i="3"/>
  <c r="AF266" i="3"/>
  <c r="AB266" i="3"/>
  <c r="AD266" i="3"/>
  <c r="AF267" i="3"/>
  <c r="AB267" i="3"/>
  <c r="AD267" i="3"/>
  <c r="AF268" i="3"/>
  <c r="AB268" i="3"/>
  <c r="AD268" i="3"/>
  <c r="AF269" i="3"/>
  <c r="AB269" i="3"/>
  <c r="AD269" i="3"/>
  <c r="AF270" i="3"/>
  <c r="AB270" i="3"/>
  <c r="AD270" i="3"/>
  <c r="AF271" i="3"/>
  <c r="AB271" i="3"/>
  <c r="AD271" i="3"/>
  <c r="AF272" i="3"/>
  <c r="AB272" i="3"/>
  <c r="AD272" i="3"/>
  <c r="AF273" i="3"/>
  <c r="AB273" i="3"/>
  <c r="AD273" i="3"/>
  <c r="AF274" i="3"/>
  <c r="AB274" i="3"/>
  <c r="AD274" i="3"/>
  <c r="AF275" i="3"/>
  <c r="AB275" i="3"/>
  <c r="AD275" i="3"/>
  <c r="AF276" i="3"/>
  <c r="AB276" i="3"/>
  <c r="AD276" i="3"/>
  <c r="AF277" i="3"/>
  <c r="AB277" i="3"/>
  <c r="AD277" i="3"/>
  <c r="AF278" i="3"/>
  <c r="AB278" i="3"/>
  <c r="AD278" i="3"/>
  <c r="AF279" i="3"/>
  <c r="AB279" i="3"/>
  <c r="AD279" i="3"/>
  <c r="AF280" i="3"/>
  <c r="AB280" i="3"/>
  <c r="AD280" i="3"/>
  <c r="AF281" i="3"/>
  <c r="AB281" i="3"/>
  <c r="AD281" i="3"/>
  <c r="AF282" i="3"/>
  <c r="AB282" i="3"/>
  <c r="AD282" i="3"/>
  <c r="AF283" i="3"/>
  <c r="AB283" i="3"/>
  <c r="AD283" i="3"/>
  <c r="AF284" i="3"/>
  <c r="AB284" i="3"/>
  <c r="AD284" i="3"/>
  <c r="AF285" i="3"/>
  <c r="AB285" i="3"/>
  <c r="AD285" i="3"/>
  <c r="AF286" i="3"/>
  <c r="AB286" i="3"/>
  <c r="AD286" i="3"/>
  <c r="AB287" i="3"/>
  <c r="AD287" i="3"/>
  <c r="AF288" i="3"/>
  <c r="AB288" i="3"/>
  <c r="AD288" i="3"/>
  <c r="AF289" i="3"/>
  <c r="Y289" i="3"/>
  <c r="AB289" i="3"/>
  <c r="AD289" i="3"/>
  <c r="AF290" i="3"/>
  <c r="AB290" i="3"/>
  <c r="AD290" i="3"/>
  <c r="AE290" i="3"/>
  <c r="AF291" i="3"/>
  <c r="AB291" i="3"/>
  <c r="AD291" i="3"/>
  <c r="AF292" i="3"/>
  <c r="AB292" i="3"/>
  <c r="AD292" i="3"/>
  <c r="AF293" i="3"/>
  <c r="AB293" i="3"/>
  <c r="AD293" i="3"/>
  <c r="AF294" i="3"/>
  <c r="AB294" i="3"/>
  <c r="AD294" i="3"/>
  <c r="AF295" i="3"/>
  <c r="AB295" i="3"/>
  <c r="AD295" i="3"/>
  <c r="AF296" i="3"/>
  <c r="AB296" i="3"/>
  <c r="AD296" i="3"/>
  <c r="AE296" i="3"/>
  <c r="AF297" i="3"/>
  <c r="AB297" i="3"/>
  <c r="AD297" i="3"/>
  <c r="AF298" i="3"/>
  <c r="AB298" i="3"/>
  <c r="AF299" i="3"/>
  <c r="AB299" i="3"/>
  <c r="AD299" i="3"/>
  <c r="AF300" i="3"/>
  <c r="AB300" i="3"/>
  <c r="AD300" i="3"/>
  <c r="AF301" i="3"/>
  <c r="AB301" i="3"/>
  <c r="AD301" i="3"/>
  <c r="AF302" i="3"/>
  <c r="AB302" i="3"/>
  <c r="AD302" i="3"/>
  <c r="AF303" i="3"/>
  <c r="AB303" i="3"/>
  <c r="AD303" i="3"/>
  <c r="AF304" i="3"/>
  <c r="AB304" i="3"/>
  <c r="AD304" i="3"/>
  <c r="AF305" i="3"/>
  <c r="Y305" i="3"/>
  <c r="AB305" i="3"/>
  <c r="AF306" i="3"/>
  <c r="AB306" i="3"/>
  <c r="AD306" i="3"/>
  <c r="AF307" i="3"/>
  <c r="AB307" i="3"/>
  <c r="AD307" i="3"/>
  <c r="AF308" i="3"/>
  <c r="AB308" i="3"/>
  <c r="AF309" i="3"/>
  <c r="AB309" i="3"/>
  <c r="AD309" i="3"/>
  <c r="AF310" i="3"/>
  <c r="Y310" i="3"/>
  <c r="AB310" i="3"/>
  <c r="AD310" i="3"/>
  <c r="AF311" i="3"/>
  <c r="AB311" i="3"/>
  <c r="AD311" i="3"/>
  <c r="AF312" i="3"/>
  <c r="AB312" i="3"/>
  <c r="AF313" i="3"/>
  <c r="AB313" i="3"/>
  <c r="AD313" i="3"/>
  <c r="AF314" i="3"/>
  <c r="AB314" i="3"/>
  <c r="AD314" i="3"/>
  <c r="AF315" i="3"/>
  <c r="AB315" i="3"/>
  <c r="AF316" i="3"/>
  <c r="Y316" i="3"/>
  <c r="AB316" i="3"/>
  <c r="AD316" i="3"/>
  <c r="AF317" i="3"/>
  <c r="AB317" i="3"/>
  <c r="AD317" i="3"/>
  <c r="AF318" i="3"/>
  <c r="AB318" i="3"/>
  <c r="AD318" i="3"/>
  <c r="AF319" i="3"/>
  <c r="AB319" i="3"/>
  <c r="AF320" i="3"/>
  <c r="AB320" i="3"/>
  <c r="AD320" i="3"/>
  <c r="AF321" i="3"/>
  <c r="AB321" i="3"/>
  <c r="AD321" i="3"/>
  <c r="AF322" i="3"/>
  <c r="AB322" i="3"/>
  <c r="AD322" i="3"/>
  <c r="AF323" i="3"/>
  <c r="Y323" i="3"/>
  <c r="AB323" i="3"/>
  <c r="AF324" i="3"/>
  <c r="AB324" i="3"/>
  <c r="AD324" i="3"/>
  <c r="AF325" i="3"/>
  <c r="AB325" i="3"/>
  <c r="AF326" i="3"/>
  <c r="Y326" i="3"/>
  <c r="AB326" i="3"/>
  <c r="AD326" i="3"/>
  <c r="AF327" i="3"/>
  <c r="AB327" i="3"/>
  <c r="AD327" i="3"/>
  <c r="AF328" i="3"/>
  <c r="AB328" i="3"/>
  <c r="AD328" i="3"/>
  <c r="AF329" i="3"/>
  <c r="AB329" i="3"/>
  <c r="AF330" i="3"/>
  <c r="AB330" i="3"/>
  <c r="AD330" i="3"/>
  <c r="AF331" i="3"/>
  <c r="AB331" i="3"/>
  <c r="AD331" i="3"/>
  <c r="AF332" i="3"/>
  <c r="AB332" i="3"/>
  <c r="AF333" i="3"/>
  <c r="Y333" i="3"/>
  <c r="AB333" i="3"/>
  <c r="AD333" i="3"/>
  <c r="AF334" i="3"/>
  <c r="AB334" i="3"/>
  <c r="AD334" i="3"/>
  <c r="AF335" i="3"/>
  <c r="AB335" i="3"/>
  <c r="AD335" i="3"/>
  <c r="AF336" i="3"/>
  <c r="AB336" i="3"/>
  <c r="AD336" i="3"/>
  <c r="AF337" i="3"/>
  <c r="AB337" i="3"/>
  <c r="AD337" i="3"/>
  <c r="AE337" i="3"/>
  <c r="AF338" i="3"/>
  <c r="AB338" i="3"/>
  <c r="AB339" i="3"/>
  <c r="AD339" i="3"/>
  <c r="AF340" i="3"/>
  <c r="AB340" i="3"/>
  <c r="AD340" i="3"/>
  <c r="AF341" i="3"/>
  <c r="Y341" i="3"/>
  <c r="AB341" i="3"/>
  <c r="AF342" i="3"/>
  <c r="AB342" i="3"/>
  <c r="AD342" i="3"/>
  <c r="AF343" i="3"/>
  <c r="AB343" i="3"/>
  <c r="AD343" i="3"/>
  <c r="AF344" i="3"/>
  <c r="AB344" i="3"/>
  <c r="AD344" i="3"/>
  <c r="AF345" i="3"/>
  <c r="AB345" i="3"/>
  <c r="AF346" i="3"/>
  <c r="AB346" i="3"/>
  <c r="AD346" i="3"/>
  <c r="AF347" i="3"/>
  <c r="AB347" i="3"/>
  <c r="AD347" i="3"/>
  <c r="AF348" i="3"/>
  <c r="AB348" i="3"/>
  <c r="AD348" i="3"/>
  <c r="AF349" i="3"/>
  <c r="Y349" i="3"/>
  <c r="AB349" i="3"/>
  <c r="AD349" i="3"/>
  <c r="AF350" i="3"/>
  <c r="AB350" i="3"/>
  <c r="AB351" i="3"/>
  <c r="AD351" i="3"/>
  <c r="AF352" i="3"/>
  <c r="AB352" i="3"/>
  <c r="AF353" i="3"/>
  <c r="AB353" i="3"/>
  <c r="AD353" i="3"/>
  <c r="AF354" i="3"/>
  <c r="Y354" i="3"/>
  <c r="AB354" i="3"/>
  <c r="AD354" i="3"/>
  <c r="AF355" i="3"/>
  <c r="AB355" i="3"/>
  <c r="AD355" i="3"/>
  <c r="AF356" i="3"/>
  <c r="AB356" i="3"/>
  <c r="AD356" i="3"/>
  <c r="Y357" i="3"/>
  <c r="AB357" i="3"/>
  <c r="AD357" i="3"/>
  <c r="AF358" i="3"/>
  <c r="AB358" i="3"/>
  <c r="AF359" i="3"/>
  <c r="AB359" i="3"/>
  <c r="AD359" i="3"/>
  <c r="AF360" i="3"/>
  <c r="AB360" i="3"/>
  <c r="AD360" i="3"/>
  <c r="AF361" i="3"/>
  <c r="AB361" i="3"/>
  <c r="AD361" i="3"/>
  <c r="AF362" i="3"/>
  <c r="AB362" i="3"/>
  <c r="AD362" i="3"/>
  <c r="AB363" i="3"/>
  <c r="AD363" i="3"/>
  <c r="AB364" i="3"/>
  <c r="AD364" i="3"/>
  <c r="AF365" i="3"/>
  <c r="AB365" i="3"/>
  <c r="AD365" i="3"/>
  <c r="AF366" i="3"/>
  <c r="AB366" i="3"/>
  <c r="AD366" i="3"/>
  <c r="AF367" i="3"/>
  <c r="AB367" i="3"/>
  <c r="AD367" i="3"/>
  <c r="AF368" i="3"/>
  <c r="AB368" i="3"/>
  <c r="AD368" i="3"/>
  <c r="AF369" i="3"/>
  <c r="AB369" i="3"/>
  <c r="AD369" i="3"/>
  <c r="AF370" i="3"/>
  <c r="AB370" i="3"/>
  <c r="AD370" i="3"/>
  <c r="AF371" i="3"/>
  <c r="AB371" i="3"/>
  <c r="AD371" i="3"/>
  <c r="AF372" i="3"/>
  <c r="AB372" i="3"/>
  <c r="AD372" i="3"/>
  <c r="AF373" i="3"/>
  <c r="AB373" i="3"/>
  <c r="AD373" i="3"/>
  <c r="AF374" i="3"/>
  <c r="AB374" i="3"/>
  <c r="AD374" i="3"/>
  <c r="AF375" i="3"/>
  <c r="AB375" i="3"/>
  <c r="AD375" i="3"/>
  <c r="AF376" i="3"/>
  <c r="AB376" i="3"/>
  <c r="AE376" i="3"/>
  <c r="AF377" i="3"/>
  <c r="AB377" i="3"/>
  <c r="AD377" i="3"/>
  <c r="AF378" i="3"/>
  <c r="AB378" i="3"/>
  <c r="AD378" i="3"/>
  <c r="AF379" i="3"/>
  <c r="AB379" i="3"/>
  <c r="AD379" i="3"/>
  <c r="AF380" i="3"/>
  <c r="AB380" i="3"/>
  <c r="AD380" i="3"/>
  <c r="AF381" i="3"/>
  <c r="AB381" i="3"/>
  <c r="AD381" i="3"/>
  <c r="AF382" i="3"/>
  <c r="AB382" i="3"/>
  <c r="AD382" i="3"/>
  <c r="AF383" i="3"/>
  <c r="AB383" i="3"/>
  <c r="AD383" i="3"/>
  <c r="AF384" i="3"/>
  <c r="AB384" i="3"/>
  <c r="AD384" i="3"/>
  <c r="AE384" i="3"/>
  <c r="AF385" i="3"/>
  <c r="AB385" i="3"/>
  <c r="AD385" i="3"/>
  <c r="AF386" i="3"/>
  <c r="AB386" i="3"/>
  <c r="AD386" i="3"/>
  <c r="AB387" i="3"/>
  <c r="AD387" i="3"/>
  <c r="AF388" i="3"/>
  <c r="AB388" i="3"/>
  <c r="AD388" i="3"/>
  <c r="AF389" i="3"/>
  <c r="Y389" i="3"/>
  <c r="AB389" i="3"/>
  <c r="AF390" i="3"/>
  <c r="AB390" i="3"/>
  <c r="AD390" i="3"/>
  <c r="AF391" i="3"/>
  <c r="Y391" i="3"/>
  <c r="AB391" i="3"/>
  <c r="AD391" i="3"/>
  <c r="AF392" i="3"/>
  <c r="AB392" i="3"/>
  <c r="AD392" i="3"/>
  <c r="AF393" i="3"/>
  <c r="AB393" i="3"/>
  <c r="AD393" i="3"/>
  <c r="AF394" i="3"/>
  <c r="AB394" i="3"/>
  <c r="AD394" i="3"/>
  <c r="AB395" i="3"/>
  <c r="AD395" i="3"/>
  <c r="AF396" i="3"/>
  <c r="AB396" i="3"/>
  <c r="AD396" i="3"/>
  <c r="AF397" i="3"/>
  <c r="AB397" i="3"/>
  <c r="AD397" i="3"/>
  <c r="AF398" i="3"/>
  <c r="AB398" i="3"/>
  <c r="Y399" i="3"/>
  <c r="AB399" i="3"/>
  <c r="AD399" i="3"/>
  <c r="AF400" i="3"/>
  <c r="AB400" i="3"/>
  <c r="AD400" i="3"/>
  <c r="AF401" i="3"/>
  <c r="AB401" i="3"/>
  <c r="AD401" i="3"/>
  <c r="AF402" i="3"/>
  <c r="Y402" i="3"/>
  <c r="AB402" i="3"/>
  <c r="AD402" i="3"/>
  <c r="AB403" i="3"/>
  <c r="AD403" i="3"/>
  <c r="AF404" i="3"/>
  <c r="Y404" i="3"/>
  <c r="AB404" i="3"/>
  <c r="AD404" i="3"/>
  <c r="AF405" i="3"/>
  <c r="AB405" i="3"/>
  <c r="AD405" i="3"/>
  <c r="AF406" i="3"/>
  <c r="AB406" i="3"/>
  <c r="AD406" i="3"/>
  <c r="AF407" i="3"/>
  <c r="Y407" i="3"/>
  <c r="AB407" i="3"/>
  <c r="AD407" i="3"/>
  <c r="AB408" i="3"/>
  <c r="AD408" i="3"/>
  <c r="AF409" i="3"/>
  <c r="AB409" i="3"/>
  <c r="AD409" i="3"/>
  <c r="AF410" i="3"/>
  <c r="AB410" i="3"/>
  <c r="AD410" i="3"/>
  <c r="AF411" i="3"/>
  <c r="AB411" i="3"/>
  <c r="AD411" i="3"/>
  <c r="AF412" i="3"/>
  <c r="Y412" i="3"/>
  <c r="AB412" i="3"/>
  <c r="AD412" i="3"/>
  <c r="AF413" i="3"/>
  <c r="AB413" i="3"/>
  <c r="AD413" i="3"/>
  <c r="AF414" i="3"/>
  <c r="AB414" i="3"/>
  <c r="AD414" i="3"/>
  <c r="AF415" i="3"/>
  <c r="Y415" i="3"/>
  <c r="AB415" i="3"/>
  <c r="AD415" i="3"/>
  <c r="AF416" i="3"/>
  <c r="AB416" i="3"/>
  <c r="AD416" i="3"/>
  <c r="AF417" i="3"/>
  <c r="AB417" i="3"/>
  <c r="AD417" i="3"/>
  <c r="AB418" i="3"/>
  <c r="AD418" i="3"/>
  <c r="AF419" i="3"/>
  <c r="AB419" i="3"/>
  <c r="AD419" i="3"/>
  <c r="AF420" i="3"/>
  <c r="AB420" i="3"/>
  <c r="AD420" i="3"/>
  <c r="AF421" i="3"/>
  <c r="AB421" i="3"/>
  <c r="AD421" i="3"/>
  <c r="AF422" i="3"/>
  <c r="AB422" i="3"/>
  <c r="AD422" i="3"/>
  <c r="AF423" i="3"/>
  <c r="Y423" i="3"/>
  <c r="AB423" i="3"/>
  <c r="AD423" i="3"/>
  <c r="AF424" i="3"/>
  <c r="AB424" i="3"/>
  <c r="AD424" i="3"/>
  <c r="AF425" i="3"/>
  <c r="AB425" i="3"/>
  <c r="AD425" i="3"/>
  <c r="AF426" i="3"/>
  <c r="AB426" i="3"/>
  <c r="AD426" i="3"/>
  <c r="AF427" i="3"/>
  <c r="AB427" i="3"/>
  <c r="AD427" i="3"/>
  <c r="AF428" i="3"/>
  <c r="AB428" i="3"/>
  <c r="AD428" i="3"/>
  <c r="AF429" i="3"/>
  <c r="AB429" i="3"/>
  <c r="AF430" i="3"/>
  <c r="AB430" i="3"/>
  <c r="AD430" i="3"/>
  <c r="AF431" i="3"/>
  <c r="Y431" i="3"/>
  <c r="AB431" i="3"/>
  <c r="AD431" i="3"/>
  <c r="AF432" i="3"/>
  <c r="AB432" i="3"/>
  <c r="AD432" i="3"/>
  <c r="AF433" i="3"/>
  <c r="AB433" i="3"/>
  <c r="AD433" i="3"/>
  <c r="AF434" i="3"/>
  <c r="Y434" i="3"/>
  <c r="AB434" i="3"/>
  <c r="AD434" i="3"/>
  <c r="AF435" i="3"/>
  <c r="AB435" i="3"/>
  <c r="AD435" i="3"/>
  <c r="AF436" i="3"/>
  <c r="AB436" i="3"/>
  <c r="AD436" i="3"/>
  <c r="AF437" i="3"/>
  <c r="AB437" i="3"/>
  <c r="AD437" i="3"/>
  <c r="AF438" i="3"/>
  <c r="AB438" i="3"/>
  <c r="AD438" i="3"/>
  <c r="AF439" i="3"/>
  <c r="Y439" i="3"/>
  <c r="AB439" i="3"/>
  <c r="AD439" i="3"/>
  <c r="AF440" i="3"/>
  <c r="AB440" i="3"/>
  <c r="AF441" i="3"/>
  <c r="AB441" i="3"/>
  <c r="AD441" i="3"/>
  <c r="AF442" i="3"/>
  <c r="AB442" i="3"/>
  <c r="AD442" i="3"/>
  <c r="AB443" i="3"/>
  <c r="AD443" i="3"/>
  <c r="AF444" i="3"/>
  <c r="AB444" i="3"/>
  <c r="AD444" i="3"/>
  <c r="AF445" i="3"/>
  <c r="AB445" i="3"/>
  <c r="AD445" i="3"/>
  <c r="AF446" i="3"/>
  <c r="AB446" i="3"/>
  <c r="AD446" i="3"/>
  <c r="AF447" i="3"/>
  <c r="AB447" i="3"/>
  <c r="AD447" i="3"/>
  <c r="AF448" i="3"/>
  <c r="AB448" i="3"/>
  <c r="AD448" i="3"/>
  <c r="AF449" i="3"/>
  <c r="AB449" i="3"/>
  <c r="AD449" i="3"/>
  <c r="AF450" i="3"/>
  <c r="AB450" i="3"/>
  <c r="AD450" i="3"/>
  <c r="AF451" i="3"/>
  <c r="AB451" i="3"/>
  <c r="AD451" i="3"/>
  <c r="AB452" i="3"/>
  <c r="AD452" i="3"/>
  <c r="AF453" i="3"/>
  <c r="AB453" i="3"/>
  <c r="AD453" i="3"/>
  <c r="AF454" i="3"/>
  <c r="AB454" i="3"/>
  <c r="AD454" i="3"/>
  <c r="AF455" i="3"/>
  <c r="AB455" i="3"/>
  <c r="AD455" i="3"/>
  <c r="AF456" i="3"/>
  <c r="AB456" i="3"/>
  <c r="AD456" i="3"/>
  <c r="AF457" i="3"/>
  <c r="AB457" i="3"/>
  <c r="AF458" i="3"/>
  <c r="AB458" i="3"/>
  <c r="AD458" i="3"/>
  <c r="AF459" i="3"/>
  <c r="AB459" i="3"/>
  <c r="AD459" i="3"/>
  <c r="AF460" i="3"/>
  <c r="Y460" i="3"/>
  <c r="AB460" i="3"/>
  <c r="AD460" i="3"/>
  <c r="AF461" i="3"/>
  <c r="AB461" i="3"/>
  <c r="AD461" i="3"/>
  <c r="AF462" i="3"/>
  <c r="AB462" i="3"/>
  <c r="AD462" i="3"/>
  <c r="AF463" i="3"/>
  <c r="Y463" i="3"/>
  <c r="AB463" i="3"/>
  <c r="AD463" i="3"/>
  <c r="AF464" i="3"/>
  <c r="AB464" i="3"/>
  <c r="AD464" i="3"/>
  <c r="AF465" i="3"/>
  <c r="AB465" i="3"/>
  <c r="AD465" i="3"/>
  <c r="AF466" i="3"/>
  <c r="AB466" i="3"/>
  <c r="AF467" i="3"/>
  <c r="AB467" i="3"/>
  <c r="AD467" i="3"/>
  <c r="AF468" i="3"/>
  <c r="AB468" i="3"/>
  <c r="AD468" i="3"/>
  <c r="AF469" i="3"/>
  <c r="AB469" i="3"/>
  <c r="AD469" i="3"/>
  <c r="AF470" i="3"/>
  <c r="AB470" i="3"/>
  <c r="AD470" i="3"/>
  <c r="AF471" i="3"/>
  <c r="AB471" i="3"/>
  <c r="AD471" i="3"/>
  <c r="AF472" i="3"/>
  <c r="AB472" i="3"/>
  <c r="AD472" i="3"/>
  <c r="AF473" i="3"/>
  <c r="AB473" i="3"/>
  <c r="AD473" i="3"/>
  <c r="AF474" i="3"/>
  <c r="AB474" i="3"/>
  <c r="AD474" i="3"/>
  <c r="AF475" i="3"/>
  <c r="AB475" i="3"/>
  <c r="AD475" i="3"/>
  <c r="AF476" i="3"/>
  <c r="AB476" i="3"/>
  <c r="AD476" i="3"/>
  <c r="AF477" i="3"/>
  <c r="AB477" i="3"/>
  <c r="AD477" i="3"/>
  <c r="AF478" i="3"/>
  <c r="AB478" i="3"/>
  <c r="AD478" i="3"/>
  <c r="AF479" i="3"/>
  <c r="AB479" i="3"/>
  <c r="AD479" i="3"/>
  <c r="AF480" i="3"/>
  <c r="AB480" i="3"/>
  <c r="AD480" i="3"/>
  <c r="AF481" i="3"/>
  <c r="AB481" i="3"/>
  <c r="AD481" i="3"/>
  <c r="AF482" i="3"/>
  <c r="AB482" i="3"/>
  <c r="AD482" i="3"/>
  <c r="AF483" i="3"/>
  <c r="AB483" i="3"/>
  <c r="AD483" i="3"/>
  <c r="AF484" i="3"/>
  <c r="AB484" i="3"/>
  <c r="AD484" i="3"/>
  <c r="AF485" i="3"/>
  <c r="AB485" i="3"/>
  <c r="AD485" i="3"/>
  <c r="AF486" i="3"/>
  <c r="AB486" i="3"/>
  <c r="AD486" i="3"/>
  <c r="AF487" i="3"/>
  <c r="AB487" i="3"/>
  <c r="AD487" i="3"/>
  <c r="AF488" i="3"/>
  <c r="AB488" i="3"/>
  <c r="AD488" i="3"/>
  <c r="AF489" i="3"/>
  <c r="AB489" i="3"/>
  <c r="AD489" i="3"/>
  <c r="AF490" i="3"/>
  <c r="AB490" i="3"/>
  <c r="AD490" i="3"/>
  <c r="AB491" i="3"/>
  <c r="AD491" i="3"/>
  <c r="AF492" i="3"/>
  <c r="Y492" i="3"/>
  <c r="AB492" i="3"/>
  <c r="AD492" i="3"/>
  <c r="AF493" i="3"/>
  <c r="AB493" i="3"/>
  <c r="AD493" i="3"/>
  <c r="AF494" i="3"/>
  <c r="AB494" i="3"/>
  <c r="AD494" i="3"/>
  <c r="AF495" i="3"/>
  <c r="Y495" i="3"/>
  <c r="AB495" i="3"/>
  <c r="AD495" i="3"/>
  <c r="AF496" i="3"/>
  <c r="AB496" i="3"/>
  <c r="AD496" i="3"/>
  <c r="AF497" i="3"/>
  <c r="AB497" i="3"/>
  <c r="AD497" i="3"/>
  <c r="AF498" i="3"/>
  <c r="AB498" i="3"/>
  <c r="AD498" i="3"/>
  <c r="AF499" i="3"/>
  <c r="AB499" i="3"/>
  <c r="AD499" i="3"/>
  <c r="AF500" i="3"/>
  <c r="Y500" i="3"/>
  <c r="AB500" i="3"/>
  <c r="AD500" i="3"/>
  <c r="AF501" i="3"/>
  <c r="AB501" i="3"/>
  <c r="AD501" i="3"/>
  <c r="AF502" i="3"/>
  <c r="AB502" i="3"/>
  <c r="AD502" i="3"/>
  <c r="AF503" i="3"/>
  <c r="Y503" i="3"/>
  <c r="AB503" i="3"/>
  <c r="AD503" i="3"/>
  <c r="AF504" i="3"/>
  <c r="AB504" i="3"/>
  <c r="AD504" i="3"/>
  <c r="AF505" i="3"/>
  <c r="AB505" i="3"/>
  <c r="AD505" i="3"/>
  <c r="AF506" i="3"/>
  <c r="AB506" i="3"/>
  <c r="AD506" i="3"/>
  <c r="AF507" i="3"/>
  <c r="AB507" i="3"/>
  <c r="AD507" i="3"/>
  <c r="AF508" i="3"/>
  <c r="Y508" i="3"/>
  <c r="AB508" i="3"/>
  <c r="AD508" i="3"/>
  <c r="AF509" i="3"/>
  <c r="AB509" i="3"/>
  <c r="AF510" i="3"/>
  <c r="AB510" i="3"/>
  <c r="AD510" i="3"/>
  <c r="AF511" i="3"/>
  <c r="AB511" i="3"/>
  <c r="AD511" i="3"/>
  <c r="AF512" i="3"/>
  <c r="AB512" i="3"/>
  <c r="AD512" i="3"/>
  <c r="AF513" i="3"/>
  <c r="AB513" i="3"/>
  <c r="AD513" i="3"/>
  <c r="AF514" i="3"/>
  <c r="AB514" i="3"/>
  <c r="AD514" i="3"/>
  <c r="AF515" i="3"/>
  <c r="AB515" i="3"/>
  <c r="AD515" i="3"/>
  <c r="AF516" i="3"/>
  <c r="AB516" i="3"/>
  <c r="AD516" i="3"/>
  <c r="AE516" i="3"/>
  <c r="AF517" i="3"/>
  <c r="AB517" i="3"/>
  <c r="AD517" i="3"/>
  <c r="AF518" i="3"/>
  <c r="AB518" i="3"/>
  <c r="AD518" i="3"/>
  <c r="AF519" i="3"/>
  <c r="Y519" i="3"/>
  <c r="AB519" i="3"/>
  <c r="AD519" i="3"/>
  <c r="AB520" i="3"/>
  <c r="AD520" i="3"/>
  <c r="AF521" i="3"/>
  <c r="AB521" i="3"/>
  <c r="AD521" i="3"/>
  <c r="AF522" i="3"/>
  <c r="AB522" i="3"/>
  <c r="AD522" i="3"/>
  <c r="AF523" i="3"/>
  <c r="AB523" i="3"/>
  <c r="AD523" i="3"/>
  <c r="AF524" i="3"/>
  <c r="Y524" i="3"/>
  <c r="AB524" i="3"/>
  <c r="AD524" i="3"/>
  <c r="AF525" i="3"/>
  <c r="AB525" i="3"/>
  <c r="AD525" i="3"/>
  <c r="AF526" i="3"/>
  <c r="AB526" i="3"/>
  <c r="AF527" i="3"/>
  <c r="AB527" i="3"/>
  <c r="AD527" i="3"/>
  <c r="AF528" i="3"/>
  <c r="AB528" i="3"/>
  <c r="AD528" i="3"/>
  <c r="AF529" i="3"/>
  <c r="AB529" i="3"/>
  <c r="AD529" i="3"/>
  <c r="AF530" i="3"/>
  <c r="AB530" i="3"/>
  <c r="AD530" i="3"/>
  <c r="AF531" i="3"/>
  <c r="AB531" i="3"/>
  <c r="AD531" i="3"/>
  <c r="AF532" i="3"/>
  <c r="AB532" i="3"/>
  <c r="AD532" i="3"/>
  <c r="AB533" i="3"/>
  <c r="AD533" i="3"/>
  <c r="AF534" i="3"/>
  <c r="AB534" i="3"/>
  <c r="AD534" i="3"/>
  <c r="AF535" i="3"/>
  <c r="AB535" i="3"/>
  <c r="AD535" i="3"/>
  <c r="AF536" i="3"/>
  <c r="AB536" i="3"/>
  <c r="AD536" i="3"/>
  <c r="AF537" i="3"/>
  <c r="AB537" i="3"/>
  <c r="AD537" i="3"/>
  <c r="AF538" i="3"/>
  <c r="AB538" i="3"/>
  <c r="AD538" i="3"/>
  <c r="AF539" i="3"/>
  <c r="AB539" i="3"/>
  <c r="AD539" i="3"/>
  <c r="AF540" i="3"/>
  <c r="AB540" i="3"/>
  <c r="AD540" i="3"/>
  <c r="AF541" i="3"/>
  <c r="AB541" i="3"/>
  <c r="AD541" i="3"/>
  <c r="AF542" i="3"/>
  <c r="AB542" i="3"/>
  <c r="AD542" i="3"/>
  <c r="AF543" i="3"/>
  <c r="AB543" i="3"/>
  <c r="AD543" i="3"/>
  <c r="AF544" i="3"/>
  <c r="AB544" i="3"/>
  <c r="AD544" i="3"/>
  <c r="AF545" i="3"/>
  <c r="AB545" i="3"/>
  <c r="AD545" i="3"/>
  <c r="AF546" i="3"/>
  <c r="AB546" i="3"/>
  <c r="AD546" i="3"/>
  <c r="AF547" i="3"/>
  <c r="AB547" i="3"/>
  <c r="AD547" i="3"/>
  <c r="AF548" i="3"/>
  <c r="AB548" i="3"/>
  <c r="AD548" i="3"/>
  <c r="AF549" i="3"/>
  <c r="AB549" i="3"/>
  <c r="AD549" i="3"/>
  <c r="AF550" i="3"/>
  <c r="AB550" i="3"/>
  <c r="AD550" i="3"/>
  <c r="AF551" i="3"/>
  <c r="AB551" i="3"/>
  <c r="AD551" i="3"/>
  <c r="AF552" i="3"/>
  <c r="AB552" i="3"/>
  <c r="AD552" i="3"/>
  <c r="AF553" i="3"/>
  <c r="AB553" i="3"/>
  <c r="AD553" i="3"/>
  <c r="AF554" i="3"/>
  <c r="AB554" i="3"/>
  <c r="AD554" i="3"/>
  <c r="AB555" i="3"/>
  <c r="AD555" i="3"/>
  <c r="AF556" i="3"/>
  <c r="AB556" i="3"/>
  <c r="AD556" i="3"/>
  <c r="AF557" i="3"/>
  <c r="AB557" i="3"/>
  <c r="AD557" i="3"/>
  <c r="AF558" i="3"/>
  <c r="AB558" i="3"/>
  <c r="AD558" i="3"/>
  <c r="AF559" i="3"/>
  <c r="AB559" i="3"/>
  <c r="AF560" i="3"/>
  <c r="AB560" i="3"/>
  <c r="AD560" i="3"/>
  <c r="AF561" i="3"/>
  <c r="Y561" i="3"/>
  <c r="AB561" i="3"/>
  <c r="AD561" i="3"/>
  <c r="AF562" i="3"/>
  <c r="AB562" i="3"/>
  <c r="AD562" i="3"/>
  <c r="AF563" i="3"/>
  <c r="AB563" i="3"/>
  <c r="AD563" i="3"/>
  <c r="AF564" i="3"/>
  <c r="Y564" i="3"/>
  <c r="AB564" i="3"/>
  <c r="AD564" i="3"/>
  <c r="AF565" i="3"/>
  <c r="AB565" i="3"/>
  <c r="AD565" i="3"/>
  <c r="AF566" i="3"/>
  <c r="AB566" i="3"/>
  <c r="AD566" i="3"/>
  <c r="AF567" i="3"/>
  <c r="AB567" i="3"/>
  <c r="AD567" i="3"/>
  <c r="AF568" i="3"/>
  <c r="AB568" i="3"/>
  <c r="AD568" i="3"/>
  <c r="AF569" i="3"/>
  <c r="Y569" i="3"/>
  <c r="AB569" i="3"/>
  <c r="AD569" i="3"/>
  <c r="AF570" i="3"/>
  <c r="AB570" i="3"/>
  <c r="AD570" i="3"/>
  <c r="AF571" i="3"/>
  <c r="AB571" i="3"/>
  <c r="AD571" i="3"/>
  <c r="AF572" i="3"/>
  <c r="Y572" i="3"/>
  <c r="AB572" i="3"/>
  <c r="AD572" i="3"/>
  <c r="AF573" i="3"/>
  <c r="AB573" i="3"/>
  <c r="AD573" i="3"/>
  <c r="AF574" i="3"/>
  <c r="AB574" i="3"/>
  <c r="AD574" i="3"/>
  <c r="AF575" i="3"/>
  <c r="AB575" i="3"/>
  <c r="AD575" i="3"/>
  <c r="AF576" i="3"/>
  <c r="AB576" i="3"/>
  <c r="AF577" i="3"/>
  <c r="AB577" i="3"/>
  <c r="AD577" i="3"/>
  <c r="AF578" i="3"/>
  <c r="AB578" i="3"/>
  <c r="AD578" i="3"/>
  <c r="AF579" i="3"/>
  <c r="AB579" i="3"/>
  <c r="AD579" i="3"/>
  <c r="AF580" i="3"/>
  <c r="AB580" i="3"/>
  <c r="AD580" i="3"/>
  <c r="AF581" i="3"/>
  <c r="AB581" i="3"/>
  <c r="AD581" i="3"/>
  <c r="AF582" i="3"/>
  <c r="AB582" i="3"/>
  <c r="AD582" i="3"/>
  <c r="AF583" i="3"/>
  <c r="AB583" i="3"/>
  <c r="AD583" i="3"/>
  <c r="AF584" i="3"/>
  <c r="AB584" i="3"/>
  <c r="AD584" i="3"/>
  <c r="AF585" i="3"/>
  <c r="AB585" i="3"/>
  <c r="AD585" i="3"/>
  <c r="AF586" i="3"/>
  <c r="AB586" i="3"/>
  <c r="AD586" i="3"/>
  <c r="AF587" i="3"/>
  <c r="AB587" i="3"/>
  <c r="AD587" i="3"/>
  <c r="AF588" i="3"/>
  <c r="AB588" i="3"/>
  <c r="AD588" i="3"/>
  <c r="AF589" i="3"/>
  <c r="AB589" i="3"/>
  <c r="AD589" i="3"/>
  <c r="AF590" i="3"/>
  <c r="AB590" i="3"/>
  <c r="AD590" i="3"/>
  <c r="AF591" i="3"/>
  <c r="AB591" i="3"/>
  <c r="AD591" i="3"/>
  <c r="AF592" i="3"/>
  <c r="AB592" i="3"/>
  <c r="AD592" i="3"/>
  <c r="AF593" i="3"/>
  <c r="AB593" i="3"/>
  <c r="AD593" i="3"/>
  <c r="AF594" i="3"/>
  <c r="AB594" i="3"/>
  <c r="AD594" i="3"/>
  <c r="AF595" i="3"/>
  <c r="AB595" i="3"/>
  <c r="AD595" i="3"/>
  <c r="AF596" i="3"/>
  <c r="AB596" i="3"/>
  <c r="AF597" i="3"/>
  <c r="AB597" i="3"/>
  <c r="AD597" i="3"/>
  <c r="AF598" i="3"/>
  <c r="Y598" i="3"/>
  <c r="AB598" i="3"/>
  <c r="AD598" i="3"/>
  <c r="AF599" i="3"/>
  <c r="AB599" i="3"/>
  <c r="AD599" i="3"/>
  <c r="AF600" i="3"/>
  <c r="AB600" i="3"/>
  <c r="AD600" i="3"/>
  <c r="AF601" i="3"/>
  <c r="Y601" i="3"/>
  <c r="AB601" i="3"/>
  <c r="AD601" i="3"/>
  <c r="AF602" i="3"/>
  <c r="AB602" i="3"/>
  <c r="AD602" i="3"/>
  <c r="AF603" i="3"/>
  <c r="AB603" i="3"/>
  <c r="AD603" i="3"/>
  <c r="AF604" i="3"/>
  <c r="AB604" i="3"/>
  <c r="AD604" i="3"/>
  <c r="AF605" i="3"/>
  <c r="AB605" i="3"/>
  <c r="AD605" i="3"/>
  <c r="AF606" i="3"/>
  <c r="Y606" i="3"/>
  <c r="AB606" i="3"/>
  <c r="AD606" i="3"/>
  <c r="AF607" i="3"/>
  <c r="AB607" i="3"/>
  <c r="AD607" i="3"/>
  <c r="AF608" i="3"/>
  <c r="AB608" i="3"/>
  <c r="AD608" i="3"/>
  <c r="AF609" i="3"/>
  <c r="Y609" i="3"/>
  <c r="AB609" i="3"/>
  <c r="AD609" i="3"/>
  <c r="AF610" i="3"/>
  <c r="AB610" i="3"/>
  <c r="AD610" i="3"/>
  <c r="AF611" i="3"/>
  <c r="AB611" i="3"/>
  <c r="AD611" i="3"/>
  <c r="AF612" i="3"/>
  <c r="AB612" i="3"/>
  <c r="AD612" i="3"/>
  <c r="AF613" i="3"/>
  <c r="AB613" i="3"/>
  <c r="AD613" i="3"/>
  <c r="AF614" i="3"/>
  <c r="Y614" i="3"/>
  <c r="AB614" i="3"/>
  <c r="AD614" i="3"/>
  <c r="AF615" i="3"/>
  <c r="AB615" i="3"/>
  <c r="AD615" i="3"/>
  <c r="AF616" i="3"/>
  <c r="AB616" i="3"/>
  <c r="AD616" i="3"/>
  <c r="AF617" i="3"/>
  <c r="Y617" i="3"/>
  <c r="AB617" i="3"/>
  <c r="AD617" i="3"/>
  <c r="AF618" i="3"/>
  <c r="AB618" i="3"/>
  <c r="AD618" i="3"/>
  <c r="AF619" i="3"/>
  <c r="AB619" i="3"/>
  <c r="AD619" i="3"/>
  <c r="AF620" i="3"/>
  <c r="AB620" i="3"/>
  <c r="AD620" i="3"/>
  <c r="AF621" i="3"/>
  <c r="AB621" i="3"/>
  <c r="AD621" i="3"/>
  <c r="AF622" i="3"/>
  <c r="Y622" i="3"/>
  <c r="AB622" i="3"/>
  <c r="AD622" i="3"/>
  <c r="AF623" i="3"/>
  <c r="AB623" i="3"/>
  <c r="AD623" i="3"/>
  <c r="AF624" i="3"/>
  <c r="AB624" i="3"/>
  <c r="AD624" i="3"/>
  <c r="AF625" i="3"/>
  <c r="Y625" i="3"/>
  <c r="AB625" i="3"/>
  <c r="AD625" i="3"/>
  <c r="AF626" i="3"/>
  <c r="AB626" i="3"/>
  <c r="AD626" i="3"/>
  <c r="AF627" i="3"/>
  <c r="AB627" i="3"/>
  <c r="AD627" i="3"/>
  <c r="AF628" i="3"/>
  <c r="AB628" i="3"/>
  <c r="AD628" i="3"/>
  <c r="AF629" i="3"/>
  <c r="AB629" i="3"/>
  <c r="AD629" i="3"/>
  <c r="AF630" i="3"/>
  <c r="Y630" i="3"/>
  <c r="AB630" i="3"/>
  <c r="AD630" i="3"/>
  <c r="AF631" i="3"/>
  <c r="AB631" i="3"/>
  <c r="AD631" i="3"/>
  <c r="AF632" i="3"/>
  <c r="AB632" i="3"/>
  <c r="AD632" i="3"/>
  <c r="Y633" i="3"/>
  <c r="AB633" i="3"/>
  <c r="AD633" i="3"/>
  <c r="AF634" i="3"/>
  <c r="AB634" i="3"/>
  <c r="AD634" i="3"/>
  <c r="AF635" i="3"/>
  <c r="AB635" i="3"/>
  <c r="AD635" i="3"/>
  <c r="AF636" i="3"/>
  <c r="AB636" i="3"/>
  <c r="AD636" i="3"/>
  <c r="AF637" i="3"/>
  <c r="AB637" i="3"/>
  <c r="AD637" i="3"/>
  <c r="AF638" i="3"/>
  <c r="Y638" i="3"/>
  <c r="AB638" i="3"/>
  <c r="AF639" i="3"/>
  <c r="AB639" i="3"/>
  <c r="AD639" i="3"/>
  <c r="AF640" i="3"/>
  <c r="AB640" i="3"/>
  <c r="AD640" i="3"/>
  <c r="AF641" i="3"/>
  <c r="AB641" i="3"/>
  <c r="AD641" i="3"/>
  <c r="AF642" i="3"/>
  <c r="AB642" i="3"/>
  <c r="AD642" i="3"/>
  <c r="AF643" i="3"/>
  <c r="AB643" i="3"/>
  <c r="AD643" i="3"/>
  <c r="AF644" i="3"/>
  <c r="AB644" i="3"/>
  <c r="AD644" i="3"/>
  <c r="AF645" i="3"/>
  <c r="AB645" i="3"/>
  <c r="AD645" i="3"/>
  <c r="AB646" i="3"/>
  <c r="AD646" i="3"/>
  <c r="AF647" i="3"/>
  <c r="AB647" i="3"/>
  <c r="AD647" i="3"/>
  <c r="AF648" i="3"/>
  <c r="AB648" i="3"/>
  <c r="AD648" i="3"/>
  <c r="AF649" i="3"/>
  <c r="AB649" i="3"/>
  <c r="AD649" i="3"/>
  <c r="AF650" i="3"/>
  <c r="AB650" i="3"/>
  <c r="AD650" i="3"/>
  <c r="AF651" i="3"/>
  <c r="AB651" i="3"/>
  <c r="AD651" i="3"/>
  <c r="AF652" i="3"/>
  <c r="AB652" i="3"/>
  <c r="AB653" i="3"/>
  <c r="AD653" i="3"/>
  <c r="AF654" i="3"/>
  <c r="AB654" i="3"/>
  <c r="AD654" i="3"/>
  <c r="AF655" i="3"/>
  <c r="AB655" i="3"/>
  <c r="AD655" i="3"/>
  <c r="AF656" i="3"/>
  <c r="AB656" i="3"/>
  <c r="AD656" i="3"/>
  <c r="AF657" i="3"/>
  <c r="AB657" i="3"/>
  <c r="AD657" i="3"/>
  <c r="AF658" i="3"/>
  <c r="AB658" i="3"/>
  <c r="AD658" i="3"/>
  <c r="AF659" i="3"/>
  <c r="AB659" i="3"/>
  <c r="AD659" i="3"/>
  <c r="AF660" i="3"/>
  <c r="AB660" i="3"/>
  <c r="AD660" i="3"/>
  <c r="AE660" i="3"/>
  <c r="AF661" i="3"/>
  <c r="AB661" i="3"/>
  <c r="AD661" i="3"/>
  <c r="AF662" i="3"/>
  <c r="Y662" i="3"/>
  <c r="AB662" i="3"/>
  <c r="AD662" i="3"/>
  <c r="AF663" i="3"/>
  <c r="AB663" i="3"/>
  <c r="AD663" i="3"/>
  <c r="AF664" i="3"/>
  <c r="AB664" i="3"/>
  <c r="AD664" i="3"/>
  <c r="AF665" i="3"/>
  <c r="AB665" i="3"/>
  <c r="AD665" i="3"/>
  <c r="AF666" i="3"/>
  <c r="AB666" i="3"/>
  <c r="AD666" i="3"/>
  <c r="AF667" i="3"/>
  <c r="Y667" i="3"/>
  <c r="AB667" i="3"/>
  <c r="AD667" i="3"/>
  <c r="AB668" i="3"/>
  <c r="AD668" i="3"/>
  <c r="AF669" i="3"/>
  <c r="AB669" i="3"/>
  <c r="AD669" i="3"/>
  <c r="AF670" i="3"/>
  <c r="Y670" i="3"/>
  <c r="AB670" i="3"/>
  <c r="AD670" i="3"/>
  <c r="AF671" i="3"/>
  <c r="AB671" i="3"/>
  <c r="AD671" i="3"/>
  <c r="AF672" i="3"/>
  <c r="AB672" i="3"/>
  <c r="AD672" i="3"/>
  <c r="AF673" i="3"/>
  <c r="AB673" i="3"/>
  <c r="AD673" i="3"/>
  <c r="AF674" i="3"/>
  <c r="AB674" i="3"/>
  <c r="AF675" i="3"/>
  <c r="Y675" i="3"/>
  <c r="AB675" i="3"/>
  <c r="AD675" i="3"/>
  <c r="AF676" i="3"/>
  <c r="AB676" i="3"/>
  <c r="AD676" i="3"/>
  <c r="AF677" i="3"/>
  <c r="AB677" i="3"/>
  <c r="AD677" i="3"/>
  <c r="AF678" i="3"/>
  <c r="AB678" i="3"/>
  <c r="AD678" i="3"/>
  <c r="AF679" i="3"/>
  <c r="AB679" i="3"/>
  <c r="AD679" i="3"/>
  <c r="AF680" i="3"/>
  <c r="AB680" i="3"/>
  <c r="AD680" i="3"/>
  <c r="AF681" i="3"/>
  <c r="AB681" i="3"/>
  <c r="AD681" i="3"/>
  <c r="AF682" i="3"/>
  <c r="AB682" i="3"/>
  <c r="AD682" i="3"/>
  <c r="AF683" i="3"/>
  <c r="Y683" i="3"/>
  <c r="AB683" i="3"/>
  <c r="AD683" i="3"/>
  <c r="AF684" i="3"/>
  <c r="AB684" i="3"/>
  <c r="AD684" i="3"/>
  <c r="AB685" i="3"/>
  <c r="AD685" i="3"/>
  <c r="AF686" i="3"/>
  <c r="AB686" i="3"/>
  <c r="AF687" i="3"/>
  <c r="AB687" i="3"/>
  <c r="AD687" i="3"/>
  <c r="AF688" i="3"/>
  <c r="Y688" i="3"/>
  <c r="AB688" i="3"/>
  <c r="AF689" i="3"/>
  <c r="AB689" i="3"/>
  <c r="AF690" i="3"/>
  <c r="AB690" i="3"/>
  <c r="AD690" i="3"/>
  <c r="AF691" i="3"/>
  <c r="AB691" i="3"/>
  <c r="AF692" i="3"/>
  <c r="AB692" i="3"/>
  <c r="AD692" i="3"/>
  <c r="AF693" i="3"/>
  <c r="Y693" i="3"/>
  <c r="AB693" i="3"/>
  <c r="AD693" i="3"/>
  <c r="AF694" i="3"/>
  <c r="AB694" i="3"/>
  <c r="AD694" i="3"/>
  <c r="AF695" i="3"/>
  <c r="AB695" i="3"/>
  <c r="AD695" i="3"/>
  <c r="AF696" i="3"/>
  <c r="AB696" i="3"/>
  <c r="AD696" i="3"/>
  <c r="AF697" i="3"/>
  <c r="AB697" i="3"/>
  <c r="AD697" i="3"/>
  <c r="AF698" i="3"/>
  <c r="AB698" i="3"/>
  <c r="AD698" i="3"/>
  <c r="AF699" i="3"/>
  <c r="AB699" i="3"/>
  <c r="AD699" i="3"/>
  <c r="AF700" i="3"/>
  <c r="AB700" i="3"/>
  <c r="AD700" i="3"/>
  <c r="AF701" i="3"/>
  <c r="Y701" i="3"/>
  <c r="AB701" i="3"/>
  <c r="AD701" i="3"/>
  <c r="AF702" i="3"/>
  <c r="AB702" i="3"/>
  <c r="AD702" i="3"/>
  <c r="AF703" i="3"/>
  <c r="AB703" i="3"/>
  <c r="AD703" i="3"/>
  <c r="AF704" i="3"/>
  <c r="AB704" i="3"/>
  <c r="AF705" i="3"/>
  <c r="AB705" i="3"/>
  <c r="AD705" i="3"/>
  <c r="AF706" i="3"/>
  <c r="Y706" i="3"/>
  <c r="AB706" i="3"/>
  <c r="AD706" i="3"/>
  <c r="AF707" i="3"/>
  <c r="AB707" i="3"/>
  <c r="AD707" i="3"/>
  <c r="AF708" i="3"/>
  <c r="AB708" i="3"/>
  <c r="AF709" i="3"/>
  <c r="AB709" i="3"/>
  <c r="AD709" i="3"/>
  <c r="AF710" i="3"/>
  <c r="AB710" i="3"/>
  <c r="AD710" i="3"/>
  <c r="AF711" i="3"/>
  <c r="AB711" i="3"/>
  <c r="AD711" i="3"/>
  <c r="AF712" i="3"/>
  <c r="AB712" i="3"/>
  <c r="AD712" i="3"/>
  <c r="AF713" i="3"/>
  <c r="AB713" i="3"/>
  <c r="AD713" i="3"/>
  <c r="AF714" i="3"/>
  <c r="Y714" i="3"/>
  <c r="AB714" i="3"/>
  <c r="AF715" i="3"/>
  <c r="AB715" i="3"/>
  <c r="AD715" i="3"/>
  <c r="AF716" i="3"/>
  <c r="AB716" i="3"/>
  <c r="AD716" i="3"/>
  <c r="AF717" i="3"/>
  <c r="AB717" i="3"/>
  <c r="AD717" i="3"/>
  <c r="AF718" i="3"/>
  <c r="AB718" i="3"/>
  <c r="AD718" i="3"/>
  <c r="AF719" i="3"/>
  <c r="Y719" i="3"/>
  <c r="AB719" i="3"/>
  <c r="AD719" i="3"/>
  <c r="AF720" i="3"/>
  <c r="Y720" i="3"/>
  <c r="AB720" i="3"/>
  <c r="AD720" i="3"/>
  <c r="AB721" i="3"/>
  <c r="AD721" i="3"/>
  <c r="AF722" i="3"/>
  <c r="AB722" i="3"/>
  <c r="AD722" i="3"/>
  <c r="AF723" i="3"/>
  <c r="AB723" i="3"/>
  <c r="AD723" i="3"/>
  <c r="AF724" i="3"/>
  <c r="AB724" i="3"/>
  <c r="AD724" i="3"/>
  <c r="AF725" i="3"/>
  <c r="AB725" i="3"/>
  <c r="AD725" i="3"/>
  <c r="AF726" i="3"/>
  <c r="AB726" i="3"/>
  <c r="AD726" i="3"/>
  <c r="AF727" i="3"/>
  <c r="Y727" i="3"/>
  <c r="AB727" i="3"/>
  <c r="AD727" i="3"/>
  <c r="AF728" i="3"/>
  <c r="Y728" i="3"/>
  <c r="AB728" i="3"/>
  <c r="AD728" i="3"/>
  <c r="AF729" i="3"/>
  <c r="AB729" i="3"/>
  <c r="AD729" i="3"/>
  <c r="AF730" i="3"/>
  <c r="AB730" i="3"/>
  <c r="AD730" i="3"/>
  <c r="AF731" i="3"/>
  <c r="AB731" i="3"/>
  <c r="AD731" i="3"/>
  <c r="AF732" i="3"/>
  <c r="AB732" i="3"/>
  <c r="AD732" i="3"/>
  <c r="AF733" i="3"/>
  <c r="AB733" i="3"/>
  <c r="AD733" i="3"/>
  <c r="AF734" i="3"/>
  <c r="AB734" i="3"/>
  <c r="AD734" i="3"/>
  <c r="AF735" i="3"/>
  <c r="Y735" i="3"/>
  <c r="AB735" i="3"/>
  <c r="AD735" i="3"/>
  <c r="AF736" i="3"/>
  <c r="Y736" i="3"/>
  <c r="AB736" i="3"/>
  <c r="AD736" i="3"/>
  <c r="AF737" i="3"/>
  <c r="AB737" i="3"/>
  <c r="AD737" i="3"/>
  <c r="AF738" i="3"/>
  <c r="AB738" i="3"/>
  <c r="AD738" i="3"/>
  <c r="AF739" i="3"/>
  <c r="AB739" i="3"/>
  <c r="AD739" i="3"/>
  <c r="AF740" i="3"/>
  <c r="AB740" i="3"/>
  <c r="AD740" i="3"/>
  <c r="AF741" i="3"/>
  <c r="AB741" i="3"/>
  <c r="AD741" i="3"/>
  <c r="AF742" i="3"/>
  <c r="AB742" i="3"/>
  <c r="AD742" i="3"/>
  <c r="AF743" i="3"/>
  <c r="Y743" i="3"/>
  <c r="AB743" i="3"/>
  <c r="AD743" i="3"/>
  <c r="AF744" i="3"/>
  <c r="AB744" i="3"/>
  <c r="AD744" i="3"/>
  <c r="AF745" i="3"/>
  <c r="AB745" i="3"/>
  <c r="AD745" i="3"/>
  <c r="AF746" i="3"/>
  <c r="AB746" i="3"/>
  <c r="AD746" i="3"/>
  <c r="AF747" i="3"/>
  <c r="AB747" i="3"/>
  <c r="AD747" i="3"/>
  <c r="AF748" i="3"/>
  <c r="AB748" i="3"/>
  <c r="AD748" i="3"/>
  <c r="AF749" i="3"/>
  <c r="AB749" i="3"/>
  <c r="AD749" i="3"/>
  <c r="AE749" i="3"/>
  <c r="AF750" i="3"/>
  <c r="AB750" i="3"/>
  <c r="AD750" i="3"/>
  <c r="AF751" i="3"/>
  <c r="AB751" i="3"/>
  <c r="AD751" i="3"/>
  <c r="AF752" i="3"/>
  <c r="AB752" i="3"/>
  <c r="AD752" i="3"/>
  <c r="AE752" i="3"/>
  <c r="AF753" i="3"/>
  <c r="AB753" i="3"/>
  <c r="AD753" i="3"/>
  <c r="AF754" i="3"/>
  <c r="Y754" i="3"/>
  <c r="AB754" i="3"/>
  <c r="AD754" i="3"/>
  <c r="AF755" i="3"/>
  <c r="Y755" i="3"/>
  <c r="AB755" i="3"/>
  <c r="AD755" i="3"/>
  <c r="AF756" i="3"/>
  <c r="AB756" i="3"/>
  <c r="AD756" i="3"/>
  <c r="AF757" i="3"/>
  <c r="AB757" i="3"/>
  <c r="AD757" i="3"/>
  <c r="AF758" i="3"/>
  <c r="AB758" i="3"/>
  <c r="AD758" i="3"/>
  <c r="AF759" i="3"/>
  <c r="AB759" i="3"/>
  <c r="AD759" i="3"/>
  <c r="AF760" i="3"/>
  <c r="AB760" i="3"/>
  <c r="AD760" i="3"/>
  <c r="AF761" i="3"/>
  <c r="AB761" i="3"/>
  <c r="AD761" i="3"/>
  <c r="AF762" i="3"/>
  <c r="Y762" i="3"/>
  <c r="AB762" i="3"/>
  <c r="AD762" i="3"/>
  <c r="AF763" i="3"/>
  <c r="AB763" i="3"/>
  <c r="AD763" i="3"/>
  <c r="AF764" i="3"/>
  <c r="AB764" i="3"/>
  <c r="AD764" i="3"/>
  <c r="AF765" i="3"/>
  <c r="AB765" i="3"/>
  <c r="AD765" i="3"/>
  <c r="AF766" i="3"/>
  <c r="AB766" i="3"/>
  <c r="AD766" i="3"/>
  <c r="AF767" i="3"/>
  <c r="AB767" i="3"/>
  <c r="AD767" i="3"/>
  <c r="AF768" i="3"/>
  <c r="AB768" i="3"/>
  <c r="AD768" i="3"/>
  <c r="AF769" i="3"/>
  <c r="AB769" i="3"/>
  <c r="AD769" i="3"/>
  <c r="AF770" i="3"/>
  <c r="Y770" i="3"/>
  <c r="AB770" i="3"/>
  <c r="AD770" i="3"/>
  <c r="AF771" i="3"/>
  <c r="Y771" i="3"/>
  <c r="AB771" i="3"/>
  <c r="AD771" i="3"/>
  <c r="AF772" i="3"/>
  <c r="AB772" i="3"/>
  <c r="AD772" i="3"/>
  <c r="AF773" i="3"/>
  <c r="AB773" i="3"/>
  <c r="AD773" i="3"/>
  <c r="AF774" i="3"/>
  <c r="AB774" i="3"/>
  <c r="AD774" i="3"/>
  <c r="AF775" i="3"/>
  <c r="AB775" i="3"/>
  <c r="AD775" i="3"/>
  <c r="AF776" i="3"/>
  <c r="AB776" i="3"/>
  <c r="AD776" i="3"/>
  <c r="AF777" i="3"/>
  <c r="AB777" i="3"/>
  <c r="AD777" i="3"/>
  <c r="AF778" i="3"/>
  <c r="Y778" i="3"/>
  <c r="AB778" i="3"/>
  <c r="AD778" i="3"/>
  <c r="AF779" i="3"/>
  <c r="AB779" i="3"/>
  <c r="AF780" i="3"/>
  <c r="AB780" i="3"/>
  <c r="AD780" i="3"/>
  <c r="AF781" i="3"/>
  <c r="AB781" i="3"/>
  <c r="AD781" i="3"/>
  <c r="AF782" i="3"/>
  <c r="AB782" i="3"/>
  <c r="AD782" i="3"/>
  <c r="AF783" i="3"/>
  <c r="AB783" i="3"/>
  <c r="AF784" i="3"/>
  <c r="AB784" i="3"/>
  <c r="AD784" i="3"/>
  <c r="AF785" i="3"/>
  <c r="AB785" i="3"/>
  <c r="AD785" i="3"/>
  <c r="AF786" i="3"/>
  <c r="AB786" i="3"/>
  <c r="AD786" i="3"/>
  <c r="AF787" i="3"/>
  <c r="AB787" i="3"/>
  <c r="AD787" i="3"/>
  <c r="AF788" i="3"/>
  <c r="AB788" i="3"/>
  <c r="AD788" i="3"/>
  <c r="AF789" i="3"/>
  <c r="AB789" i="3"/>
  <c r="AD789" i="3"/>
  <c r="AF790" i="3"/>
  <c r="AB790" i="3"/>
  <c r="AD790" i="3"/>
  <c r="AF791" i="3"/>
  <c r="Y791" i="3"/>
  <c r="AB791" i="3"/>
  <c r="AD791" i="3"/>
  <c r="AF792" i="3"/>
  <c r="AB792" i="3"/>
  <c r="AD792" i="3"/>
  <c r="AF793" i="3"/>
  <c r="AB793" i="3"/>
  <c r="AD793" i="3"/>
  <c r="AF794" i="3"/>
  <c r="AB794" i="3"/>
  <c r="AD794" i="3"/>
  <c r="AF795" i="3"/>
  <c r="AB795" i="3"/>
  <c r="AD795" i="3"/>
  <c r="AF796" i="3"/>
  <c r="AB796" i="3"/>
  <c r="AD796" i="3"/>
  <c r="AF797" i="3"/>
  <c r="AB797" i="3"/>
  <c r="AD797" i="3"/>
  <c r="AF798" i="3"/>
  <c r="AB798" i="3"/>
  <c r="AD798" i="3"/>
  <c r="AF799" i="3"/>
  <c r="AB799" i="3"/>
  <c r="AF800" i="3"/>
  <c r="Y800" i="3"/>
  <c r="AB800" i="3"/>
  <c r="AD800" i="3"/>
  <c r="AF801" i="3"/>
  <c r="AB801" i="3"/>
  <c r="AD801" i="3"/>
  <c r="AF802" i="3"/>
  <c r="AB802" i="3"/>
  <c r="AD802" i="3"/>
  <c r="AF803" i="3"/>
  <c r="AB803" i="3"/>
  <c r="AD803" i="3"/>
  <c r="AF804" i="3"/>
  <c r="AB804" i="3"/>
  <c r="AD804" i="3"/>
  <c r="Y805" i="3"/>
  <c r="AB805" i="3"/>
  <c r="AD805" i="3"/>
  <c r="AF806" i="3"/>
  <c r="AB806" i="3"/>
  <c r="AD806" i="3"/>
  <c r="AF807" i="3"/>
  <c r="AB807" i="3"/>
  <c r="AD807" i="3"/>
  <c r="AF808" i="3"/>
  <c r="Y808" i="3"/>
  <c r="AB808" i="3"/>
  <c r="AD808" i="3"/>
  <c r="AF809" i="3"/>
  <c r="AB809" i="3"/>
  <c r="AD809" i="3"/>
  <c r="AF810" i="3"/>
  <c r="AB810" i="3"/>
  <c r="AD810" i="3"/>
  <c r="AF811" i="3"/>
  <c r="AB811" i="3"/>
  <c r="AD811" i="3"/>
  <c r="AF812" i="3"/>
  <c r="AB812" i="3"/>
  <c r="AD812" i="3"/>
  <c r="AF813" i="3"/>
  <c r="Y813" i="3"/>
  <c r="AB813" i="3"/>
  <c r="AF814" i="3"/>
  <c r="AB814" i="3"/>
  <c r="AD814" i="3"/>
  <c r="AF815" i="3"/>
  <c r="Y815" i="3"/>
  <c r="AB815" i="3"/>
  <c r="AD815" i="3"/>
  <c r="AF816" i="3"/>
  <c r="AB816" i="3"/>
  <c r="AD816" i="3"/>
  <c r="AF817" i="3"/>
  <c r="AB817" i="3"/>
  <c r="AD817" i="3"/>
  <c r="AF818" i="3"/>
  <c r="AB818" i="3"/>
  <c r="AD818" i="3"/>
  <c r="AE818" i="3"/>
  <c r="AF819" i="3"/>
  <c r="AB819" i="3"/>
  <c r="AD819" i="3"/>
  <c r="AF820" i="3"/>
  <c r="AB820" i="3"/>
  <c r="AD820" i="3"/>
  <c r="AF821" i="3"/>
  <c r="AB821" i="3"/>
  <c r="AE821" i="3"/>
  <c r="AF822" i="3"/>
  <c r="AB822" i="3"/>
  <c r="AD822" i="3"/>
  <c r="AF823" i="3"/>
  <c r="AB823" i="3"/>
  <c r="AD823" i="3"/>
  <c r="AF824" i="3"/>
  <c r="Y824" i="3"/>
  <c r="AB824" i="3"/>
  <c r="AD824" i="3"/>
  <c r="AF825" i="3"/>
  <c r="AB825" i="3"/>
  <c r="AF826" i="3"/>
  <c r="AB826" i="3"/>
  <c r="AD826" i="3"/>
  <c r="AF827" i="3"/>
  <c r="AB827" i="3"/>
  <c r="AF828" i="3"/>
  <c r="Y828" i="3"/>
  <c r="AB828" i="3"/>
  <c r="AD828" i="3"/>
  <c r="AF829" i="3"/>
  <c r="Y829" i="3"/>
  <c r="AB829" i="3"/>
  <c r="AD829" i="3"/>
  <c r="AF830" i="3"/>
  <c r="AB830" i="3"/>
  <c r="AD830" i="3"/>
  <c r="AF831" i="3"/>
  <c r="AB831" i="3"/>
  <c r="AD831" i="3"/>
  <c r="AF832" i="3"/>
  <c r="AB832" i="3"/>
  <c r="AD832" i="3"/>
  <c r="AF833" i="3"/>
  <c r="AB833" i="3"/>
  <c r="AD833" i="3"/>
  <c r="AF834" i="3"/>
  <c r="AB834" i="3"/>
  <c r="AD834" i="3"/>
  <c r="AF835" i="3"/>
  <c r="AB835" i="3"/>
  <c r="AD835" i="3"/>
  <c r="AF836" i="3"/>
  <c r="Y836" i="3"/>
  <c r="AB836" i="3"/>
  <c r="AD836" i="3"/>
  <c r="AF837" i="3"/>
  <c r="Y837" i="3"/>
  <c r="AB837" i="3"/>
  <c r="AD837" i="3"/>
  <c r="AF838" i="3"/>
  <c r="AB838" i="3"/>
  <c r="AD838" i="3"/>
  <c r="AF839" i="3"/>
  <c r="AB839" i="3"/>
  <c r="AF840" i="3"/>
  <c r="AB840" i="3"/>
  <c r="AD840" i="3"/>
  <c r="AF841" i="3"/>
  <c r="AB841" i="3"/>
  <c r="AD841" i="3"/>
  <c r="AF842" i="3"/>
  <c r="AB842" i="3"/>
  <c r="AD842" i="3"/>
  <c r="AF843" i="3"/>
  <c r="AB843" i="3"/>
  <c r="AD843" i="3"/>
  <c r="AF844" i="3"/>
  <c r="Y844" i="3"/>
  <c r="AB844" i="3"/>
  <c r="AF845" i="3"/>
  <c r="AB845" i="3"/>
  <c r="AD845" i="3"/>
  <c r="AF846" i="3"/>
  <c r="AB846" i="3"/>
  <c r="AD846" i="3"/>
  <c r="AF847" i="3"/>
  <c r="AB847" i="3"/>
  <c r="AD847" i="3"/>
  <c r="AF848" i="3"/>
  <c r="AB848" i="3"/>
  <c r="AD848" i="3"/>
  <c r="AF849" i="3"/>
  <c r="Y849" i="3"/>
  <c r="AB849" i="3"/>
  <c r="AD849" i="3"/>
  <c r="AF850" i="3"/>
  <c r="Y850" i="3"/>
  <c r="AB850" i="3"/>
  <c r="AD850" i="3"/>
  <c r="AF851" i="3"/>
  <c r="AB851" i="3"/>
  <c r="AD851" i="3"/>
  <c r="AF852" i="3"/>
  <c r="AB852" i="3"/>
  <c r="AD852" i="3"/>
  <c r="AF853" i="3"/>
  <c r="AB853" i="3"/>
  <c r="AD853" i="3"/>
  <c r="AF854" i="3"/>
  <c r="AB854" i="3"/>
  <c r="AD854" i="3"/>
  <c r="AF855" i="3"/>
  <c r="AB855" i="3"/>
  <c r="AD855" i="3"/>
  <c r="AF856" i="3"/>
  <c r="AB856" i="3"/>
  <c r="AD856" i="3"/>
  <c r="AF857" i="3"/>
  <c r="Y857" i="3"/>
  <c r="AB857" i="3"/>
  <c r="AD857" i="3"/>
  <c r="AF858" i="3"/>
  <c r="Y858" i="3"/>
  <c r="AB858" i="3"/>
  <c r="AD858" i="3"/>
  <c r="AF859" i="3"/>
  <c r="AB859" i="3"/>
  <c r="AF860" i="3"/>
  <c r="AB860" i="3"/>
  <c r="AD860" i="3"/>
  <c r="AF861" i="3"/>
  <c r="AB861" i="3"/>
  <c r="AF862" i="3"/>
  <c r="Y862" i="3"/>
  <c r="AB862" i="3"/>
  <c r="AD862" i="3"/>
  <c r="AF863" i="3"/>
  <c r="Y863" i="3"/>
  <c r="AB863" i="3"/>
  <c r="AF864" i="3"/>
  <c r="AB864" i="3"/>
  <c r="AD864" i="3"/>
  <c r="AF865" i="3"/>
  <c r="AB865" i="3"/>
  <c r="AD865" i="3"/>
  <c r="AF866" i="3"/>
  <c r="AB866" i="3"/>
  <c r="AD866" i="3"/>
  <c r="AF867" i="3"/>
  <c r="AB867" i="3"/>
  <c r="AD867" i="3"/>
  <c r="AF868" i="3"/>
  <c r="AB868" i="3"/>
  <c r="AD868" i="3"/>
  <c r="AF869" i="3"/>
  <c r="AB869" i="3"/>
  <c r="AD869" i="3"/>
  <c r="AF870" i="3"/>
  <c r="AB870" i="3"/>
  <c r="AD870" i="3"/>
  <c r="AF871" i="3"/>
  <c r="AB871" i="3"/>
  <c r="AD871" i="3"/>
  <c r="AF872" i="3"/>
  <c r="AB872" i="3"/>
  <c r="AD872" i="3"/>
  <c r="AF873" i="3"/>
  <c r="AB873" i="3"/>
  <c r="AD873" i="3"/>
  <c r="AF874" i="3"/>
  <c r="AB874" i="3"/>
  <c r="AD874" i="3"/>
  <c r="AF875" i="3"/>
  <c r="AB875" i="3"/>
  <c r="AD875" i="3"/>
  <c r="AF876" i="3"/>
  <c r="AB876" i="3"/>
  <c r="AD876" i="3"/>
  <c r="AF877" i="3"/>
  <c r="AB877" i="3"/>
  <c r="AD877" i="3"/>
  <c r="AF878" i="3"/>
  <c r="AB878" i="3"/>
  <c r="AF879" i="3"/>
  <c r="AB879" i="3"/>
  <c r="AD879" i="3"/>
  <c r="AF880" i="3"/>
  <c r="AB880" i="3"/>
  <c r="AD880" i="3"/>
  <c r="AF881" i="3"/>
  <c r="AB881" i="3"/>
  <c r="AD881" i="3"/>
  <c r="AF882" i="3"/>
  <c r="AB882" i="3"/>
  <c r="AF883" i="3"/>
  <c r="AB883" i="3"/>
  <c r="AD883" i="3"/>
  <c r="AF884" i="3"/>
  <c r="AB884" i="3"/>
  <c r="AF885" i="3"/>
  <c r="AB885" i="3"/>
  <c r="AF886" i="3"/>
  <c r="AB886" i="3"/>
  <c r="AD886" i="3"/>
  <c r="AF887" i="3"/>
  <c r="AB887" i="3"/>
  <c r="AD887" i="3"/>
  <c r="AF888" i="3"/>
  <c r="AB888" i="3"/>
  <c r="AD888" i="3"/>
  <c r="AF889" i="3"/>
  <c r="AB889" i="3"/>
  <c r="AF890" i="3"/>
  <c r="AB890" i="3"/>
  <c r="AD890" i="3"/>
  <c r="AF891" i="3"/>
  <c r="AB891" i="3"/>
  <c r="AD891" i="3"/>
  <c r="AF892" i="3"/>
  <c r="AB892" i="3"/>
  <c r="AD892" i="3"/>
  <c r="AF893" i="3"/>
  <c r="Y893" i="3"/>
  <c r="AB893" i="3"/>
  <c r="AD893" i="3"/>
  <c r="AF894" i="3"/>
  <c r="AB894" i="3"/>
  <c r="AF895" i="3"/>
  <c r="AB895" i="3"/>
  <c r="AD895" i="3"/>
  <c r="AF896" i="3"/>
  <c r="AB896" i="3"/>
  <c r="AD896" i="3"/>
  <c r="AF897" i="3"/>
  <c r="AB897" i="3"/>
  <c r="AD897" i="3"/>
  <c r="AF898" i="3"/>
  <c r="AB898" i="3"/>
  <c r="AD898" i="3"/>
  <c r="AF899" i="3"/>
  <c r="AB899" i="3"/>
  <c r="AD899" i="3"/>
  <c r="AF900" i="3"/>
  <c r="AB900" i="3"/>
  <c r="AD900" i="3"/>
  <c r="AF901" i="3"/>
  <c r="AB901" i="3"/>
  <c r="AD901" i="3"/>
  <c r="AF902" i="3"/>
  <c r="AB902" i="3"/>
  <c r="AD902" i="3"/>
  <c r="AF903" i="3"/>
  <c r="AB903" i="3"/>
  <c r="AD903" i="3"/>
  <c r="AF904" i="3"/>
  <c r="AB904" i="3"/>
  <c r="AF905" i="3"/>
  <c r="AB905" i="3"/>
  <c r="AD905" i="3"/>
  <c r="AF906" i="3"/>
  <c r="Y906" i="3"/>
  <c r="AB906" i="3"/>
  <c r="AF907" i="3"/>
  <c r="AB907" i="3"/>
  <c r="AD907" i="3"/>
  <c r="AF908" i="3"/>
  <c r="AB908" i="3"/>
  <c r="AF909" i="3"/>
  <c r="AB909" i="3"/>
  <c r="AF910" i="3"/>
  <c r="AB910" i="3"/>
  <c r="AD910" i="3"/>
  <c r="AF911" i="3"/>
  <c r="Y911" i="3"/>
  <c r="AB911" i="3"/>
  <c r="AF912" i="3"/>
  <c r="AB912" i="3"/>
  <c r="AD912" i="3"/>
  <c r="AF913" i="3"/>
  <c r="AB913" i="3"/>
  <c r="AD913" i="3"/>
  <c r="AF914" i="3"/>
  <c r="AB914" i="3"/>
  <c r="AD914" i="3"/>
  <c r="AF915" i="3"/>
  <c r="AB915" i="3"/>
  <c r="AD915" i="3"/>
  <c r="AF916" i="3"/>
  <c r="AB916" i="3"/>
  <c r="AD916" i="3"/>
  <c r="AF917" i="3"/>
  <c r="AB917" i="3"/>
  <c r="AD917" i="3"/>
  <c r="AF918" i="3"/>
  <c r="AB918" i="3"/>
  <c r="AD918" i="3"/>
  <c r="AF919" i="3"/>
  <c r="Y919" i="3"/>
  <c r="AB919" i="3"/>
  <c r="AD919" i="3"/>
  <c r="AF920" i="3"/>
  <c r="AB920" i="3"/>
  <c r="AD920" i="3"/>
  <c r="AF921" i="3"/>
  <c r="AB921" i="3"/>
  <c r="AF922" i="3"/>
  <c r="Y922" i="3"/>
  <c r="AB922" i="3"/>
  <c r="AD922" i="3"/>
  <c r="AF923" i="3"/>
  <c r="AB923" i="3"/>
  <c r="AD923" i="3"/>
  <c r="AF924" i="3"/>
  <c r="AB924" i="3"/>
  <c r="AD924" i="3"/>
  <c r="AF925" i="3"/>
  <c r="AB925" i="3"/>
  <c r="AD925" i="3"/>
  <c r="AF926" i="3"/>
  <c r="AB926" i="3"/>
  <c r="AF927" i="3"/>
  <c r="AB927" i="3"/>
  <c r="AD927" i="3"/>
  <c r="AF928" i="3"/>
  <c r="AB928" i="3"/>
  <c r="AD928" i="3"/>
  <c r="AF929" i="3"/>
  <c r="AB929" i="3"/>
  <c r="AD929" i="3"/>
  <c r="AF930" i="3"/>
  <c r="AB930" i="3"/>
  <c r="AD930" i="3"/>
  <c r="AF931" i="3"/>
  <c r="AB931" i="3"/>
  <c r="AD931" i="3"/>
  <c r="AF932" i="3"/>
  <c r="Y932" i="3"/>
  <c r="AB932" i="3"/>
  <c r="AD932" i="3"/>
  <c r="AF933" i="3"/>
  <c r="AB933" i="3"/>
  <c r="AD933" i="3"/>
  <c r="AF934" i="3"/>
  <c r="AB934" i="3"/>
  <c r="AD934" i="3"/>
  <c r="AF935" i="3"/>
  <c r="AB935" i="3"/>
  <c r="AD935" i="3"/>
  <c r="AF936" i="3"/>
  <c r="AB936" i="3"/>
  <c r="AD936" i="3"/>
  <c r="AF937" i="3"/>
  <c r="AB937" i="3"/>
  <c r="AD937" i="3"/>
  <c r="AF938" i="3"/>
  <c r="AB938" i="3"/>
  <c r="AD938" i="3"/>
  <c r="AF939" i="3"/>
  <c r="AB939" i="3"/>
  <c r="AD939" i="3"/>
  <c r="AF940" i="3"/>
  <c r="Y940" i="3"/>
  <c r="AB940" i="3"/>
  <c r="AD940" i="3"/>
  <c r="AF941" i="3"/>
  <c r="AB941" i="3"/>
  <c r="AD941" i="3"/>
  <c r="AF942" i="3"/>
  <c r="AB942" i="3"/>
  <c r="AD942" i="3"/>
  <c r="AF943" i="3"/>
  <c r="AB943" i="3"/>
  <c r="AD943" i="3"/>
  <c r="AF944" i="3"/>
  <c r="AB944" i="3"/>
  <c r="AD944" i="3"/>
  <c r="AF945" i="3"/>
  <c r="AB945" i="3"/>
  <c r="AD945" i="3"/>
  <c r="AF946" i="3"/>
  <c r="AB946" i="3"/>
  <c r="AD946" i="3"/>
  <c r="AF947" i="3"/>
  <c r="AB947" i="3"/>
  <c r="AD947" i="3"/>
  <c r="AF948" i="3"/>
  <c r="Y948" i="3"/>
  <c r="AB948" i="3"/>
  <c r="AD948" i="3"/>
  <c r="AF949" i="3"/>
  <c r="AB949" i="3"/>
  <c r="AD949" i="3"/>
  <c r="AF950" i="3"/>
  <c r="AB950" i="3"/>
  <c r="AD950" i="3"/>
  <c r="AF951" i="3"/>
  <c r="AB951" i="3"/>
  <c r="AD951" i="3"/>
  <c r="AF952" i="3"/>
  <c r="AB952" i="3"/>
  <c r="AD952" i="3"/>
  <c r="AF953" i="3"/>
  <c r="AB953" i="3"/>
  <c r="AD953" i="3"/>
  <c r="AF954" i="3"/>
  <c r="AB954" i="3"/>
  <c r="AD954" i="3"/>
  <c r="AF955" i="3"/>
  <c r="AB955" i="3"/>
  <c r="AD955" i="3"/>
  <c r="AF956" i="3"/>
  <c r="Y956" i="3"/>
  <c r="AB956" i="3"/>
  <c r="AD956" i="3"/>
  <c r="AF957" i="3"/>
  <c r="AB957" i="3"/>
  <c r="AD957" i="3"/>
  <c r="AF958" i="3"/>
  <c r="AB958" i="3"/>
  <c r="AD958" i="3"/>
  <c r="AF959" i="3"/>
  <c r="Y959" i="3"/>
  <c r="AB959" i="3"/>
  <c r="AD959" i="3"/>
  <c r="AF960" i="3"/>
  <c r="AB960" i="3"/>
  <c r="AD960" i="3"/>
  <c r="AF961" i="3"/>
  <c r="AB961" i="3"/>
  <c r="AD961" i="3"/>
  <c r="AF962" i="3"/>
  <c r="Y962" i="3"/>
  <c r="AB962" i="3"/>
  <c r="AD962" i="3"/>
  <c r="AF963" i="3"/>
  <c r="AB963" i="3"/>
  <c r="AD963" i="3"/>
  <c r="AF964" i="3"/>
  <c r="AB964" i="3"/>
  <c r="AD964" i="3"/>
  <c r="AF965" i="3"/>
  <c r="AB965" i="3"/>
  <c r="AD965" i="3"/>
  <c r="AF966" i="3"/>
  <c r="AB966" i="3"/>
  <c r="AD966" i="3"/>
  <c r="AF967" i="3"/>
  <c r="Y967" i="3"/>
  <c r="AB967" i="3"/>
  <c r="AD967" i="3"/>
  <c r="AF968" i="3"/>
  <c r="AB968" i="3"/>
  <c r="AD968" i="3"/>
  <c r="AF969" i="3"/>
  <c r="AB969" i="3"/>
  <c r="AD969" i="3"/>
  <c r="AF970" i="3"/>
  <c r="Y970" i="3"/>
  <c r="AB970" i="3"/>
  <c r="AD970" i="3"/>
  <c r="AE970" i="3"/>
  <c r="AF971" i="3"/>
  <c r="AB971" i="3"/>
  <c r="AD971" i="3"/>
  <c r="AF972" i="3"/>
  <c r="AB972" i="3"/>
  <c r="AD972" i="3"/>
  <c r="AF973" i="3"/>
  <c r="AB973" i="3"/>
  <c r="AD973" i="3"/>
  <c r="AF974" i="3"/>
  <c r="AB974" i="3"/>
  <c r="AD974" i="3"/>
  <c r="AF975" i="3"/>
  <c r="AB975" i="3"/>
  <c r="AD975" i="3"/>
  <c r="AF976" i="3"/>
  <c r="AB976" i="3"/>
  <c r="AD976" i="3"/>
  <c r="AF977" i="3"/>
  <c r="AB977" i="3"/>
  <c r="AD977" i="3"/>
  <c r="AF978" i="3"/>
  <c r="AB978" i="3"/>
  <c r="AD978" i="3"/>
  <c r="AF979" i="3"/>
  <c r="AB979" i="3"/>
  <c r="AD979" i="3"/>
  <c r="AF980" i="3"/>
  <c r="AB980" i="3"/>
  <c r="AD980" i="3"/>
  <c r="AF981" i="3"/>
  <c r="AB981" i="3"/>
  <c r="AD981" i="3"/>
  <c r="AF982" i="3"/>
  <c r="AB982" i="3"/>
  <c r="AD982" i="3"/>
  <c r="AF983" i="3"/>
  <c r="AB983" i="3"/>
  <c r="AD983" i="3"/>
  <c r="AF984" i="3"/>
  <c r="AB984" i="3"/>
  <c r="AD984" i="3"/>
  <c r="AF985" i="3"/>
  <c r="AB985" i="3"/>
  <c r="AD985" i="3"/>
  <c r="AF986" i="3"/>
  <c r="AB986" i="3"/>
  <c r="AD986" i="3"/>
  <c r="AF987" i="3"/>
  <c r="AB987" i="3"/>
  <c r="AD987" i="3"/>
  <c r="AF988" i="3"/>
  <c r="AB988" i="3"/>
  <c r="AD988" i="3"/>
  <c r="AF989" i="3"/>
  <c r="AB989" i="3"/>
  <c r="AD989" i="3"/>
  <c r="AF990" i="3"/>
  <c r="AB990" i="3"/>
  <c r="AD990" i="3"/>
  <c r="AF991" i="3"/>
  <c r="AB991" i="3"/>
  <c r="AD991" i="3"/>
  <c r="AF992" i="3"/>
  <c r="AB992" i="3"/>
  <c r="AD992" i="3"/>
  <c r="AF993" i="3"/>
  <c r="AB993" i="3"/>
  <c r="AD993" i="3"/>
  <c r="AF994" i="3"/>
  <c r="AB994" i="3"/>
  <c r="AD994" i="3"/>
  <c r="AF995" i="3"/>
  <c r="AB995" i="3"/>
  <c r="AD995" i="3"/>
  <c r="AF996" i="3"/>
  <c r="AB996" i="3"/>
  <c r="AD996" i="3"/>
  <c r="AF997" i="3"/>
  <c r="AB997" i="3"/>
  <c r="AD997" i="3"/>
  <c r="AF998" i="3"/>
  <c r="AB998" i="3"/>
  <c r="AD998" i="3"/>
  <c r="AF999" i="3"/>
  <c r="AB999" i="3"/>
  <c r="AD999" i="3"/>
  <c r="AF1000" i="3"/>
  <c r="AB1000" i="3"/>
  <c r="AD1000" i="3"/>
  <c r="Y966" i="3" l="1"/>
  <c r="Y958" i="3"/>
  <c r="Y926" i="3"/>
  <c r="Y809" i="3"/>
  <c r="Y801" i="3"/>
  <c r="Y637" i="3"/>
  <c r="Y629" i="3"/>
  <c r="Y621" i="3"/>
  <c r="Y613" i="3"/>
  <c r="Y605" i="3"/>
  <c r="Y597" i="3"/>
  <c r="Y576" i="3"/>
  <c r="Y568" i="3"/>
  <c r="Y560" i="3"/>
  <c r="Y523" i="3"/>
  <c r="Y507" i="3"/>
  <c r="Y499" i="3"/>
  <c r="Y491" i="3"/>
  <c r="Y459" i="3"/>
  <c r="Y438" i="3"/>
  <c r="Y430" i="3"/>
  <c r="Y385" i="3"/>
  <c r="Y243" i="3"/>
  <c r="AE238" i="3"/>
  <c r="Y168" i="3"/>
  <c r="Y147" i="3"/>
  <c r="Y142" i="3"/>
  <c r="Y134" i="3"/>
  <c r="Y121" i="3"/>
  <c r="Y97" i="3"/>
  <c r="Y73" i="3"/>
  <c r="Y41" i="3"/>
  <c r="Y977" i="3"/>
  <c r="Y895" i="3"/>
  <c r="Y864" i="3"/>
  <c r="Y796" i="3"/>
  <c r="Y780" i="3"/>
  <c r="Y653" i="3"/>
  <c r="Y645" i="3"/>
  <c r="Y555" i="3"/>
  <c r="Y547" i="3"/>
  <c r="Y539" i="3"/>
  <c r="Y531" i="3"/>
  <c r="Y515" i="3"/>
  <c r="Y483" i="3"/>
  <c r="Y475" i="3"/>
  <c r="Y467" i="3"/>
  <c r="Y454" i="3"/>
  <c r="Y446" i="3"/>
  <c r="Y377" i="3"/>
  <c r="Y369" i="3"/>
  <c r="Y361" i="3"/>
  <c r="Y259" i="3"/>
  <c r="Y251" i="3"/>
  <c r="Y203" i="3"/>
  <c r="Y195" i="3"/>
  <c r="Y171" i="3"/>
  <c r="Y163" i="3"/>
  <c r="Y993" i="3"/>
  <c r="Y985" i="3"/>
  <c r="AE956" i="3"/>
  <c r="AE906" i="3"/>
  <c r="Y854" i="3"/>
  <c r="Y846" i="3"/>
  <c r="Y833" i="3"/>
  <c r="Y820" i="3"/>
  <c r="Y812" i="3"/>
  <c r="Y804" i="3"/>
  <c r="Y775" i="3"/>
  <c r="Y740" i="3"/>
  <c r="Y732" i="3"/>
  <c r="Y724" i="3"/>
  <c r="Y716" i="3"/>
  <c r="AE651" i="3"/>
  <c r="AE489" i="3"/>
  <c r="Y388" i="3"/>
  <c r="Y294" i="3"/>
  <c r="Y187" i="3"/>
  <c r="Y179" i="3"/>
  <c r="Y158" i="3"/>
  <c r="Y137" i="3"/>
  <c r="Y124" i="3"/>
  <c r="Y100" i="3"/>
  <c r="Y92" i="3"/>
  <c r="Y68" i="3"/>
  <c r="Y916" i="3"/>
  <c r="Y898" i="3"/>
  <c r="Y783" i="3"/>
  <c r="Y751" i="3"/>
  <c r="Y711" i="3"/>
  <c r="Y698" i="3"/>
  <c r="Y680" i="3"/>
  <c r="Y648" i="3"/>
  <c r="Y640" i="3"/>
  <c r="Y457" i="3"/>
  <c r="Y449" i="3"/>
  <c r="Y441" i="3"/>
  <c r="Y396" i="3"/>
  <c r="Y286" i="3"/>
  <c r="Y278" i="3"/>
  <c r="Y270" i="3"/>
  <c r="Y262" i="3"/>
  <c r="Y254" i="3"/>
  <c r="Y246" i="3"/>
  <c r="Y238" i="3"/>
  <c r="Y230" i="3"/>
  <c r="Y222" i="3"/>
  <c r="Y214" i="3"/>
  <c r="Y206" i="3"/>
  <c r="Y198" i="3"/>
  <c r="Y150" i="3"/>
  <c r="Y119" i="3"/>
  <c r="Y111" i="3"/>
  <c r="Y994" i="3"/>
  <c r="Y986" i="3"/>
  <c r="Y978" i="3"/>
  <c r="Y927" i="3"/>
  <c r="Y865" i="3"/>
  <c r="Y860" i="3"/>
  <c r="Y826" i="3"/>
  <c r="Y818" i="3"/>
  <c r="AE792" i="3"/>
  <c r="Y686" i="3"/>
  <c r="Y654" i="3"/>
  <c r="Y585" i="3"/>
  <c r="Y577" i="3"/>
  <c r="Y556" i="3"/>
  <c r="Y548" i="3"/>
  <c r="Y540" i="3"/>
  <c r="Y532" i="3"/>
  <c r="Y484" i="3"/>
  <c r="Y476" i="3"/>
  <c r="Y468" i="3"/>
  <c r="Y426" i="3"/>
  <c r="Y418" i="3"/>
  <c r="Y394" i="3"/>
  <c r="Y378" i="3"/>
  <c r="Y370" i="3"/>
  <c r="Y344" i="3"/>
  <c r="Y331" i="3"/>
  <c r="Y313" i="3"/>
  <c r="Y308" i="3"/>
  <c r="Y172" i="3"/>
  <c r="Y13" i="3"/>
  <c r="Y997" i="3"/>
  <c r="Y989" i="3"/>
  <c r="Y981" i="3"/>
  <c r="Y973" i="3"/>
  <c r="Y752" i="3"/>
  <c r="Y649" i="3"/>
  <c r="Y641" i="3"/>
  <c r="Y596" i="3"/>
  <c r="Y559" i="3"/>
  <c r="Y551" i="3"/>
  <c r="Y543" i="3"/>
  <c r="Y535" i="3"/>
  <c r="Y527" i="3"/>
  <c r="Y511" i="3"/>
  <c r="Y487" i="3"/>
  <c r="Y479" i="3"/>
  <c r="Y471" i="3"/>
  <c r="Y450" i="3"/>
  <c r="Y442" i="3"/>
  <c r="Y381" i="3"/>
  <c r="Y373" i="3"/>
  <c r="Y365" i="3"/>
  <c r="Y255" i="3"/>
  <c r="Y247" i="3"/>
  <c r="Y207" i="3"/>
  <c r="Y199" i="3"/>
  <c r="Y191" i="3"/>
  <c r="Y175" i="3"/>
  <c r="Y112" i="3"/>
  <c r="Y920" i="3"/>
  <c r="Y902" i="3"/>
  <c r="Y889" i="3"/>
  <c r="Y884" i="3"/>
  <c r="Y795" i="3"/>
  <c r="Y702" i="3"/>
  <c r="Y694" i="3"/>
  <c r="Y684" i="3"/>
  <c r="Y676" i="3"/>
  <c r="Y644" i="3"/>
  <c r="Y453" i="3"/>
  <c r="Y445" i="3"/>
  <c r="Y282" i="3"/>
  <c r="Y274" i="3"/>
  <c r="Y266" i="3"/>
  <c r="Y258" i="3"/>
  <c r="Y250" i="3"/>
  <c r="Y234" i="3"/>
  <c r="Y226" i="3"/>
  <c r="Y218" i="3"/>
  <c r="Y210" i="3"/>
  <c r="Y202" i="3"/>
  <c r="Y154" i="3"/>
  <c r="Y128" i="3"/>
  <c r="Y115" i="3"/>
  <c r="Y67" i="3"/>
  <c r="Y879" i="3"/>
  <c r="Y853" i="3"/>
  <c r="Y845" i="3"/>
  <c r="Y832" i="3"/>
  <c r="Y787" i="3"/>
  <c r="Y774" i="3"/>
  <c r="Y766" i="3"/>
  <c r="Y758" i="3"/>
  <c r="Y747" i="3"/>
  <c r="Y739" i="3"/>
  <c r="Y731" i="3"/>
  <c r="Y723" i="3"/>
  <c r="Y715" i="3"/>
  <c r="Y671" i="3"/>
  <c r="Y663" i="3"/>
  <c r="Y408" i="3"/>
  <c r="Y337" i="3"/>
  <c r="AE322" i="3"/>
  <c r="Y319" i="3"/>
  <c r="Y301" i="3"/>
  <c r="Y293" i="3"/>
  <c r="Y186" i="3"/>
  <c r="Y35" i="3"/>
  <c r="Y27" i="3"/>
  <c r="Y19" i="3"/>
  <c r="Y952" i="3"/>
  <c r="Y944" i="3"/>
  <c r="Y936" i="3"/>
  <c r="Y928" i="3"/>
  <c r="Y915" i="3"/>
  <c r="Y861" i="3"/>
  <c r="Y840" i="3"/>
  <c r="Y827" i="3"/>
  <c r="Y798" i="3"/>
  <c r="Y710" i="3"/>
  <c r="Y697" i="3"/>
  <c r="Y679" i="3"/>
  <c r="Y427" i="3"/>
  <c r="Y419" i="3"/>
  <c r="AE414" i="3"/>
  <c r="Y395" i="3"/>
  <c r="Y345" i="3"/>
  <c r="Y332" i="3"/>
  <c r="Y314" i="3"/>
  <c r="Y245" i="3"/>
  <c r="Y237" i="3"/>
  <c r="Y229" i="3"/>
  <c r="Y221" i="3"/>
  <c r="Y213" i="3"/>
  <c r="AE168" i="3"/>
  <c r="Y144" i="3"/>
  <c r="Y83" i="3"/>
  <c r="Y75" i="3"/>
  <c r="Y62" i="3"/>
  <c r="Y54" i="3"/>
  <c r="Y46" i="3"/>
  <c r="Y923" i="3"/>
  <c r="Y905" i="3"/>
  <c r="Y892" i="3"/>
  <c r="Y882" i="3"/>
  <c r="Y705" i="3"/>
  <c r="Y687" i="3"/>
  <c r="Y674" i="3"/>
  <c r="Y666" i="3"/>
  <c r="Y634" i="3"/>
  <c r="Y626" i="3"/>
  <c r="Y618" i="3"/>
  <c r="Y610" i="3"/>
  <c r="Y602" i="3"/>
  <c r="Y573" i="3"/>
  <c r="Y565" i="3"/>
  <c r="Y520" i="3"/>
  <c r="Y504" i="3"/>
  <c r="Y496" i="3"/>
  <c r="Y464" i="3"/>
  <c r="Y435" i="3"/>
  <c r="Y411" i="3"/>
  <c r="Y403" i="3"/>
  <c r="Y358" i="3"/>
  <c r="Y340" i="3"/>
  <c r="Y309" i="3"/>
  <c r="AE155" i="3"/>
  <c r="Y30" i="3"/>
  <c r="Y22" i="3"/>
  <c r="Y963" i="3"/>
  <c r="Y998" i="3"/>
  <c r="Y990" i="3"/>
  <c r="Y982" i="3"/>
  <c r="Y974" i="3"/>
  <c r="Y814" i="3"/>
  <c r="Y692" i="3"/>
  <c r="Y658" i="3"/>
  <c r="Y642" i="3"/>
  <c r="Y581" i="3"/>
  <c r="Y552" i="3"/>
  <c r="Y544" i="3"/>
  <c r="Y536" i="3"/>
  <c r="Y528" i="3"/>
  <c r="Y488" i="3"/>
  <c r="Y480" i="3"/>
  <c r="Y472" i="3"/>
  <c r="Y422" i="3"/>
  <c r="Y390" i="3"/>
  <c r="Y382" i="3"/>
  <c r="Y374" i="3"/>
  <c r="Y366" i="3"/>
  <c r="Y322" i="3"/>
  <c r="Y288" i="3"/>
  <c r="Y192" i="3"/>
  <c r="Y176" i="3"/>
  <c r="Y9" i="3"/>
  <c r="Y414" i="3"/>
  <c r="Y410" i="3"/>
  <c r="Y406" i="3"/>
  <c r="Y353" i="3"/>
  <c r="Y348" i="3"/>
  <c r="Y339" i="3"/>
  <c r="Y335" i="3"/>
  <c r="Y317" i="3"/>
  <c r="Y312" i="3"/>
  <c r="Y303" i="3"/>
  <c r="Y299" i="3"/>
  <c r="Y295" i="3"/>
  <c r="Y291" i="3"/>
  <c r="Y196" i="3"/>
  <c r="Y188" i="3"/>
  <c r="Y184" i="3"/>
  <c r="Y33" i="3"/>
  <c r="Y29" i="3"/>
  <c r="Y25" i="3"/>
  <c r="Y21" i="3"/>
  <c r="Y17" i="3"/>
  <c r="Y908" i="3"/>
  <c r="Y891" i="3"/>
  <c r="Y881" i="3"/>
  <c r="Y859" i="3"/>
  <c r="Y855" i="3"/>
  <c r="Y851" i="3"/>
  <c r="Y847" i="3"/>
  <c r="Y838" i="3"/>
  <c r="Y834" i="3"/>
  <c r="Y830" i="3"/>
  <c r="Y825" i="3"/>
  <c r="Y821" i="3"/>
  <c r="Y789" i="3"/>
  <c r="Y785" i="3"/>
  <c r="Y776" i="3"/>
  <c r="Y772" i="3"/>
  <c r="Y768" i="3"/>
  <c r="Y764" i="3"/>
  <c r="Y760" i="3"/>
  <c r="Y756" i="3"/>
  <c r="Y749" i="3"/>
  <c r="Y745" i="3"/>
  <c r="Y741" i="3"/>
  <c r="Y737" i="3"/>
  <c r="Y733" i="3"/>
  <c r="Y729" i="3"/>
  <c r="Y725" i="3"/>
  <c r="Y721" i="3"/>
  <c r="Y717" i="3"/>
  <c r="Y708" i="3"/>
  <c r="Y691" i="3"/>
  <c r="Y673" i="3"/>
  <c r="Y669" i="3"/>
  <c r="Y665" i="3"/>
  <c r="Y661" i="3"/>
  <c r="Y886" i="3"/>
  <c r="Y876" i="3"/>
  <c r="Y872" i="3"/>
  <c r="Y868" i="3"/>
  <c r="Y712" i="3"/>
  <c r="Y703" i="3"/>
  <c r="Y699" i="3"/>
  <c r="Y695" i="3"/>
  <c r="Y685" i="3"/>
  <c r="Y681" i="3"/>
  <c r="Y677" i="3"/>
  <c r="Y657" i="3"/>
  <c r="Y592" i="3"/>
  <c r="Y588" i="3"/>
  <c r="Y584" i="3"/>
  <c r="Y580" i="3"/>
  <c r="Y429" i="3"/>
  <c r="Y425" i="3"/>
  <c r="Y421" i="3"/>
  <c r="Y417" i="3"/>
  <c r="Y397" i="3"/>
  <c r="Y393" i="3"/>
  <c r="Y352" i="3"/>
  <c r="Y343" i="3"/>
  <c r="Y338" i="3"/>
  <c r="Y330" i="3"/>
  <c r="Y325" i="3"/>
  <c r="Y321" i="3"/>
  <c r="Y307" i="3"/>
  <c r="Y298" i="3"/>
  <c r="Y287" i="3"/>
  <c r="Y283" i="3"/>
  <c r="Y279" i="3"/>
  <c r="Y275" i="3"/>
  <c r="Y271" i="3"/>
  <c r="Y267" i="3"/>
  <c r="Y263" i="3"/>
  <c r="Y235" i="3"/>
  <c r="Y231" i="3"/>
  <c r="Y227" i="3"/>
  <c r="Y223" i="3"/>
  <c r="Y219" i="3"/>
  <c r="Y215" i="3"/>
  <c r="Y211" i="3"/>
  <c r="Y155" i="3"/>
  <c r="Y151" i="3"/>
  <c r="Y129" i="3"/>
  <c r="Y125" i="3"/>
  <c r="Y120" i="3"/>
  <c r="Y116" i="3"/>
  <c r="Y108" i="3"/>
  <c r="Y89" i="3"/>
  <c r="Y85" i="3"/>
  <c r="Y81" i="3"/>
  <c r="Y77" i="3"/>
  <c r="Y64" i="3"/>
  <c r="Y60" i="3"/>
  <c r="Y56" i="3"/>
  <c r="Y52" i="3"/>
  <c r="Y48" i="3"/>
  <c r="Y44" i="3"/>
  <c r="Y12" i="3"/>
  <c r="Y8" i="3"/>
  <c r="Y954" i="3"/>
  <c r="Y950" i="3"/>
  <c r="Y946" i="3"/>
  <c r="Y942" i="3"/>
  <c r="Y938" i="3"/>
  <c r="Y934" i="3"/>
  <c r="Y930" i="3"/>
  <c r="Y921" i="3"/>
  <c r="Y917" i="3"/>
  <c r="Y913" i="3"/>
  <c r="Y903" i="3"/>
  <c r="Y899" i="3"/>
  <c r="Y842" i="3"/>
  <c r="Y817" i="3"/>
  <c r="Y969" i="3"/>
  <c r="Y965" i="3"/>
  <c r="Y961" i="3"/>
  <c r="Y957" i="3"/>
  <c r="Y925" i="3"/>
  <c r="Y907" i="3"/>
  <c r="Y894" i="3"/>
  <c r="Y890" i="3"/>
  <c r="Y885" i="3"/>
  <c r="Y880" i="3"/>
  <c r="Y792" i="3"/>
  <c r="Y788" i="3"/>
  <c r="Y784" i="3"/>
  <c r="Y779" i="3"/>
  <c r="Y767" i="3"/>
  <c r="Y763" i="3"/>
  <c r="Y759" i="3"/>
  <c r="Y748" i="3"/>
  <c r="Y744" i="3"/>
  <c r="Y707" i="3"/>
  <c r="Y690" i="3"/>
  <c r="Y672" i="3"/>
  <c r="Y668" i="3"/>
  <c r="Y664" i="3"/>
  <c r="Y652" i="3"/>
  <c r="Y636" i="3"/>
  <c r="Y632" i="3"/>
  <c r="Y628" i="3"/>
  <c r="Y624" i="3"/>
  <c r="Y620" i="3"/>
  <c r="Y616" i="3"/>
  <c r="Y612" i="3"/>
  <c r="Y608" i="3"/>
  <c r="Y604" i="3"/>
  <c r="Y600" i="3"/>
  <c r="Y575" i="3"/>
  <c r="Y571" i="3"/>
  <c r="Y567" i="3"/>
  <c r="Y563" i="3"/>
  <c r="Y526" i="3"/>
  <c r="Y522" i="3"/>
  <c r="Y518" i="3"/>
  <c r="Y506" i="3"/>
  <c r="Y502" i="3"/>
  <c r="Y498" i="3"/>
  <c r="Y494" i="3"/>
  <c r="Y490" i="3"/>
  <c r="Y466" i="3"/>
  <c r="Y462" i="3"/>
  <c r="Y458" i="3"/>
  <c r="Y437" i="3"/>
  <c r="Y433" i="3"/>
  <c r="Y413" i="3"/>
  <c r="Y409" i="3"/>
  <c r="Y405" i="3"/>
  <c r="Y401" i="3"/>
  <c r="Y356" i="3"/>
  <c r="Y347" i="3"/>
  <c r="Y334" i="3"/>
  <c r="Y329" i="3"/>
  <c r="Y311" i="3"/>
  <c r="Y302" i="3"/>
  <c r="Y36" i="3"/>
  <c r="Y32" i="3"/>
  <c r="Y28" i="3"/>
  <c r="Y24" i="3"/>
  <c r="Y20" i="3"/>
  <c r="Y1000" i="3"/>
  <c r="Y996" i="3"/>
  <c r="Y992" i="3"/>
  <c r="Y988" i="3"/>
  <c r="Y984" i="3"/>
  <c r="Y980" i="3"/>
  <c r="Y976" i="3"/>
  <c r="Y972" i="3"/>
  <c r="Y953" i="3"/>
  <c r="Y949" i="3"/>
  <c r="Y945" i="3"/>
  <c r="Y941" i="3"/>
  <c r="Y937" i="3"/>
  <c r="Y933" i="3"/>
  <c r="Y929" i="3"/>
  <c r="Y912" i="3"/>
  <c r="Y875" i="3"/>
  <c r="Y871" i="3"/>
  <c r="Y867" i="3"/>
  <c r="Y841" i="3"/>
  <c r="Y816" i="3"/>
  <c r="Y799" i="3"/>
  <c r="Y689" i="3"/>
  <c r="Y660" i="3"/>
  <c r="Y656" i="3"/>
  <c r="Y595" i="3"/>
  <c r="Y591" i="3"/>
  <c r="Y587" i="3"/>
  <c r="Y583" i="3"/>
  <c r="Y579" i="3"/>
  <c r="Y558" i="3"/>
  <c r="Y554" i="3"/>
  <c r="Y550" i="3"/>
  <c r="Y546" i="3"/>
  <c r="Y542" i="3"/>
  <c r="Y538" i="3"/>
  <c r="Y534" i="3"/>
  <c r="Y530" i="3"/>
  <c r="Y514" i="3"/>
  <c r="Y510" i="3"/>
  <c r="Y486" i="3"/>
  <c r="Y482" i="3"/>
  <c r="Y478" i="3"/>
  <c r="Y474" i="3"/>
  <c r="Y470" i="3"/>
  <c r="Y428" i="3"/>
  <c r="Y424" i="3"/>
  <c r="Y420" i="3"/>
  <c r="Y416" i="3"/>
  <c r="Y392" i="3"/>
  <c r="Y384" i="3"/>
  <c r="Y380" i="3"/>
  <c r="Y376" i="3"/>
  <c r="Y372" i="3"/>
  <c r="Y368" i="3"/>
  <c r="Y364" i="3"/>
  <c r="Y360" i="3"/>
  <c r="Y351" i="3"/>
  <c r="Y342" i="3"/>
  <c r="Y324" i="3"/>
  <c r="Y320" i="3"/>
  <c r="Y315" i="3"/>
  <c r="Y306" i="3"/>
  <c r="Y297" i="3"/>
  <c r="Y290" i="3"/>
  <c r="Y194" i="3"/>
  <c r="Y190" i="3"/>
  <c r="Y178" i="3"/>
  <c r="Y174" i="3"/>
  <c r="Y170" i="3"/>
  <c r="Y162" i="3"/>
  <c r="Y107" i="3"/>
  <c r="Y88" i="3"/>
  <c r="Y84" i="3"/>
  <c r="Y80" i="3"/>
  <c r="Y76" i="3"/>
  <c r="Y63" i="3"/>
  <c r="Y59" i="3"/>
  <c r="Y55" i="3"/>
  <c r="Y51" i="3"/>
  <c r="Y47" i="3"/>
  <c r="Y11" i="3"/>
  <c r="Y7" i="3"/>
  <c r="Y968" i="3"/>
  <c r="Y964" i="3"/>
  <c r="Y960" i="3"/>
  <c r="Y924" i="3"/>
  <c r="Y823" i="3"/>
  <c r="Y819" i="3"/>
  <c r="Y811" i="3"/>
  <c r="Y807" i="3"/>
  <c r="Y803" i="3"/>
  <c r="Y635" i="3"/>
  <c r="Y631" i="3"/>
  <c r="Y627" i="3"/>
  <c r="Y623" i="3"/>
  <c r="Y619" i="3"/>
  <c r="Y615" i="3"/>
  <c r="Y611" i="3"/>
  <c r="Y607" i="3"/>
  <c r="Y603" i="3"/>
  <c r="Y599" i="3"/>
  <c r="Y574" i="3"/>
  <c r="Y570" i="3"/>
  <c r="Y566" i="3"/>
  <c r="Y562" i="3"/>
  <c r="Y525" i="3"/>
  <c r="Y521" i="3"/>
  <c r="Y517" i="3"/>
  <c r="Y509" i="3"/>
  <c r="Y505" i="3"/>
  <c r="Y501" i="3"/>
  <c r="Y497" i="3"/>
  <c r="Y493" i="3"/>
  <c r="Y465" i="3"/>
  <c r="Y461" i="3"/>
  <c r="Y440" i="3"/>
  <c r="Y436" i="3"/>
  <c r="Y432" i="3"/>
  <c r="Y400" i="3"/>
  <c r="Y387" i="3"/>
  <c r="Y355" i="3"/>
  <c r="Y350" i="3"/>
  <c r="Y346" i="3"/>
  <c r="Y328" i="3"/>
  <c r="Y241" i="3"/>
  <c r="Y166" i="3"/>
  <c r="Y161" i="3"/>
  <c r="Y157" i="3"/>
  <c r="Y149" i="3"/>
  <c r="Y145" i="3"/>
  <c r="Y140" i="3"/>
  <c r="Y136" i="3"/>
  <c r="Y132" i="3"/>
  <c r="Y123" i="3"/>
  <c r="Y103" i="3"/>
  <c r="Y99" i="3"/>
  <c r="Y95" i="3"/>
  <c r="Y91" i="3"/>
  <c r="Y71" i="3"/>
  <c r="Y43" i="3"/>
  <c r="Y39" i="3"/>
  <c r="Y901" i="3"/>
  <c r="Y897" i="3"/>
  <c r="Y888" i="3"/>
  <c r="Y883" i="3"/>
  <c r="Y878" i="3"/>
  <c r="Y874" i="3"/>
  <c r="Y870" i="3"/>
  <c r="Y866" i="3"/>
  <c r="Y794" i="3"/>
  <c r="Y782" i="3"/>
  <c r="Y750" i="3"/>
  <c r="Y659" i="3"/>
  <c r="Y655" i="3"/>
  <c r="Y651" i="3"/>
  <c r="Y647" i="3"/>
  <c r="Y643" i="3"/>
  <c r="Y639" i="3"/>
  <c r="Y594" i="3"/>
  <c r="Y590" i="3"/>
  <c r="Y586" i="3"/>
  <c r="Y582" i="3"/>
  <c r="Y578" i="3"/>
  <c r="Y557" i="3"/>
  <c r="Y553" i="3"/>
  <c r="Y549" i="3"/>
  <c r="Y545" i="3"/>
  <c r="Y541" i="3"/>
  <c r="Y537" i="3"/>
  <c r="Y533" i="3"/>
  <c r="Y529" i="3"/>
  <c r="Y513" i="3"/>
  <c r="Y489" i="3"/>
  <c r="Y485" i="3"/>
  <c r="Y481" i="3"/>
  <c r="Y477" i="3"/>
  <c r="Y473" i="3"/>
  <c r="Y469" i="3"/>
  <c r="Y456" i="3"/>
  <c r="Y452" i="3"/>
  <c r="Y448" i="3"/>
  <c r="Y444" i="3"/>
  <c r="Y383" i="3"/>
  <c r="Y379" i="3"/>
  <c r="Y375" i="3"/>
  <c r="Y371" i="3"/>
  <c r="Y367" i="3"/>
  <c r="Y363" i="3"/>
  <c r="Y359" i="3"/>
  <c r="Y285" i="3"/>
  <c r="Y281" i="3"/>
  <c r="Y277" i="3"/>
  <c r="Y273" i="3"/>
  <c r="Y269" i="3"/>
  <c r="Y265" i="3"/>
  <c r="Y261" i="3"/>
  <c r="Y257" i="3"/>
  <c r="Y253" i="3"/>
  <c r="Y249" i="3"/>
  <c r="Y209" i="3"/>
  <c r="Y205" i="3"/>
  <c r="Y201" i="3"/>
  <c r="Y193" i="3"/>
  <c r="Y189" i="3"/>
  <c r="Y177" i="3"/>
  <c r="Y173" i="3"/>
  <c r="Y169" i="3"/>
  <c r="Y165" i="3"/>
  <c r="Y153" i="3"/>
  <c r="Y118" i="3"/>
  <c r="Y114" i="3"/>
  <c r="Y110" i="3"/>
  <c r="Y106" i="3"/>
  <c r="Y14" i="3"/>
  <c r="Y10" i="3"/>
  <c r="Y999" i="3"/>
  <c r="Y995" i="3"/>
  <c r="Y991" i="3"/>
  <c r="Y987" i="3"/>
  <c r="Y983" i="3"/>
  <c r="Y979" i="3"/>
  <c r="Y975" i="3"/>
  <c r="Y971" i="3"/>
  <c r="Y910" i="3"/>
  <c r="Y856" i="3"/>
  <c r="Y852" i="3"/>
  <c r="Y848" i="3"/>
  <c r="Y839" i="3"/>
  <c r="Y835" i="3"/>
  <c r="Y831" i="3"/>
  <c r="Y822" i="3"/>
  <c r="Y810" i="3"/>
  <c r="Y806" i="3"/>
  <c r="Y802" i="3"/>
  <c r="Y790" i="3"/>
  <c r="Y786" i="3"/>
  <c r="Y777" i="3"/>
  <c r="Y773" i="3"/>
  <c r="Y769" i="3"/>
  <c r="Y765" i="3"/>
  <c r="Y761" i="3"/>
  <c r="Y757" i="3"/>
  <c r="Y753" i="3"/>
  <c r="Y746" i="3"/>
  <c r="Y742" i="3"/>
  <c r="Y738" i="3"/>
  <c r="Y734" i="3"/>
  <c r="Y730" i="3"/>
  <c r="Y726" i="3"/>
  <c r="Y722" i="3"/>
  <c r="Y718" i="3"/>
  <c r="Y386" i="3"/>
  <c r="Y336" i="3"/>
  <c r="Y327" i="3"/>
  <c r="Y318" i="3"/>
  <c r="Y304" i="3"/>
  <c r="Y300" i="3"/>
  <c r="Y296" i="3"/>
  <c r="Y292" i="3"/>
  <c r="Y244" i="3"/>
  <c r="Y240" i="3"/>
  <c r="Y197" i="3"/>
  <c r="Y185" i="3"/>
  <c r="Y181" i="3"/>
  <c r="Y160" i="3"/>
  <c r="Y156" i="3"/>
  <c r="Y148" i="3"/>
  <c r="Y143" i="3"/>
  <c r="Y139" i="3"/>
  <c r="Y135" i="3"/>
  <c r="Y131" i="3"/>
  <c r="Y122" i="3"/>
  <c r="Y102" i="3"/>
  <c r="Y98" i="3"/>
  <c r="Y94" i="3"/>
  <c r="Y74" i="3"/>
  <c r="Y70" i="3"/>
  <c r="Y42" i="3"/>
  <c r="Y38" i="3"/>
  <c r="Y18" i="3"/>
  <c r="Y955" i="3"/>
  <c r="Y951" i="3"/>
  <c r="Y947" i="3"/>
  <c r="Y943" i="3"/>
  <c r="Y939" i="3"/>
  <c r="Y935" i="3"/>
  <c r="Y931" i="3"/>
  <c r="Y918" i="3"/>
  <c r="Y914" i="3"/>
  <c r="Y909" i="3"/>
  <c r="Y904" i="3"/>
  <c r="Y900" i="3"/>
  <c r="Y896" i="3"/>
  <c r="Y887" i="3"/>
  <c r="Y877" i="3"/>
  <c r="Y873" i="3"/>
  <c r="Y869" i="3"/>
  <c r="Y843" i="3"/>
  <c r="Y797" i="3"/>
  <c r="Y793" i="3"/>
  <c r="Y781" i="3"/>
  <c r="Y713" i="3"/>
  <c r="Y709" i="3"/>
  <c r="Y704" i="3"/>
  <c r="Y700" i="3"/>
  <c r="Y696" i="3"/>
  <c r="Y682" i="3"/>
  <c r="Y678" i="3"/>
  <c r="Y650" i="3"/>
  <c r="Y646" i="3"/>
  <c r="Y593" i="3"/>
  <c r="Y589" i="3"/>
  <c r="Y516" i="3"/>
  <c r="Y512" i="3"/>
  <c r="Y455" i="3"/>
  <c r="Y451" i="3"/>
  <c r="Y447" i="3"/>
  <c r="Y443" i="3"/>
  <c r="Y398" i="3"/>
  <c r="Y362" i="3"/>
  <c r="Y284" i="3"/>
  <c r="Y280" i="3"/>
  <c r="Y276" i="3"/>
  <c r="Y272" i="3"/>
  <c r="Y268" i="3"/>
  <c r="Y264" i="3"/>
  <c r="Y260" i="3"/>
  <c r="Y256" i="3"/>
  <c r="Y252" i="3"/>
  <c r="Y248" i="3"/>
  <c r="Y236" i="3"/>
  <c r="Y232" i="3"/>
  <c r="Y228" i="3"/>
  <c r="Y224" i="3"/>
  <c r="Y220" i="3"/>
  <c r="Y216" i="3"/>
  <c r="Y212" i="3"/>
  <c r="Y208" i="3"/>
  <c r="Y204" i="3"/>
  <c r="Y200" i="3"/>
  <c r="Y164" i="3"/>
  <c r="Y152" i="3"/>
  <c r="Y126" i="3"/>
  <c r="Y117" i="3"/>
  <c r="Y113" i="3"/>
  <c r="Y109" i="3"/>
  <c r="Y105" i="3"/>
  <c r="Y90" i="3"/>
  <c r="Y86" i="3"/>
  <c r="Y82" i="3"/>
  <c r="Y78" i="3"/>
  <c r="Y65" i="3"/>
  <c r="Y61" i="3"/>
  <c r="Y57" i="3"/>
  <c r="Y53" i="3"/>
  <c r="Y49" i="3"/>
  <c r="Y45" i="3"/>
  <c r="AF403" i="3"/>
  <c r="AE403" i="3"/>
  <c r="AF181" i="3"/>
  <c r="AE181" i="3"/>
  <c r="AF418" i="3"/>
  <c r="AE418" i="3"/>
  <c r="AE911" i="3"/>
  <c r="AF287" i="3"/>
  <c r="AE287" i="3"/>
  <c r="AF685" i="3"/>
  <c r="AE685" i="3"/>
  <c r="AF364" i="3"/>
  <c r="AE364" i="3"/>
  <c r="AE962" i="3"/>
  <c r="AE909" i="3"/>
  <c r="AF387" i="3"/>
  <c r="AE387" i="3"/>
  <c r="AF395" i="3"/>
  <c r="AE395" i="3"/>
  <c r="X642" i="3"/>
  <c r="X833" i="3"/>
  <c r="AE433" i="3"/>
  <c r="AE797" i="3"/>
  <c r="AE245" i="3"/>
  <c r="AE179" i="3"/>
  <c r="AE353" i="3"/>
  <c r="AE209" i="3"/>
  <c r="AE36" i="3"/>
  <c r="AE8" i="3"/>
  <c r="AE977" i="3"/>
  <c r="AE972" i="3"/>
  <c r="AE965" i="3"/>
  <c r="AE742" i="3"/>
  <c r="AE737" i="3"/>
  <c r="AE645" i="3"/>
  <c r="AE576" i="3"/>
  <c r="AE490" i="3"/>
  <c r="AE467" i="3"/>
  <c r="AE955" i="3"/>
  <c r="AE901" i="3"/>
  <c r="AE831" i="3"/>
  <c r="X619" i="3"/>
  <c r="AE485" i="3"/>
  <c r="AE451" i="3"/>
  <c r="AE149" i="3"/>
  <c r="AE82" i="3"/>
  <c r="AE77" i="3"/>
  <c r="AE143" i="3"/>
  <c r="AE84" i="3"/>
  <c r="AE969" i="3"/>
  <c r="AE753" i="3"/>
  <c r="AE715" i="3"/>
  <c r="AE421" i="3"/>
  <c r="AE348" i="3"/>
  <c r="AE248" i="3"/>
  <c r="AE302" i="3"/>
  <c r="AE993" i="3"/>
  <c r="AE980" i="3"/>
  <c r="AE924" i="3"/>
  <c r="AE781" i="3"/>
  <c r="AE757" i="3"/>
  <c r="AE750" i="3"/>
  <c r="AE619" i="3"/>
  <c r="AE595" i="3"/>
  <c r="AE465" i="3"/>
  <c r="AE460" i="3"/>
  <c r="AE400" i="3"/>
  <c r="AE316" i="3"/>
  <c r="AE284" i="3"/>
  <c r="AE70" i="3"/>
  <c r="AE28" i="3"/>
  <c r="X846" i="3"/>
  <c r="X587" i="3"/>
  <c r="X70" i="3"/>
  <c r="X640" i="3"/>
  <c r="X801" i="3"/>
  <c r="X820" i="3"/>
  <c r="X555" i="3"/>
  <c r="X547" i="3"/>
  <c r="X344" i="3"/>
  <c r="AF646" i="3"/>
  <c r="AE646" i="3"/>
  <c r="X982" i="3"/>
  <c r="AF160" i="3"/>
  <c r="AE160" i="3"/>
  <c r="AE853" i="3"/>
  <c r="X852" i="3"/>
  <c r="AE811" i="3"/>
  <c r="AE770" i="3"/>
  <c r="AF357" i="3"/>
  <c r="AE357" i="3"/>
  <c r="AE354" i="3"/>
  <c r="X242" i="3"/>
  <c r="X897" i="3"/>
  <c r="AE869" i="3"/>
  <c r="X702" i="3"/>
  <c r="AF555" i="3"/>
  <c r="AE555" i="3"/>
  <c r="AE378" i="3"/>
  <c r="AE793" i="3"/>
  <c r="AE759" i="3"/>
  <c r="AE692" i="3"/>
  <c r="AF443" i="3"/>
  <c r="AE443" i="3"/>
  <c r="AF408" i="3"/>
  <c r="AE408" i="3"/>
  <c r="AF339" i="3"/>
  <c r="AE339" i="3"/>
  <c r="AF52" i="3"/>
  <c r="AE52" i="3"/>
  <c r="AF351" i="3"/>
  <c r="AE351" i="3"/>
  <c r="AF123" i="3"/>
  <c r="AE123" i="3"/>
  <c r="AF533" i="3"/>
  <c r="AE533" i="3"/>
  <c r="AF653" i="3"/>
  <c r="AE653" i="3"/>
  <c r="AF363" i="3"/>
  <c r="AE363" i="3"/>
  <c r="AE904" i="3"/>
  <c r="AE881" i="3"/>
  <c r="AF633" i="3"/>
  <c r="AE633" i="3"/>
  <c r="AF399" i="3"/>
  <c r="AE399" i="3"/>
  <c r="X987" i="3"/>
  <c r="AE966" i="3"/>
  <c r="AE826" i="3"/>
  <c r="X995" i="3"/>
  <c r="X907" i="3"/>
  <c r="AE858" i="3"/>
  <c r="AE816" i="3"/>
  <c r="X387" i="3"/>
  <c r="AF253" i="3"/>
  <c r="AE253" i="3"/>
  <c r="AF185" i="3"/>
  <c r="AE185" i="3"/>
  <c r="AF805" i="3"/>
  <c r="X805" i="3"/>
  <c r="AF721" i="3"/>
  <c r="AE721" i="3"/>
  <c r="X965" i="3"/>
  <c r="X761" i="3"/>
  <c r="AF520" i="3"/>
  <c r="AE520" i="3"/>
  <c r="X893" i="3"/>
  <c r="X993" i="3"/>
  <c r="X997" i="3"/>
  <c r="AE979" i="3"/>
  <c r="AE967" i="3"/>
  <c r="AE863" i="3"/>
  <c r="X650" i="3"/>
  <c r="AF491" i="3"/>
  <c r="AE491" i="3"/>
  <c r="AF452" i="3"/>
  <c r="AE452" i="3"/>
  <c r="X668" i="3"/>
  <c r="AF668" i="3"/>
  <c r="X660" i="3"/>
  <c r="X628" i="3"/>
  <c r="X262" i="3"/>
  <c r="AE236" i="3"/>
  <c r="X233" i="3"/>
  <c r="AE81" i="3"/>
  <c r="X696" i="3"/>
  <c r="X489" i="3"/>
  <c r="AE318" i="3"/>
  <c r="X188" i="3"/>
  <c r="X148" i="3"/>
  <c r="AE64" i="3"/>
  <c r="AE256" i="3"/>
  <c r="AE202" i="3"/>
  <c r="AE178" i="3"/>
  <c r="X300" i="3"/>
  <c r="X153" i="3"/>
  <c r="X593" i="3"/>
  <c r="AE933" i="3"/>
  <c r="AE1000" i="3"/>
  <c r="AE943" i="3"/>
  <c r="AE936" i="3"/>
  <c r="AE925" i="3"/>
  <c r="AE920" i="3"/>
  <c r="AE782" i="3"/>
  <c r="AE745" i="3"/>
  <c r="X732" i="3"/>
  <c r="AE711" i="3"/>
  <c r="AE948" i="3"/>
  <c r="AE941" i="3"/>
  <c r="AE890" i="3"/>
  <c r="AE889" i="3"/>
  <c r="AE859" i="3"/>
  <c r="AE835" i="3"/>
  <c r="X835" i="3"/>
  <c r="AE833" i="3"/>
  <c r="AE820" i="3"/>
  <c r="AE996" i="3"/>
  <c r="AE964" i="3"/>
  <c r="AE961" i="3"/>
  <c r="AE957" i="3"/>
  <c r="AE954" i="3"/>
  <c r="AE946" i="3"/>
  <c r="AE945" i="3"/>
  <c r="AE928" i="3"/>
  <c r="AE900" i="3"/>
  <c r="AE884" i="3"/>
  <c r="X870" i="3"/>
  <c r="X843" i="3"/>
  <c r="X768" i="3"/>
  <c r="X738" i="3"/>
  <c r="AE719" i="3"/>
  <c r="AE707" i="3"/>
  <c r="AE669" i="3"/>
  <c r="X625" i="3"/>
  <c r="AE544" i="3"/>
  <c r="AE537" i="3"/>
  <c r="AE536" i="3"/>
  <c r="AE512" i="3"/>
  <c r="AE509" i="3"/>
  <c r="AE507" i="3"/>
  <c r="AE498" i="3"/>
  <c r="AE340" i="3"/>
  <c r="AE307" i="3"/>
  <c r="X860" i="3"/>
  <c r="AE846" i="3"/>
  <c r="AE825" i="3"/>
  <c r="AE991" i="3"/>
  <c r="X963" i="3"/>
  <c r="AE949" i="3"/>
  <c r="X936" i="3"/>
  <c r="AE926" i="3"/>
  <c r="AE912" i="3"/>
  <c r="AE907" i="3"/>
  <c r="AE902" i="3"/>
  <c r="X902" i="3"/>
  <c r="AE882" i="3"/>
  <c r="AE851" i="3"/>
  <c r="X837" i="3"/>
  <c r="AE824" i="3"/>
  <c r="AE794" i="3"/>
  <c r="AE774" i="3"/>
  <c r="AE738" i="3"/>
  <c r="AE712" i="3"/>
  <c r="X627" i="3"/>
  <c r="AE578" i="3"/>
  <c r="AE505" i="3"/>
  <c r="AE463" i="3"/>
  <c r="AE461" i="3"/>
  <c r="AE350" i="3"/>
  <c r="AD244" i="3"/>
  <c r="X244" i="3"/>
  <c r="AE162" i="3"/>
  <c r="AE26" i="3"/>
  <c r="AE839" i="3"/>
  <c r="AE679" i="3"/>
  <c r="X618" i="3"/>
  <c r="AE613" i="3"/>
  <c r="AE606" i="3"/>
  <c r="AE594" i="3"/>
  <c r="X594" i="3"/>
  <c r="AE585" i="3"/>
  <c r="AE468" i="3"/>
  <c r="AE398" i="3"/>
  <c r="AE987" i="3"/>
  <c r="AE971" i="3"/>
  <c r="AE917" i="3"/>
  <c r="AE908" i="3"/>
  <c r="AE822" i="3"/>
  <c r="AE809" i="3"/>
  <c r="X798" i="3"/>
  <c r="AE779" i="3"/>
  <c r="AE630" i="3"/>
  <c r="AE611" i="3"/>
  <c r="AE569" i="3"/>
  <c r="AE515" i="3"/>
  <c r="AE475" i="3"/>
  <c r="AE438" i="3"/>
  <c r="AE696" i="3"/>
  <c r="AE246" i="3"/>
  <c r="AE997" i="3"/>
  <c r="X961" i="3"/>
  <c r="AE960" i="3"/>
  <c r="AE958" i="3"/>
  <c r="AE938" i="3"/>
  <c r="AE903" i="3"/>
  <c r="AE894" i="3"/>
  <c r="AE885" i="3"/>
  <c r="AE867" i="3"/>
  <c r="AE857" i="3"/>
  <c r="AE852" i="3"/>
  <c r="AE844" i="3"/>
  <c r="AE843" i="3"/>
  <c r="AE806" i="3"/>
  <c r="AE799" i="3"/>
  <c r="AE776" i="3"/>
  <c r="AE761" i="3"/>
  <c r="X745" i="3"/>
  <c r="X664" i="3"/>
  <c r="AE655" i="3"/>
  <c r="AE632" i="3"/>
  <c r="AE618" i="3"/>
  <c r="AE614" i="3"/>
  <c r="AE597" i="3"/>
  <c r="AE562" i="3"/>
  <c r="X531" i="3"/>
  <c r="AE522" i="3"/>
  <c r="AE482" i="3"/>
  <c r="AE477" i="3"/>
  <c r="X346" i="3"/>
  <c r="AE346" i="3"/>
  <c r="AE303" i="3"/>
  <c r="AE291" i="3"/>
  <c r="AE121" i="3"/>
  <c r="AE98" i="3"/>
  <c r="X682" i="3"/>
  <c r="AE668" i="3"/>
  <c r="AE664" i="3"/>
  <c r="AE634" i="3"/>
  <c r="X624" i="3"/>
  <c r="X595" i="3"/>
  <c r="AE531" i="3"/>
  <c r="AE529" i="3"/>
  <c r="AE432" i="3"/>
  <c r="AE425" i="3"/>
  <c r="AE234" i="3"/>
  <c r="AE973" i="3"/>
  <c r="AE968" i="3"/>
  <c r="AE952" i="3"/>
  <c r="AE940" i="3"/>
  <c r="AE880" i="3"/>
  <c r="AE875" i="3"/>
  <c r="AE872" i="3"/>
  <c r="AE827" i="3"/>
  <c r="AE744" i="3"/>
  <c r="X729" i="3"/>
  <c r="AE700" i="3"/>
  <c r="AE860" i="3"/>
  <c r="AE830" i="3"/>
  <c r="X812" i="3"/>
  <c r="AE673" i="3"/>
  <c r="AE639" i="3"/>
  <c r="AE892" i="3"/>
  <c r="AE802" i="3"/>
  <c r="AE801" i="3"/>
  <c r="X800" i="3"/>
  <c r="AE798" i="3"/>
  <c r="X773" i="3"/>
  <c r="AE998" i="3"/>
  <c r="AE983" i="3"/>
  <c r="AE982" i="3"/>
  <c r="X790" i="3"/>
  <c r="AE780" i="3"/>
  <c r="X737" i="3"/>
  <c r="AE734" i="3"/>
  <c r="X734" i="3"/>
  <c r="X569" i="3"/>
  <c r="X975" i="3"/>
  <c r="AE923" i="3"/>
  <c r="AE922" i="3"/>
  <c r="AE899" i="3"/>
  <c r="AE897" i="3"/>
  <c r="AE868" i="3"/>
  <c r="AE864" i="3"/>
  <c r="X818" i="3"/>
  <c r="AE813" i="3"/>
  <c r="AE812" i="3"/>
  <c r="AE810" i="3"/>
  <c r="AE807" i="3"/>
  <c r="X806" i="3"/>
  <c r="AE788" i="3"/>
  <c r="AE736" i="3"/>
  <c r="AE714" i="3"/>
  <c r="AE702" i="3"/>
  <c r="AE683" i="3"/>
  <c r="AE647" i="3"/>
  <c r="AE642" i="3"/>
  <c r="AE641" i="3"/>
  <c r="X636" i="3"/>
  <c r="AE635" i="3"/>
  <c r="AE622" i="3"/>
  <c r="AE620" i="3"/>
  <c r="X599" i="3"/>
  <c r="AE572" i="3"/>
  <c r="X550" i="3"/>
  <c r="X534" i="3"/>
  <c r="AE514" i="3"/>
  <c r="AE500" i="3"/>
  <c r="AE499" i="3"/>
  <c r="AE458" i="3"/>
  <c r="AE266" i="3"/>
  <c r="AE205" i="3"/>
  <c r="AE914" i="3"/>
  <c r="AE898" i="3"/>
  <c r="AE870" i="3"/>
  <c r="AE866" i="3"/>
  <c r="AE856" i="3"/>
  <c r="AE842" i="3"/>
  <c r="AE823" i="3"/>
  <c r="X753" i="3"/>
  <c r="AE705" i="3"/>
  <c r="X685" i="3"/>
  <c r="AE665" i="3"/>
  <c r="AE659" i="3"/>
  <c r="X646" i="3"/>
  <c r="AE640" i="3"/>
  <c r="AE626" i="3"/>
  <c r="AE604" i="3"/>
  <c r="AE592" i="3"/>
  <c r="AE543" i="3"/>
  <c r="AE532" i="3"/>
  <c r="AE521" i="3"/>
  <c r="AE508" i="3"/>
  <c r="AE488" i="3"/>
  <c r="AE435" i="3"/>
  <c r="AE198" i="3"/>
  <c r="AE114" i="3"/>
  <c r="AE100" i="3"/>
  <c r="AE56" i="3"/>
  <c r="AE850" i="3"/>
  <c r="X848" i="3"/>
  <c r="AE800" i="3"/>
  <c r="AE953" i="3"/>
  <c r="X940" i="3"/>
  <c r="AE918" i="3"/>
  <c r="AE893" i="3"/>
  <c r="AE876" i="3"/>
  <c r="AE873" i="3"/>
  <c r="X867" i="3"/>
  <c r="X864" i="3"/>
  <c r="X851" i="3"/>
  <c r="AE848" i="3"/>
  <c r="AE837" i="3"/>
  <c r="AE829" i="3"/>
  <c r="AE791" i="3"/>
  <c r="AE789" i="3"/>
  <c r="AE778" i="3"/>
  <c r="AE768" i="3"/>
  <c r="AE767" i="3"/>
  <c r="AE762" i="3"/>
  <c r="X756" i="3"/>
  <c r="X726" i="3"/>
  <c r="AE720" i="3"/>
  <c r="X711" i="3"/>
  <c r="AE697" i="3"/>
  <c r="AE680" i="3"/>
  <c r="AE677" i="3"/>
  <c r="AE657" i="3"/>
  <c r="AE636" i="3"/>
  <c r="AE596" i="3"/>
  <c r="X448" i="3"/>
  <c r="AE424" i="3"/>
  <c r="AE379" i="3"/>
  <c r="AE366" i="3"/>
  <c r="AE312" i="3"/>
  <c r="X156" i="3"/>
  <c r="AE156" i="3"/>
  <c r="X155" i="3"/>
  <c r="AE71" i="3"/>
  <c r="AE68" i="3"/>
  <c r="AE763" i="3"/>
  <c r="X757" i="3"/>
  <c r="X719" i="3"/>
  <c r="X718" i="3"/>
  <c r="AE706" i="3"/>
  <c r="AE663" i="3"/>
  <c r="X655" i="3"/>
  <c r="AE649" i="3"/>
  <c r="X634" i="3"/>
  <c r="AE624" i="3"/>
  <c r="AE608" i="3"/>
  <c r="AE602" i="3"/>
  <c r="AE550" i="3"/>
  <c r="AE548" i="3"/>
  <c r="AE450" i="3"/>
  <c r="AE203" i="3"/>
  <c r="AE138" i="3"/>
  <c r="AE106" i="3"/>
  <c r="AE76" i="3"/>
  <c r="AE50" i="3"/>
  <c r="X50" i="3"/>
  <c r="AE362" i="3"/>
  <c r="AE333" i="3"/>
  <c r="AE319" i="3"/>
  <c r="AE315" i="3"/>
  <c r="X29" i="3"/>
  <c r="AE29" i="3"/>
  <c r="X7" i="3"/>
  <c r="X307" i="3"/>
  <c r="AE299" i="3"/>
  <c r="AE277" i="3"/>
  <c r="AE254" i="3"/>
  <c r="X127" i="3"/>
  <c r="AE109" i="3"/>
  <c r="AE99" i="3"/>
  <c r="AE79" i="3"/>
  <c r="AE86" i="3"/>
  <c r="AE995" i="3"/>
  <c r="X977" i="3"/>
  <c r="AE944" i="3"/>
  <c r="AE921" i="3"/>
  <c r="AE916" i="3"/>
  <c r="X914" i="3"/>
  <c r="AE883" i="3"/>
  <c r="X866" i="3"/>
  <c r="X850" i="3"/>
  <c r="X842" i="3"/>
  <c r="X826" i="3"/>
  <c r="X781" i="3"/>
  <c r="X767" i="3"/>
  <c r="AE741" i="3"/>
  <c r="AE732" i="3"/>
  <c r="AE710" i="3"/>
  <c r="AE694" i="3"/>
  <c r="X690" i="3"/>
  <c r="AE684" i="3"/>
  <c r="AE672" i="3"/>
  <c r="AE662" i="3"/>
  <c r="X659" i="3"/>
  <c r="AE650" i="3"/>
  <c r="X645" i="3"/>
  <c r="AE631" i="3"/>
  <c r="X617" i="3"/>
  <c r="AE609" i="3"/>
  <c r="AE598" i="3"/>
  <c r="AE563" i="3"/>
  <c r="AE535" i="3"/>
  <c r="AE496" i="3"/>
  <c r="X469" i="3"/>
  <c r="AE469" i="3"/>
  <c r="AE466" i="3"/>
  <c r="X436" i="3"/>
  <c r="AE430" i="3"/>
  <c r="AE404" i="3"/>
  <c r="AE375" i="3"/>
  <c r="AE323" i="3"/>
  <c r="AE257" i="3"/>
  <c r="X198" i="3"/>
  <c r="AE169" i="3"/>
  <c r="X132" i="3"/>
  <c r="AE132" i="3"/>
  <c r="AE25" i="3"/>
  <c r="X25" i="3"/>
  <c r="X13" i="3"/>
  <c r="X356" i="3"/>
  <c r="AE344" i="3"/>
  <c r="X310" i="3"/>
  <c r="AE300" i="3"/>
  <c r="AE175" i="3"/>
  <c r="AE107" i="3"/>
  <c r="X104" i="3"/>
  <c r="AE96" i="3"/>
  <c r="AE87" i="3"/>
  <c r="AE72" i="3"/>
  <c r="AE23" i="3"/>
  <c r="AA57" i="3"/>
  <c r="AE579" i="3"/>
  <c r="AE541" i="3"/>
  <c r="AE473" i="3"/>
  <c r="AE464" i="3"/>
  <c r="X451" i="3"/>
  <c r="AE405" i="3"/>
  <c r="AE380" i="3"/>
  <c r="AE367" i="3"/>
  <c r="X317" i="3"/>
  <c r="AE305" i="3"/>
  <c r="AE283" i="3"/>
  <c r="X222" i="3"/>
  <c r="AE180" i="3"/>
  <c r="AE115" i="3"/>
  <c r="AE101" i="3"/>
  <c r="X94" i="3"/>
  <c r="AE60" i="3"/>
  <c r="AE54" i="3"/>
  <c r="AE47" i="3"/>
  <c r="X11" i="3"/>
  <c r="X8" i="3"/>
  <c r="AE436" i="3"/>
  <c r="X371" i="3"/>
  <c r="AE342" i="3"/>
  <c r="X321" i="3"/>
  <c r="AE317" i="3"/>
  <c r="AE304" i="3"/>
  <c r="AE294" i="3"/>
  <c r="AE235" i="3"/>
  <c r="AE207" i="3"/>
  <c r="AE141" i="3"/>
  <c r="AE122" i="3"/>
  <c r="X9" i="3"/>
  <c r="AE454" i="3"/>
  <c r="X443" i="3"/>
  <c r="AE440" i="3"/>
  <c r="AE434" i="3"/>
  <c r="AE426" i="3"/>
  <c r="X421" i="3"/>
  <c r="X397" i="3"/>
  <c r="AE392" i="3"/>
  <c r="AE390" i="3"/>
  <c r="AE389" i="3"/>
  <c r="AE361" i="3"/>
  <c r="AE359" i="3"/>
  <c r="AE358" i="3"/>
  <c r="AE345" i="3"/>
  <c r="AE330" i="3"/>
  <c r="X327" i="3"/>
  <c r="AE298" i="3"/>
  <c r="X290" i="3"/>
  <c r="AE274" i="3"/>
  <c r="X253" i="3"/>
  <c r="AE249" i="3"/>
  <c r="AE230" i="3"/>
  <c r="AE229" i="3"/>
  <c r="AE206" i="3"/>
  <c r="AE195" i="3"/>
  <c r="AE189" i="3"/>
  <c r="AE177" i="3"/>
  <c r="AE171" i="3"/>
  <c r="AE170" i="3"/>
  <c r="AE161" i="3"/>
  <c r="AE148" i="3"/>
  <c r="AE136" i="3"/>
  <c r="AE113" i="3"/>
  <c r="AE112" i="3"/>
  <c r="AE105" i="3"/>
  <c r="AE102" i="3"/>
  <c r="AE89" i="3"/>
  <c r="X88" i="3"/>
  <c r="AE78" i="3"/>
  <c r="AE45" i="3"/>
  <c r="X43" i="3"/>
  <c r="AE37" i="3"/>
  <c r="AE17" i="3"/>
  <c r="AE587" i="3"/>
  <c r="X580" i="3"/>
  <c r="AE542" i="3"/>
  <c r="AE539" i="3"/>
  <c r="X490" i="3"/>
  <c r="AE481" i="3"/>
  <c r="AE470" i="3"/>
  <c r="AE457" i="3"/>
  <c r="AE442" i="3"/>
  <c r="AE439" i="3"/>
  <c r="AE429" i="3"/>
  <c r="AE411" i="3"/>
  <c r="AE397" i="3"/>
  <c r="X391" i="3"/>
  <c r="X322" i="3"/>
  <c r="AE313" i="3"/>
  <c r="AE306" i="3"/>
  <c r="X273" i="3"/>
  <c r="AE244" i="3"/>
  <c r="AE201" i="3"/>
  <c r="AE142" i="3"/>
  <c r="AE120" i="3"/>
  <c r="AE88" i="3"/>
  <c r="AE67" i="3"/>
  <c r="AE63" i="3"/>
  <c r="X51" i="3"/>
  <c r="AE11" i="3"/>
  <c r="AE530" i="3"/>
  <c r="X477" i="3"/>
  <c r="AE446" i="3"/>
  <c r="X424" i="3"/>
  <c r="AE402" i="3"/>
  <c r="AE393" i="3"/>
  <c r="AE388" i="3"/>
  <c r="AE386" i="3"/>
  <c r="X383" i="3"/>
  <c r="AE377" i="3"/>
  <c r="AE371" i="3"/>
  <c r="AE352" i="3"/>
  <c r="AE336" i="3"/>
  <c r="X333" i="3"/>
  <c r="AE308" i="3"/>
  <c r="AE293" i="3"/>
  <c r="AE292" i="3"/>
  <c r="AE281" i="3"/>
  <c r="AE280" i="3"/>
  <c r="AE275" i="3"/>
  <c r="AE264" i="3"/>
  <c r="AE242" i="3"/>
  <c r="AE233" i="3"/>
  <c r="AE211" i="3"/>
  <c r="AE208" i="3"/>
  <c r="AE194" i="3"/>
  <c r="AE186" i="3"/>
  <c r="X174" i="3"/>
  <c r="X169" i="3"/>
  <c r="AE165" i="3"/>
  <c r="AE154" i="3"/>
  <c r="X138" i="3"/>
  <c r="X122" i="3"/>
  <c r="AE110" i="3"/>
  <c r="AE95" i="3"/>
  <c r="AE35" i="3"/>
  <c r="AE22" i="3"/>
  <c r="AE21" i="3"/>
  <c r="AA996" i="3"/>
  <c r="AA988" i="3"/>
  <c r="AA980" i="3"/>
  <c r="AA972" i="3"/>
  <c r="AA964" i="3"/>
  <c r="AA956" i="3"/>
  <c r="AA948" i="3"/>
  <c r="AA940" i="3"/>
  <c r="AA932" i="3"/>
  <c r="AA924" i="3"/>
  <c r="AA916" i="3"/>
  <c r="AA908" i="3"/>
  <c r="AA900" i="3"/>
  <c r="AA892" i="3"/>
  <c r="AA884" i="3"/>
  <c r="AA876" i="3"/>
  <c r="AA868" i="3"/>
  <c r="AA860" i="3"/>
  <c r="AA852" i="3"/>
  <c r="AA844" i="3"/>
  <c r="AA836" i="3"/>
  <c r="AA828" i="3"/>
  <c r="AA820" i="3"/>
  <c r="AA812" i="3"/>
  <c r="AA804" i="3"/>
  <c r="AA796" i="3"/>
  <c r="AA788" i="3"/>
  <c r="AA780" i="3"/>
  <c r="AA772" i="3"/>
  <c r="AA764" i="3"/>
  <c r="AA756" i="3"/>
  <c r="AA748" i="3"/>
  <c r="AA740" i="3"/>
  <c r="AA732" i="3"/>
  <c r="AA724" i="3"/>
  <c r="AA716" i="3"/>
  <c r="AA708" i="3"/>
  <c r="AA700" i="3"/>
  <c r="AA692" i="3"/>
  <c r="AA684" i="3"/>
  <c r="AA673" i="3"/>
  <c r="AA657" i="3"/>
  <c r="AA630" i="3"/>
  <c r="AA577" i="3"/>
  <c r="AA513" i="3"/>
  <c r="AA449" i="3"/>
  <c r="AA385" i="3"/>
  <c r="AA321" i="3"/>
  <c r="AA257" i="3"/>
  <c r="AA193" i="3"/>
  <c r="AA129" i="3"/>
  <c r="AA65" i="3"/>
  <c r="AA995" i="3"/>
  <c r="AA987" i="3"/>
  <c r="AA979" i="3"/>
  <c r="AA971" i="3"/>
  <c r="AA963" i="3"/>
  <c r="AA955" i="3"/>
  <c r="AA947" i="3"/>
  <c r="AA939" i="3"/>
  <c r="AA931" i="3"/>
  <c r="AA923" i="3"/>
  <c r="AA915" i="3"/>
  <c r="AA907" i="3"/>
  <c r="AA899" i="3"/>
  <c r="AA891" i="3"/>
  <c r="AA883" i="3"/>
  <c r="AA875" i="3"/>
  <c r="AA867" i="3"/>
  <c r="AA859" i="3"/>
  <c r="AA851" i="3"/>
  <c r="AA843" i="3"/>
  <c r="AA835" i="3"/>
  <c r="AA827" i="3"/>
  <c r="AA819" i="3"/>
  <c r="AA811" i="3"/>
  <c r="AA803" i="3"/>
  <c r="AA795" i="3"/>
  <c r="AA787" i="3"/>
  <c r="AA779" i="3"/>
  <c r="AA771" i="3"/>
  <c r="AA763" i="3"/>
  <c r="AA755" i="3"/>
  <c r="AA747" i="3"/>
  <c r="AA739" i="3"/>
  <c r="AA731" i="3"/>
  <c r="AA723" i="3"/>
  <c r="AA715" i="3"/>
  <c r="AA707" i="3"/>
  <c r="AA699" i="3"/>
  <c r="AA691" i="3"/>
  <c r="AA683" i="3"/>
  <c r="AA670" i="3"/>
  <c r="AA654" i="3"/>
  <c r="AA625" i="3"/>
  <c r="AA569" i="3"/>
  <c r="AA505" i="3"/>
  <c r="AA441" i="3"/>
  <c r="AA377" i="3"/>
  <c r="AA313" i="3"/>
  <c r="AA249" i="3"/>
  <c r="AA185" i="3"/>
  <c r="AA121" i="3"/>
  <c r="AA10" i="3"/>
  <c r="AA18" i="3"/>
  <c r="AA26" i="3"/>
  <c r="AA34" i="3"/>
  <c r="AA42" i="3"/>
  <c r="AA50" i="3"/>
  <c r="AA58" i="3"/>
  <c r="AA66" i="3"/>
  <c r="AA74" i="3"/>
  <c r="AA82" i="3"/>
  <c r="AA90" i="3"/>
  <c r="AA98" i="3"/>
  <c r="AA106" i="3"/>
  <c r="AA114" i="3"/>
  <c r="AA122" i="3"/>
  <c r="AA130" i="3"/>
  <c r="AA138" i="3"/>
  <c r="AA146" i="3"/>
  <c r="AA154" i="3"/>
  <c r="AA162" i="3"/>
  <c r="AA170" i="3"/>
  <c r="AA178" i="3"/>
  <c r="AA186" i="3"/>
  <c r="AA194" i="3"/>
  <c r="AA202" i="3"/>
  <c r="AA210" i="3"/>
  <c r="AA218" i="3"/>
  <c r="AA226" i="3"/>
  <c r="AA234" i="3"/>
  <c r="AA242" i="3"/>
  <c r="AA250" i="3"/>
  <c r="AA258" i="3"/>
  <c r="AA266" i="3"/>
  <c r="AA274" i="3"/>
  <c r="AA282" i="3"/>
  <c r="AA290" i="3"/>
  <c r="AA298" i="3"/>
  <c r="AA306" i="3"/>
  <c r="AA314" i="3"/>
  <c r="AA322" i="3"/>
  <c r="AA330" i="3"/>
  <c r="AA338" i="3"/>
  <c r="AA346" i="3"/>
  <c r="AA354" i="3"/>
  <c r="AA362" i="3"/>
  <c r="AA370" i="3"/>
  <c r="AA378" i="3"/>
  <c r="AA386" i="3"/>
  <c r="AA394" i="3"/>
  <c r="AA402" i="3"/>
  <c r="AA410" i="3"/>
  <c r="AA418" i="3"/>
  <c r="AA426" i="3"/>
  <c r="AA434" i="3"/>
  <c r="AA442" i="3"/>
  <c r="AA450" i="3"/>
  <c r="AA458" i="3"/>
  <c r="AA466" i="3"/>
  <c r="AA474" i="3"/>
  <c r="AA482" i="3"/>
  <c r="AA490" i="3"/>
  <c r="AA498" i="3"/>
  <c r="AA506" i="3"/>
  <c r="AA514" i="3"/>
  <c r="AA522" i="3"/>
  <c r="AA530" i="3"/>
  <c r="AA538" i="3"/>
  <c r="AA546" i="3"/>
  <c r="AA554" i="3"/>
  <c r="AA562" i="3"/>
  <c r="AA570" i="3"/>
  <c r="AA578" i="3"/>
  <c r="AA586" i="3"/>
  <c r="AA594" i="3"/>
  <c r="AA602" i="3"/>
  <c r="AA610" i="3"/>
  <c r="AA618" i="3"/>
  <c r="AA626" i="3"/>
  <c r="AA634" i="3"/>
  <c r="AA642" i="3"/>
  <c r="AA650" i="3"/>
  <c r="AA658" i="3"/>
  <c r="AA666" i="3"/>
  <c r="AA674" i="3"/>
  <c r="AA11" i="3"/>
  <c r="AA19" i="3"/>
  <c r="AA27" i="3"/>
  <c r="AA35" i="3"/>
  <c r="AA43" i="3"/>
  <c r="AA51" i="3"/>
  <c r="AA59" i="3"/>
  <c r="AA67" i="3"/>
  <c r="AA75" i="3"/>
  <c r="AA83" i="3"/>
  <c r="AA91" i="3"/>
  <c r="AA99" i="3"/>
  <c r="AA107" i="3"/>
  <c r="AA115" i="3"/>
  <c r="AA123" i="3"/>
  <c r="AA131" i="3"/>
  <c r="AA139" i="3"/>
  <c r="AA147" i="3"/>
  <c r="AA155" i="3"/>
  <c r="AA163" i="3"/>
  <c r="AA171" i="3"/>
  <c r="AA179" i="3"/>
  <c r="AA187" i="3"/>
  <c r="AA195" i="3"/>
  <c r="AA203" i="3"/>
  <c r="AA211" i="3"/>
  <c r="AA219" i="3"/>
  <c r="AA227" i="3"/>
  <c r="AA235" i="3"/>
  <c r="AA243" i="3"/>
  <c r="AA251" i="3"/>
  <c r="AA259" i="3"/>
  <c r="AA267" i="3"/>
  <c r="AA275" i="3"/>
  <c r="AA283" i="3"/>
  <c r="AA291" i="3"/>
  <c r="AA299" i="3"/>
  <c r="AA307" i="3"/>
  <c r="AA315" i="3"/>
  <c r="AA323" i="3"/>
  <c r="AA331" i="3"/>
  <c r="AA339" i="3"/>
  <c r="AA347" i="3"/>
  <c r="AA355" i="3"/>
  <c r="AA363" i="3"/>
  <c r="AA371" i="3"/>
  <c r="AA379" i="3"/>
  <c r="AA387" i="3"/>
  <c r="AA395" i="3"/>
  <c r="AA403" i="3"/>
  <c r="AA411" i="3"/>
  <c r="AA419" i="3"/>
  <c r="AA427" i="3"/>
  <c r="AA435" i="3"/>
  <c r="AA443" i="3"/>
  <c r="AA451" i="3"/>
  <c r="AA459" i="3"/>
  <c r="AA467" i="3"/>
  <c r="AA475" i="3"/>
  <c r="AA483" i="3"/>
  <c r="AA491" i="3"/>
  <c r="AA499" i="3"/>
  <c r="AA507" i="3"/>
  <c r="AA515" i="3"/>
  <c r="AA523" i="3"/>
  <c r="AA531" i="3"/>
  <c r="AA539" i="3"/>
  <c r="AA547" i="3"/>
  <c r="AA555" i="3"/>
  <c r="AA563" i="3"/>
  <c r="AA571" i="3"/>
  <c r="AA579" i="3"/>
  <c r="AA587" i="3"/>
  <c r="AA595" i="3"/>
  <c r="AA603" i="3"/>
  <c r="AA611" i="3"/>
  <c r="AA619" i="3"/>
  <c r="AA627" i="3"/>
  <c r="AA635" i="3"/>
  <c r="AA643" i="3"/>
  <c r="AA651" i="3"/>
  <c r="AA12" i="3"/>
  <c r="AA20" i="3"/>
  <c r="AA28" i="3"/>
  <c r="AA36" i="3"/>
  <c r="AA44" i="3"/>
  <c r="AA52" i="3"/>
  <c r="AA60" i="3"/>
  <c r="AA68" i="3"/>
  <c r="AA76" i="3"/>
  <c r="AA84" i="3"/>
  <c r="AA92" i="3"/>
  <c r="AA100" i="3"/>
  <c r="AA108" i="3"/>
  <c r="AA116" i="3"/>
  <c r="AA124" i="3"/>
  <c r="AA132" i="3"/>
  <c r="AA140" i="3"/>
  <c r="AA148" i="3"/>
  <c r="AA156" i="3"/>
  <c r="AA164" i="3"/>
  <c r="AA172" i="3"/>
  <c r="AA180" i="3"/>
  <c r="AA188" i="3"/>
  <c r="AA196" i="3"/>
  <c r="AA204" i="3"/>
  <c r="AA212" i="3"/>
  <c r="AA220" i="3"/>
  <c r="AA228" i="3"/>
  <c r="AA236" i="3"/>
  <c r="AA244" i="3"/>
  <c r="AA252" i="3"/>
  <c r="AA260" i="3"/>
  <c r="AA268" i="3"/>
  <c r="AA276" i="3"/>
  <c r="AA284" i="3"/>
  <c r="AA292" i="3"/>
  <c r="AA300" i="3"/>
  <c r="AA308" i="3"/>
  <c r="AA316" i="3"/>
  <c r="AA324" i="3"/>
  <c r="AA332" i="3"/>
  <c r="AA340" i="3"/>
  <c r="AA348" i="3"/>
  <c r="AA356" i="3"/>
  <c r="AA364" i="3"/>
  <c r="AA372" i="3"/>
  <c r="AA380" i="3"/>
  <c r="AA388" i="3"/>
  <c r="AA396" i="3"/>
  <c r="AA404" i="3"/>
  <c r="AA412" i="3"/>
  <c r="AA420" i="3"/>
  <c r="AA428" i="3"/>
  <c r="AA436" i="3"/>
  <c r="AA444" i="3"/>
  <c r="AA452" i="3"/>
  <c r="AA460" i="3"/>
  <c r="AA468" i="3"/>
  <c r="AA476" i="3"/>
  <c r="AA484" i="3"/>
  <c r="AA492" i="3"/>
  <c r="AA500" i="3"/>
  <c r="AA508" i="3"/>
  <c r="AA516" i="3"/>
  <c r="AA524" i="3"/>
  <c r="AA532" i="3"/>
  <c r="AA540" i="3"/>
  <c r="AA548" i="3"/>
  <c r="AA556" i="3"/>
  <c r="AA564" i="3"/>
  <c r="AA572" i="3"/>
  <c r="AA580" i="3"/>
  <c r="AA588" i="3"/>
  <c r="AA596" i="3"/>
  <c r="AA604" i="3"/>
  <c r="AA612" i="3"/>
  <c r="AA620" i="3"/>
  <c r="AA628" i="3"/>
  <c r="AA636" i="3"/>
  <c r="AA644" i="3"/>
  <c r="AA652" i="3"/>
  <c r="AA660" i="3"/>
  <c r="AA668" i="3"/>
  <c r="AA676" i="3"/>
  <c r="AA13" i="3"/>
  <c r="AA21" i="3"/>
  <c r="AA29" i="3"/>
  <c r="AA37" i="3"/>
  <c r="AA45" i="3"/>
  <c r="AA53" i="3"/>
  <c r="AA61" i="3"/>
  <c r="AA69" i="3"/>
  <c r="AA77" i="3"/>
  <c r="AA85" i="3"/>
  <c r="AA93" i="3"/>
  <c r="AA101" i="3"/>
  <c r="AA109" i="3"/>
  <c r="AA117" i="3"/>
  <c r="AA125" i="3"/>
  <c r="AA133" i="3"/>
  <c r="AA141" i="3"/>
  <c r="AA149" i="3"/>
  <c r="AA157" i="3"/>
  <c r="AA165" i="3"/>
  <c r="AA173" i="3"/>
  <c r="AA181" i="3"/>
  <c r="AA189" i="3"/>
  <c r="AA197" i="3"/>
  <c r="AA205" i="3"/>
  <c r="AA213" i="3"/>
  <c r="AA221" i="3"/>
  <c r="AA229" i="3"/>
  <c r="AA237" i="3"/>
  <c r="AA245" i="3"/>
  <c r="AA253" i="3"/>
  <c r="AA261" i="3"/>
  <c r="AA269" i="3"/>
  <c r="AA277" i="3"/>
  <c r="AA285" i="3"/>
  <c r="AA293" i="3"/>
  <c r="AA301" i="3"/>
  <c r="AA309" i="3"/>
  <c r="AA317" i="3"/>
  <c r="AA325" i="3"/>
  <c r="AA333" i="3"/>
  <c r="AA341" i="3"/>
  <c r="AA349" i="3"/>
  <c r="AA357" i="3"/>
  <c r="AA365" i="3"/>
  <c r="AA373" i="3"/>
  <c r="AA381" i="3"/>
  <c r="AA389" i="3"/>
  <c r="AA397" i="3"/>
  <c r="AA405" i="3"/>
  <c r="AA413" i="3"/>
  <c r="AA421" i="3"/>
  <c r="AA429" i="3"/>
  <c r="AA437" i="3"/>
  <c r="AA445" i="3"/>
  <c r="AA453" i="3"/>
  <c r="AA461" i="3"/>
  <c r="AA469" i="3"/>
  <c r="AA477" i="3"/>
  <c r="AA485" i="3"/>
  <c r="AA493" i="3"/>
  <c r="AA501" i="3"/>
  <c r="AA509" i="3"/>
  <c r="AA517" i="3"/>
  <c r="AA525" i="3"/>
  <c r="AA533" i="3"/>
  <c r="AA541" i="3"/>
  <c r="AA549" i="3"/>
  <c r="AA557" i="3"/>
  <c r="AA565" i="3"/>
  <c r="AA573" i="3"/>
  <c r="AA581" i="3"/>
  <c r="AA589" i="3"/>
  <c r="AA597" i="3"/>
  <c r="AA605" i="3"/>
  <c r="AA613" i="3"/>
  <c r="AA621" i="3"/>
  <c r="AA629" i="3"/>
  <c r="AA637" i="3"/>
  <c r="AA645" i="3"/>
  <c r="AA14" i="3"/>
  <c r="AA22" i="3"/>
  <c r="AA30" i="3"/>
  <c r="AA38" i="3"/>
  <c r="AA46" i="3"/>
  <c r="AA54" i="3"/>
  <c r="AA62" i="3"/>
  <c r="AA70" i="3"/>
  <c r="AA78" i="3"/>
  <c r="AA86" i="3"/>
  <c r="AA94" i="3"/>
  <c r="AA102" i="3"/>
  <c r="AA110" i="3"/>
  <c r="AA118" i="3"/>
  <c r="AA126" i="3"/>
  <c r="AA134" i="3"/>
  <c r="AA142" i="3"/>
  <c r="AA150" i="3"/>
  <c r="AA158" i="3"/>
  <c r="AA166" i="3"/>
  <c r="AA174" i="3"/>
  <c r="AA182" i="3"/>
  <c r="AA190" i="3"/>
  <c r="AA198" i="3"/>
  <c r="AA206" i="3"/>
  <c r="AA214" i="3"/>
  <c r="AA222" i="3"/>
  <c r="AA230" i="3"/>
  <c r="AA238" i="3"/>
  <c r="AA246" i="3"/>
  <c r="AA254" i="3"/>
  <c r="AA262" i="3"/>
  <c r="AA270" i="3"/>
  <c r="AA278" i="3"/>
  <c r="AA286" i="3"/>
  <c r="AA294" i="3"/>
  <c r="AA302" i="3"/>
  <c r="AA310" i="3"/>
  <c r="AA318" i="3"/>
  <c r="AA326" i="3"/>
  <c r="AA334" i="3"/>
  <c r="AA342" i="3"/>
  <c r="AA350" i="3"/>
  <c r="AA358" i="3"/>
  <c r="AA366" i="3"/>
  <c r="AA374" i="3"/>
  <c r="AA382" i="3"/>
  <c r="AA390" i="3"/>
  <c r="AA398" i="3"/>
  <c r="AA406" i="3"/>
  <c r="AA414" i="3"/>
  <c r="AA422" i="3"/>
  <c r="AA430" i="3"/>
  <c r="AA438" i="3"/>
  <c r="AA446" i="3"/>
  <c r="AA454" i="3"/>
  <c r="AA462" i="3"/>
  <c r="AA470" i="3"/>
  <c r="AA478" i="3"/>
  <c r="AA486" i="3"/>
  <c r="AA494" i="3"/>
  <c r="AA502" i="3"/>
  <c r="AA510" i="3"/>
  <c r="AA518" i="3"/>
  <c r="AA526" i="3"/>
  <c r="AA534" i="3"/>
  <c r="AA542" i="3"/>
  <c r="AA550" i="3"/>
  <c r="AA558" i="3"/>
  <c r="AA566" i="3"/>
  <c r="AA574" i="3"/>
  <c r="AA582" i="3"/>
  <c r="AA590" i="3"/>
  <c r="AA598" i="3"/>
  <c r="AA606" i="3"/>
  <c r="AA614" i="3"/>
  <c r="AA7" i="3"/>
  <c r="AA15" i="3"/>
  <c r="AA23" i="3"/>
  <c r="AA31" i="3"/>
  <c r="AA39" i="3"/>
  <c r="AA47" i="3"/>
  <c r="AA55" i="3"/>
  <c r="AA63" i="3"/>
  <c r="AA71" i="3"/>
  <c r="AA79" i="3"/>
  <c r="AA87" i="3"/>
  <c r="AA95" i="3"/>
  <c r="AA103" i="3"/>
  <c r="AA111" i="3"/>
  <c r="AA119" i="3"/>
  <c r="AA127" i="3"/>
  <c r="AA135" i="3"/>
  <c r="AA143" i="3"/>
  <c r="AA151" i="3"/>
  <c r="AA159" i="3"/>
  <c r="AA167" i="3"/>
  <c r="AA175" i="3"/>
  <c r="AA183" i="3"/>
  <c r="AA191" i="3"/>
  <c r="AA199" i="3"/>
  <c r="AA207" i="3"/>
  <c r="AA215" i="3"/>
  <c r="AA223" i="3"/>
  <c r="AA231" i="3"/>
  <c r="AA239" i="3"/>
  <c r="AA247" i="3"/>
  <c r="AA255" i="3"/>
  <c r="AA263" i="3"/>
  <c r="AA271" i="3"/>
  <c r="AA279" i="3"/>
  <c r="AA287" i="3"/>
  <c r="AA295" i="3"/>
  <c r="AA303" i="3"/>
  <c r="AA311" i="3"/>
  <c r="AA319" i="3"/>
  <c r="AA327" i="3"/>
  <c r="AA335" i="3"/>
  <c r="AA343" i="3"/>
  <c r="AA351" i="3"/>
  <c r="AA359" i="3"/>
  <c r="AA367" i="3"/>
  <c r="AA375" i="3"/>
  <c r="AA383" i="3"/>
  <c r="AA391" i="3"/>
  <c r="AA399" i="3"/>
  <c r="AA407" i="3"/>
  <c r="AA415" i="3"/>
  <c r="AA423" i="3"/>
  <c r="AA431" i="3"/>
  <c r="AA439" i="3"/>
  <c r="AA447" i="3"/>
  <c r="AA455" i="3"/>
  <c r="AA463" i="3"/>
  <c r="AA471" i="3"/>
  <c r="AA479" i="3"/>
  <c r="AA487" i="3"/>
  <c r="AA495" i="3"/>
  <c r="AA503" i="3"/>
  <c r="AA511" i="3"/>
  <c r="AA519" i="3"/>
  <c r="AA527" i="3"/>
  <c r="AA535" i="3"/>
  <c r="AA543" i="3"/>
  <c r="AA551" i="3"/>
  <c r="AA559" i="3"/>
  <c r="AA567" i="3"/>
  <c r="AA575" i="3"/>
  <c r="AA583" i="3"/>
  <c r="AA591" i="3"/>
  <c r="AA599" i="3"/>
  <c r="AA607" i="3"/>
  <c r="AA615" i="3"/>
  <c r="AA623" i="3"/>
  <c r="AA631" i="3"/>
  <c r="AA639" i="3"/>
  <c r="AA647" i="3"/>
  <c r="AA655" i="3"/>
  <c r="AA663" i="3"/>
  <c r="AA671" i="3"/>
  <c r="AA8" i="3"/>
  <c r="AA16" i="3"/>
  <c r="AA24" i="3"/>
  <c r="AA32" i="3"/>
  <c r="AA40" i="3"/>
  <c r="AA48" i="3"/>
  <c r="AA56" i="3"/>
  <c r="AA64" i="3"/>
  <c r="AA72" i="3"/>
  <c r="AA80" i="3"/>
  <c r="AA88" i="3"/>
  <c r="AA96" i="3"/>
  <c r="AA104" i="3"/>
  <c r="AA112" i="3"/>
  <c r="AA120" i="3"/>
  <c r="AA128" i="3"/>
  <c r="AA136" i="3"/>
  <c r="AA144" i="3"/>
  <c r="AA152" i="3"/>
  <c r="AA160" i="3"/>
  <c r="AA168" i="3"/>
  <c r="AA176" i="3"/>
  <c r="AA184" i="3"/>
  <c r="AA192" i="3"/>
  <c r="AA200" i="3"/>
  <c r="AA208" i="3"/>
  <c r="AA216" i="3"/>
  <c r="AA224" i="3"/>
  <c r="AA232" i="3"/>
  <c r="AA240" i="3"/>
  <c r="AA248" i="3"/>
  <c r="AA256" i="3"/>
  <c r="AA264" i="3"/>
  <c r="AA272" i="3"/>
  <c r="AA280" i="3"/>
  <c r="AA288" i="3"/>
  <c r="AA296" i="3"/>
  <c r="AA304" i="3"/>
  <c r="AA312" i="3"/>
  <c r="AA320" i="3"/>
  <c r="AA328" i="3"/>
  <c r="AA336" i="3"/>
  <c r="AA344" i="3"/>
  <c r="AA352" i="3"/>
  <c r="AA360" i="3"/>
  <c r="AA368" i="3"/>
  <c r="AA376" i="3"/>
  <c r="AA384" i="3"/>
  <c r="AA392" i="3"/>
  <c r="AA400" i="3"/>
  <c r="AA408" i="3"/>
  <c r="AA416" i="3"/>
  <c r="AA424" i="3"/>
  <c r="AA432" i="3"/>
  <c r="AA440" i="3"/>
  <c r="AA448" i="3"/>
  <c r="AA456" i="3"/>
  <c r="AA464" i="3"/>
  <c r="AA472" i="3"/>
  <c r="AA480" i="3"/>
  <c r="AA488" i="3"/>
  <c r="AA496" i="3"/>
  <c r="AA504" i="3"/>
  <c r="AA512" i="3"/>
  <c r="AA520" i="3"/>
  <c r="AA528" i="3"/>
  <c r="AA536" i="3"/>
  <c r="AA544" i="3"/>
  <c r="AA552" i="3"/>
  <c r="AA560" i="3"/>
  <c r="AA568" i="3"/>
  <c r="AA576" i="3"/>
  <c r="AA584" i="3"/>
  <c r="AA592" i="3"/>
  <c r="AA600" i="3"/>
  <c r="AA608" i="3"/>
  <c r="AA616" i="3"/>
  <c r="AA624" i="3"/>
  <c r="AA632" i="3"/>
  <c r="AA640" i="3"/>
  <c r="AA648" i="3"/>
  <c r="AA656" i="3"/>
  <c r="AA664" i="3"/>
  <c r="AA672" i="3"/>
  <c r="AA680" i="3"/>
  <c r="AA994" i="3"/>
  <c r="AA986" i="3"/>
  <c r="AA978" i="3"/>
  <c r="AA970" i="3"/>
  <c r="AA962" i="3"/>
  <c r="AA954" i="3"/>
  <c r="AA946" i="3"/>
  <c r="AA938" i="3"/>
  <c r="AA930" i="3"/>
  <c r="AA922" i="3"/>
  <c r="AA914" i="3"/>
  <c r="AA906" i="3"/>
  <c r="AA898" i="3"/>
  <c r="AA890" i="3"/>
  <c r="AA882" i="3"/>
  <c r="AA874" i="3"/>
  <c r="AA866" i="3"/>
  <c r="AA858" i="3"/>
  <c r="AA850" i="3"/>
  <c r="AA842" i="3"/>
  <c r="AA834" i="3"/>
  <c r="AA826" i="3"/>
  <c r="AA818" i="3"/>
  <c r="AA810" i="3"/>
  <c r="AA802" i="3"/>
  <c r="AA794" i="3"/>
  <c r="AA786" i="3"/>
  <c r="AA778" i="3"/>
  <c r="AA770" i="3"/>
  <c r="AA762" i="3"/>
  <c r="AA754" i="3"/>
  <c r="AA746" i="3"/>
  <c r="AA738" i="3"/>
  <c r="AA730" i="3"/>
  <c r="AA722" i="3"/>
  <c r="AA714" i="3"/>
  <c r="AA706" i="3"/>
  <c r="AA698" i="3"/>
  <c r="AA690" i="3"/>
  <c r="AA682" i="3"/>
  <c r="AA669" i="3"/>
  <c r="AA653" i="3"/>
  <c r="AA622" i="3"/>
  <c r="AA561" i="3"/>
  <c r="AA497" i="3"/>
  <c r="AA433" i="3"/>
  <c r="AA369" i="3"/>
  <c r="AA305" i="3"/>
  <c r="AA241" i="3"/>
  <c r="AA177" i="3"/>
  <c r="AA113" i="3"/>
  <c r="AA49" i="3"/>
  <c r="AA993" i="3"/>
  <c r="AA985" i="3"/>
  <c r="AA977" i="3"/>
  <c r="AA969" i="3"/>
  <c r="AA961" i="3"/>
  <c r="AA953" i="3"/>
  <c r="AA945" i="3"/>
  <c r="AA937" i="3"/>
  <c r="AA929" i="3"/>
  <c r="AA921" i="3"/>
  <c r="AA913" i="3"/>
  <c r="AA905" i="3"/>
  <c r="AA897" i="3"/>
  <c r="AA889" i="3"/>
  <c r="AA881" i="3"/>
  <c r="AA873" i="3"/>
  <c r="AA865" i="3"/>
  <c r="AA857" i="3"/>
  <c r="AA849" i="3"/>
  <c r="AA841" i="3"/>
  <c r="AA833" i="3"/>
  <c r="AA825" i="3"/>
  <c r="AA817" i="3"/>
  <c r="AA809" i="3"/>
  <c r="AA801" i="3"/>
  <c r="AA793" i="3"/>
  <c r="AA785" i="3"/>
  <c r="AA777" i="3"/>
  <c r="AA769" i="3"/>
  <c r="AA761" i="3"/>
  <c r="AA753" i="3"/>
  <c r="AA745" i="3"/>
  <c r="AA737" i="3"/>
  <c r="AA729" i="3"/>
  <c r="AA721" i="3"/>
  <c r="AA713" i="3"/>
  <c r="AA705" i="3"/>
  <c r="AA697" i="3"/>
  <c r="AA689" i="3"/>
  <c r="AA681" i="3"/>
  <c r="AA667" i="3"/>
  <c r="AA649" i="3"/>
  <c r="AA617" i="3"/>
  <c r="AA553" i="3"/>
  <c r="AA489" i="3"/>
  <c r="AA425" i="3"/>
  <c r="AA361" i="3"/>
  <c r="AA297" i="3"/>
  <c r="AA233" i="3"/>
  <c r="AA169" i="3"/>
  <c r="AA105" i="3"/>
  <c r="AA41" i="3"/>
  <c r="AA1000" i="3"/>
  <c r="AA992" i="3"/>
  <c r="AA984" i="3"/>
  <c r="AA976" i="3"/>
  <c r="AA968" i="3"/>
  <c r="AA960" i="3"/>
  <c r="AA952" i="3"/>
  <c r="AA944" i="3"/>
  <c r="AA936" i="3"/>
  <c r="AA928" i="3"/>
  <c r="AA920" i="3"/>
  <c r="AA912" i="3"/>
  <c r="AA904" i="3"/>
  <c r="AA896" i="3"/>
  <c r="AA888" i="3"/>
  <c r="AA880" i="3"/>
  <c r="AA872" i="3"/>
  <c r="AA864" i="3"/>
  <c r="AA856" i="3"/>
  <c r="AA848" i="3"/>
  <c r="AA840" i="3"/>
  <c r="AA832" i="3"/>
  <c r="AA824" i="3"/>
  <c r="AA816" i="3"/>
  <c r="AA808" i="3"/>
  <c r="AA800" i="3"/>
  <c r="AA792" i="3"/>
  <c r="AA784" i="3"/>
  <c r="AA776" i="3"/>
  <c r="AA768" i="3"/>
  <c r="AA760" i="3"/>
  <c r="AA752" i="3"/>
  <c r="AA744" i="3"/>
  <c r="AA736" i="3"/>
  <c r="AA728" i="3"/>
  <c r="AA720" i="3"/>
  <c r="AA712" i="3"/>
  <c r="AA704" i="3"/>
  <c r="AA696" i="3"/>
  <c r="AA688" i="3"/>
  <c r="AA679" i="3"/>
  <c r="AA665" i="3"/>
  <c r="AA646" i="3"/>
  <c r="AA609" i="3"/>
  <c r="AA545" i="3"/>
  <c r="AA481" i="3"/>
  <c r="AA417" i="3"/>
  <c r="AA353" i="3"/>
  <c r="AA289" i="3"/>
  <c r="AA225" i="3"/>
  <c r="AA161" i="3"/>
  <c r="AA97" i="3"/>
  <c r="AA33" i="3"/>
  <c r="AA999" i="3"/>
  <c r="AA991" i="3"/>
  <c r="AA983" i="3"/>
  <c r="AA975" i="3"/>
  <c r="AA967" i="3"/>
  <c r="AA959" i="3"/>
  <c r="AA951" i="3"/>
  <c r="AA943" i="3"/>
  <c r="AA935" i="3"/>
  <c r="AA927" i="3"/>
  <c r="AA919" i="3"/>
  <c r="AA911" i="3"/>
  <c r="AA903" i="3"/>
  <c r="AA895" i="3"/>
  <c r="AA887" i="3"/>
  <c r="AA879" i="3"/>
  <c r="AA871" i="3"/>
  <c r="AA863" i="3"/>
  <c r="AA855" i="3"/>
  <c r="AA847" i="3"/>
  <c r="AA839" i="3"/>
  <c r="AA831" i="3"/>
  <c r="AA823" i="3"/>
  <c r="AA815" i="3"/>
  <c r="AA807" i="3"/>
  <c r="AA799" i="3"/>
  <c r="AA791" i="3"/>
  <c r="AA783" i="3"/>
  <c r="AA775" i="3"/>
  <c r="AA767" i="3"/>
  <c r="AA759" i="3"/>
  <c r="AA751" i="3"/>
  <c r="AA743" i="3"/>
  <c r="AA735" i="3"/>
  <c r="AA727" i="3"/>
  <c r="AA719" i="3"/>
  <c r="AA711" i="3"/>
  <c r="AA703" i="3"/>
  <c r="AA695" i="3"/>
  <c r="AA687" i="3"/>
  <c r="AA678" i="3"/>
  <c r="AA662" i="3"/>
  <c r="AA641" i="3"/>
  <c r="AA601" i="3"/>
  <c r="AA537" i="3"/>
  <c r="AA473" i="3"/>
  <c r="AA409" i="3"/>
  <c r="AA345" i="3"/>
  <c r="AA281" i="3"/>
  <c r="AA217" i="3"/>
  <c r="AA153" i="3"/>
  <c r="AA89" i="3"/>
  <c r="AA25" i="3"/>
  <c r="AA998" i="3"/>
  <c r="AA990" i="3"/>
  <c r="AA982" i="3"/>
  <c r="AA974" i="3"/>
  <c r="AA966" i="3"/>
  <c r="AA958" i="3"/>
  <c r="AA950" i="3"/>
  <c r="AA942" i="3"/>
  <c r="AA934" i="3"/>
  <c r="AA926" i="3"/>
  <c r="AA918" i="3"/>
  <c r="AA910" i="3"/>
  <c r="AA902" i="3"/>
  <c r="AA894" i="3"/>
  <c r="AA886" i="3"/>
  <c r="AA878" i="3"/>
  <c r="AA870" i="3"/>
  <c r="AA862" i="3"/>
  <c r="AA854" i="3"/>
  <c r="AA846" i="3"/>
  <c r="AA838" i="3"/>
  <c r="AA830" i="3"/>
  <c r="AA822" i="3"/>
  <c r="AA814" i="3"/>
  <c r="AA806" i="3"/>
  <c r="AA798" i="3"/>
  <c r="AA790" i="3"/>
  <c r="AA782" i="3"/>
  <c r="AA774" i="3"/>
  <c r="AA766" i="3"/>
  <c r="AA758" i="3"/>
  <c r="AA750" i="3"/>
  <c r="AA742" i="3"/>
  <c r="AA734" i="3"/>
  <c r="AA726" i="3"/>
  <c r="AA718" i="3"/>
  <c r="AA710" i="3"/>
  <c r="AA702" i="3"/>
  <c r="AA694" i="3"/>
  <c r="AA686" i="3"/>
  <c r="AA677" i="3"/>
  <c r="AA661" i="3"/>
  <c r="AA638" i="3"/>
  <c r="AA593" i="3"/>
  <c r="AA529" i="3"/>
  <c r="AA465" i="3"/>
  <c r="AA401" i="3"/>
  <c r="AA337" i="3"/>
  <c r="AA273" i="3"/>
  <c r="AA209" i="3"/>
  <c r="AA145" i="3"/>
  <c r="AA81" i="3"/>
  <c r="AA17" i="3"/>
  <c r="AA997" i="3"/>
  <c r="AA989" i="3"/>
  <c r="AA981" i="3"/>
  <c r="AA973" i="3"/>
  <c r="AA965" i="3"/>
  <c r="AA957" i="3"/>
  <c r="AA949" i="3"/>
  <c r="AA941" i="3"/>
  <c r="AA933" i="3"/>
  <c r="AA925" i="3"/>
  <c r="AA917" i="3"/>
  <c r="AA909" i="3"/>
  <c r="AA901" i="3"/>
  <c r="AA893" i="3"/>
  <c r="AA885" i="3"/>
  <c r="AA877" i="3"/>
  <c r="AA869" i="3"/>
  <c r="AA861" i="3"/>
  <c r="AA853" i="3"/>
  <c r="AA845" i="3"/>
  <c r="AA837" i="3"/>
  <c r="AA829" i="3"/>
  <c r="AA821" i="3"/>
  <c r="AA813" i="3"/>
  <c r="AA805" i="3"/>
  <c r="AA797" i="3"/>
  <c r="AA789" i="3"/>
  <c r="AA781" i="3"/>
  <c r="AA773" i="3"/>
  <c r="AA765" i="3"/>
  <c r="AA757" i="3"/>
  <c r="AA749" i="3"/>
  <c r="AA741" i="3"/>
  <c r="AA733" i="3"/>
  <c r="AA725" i="3"/>
  <c r="AA717" i="3"/>
  <c r="AA709" i="3"/>
  <c r="AA701" i="3"/>
  <c r="AA693" i="3"/>
  <c r="AA685" i="3"/>
  <c r="AA675" i="3"/>
  <c r="AA659" i="3"/>
  <c r="AA633" i="3"/>
  <c r="AA585" i="3"/>
  <c r="AA521" i="3"/>
  <c r="AA457" i="3"/>
  <c r="AA393" i="3"/>
  <c r="AA329" i="3"/>
  <c r="AA265" i="3"/>
  <c r="AA201" i="3"/>
  <c r="AA137" i="3"/>
  <c r="AA73" i="3"/>
  <c r="AA9" i="3"/>
  <c r="X654" i="3"/>
  <c r="AE654" i="3"/>
  <c r="AE549" i="3"/>
  <c r="X549" i="3"/>
  <c r="AE519" i="3"/>
  <c r="AE510" i="3"/>
  <c r="AD466" i="3"/>
  <c r="X466" i="3"/>
  <c r="AE239" i="3"/>
  <c r="AE931" i="3"/>
  <c r="AE919" i="3"/>
  <c r="X919" i="3"/>
  <c r="AE861" i="3"/>
  <c r="AE771" i="3"/>
  <c r="AE758" i="3"/>
  <c r="AD714" i="3"/>
  <c r="X714" i="3"/>
  <c r="X983" i="3"/>
  <c r="AE247" i="3"/>
  <c r="X247" i="3"/>
  <c r="AE243" i="3"/>
  <c r="AE219" i="3"/>
  <c r="X920" i="3"/>
  <c r="AE855" i="3"/>
  <c r="AE847" i="3"/>
  <c r="X829" i="3"/>
  <c r="X815" i="3"/>
  <c r="X749" i="3"/>
  <c r="AE615" i="3"/>
  <c r="X990" i="3"/>
  <c r="AE874" i="3"/>
  <c r="X874" i="3"/>
  <c r="AE325" i="3"/>
  <c r="X952" i="3"/>
  <c r="X941" i="3"/>
  <c r="AE887" i="3"/>
  <c r="X887" i="3"/>
  <c r="AE832" i="3"/>
  <c r="X832" i="3"/>
  <c r="AE803" i="3"/>
  <c r="X730" i="3"/>
  <c r="AE730" i="3"/>
  <c r="AE723" i="3"/>
  <c r="X944" i="3"/>
  <c r="AE913" i="3"/>
  <c r="AE765" i="3"/>
  <c r="X673" i="3"/>
  <c r="AE480" i="3"/>
  <c r="X480" i="3"/>
  <c r="AE999" i="3"/>
  <c r="X916" i="3"/>
  <c r="AE775" i="3"/>
  <c r="AE840" i="3"/>
  <c r="AE814" i="3"/>
  <c r="X665" i="3"/>
  <c r="AE374" i="3"/>
  <c r="X769" i="3"/>
  <c r="X998" i="3"/>
  <c r="X957" i="3"/>
  <c r="AE561" i="3"/>
  <c r="X962" i="3"/>
  <c r="X917" i="3"/>
  <c r="AE888" i="3"/>
  <c r="X888" i="3"/>
  <c r="AE877" i="3"/>
  <c r="AE854" i="3"/>
  <c r="X854" i="3"/>
  <c r="AE845" i="3"/>
  <c r="X845" i="3"/>
  <c r="AE786" i="3"/>
  <c r="X786" i="3"/>
  <c r="AE644" i="3"/>
  <c r="X999" i="3"/>
  <c r="AE981" i="3"/>
  <c r="AE976" i="3"/>
  <c r="X971" i="3"/>
  <c r="X949" i="3"/>
  <c r="X939" i="3"/>
  <c r="X918" i="3"/>
  <c r="X877" i="3"/>
  <c r="X876" i="3"/>
  <c r="X847" i="3"/>
  <c r="X840" i="3"/>
  <c r="X839" i="3"/>
  <c r="X814" i="3"/>
  <c r="X803" i="3"/>
  <c r="AE681" i="3"/>
  <c r="AE638" i="3"/>
  <c r="X629" i="3"/>
  <c r="AE610" i="3"/>
  <c r="X610" i="3"/>
  <c r="X521" i="3"/>
  <c r="X495" i="3"/>
  <c r="AE495" i="3"/>
  <c r="X996" i="3"/>
  <c r="X994" i="3"/>
  <c r="X954" i="3"/>
  <c r="X878" i="3"/>
  <c r="X849" i="3"/>
  <c r="X785" i="3"/>
  <c r="X716" i="3"/>
  <c r="X605" i="3"/>
  <c r="X455" i="3"/>
  <c r="AE455" i="3"/>
  <c r="AE360" i="3"/>
  <c r="X934" i="3"/>
  <c r="X922" i="3"/>
  <c r="X881" i="3"/>
  <c r="X880" i="3"/>
  <c r="X868" i="3"/>
  <c r="X858" i="3"/>
  <c r="X811" i="3"/>
  <c r="X807" i="3"/>
  <c r="X795" i="3"/>
  <c r="X789" i="3"/>
  <c r="AE785" i="3"/>
  <c r="X776" i="3"/>
  <c r="X750" i="3"/>
  <c r="AE746" i="3"/>
  <c r="X670" i="3"/>
  <c r="X616" i="3"/>
  <c r="AE573" i="3"/>
  <c r="AE553" i="3"/>
  <c r="AE994" i="3"/>
  <c r="AE992" i="3"/>
  <c r="X980" i="3"/>
  <c r="X964" i="3"/>
  <c r="X956" i="3"/>
  <c r="X955" i="3"/>
  <c r="X943" i="3"/>
  <c r="X935" i="3"/>
  <c r="X924" i="3"/>
  <c r="X883" i="3"/>
  <c r="AE878" i="3"/>
  <c r="X869" i="3"/>
  <c r="X856" i="3"/>
  <c r="AE849" i="3"/>
  <c r="X731" i="3"/>
  <c r="AE661" i="3"/>
  <c r="AE656" i="3"/>
  <c r="AE612" i="3"/>
  <c r="X586" i="3"/>
  <c r="X581" i="3"/>
  <c r="AE444" i="3"/>
  <c r="X392" i="3"/>
  <c r="X1000" i="3"/>
  <c r="X938" i="3"/>
  <c r="AE935" i="3"/>
  <c r="X923" i="3"/>
  <c r="X892" i="3"/>
  <c r="X823" i="3"/>
  <c r="AE819" i="3"/>
  <c r="AE815" i="3"/>
  <c r="AE795" i="3"/>
  <c r="AE783" i="3"/>
  <c r="AE766" i="3"/>
  <c r="AE754" i="3"/>
  <c r="X704" i="3"/>
  <c r="X697" i="3"/>
  <c r="AE693" i="3"/>
  <c r="AE682" i="3"/>
  <c r="AE666" i="3"/>
  <c r="X632" i="3"/>
  <c r="AE566" i="3"/>
  <c r="X560" i="3"/>
  <c r="AE560" i="3"/>
  <c r="AE546" i="3"/>
  <c r="X546" i="3"/>
  <c r="X462" i="3"/>
  <c r="AE462" i="3"/>
  <c r="X413" i="3"/>
  <c r="AE413" i="3"/>
  <c r="X925" i="3"/>
  <c r="X857" i="3"/>
  <c r="X855" i="3"/>
  <c r="X792" i="3"/>
  <c r="X770" i="3"/>
  <c r="AE755" i="3"/>
  <c r="AE747" i="3"/>
  <c r="AE623" i="3"/>
  <c r="X579" i="3"/>
  <c r="AE506" i="3"/>
  <c r="AE494" i="3"/>
  <c r="X494" i="3"/>
  <c r="X771" i="3"/>
  <c r="AE769" i="3"/>
  <c r="X754" i="3"/>
  <c r="X752" i="3"/>
  <c r="X746" i="3"/>
  <c r="X723" i="3"/>
  <c r="AE716" i="3"/>
  <c r="AE703" i="3"/>
  <c r="X687" i="3"/>
  <c r="X684" i="3"/>
  <c r="AE670" i="3"/>
  <c r="X666" i="3"/>
  <c r="X663" i="3"/>
  <c r="X656" i="3"/>
  <c r="AE629" i="3"/>
  <c r="X621" i="3"/>
  <c r="X608" i="3"/>
  <c r="AE603" i="3"/>
  <c r="X600" i="3"/>
  <c r="X596" i="3"/>
  <c r="AE538" i="3"/>
  <c r="X512" i="3"/>
  <c r="AE427" i="3"/>
  <c r="X406" i="3"/>
  <c r="AE406" i="3"/>
  <c r="X360" i="3"/>
  <c r="AE321" i="3"/>
  <c r="AE295" i="3"/>
  <c r="X699" i="3"/>
  <c r="X686" i="3"/>
  <c r="X667" i="3"/>
  <c r="X648" i="3"/>
  <c r="AE567" i="3"/>
  <c r="X567" i="3"/>
  <c r="AE558" i="3"/>
  <c r="X527" i="3"/>
  <c r="AE527" i="3"/>
  <c r="X507" i="3"/>
  <c r="X503" i="3"/>
  <c r="X487" i="3"/>
  <c r="AE487" i="3"/>
  <c r="X481" i="3"/>
  <c r="AE437" i="3"/>
  <c r="X437" i="3"/>
  <c r="AE407" i="3"/>
  <c r="X379" i="3"/>
  <c r="AE338" i="3"/>
  <c r="X330" i="3"/>
  <c r="AE328" i="3"/>
  <c r="X269" i="3"/>
  <c r="AE269" i="3"/>
  <c r="AE92" i="3"/>
  <c r="X92" i="3"/>
  <c r="AE55" i="3"/>
  <c r="X55" i="3"/>
  <c r="X758" i="3"/>
  <c r="X739" i="3"/>
  <c r="X713" i="3"/>
  <c r="X712" i="3"/>
  <c r="AE676" i="3"/>
  <c r="X649" i="3"/>
  <c r="X641" i="3"/>
  <c r="AE616" i="3"/>
  <c r="AE601" i="3"/>
  <c r="X601" i="3"/>
  <c r="AE547" i="3"/>
  <c r="X541" i="3"/>
  <c r="AE526" i="3"/>
  <c r="X463" i="3"/>
  <c r="X461" i="3"/>
  <c r="AE459" i="3"/>
  <c r="X459" i="3"/>
  <c r="X428" i="3"/>
  <c r="AE428" i="3"/>
  <c r="AE391" i="3"/>
  <c r="AE365" i="3"/>
  <c r="AE349" i="3"/>
  <c r="X311" i="3"/>
  <c r="AE311" i="3"/>
  <c r="X720" i="3"/>
  <c r="X715" i="3"/>
  <c r="X708" i="3"/>
  <c r="AE699" i="3"/>
  <c r="X669" i="3"/>
  <c r="AE667" i="3"/>
  <c r="X651" i="3"/>
  <c r="X637" i="3"/>
  <c r="AE617" i="3"/>
  <c r="X609" i="3"/>
  <c r="AE605" i="3"/>
  <c r="X551" i="3"/>
  <c r="X514" i="3"/>
  <c r="AE501" i="3"/>
  <c r="X472" i="3"/>
  <c r="AE472" i="3"/>
  <c r="AE431" i="3"/>
  <c r="AE329" i="3"/>
  <c r="AD178" i="3"/>
  <c r="X178" i="3"/>
  <c r="X802" i="3"/>
  <c r="X791" i="3"/>
  <c r="X780" i="3"/>
  <c r="X774" i="3"/>
  <c r="X759" i="3"/>
  <c r="X742" i="3"/>
  <c r="X741" i="3"/>
  <c r="AE739" i="3"/>
  <c r="AE724" i="3"/>
  <c r="X721" i="3"/>
  <c r="AE713" i="3"/>
  <c r="X710" i="3"/>
  <c r="AE701" i="3"/>
  <c r="X694" i="3"/>
  <c r="AE690" i="3"/>
  <c r="X679" i="3"/>
  <c r="AE678" i="3"/>
  <c r="X672" i="3"/>
  <c r="X657" i="3"/>
  <c r="AE648" i="3"/>
  <c r="AD596" i="3"/>
  <c r="X591" i="3"/>
  <c r="X528" i="3"/>
  <c r="AE528" i="3"/>
  <c r="X479" i="3"/>
  <c r="AE479" i="3"/>
  <c r="X475" i="3"/>
  <c r="X423" i="3"/>
  <c r="AE410" i="3"/>
  <c r="X396" i="3"/>
  <c r="AE396" i="3"/>
  <c r="X370" i="3"/>
  <c r="X276" i="3"/>
  <c r="AE276" i="3"/>
  <c r="X766" i="3"/>
  <c r="X765" i="3"/>
  <c r="X707" i="3"/>
  <c r="X700" i="3"/>
  <c r="X688" i="3"/>
  <c r="AE687" i="3"/>
  <c r="X677" i="3"/>
  <c r="X662" i="3"/>
  <c r="X661" i="3"/>
  <c r="X653" i="3"/>
  <c r="X647" i="3"/>
  <c r="X644" i="3"/>
  <c r="X623" i="3"/>
  <c r="X613" i="3"/>
  <c r="AE591" i="3"/>
  <c r="AE565" i="3"/>
  <c r="X565" i="3"/>
  <c r="AE552" i="3"/>
  <c r="X552" i="3"/>
  <c r="AE551" i="3"/>
  <c r="X545" i="3"/>
  <c r="AE370" i="3"/>
  <c r="AE332" i="3"/>
  <c r="X496" i="3"/>
  <c r="X486" i="3"/>
  <c r="X482" i="3"/>
  <c r="X438" i="3"/>
  <c r="X416" i="3"/>
  <c r="AE416" i="3"/>
  <c r="X412" i="3"/>
  <c r="AE412" i="3"/>
  <c r="AE347" i="3"/>
  <c r="AE343" i="3"/>
  <c r="X343" i="3"/>
  <c r="AE341" i="3"/>
  <c r="X315" i="3"/>
  <c r="X294" i="3"/>
  <c r="X291" i="3"/>
  <c r="X288" i="3"/>
  <c r="AE285" i="3"/>
  <c r="AE272" i="3"/>
  <c r="AE250" i="3"/>
  <c r="X250" i="3"/>
  <c r="X221" i="3"/>
  <c r="AE221" i="3"/>
  <c r="AE212" i="3"/>
  <c r="AE196" i="3"/>
  <c r="X162" i="3"/>
  <c r="AE159" i="3"/>
  <c r="X177" i="3"/>
  <c r="AE66" i="3"/>
  <c r="X66" i="3"/>
  <c r="X554" i="3"/>
  <c r="AE486" i="3"/>
  <c r="X467" i="3"/>
  <c r="X465" i="3"/>
  <c r="X433" i="3"/>
  <c r="AE422" i="3"/>
  <c r="X411" i="3"/>
  <c r="X405" i="3"/>
  <c r="X367" i="3"/>
  <c r="X361" i="3"/>
  <c r="X351" i="3"/>
  <c r="X336" i="3"/>
  <c r="X302" i="3"/>
  <c r="AE270" i="3"/>
  <c r="AE258" i="3"/>
  <c r="X258" i="3"/>
  <c r="X251" i="3"/>
  <c r="AE251" i="3"/>
  <c r="AE214" i="3"/>
  <c r="X75" i="3"/>
  <c r="AE73" i="3"/>
  <c r="AE57" i="3"/>
  <c r="X57" i="3"/>
  <c r="X491" i="3"/>
  <c r="X452" i="3"/>
  <c r="X399" i="3"/>
  <c r="AE383" i="3"/>
  <c r="AE301" i="3"/>
  <c r="AE297" i="3"/>
  <c r="X297" i="3"/>
  <c r="X278" i="3"/>
  <c r="X225" i="3"/>
  <c r="AE225" i="3"/>
  <c r="AE134" i="3"/>
  <c r="X134" i="3"/>
  <c r="X128" i="3"/>
  <c r="AE128" i="3"/>
  <c r="AE58" i="3"/>
  <c r="X597" i="3"/>
  <c r="X561" i="3"/>
  <c r="AE448" i="3"/>
  <c r="X419" i="3"/>
  <c r="AE419" i="3"/>
  <c r="AE394" i="3"/>
  <c r="X384" i="3"/>
  <c r="X362" i="3"/>
  <c r="X340" i="3"/>
  <c r="X313" i="3"/>
  <c r="X293" i="3"/>
  <c r="AE231" i="3"/>
  <c r="X231" i="3"/>
  <c r="AE187" i="3"/>
  <c r="X435" i="3"/>
  <c r="X431" i="3"/>
  <c r="AE423" i="3"/>
  <c r="AE415" i="3"/>
  <c r="X395" i="3"/>
  <c r="AE381" i="3"/>
  <c r="X337" i="3"/>
  <c r="AE289" i="3"/>
  <c r="AE268" i="3"/>
  <c r="X268" i="3"/>
  <c r="X76" i="3"/>
  <c r="X439" i="3"/>
  <c r="X434" i="3"/>
  <c r="X378" i="3"/>
  <c r="X375" i="3"/>
  <c r="X359" i="3"/>
  <c r="X352" i="3"/>
  <c r="X349" i="3"/>
  <c r="X303" i="3"/>
  <c r="X285" i="3"/>
  <c r="X256" i="3"/>
  <c r="X249" i="3"/>
  <c r="AE199" i="3"/>
  <c r="X199" i="3"/>
  <c r="X90" i="3"/>
  <c r="X35" i="3"/>
  <c r="AE74" i="3"/>
  <c r="X28" i="3"/>
  <c r="X357" i="3"/>
  <c r="X348" i="3"/>
  <c r="X341" i="3"/>
  <c r="AE262" i="3"/>
  <c r="X259" i="3"/>
  <c r="AE259" i="3"/>
  <c r="AE232" i="3"/>
  <c r="AE223" i="3"/>
  <c r="X220" i="3"/>
  <c r="AE220" i="3"/>
  <c r="AE193" i="3"/>
  <c r="AE152" i="3"/>
  <c r="X152" i="3"/>
  <c r="X86" i="3"/>
  <c r="X61" i="3"/>
  <c r="X197" i="3"/>
  <c r="X175" i="3"/>
  <c r="X119" i="3"/>
  <c r="AE119" i="3"/>
  <c r="X347" i="3"/>
  <c r="X328" i="3"/>
  <c r="X318" i="3"/>
  <c r="X301" i="3"/>
  <c r="X289" i="3"/>
  <c r="X284" i="3"/>
  <c r="X227" i="3"/>
  <c r="AE227" i="3"/>
  <c r="AE218" i="3"/>
  <c r="X218" i="3"/>
  <c r="X194" i="3"/>
  <c r="AE139" i="3"/>
  <c r="AE59" i="3"/>
  <c r="X241" i="3"/>
  <c r="X179" i="3"/>
  <c r="X141" i="3"/>
  <c r="X89" i="3"/>
  <c r="X82" i="3"/>
  <c r="X63" i="3"/>
  <c r="X19" i="3"/>
  <c r="X264" i="3"/>
  <c r="AE222" i="3"/>
  <c r="X209" i="3"/>
  <c r="X202" i="3"/>
  <c r="X201" i="3"/>
  <c r="X181" i="3"/>
  <c r="X147" i="3"/>
  <c r="X142" i="3"/>
  <c r="AE124" i="3"/>
  <c r="X112" i="3"/>
  <c r="AE69" i="3"/>
  <c r="AE61" i="3"/>
  <c r="X52" i="3"/>
  <c r="AE241" i="3"/>
  <c r="X203" i="3"/>
  <c r="X189" i="3"/>
  <c r="X186" i="3"/>
  <c r="AE147" i="3"/>
  <c r="AE80" i="3"/>
  <c r="AE51" i="3"/>
  <c r="X36" i="3"/>
  <c r="AE13" i="3"/>
  <c r="AE7" i="3"/>
  <c r="X212" i="3"/>
  <c r="X123" i="3"/>
  <c r="X102" i="3"/>
  <c r="X73" i="3"/>
  <c r="X58" i="3"/>
  <c r="X54" i="3"/>
  <c r="X21" i="3"/>
  <c r="AE9" i="3"/>
  <c r="X257" i="3"/>
  <c r="X246" i="3"/>
  <c r="X235" i="3"/>
  <c r="X230" i="3"/>
  <c r="X196" i="3"/>
  <c r="X185" i="3"/>
  <c r="AE144" i="3"/>
  <c r="AE129" i="3"/>
  <c r="X118" i="3"/>
  <c r="AE117" i="3"/>
  <c r="X110" i="3"/>
  <c r="X80" i="3"/>
  <c r="X79" i="3"/>
  <c r="X60" i="3"/>
  <c r="X47" i="3"/>
  <c r="AD921" i="3"/>
  <c r="X912" i="3"/>
  <c r="X904" i="3"/>
  <c r="AD904" i="3"/>
  <c r="X894" i="3"/>
  <c r="AD894" i="3"/>
  <c r="X891" i="3"/>
  <c r="X841" i="3"/>
  <c r="X836" i="3"/>
  <c r="AE760" i="3"/>
  <c r="X760" i="3"/>
  <c r="AE14" i="3"/>
  <c r="X14" i="3"/>
  <c r="AE951" i="3"/>
  <c r="AE988" i="3"/>
  <c r="X988" i="3"/>
  <c r="X966" i="3"/>
  <c r="X950" i="3"/>
  <c r="AE947" i="3"/>
  <c r="X947" i="3"/>
  <c r="X932" i="3"/>
  <c r="X930" i="3"/>
  <c r="AD911" i="3"/>
  <c r="AE886" i="3"/>
  <c r="X886" i="3"/>
  <c r="X882" i="3"/>
  <c r="AD882" i="3"/>
  <c r="AE862" i="3"/>
  <c r="X862" i="3"/>
  <c r="AE841" i="3"/>
  <c r="X838" i="3"/>
  <c r="AE804" i="3"/>
  <c r="X804" i="3"/>
  <c r="X783" i="3"/>
  <c r="AD783" i="3"/>
  <c r="X724" i="3"/>
  <c r="X992" i="3"/>
  <c r="AE986" i="3"/>
  <c r="X986" i="3"/>
  <c r="X978" i="3"/>
  <c r="AE975" i="3"/>
  <c r="AE963" i="3"/>
  <c r="AE959" i="3"/>
  <c r="X959" i="3"/>
  <c r="AE950" i="3"/>
  <c r="AE932" i="3"/>
  <c r="X931" i="3"/>
  <c r="X928" i="3"/>
  <c r="X926" i="3"/>
  <c r="AE891" i="3"/>
  <c r="AD878" i="3"/>
  <c r="AE871" i="3"/>
  <c r="X871" i="3"/>
  <c r="AE865" i="3"/>
  <c r="X865" i="3"/>
  <c r="X859" i="3"/>
  <c r="AD859" i="3"/>
  <c r="X853" i="3"/>
  <c r="AE836" i="3"/>
  <c r="AD827" i="3"/>
  <c r="X825" i="3"/>
  <c r="AD825" i="3"/>
  <c r="X813" i="3"/>
  <c r="AD813" i="3"/>
  <c r="AE808" i="3"/>
  <c r="X808" i="3"/>
  <c r="X779" i="3"/>
  <c r="AD779" i="3"/>
  <c r="X743" i="3"/>
  <c r="AD689" i="3"/>
  <c r="X991" i="3"/>
  <c r="AE985" i="3"/>
  <c r="AE984" i="3"/>
  <c r="X984" i="3"/>
  <c r="X974" i="3"/>
  <c r="X973" i="3"/>
  <c r="X960" i="3"/>
  <c r="X958" i="3"/>
  <c r="X951" i="3"/>
  <c r="AE930" i="3"/>
  <c r="AE929" i="3"/>
  <c r="AE927" i="3"/>
  <c r="X927" i="3"/>
  <c r="X921" i="3"/>
  <c r="AE910" i="3"/>
  <c r="X910" i="3"/>
  <c r="X906" i="3"/>
  <c r="AD906" i="3"/>
  <c r="X889" i="3"/>
  <c r="AD889" i="3"/>
  <c r="AE838" i="3"/>
  <c r="AD821" i="3"/>
  <c r="X816" i="3"/>
  <c r="X810" i="3"/>
  <c r="AD799" i="3"/>
  <c r="AE743" i="3"/>
  <c r="AE709" i="3"/>
  <c r="X709" i="3"/>
  <c r="AE934" i="3"/>
  <c r="X981" i="3"/>
  <c r="X979" i="3"/>
  <c r="X976" i="3"/>
  <c r="AE974" i="3"/>
  <c r="X970" i="3"/>
  <c r="X953" i="3"/>
  <c r="X948" i="3"/>
  <c r="X945" i="3"/>
  <c r="X911" i="3"/>
  <c r="X903" i="3"/>
  <c r="X901" i="3"/>
  <c r="X890" i="3"/>
  <c r="X885" i="3"/>
  <c r="AD885" i="3"/>
  <c r="X884" i="3"/>
  <c r="AD884" i="3"/>
  <c r="X873" i="3"/>
  <c r="X872" i="3"/>
  <c r="X861" i="3"/>
  <c r="AD861" i="3"/>
  <c r="X844" i="3"/>
  <c r="AD844" i="3"/>
  <c r="X830" i="3"/>
  <c r="AE725" i="3"/>
  <c r="X725" i="3"/>
  <c r="AD652" i="3"/>
  <c r="AE990" i="3"/>
  <c r="AE989" i="3"/>
  <c r="X989" i="3"/>
  <c r="X946" i="3"/>
  <c r="AE905" i="3"/>
  <c r="X905" i="3"/>
  <c r="X898" i="3"/>
  <c r="X896" i="3"/>
  <c r="AE895" i="3"/>
  <c r="X895" i="3"/>
  <c r="X879" i="3"/>
  <c r="X875" i="3"/>
  <c r="X784" i="3"/>
  <c r="X985" i="3"/>
  <c r="AE978" i="3"/>
  <c r="AE942" i="3"/>
  <c r="X942" i="3"/>
  <c r="AE937" i="3"/>
  <c r="X937" i="3"/>
  <c r="X929" i="3"/>
  <c r="AE915" i="3"/>
  <c r="X915" i="3"/>
  <c r="X913" i="3"/>
  <c r="X909" i="3"/>
  <c r="AD909" i="3"/>
  <c r="X908" i="3"/>
  <c r="AD908" i="3"/>
  <c r="X900" i="3"/>
  <c r="X899" i="3"/>
  <c r="AE896" i="3"/>
  <c r="AE879" i="3"/>
  <c r="AD839" i="3"/>
  <c r="AE834" i="3"/>
  <c r="X834" i="3"/>
  <c r="X828" i="3"/>
  <c r="X788" i="3"/>
  <c r="AE671" i="3"/>
  <c r="X671" i="3"/>
  <c r="X972" i="3"/>
  <c r="X969" i="3"/>
  <c r="X968" i="3"/>
  <c r="X967" i="3"/>
  <c r="AE939" i="3"/>
  <c r="X933" i="3"/>
  <c r="AD926" i="3"/>
  <c r="X863" i="3"/>
  <c r="AD863" i="3"/>
  <c r="X831" i="3"/>
  <c r="AE828" i="3"/>
  <c r="X809" i="3"/>
  <c r="AE796" i="3"/>
  <c r="X796" i="3"/>
  <c r="AE784" i="3"/>
  <c r="AE722" i="3"/>
  <c r="X722" i="3"/>
  <c r="AD674" i="3"/>
  <c r="X822" i="3"/>
  <c r="X821" i="3"/>
  <c r="X819" i="3"/>
  <c r="AE817" i="3"/>
  <c r="AE787" i="3"/>
  <c r="AE772" i="3"/>
  <c r="X751" i="3"/>
  <c r="AE740" i="3"/>
  <c r="X740" i="3"/>
  <c r="AD708" i="3"/>
  <c r="AE698" i="3"/>
  <c r="X698" i="3"/>
  <c r="X692" i="3"/>
  <c r="X626" i="3"/>
  <c r="AE497" i="3"/>
  <c r="X497" i="3"/>
  <c r="X827" i="3"/>
  <c r="X799" i="3"/>
  <c r="X778" i="3"/>
  <c r="AE777" i="3"/>
  <c r="AE773" i="3"/>
  <c r="AE751" i="3"/>
  <c r="AE727" i="3"/>
  <c r="X727" i="3"/>
  <c r="AE726" i="3"/>
  <c r="AE717" i="3"/>
  <c r="X717" i="3"/>
  <c r="X689" i="3"/>
  <c r="AD686" i="3"/>
  <c r="X652" i="3"/>
  <c r="X782" i="3"/>
  <c r="AE764" i="3"/>
  <c r="X763" i="3"/>
  <c r="X762" i="3"/>
  <c r="AE748" i="3"/>
  <c r="X748" i="3"/>
  <c r="X747" i="3"/>
  <c r="X728" i="3"/>
  <c r="X706" i="3"/>
  <c r="X705" i="3"/>
  <c r="AE695" i="3"/>
  <c r="X695" i="3"/>
  <c r="AD691" i="3"/>
  <c r="X674" i="3"/>
  <c r="X817" i="3"/>
  <c r="X736" i="3"/>
  <c r="AE718" i="3"/>
  <c r="X643" i="3"/>
  <c r="X824" i="3"/>
  <c r="X797" i="3"/>
  <c r="X787" i="3"/>
  <c r="X772" i="3"/>
  <c r="AE756" i="3"/>
  <c r="X755" i="3"/>
  <c r="X735" i="3"/>
  <c r="X733" i="3"/>
  <c r="AE729" i="3"/>
  <c r="AD704" i="3"/>
  <c r="AD688" i="3"/>
  <c r="X590" i="3"/>
  <c r="AE805" i="3"/>
  <c r="X794" i="3"/>
  <c r="X793" i="3"/>
  <c r="AE790" i="3"/>
  <c r="X777" i="3"/>
  <c r="X775" i="3"/>
  <c r="X764" i="3"/>
  <c r="X744" i="3"/>
  <c r="AE735" i="3"/>
  <c r="AE733" i="3"/>
  <c r="X691" i="3"/>
  <c r="AE675" i="3"/>
  <c r="X675" i="3"/>
  <c r="AE658" i="3"/>
  <c r="X658" i="3"/>
  <c r="AE643" i="3"/>
  <c r="X532" i="3"/>
  <c r="X607" i="3"/>
  <c r="AE577" i="3"/>
  <c r="X577" i="3"/>
  <c r="AE731" i="3"/>
  <c r="AE728" i="3"/>
  <c r="AE708" i="3"/>
  <c r="AE704" i="3"/>
  <c r="AE691" i="3"/>
  <c r="AE689" i="3"/>
  <c r="AE688" i="3"/>
  <c r="AE686" i="3"/>
  <c r="AE674" i="3"/>
  <c r="AE652" i="3"/>
  <c r="X639" i="3"/>
  <c r="AE637" i="3"/>
  <c r="X631" i="3"/>
  <c r="X615" i="3"/>
  <c r="X612" i="3"/>
  <c r="X603" i="3"/>
  <c r="X598" i="3"/>
  <c r="AE589" i="3"/>
  <c r="X589" i="3"/>
  <c r="X563" i="3"/>
  <c r="AE557" i="3"/>
  <c r="X557" i="3"/>
  <c r="AD509" i="3"/>
  <c r="AE504" i="3"/>
  <c r="X504" i="3"/>
  <c r="AE483" i="3"/>
  <c r="X483" i="3"/>
  <c r="X622" i="3"/>
  <c r="AE621" i="3"/>
  <c r="AE607" i="3"/>
  <c r="X582" i="3"/>
  <c r="AE582" i="3"/>
  <c r="X578" i="3"/>
  <c r="AD559" i="3"/>
  <c r="X559" i="3"/>
  <c r="X703" i="3"/>
  <c r="X701" i="3"/>
  <c r="X693" i="3"/>
  <c r="X683" i="3"/>
  <c r="X681" i="3"/>
  <c r="X680" i="3"/>
  <c r="X678" i="3"/>
  <c r="X676" i="3"/>
  <c r="AE627" i="3"/>
  <c r="AE625" i="3"/>
  <c r="X620" i="3"/>
  <c r="X583" i="3"/>
  <c r="AE583" i="3"/>
  <c r="AE574" i="3"/>
  <c r="X574" i="3"/>
  <c r="X571" i="3"/>
  <c r="X568" i="3"/>
  <c r="X267" i="3"/>
  <c r="AE267" i="3"/>
  <c r="X638" i="3"/>
  <c r="AD638" i="3"/>
  <c r="X630" i="3"/>
  <c r="AE628" i="3"/>
  <c r="AE590" i="3"/>
  <c r="AD576" i="3"/>
  <c r="X576" i="3"/>
  <c r="X575" i="3"/>
  <c r="AE575" i="3"/>
  <c r="AE540" i="3"/>
  <c r="X540" i="3"/>
  <c r="X537" i="3"/>
  <c r="X635" i="3"/>
  <c r="AE584" i="3"/>
  <c r="X584" i="3"/>
  <c r="X572" i="3"/>
  <c r="AE570" i="3"/>
  <c r="X570" i="3"/>
  <c r="AE568" i="3"/>
  <c r="X553" i="3"/>
  <c r="AD526" i="3"/>
  <c r="X526" i="3"/>
  <c r="X633" i="3"/>
  <c r="X614" i="3"/>
  <c r="X604" i="3"/>
  <c r="X592" i="3"/>
  <c r="X588" i="3"/>
  <c r="AE588" i="3"/>
  <c r="X493" i="3"/>
  <c r="AE493" i="3"/>
  <c r="X558" i="3"/>
  <c r="X544" i="3"/>
  <c r="AE523" i="3"/>
  <c r="X523" i="3"/>
  <c r="X518" i="3"/>
  <c r="AE517" i="3"/>
  <c r="X517" i="3"/>
  <c r="X498" i="3"/>
  <c r="X474" i="3"/>
  <c r="AE474" i="3"/>
  <c r="X464" i="3"/>
  <c r="AD440" i="3"/>
  <c r="X440" i="3"/>
  <c r="X602" i="3"/>
  <c r="AE593" i="3"/>
  <c r="X566" i="3"/>
  <c r="X562" i="3"/>
  <c r="X556" i="3"/>
  <c r="AE518" i="3"/>
  <c r="X513" i="3"/>
  <c r="X502" i="3"/>
  <c r="AE492" i="3"/>
  <c r="X492" i="3"/>
  <c r="X447" i="3"/>
  <c r="AE447" i="3"/>
  <c r="AD376" i="3"/>
  <c r="X611" i="3"/>
  <c r="X606" i="3"/>
  <c r="X585" i="3"/>
  <c r="AE556" i="3"/>
  <c r="X548" i="3"/>
  <c r="X542" i="3"/>
  <c r="X536" i="3"/>
  <c r="X533" i="3"/>
  <c r="AE524" i="3"/>
  <c r="X524" i="3"/>
  <c r="X522" i="3"/>
  <c r="X519" i="3"/>
  <c r="AE513" i="3"/>
  <c r="X510" i="3"/>
  <c r="X506" i="3"/>
  <c r="AE502" i="3"/>
  <c r="X476" i="3"/>
  <c r="AE476" i="3"/>
  <c r="X449" i="3"/>
  <c r="AE449" i="3"/>
  <c r="AE554" i="3"/>
  <c r="X525" i="3"/>
  <c r="AE511" i="3"/>
  <c r="X511" i="3"/>
  <c r="X484" i="3"/>
  <c r="AE420" i="3"/>
  <c r="X420" i="3"/>
  <c r="X334" i="3"/>
  <c r="AE334" i="3"/>
  <c r="X564" i="3"/>
  <c r="X529" i="3"/>
  <c r="AE525" i="3"/>
  <c r="X499" i="3"/>
  <c r="X478" i="3"/>
  <c r="AE478" i="3"/>
  <c r="AD457" i="3"/>
  <c r="X457" i="3"/>
  <c r="AE600" i="3"/>
  <c r="AE599" i="3"/>
  <c r="AE580" i="3"/>
  <c r="X573" i="3"/>
  <c r="AE564" i="3"/>
  <c r="X530" i="3"/>
  <c r="X520" i="3"/>
  <c r="X501" i="3"/>
  <c r="AE484" i="3"/>
  <c r="AE456" i="3"/>
  <c r="X456" i="3"/>
  <c r="AD429" i="3"/>
  <c r="X429" i="3"/>
  <c r="AE586" i="3"/>
  <c r="AE581" i="3"/>
  <c r="AE571" i="3"/>
  <c r="AE559" i="3"/>
  <c r="X543" i="3"/>
  <c r="X539" i="3"/>
  <c r="X535" i="3"/>
  <c r="X516" i="3"/>
  <c r="X473" i="3"/>
  <c r="X454" i="3"/>
  <c r="X446" i="3"/>
  <c r="X442" i="3"/>
  <c r="AE441" i="3"/>
  <c r="X441" i="3"/>
  <c r="X425" i="3"/>
  <c r="X414" i="3"/>
  <c r="X538" i="3"/>
  <c r="X515" i="3"/>
  <c r="X500" i="3"/>
  <c r="X458" i="3"/>
  <c r="X450" i="3"/>
  <c r="X426" i="3"/>
  <c r="X415" i="3"/>
  <c r="AE545" i="3"/>
  <c r="AE534" i="3"/>
  <c r="X509" i="3"/>
  <c r="AE503" i="3"/>
  <c r="X485" i="3"/>
  <c r="X470" i="3"/>
  <c r="X460" i="3"/>
  <c r="X453" i="3"/>
  <c r="X444" i="3"/>
  <c r="X422" i="3"/>
  <c r="X364" i="3"/>
  <c r="X508" i="3"/>
  <c r="X505" i="3"/>
  <c r="X488" i="3"/>
  <c r="X432" i="3"/>
  <c r="AE417" i="3"/>
  <c r="X417" i="3"/>
  <c r="AE471" i="3"/>
  <c r="X471" i="3"/>
  <c r="X468" i="3"/>
  <c r="AE445" i="3"/>
  <c r="X445" i="3"/>
  <c r="X418" i="3"/>
  <c r="AD398" i="3"/>
  <c r="X386" i="3"/>
  <c r="AD329" i="3"/>
  <c r="X430" i="3"/>
  <c r="AE409" i="3"/>
  <c r="X400" i="3"/>
  <c r="X363" i="3"/>
  <c r="AD345" i="3"/>
  <c r="X335" i="3"/>
  <c r="AE335" i="3"/>
  <c r="AD332" i="3"/>
  <c r="AD319" i="3"/>
  <c r="AE453" i="3"/>
  <c r="X427" i="3"/>
  <c r="AD389" i="3"/>
  <c r="AE382" i="3"/>
  <c r="AE324" i="3"/>
  <c r="X324" i="3"/>
  <c r="AE314" i="3"/>
  <c r="X314" i="3"/>
  <c r="X404" i="3"/>
  <c r="X402" i="3"/>
  <c r="AE401" i="3"/>
  <c r="X401" i="3"/>
  <c r="X373" i="3"/>
  <c r="AE373" i="3"/>
  <c r="X409" i="3"/>
  <c r="X388" i="3"/>
  <c r="AE385" i="3"/>
  <c r="X385" i="3"/>
  <c r="X298" i="3"/>
  <c r="AD298" i="3"/>
  <c r="X279" i="3"/>
  <c r="AE279" i="3"/>
  <c r="X261" i="3"/>
  <c r="AE261" i="3"/>
  <c r="X403" i="3"/>
  <c r="X382" i="3"/>
  <c r="AE368" i="3"/>
  <c r="X368" i="3"/>
  <c r="AE372" i="3"/>
  <c r="X372" i="3"/>
  <c r="X358" i="3"/>
  <c r="AD358" i="3"/>
  <c r="AD352" i="3"/>
  <c r="AE326" i="3"/>
  <c r="X326" i="3"/>
  <c r="X323" i="3"/>
  <c r="AD323" i="3"/>
  <c r="AD315" i="3"/>
  <c r="AE286" i="3"/>
  <c r="X286" i="3"/>
  <c r="X271" i="3"/>
  <c r="AE271" i="3"/>
  <c r="X265" i="3"/>
  <c r="AE265" i="3"/>
  <c r="X131" i="3"/>
  <c r="AD124" i="3"/>
  <c r="X124" i="3"/>
  <c r="X377" i="3"/>
  <c r="X376" i="3"/>
  <c r="AE355" i="3"/>
  <c r="X355" i="3"/>
  <c r="X354" i="3"/>
  <c r="AD350" i="3"/>
  <c r="X329" i="3"/>
  <c r="X319" i="3"/>
  <c r="X312" i="3"/>
  <c r="AD312" i="3"/>
  <c r="AE309" i="3"/>
  <c r="X309" i="3"/>
  <c r="X154" i="3"/>
  <c r="X407" i="3"/>
  <c r="X393" i="3"/>
  <c r="X381" i="3"/>
  <c r="X380" i="3"/>
  <c r="X374" i="3"/>
  <c r="AE369" i="3"/>
  <c r="AE356" i="3"/>
  <c r="X353" i="3"/>
  <c r="X350" i="3"/>
  <c r="AD341" i="3"/>
  <c r="X338" i="3"/>
  <c r="AD338" i="3"/>
  <c r="X325" i="3"/>
  <c r="AD325" i="3"/>
  <c r="AE320" i="3"/>
  <c r="X320" i="3"/>
  <c r="X316" i="3"/>
  <c r="X305" i="3"/>
  <c r="AD305" i="3"/>
  <c r="X292" i="3"/>
  <c r="X408" i="3"/>
  <c r="X398" i="3"/>
  <c r="X394" i="3"/>
  <c r="X390" i="3"/>
  <c r="X389" i="3"/>
  <c r="X366" i="3"/>
  <c r="X365" i="3"/>
  <c r="X345" i="3"/>
  <c r="X332" i="3"/>
  <c r="AE331" i="3"/>
  <c r="X331" i="3"/>
  <c r="X308" i="3"/>
  <c r="AD308" i="3"/>
  <c r="X255" i="3"/>
  <c r="AE255" i="3"/>
  <c r="X224" i="3"/>
  <c r="AE224" i="3"/>
  <c r="X210" i="3"/>
  <c r="AE210" i="3"/>
  <c r="X410" i="3"/>
  <c r="X369" i="3"/>
  <c r="X342" i="3"/>
  <c r="X339" i="3"/>
  <c r="X306" i="3"/>
  <c r="X299" i="3"/>
  <c r="X226" i="3"/>
  <c r="AE226" i="3"/>
  <c r="X213" i="3"/>
  <c r="AE213" i="3"/>
  <c r="AE288" i="3"/>
  <c r="X282" i="3"/>
  <c r="AE260" i="3"/>
  <c r="X260" i="3"/>
  <c r="AE228" i="3"/>
  <c r="X228" i="3"/>
  <c r="X277" i="3"/>
  <c r="X254" i="3"/>
  <c r="X252" i="3"/>
  <c r="X248" i="3"/>
  <c r="X239" i="3"/>
  <c r="X232" i="3"/>
  <c r="X229" i="3"/>
  <c r="AE327" i="3"/>
  <c r="AE310" i="3"/>
  <c r="X295" i="3"/>
  <c r="X287" i="3"/>
  <c r="X283" i="3"/>
  <c r="AE282" i="3"/>
  <c r="X280" i="3"/>
  <c r="AE278" i="3"/>
  <c r="X270" i="3"/>
  <c r="X266" i="3"/>
  <c r="AE252" i="3"/>
  <c r="X245" i="3"/>
  <c r="X243" i="3"/>
  <c r="X238" i="3"/>
  <c r="X236" i="3"/>
  <c r="X234" i="3"/>
  <c r="X207" i="3"/>
  <c r="AE173" i="3"/>
  <c r="X173" i="3"/>
  <c r="X274" i="3"/>
  <c r="AE240" i="3"/>
  <c r="X240" i="3"/>
  <c r="AE237" i="3"/>
  <c r="X237" i="3"/>
  <c r="AE216" i="3"/>
  <c r="X216" i="3"/>
  <c r="X304" i="3"/>
  <c r="X281" i="3"/>
  <c r="X275" i="3"/>
  <c r="AE273" i="3"/>
  <c r="X272" i="3"/>
  <c r="X219" i="3"/>
  <c r="X204" i="3"/>
  <c r="X296" i="3"/>
  <c r="AE263" i="3"/>
  <c r="X263" i="3"/>
  <c r="AE204" i="3"/>
  <c r="X192" i="3"/>
  <c r="AE192" i="3"/>
  <c r="AE200" i="3"/>
  <c r="X200" i="3"/>
  <c r="X166" i="3"/>
  <c r="AD74" i="3"/>
  <c r="X215" i="3"/>
  <c r="AE215" i="3"/>
  <c r="X214" i="3"/>
  <c r="X182" i="3"/>
  <c r="X180" i="3"/>
  <c r="AE163" i="3"/>
  <c r="X163" i="3"/>
  <c r="AD149" i="3"/>
  <c r="X149" i="3"/>
  <c r="X206" i="3"/>
  <c r="X190" i="3"/>
  <c r="X176" i="3"/>
  <c r="X168" i="3"/>
  <c r="AE167" i="3"/>
  <c r="X167" i="3"/>
  <c r="X161" i="3"/>
  <c r="AD161" i="3"/>
  <c r="X211" i="3"/>
  <c r="X208" i="3"/>
  <c r="X205" i="3"/>
  <c r="X195" i="3"/>
  <c r="AD195" i="3"/>
  <c r="X183" i="3"/>
  <c r="AE166" i="3"/>
  <c r="X223" i="3"/>
  <c r="X193" i="3"/>
  <c r="X191" i="3"/>
  <c r="X187" i="3"/>
  <c r="AE176" i="3"/>
  <c r="X172" i="3"/>
  <c r="AE146" i="3"/>
  <c r="X146" i="3"/>
  <c r="X139" i="3"/>
  <c r="X217" i="3"/>
  <c r="AE217" i="3"/>
  <c r="AE184" i="3"/>
  <c r="X184" i="3"/>
  <c r="X171" i="3"/>
  <c r="AD165" i="3"/>
  <c r="X165" i="3"/>
  <c r="X160" i="3"/>
  <c r="AE158" i="3"/>
  <c r="X158" i="3"/>
  <c r="AE140" i="3"/>
  <c r="X140" i="3"/>
  <c r="X170" i="3"/>
  <c r="X157" i="3"/>
  <c r="AE157" i="3"/>
  <c r="X136" i="3"/>
  <c r="X121" i="3"/>
  <c r="AE191" i="3"/>
  <c r="AE190" i="3"/>
  <c r="AE183" i="3"/>
  <c r="AE182" i="3"/>
  <c r="AE174" i="3"/>
  <c r="AE172" i="3"/>
  <c r="X159" i="3"/>
  <c r="AD144" i="3"/>
  <c r="X144" i="3"/>
  <c r="AE137" i="3"/>
  <c r="X137" i="3"/>
  <c r="X130" i="3"/>
  <c r="AE130" i="3"/>
  <c r="X116" i="3"/>
  <c r="AE116" i="3"/>
  <c r="X113" i="3"/>
  <c r="X97" i="3"/>
  <c r="AE97" i="3"/>
  <c r="X150" i="3"/>
  <c r="AE150" i="3"/>
  <c r="AE135" i="3"/>
  <c r="X135" i="3"/>
  <c r="AE133" i="3"/>
  <c r="X133" i="3"/>
  <c r="X125" i="3"/>
  <c r="AE125" i="3"/>
  <c r="AE103" i="3"/>
  <c r="X103" i="3"/>
  <c r="AE65" i="3"/>
  <c r="X65" i="3"/>
  <c r="AE42" i="3"/>
  <c r="X42" i="3"/>
  <c r="AE151" i="3"/>
  <c r="X151" i="3"/>
  <c r="AD143" i="3"/>
  <c r="X143" i="3"/>
  <c r="AE127" i="3"/>
  <c r="AE126" i="3"/>
  <c r="X126" i="3"/>
  <c r="X120" i="3"/>
  <c r="AD120" i="3"/>
  <c r="X164" i="3"/>
  <c r="AE164" i="3"/>
  <c r="AE131" i="3"/>
  <c r="X114" i="3"/>
  <c r="AE111" i="3"/>
  <c r="X111" i="3"/>
  <c r="AE153" i="3"/>
  <c r="X145" i="3"/>
  <c r="AE145" i="3"/>
  <c r="AD129" i="3"/>
  <c r="X129" i="3"/>
  <c r="X117" i="3"/>
  <c r="X100" i="3"/>
  <c r="AE85" i="3"/>
  <c r="X85" i="3"/>
  <c r="AE83" i="3"/>
  <c r="X83" i="3"/>
  <c r="X77" i="3"/>
  <c r="X71" i="3"/>
  <c r="X68" i="3"/>
  <c r="AE20" i="3"/>
  <c r="X20" i="3"/>
  <c r="AE118" i="3"/>
  <c r="X81" i="3"/>
  <c r="X74" i="3"/>
  <c r="X49" i="3"/>
  <c r="AE49" i="3"/>
  <c r="X108" i="3"/>
  <c r="AE108" i="3"/>
  <c r="X98" i="3"/>
  <c r="AE93" i="3"/>
  <c r="X93" i="3"/>
  <c r="AE10" i="3"/>
  <c r="X10" i="3"/>
  <c r="X115" i="3"/>
  <c r="X109" i="3"/>
  <c r="X99" i="3"/>
  <c r="X91" i="3"/>
  <c r="AE75" i="3"/>
  <c r="X64" i="3"/>
  <c r="X37" i="3"/>
  <c r="X106" i="3"/>
  <c r="AE94" i="3"/>
  <c r="X95" i="3"/>
  <c r="AD67" i="3"/>
  <c r="X67" i="3"/>
  <c r="AE33" i="3"/>
  <c r="X33" i="3"/>
  <c r="AE18" i="3"/>
  <c r="X18" i="3"/>
  <c r="X16" i="3"/>
  <c r="AE16" i="3"/>
  <c r="AE15" i="3"/>
  <c r="X15" i="3"/>
  <c r="X107" i="3"/>
  <c r="X105" i="3"/>
  <c r="X101" i="3"/>
  <c r="X96" i="3"/>
  <c r="AE91" i="3"/>
  <c r="X84" i="3"/>
  <c r="X78" i="3"/>
  <c r="X72" i="3"/>
  <c r="AE53" i="3"/>
  <c r="X53" i="3"/>
  <c r="AE48" i="3"/>
  <c r="X48" i="3"/>
  <c r="X45" i="3"/>
  <c r="X41" i="3"/>
  <c r="AE41" i="3"/>
  <c r="X32" i="3"/>
  <c r="AE32" i="3"/>
  <c r="AE12" i="3"/>
  <c r="X12" i="3"/>
  <c r="X87" i="3"/>
  <c r="AE40" i="3"/>
  <c r="X40" i="3"/>
  <c r="AE31" i="3"/>
  <c r="X31" i="3"/>
  <c r="X23" i="3"/>
  <c r="X59" i="3"/>
  <c r="X56" i="3"/>
  <c r="X39" i="3"/>
  <c r="AE39" i="3"/>
  <c r="X62" i="3"/>
  <c r="AE62" i="3"/>
  <c r="AE30" i="3"/>
  <c r="X30" i="3"/>
  <c r="AE46" i="3"/>
  <c r="X46" i="3"/>
  <c r="X38" i="3"/>
  <c r="AE38" i="3"/>
  <c r="X27" i="3"/>
  <c r="AE27" i="3"/>
  <c r="X69" i="3"/>
  <c r="AE44" i="3"/>
  <c r="X44" i="3"/>
  <c r="AE34" i="3"/>
  <c r="X34" i="3"/>
  <c r="AE24" i="3"/>
  <c r="X24" i="3"/>
  <c r="X17" i="3"/>
  <c r="X26" i="3"/>
  <c r="X22" i="3"/>
  <c r="A2" i="3"/>
  <c r="B2" i="3"/>
  <c r="Q2" i="3" s="1"/>
  <c r="C2" i="3"/>
  <c r="W2" i="3" s="1"/>
  <c r="D2" i="3"/>
  <c r="J2" i="3"/>
  <c r="I2" i="3" s="1"/>
  <c r="K2" i="3"/>
  <c r="N2" i="3"/>
  <c r="O2" i="3"/>
  <c r="AD3" i="3"/>
  <c r="AD4" i="3"/>
  <c r="AD5" i="3"/>
  <c r="AD6" i="3"/>
  <c r="Y4" i="3"/>
  <c r="AA5" i="3"/>
  <c r="AA6" i="3"/>
  <c r="AO3" i="4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1" i="4"/>
  <c r="AL102" i="4"/>
  <c r="AL103" i="4"/>
  <c r="AL104" i="4"/>
  <c r="AL105" i="4"/>
  <c r="AL106" i="4"/>
  <c r="AL107" i="4"/>
  <c r="AL108" i="4"/>
  <c r="AL109" i="4"/>
  <c r="AL110" i="4"/>
  <c r="AL111" i="4"/>
  <c r="AL112" i="4"/>
  <c r="AL113" i="4"/>
  <c r="AL114" i="4"/>
  <c r="AL115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49" i="4"/>
  <c r="AL150" i="4"/>
  <c r="AL151" i="4"/>
  <c r="AL152" i="4"/>
  <c r="AL153" i="4"/>
  <c r="AL154" i="4"/>
  <c r="AL155" i="4"/>
  <c r="AL156" i="4"/>
  <c r="AL157" i="4"/>
  <c r="AL158" i="4"/>
  <c r="AL159" i="4"/>
  <c r="AL160" i="4"/>
  <c r="AL161" i="4"/>
  <c r="AL162" i="4"/>
  <c r="AL163" i="4"/>
  <c r="AL164" i="4"/>
  <c r="AL165" i="4"/>
  <c r="AL166" i="4"/>
  <c r="AL167" i="4"/>
  <c r="AL168" i="4"/>
  <c r="AL169" i="4"/>
  <c r="AL170" i="4"/>
  <c r="AL171" i="4"/>
  <c r="AL172" i="4"/>
  <c r="AL173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O2" i="4"/>
  <c r="AL2" i="4"/>
  <c r="AA4" i="3" l="1"/>
  <c r="Y6" i="3"/>
  <c r="Y5" i="3"/>
  <c r="Y2" i="3"/>
  <c r="AF3" i="3"/>
  <c r="Y3" i="3"/>
  <c r="AP47" i="4"/>
  <c r="AP175" i="4"/>
  <c r="AP143" i="4"/>
  <c r="AP111" i="4"/>
  <c r="L2" i="3"/>
  <c r="AP15" i="4"/>
  <c r="AP179" i="4"/>
  <c r="AP163" i="4"/>
  <c r="AP155" i="4"/>
  <c r="AP147" i="4"/>
  <c r="AP139" i="4"/>
  <c r="AP131" i="4"/>
  <c r="AP123" i="4"/>
  <c r="AP115" i="4"/>
  <c r="AP107" i="4"/>
  <c r="AP99" i="4"/>
  <c r="AP91" i="4"/>
  <c r="AP83" i="4"/>
  <c r="AP75" i="4"/>
  <c r="AP67" i="4"/>
  <c r="AP59" i="4"/>
  <c r="AP51" i="4"/>
  <c r="AP43" i="4"/>
  <c r="AP35" i="4"/>
  <c r="AP27" i="4"/>
  <c r="AP11" i="4"/>
  <c r="AP3" i="4"/>
  <c r="AP149" i="4"/>
  <c r="AP187" i="4"/>
  <c r="AP68" i="4"/>
  <c r="AP36" i="4"/>
  <c r="AP28" i="4"/>
  <c r="AP12" i="4"/>
  <c r="AP113" i="4"/>
  <c r="AP89" i="4"/>
  <c r="AP65" i="4"/>
  <c r="AP41" i="4"/>
  <c r="AF6" i="3"/>
  <c r="AF5" i="3"/>
  <c r="AF4" i="3"/>
  <c r="AA3" i="3"/>
  <c r="AB2" i="3"/>
  <c r="AP34" i="4"/>
  <c r="AP116" i="4"/>
  <c r="AP182" i="4"/>
  <c r="AP174" i="4"/>
  <c r="AP166" i="4"/>
  <c r="AP158" i="4"/>
  <c r="AP150" i="4"/>
  <c r="AP142" i="4"/>
  <c r="AP134" i="4"/>
  <c r="AP126" i="4"/>
  <c r="AP118" i="4"/>
  <c r="AP110" i="4"/>
  <c r="AP102" i="4"/>
  <c r="AP94" i="4"/>
  <c r="AP86" i="4"/>
  <c r="AP78" i="4"/>
  <c r="AP70" i="4"/>
  <c r="AP62" i="4"/>
  <c r="AP54" i="4"/>
  <c r="AP46" i="4"/>
  <c r="AP38" i="4"/>
  <c r="AP30" i="4"/>
  <c r="AP22" i="4"/>
  <c r="AP14" i="4"/>
  <c r="AP6" i="4"/>
  <c r="AP181" i="4"/>
  <c r="AP173" i="4"/>
  <c r="AP165" i="4"/>
  <c r="AP157" i="4"/>
  <c r="AP141" i="4"/>
  <c r="AP133" i="4"/>
  <c r="AP125" i="4"/>
  <c r="AP109" i="4"/>
  <c r="AP101" i="4"/>
  <c r="AP77" i="4"/>
  <c r="AF2" i="3"/>
  <c r="AA2" i="3"/>
  <c r="AP79" i="4"/>
  <c r="AP188" i="4"/>
  <c r="AP180" i="4"/>
  <c r="AP172" i="4"/>
  <c r="AP164" i="4"/>
  <c r="AP156" i="4"/>
  <c r="AP148" i="4"/>
  <c r="AP140" i="4"/>
  <c r="AP132" i="4"/>
  <c r="AP124" i="4"/>
  <c r="AP108" i="4"/>
  <c r="AP100" i="4"/>
  <c r="AP92" i="4"/>
  <c r="AP84" i="4"/>
  <c r="AP76" i="4"/>
  <c r="AP60" i="4"/>
  <c r="AP52" i="4"/>
  <c r="AP44" i="4"/>
  <c r="AP20" i="4"/>
  <c r="AP4" i="4"/>
  <c r="AP117" i="4"/>
  <c r="AP93" i="4"/>
  <c r="AP85" i="4"/>
  <c r="AP69" i="4"/>
  <c r="AP61" i="4"/>
  <c r="AP53" i="4"/>
  <c r="AP45" i="4"/>
  <c r="AP37" i="4"/>
  <c r="AP29" i="4"/>
  <c r="AP21" i="4"/>
  <c r="AP13" i="4"/>
  <c r="AP5" i="4"/>
  <c r="AP177" i="4"/>
  <c r="AP161" i="4"/>
  <c r="AP145" i="4"/>
  <c r="AP129" i="4"/>
  <c r="AP121" i="4"/>
  <c r="AP105" i="4"/>
  <c r="AP97" i="4"/>
  <c r="AP81" i="4"/>
  <c r="AP73" i="4"/>
  <c r="AP57" i="4"/>
  <c r="AP49" i="4"/>
  <c r="AP33" i="4"/>
  <c r="AP25" i="4"/>
  <c r="AP17" i="4"/>
  <c r="AP9" i="4"/>
  <c r="AP171" i="4"/>
  <c r="AP19" i="4"/>
  <c r="AP185" i="4"/>
  <c r="AP169" i="4"/>
  <c r="AP153" i="4"/>
  <c r="AP137" i="4"/>
  <c r="AE6" i="3"/>
  <c r="AE5" i="3"/>
  <c r="AE3" i="3"/>
  <c r="AE4" i="3"/>
  <c r="AE2" i="3"/>
  <c r="X6" i="3"/>
  <c r="X5" i="3"/>
  <c r="X4" i="3"/>
  <c r="X2" i="3"/>
  <c r="X3" i="3"/>
  <c r="AP183" i="4"/>
  <c r="AP167" i="4"/>
  <c r="AP162" i="4"/>
  <c r="AP159" i="4"/>
  <c r="AP151" i="4"/>
  <c r="AP135" i="4"/>
  <c r="AP127" i="4"/>
  <c r="AP119" i="4"/>
  <c r="AP103" i="4"/>
  <c r="AP98" i="4"/>
  <c r="AP95" i="4"/>
  <c r="AP87" i="4"/>
  <c r="AP71" i="4"/>
  <c r="AP63" i="4"/>
  <c r="AP55" i="4"/>
  <c r="AP39" i="4"/>
  <c r="AP31" i="4"/>
  <c r="AP23" i="4"/>
  <c r="AP18" i="4"/>
  <c r="AP7" i="4"/>
  <c r="AP186" i="4"/>
  <c r="AP178" i="4"/>
  <c r="AP170" i="4"/>
  <c r="AP154" i="4"/>
  <c r="AP146" i="4"/>
  <c r="AP138" i="4"/>
  <c r="AP130" i="4"/>
  <c r="AP122" i="4"/>
  <c r="AP114" i="4"/>
  <c r="AP106" i="4"/>
  <c r="AP90" i="4"/>
  <c r="AP82" i="4"/>
  <c r="AP74" i="4"/>
  <c r="AP66" i="4"/>
  <c r="AP58" i="4"/>
  <c r="AP50" i="4"/>
  <c r="AP42" i="4"/>
  <c r="AP26" i="4"/>
  <c r="AP10" i="4"/>
  <c r="AP184" i="4"/>
  <c r="AP176" i="4"/>
  <c r="AP168" i="4"/>
  <c r="AP160" i="4"/>
  <c r="AP152" i="4"/>
  <c r="AP144" i="4"/>
  <c r="AP136" i="4"/>
  <c r="AP128" i="4"/>
  <c r="AP120" i="4"/>
  <c r="AP112" i="4"/>
  <c r="AP104" i="4"/>
  <c r="AP96" i="4"/>
  <c r="AP88" i="4"/>
  <c r="AP80" i="4"/>
  <c r="AP72" i="4"/>
  <c r="AP64" i="4"/>
  <c r="AP56" i="4"/>
  <c r="AP48" i="4"/>
  <c r="AP40" i="4"/>
  <c r="AP32" i="4"/>
  <c r="AP24" i="4"/>
  <c r="AP16" i="4"/>
  <c r="AP8" i="4"/>
  <c r="AP2" i="4"/>
  <c r="AB6" i="3" l="1"/>
  <c r="AB3" i="3"/>
  <c r="AB5" i="3"/>
  <c r="AB4" i="3"/>
  <c r="C21" i="4"/>
  <c r="C22" i="4"/>
  <c r="C23" i="4"/>
  <c r="C24" i="4"/>
  <c r="C25" i="4"/>
  <c r="AC495" i="3" a="1"/>
  <c r="AC927" i="3" a="1"/>
  <c r="AC955" i="3" a="1"/>
  <c r="AC658" i="3" a="1"/>
  <c r="AC662" i="3" a="1"/>
  <c r="AC111" i="3" a="1"/>
  <c r="AC415" i="3" a="1"/>
  <c r="AC765" i="3" a="1"/>
  <c r="AC756" i="3" a="1"/>
  <c r="AC982" i="3" a="1"/>
  <c r="AC564" i="3" a="1"/>
  <c r="AC597" i="3" a="1"/>
  <c r="AC463" i="3" a="1"/>
  <c r="AC187" i="3" a="1"/>
  <c r="AC602" i="3" a="1"/>
  <c r="AC642" i="3" a="1"/>
  <c r="AC202" i="3" a="1"/>
  <c r="AC554" i="3" a="1"/>
  <c r="AC861" i="3" a="1"/>
  <c r="AC139" i="3" a="1"/>
  <c r="AC725" i="3" a="1"/>
  <c r="AC278" i="3" a="1"/>
  <c r="AC968" i="3" a="1"/>
  <c r="AC203" i="3" a="1"/>
  <c r="AC359" i="3" a="1"/>
  <c r="AC862" i="3" a="1"/>
  <c r="AC321" i="3" a="1"/>
  <c r="AC685" i="3" a="1"/>
  <c r="AC825" i="3" a="1"/>
  <c r="AC530" i="3" a="1"/>
  <c r="AC74" i="3" a="1"/>
  <c r="AC301" i="3" a="1"/>
  <c r="AC241" i="3" a="1"/>
  <c r="AC906" i="3" a="1"/>
  <c r="AC304" i="3" a="1"/>
  <c r="AC537" i="3" a="1"/>
  <c r="AC918" i="3" a="1"/>
  <c r="AC149" i="3" a="1"/>
  <c r="AC9" i="3" a="1"/>
  <c r="AC734" i="3" a="1"/>
  <c r="AC945" i="3" a="1"/>
  <c r="AC369" i="3" a="1"/>
  <c r="AC178" i="3" a="1"/>
  <c r="AC812" i="3" a="1"/>
  <c r="AC785" i="3" a="1"/>
  <c r="AC480" i="3" a="1"/>
  <c r="AC699" i="3" a="1"/>
  <c r="AC830" i="3" a="1"/>
  <c r="AC657" i="3" a="1"/>
  <c r="AC97" i="3" a="1"/>
  <c r="AC649" i="3" a="1"/>
  <c r="AC387" i="3" a="1"/>
  <c r="AC110" i="3" a="1"/>
  <c r="AC952" i="3" a="1"/>
  <c r="AC276" i="3" a="1"/>
  <c r="AC562" i="3" a="1"/>
  <c r="AC514" i="3" a="1"/>
  <c r="AC296" i="3" a="1"/>
  <c r="AC911" i="3" a="1"/>
  <c r="AC517" i="3" a="1"/>
  <c r="AC87" i="3" a="1"/>
  <c r="AC897" i="3" a="1"/>
  <c r="AC153" i="3" a="1"/>
  <c r="AC518" i="3" a="1"/>
  <c r="AC494" i="3" a="1"/>
  <c r="AC363" i="3" a="1"/>
  <c r="AC511" i="3" a="1"/>
  <c r="AC960" i="3" a="1"/>
  <c r="AC614" i="3" a="1"/>
  <c r="AC985" i="3" a="1"/>
  <c r="AC305" i="3" a="1"/>
  <c r="AC525" i="3" a="1"/>
  <c r="AC189" i="3" a="1"/>
  <c r="AC11" i="3" a="1"/>
  <c r="AC922" i="3" a="1"/>
  <c r="AC703" i="3" a="1"/>
  <c r="AC790" i="3" a="1"/>
  <c r="AC965" i="3" a="1"/>
  <c r="AC995" i="3" a="1"/>
  <c r="AC250" i="3" a="1"/>
  <c r="AC609" i="3" a="1"/>
  <c r="AC253" i="3" a="1"/>
  <c r="AC450" i="3" a="1"/>
  <c r="AC77" i="3" a="1"/>
  <c r="AC742" i="3" a="1"/>
  <c r="AC721" i="3" a="1"/>
  <c r="AC264" i="3" a="1"/>
  <c r="AC787" i="3" a="1"/>
  <c r="AC96" i="3" a="1"/>
  <c r="AC408" i="3" a="1"/>
  <c r="AC23" i="3" a="1"/>
  <c r="AC584" i="3" a="1"/>
  <c r="AC137" i="3" a="1"/>
  <c r="AC291" i="3" a="1"/>
  <c r="AC924" i="3" a="1"/>
  <c r="AC430" i="3" a="1"/>
  <c r="AC123" i="3" a="1"/>
  <c r="AC645" i="3" a="1"/>
  <c r="AC352" i="3" a="1"/>
  <c r="AC736" i="3" a="1"/>
  <c r="AC280" i="3" a="1"/>
  <c r="AC174" i="3" a="1"/>
  <c r="AC57" i="3" a="1"/>
  <c r="AC70" i="3" a="1"/>
  <c r="AC42" i="3" a="1"/>
  <c r="AC610" i="3" a="1"/>
  <c r="AC95" i="3" a="1"/>
  <c r="AC424" i="3" a="1"/>
  <c r="AC519" i="3" a="1"/>
  <c r="AC702" i="3" a="1"/>
  <c r="AC200" i="3" a="1"/>
  <c r="AC527" i="3" a="1"/>
  <c r="AC694" i="3" a="1"/>
  <c r="AC228" i="3" a="1"/>
  <c r="AC144" i="3" a="1"/>
  <c r="AC90" i="3" a="1"/>
  <c r="AC844" i="3" a="1"/>
  <c r="AC727" i="3" a="1"/>
  <c r="AC864" i="3" a="1"/>
  <c r="AC127" i="3" a="1"/>
  <c r="AC421" i="3" a="1"/>
  <c r="AC192" i="3" a="1"/>
  <c r="AC204" i="3" a="1"/>
  <c r="AC171" i="3" a="1"/>
  <c r="AC311" i="3" a="1"/>
  <c r="AC883" i="3" a="1"/>
  <c r="AC835" i="3" a="1"/>
  <c r="AC289" i="3" a="1"/>
  <c r="AC625" i="3" a="1"/>
  <c r="AC773" i="3" a="1"/>
  <c r="AC743" i="3" a="1"/>
  <c r="AC367" i="3" a="1"/>
  <c r="AC795" i="3" a="1"/>
  <c r="AC868" i="3" a="1"/>
  <c r="AC629" i="3" a="1"/>
  <c r="AC664" i="3" a="1"/>
  <c r="AC81" i="3" a="1"/>
  <c r="AC733" i="3" a="1"/>
  <c r="AC21" i="3" a="1"/>
  <c r="AC4" i="3" a="1"/>
  <c r="AC384" i="3" a="1"/>
  <c r="AC83" i="3" a="1"/>
  <c r="AC274" i="3" a="1"/>
  <c r="AC147" i="3" a="1"/>
  <c r="AC471" i="3" a="1"/>
  <c r="AC410" i="3" a="1"/>
  <c r="AC648" i="3" a="1"/>
  <c r="AC969" i="3" a="1"/>
  <c r="AC907" i="3" a="1"/>
  <c r="AC667" i="3" a="1"/>
  <c r="AC56" i="3" a="1"/>
  <c r="AC778" i="3" a="1"/>
  <c r="AC561" i="3" a="1"/>
  <c r="AC317" i="3" a="1"/>
  <c r="AC162" i="3" a="1"/>
  <c r="AC899" i="3" a="1"/>
  <c r="AC865" i="3" a="1"/>
  <c r="AC522" i="3" a="1"/>
  <c r="AC993" i="3" a="1"/>
  <c r="AC234" i="3" a="1"/>
  <c r="AC131" i="3" a="1"/>
  <c r="AC59" i="3" a="1"/>
  <c r="AC125" i="3" a="1"/>
  <c r="AC759" i="3" a="1"/>
  <c r="AC552" i="3" a="1"/>
  <c r="AC43" i="3" a="1"/>
  <c r="AC98" i="3" a="1"/>
  <c r="AC409" i="3" a="1"/>
  <c r="AC498" i="3" a="1"/>
  <c r="AC114" i="3" a="1"/>
  <c r="AC36" i="3" a="1"/>
  <c r="AC819" i="3" a="1"/>
  <c r="AC580" i="3" a="1"/>
  <c r="AC121" i="3" a="1"/>
  <c r="AC501" i="3" a="1"/>
  <c r="AC593" i="3" a="1"/>
  <c r="AC329" i="3" a="1"/>
  <c r="AC18" i="3" a="1"/>
  <c r="AC863" i="3" a="1"/>
  <c r="AC616" i="3" a="1"/>
  <c r="AC184" i="3" a="1"/>
  <c r="AC745" i="3" a="1"/>
  <c r="AC273" i="3" a="1"/>
  <c r="AC866" i="3" a="1"/>
  <c r="AC344" i="3" a="1"/>
  <c r="AC39" i="3" a="1"/>
  <c r="AC441" i="3" a="1"/>
  <c r="AC283" i="3" a="1"/>
  <c r="AC539" i="3" a="1"/>
  <c r="AC939" i="3" a="1"/>
  <c r="AC300" i="3" a="1"/>
  <c r="AC746" i="3" a="1"/>
  <c r="AC643" i="3" a="1"/>
  <c r="AC13" i="3" a="1"/>
  <c r="AC807" i="3" a="1"/>
  <c r="AC101" i="3" a="1"/>
  <c r="AC673" i="3" a="1"/>
  <c r="AC180" i="3" a="1"/>
  <c r="AC752" i="3" a="1"/>
  <c r="AC452" i="3" a="1"/>
  <c r="AC346" i="3" a="1"/>
  <c r="AC644" i="3" a="1"/>
  <c r="AC831" i="3" a="1"/>
  <c r="AC820" i="3" a="1"/>
  <c r="AC134" i="3" a="1"/>
  <c r="AC428" i="3" a="1"/>
  <c r="AC279" i="3" a="1"/>
  <c r="AC80" i="3" a="1"/>
  <c r="AC213" i="3" a="1"/>
  <c r="AC933" i="3" a="1"/>
  <c r="AC546" i="3" a="1"/>
  <c r="AC659" i="3" a="1"/>
  <c r="AC798" i="3" a="1"/>
  <c r="AC361" i="3" a="1"/>
  <c r="AC549" i="3" a="1"/>
  <c r="AC138" i="3" a="1"/>
  <c r="AC601" i="3" a="1"/>
  <c r="AC407" i="3" a="1"/>
  <c r="AC343" i="3" a="1"/>
  <c r="AC462" i="3" a="1"/>
  <c r="AC486" i="3" a="1"/>
  <c r="AC46" i="3" a="1"/>
  <c r="AC231" i="3" a="1"/>
  <c r="AC224" i="3" a="1"/>
  <c r="AC446" i="3" a="1"/>
  <c r="AC183" i="3" a="1"/>
  <c r="AC340" i="3" a="1"/>
  <c r="AC829" i="3" a="1"/>
  <c r="AC620" i="3" a="1"/>
  <c r="AC961" i="3" a="1"/>
  <c r="AC303" i="3" a="1"/>
  <c r="AC7" i="3" a="1"/>
  <c r="AC716" i="3" a="1"/>
  <c r="AC880" i="3" a="1"/>
  <c r="AC48" i="3" a="1"/>
  <c r="AC934" i="3" a="1"/>
  <c r="AC281" i="3" a="1"/>
  <c r="AC267" i="3" a="1"/>
  <c r="AC579" i="3" a="1"/>
  <c r="AC774" i="3" a="1"/>
  <c r="AC55" i="3" a="1"/>
  <c r="AC5" i="3" a="1"/>
  <c r="AC938" i="3" a="1"/>
  <c r="AC156" i="3" a="1"/>
  <c r="AC963" i="3" a="1"/>
  <c r="AC135" i="3" a="1"/>
  <c r="AC884" i="3" a="1"/>
  <c r="AC483" i="3" a="1"/>
  <c r="AC707" i="3" a="1"/>
  <c r="AC20" i="3" a="1"/>
  <c r="AC832" i="3" a="1"/>
  <c r="AC445" i="3" a="1"/>
  <c r="AC816" i="3" a="1"/>
  <c r="AC889" i="3" a="1"/>
  <c r="AC811" i="3" a="1"/>
  <c r="AC910" i="3" a="1"/>
  <c r="AC94" i="3" a="1"/>
  <c r="AC316" i="3" a="1"/>
  <c r="AC859" i="3" a="1"/>
  <c r="AC748" i="3" a="1"/>
  <c r="AC19" i="3" a="1"/>
  <c r="AC318" i="3" a="1"/>
  <c r="AC37" i="3" a="1"/>
  <c r="AC640" i="3" a="1"/>
  <c r="AC309" i="3" a="1"/>
  <c r="AC249" i="3" a="1"/>
  <c r="AC683" i="3" a="1"/>
  <c r="AC770" i="3" a="1"/>
  <c r="AC190" i="3" a="1"/>
  <c r="AC612" i="3" a="1"/>
  <c r="AC31" i="3" a="1"/>
  <c r="AC929" i="3" a="1"/>
  <c r="AC567" i="3" a="1"/>
  <c r="AC850" i="3" a="1"/>
  <c r="AC822" i="3" a="1"/>
  <c r="AC167" i="3" a="1"/>
  <c r="AC28" i="3" a="1"/>
  <c r="AC589" i="3" a="1"/>
  <c r="AC308" i="3" a="1"/>
  <c r="AC2" i="3" a="1"/>
  <c r="AC235" i="3" a="1"/>
  <c r="AC949" i="3" a="1"/>
  <c r="AC633" i="3" a="1"/>
  <c r="AC547" i="3" a="1"/>
  <c r="AC998" i="3" a="1"/>
  <c r="AC794" i="3" a="1"/>
  <c r="AC199" i="3" a="1"/>
  <c r="AC64" i="3" a="1"/>
  <c r="AC193" i="3" a="1"/>
  <c r="AC977" i="3" a="1"/>
  <c r="AC294" i="3" a="1"/>
  <c r="AC460" i="3" a="1"/>
  <c r="AC714" i="3" a="1"/>
  <c r="AC976" i="3" a="1"/>
  <c r="AC800" i="3" a="1"/>
  <c r="AC594" i="3" a="1"/>
  <c r="AC326" i="3" a="1"/>
  <c r="AC256" i="3" a="1"/>
  <c r="AC227" i="3" a="1"/>
  <c r="AC173" i="3" a="1"/>
  <c r="AC104" i="3" a="1"/>
  <c r="AC706" i="3" a="1"/>
  <c r="AC290" i="3" a="1"/>
  <c r="AC106" i="3" a="1"/>
  <c r="AC654" i="3" a="1"/>
  <c r="AC332" i="3" a="1"/>
  <c r="AC630" i="3" a="1"/>
  <c r="AC370" i="3" a="1"/>
  <c r="AC451" i="3" a="1"/>
  <c r="AC236" i="3" a="1"/>
  <c r="AC16" i="3" a="1"/>
  <c r="AC263" i="3" a="1"/>
  <c r="AC265" i="3" a="1"/>
  <c r="AC315" i="3" a="1"/>
  <c r="AC86" i="3" a="1"/>
  <c r="AC420" i="3" a="1"/>
  <c r="AC695" i="3" a="1"/>
  <c r="AC403" i="3" a="1"/>
  <c r="AC772" i="3" a="1"/>
  <c r="AC782" i="3" a="1"/>
  <c r="AC40" i="3" a="1"/>
  <c r="AC569" i="3" a="1"/>
  <c r="AC698" i="3" a="1"/>
  <c r="AC688" i="3" a="1"/>
  <c r="AC335" i="3" a="1"/>
  <c r="AC801" i="3" a="1"/>
  <c r="AC697" i="3" a="1"/>
  <c r="AC169" i="3" a="1"/>
  <c r="AC908" i="3" a="1"/>
  <c r="AC870" i="3" a="1"/>
  <c r="AC923" i="3" a="1"/>
  <c r="AC372" i="3" a="1"/>
  <c r="AC701" i="3" a="1"/>
  <c r="AC732" i="3" a="1"/>
  <c r="AC979" i="3" a="1"/>
  <c r="AC314" i="3" a="1"/>
  <c r="AC66" i="3" a="1"/>
  <c r="AC461" i="3" a="1"/>
  <c r="AC531" i="3" a="1"/>
  <c r="AC266" i="3" a="1"/>
  <c r="AC347" i="3" a="1"/>
  <c r="AC613" i="3" a="1"/>
  <c r="AC175" i="3" a="1"/>
  <c r="AC788" i="3" a="1"/>
  <c r="AC827" i="3" a="1"/>
  <c r="AC901" i="3" a="1"/>
  <c r="AC49" i="3" a="1"/>
  <c r="AC414" i="3" a="1"/>
  <c r="AC132" i="3" a="1"/>
  <c r="AC845" i="3" a="1"/>
  <c r="AC735" i="3" a="1"/>
  <c r="AC22" i="3" a="1"/>
  <c r="AC651" i="3" a="1"/>
  <c r="AC986" i="3" a="1"/>
  <c r="AC299" i="3" a="1"/>
  <c r="AC796" i="3" a="1"/>
  <c r="AC275" i="3" a="1"/>
  <c r="AC128" i="3" a="1"/>
  <c r="AC233" i="3" a="1"/>
  <c r="AC6" i="3" a="1"/>
  <c r="AC211" i="3" a="1"/>
  <c r="AC944" i="3" a="1"/>
  <c r="AC25" i="3" a="1"/>
  <c r="AC997" i="3" a="1"/>
  <c r="AC656" i="3" a="1"/>
  <c r="AC793" i="3" a="1"/>
  <c r="AC686" i="3" a="1"/>
  <c r="AC437" i="3" a="1"/>
  <c r="AC852" i="3" a="1"/>
  <c r="AC970" i="3" a="1"/>
  <c r="AC635" i="3" a="1"/>
  <c r="AC186" i="3" a="1"/>
  <c r="AC992" i="3" a="1"/>
  <c r="AC904" i="3" a="1"/>
  <c r="AC34" i="3" a="1"/>
  <c r="AC115" i="3" a="1"/>
  <c r="AC521" i="3" a="1"/>
  <c r="AC88" i="3" a="1"/>
  <c r="AC914" i="3" a="1"/>
  <c r="AC568" i="3" a="1"/>
  <c r="AC841" i="3" a="1"/>
  <c r="AC206" i="3" a="1"/>
  <c r="AC679" i="3" a="1"/>
  <c r="AC382" i="3" a="1"/>
  <c r="AC358" i="3" a="1"/>
  <c r="AC243" i="3" a="1"/>
  <c r="AC390" i="3" a="1"/>
  <c r="AC754" i="3" a="1"/>
  <c r="AC404" i="3" a="1"/>
  <c r="AC269" i="3" a="1"/>
  <c r="AC482" i="3" a="1"/>
  <c r="AC158" i="3" a="1"/>
  <c r="AC711" i="3" a="1"/>
  <c r="AC355" i="3" a="1"/>
  <c r="AC268" i="3" a="1"/>
  <c r="AC507" i="3" a="1"/>
  <c r="AC821" i="3" a="1"/>
  <c r="AC313" i="3" a="1"/>
  <c r="AC947" i="3" a="1"/>
  <c r="AC660" i="3" a="1"/>
  <c r="AC753" i="3" a="1"/>
  <c r="AC386" i="3" a="1"/>
  <c r="AC84" i="3" a="1"/>
  <c r="AC632" i="3" a="1"/>
  <c r="AC481" i="3" a="1"/>
  <c r="AC671" i="3" a="1"/>
  <c r="AC398" i="3" a="1"/>
  <c r="AC903" i="3" a="1"/>
  <c r="AC608" i="3" a="1"/>
  <c r="AC565" i="3" a="1"/>
  <c r="AC650" i="3" a="1"/>
  <c r="AC237" i="3" a="1"/>
  <c r="AC129" i="3" a="1"/>
  <c r="AC29" i="3" a="1"/>
  <c r="AC851" i="3" a="1"/>
  <c r="AC681" i="3" a="1"/>
  <c r="AC984" i="3" a="1"/>
  <c r="AC458" i="3" a="1"/>
  <c r="AC349" i="3" a="1"/>
  <c r="AC17" i="3" a="1"/>
  <c r="AC509" i="3" a="1"/>
  <c r="AC840" i="3" a="1"/>
  <c r="AC385" i="3" a="1"/>
  <c r="AC423" i="3" a="1"/>
  <c r="AC444" i="3" a="1"/>
  <c r="AC585" i="3" a="1"/>
  <c r="AC102" i="3" a="1"/>
  <c r="AC566" i="3" a="1"/>
  <c r="AC440" i="3" a="1"/>
  <c r="AC238" i="3" a="1"/>
  <c r="AC621" i="3" a="1"/>
  <c r="AC292" i="3" a="1"/>
  <c r="AC833" i="3" a="1"/>
  <c r="AC470" i="3" a="1"/>
  <c r="AC920" i="3" a="1"/>
  <c r="AC718" i="3" a="1"/>
  <c r="AC485" i="3" a="1"/>
  <c r="AC670" i="3" a="1"/>
  <c r="AC244" i="3" a="1"/>
  <c r="AC896" i="3" a="1"/>
  <c r="AC394" i="3" a="1"/>
  <c r="AC229" i="3" a="1"/>
  <c r="AC208" i="3" a="1"/>
  <c r="AC655" i="3" a="1"/>
  <c r="AC195" i="3" a="1"/>
  <c r="AC856" i="3" a="1"/>
  <c r="AC563" i="3" a="1"/>
  <c r="AC887" i="3" a="1"/>
  <c r="AC378" i="3" a="1"/>
  <c r="AC719" i="3" a="1"/>
  <c r="AC842" i="3" a="1"/>
  <c r="AC577" i="3" a="1"/>
  <c r="AC1000" i="3" a="1"/>
  <c r="AC232" i="3" a="1"/>
  <c r="AC824" i="3" a="1"/>
  <c r="AC587" i="3" a="1"/>
  <c r="AC337" i="3" a="1"/>
  <c r="AC571" i="3" a="1"/>
  <c r="AC449" i="3" a="1"/>
  <c r="AC535" i="3" a="1"/>
  <c r="AC974" i="3" a="1"/>
  <c r="AC989" i="3" a="1"/>
  <c r="AC492" i="3" a="1"/>
  <c r="AC161" i="3" a="1"/>
  <c r="AC675" i="3" a="1"/>
  <c r="AC875" i="3" a="1"/>
  <c r="AC872" i="3" a="1"/>
  <c r="AC556" i="3" a="1"/>
  <c r="AC740" i="3" a="1"/>
  <c r="AC737" i="3" a="1"/>
  <c r="AC682" i="3" a="1"/>
  <c r="AC27" i="3" a="1"/>
  <c r="AC146" i="3" a="1"/>
  <c r="AC297" i="3" a="1"/>
  <c r="AC185" i="3" a="1"/>
  <c r="AC399" i="3" a="1"/>
  <c r="AC393" i="3" a="1"/>
  <c r="AC320" i="3" a="1"/>
  <c r="AC142" i="3" a="1"/>
  <c r="AC75" i="3" a="1"/>
  <c r="AC757" i="3" a="1"/>
  <c r="AC805" i="3" a="1"/>
  <c r="AC69" i="3" a="1"/>
  <c r="AC45" i="3" a="1"/>
  <c r="AC526" i="3" a="1"/>
  <c r="AC634" i="3" a="1"/>
  <c r="AC882" i="3" a="1"/>
  <c r="AC946" i="3" a="1"/>
  <c r="AC544" i="3" a="1"/>
  <c r="AC879" i="3" a="1"/>
  <c r="AC432" i="3" a="1"/>
  <c r="AC339" i="3" a="1"/>
  <c r="AC218" i="3" a="1"/>
  <c r="AC767" i="3" a="1"/>
  <c r="AC68" i="3" a="1"/>
  <c r="AC67" i="3" a="1"/>
  <c r="AC380" i="3" a="1"/>
  <c r="AC73" i="3" a="1"/>
  <c r="AC523" i="3" a="1"/>
  <c r="AC808" i="3" a="1"/>
  <c r="AC188" i="3" a="1"/>
  <c r="AC212" i="3" a="1"/>
  <c r="AC348" i="3" a="1"/>
  <c r="AC855" i="3" a="1"/>
  <c r="AC915" i="3" a="1"/>
  <c r="AC448" i="3" a="1"/>
  <c r="AC118" i="3" a="1"/>
  <c r="AC53" i="3" a="1"/>
  <c r="AC661" i="3" a="1"/>
  <c r="AC431" i="3" a="1"/>
  <c r="AC401" i="3" a="1"/>
  <c r="AC783" i="3" a="1"/>
  <c r="AC891" i="3" a="1"/>
  <c r="AC676" i="3" a="1"/>
  <c r="AC529" i="3" a="1"/>
  <c r="AC165" i="3" a="1"/>
  <c r="AC476" i="3" a="1"/>
  <c r="AC973" i="3" a="1"/>
  <c r="AC617" i="3" a="1"/>
  <c r="AC925" i="3" a="1"/>
  <c r="AC12" i="3" a="1"/>
  <c r="AC78" i="3" a="1"/>
  <c r="AC570" i="3" a="1"/>
  <c r="AC251" i="3" a="1"/>
  <c r="AC176" i="3" a="1"/>
  <c r="AC936" i="3" a="1"/>
  <c r="AC10" i="3" a="1"/>
  <c r="AC652" i="3" a="1"/>
  <c r="AC996" i="3" a="1"/>
  <c r="AC715" i="3" a="1"/>
  <c r="AC755" i="3" a="1"/>
  <c r="AC942" i="3" a="1"/>
  <c r="AC663" i="3" a="1"/>
  <c r="AC943" i="3" a="1"/>
  <c r="AC286" i="3" a="1"/>
  <c r="AC152" i="3" a="1"/>
  <c r="AC255" i="3" a="1"/>
  <c r="AC836" i="3" a="1"/>
  <c r="AC722" i="3" a="1"/>
  <c r="AC760" i="3" a="1"/>
  <c r="AC122" i="3" a="1"/>
  <c r="AC368" i="3" a="1"/>
  <c r="AC647" i="3" a="1"/>
  <c r="AC120" i="3" a="1"/>
  <c r="AC728" i="3" a="1"/>
  <c r="AC540" i="3" a="1"/>
  <c r="AC730" i="3" a="1"/>
  <c r="AC364" i="3" a="1"/>
  <c r="AC810" i="3" a="1"/>
  <c r="AC900" i="3" a="1"/>
  <c r="AC962" i="3" a="1"/>
  <c r="AC619" i="3" a="1"/>
  <c r="AC639" i="3" a="1"/>
  <c r="AC512" i="3" a="1"/>
  <c r="AC724" i="3" a="1"/>
  <c r="AC117" i="3" a="1"/>
  <c r="AC322" i="3" a="1"/>
  <c r="AC62" i="3" a="1"/>
  <c r="AC802" i="3" a="1"/>
  <c r="AC895" i="3" a="1"/>
  <c r="AC389" i="3" a="1"/>
  <c r="AC323" i="3" a="1"/>
  <c r="AC789" i="3" a="1"/>
  <c r="AC854" i="3" a="1"/>
  <c r="AC873" i="3" a="1"/>
  <c r="AC366" i="3" a="1"/>
  <c r="AC607" i="3" a="1"/>
  <c r="AC506" i="3" a="1"/>
  <c r="AC894" i="3" a="1"/>
  <c r="AC92" i="3" a="1"/>
  <c r="AC574" i="3" a="1"/>
  <c r="AC869" i="3" a="1"/>
  <c r="AC582" i="3" a="1"/>
  <c r="AC214" i="3" a="1"/>
  <c r="AC270" i="3" a="1"/>
  <c r="AC285" i="3" a="1"/>
  <c r="AC240" i="3" a="1"/>
  <c r="AC89" i="3" a="1"/>
  <c r="AC71" i="3" a="1"/>
  <c r="AC198" i="3" a="1"/>
  <c r="AC559" i="3" a="1"/>
  <c r="AC690" i="3" a="1"/>
  <c r="AC999" i="3" a="1"/>
  <c r="AC751" i="3" a="1"/>
  <c r="AC771" i="3" a="1"/>
  <c r="AC50" i="3" a="1"/>
  <c r="AC898" i="3" a="1"/>
  <c r="AC726" i="3" a="1"/>
  <c r="AC877" i="3" a="1"/>
  <c r="AC271" i="3" a="1"/>
  <c r="AC375" i="3" a="1"/>
  <c r="AC473" i="3" a="1"/>
  <c r="AC704" i="3" a="1"/>
  <c r="AC926" i="3" a="1"/>
  <c r="AC194" i="3" a="1"/>
  <c r="AC623" i="3" a="1"/>
  <c r="AC611" i="3" a="1"/>
  <c r="AC392" i="3" a="1"/>
  <c r="AC503" i="3" a="1"/>
  <c r="AC849" i="3" a="1"/>
  <c r="AC638" i="3" a="1"/>
  <c r="AC596" i="3" a="1"/>
  <c r="AC815" i="3" a="1"/>
  <c r="AC839" i="3" a="1"/>
  <c r="AC515" i="3" a="1"/>
  <c r="AC708" i="3" a="1"/>
  <c r="AC456" i="3" a="1"/>
  <c r="AC464" i="3" a="1"/>
  <c r="AC15" i="3" a="1"/>
  <c r="AC239" i="3" a="1"/>
  <c r="AC957" i="3" a="1"/>
  <c r="AC766" i="3" a="1"/>
  <c r="AC474" i="3" a="1"/>
  <c r="AC991" i="3" a="1"/>
  <c r="AC453" i="3" a="1"/>
  <c r="AC804" i="3" a="1"/>
  <c r="AC353" i="3" a="1"/>
  <c r="AC288" i="3" a="1"/>
  <c r="AC599" i="3" a="1"/>
  <c r="AC38" i="3" a="1"/>
  <c r="AC847" i="3" a="1"/>
  <c r="AC775" i="3" a="1"/>
  <c r="AC758" i="3" a="1"/>
  <c r="AC700" i="3" a="1"/>
  <c r="AC689" i="3" a="1"/>
  <c r="AC953" i="3" a="1"/>
  <c r="AC691" i="3" a="1"/>
  <c r="AC168" i="3" a="1"/>
  <c r="AC79" i="3" a="1"/>
  <c r="AC466" i="3" a="1"/>
  <c r="AC475" i="3" a="1"/>
  <c r="AC381" i="3" a="1"/>
  <c r="AC58" i="3" a="1"/>
  <c r="AC581" i="3" a="1"/>
  <c r="AC396" i="3" a="1"/>
  <c r="AC439" i="3" a="1"/>
  <c r="AC499" i="3" a="1"/>
  <c r="AC76" i="3" a="1"/>
  <c r="AC848" i="3" a="1"/>
  <c r="AC709" i="3" a="1"/>
  <c r="AC972" i="3" a="1"/>
  <c r="AC209" i="3" a="1"/>
  <c r="AC572" i="3" a="1"/>
  <c r="AC82" i="3" a="1"/>
  <c r="AC351" i="3" a="1"/>
  <c r="AC932" i="3" a="1"/>
  <c r="AC853" i="3" a="1"/>
  <c r="AC983" i="3" a="1"/>
  <c r="AC148" i="3" a="1"/>
  <c r="AC905" i="3" a="1"/>
  <c r="AC417" i="3" a="1"/>
  <c r="AC459" i="3" a="1"/>
  <c r="AC636" i="3" a="1"/>
  <c r="AC940" i="3" a="1"/>
  <c r="AC791" i="3" a="1"/>
  <c r="AC583" i="3" a="1"/>
  <c r="AC105" i="3" a="1"/>
  <c r="AC508" i="3" a="1"/>
  <c r="AC867" i="3" a="1"/>
  <c r="AC958" i="3" a="1"/>
  <c r="AC646" i="3" a="1"/>
  <c r="AC216" i="3" a="1"/>
  <c r="AC603" i="3" a="1"/>
  <c r="AC259" i="3" a="1"/>
  <c r="AC163" i="3" a="1"/>
  <c r="AC860" i="3" a="1"/>
  <c r="AC160" i="3" a="1"/>
  <c r="AC434" i="3" a="1"/>
  <c r="AC400" i="3" a="1"/>
  <c r="AC35" i="3" a="1"/>
  <c r="AC886" i="3" a="1"/>
  <c r="AC284" i="3" a="1"/>
  <c r="AC534" i="3" a="1"/>
  <c r="AC994" i="3" a="1"/>
  <c r="AC182" i="3" a="1"/>
  <c r="AC116" i="3" a="1"/>
  <c r="AC225" i="3" a="1"/>
  <c r="AC469" i="3" a="1"/>
  <c r="AC484" i="3" a="1"/>
  <c r="AC379" i="3" a="1"/>
  <c r="AC604" i="3" a="1"/>
  <c r="AC272" i="3" a="1"/>
  <c r="AC93" i="3" a="1"/>
  <c r="AC917" i="3" a="1"/>
  <c r="AC435" i="3" a="1"/>
  <c r="AC677" i="3" a="1"/>
  <c r="AC966" i="3" a="1"/>
  <c r="AC357" i="3" a="1"/>
  <c r="AC591" i="3" a="1"/>
  <c r="AC356" i="3" a="1"/>
  <c r="AC124" i="3" a="1"/>
  <c r="AC295" i="3" a="1"/>
  <c r="AC680" i="3" a="1"/>
  <c r="AC418" i="3" a="1"/>
  <c r="AC222" i="3" a="1"/>
  <c r="AC179" i="3" a="1"/>
  <c r="AC858" i="3" a="1"/>
  <c r="AC975" i="3" a="1"/>
  <c r="AC828" i="3" a="1"/>
  <c r="AC541" i="3" a="1"/>
  <c r="AC325" i="3" a="1"/>
  <c r="AC834" i="3" a="1"/>
  <c r="AC781" i="3" a="1"/>
  <c r="AC590" i="3" a="1"/>
  <c r="AC47" i="3" a="1"/>
  <c r="AC374" i="3" a="1"/>
  <c r="AC687" i="3" a="1"/>
  <c r="AC383" i="3" a="1"/>
  <c r="AC140" i="3" a="1"/>
  <c r="AC196" i="3" a="1"/>
  <c r="AC136" i="3" a="1"/>
  <c r="AC172" i="3" a="1"/>
  <c r="AC310" i="3" a="1"/>
  <c r="AC257" i="3" a="1"/>
  <c r="AC592" i="3" a="1"/>
  <c r="AC941" i="3" a="1"/>
  <c r="AC653" i="3" a="1"/>
  <c r="AC502" i="3" a="1"/>
  <c r="AC14" i="3" a="1"/>
  <c r="AC931" i="3" a="1"/>
  <c r="AC247" i="3" a="1"/>
  <c r="AC454" i="3" a="1"/>
  <c r="AC373" i="3" a="1"/>
  <c r="AC504" i="3" a="1"/>
  <c r="AC260" i="3" a="1"/>
  <c r="AC520" i="3" a="1"/>
  <c r="AC723" i="3" a="1"/>
  <c r="AC980" i="3" a="1"/>
  <c r="AC637" i="3" a="1"/>
  <c r="AC738" i="3" a="1"/>
  <c r="AC878" i="3" a="1"/>
  <c r="AC44" i="3" a="1"/>
  <c r="AC744" i="3" a="1"/>
  <c r="AC803" i="3" a="1"/>
  <c r="AC618" i="3" a="1"/>
  <c r="AC792" i="3" a="1"/>
  <c r="AC327" i="3" a="1"/>
  <c r="AC306" i="3" a="1"/>
  <c r="AC912" i="3" a="1"/>
  <c r="AC371" i="3" a="1"/>
  <c r="AC538" i="3" a="1"/>
  <c r="AC336" i="3" a="1"/>
  <c r="AC950" i="3" a="1"/>
  <c r="AC30" i="3" a="1"/>
  <c r="AC874" i="3" a="1"/>
  <c r="AC298" i="3" a="1"/>
  <c r="AC749" i="3" a="1"/>
  <c r="AC54" i="3" a="1"/>
  <c r="AC605" i="3" a="1"/>
  <c r="AC220" i="3" a="1"/>
  <c r="AC575" i="3" a="1"/>
  <c r="AC478" i="3" a="1"/>
  <c r="AC948" i="3" a="1"/>
  <c r="AC857" i="3" a="1"/>
  <c r="AC330" i="3" a="1"/>
  <c r="AC91" i="3" a="1"/>
  <c r="AC324" i="3" a="1"/>
  <c r="AC33" i="3" a="1"/>
  <c r="AC696" i="3" a="1"/>
  <c r="AC119" i="3" a="1"/>
  <c r="AC739" i="3" a="1"/>
  <c r="AC72" i="3" a="1"/>
  <c r="AC51" i="3" a="1"/>
  <c r="AC814" i="3" a="1"/>
  <c r="AC813" i="3" a="1"/>
  <c r="AC215" i="3" a="1"/>
  <c r="AC909" i="3" a="1"/>
  <c r="AC536" i="3" a="1"/>
  <c r="AC302" i="3" a="1"/>
  <c r="AC871" i="3" a="1"/>
  <c r="AC477" i="3" a="1"/>
  <c r="AC465" i="3" a="1"/>
  <c r="AC143" i="3" a="1"/>
  <c r="AC157" i="3" a="1"/>
  <c r="AC487" i="3" a="1"/>
  <c r="AC892" i="3" a="1"/>
  <c r="AC248" i="3" a="1"/>
  <c r="AC341" i="3" a="1"/>
  <c r="AC395" i="3" a="1"/>
  <c r="AC588" i="3" a="1"/>
  <c r="AC24" i="3" a="1"/>
  <c r="AC319" i="3" a="1"/>
  <c r="AC987" i="3" a="1"/>
  <c r="AC112" i="3" a="1"/>
  <c r="AC455" i="3" a="1"/>
  <c r="AC888" i="3" a="1"/>
  <c r="AC223" i="3" a="1"/>
  <c r="AC252" i="3" a="1"/>
  <c r="AC402" i="3" a="1"/>
  <c r="AC595" i="3" a="1"/>
  <c r="AC545" i="3" a="1"/>
  <c r="AC550" i="3" a="1"/>
  <c r="AC600" i="3" a="1"/>
  <c r="AC141" i="3" a="1"/>
  <c r="AC843" i="3" a="1"/>
  <c r="AC622" i="3" a="1"/>
  <c r="AC65" i="3" a="1"/>
  <c r="AC412" i="3" a="1"/>
  <c r="AC405" i="3" a="1"/>
  <c r="AC197" i="3" a="1"/>
  <c r="AC678" i="3" a="1"/>
  <c r="AC846" i="3" a="1"/>
  <c r="AC560" i="3" a="1"/>
  <c r="AC516" i="3" a="1"/>
  <c r="AC287" i="3" a="1"/>
  <c r="AC210" i="3" a="1"/>
  <c r="AC26" i="3" a="1"/>
  <c r="AC764" i="3" a="1"/>
  <c r="AC219" i="3" a="1"/>
  <c r="AC533" i="3" a="1"/>
  <c r="AC177" i="3" a="1"/>
  <c r="AC282" i="3" a="1"/>
  <c r="AC350" i="3" a="1"/>
  <c r="AC500" i="3" a="1"/>
  <c r="AC692" i="3" a="1"/>
  <c r="AC497" i="3" a="1"/>
  <c r="AC768" i="3" a="1"/>
  <c r="AC954" i="3" a="1"/>
  <c r="AC817" i="3" a="1"/>
  <c r="AC170" i="3" a="1"/>
  <c r="AC388" i="3" a="1"/>
  <c r="AC345" i="3" a="1"/>
  <c r="AC731" i="3" a="1"/>
  <c r="AC674" i="3" a="1"/>
  <c r="AC713" i="3" a="1"/>
  <c r="AC493" i="3" a="1"/>
  <c r="AC133" i="3" a="1"/>
  <c r="AC365" i="3" a="1"/>
  <c r="AC61" i="3" a="1"/>
  <c r="AC328" i="3" a="1"/>
  <c r="AC406" i="3" a="1"/>
  <c r="AC166" i="3" a="1"/>
  <c r="AC576" i="3" a="1"/>
  <c r="AC885" i="3" a="1"/>
  <c r="AC154" i="3" a="1"/>
  <c r="AC548" i="3" a="1"/>
  <c r="AC191" i="3" a="1"/>
  <c r="AC32" i="3" a="1"/>
  <c r="AC181" i="3" a="1"/>
  <c r="AC376" i="3" a="1"/>
  <c r="AC951" i="3" a="1"/>
  <c r="AC360" i="3" a="1"/>
  <c r="AC468" i="3" a="1"/>
  <c r="AC826" i="3" a="1"/>
  <c r="AC750" i="3" a="1"/>
  <c r="AC513" i="3" a="1"/>
  <c r="AC443" i="3" a="1"/>
  <c r="AC258" i="3" a="1"/>
  <c r="AC838" i="3" a="1"/>
  <c r="AC818" i="3" a="1"/>
  <c r="AC416" i="3" a="1"/>
  <c r="AC338" i="3" a="1"/>
  <c r="AC956" i="3" a="1"/>
  <c r="AC797" i="3" a="1"/>
  <c r="AC334" i="3" a="1"/>
  <c r="AC978" i="3" a="1"/>
  <c r="AC806" i="3" a="1"/>
  <c r="AC126" i="3" a="1"/>
  <c r="AC307" i="3" a="1"/>
  <c r="AC668" i="3" a="1"/>
  <c r="AC342" i="3" a="1"/>
  <c r="AC786" i="3" a="1"/>
  <c r="AC551" i="3" a="1"/>
  <c r="AC964" i="3" a="1"/>
  <c r="AC479" i="3" a="1"/>
  <c r="AC930" i="3" a="1"/>
  <c r="AC937" i="3" a="1"/>
  <c r="AC890" i="3" a="1"/>
  <c r="AC8" i="3" a="1"/>
  <c r="AC555" i="3" a="1"/>
  <c r="AC159" i="3" a="1"/>
  <c r="AC427" i="3" a="1"/>
  <c r="AC100" i="3" a="1"/>
  <c r="AC666" i="3" a="1"/>
  <c r="AC720" i="3" a="1"/>
  <c r="AC333" i="3" a="1"/>
  <c r="AC615" i="3" a="1"/>
  <c r="AC988" i="3" a="1"/>
  <c r="AC245" i="3" a="1"/>
  <c r="AC277" i="3" a="1"/>
  <c r="AC254" i="3" a="1"/>
  <c r="AC130" i="3" a="1"/>
  <c r="AC665" i="3" a="1"/>
  <c r="AC598" i="3" a="1"/>
  <c r="AC391" i="3" a="1"/>
  <c r="AC693" i="3" a="1"/>
  <c r="AC784" i="3" a="1"/>
  <c r="AC467" i="3" a="1"/>
  <c r="AC505" i="3" a="1"/>
  <c r="AC261" i="3" a="1"/>
  <c r="AC524" i="3" a="1"/>
  <c r="AC672" i="3" a="1"/>
  <c r="AC472" i="3" a="1"/>
  <c r="AC641" i="3" a="1"/>
  <c r="AC902" i="3" a="1"/>
  <c r="AC230" i="3" a="1"/>
  <c r="AC876" i="3" a="1"/>
  <c r="AC712" i="3" a="1"/>
  <c r="AC705" i="3" a="1"/>
  <c r="AC242" i="3" a="1"/>
  <c r="AC262" i="3" a="1"/>
  <c r="AC488" i="3" a="1"/>
  <c r="AC113" i="3" a="1"/>
  <c r="AC543" i="3" a="1"/>
  <c r="AC426" i="3" a="1"/>
  <c r="AC354" i="3" a="1"/>
  <c r="AC684" i="3" a="1"/>
  <c r="AC226" i="3" a="1"/>
  <c r="AC881" i="3" a="1"/>
  <c r="AC606" i="3" a="1"/>
  <c r="AC433" i="3" a="1"/>
  <c r="AC496" i="3" a="1"/>
  <c r="AC823" i="3" a="1"/>
  <c r="AC491" i="3" a="1"/>
  <c r="AC151" i="3" a="1"/>
  <c r="AC837" i="3" a="1"/>
  <c r="AC447" i="3" a="1"/>
  <c r="AC631" i="3" a="1"/>
  <c r="AC413" i="3" a="1"/>
  <c r="AC145" i="3" a="1"/>
  <c r="AC717" i="3" a="1"/>
  <c r="AC628" i="3" a="1"/>
  <c r="AC913" i="3" a="1"/>
  <c r="AC397" i="3" a="1"/>
  <c r="AC60" i="3" a="1"/>
  <c r="AC990" i="3" a="1"/>
  <c r="AC331" i="3" a="1"/>
  <c r="AC624" i="3" a="1"/>
  <c r="AC971" i="3" a="1"/>
  <c r="AC763" i="3" a="1"/>
  <c r="AC201" i="3" a="1"/>
  <c r="AC108" i="3" a="1"/>
  <c r="AC626" i="3" a="1"/>
  <c r="AC532" i="3" a="1"/>
  <c r="AC921" i="3" a="1"/>
  <c r="AC935" i="3" a="1"/>
  <c r="AC164" i="3" a="1"/>
  <c r="AC761" i="3" a="1"/>
  <c r="AC558" i="3" a="1"/>
  <c r="AC205" i="3" a="1"/>
  <c r="AC747" i="3" a="1"/>
  <c r="AC981" i="3" a="1"/>
  <c r="AC41" i="3" a="1"/>
  <c r="AC919" i="3" a="1"/>
  <c r="AC893" i="3" a="1"/>
  <c r="AC573" i="3" a="1"/>
  <c r="AC442" i="3" a="1"/>
  <c r="AC528" i="3" a="1"/>
  <c r="AC99" i="3" a="1"/>
  <c r="AC916" i="3" a="1"/>
  <c r="AC221" i="3" a="1"/>
  <c r="AC422" i="3" a="1"/>
  <c r="AC959" i="3" a="1"/>
  <c r="AC489" i="3" a="1"/>
  <c r="AC150" i="3" a="1"/>
  <c r="AC510" i="3" a="1"/>
  <c r="AC799" i="3" a="1"/>
  <c r="AC3" i="3" a="1"/>
  <c r="AC553" i="3" a="1"/>
  <c r="AC779" i="3" a="1"/>
  <c r="AC109" i="3" a="1"/>
  <c r="AC578" i="3" a="1"/>
  <c r="AC246" i="3" a="1"/>
  <c r="AC710" i="3" a="1"/>
  <c r="AC809" i="3" a="1"/>
  <c r="AC627" i="3" a="1"/>
  <c r="AC293" i="3" a="1"/>
  <c r="AC438" i="3" a="1"/>
  <c r="AC780" i="3" a="1"/>
  <c r="AC777" i="3" a="1"/>
  <c r="AC429" i="3" a="1"/>
  <c r="AC586" i="3" a="1"/>
  <c r="AC52" i="3" a="1"/>
  <c r="AC207" i="3" a="1"/>
  <c r="AC928" i="3" a="1"/>
  <c r="AC217" i="3" a="1"/>
  <c r="AC769" i="3" a="1"/>
  <c r="AC542" i="3" a="1"/>
  <c r="AC155" i="3" a="1"/>
  <c r="AC103" i="3" a="1"/>
  <c r="AC776" i="3" a="1"/>
  <c r="AC967" i="3" a="1"/>
  <c r="AC312" i="3" a="1"/>
  <c r="AC762" i="3" a="1"/>
  <c r="AC63" i="3" a="1"/>
  <c r="AC490" i="3" a="1"/>
  <c r="AC729" i="3" a="1"/>
  <c r="AC741" i="3" a="1"/>
  <c r="AC362" i="3" a="1"/>
  <c r="AC107" i="3" a="1"/>
  <c r="AC377" i="3" a="1"/>
  <c r="AC557" i="3" a="1"/>
  <c r="AC425" i="3" a="1"/>
  <c r="AC457" i="3" a="1"/>
  <c r="AC85" i="3" a="1"/>
  <c r="AC436" i="3" a="1"/>
  <c r="AC419" i="3" a="1"/>
  <c r="AC669" i="3" a="1"/>
  <c r="AC411" i="3" a="1"/>
  <c r="AC549" i="3" l="1"/>
  <c r="AC120" i="3"/>
  <c r="AC971" i="3"/>
  <c r="AC145" i="3"/>
  <c r="AC598" i="3"/>
  <c r="AC455" i="3"/>
  <c r="AC695" i="3"/>
  <c r="AC184" i="3"/>
  <c r="AC807" i="3"/>
  <c r="AC416" i="3"/>
  <c r="AC719" i="3"/>
  <c r="AC246" i="3"/>
  <c r="AC705" i="3"/>
  <c r="AC275" i="3"/>
  <c r="AC751" i="3"/>
  <c r="AC630" i="3"/>
  <c r="AC175" i="3"/>
  <c r="AC564" i="3"/>
  <c r="AC897" i="3"/>
  <c r="AC195" i="3"/>
  <c r="AC881" i="3"/>
  <c r="AC921" i="3"/>
  <c r="AC63" i="3"/>
  <c r="AC299" i="3"/>
  <c r="AC698" i="3"/>
  <c r="AC179" i="3"/>
  <c r="AC682" i="3"/>
  <c r="AC727" i="3"/>
  <c r="AC181" i="3"/>
  <c r="AC78" i="3"/>
  <c r="AC534" i="3"/>
  <c r="AC996" i="3"/>
  <c r="AC607" i="3"/>
  <c r="AC81" i="3"/>
  <c r="AC954" i="3"/>
  <c r="AC418" i="3"/>
  <c r="AC486" i="3"/>
  <c r="AC408" i="3"/>
  <c r="AC97" i="3"/>
  <c r="AC71" i="3"/>
  <c r="AC629" i="3"/>
  <c r="AC122" i="3"/>
  <c r="AC319" i="3"/>
  <c r="AC998" i="3"/>
  <c r="AC159" i="3"/>
  <c r="AC925" i="3"/>
  <c r="AC258" i="3"/>
  <c r="AC357" i="3"/>
  <c r="AC583" i="3"/>
  <c r="AC35" i="3"/>
  <c r="AC110" i="3"/>
  <c r="AC647" i="3"/>
  <c r="AC238" i="3"/>
  <c r="AC539" i="3"/>
  <c r="AC197" i="3"/>
  <c r="AC434" i="3"/>
  <c r="AC706" i="3"/>
  <c r="AC671" i="3"/>
  <c r="AC439" i="3"/>
  <c r="AC118" i="3"/>
  <c r="AC151" i="3"/>
  <c r="AC673" i="3"/>
  <c r="AC765" i="3"/>
  <c r="AC551" i="3"/>
  <c r="AC492" i="3"/>
  <c r="AC395" i="3"/>
  <c r="AC790" i="3"/>
  <c r="AC140" i="3"/>
  <c r="AC582" i="3"/>
  <c r="AC911" i="3"/>
  <c r="AC304" i="3"/>
  <c r="AC468" i="3"/>
  <c r="AC251" i="3"/>
  <c r="AC473" i="3"/>
  <c r="AC108" i="3"/>
  <c r="AC168" i="3"/>
  <c r="AC478" i="3"/>
  <c r="AC146" i="3"/>
  <c r="AC782" i="3"/>
  <c r="AC968" i="3"/>
  <c r="AC399" i="3"/>
  <c r="AC545" i="3"/>
  <c r="AC128" i="3"/>
  <c r="AC8" i="3"/>
  <c r="AC538" i="3"/>
  <c r="AC619" i="3"/>
  <c r="AC43" i="3"/>
  <c r="AC955" i="3"/>
  <c r="AC93" i="3"/>
  <c r="AC575" i="3"/>
  <c r="AC595" i="3"/>
  <c r="AC215" i="3"/>
  <c r="AC749" i="3"/>
  <c r="AC259" i="3"/>
  <c r="AC777" i="3"/>
  <c r="AC317" i="3"/>
  <c r="AC560" i="3"/>
  <c r="AC541" i="3"/>
  <c r="AC690" i="3"/>
  <c r="AC426" i="3"/>
  <c r="AC191" i="3"/>
  <c r="AC997" i="3"/>
  <c r="AC929" i="3"/>
  <c r="AC757" i="3"/>
  <c r="AC126" i="3"/>
  <c r="AC55" i="3"/>
  <c r="AC264" i="3"/>
  <c r="AC837" i="3"/>
  <c r="AC797" i="3"/>
  <c r="AC255" i="3"/>
  <c r="AC311" i="3"/>
  <c r="AC748" i="3"/>
  <c r="AC149" i="3"/>
  <c r="AC609" i="3"/>
  <c r="AC886" i="3"/>
  <c r="AC234" i="3"/>
  <c r="AC972" i="3"/>
  <c r="AC726" i="3"/>
  <c r="AC767" i="3"/>
  <c r="AC809" i="3"/>
  <c r="AC554" i="3"/>
  <c r="AC716" i="3"/>
  <c r="AC39" i="3"/>
  <c r="AC47" i="3"/>
  <c r="AC942" i="3"/>
  <c r="AC587" i="3"/>
  <c r="AC460" i="3"/>
  <c r="AC823" i="3"/>
  <c r="AC498" i="3"/>
  <c r="AC106" i="3"/>
  <c r="AC513" i="3"/>
  <c r="AC732" i="3"/>
  <c r="AC219" i="3"/>
  <c r="AC220" i="3"/>
  <c r="AC556" i="3"/>
  <c r="AC127" i="3"/>
  <c r="AC907" i="3"/>
  <c r="AC236" i="3"/>
  <c r="AC359" i="3"/>
  <c r="AC277" i="3"/>
  <c r="AC83" i="3"/>
  <c r="AC842" i="3"/>
  <c r="AC676" i="3"/>
  <c r="AC579" i="3"/>
  <c r="AC822" i="3"/>
  <c r="AC62" i="3"/>
  <c r="AC111" i="3"/>
  <c r="AC946" i="3"/>
  <c r="AC812" i="3"/>
  <c r="AC338" i="3"/>
  <c r="AC914" i="3"/>
  <c r="AC199" i="3"/>
  <c r="AC811" i="3"/>
  <c r="AC102" i="3"/>
  <c r="AC562" i="3"/>
  <c r="AC226" i="3"/>
  <c r="AC694" i="3"/>
  <c r="AC892" i="3"/>
  <c r="AC420" i="3"/>
  <c r="AC887" i="3"/>
  <c r="AC380" i="3"/>
  <c r="AC750" i="3"/>
  <c r="AC753" i="3"/>
  <c r="AC963" i="3"/>
  <c r="AC501" i="3"/>
  <c r="AC312" i="3"/>
  <c r="AC815" i="3"/>
  <c r="AC661" i="3"/>
  <c r="AC496" i="3"/>
  <c r="AC229" i="3"/>
  <c r="AC491" i="3"/>
  <c r="AC601" i="3"/>
  <c r="AC20" i="3"/>
  <c r="AC604" i="3"/>
  <c r="AC143" i="3"/>
  <c r="AC711" i="3"/>
  <c r="AC288" i="3"/>
  <c r="AC862" i="3"/>
  <c r="AC438" i="3"/>
  <c r="AC232" i="3"/>
  <c r="AC132" i="3"/>
  <c r="AC274" i="3"/>
  <c r="AC330" i="3"/>
  <c r="AC79" i="3"/>
  <c r="AC880" i="3"/>
  <c r="AC92" i="3"/>
  <c r="AC924" i="3"/>
  <c r="AC585" i="3"/>
  <c r="AC19" i="3"/>
  <c r="AC484" i="3"/>
  <c r="AC913" i="3"/>
  <c r="AC252" i="3"/>
  <c r="AC206" i="3"/>
  <c r="AC187" i="3"/>
  <c r="AC204" i="3"/>
  <c r="AC499" i="3"/>
  <c r="AC348" i="3"/>
  <c r="AC207" i="3"/>
  <c r="AC916" i="3"/>
  <c r="AC536" i="3"/>
  <c r="AC208" i="3"/>
  <c r="AC912" i="3"/>
  <c r="AC211" i="3"/>
  <c r="AC894" i="3"/>
  <c r="AC362" i="3"/>
  <c r="AC335" i="3"/>
  <c r="AC172" i="3"/>
  <c r="AC761" i="3"/>
  <c r="AC708" i="3"/>
  <c r="AC261" i="3"/>
  <c r="AC977" i="3"/>
  <c r="AC141" i="3"/>
  <c r="AC216" i="3"/>
  <c r="AC625" i="3"/>
  <c r="AC42" i="3"/>
  <c r="AC631" i="3"/>
  <c r="AC581" i="3"/>
  <c r="AC885" i="3"/>
  <c r="AC771" i="3"/>
  <c r="AC306" i="3"/>
  <c r="AC978" i="3"/>
  <c r="AC559" i="3"/>
  <c r="AC784" i="3"/>
  <c r="AC137" i="3"/>
  <c r="AC947" i="3"/>
  <c r="AC720" i="3"/>
  <c r="AC783" i="3"/>
  <c r="AC825" i="3"/>
  <c r="AC72" i="3"/>
  <c r="AC594" i="3"/>
  <c r="AC820" i="3"/>
  <c r="AC687" i="3"/>
  <c r="AC987" i="3"/>
  <c r="AC393" i="3"/>
  <c r="AC502" i="3"/>
  <c r="AC576" i="3"/>
  <c r="AC186" i="3"/>
  <c r="AC814" i="3"/>
  <c r="AC493" i="3"/>
  <c r="AC746" i="3"/>
  <c r="AC959" i="3"/>
  <c r="AC936" i="3"/>
  <c r="AC466" i="3"/>
  <c r="AC352" i="3"/>
  <c r="AC766" i="3"/>
  <c r="AC973" i="3"/>
  <c r="AC129" i="3"/>
  <c r="AC130" i="3"/>
  <c r="AC626" i="3"/>
  <c r="AC210" i="3"/>
  <c r="AC318" i="3"/>
  <c r="AC709" i="3"/>
  <c r="AC624" i="3"/>
  <c r="AC185" i="3"/>
  <c r="AC224" i="3"/>
  <c r="AC103" i="3"/>
  <c r="AC424" i="3"/>
  <c r="AC662" i="3"/>
  <c r="AC477" i="3"/>
  <c r="AC249" i="3"/>
  <c r="AC91" i="3"/>
  <c r="AC225" i="3"/>
  <c r="AC117" i="3"/>
  <c r="AC713" i="3"/>
  <c r="AC787" i="3"/>
  <c r="AC945" i="3"/>
  <c r="AC838" i="3"/>
  <c r="AC287" i="3"/>
  <c r="AC242" i="3"/>
  <c r="AC24" i="3"/>
  <c r="AC833" i="3"/>
  <c r="AC411" i="3"/>
  <c r="AC279" i="3"/>
  <c r="AC430" i="3"/>
  <c r="AC717" i="3"/>
  <c r="AC398" i="3"/>
  <c r="AC553" i="3"/>
  <c r="AC248" i="3"/>
  <c r="AC16" i="3"/>
  <c r="AC343" i="3"/>
  <c r="AC441" i="3"/>
  <c r="AC819" i="3"/>
  <c r="AC967" i="3"/>
  <c r="AC734" i="3"/>
  <c r="AC52" i="3"/>
  <c r="AC402" i="3"/>
  <c r="AC285" i="3"/>
  <c r="AC686" i="3"/>
  <c r="AC681" i="3"/>
  <c r="AC457" i="3"/>
  <c r="AC196" i="3"/>
  <c r="AC40" i="3"/>
  <c r="AC228" i="3"/>
  <c r="AC597" i="3"/>
  <c r="AC663" i="3"/>
  <c r="AC566" i="3"/>
  <c r="AC514" i="3"/>
  <c r="AC901" i="3"/>
  <c r="AC84" i="3"/>
  <c r="AC36" i="3"/>
  <c r="AC124" i="3"/>
  <c r="AC991" i="3"/>
  <c r="AC30" i="3"/>
  <c r="AC375" i="3"/>
  <c r="AC802" i="3"/>
  <c r="AC77" i="3"/>
  <c r="AC391" i="3"/>
  <c r="AC992" i="3"/>
  <c r="AC235" i="3"/>
  <c r="AC253" i="3"/>
  <c r="AC295" i="3"/>
  <c r="AC574" i="3"/>
  <c r="AC273" i="3"/>
  <c r="AC808" i="3"/>
  <c r="AC344" i="3"/>
  <c r="AC827" i="3"/>
  <c r="AC2" i="3"/>
  <c r="AC622" i="3"/>
  <c r="AC376" i="3"/>
  <c r="AC247" i="3"/>
  <c r="AC315" i="3"/>
  <c r="AC435" i="3"/>
  <c r="AC189" i="3"/>
  <c r="AC611" i="3"/>
  <c r="AC840" i="3"/>
  <c r="AC524" i="3"/>
  <c r="AC937" i="3"/>
  <c r="AC371" i="3"/>
  <c r="AC944" i="3"/>
  <c r="AC867" i="3"/>
  <c r="AC429" i="3"/>
  <c r="AC523" i="3"/>
  <c r="AC177" i="3"/>
  <c r="AC642" i="3"/>
  <c r="AC364" i="3"/>
  <c r="AC334" i="3"/>
  <c r="AC161" i="3"/>
  <c r="AC107" i="3"/>
  <c r="AC46" i="3"/>
  <c r="AC857" i="3"/>
  <c r="AC700" i="3"/>
  <c r="AC133" i="3"/>
  <c r="AC960" i="3"/>
  <c r="AC154" i="3"/>
  <c r="AC50" i="3"/>
  <c r="AC696" i="3"/>
  <c r="AC983" i="3"/>
  <c r="AC508" i="3"/>
  <c r="AC59" i="3"/>
  <c r="AC723" i="3"/>
  <c r="AC282" i="3"/>
  <c r="AC762" i="3"/>
  <c r="AC222" i="3"/>
  <c r="AC980" i="3"/>
  <c r="AC621" i="3"/>
  <c r="AC919" i="3"/>
  <c r="AC803" i="3"/>
  <c r="AC829" i="3"/>
  <c r="AC522" i="3"/>
  <c r="AC730" i="3"/>
  <c r="AC605" i="3"/>
  <c r="AC15" i="3"/>
  <c r="AC883" i="3"/>
  <c r="AC33" i="3"/>
  <c r="AC262" i="3"/>
  <c r="AC74" i="3"/>
  <c r="AC699" i="3"/>
  <c r="AC410" i="3"/>
  <c r="AC555" i="3"/>
  <c r="AC37" i="3"/>
  <c r="AC214" i="3"/>
  <c r="AC490" i="3"/>
  <c r="AC875" i="3"/>
  <c r="AC485" i="3"/>
  <c r="AC372" i="3"/>
  <c r="AC26" i="3"/>
  <c r="AC818" i="3"/>
  <c r="AC75" i="3"/>
  <c r="AC714" i="3"/>
  <c r="AC464" i="3"/>
  <c r="AC428" i="3"/>
  <c r="AC721" i="3"/>
  <c r="AC18" i="3"/>
  <c r="AC769" i="3"/>
  <c r="AC614" i="3"/>
  <c r="AC340" i="3"/>
  <c r="AC336" i="3"/>
  <c r="AC180" i="3"/>
  <c r="AC325" i="3"/>
  <c r="AC381" i="3"/>
  <c r="AC634" i="3"/>
  <c r="AC369" i="3"/>
  <c r="AC153" i="3"/>
  <c r="AC510" i="3"/>
  <c r="AC529" i="3"/>
  <c r="AC520" i="3"/>
  <c r="AC623" i="3"/>
  <c r="AC109" i="3"/>
  <c r="AC22" i="3"/>
  <c r="AC367" i="3"/>
  <c r="AC131" i="3"/>
  <c r="AC472" i="3"/>
  <c r="AC32" i="3"/>
  <c r="AC801" i="3"/>
  <c r="AC333" i="3"/>
  <c r="AC592" i="3"/>
  <c r="AC938" i="3"/>
  <c r="AC580" i="3"/>
  <c r="AC384" i="3"/>
  <c r="AC200" i="3"/>
  <c r="AC852" i="3"/>
  <c r="AC150" i="3"/>
  <c r="AC876" i="3"/>
  <c r="AC280" i="3"/>
  <c r="AC448" i="3"/>
  <c r="AC227" i="3"/>
  <c r="AC979" i="3"/>
  <c r="AC668" i="3"/>
  <c r="AC320" i="3"/>
  <c r="AC733" i="3"/>
  <c r="AC684" i="3"/>
  <c r="AC331" i="3"/>
  <c r="AC577" i="3"/>
  <c r="AC49" i="3"/>
  <c r="AC586" i="3"/>
  <c r="AC589" i="3"/>
  <c r="AC994" i="3"/>
  <c r="AC702" i="3"/>
  <c r="AC471" i="3"/>
  <c r="AC558" i="3"/>
  <c r="AC163" i="3"/>
  <c r="AC12" i="3"/>
  <c r="AC544" i="3"/>
  <c r="AC293" i="3"/>
  <c r="AC533" i="3"/>
  <c r="AC654" i="3"/>
  <c r="AC798" i="3"/>
  <c r="AC230" i="3"/>
  <c r="AC297" i="3"/>
  <c r="AC188" i="3"/>
  <c r="AC835" i="3"/>
  <c r="AC349" i="3"/>
  <c r="AC157" i="3"/>
  <c r="AC28" i="3"/>
  <c r="AC930" i="3"/>
  <c r="AC902" i="3"/>
  <c r="AC813" i="3"/>
  <c r="AC379" i="3"/>
  <c r="AC135" i="3"/>
  <c r="AC659" i="3"/>
  <c r="AC785" i="3"/>
  <c r="AC10" i="3"/>
  <c r="AC347" i="3"/>
  <c r="AC497" i="3"/>
  <c r="AC550" i="3"/>
  <c r="AC958" i="3"/>
  <c r="AC976" i="3"/>
  <c r="AC847" i="3"/>
  <c r="AC704" i="3"/>
  <c r="AC458" i="3"/>
  <c r="AC289" i="3"/>
  <c r="AC90" i="3"/>
  <c r="AC453" i="3"/>
  <c r="AC588" i="3"/>
  <c r="AC824" i="3"/>
  <c r="AC632" i="3"/>
  <c r="AC593" i="3"/>
  <c r="AC677" i="3"/>
  <c r="AC873" i="3"/>
  <c r="AC649" i="3"/>
  <c r="AC321" i="3"/>
  <c r="AC119" i="3"/>
  <c r="AC165" i="3"/>
  <c r="AC878" i="3"/>
  <c r="AC756" i="3"/>
  <c r="AC38" i="3"/>
  <c r="AC480" i="3"/>
  <c r="AC770" i="3"/>
  <c r="AC772" i="3"/>
  <c r="AC602" i="3"/>
  <c r="AC728" i="3"/>
  <c r="AC718" i="3"/>
  <c r="AC845" i="3"/>
  <c r="AC342" i="3"/>
  <c r="AC940" i="3"/>
  <c r="AC669" i="3"/>
  <c r="AC123" i="3"/>
  <c r="AC239" i="3"/>
  <c r="AC182" i="3"/>
  <c r="AC675" i="3"/>
  <c r="AC995" i="3"/>
  <c r="AC738" i="3"/>
  <c r="AC648" i="3"/>
  <c r="AC365" i="3"/>
  <c r="AC578" i="3"/>
  <c r="AC742" i="3"/>
  <c r="AC843" i="3"/>
  <c r="AC265" i="3"/>
  <c r="AC855" i="3"/>
  <c r="AC725" i="3"/>
  <c r="AC974" i="3"/>
  <c r="AC796" i="3"/>
  <c r="AC640" i="3"/>
  <c r="AC900" i="3"/>
  <c r="AC487" i="3"/>
  <c r="AC975" i="3"/>
  <c r="AC467" i="3"/>
  <c r="AC152" i="3"/>
  <c r="AC314" i="3"/>
  <c r="AC633" i="3"/>
  <c r="AC844" i="3"/>
  <c r="AC641" i="3"/>
  <c r="AC530" i="3"/>
  <c r="AC139" i="3"/>
  <c r="AC603" i="3"/>
  <c r="AC778" i="3"/>
  <c r="AC848" i="3"/>
  <c r="AC198" i="3"/>
  <c r="AC481" i="3"/>
  <c r="AC799" i="3"/>
  <c r="AC982" i="3"/>
  <c r="AC100" i="3"/>
  <c r="AC454" i="3"/>
  <c r="AC858" i="3"/>
  <c r="AC509" i="3"/>
  <c r="AC608" i="3"/>
  <c r="AC547" i="3"/>
  <c r="AC85" i="3"/>
  <c r="AC736" i="3"/>
  <c r="AC922" i="3"/>
  <c r="AC51" i="3"/>
  <c r="AC316" i="3"/>
  <c r="AC678" i="3"/>
  <c r="AC400" i="3"/>
  <c r="AC166" i="3"/>
  <c r="AC527" i="3"/>
  <c r="AC250" i="3"/>
  <c r="AC985" i="3"/>
  <c r="AC606" i="3"/>
  <c r="AC427" i="3"/>
  <c r="AC504" i="3"/>
  <c r="AC7" i="3"/>
  <c r="AC444" i="3"/>
  <c r="AC303" i="3"/>
  <c r="AC683" i="3"/>
  <c r="AC192" i="3"/>
  <c r="AC474" i="3"/>
  <c r="AC419" i="3"/>
  <c r="AC537" i="3"/>
  <c r="AC826" i="3"/>
  <c r="AC635" i="3"/>
  <c r="AC308" i="3"/>
  <c r="AC505" i="3"/>
  <c r="AC933" i="3"/>
  <c r="AC205" i="3"/>
  <c r="AC354" i="3"/>
  <c r="AC768" i="3"/>
  <c r="AC291" i="3"/>
  <c r="AC691" i="3"/>
  <c r="AC896" i="3"/>
  <c r="AC903" i="3"/>
  <c r="AC69" i="3"/>
  <c r="AC660" i="3"/>
  <c r="AC281" i="3"/>
  <c r="AC98" i="3"/>
  <c r="AC658" i="3"/>
  <c r="AC194" i="3"/>
  <c r="AC17" i="3"/>
  <c r="AC11" i="3"/>
  <c r="AC461" i="3"/>
  <c r="AC446" i="3"/>
  <c r="AC213" i="3"/>
  <c r="AC345" i="3"/>
  <c r="AC423" i="3"/>
  <c r="AC327" i="3"/>
  <c r="AC58" i="3"/>
  <c r="AC866" i="3"/>
  <c r="AC266" i="3"/>
  <c r="AC779" i="3"/>
  <c r="AC856" i="3"/>
  <c r="AC567" i="3"/>
  <c r="AC445" i="3"/>
  <c r="AC948" i="3"/>
  <c r="AC775" i="3"/>
  <c r="AC183" i="3"/>
  <c r="AC323" i="3"/>
  <c r="AC470" i="3"/>
  <c r="AC66" i="3"/>
  <c r="AC217" i="3"/>
  <c r="AC324" i="3"/>
  <c r="AC872" i="3"/>
  <c r="AC54" i="3"/>
  <c r="AC904" i="3"/>
  <c r="AC737" i="3"/>
  <c r="AC144" i="3"/>
  <c r="AC27" i="3"/>
  <c r="AC68" i="3"/>
  <c r="AC627" i="3"/>
  <c r="AC981" i="3"/>
  <c r="AC44" i="3"/>
  <c r="AC920" i="3"/>
  <c r="AC417" i="3"/>
  <c r="AC494" i="3"/>
  <c r="AC389" i="3"/>
  <c r="AC800" i="3"/>
  <c r="AC394" i="3"/>
  <c r="AC590" i="3"/>
  <c r="AC763" i="3"/>
  <c r="AC392" i="3"/>
  <c r="AC56" i="3"/>
  <c r="AC949" i="3"/>
  <c r="AC888" i="3"/>
  <c r="AC353" i="3"/>
  <c r="AC421" i="3"/>
  <c r="AC488" i="3"/>
  <c r="AC243" i="3"/>
  <c r="AC269" i="3"/>
  <c r="AC571" i="3"/>
  <c r="AC483" i="3"/>
  <c r="AC905" i="3"/>
  <c r="AC329" i="3"/>
  <c r="AC953" i="3"/>
  <c r="AC245" i="3"/>
  <c r="AC712" i="3"/>
  <c r="AC142" i="3"/>
  <c r="AC961" i="3"/>
  <c r="AC385" i="3"/>
  <c r="AC935" i="3"/>
  <c r="AC568" i="3"/>
  <c r="AC64" i="3"/>
  <c r="AC101" i="3"/>
  <c r="AC828" i="3"/>
  <c r="AC257" i="3"/>
  <c r="AC268" i="3"/>
  <c r="AC874" i="3"/>
  <c r="AC337" i="3"/>
  <c r="AC542" i="3"/>
  <c r="AC34" i="3"/>
  <c r="AC377" i="3"/>
  <c r="AC817" i="3"/>
  <c r="AC893" i="3"/>
  <c r="AC193" i="3"/>
  <c r="AC689" i="3"/>
  <c r="AC23" i="3"/>
  <c r="AC839" i="3"/>
  <c r="AC431" i="3"/>
  <c r="AC688" i="3"/>
  <c r="AC666" i="3"/>
  <c r="AC60" i="3"/>
  <c r="AC412" i="3"/>
  <c r="AC13" i="3"/>
  <c r="AC76" i="3"/>
  <c r="AC879" i="3"/>
  <c r="AC368" i="3"/>
  <c r="AC138" i="3"/>
  <c r="AC952" i="3"/>
  <c r="AC113" i="3"/>
  <c r="AC970" i="3"/>
  <c r="AC618" i="3"/>
  <c r="AC939" i="3"/>
  <c r="AC403" i="3"/>
  <c r="AC404" i="3"/>
  <c r="AC664" i="3"/>
  <c r="AC731" i="3"/>
  <c r="AC87" i="3"/>
  <c r="AC241" i="3"/>
  <c r="AC397" i="3"/>
  <c r="AC65" i="3"/>
  <c r="AC865" i="3"/>
  <c r="AC792" i="3"/>
  <c r="AC788" i="3"/>
  <c r="AC406" i="3"/>
  <c r="AC752" i="3"/>
  <c r="AC298" i="3"/>
  <c r="AC390" i="3"/>
  <c r="AC155" i="3"/>
  <c r="AC221" i="3"/>
  <c r="AC302" i="3"/>
  <c r="AC290" i="3"/>
  <c r="AC546" i="3"/>
  <c r="AC500" i="3"/>
  <c r="AC759" i="3"/>
  <c r="AC965" i="3"/>
  <c r="AC301" i="3"/>
  <c r="AC41" i="3"/>
  <c r="AC643" i="3"/>
  <c r="AC506" i="3"/>
  <c r="AC233" i="3"/>
  <c r="AC697" i="3"/>
  <c r="AC854" i="3"/>
  <c r="AC834" i="3"/>
  <c r="AC637" i="3"/>
  <c r="AC610" i="3"/>
  <c r="AC413" i="3"/>
  <c r="AC176" i="3"/>
  <c r="AC531" i="3"/>
  <c r="AC657" i="3"/>
  <c r="AC612" i="3"/>
  <c r="AC569" i="3"/>
  <c r="AC125" i="3"/>
  <c r="AC758" i="3"/>
  <c r="AC503" i="3"/>
  <c r="AC105" i="3"/>
  <c r="AC999" i="3"/>
  <c r="AC21" i="3"/>
  <c r="AC94" i="3"/>
  <c r="AC615" i="3"/>
  <c r="AC656" i="3"/>
  <c r="AC134" i="3"/>
  <c r="AC383" i="3"/>
  <c r="AC917" i="3"/>
  <c r="AC789" i="3"/>
  <c r="AC616" i="3"/>
  <c r="AC339" i="3"/>
  <c r="AC350" i="3"/>
  <c r="AC190" i="3"/>
  <c r="AC387" i="3"/>
  <c r="AC653" i="3"/>
  <c r="AC382" i="3"/>
  <c r="AC284" i="3"/>
  <c r="AC332" i="3"/>
  <c r="AC401" i="3"/>
  <c r="AC305" i="3"/>
  <c r="AC877" i="3"/>
  <c r="AC29" i="3"/>
  <c r="AC665" i="3"/>
  <c r="AC307" i="3"/>
  <c r="AC459" i="3"/>
  <c r="AC986" i="3"/>
  <c r="AC804" i="3"/>
  <c r="AC830" i="3"/>
  <c r="AC432" i="3"/>
  <c r="AC743" i="3"/>
  <c r="AC836" i="3"/>
  <c r="AC507" i="3"/>
  <c r="AC443" i="3"/>
  <c r="AC652" i="3"/>
  <c r="AC244" i="3"/>
  <c r="AC361" i="3"/>
  <c r="AC931" i="3"/>
  <c r="AC322" i="3"/>
  <c r="AC557" i="3"/>
  <c r="AC861" i="3"/>
  <c r="AC449" i="3"/>
  <c r="AC89" i="3"/>
  <c r="AC521" i="3"/>
  <c r="AC863" i="3"/>
  <c r="AC148" i="3"/>
  <c r="AC795" i="3"/>
  <c r="AC313" i="3"/>
  <c r="AC516" i="3"/>
  <c r="AC415" i="3"/>
  <c r="AC966" i="3"/>
  <c r="AC926" i="3"/>
  <c r="AC613" i="3"/>
  <c r="AC956" i="3"/>
  <c r="AC263" i="3"/>
  <c r="AC462" i="3"/>
  <c r="AC667" i="3"/>
  <c r="AC707" i="3"/>
  <c r="AC160" i="3"/>
  <c r="AC638" i="3"/>
  <c r="AC868" i="3"/>
  <c r="AC115" i="3"/>
  <c r="AC476" i="3"/>
  <c r="AC201" i="3"/>
  <c r="AC9" i="3"/>
  <c r="AC932" i="3"/>
  <c r="AC786" i="3"/>
  <c r="AC990" i="3"/>
  <c r="AC366" i="3"/>
  <c r="AC518" i="3"/>
  <c r="AC943" i="3"/>
  <c r="AC440" i="3"/>
  <c r="AC910" i="3"/>
  <c r="AC405" i="3"/>
  <c r="AC360" i="3"/>
  <c r="AC810" i="3"/>
  <c r="AC651" i="3"/>
  <c r="AC849" i="3"/>
  <c r="AC735" i="3"/>
  <c r="AC781" i="3"/>
  <c r="AC114" i="3"/>
  <c r="AC780" i="3"/>
  <c r="AC278" i="3"/>
  <c r="AC636" i="3"/>
  <c r="AC791" i="3"/>
  <c r="AC147" i="3"/>
  <c r="AC680" i="3"/>
  <c r="AC869" i="3"/>
  <c r="AC703" i="3"/>
  <c r="AC906" i="3"/>
  <c r="AC927" i="3"/>
  <c r="AC528" i="3"/>
  <c r="AC240" i="3"/>
  <c r="AC209" i="3"/>
  <c r="AC923" i="3"/>
  <c r="AC573" i="3"/>
  <c r="AC167" i="3"/>
  <c r="AC171" i="3"/>
  <c r="AC561" i="3"/>
  <c r="AC61" i="3"/>
  <c r="AC989" i="3"/>
  <c r="AC928" i="3"/>
  <c r="AC890" i="3"/>
  <c r="AC310" i="3"/>
  <c r="AC48" i="3"/>
  <c r="AC552" i="3"/>
  <c r="AC962" i="3"/>
  <c r="AC57" i="3"/>
  <c r="AC104" i="3"/>
  <c r="AC442" i="3"/>
  <c r="AC378" i="3"/>
  <c r="AC388" i="3"/>
  <c r="AC73" i="3"/>
  <c r="AC294" i="3"/>
  <c r="AC859" i="3"/>
  <c r="AC760" i="3"/>
  <c r="AC540" i="3"/>
  <c r="AC773" i="3"/>
  <c r="AC741" i="3"/>
  <c r="AC548" i="3"/>
  <c r="AC655" i="3"/>
  <c r="AC31" i="3"/>
  <c r="AC710" i="3"/>
  <c r="AC644" i="3"/>
  <c r="AC860" i="3"/>
  <c r="AC174" i="3"/>
  <c r="AC173" i="3"/>
  <c r="AC988" i="3"/>
  <c r="AC599" i="3"/>
  <c r="AC891" i="3"/>
  <c r="AC328" i="3"/>
  <c r="AC482" i="3"/>
  <c r="AC846" i="3"/>
  <c r="AC326" i="3"/>
  <c r="AC993" i="3"/>
  <c r="AC821" i="3"/>
  <c r="AC158" i="3"/>
  <c r="AC218" i="3"/>
  <c r="AC864" i="3"/>
  <c r="AC650" i="3"/>
  <c r="AC951" i="3"/>
  <c r="AC346" i="3"/>
  <c r="AC526" i="3"/>
  <c r="AC203" i="3"/>
  <c r="AC679" i="3"/>
  <c r="AC475" i="3"/>
  <c r="AC267" i="3"/>
  <c r="AC373" i="3"/>
  <c r="AC918" i="3"/>
  <c r="AC617" i="3"/>
  <c r="AC701" i="3"/>
  <c r="AC764" i="3"/>
  <c r="AC112" i="3"/>
  <c r="AC754" i="3"/>
  <c r="AC794" i="3"/>
  <c r="AC512" i="3"/>
  <c r="AC570" i="3"/>
  <c r="AC565" i="3"/>
  <c r="AC363" i="3"/>
  <c r="AC170" i="3"/>
  <c r="AC456" i="3"/>
  <c r="AC465" i="3"/>
  <c r="AC563" i="3"/>
  <c r="AC776" i="3"/>
  <c r="AC409" i="3"/>
  <c r="AC469" i="3"/>
  <c r="AC882" i="3"/>
  <c r="AC178" i="3"/>
  <c r="AC532" i="3"/>
  <c r="AC88" i="3"/>
  <c r="AC53" i="3"/>
  <c r="AC451" i="3"/>
  <c r="AC495" i="3"/>
  <c r="AC639" i="3"/>
  <c r="AC745" i="3"/>
  <c r="AC511" i="3"/>
  <c r="AC572" i="3"/>
  <c r="AC628" i="3"/>
  <c r="AC396" i="3"/>
  <c r="AC286" i="3"/>
  <c r="AC850" i="3"/>
  <c r="AC341" i="3"/>
  <c r="AC156" i="3"/>
  <c r="AC121" i="3"/>
  <c r="AC96" i="3"/>
  <c r="AC596" i="3"/>
  <c r="AC740" i="3"/>
  <c r="AC755" i="3"/>
  <c r="AC272" i="3"/>
  <c r="AC370" i="3"/>
  <c r="AC256" i="3"/>
  <c r="AC276" i="3"/>
  <c r="AC489" i="3"/>
  <c r="AC136" i="3"/>
  <c r="AC223" i="3"/>
  <c r="AC535" i="3"/>
  <c r="AC67" i="3"/>
  <c r="AC463" i="3"/>
  <c r="AC1000" i="3"/>
  <c r="AC414" i="3"/>
  <c r="AC283" i="3"/>
  <c r="AC260" i="3"/>
  <c r="AC909" i="3"/>
  <c r="AC356" i="3"/>
  <c r="AC806" i="3"/>
  <c r="AC715" i="3"/>
  <c r="AC851" i="3"/>
  <c r="AC452" i="3"/>
  <c r="AC519" i="3"/>
  <c r="AC693" i="3"/>
  <c r="AC164" i="3"/>
  <c r="AC871" i="3"/>
  <c r="AC722" i="3"/>
  <c r="AC450" i="3"/>
  <c r="AC355" i="3"/>
  <c r="AC212" i="3"/>
  <c r="AC296" i="3"/>
  <c r="AC99" i="3"/>
  <c r="AC447" i="3"/>
  <c r="AC479" i="3"/>
  <c r="AC202" i="3"/>
  <c r="AC591" i="3"/>
  <c r="AC884" i="3"/>
  <c r="AC674" i="3"/>
  <c r="AC80" i="3"/>
  <c r="AC425" i="3"/>
  <c r="AC584" i="3"/>
  <c r="AC934" i="3"/>
  <c r="AC841" i="3"/>
  <c r="AC672" i="3"/>
  <c r="AC600" i="3"/>
  <c r="AC646" i="3"/>
  <c r="AC805" i="3"/>
  <c r="AC70" i="3"/>
  <c r="AC374" i="3"/>
  <c r="AC543" i="3"/>
  <c r="AC969" i="3"/>
  <c r="AC964" i="3"/>
  <c r="AC915" i="3"/>
  <c r="AC816" i="3"/>
  <c r="AC984" i="3"/>
  <c r="AC231" i="3"/>
  <c r="AC300" i="3"/>
  <c r="AC747" i="3"/>
  <c r="AC515" i="3"/>
  <c r="AC433" i="3"/>
  <c r="AC685" i="3"/>
  <c r="AC739" i="3"/>
  <c r="AC25" i="3"/>
  <c r="AC831" i="3"/>
  <c r="AC254" i="3"/>
  <c r="AC899" i="3"/>
  <c r="AC889" i="3"/>
  <c r="AC729" i="3"/>
  <c r="AC744" i="3"/>
  <c r="AC853" i="3"/>
  <c r="AC895" i="3"/>
  <c r="AC292" i="3"/>
  <c r="AC517" i="3"/>
  <c r="AC692" i="3"/>
  <c r="AC832" i="3"/>
  <c r="AC620" i="3"/>
  <c r="AC645" i="3"/>
  <c r="AC957" i="3"/>
  <c r="AC898" i="3"/>
  <c r="AC237" i="3"/>
  <c r="AC525" i="3"/>
  <c r="AC870" i="3"/>
  <c r="AC351" i="3"/>
  <c r="AC162" i="3"/>
  <c r="AC116" i="3"/>
  <c r="AC169" i="3"/>
  <c r="AC86" i="3"/>
  <c r="AC270" i="3"/>
  <c r="AC386" i="3"/>
  <c r="AC941" i="3"/>
  <c r="AC422" i="3"/>
  <c r="AC670" i="3"/>
  <c r="AC309" i="3"/>
  <c r="AC82" i="3"/>
  <c r="AC14" i="3"/>
  <c r="AC724" i="3"/>
  <c r="AC407" i="3"/>
  <c r="AC45" i="3"/>
  <c r="AC436" i="3"/>
  <c r="AC908" i="3"/>
  <c r="AC774" i="3"/>
  <c r="AC437" i="3"/>
  <c r="AC358" i="3"/>
  <c r="AC950" i="3"/>
  <c r="AC793" i="3"/>
  <c r="AC271" i="3"/>
  <c r="AC95" i="3"/>
  <c r="AC6" i="3"/>
  <c r="AC4" i="3"/>
  <c r="AC5" i="3"/>
  <c r="AC3" i="3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M2" i="3" l="1"/>
  <c r="E2" i="3"/>
  <c r="H2" i="3" s="1"/>
  <c r="F2" i="3"/>
  <c r="G2" i="3"/>
  <c r="P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<sst xmlns="http://schemas.openxmlformats.org/spreadsheetml/2006/main" count="8218" uniqueCount="788">
  <si>
    <t>BLOCO</t>
  </si>
  <si>
    <t>ORIENTACAO</t>
  </si>
  <si>
    <t>UO_COD</t>
  </si>
  <si>
    <t>ACAO_COD</t>
  </si>
  <si>
    <t>FUNCAO_COD</t>
  </si>
  <si>
    <t>SUBFUNCAO_COD</t>
  </si>
  <si>
    <t>PROGRAMA_COD</t>
  </si>
  <si>
    <t>SUBPROJETO_COD</t>
  </si>
  <si>
    <t>CATEGORIA_COD</t>
  </si>
  <si>
    <t>GRUPO_COD</t>
  </si>
  <si>
    <t>MODALIDADE_COD</t>
  </si>
  <si>
    <t>ELEMENTO_COD</t>
  </si>
  <si>
    <t>IPG_COD</t>
  </si>
  <si>
    <t>FONTE_COD</t>
  </si>
  <si>
    <t>IPU_COD</t>
  </si>
  <si>
    <t>SIAFI_COMPLETO</t>
  </si>
  <si>
    <t>VALOR</t>
  </si>
  <si>
    <t>UO_SUPLEMENTADA</t>
  </si>
  <si>
    <t>Ponto Focal</t>
  </si>
  <si>
    <t>TIPO</t>
  </si>
  <si>
    <t>PROGRESSO</t>
  </si>
  <si>
    <t>SIAFI</t>
  </si>
  <si>
    <t>SIGLA</t>
  </si>
  <si>
    <t>CONCAT</t>
  </si>
  <si>
    <t>OC</t>
  </si>
  <si>
    <t>AUTORIZAÇÃO</t>
  </si>
  <si>
    <t>APLICAÇÃO</t>
  </si>
  <si>
    <t>VALOR INCISO</t>
  </si>
  <si>
    <t>VALOR EXTENSO</t>
  </si>
  <si>
    <t>Inciso</t>
  </si>
  <si>
    <t>Nome da Fonte</t>
  </si>
  <si>
    <t>RECURSO PROPRIO</t>
  </si>
  <si>
    <t>FONTE</t>
  </si>
  <si>
    <t>IPU</t>
  </si>
  <si>
    <t>GRUPO</t>
  </si>
  <si>
    <t>EI</t>
  </si>
  <si>
    <t>CONCATENAR</t>
  </si>
  <si>
    <t>FONTES DPO</t>
  </si>
  <si>
    <t>NOME DA FONTE</t>
  </si>
  <si>
    <t>qq</t>
  </si>
  <si>
    <t>wew</t>
  </si>
  <si>
    <t>01</t>
  </si>
  <si>
    <t>CONCAT("F";A2;B2;"G";C2;"T";E2)</t>
  </si>
  <si>
    <t>RECURSOS VINCULADOS</t>
  </si>
  <si>
    <t>Convênios com a União e suas entidades – emendas individuais</t>
  </si>
  <si>
    <t>3</t>
  </si>
  <si>
    <t>do excesso de arrecadação da receita de</t>
  </si>
  <si>
    <t>nome da fonte</t>
  </si>
  <si>
    <t>nome do orgão</t>
  </si>
  <si>
    <t>no valor de R$</t>
  </si>
  <si>
    <t>ALMG</t>
  </si>
  <si>
    <t>da Assembleia Legislativa do Estado de Minas Gerais</t>
  </si>
  <si>
    <t>02</t>
  </si>
  <si>
    <t>Convênios com a União e suas entidades – emendas de bancada</t>
  </si>
  <si>
    <t>TCEMG</t>
  </si>
  <si>
    <t>do Tribunal de Contas do Estado de Minas Gerais</t>
  </si>
  <si>
    <t>03</t>
  </si>
  <si>
    <t>Transferências do FNDE vinculadas à educação – emendas individuais</t>
  </si>
  <si>
    <t>2</t>
  </si>
  <si>
    <t>do saldo financeiro da receita de</t>
  </si>
  <si>
    <t>TJMG</t>
  </si>
  <si>
    <t>do Tribunal de Justiça do Estado de Minas Gerais</t>
  </si>
  <si>
    <t>05</t>
  </si>
  <si>
    <t>Transferências da União vinculadas à assistência social – emendas individuais</t>
  </si>
  <si>
    <t>TJMMG</t>
  </si>
  <si>
    <t>do Tribunal de Justiça Militar do Estado de Minas Gerais</t>
  </si>
  <si>
    <t>06</t>
  </si>
  <si>
    <t>Transferências da União vinculadas à assistência social – emendas de bancada</t>
  </si>
  <si>
    <t>GMG </t>
  </si>
  <si>
    <t>do Gabinete Militar do Governador do Estado de Minas Gerais</t>
  </si>
  <si>
    <t>09</t>
  </si>
  <si>
    <t>Termos de ajustamento, doações controladas por instrumento jurídico e congêneres</t>
  </si>
  <si>
    <t>AGE </t>
  </si>
  <si>
    <t>da Advocacia-Geral do Estado</t>
  </si>
  <si>
    <t>RECURSOS ORDINÁRIOS</t>
  </si>
  <si>
    <t>Recursos ordinários – recursos não vinculados de impostos</t>
  </si>
  <si>
    <t>MPMG</t>
  </si>
  <si>
    <t>da Procuradoria-Geral de Justiça</t>
  </si>
  <si>
    <t>Recursos de desvinculação de receitas</t>
  </si>
  <si>
    <t>OGE </t>
  </si>
  <si>
    <t>da Ouvidoria-Geral do Estado de Minas Gerais</t>
  </si>
  <si>
    <t>Fundo de manutenção e desenvolvimento da educação básica – FUNDEB – regularização de exercícios anteriores</t>
  </si>
  <si>
    <t>SEF </t>
  </si>
  <si>
    <t>da Secretaria de Estado de Fazenda</t>
  </si>
  <si>
    <t>Recursos ordinários – outros recursos não vinculados</t>
  </si>
  <si>
    <t>SEDE</t>
  </si>
  <si>
    <t>da Secretaria de Estado de Desenvolvimento Econômico</t>
  </si>
  <si>
    <t>Demais transferências vinculadas da União</t>
  </si>
  <si>
    <t>SEAPA</t>
  </si>
  <si>
    <t>da Secretaria de Estado de Agricultura, Pecuária e Abastecimento</t>
  </si>
  <si>
    <t>Cota estadual do salário-educação – QESE</t>
  </si>
  <si>
    <t>PMMG</t>
  </si>
  <si>
    <t>da Polícia Militar do Estado de Minas Gerais</t>
  </si>
  <si>
    <t>Fundo de manutenção e desenvolvimento da educação básica – FUNDEB</t>
  </si>
  <si>
    <t>SEE </t>
  </si>
  <si>
    <t>da Secretaria de Estado de Educação</t>
  </si>
  <si>
    <t>Convênios com a União e suas entidades – exceto emendas individuais e de bancada</t>
  </si>
  <si>
    <t>SECULT</t>
  </si>
  <si>
    <t>da Secretaria de Estado de Cultura e Turismo</t>
  </si>
  <si>
    <t>Operações de crédito contratuais</t>
  </si>
  <si>
    <t>SEINFRA</t>
  </si>
  <si>
    <t>da Secretaria de Estado de Infraestrutura, Mobilidade e Parcerias</t>
  </si>
  <si>
    <t>Taxa florestal – administração indireta</t>
  </si>
  <si>
    <t>SEMAD</t>
  </si>
  <si>
    <t>da Secretaria de Estado de Meio Ambiente e Desenvolvimento Sustentável</t>
  </si>
  <si>
    <t>Taxa de segurança pública</t>
  </si>
  <si>
    <t>CBMMG</t>
  </si>
  <si>
    <t>do Corpo de Bombeiros Militar do Estado de Minas Gerais</t>
  </si>
  <si>
    <t>Taxa de expediente – administração direta</t>
  </si>
  <si>
    <t>DEF PUB</t>
  </si>
  <si>
    <t>da Defensoria Pública do Estado de Minas Gerais</t>
  </si>
  <si>
    <t>Contribuição à aposentadoria</t>
  </si>
  <si>
    <t>SEJUSP</t>
  </si>
  <si>
    <t>da Secretaria de Estado de Justiça e Segurança Pública</t>
  </si>
  <si>
    <t>Utilização de recursos hídricos</t>
  </si>
  <si>
    <t>SEDESE</t>
  </si>
  <si>
    <t>da Secretaria de Estado de Desenvolvimento Social</t>
  </si>
  <si>
    <t>Exploração de recursos minerais</t>
  </si>
  <si>
    <t>SEGOV</t>
  </si>
  <si>
    <t>da Secretaria de Estado de Governo</t>
  </si>
  <si>
    <t>Exploração e produção de petróleo e gás natural</t>
  </si>
  <si>
    <t>SEPLAG</t>
  </si>
  <si>
    <t>da Secretaria de Estado de Planejamento e Gestão</t>
  </si>
  <si>
    <t>Transferências do FNDE vinculadas à educação – exceto emendas individuais e de bancada</t>
  </si>
  <si>
    <t>PCMG</t>
  </si>
  <si>
    <t>da Polícia Civil do Estado de Minas Gerais</t>
  </si>
  <si>
    <t>Transferências da União vinculadas à saúde</t>
  </si>
  <si>
    <t>CGE </t>
  </si>
  <si>
    <t>da Controladoria-Geral do Estado</t>
  </si>
  <si>
    <t>Transferências da União vinculadas ao esporte</t>
  </si>
  <si>
    <t>ESP-MG</t>
  </si>
  <si>
    <t>da Escola de Saúde Pública do Estado de Minas Gerais</t>
  </si>
  <si>
    <t>Multas pecuniárias e juros de mora fixados em sentenças judiciais</t>
  </si>
  <si>
    <t>SEC.GERAL</t>
  </si>
  <si>
    <t>da Secretaria-Geral do Estado de Minas Gerais</t>
  </si>
  <si>
    <t>Contribuição patronal para o RPPS</t>
  </si>
  <si>
    <t>SECOM</t>
  </si>
  <si>
    <t>da Secretaria de Estado de Comunicação Social</t>
  </si>
  <si>
    <t>Contribuição do servidor para o RPPS</t>
  </si>
  <si>
    <t>SCC </t>
  </si>
  <si>
    <t>da Secretaria de Estado da Casa Civil</t>
  </si>
  <si>
    <t>Compensação financeira entre regimes de previdência</t>
  </si>
  <si>
    <t>EGE-SEF</t>
  </si>
  <si>
    <t>da Ege Secretaria de Estado de Fazenda</t>
  </si>
  <si>
    <t>Doações de pessoas, de instituições privadas ou do exterior a órgãos e entidades do Estado</t>
  </si>
  <si>
    <t>PART.EMPRESAS da Participação no Aumento do Capital Social de Empresas</t>
  </si>
  <si>
    <t>Alienação de bens de entidades estaduais</t>
  </si>
  <si>
    <t>GDPE-SEF</t>
  </si>
  <si>
    <t>da Gestão da Dívida Pública Estadual</t>
  </si>
  <si>
    <t>Alienação de bens do Tesouro estadual</t>
  </si>
  <si>
    <t>EGE-SEPLAG</t>
  </si>
  <si>
    <t>da Ege Secretaria de Estado de Planejamento e Gestão</t>
  </si>
  <si>
    <t>Contribuição patronal do Estado aos institutos de previdência</t>
  </si>
  <si>
    <t>EGE-CASA CIVIL</t>
  </si>
  <si>
    <t>dos Encargos Gerais do Estado – Casa Civil</t>
  </si>
  <si>
    <t>Contribuição do servidor do Estado aos institutos de previdência</t>
  </si>
  <si>
    <t>RC</t>
  </si>
  <si>
    <t>da Reserva de Contingência</t>
  </si>
  <si>
    <t>Contribuição de intervenção no domínio econômico/combustíveis – CIDE</t>
  </si>
  <si>
    <t>IPSEMG</t>
  </si>
  <si>
    <t>do Instituto de Previdência dos Servidores do Estado de Minas Gerais</t>
  </si>
  <si>
    <t>Taxa de controle e fiscalização ambiental</t>
  </si>
  <si>
    <t>LEMG</t>
  </si>
  <si>
    <t>da Loteria do Estado de Minas Gerais</t>
  </si>
  <si>
    <t>Taxa de licenciamento da faixa de domínio das rodovias</t>
  </si>
  <si>
    <t>FJP</t>
  </si>
  <si>
    <t>da Fundação João Pinheiro</t>
  </si>
  <si>
    <t>Transferências da União vinculadas à assistência social – exceto emendas individuais e de bancada</t>
  </si>
  <si>
    <t>FAPEMIG </t>
  </si>
  <si>
    <t>da Fundação de Amparo à Pesquisa do Estado de Minas Gerais</t>
  </si>
  <si>
    <t>Transferências da União por meio de portaria – exceto emendas individuais e de bancada</t>
  </si>
  <si>
    <t>FEAM</t>
  </si>
  <si>
    <t>da Fundação Estadual do Meio Ambiente</t>
  </si>
  <si>
    <t>Outros recursos vinculados</t>
  </si>
  <si>
    <t>IEF</t>
  </si>
  <si>
    <t>do Instituto Estadual de Florestas</t>
  </si>
  <si>
    <t>RECURSOS DIRETAMENTE ARRECADADOS</t>
  </si>
  <si>
    <t>Recursos diretamente arrecadados</t>
  </si>
  <si>
    <t>IPSM</t>
  </si>
  <si>
    <t>do Instituto de Previdência dos Servidores Militares do Estado de Minas Gerais</t>
  </si>
  <si>
    <t>Recursos diretamente arrecadados com vinculação específica</t>
  </si>
  <si>
    <t>FHA</t>
  </si>
  <si>
    <t>da Fundação Helena Antipoff</t>
  </si>
  <si>
    <t>Transferências da União vinculadas à saúde – bloco manutenção – emendas individuais</t>
  </si>
  <si>
    <t>FUCAM</t>
  </si>
  <si>
    <t>da Fundação Educacional Caio Martins</t>
  </si>
  <si>
    <t>Transferências da União vinculadas à saúde – bloco manutenção – emendas de bancada</t>
  </si>
  <si>
    <t>FAOP</t>
  </si>
  <si>
    <t>da Fundação de Arte de Ouro Preto</t>
  </si>
  <si>
    <t>Transferências da União vinculadas à saúde – bloco estruturação – emendas individuais</t>
  </si>
  <si>
    <t>FCS</t>
  </si>
  <si>
    <t>da Fundação Clóvis Salgado</t>
  </si>
  <si>
    <t>Transferências da União vinculadas à saúde – bloco estruturação – emendas de bancada</t>
  </si>
  <si>
    <t>IEPHA</t>
  </si>
  <si>
    <t>do Instituto Estadual do Patrimônio Histórico e Artístico de Minas Gerais</t>
  </si>
  <si>
    <t>Acordos e ajustes de cooperação mútua com os Estados e o Distrito Federal</t>
  </si>
  <si>
    <t>TV MINAS</t>
  </si>
  <si>
    <t>da Fundação TV Minas Cultural e Educativa</t>
  </si>
  <si>
    <t>Acordos e ajustes de cooperação mútua com os municípios</t>
  </si>
  <si>
    <t>IGAM</t>
  </si>
  <si>
    <t>do Instituto Mineiro de Gestão das Águas</t>
  </si>
  <si>
    <t>Convênios com as instituições privadas e os organismos do exterior</t>
  </si>
  <si>
    <t>JUCEMG</t>
  </si>
  <si>
    <t>da Junta Comercial do Estado de Minas Gerais</t>
  </si>
  <si>
    <t>Convênios com os Estados e o Distrito Federal</t>
  </si>
  <si>
    <t>FUNED</t>
  </si>
  <si>
    <t>da Fundação Ezequiel Dias</t>
  </si>
  <si>
    <t>Convênios com os municípios</t>
  </si>
  <si>
    <t>FHEMIG</t>
  </si>
  <si>
    <t>da Fundação Hospitalar do Estado de Minas Gerais</t>
  </si>
  <si>
    <t>Recursos do Fundo estadual de erradicação da miséria</t>
  </si>
  <si>
    <t>UTRAMIG </t>
  </si>
  <si>
    <t>da Fundação de Educação para o Trabalho de Minas Gerais</t>
  </si>
  <si>
    <t>Taxa de fiscalização de recursos minerários</t>
  </si>
  <si>
    <t>DER-MG</t>
  </si>
  <si>
    <t>do Departamento de Estradas de Rodagem do Estado de Minas Gerais</t>
  </si>
  <si>
    <t>Acordos, ajustes e demais instrumentos de cooperação mútua com a União e suas entidades</t>
  </si>
  <si>
    <t>UNIMONTES  da Universidade Estadual de Montes Claros</t>
  </si>
  <si>
    <t>Acordos e ajustes de cooperação mútua com as instituições privadas e os organismos do exterior</t>
  </si>
  <si>
    <t>HEMOMINAS  da Fundação Centro de Hematologia e Hemoterapia de Minas Gerais</t>
  </si>
  <si>
    <t>Contribuição patronal para custeio dos proventos dos militares</t>
  </si>
  <si>
    <t>IPEMMG</t>
  </si>
  <si>
    <t>do Instituto de Metrologia e Qualidade do Estado de Minas Gerais</t>
  </si>
  <si>
    <t>Taxa de fiscalização judiciária e taxas e multas judiciais</t>
  </si>
  <si>
    <t>UEMG</t>
  </si>
  <si>
    <t>da Universidade do Estado de Minas Gerais</t>
  </si>
  <si>
    <t>Recursos decorrentes da conversão de multas ambientais</t>
  </si>
  <si>
    <t>IPLEMG</t>
  </si>
  <si>
    <t>do Instituto de Previdência do Legislativo do Estado de Minas Gerais</t>
  </si>
  <si>
    <t>Recursos do acordo de repactuação do Rio Doce</t>
  </si>
  <si>
    <t>IMA</t>
  </si>
  <si>
    <t>do Instituto Mineiro de Agropecuária</t>
  </si>
  <si>
    <t>Notificação de infração de trânsito – Estado</t>
  </si>
  <si>
    <t>IDENE</t>
  </si>
  <si>
    <t>do Instituto de Desenvolvimento do Norte e Nordeste de Minas Gerais</t>
  </si>
  <si>
    <t>Notificação de infração de trânsito – FUNTRANS</t>
  </si>
  <si>
    <t>AGÊNCIA RMBH da Agência de Desenvolvimento da Região Metropolitana de Belo Horizonte</t>
  </si>
  <si>
    <t>Recursos do Fundo de equalização federativa – FEF</t>
  </si>
  <si>
    <t>ARSAE-MG</t>
  </si>
  <si>
    <t>da Agência Reguladora de Serviços de Abastecimento de Água e de Esgotamento Sanitário do Estado de Minas Gerais</t>
  </si>
  <si>
    <t>Taxa de expediente – administração indireta</t>
  </si>
  <si>
    <t>ARMVA</t>
  </si>
  <si>
    <t>da Agência de Desenvolvimento da Região Metropolitana do Vale do Aço</t>
  </si>
  <si>
    <t>Transferências da União vinculadas à saúde – bloco manutenção – exceto emendas individuais e de bancada</t>
  </si>
  <si>
    <t>ARTEMIG </t>
  </si>
  <si>
    <t>da Agência Reguladora de Transportes do Estado de Minas Gerais</t>
  </si>
  <si>
    <t>Transferências da União vinculadas à saúde – bloco estruturação – exceto emendas individuais e de bancada</t>
  </si>
  <si>
    <t>DETRAN/MG  do Departamento Estadual de Trânsito de Minas Gerais</t>
  </si>
  <si>
    <t>Taxa florestal – administração direta</t>
  </si>
  <si>
    <t>EMATER</t>
  </si>
  <si>
    <t>da Empresa de Assistência Técnica e Extensão Rural do Estado de Minas Gerais</t>
  </si>
  <si>
    <t>Recursos recebidos por danos advindos de desastres socioambientais</t>
  </si>
  <si>
    <t>EPAMIG</t>
  </si>
  <si>
    <t>da Empresa de Pesquisa Agropecuária de Minas Gerais</t>
  </si>
  <si>
    <t>Transferências especiais de recursos da União</t>
  </si>
  <si>
    <t>EMC</t>
  </si>
  <si>
    <t>da Empresa Mineira de Comunicação</t>
  </si>
  <si>
    <t>FEPJ</t>
  </si>
  <si>
    <t>do Fundo Especial do Poder Judiciário do Estado de Minas Gerais</t>
  </si>
  <si>
    <t>FIA</t>
  </si>
  <si>
    <t>do Fundo para a Infância e a Adolescência</t>
  </si>
  <si>
    <t>FEH</t>
  </si>
  <si>
    <t>do Fundo Estadual de Habitação</t>
  </si>
  <si>
    <t>FUNDESE </t>
  </si>
  <si>
    <t>do Fundo de Fomento e Desenvolvimento Socioeconômico do Estado de Minas Gerais</t>
  </si>
  <si>
    <t>FUNDALEMG  do Fundo Especial da Assembleia Legislativa do Estado de Minas Gerais</t>
  </si>
  <si>
    <t>FPE</t>
  </si>
  <si>
    <t>do Fundo Penitenciário Estadual</t>
  </si>
  <si>
    <t>FASTUR</t>
  </si>
  <si>
    <t>do Fundo de Assistência ao Turismo</t>
  </si>
  <si>
    <t>FEAS</t>
  </si>
  <si>
    <t>do Fundo Estadual de Assistência Social</t>
  </si>
  <si>
    <t>FES</t>
  </si>
  <si>
    <t>do Fundo Estadual de Saúde</t>
  </si>
  <si>
    <t>FUNPREN </t>
  </si>
  <si>
    <t>do Fundo Estadual de Prevenção, Fiscalização e Repressão de Entorpecentes</t>
  </si>
  <si>
    <t>FDM</t>
  </si>
  <si>
    <t>do Fundo de Desenvolvimento Metropolitano</t>
  </si>
  <si>
    <t>FHIDRO</t>
  </si>
  <si>
    <t>do Fundo de Recuperação, Proteção e Desenvolvimento Sustentável das Bacias Hidrográficas do Estado de Minas Gerais</t>
  </si>
  <si>
    <t>FUNTRANS</t>
  </si>
  <si>
    <t>do Fundo Estadual de Desenvolvimento de Transportes</t>
  </si>
  <si>
    <t>FUNDIF</t>
  </si>
  <si>
    <t>do Fundo Estadual de Defesa de Direitos Difusos</t>
  </si>
  <si>
    <t>FUNEMP </t>
  </si>
  <si>
    <t>do Fundo Especial do Ministério Público do Estado de Minas Gerais</t>
  </si>
  <si>
    <t>FEPDC</t>
  </si>
  <si>
    <t>do Fundo Estadual de Proteção e Defesa do Consumidor</t>
  </si>
  <si>
    <t>FEC</t>
  </si>
  <si>
    <t>do Fundo Estadual de Cultura</t>
  </si>
  <si>
    <t>FAHMEMG </t>
  </si>
  <si>
    <t>do Fundo de Apoio Habitacional aos Militares do Estado de Minas Gerais</t>
  </si>
  <si>
    <t>FUNAPEC </t>
  </si>
  <si>
    <t>do Fundo de Assistência ao Pecúlio dos Servidores do Estado de Minas Gerais</t>
  </si>
  <si>
    <t>FEI</t>
  </si>
  <si>
    <t>do Fundo Estadual dos Direitos do Idoso</t>
  </si>
  <si>
    <t>FUNCONTAS  do Fundo do Tribunal de Contas do Estado de Minas Gerais</t>
  </si>
  <si>
    <t>MG INVESTE do Fundo de Investimento do Estado de Minas Gerais</t>
  </si>
  <si>
    <t>FPP-MG</t>
  </si>
  <si>
    <t>do Fundo de Pagamento de Parcerias Público-Privadas de Minas Gerais</t>
  </si>
  <si>
    <t>FGP-MG</t>
  </si>
  <si>
    <t>do Fundo de Garantias de Parcerias Público-Privadas de Minas Gerais</t>
  </si>
  <si>
    <t>FECIDAT </t>
  </si>
  <si>
    <t>do Fundo Especial de Créditos Inadimplidos e Dívida Ativa</t>
  </si>
  <si>
    <t>FAIMG</t>
  </si>
  <si>
    <t>do Fundo de Ativos Imobiliários de Minas Gerais</t>
  </si>
  <si>
    <t>FIIMG</t>
  </si>
  <si>
    <t>do Fundo de Investimentos Imobiliários de Minas Gerais</t>
  </si>
  <si>
    <t>FESP-MG</t>
  </si>
  <si>
    <t>do Fundo Estadual de Segurança Pública de Minas Gerais</t>
  </si>
  <si>
    <t>FET-MG</t>
  </si>
  <si>
    <t>do Fundo Estadual do Trabalho de Minas Gerais</t>
  </si>
  <si>
    <t>FFP-MG</t>
  </si>
  <si>
    <t>do Fundo Financeiro de Previdência do Estado de Minas Gerais</t>
  </si>
  <si>
    <t>FEPREMG</t>
  </si>
  <si>
    <t>do Fundo Estadual de Previdência do Estado de Minas Gerais</t>
  </si>
  <si>
    <t>FDMP</t>
  </si>
  <si>
    <t>do Fundo de Desenvolvimento do Ministério Público</t>
  </si>
  <si>
    <t>FEGAJ</t>
  </si>
  <si>
    <t>do Fundo Especial de Garantia de Acesso à Justiça</t>
  </si>
  <si>
    <t>FEAGE</t>
  </si>
  <si>
    <t>do Fundo Especial da Advocacia-Geral do Estado</t>
  </si>
  <si>
    <t>04</t>
  </si>
  <si>
    <t>07</t>
  </si>
  <si>
    <t>08</t>
  </si>
  <si>
    <t>17</t>
  </si>
  <si>
    <t>16</t>
  </si>
  <si>
    <t>F421G1T1</t>
  </si>
  <si>
    <t>F422G1T1</t>
  </si>
  <si>
    <t>F424G1T1</t>
  </si>
  <si>
    <t>F425G1T1</t>
  </si>
  <si>
    <t>F426G1T1</t>
  </si>
  <si>
    <t>F427G1T1</t>
  </si>
  <si>
    <t>F428G1T1</t>
  </si>
  <si>
    <t>F421G1T4</t>
  </si>
  <si>
    <t>F422G1T4</t>
  </si>
  <si>
    <t>F424G1T4</t>
  </si>
  <si>
    <t>F425G1T4</t>
  </si>
  <si>
    <t>F426G1T4</t>
  </si>
  <si>
    <t>F427G1T4</t>
  </si>
  <si>
    <t>F428G1T4</t>
  </si>
  <si>
    <t>F421G1T3</t>
  </si>
  <si>
    <t>F422G1T3</t>
  </si>
  <si>
    <t>F425G1T3</t>
  </si>
  <si>
    <t>F426G1T3</t>
  </si>
  <si>
    <t>F427G1T3</t>
  </si>
  <si>
    <t>F428G1T3</t>
  </si>
  <si>
    <t>F421G1T2</t>
  </si>
  <si>
    <t>F422G1T2</t>
  </si>
  <si>
    <t>F425G1T2</t>
  </si>
  <si>
    <t>F426G1T2</t>
  </si>
  <si>
    <t>F427G1T2</t>
  </si>
  <si>
    <t>F428G1T2</t>
  </si>
  <si>
    <t>F421G3T1</t>
  </si>
  <si>
    <t>F422G3T1</t>
  </si>
  <si>
    <t>F424G3T1</t>
  </si>
  <si>
    <t>F425G3T1</t>
  </si>
  <si>
    <t>F426G3T1</t>
  </si>
  <si>
    <t>F427G3T1</t>
  </si>
  <si>
    <t>F421G4T1</t>
  </si>
  <si>
    <t>F422G4T1</t>
  </si>
  <si>
    <t>F424G4T1</t>
  </si>
  <si>
    <t>F425G4T1</t>
  </si>
  <si>
    <t>F426G4T1</t>
  </si>
  <si>
    <t>F427G4T1</t>
  </si>
  <si>
    <t>F421G5T1</t>
  </si>
  <si>
    <t>F422G5T1</t>
  </si>
  <si>
    <t>F424G5T1</t>
  </si>
  <si>
    <t>F425G5T1</t>
  </si>
  <si>
    <t>F426G5T1</t>
  </si>
  <si>
    <t>F427G5T1</t>
  </si>
  <si>
    <t>F421G3T4</t>
  </si>
  <si>
    <t>F422G3T4</t>
  </si>
  <si>
    <t>F424G3T4</t>
  </si>
  <si>
    <t>F425G3T4</t>
  </si>
  <si>
    <t>F426G3T4</t>
  </si>
  <si>
    <t>F427G3T4</t>
  </si>
  <si>
    <t>F421G4T4</t>
  </si>
  <si>
    <t>F422G4T4</t>
  </si>
  <si>
    <t>F424G4T4</t>
  </si>
  <si>
    <t>F425G4T4</t>
  </si>
  <si>
    <t>F426G4T4</t>
  </si>
  <si>
    <t>F427G4T4</t>
  </si>
  <si>
    <t>F421G5T4</t>
  </si>
  <si>
    <t>F422G5T4</t>
  </si>
  <si>
    <t>F424G5T4</t>
  </si>
  <si>
    <t>F425G5T4</t>
  </si>
  <si>
    <t>F426G5T4</t>
  </si>
  <si>
    <t>F427G5T4</t>
  </si>
  <si>
    <t>F421G3T2</t>
  </si>
  <si>
    <t>F422G3T2</t>
  </si>
  <si>
    <t>F425G3T2</t>
  </si>
  <si>
    <t>F426G3T2</t>
  </si>
  <si>
    <t>F427G3T2</t>
  </si>
  <si>
    <t>F421G4T2</t>
  </si>
  <si>
    <t>F422G4T2</t>
  </si>
  <si>
    <t>F425G4T2</t>
  </si>
  <si>
    <t>F426G4T2</t>
  </si>
  <si>
    <t>F427G4T2</t>
  </si>
  <si>
    <t>F421G5T2</t>
  </si>
  <si>
    <t>F422G5T2</t>
  </si>
  <si>
    <t>F425G5T2</t>
  </si>
  <si>
    <t>F426G5T2</t>
  </si>
  <si>
    <t>F427G5T2</t>
  </si>
  <si>
    <t>F421G3T3</t>
  </si>
  <si>
    <t>F422G3T3</t>
  </si>
  <si>
    <t>F425G3T3</t>
  </si>
  <si>
    <t>F426G3T3</t>
  </si>
  <si>
    <t>F427G3T3</t>
  </si>
  <si>
    <t>F421G4T3</t>
  </si>
  <si>
    <t>F422G4T3</t>
  </si>
  <si>
    <t>F425G4T3</t>
  </si>
  <si>
    <t>F426G4T3</t>
  </si>
  <si>
    <t>F427G4T3</t>
  </si>
  <si>
    <t>F421G5T3</t>
  </si>
  <si>
    <t>F422G5T3</t>
  </si>
  <si>
    <t>F425G5T3</t>
  </si>
  <si>
    <t>F426G5T3</t>
  </si>
  <si>
    <t>F427G5T3</t>
  </si>
  <si>
    <t>F429G3T1</t>
  </si>
  <si>
    <t>F429G4T1</t>
  </si>
  <si>
    <t>F429G1T1</t>
  </si>
  <si>
    <t>F429G3T4</t>
  </si>
  <si>
    <t>F429G4T4</t>
  </si>
  <si>
    <t>F429G1T4</t>
  </si>
  <si>
    <t>F429G3T3</t>
  </si>
  <si>
    <t>F429G4T3</t>
  </si>
  <si>
    <t>F429G1T3</t>
  </si>
  <si>
    <t>F429G3T2</t>
  </si>
  <si>
    <t>F429G4T2</t>
  </si>
  <si>
    <t>F429G1T2</t>
  </si>
  <si>
    <t>COD_UO</t>
  </si>
  <si>
    <t>AÇÃO</t>
  </si>
  <si>
    <t>concat</t>
  </si>
  <si>
    <t>FUNCAO</t>
  </si>
  <si>
    <t>SUB_FUNCAO</t>
  </si>
  <si>
    <t>PROGRAMA</t>
  </si>
  <si>
    <t>IAG</t>
  </si>
  <si>
    <t>1 Suplementação/Anulação de dotação própria</t>
  </si>
  <si>
    <t>Categoria</t>
  </si>
  <si>
    <t>Grupo</t>
  </si>
  <si>
    <t>UO</t>
  </si>
  <si>
    <t>CD_GRUPO_DESPESA</t>
  </si>
  <si>
    <t>CD_ELEMENTO_DESPESA</t>
  </si>
  <si>
    <t>MODALIDADE</t>
  </si>
  <si>
    <t>ELEMENTO</t>
  </si>
  <si>
    <t>bloco</t>
  </si>
  <si>
    <t>just</t>
  </si>
  <si>
    <t>grupo</t>
  </si>
  <si>
    <t>modalidade</t>
  </si>
  <si>
    <t>procv</t>
  </si>
  <si>
    <t>elemento</t>
  </si>
  <si>
    <t>031</t>
  </si>
  <si>
    <t>729</t>
  </si>
  <si>
    <t>2 Saldo Financeiro</t>
  </si>
  <si>
    <t>g1</t>
  </si>
  <si>
    <t>GRUPO1</t>
  </si>
  <si>
    <t>1</t>
  </si>
  <si>
    <t>90</t>
  </si>
  <si>
    <t>28</t>
  </si>
  <si>
    <t>846</t>
  </si>
  <si>
    <t>705</t>
  </si>
  <si>
    <t>3 Excesso de arrecadação</t>
  </si>
  <si>
    <t>g3</t>
  </si>
  <si>
    <t>91</t>
  </si>
  <si>
    <t>92</t>
  </si>
  <si>
    <t>272</t>
  </si>
  <si>
    <t>4 Suplementação/Anulação com dotação de outra UO</t>
  </si>
  <si>
    <t>g4</t>
  </si>
  <si>
    <t>99</t>
  </si>
  <si>
    <t>122</t>
  </si>
  <si>
    <t>746</t>
  </si>
  <si>
    <t>GRUPO2</t>
  </si>
  <si>
    <t>GMG</t>
  </si>
  <si>
    <t>128</t>
  </si>
  <si>
    <t>760</t>
  </si>
  <si>
    <t>AGE</t>
  </si>
  <si>
    <t>21</t>
  </si>
  <si>
    <t>032</t>
  </si>
  <si>
    <t>GRUPO3</t>
  </si>
  <si>
    <t>PGJ</t>
  </si>
  <si>
    <t>20</t>
  </si>
  <si>
    <t>41</t>
  </si>
  <si>
    <t>OGE</t>
  </si>
  <si>
    <t>40</t>
  </si>
  <si>
    <t>SEF</t>
  </si>
  <si>
    <t>45</t>
  </si>
  <si>
    <t>706</t>
  </si>
  <si>
    <t>50</t>
  </si>
  <si>
    <t>60</t>
  </si>
  <si>
    <t>Suplementar</t>
  </si>
  <si>
    <t>SEE</t>
  </si>
  <si>
    <t>67</t>
  </si>
  <si>
    <t>Anular</t>
  </si>
  <si>
    <t>70</t>
  </si>
  <si>
    <t>061</t>
  </si>
  <si>
    <t>734</t>
  </si>
  <si>
    <t>71</t>
  </si>
  <si>
    <t>80</t>
  </si>
  <si>
    <t>95</t>
  </si>
  <si>
    <t>GRUPO4</t>
  </si>
  <si>
    <t>96</t>
  </si>
  <si>
    <t>39</t>
  </si>
  <si>
    <t>4</t>
  </si>
  <si>
    <t>182</t>
  </si>
  <si>
    <t>101</t>
  </si>
  <si>
    <t>CGE</t>
  </si>
  <si>
    <t>ESP MG</t>
  </si>
  <si>
    <t>42</t>
  </si>
  <si>
    <t>SEC. GERAL</t>
  </si>
  <si>
    <t>048</t>
  </si>
  <si>
    <t>SCC</t>
  </si>
  <si>
    <t>183</t>
  </si>
  <si>
    <t>050</t>
  </si>
  <si>
    <t>EGE - SEF</t>
  </si>
  <si>
    <t>782</t>
  </si>
  <si>
    <t>034</t>
  </si>
  <si>
    <t>PARTICIPAÇÃO EMPRESAS</t>
  </si>
  <si>
    <t>049</t>
  </si>
  <si>
    <t>GRUPO5</t>
  </si>
  <si>
    <t>GDPE - SEF</t>
  </si>
  <si>
    <t>047</t>
  </si>
  <si>
    <t>EGE - CASA CIVIL</t>
  </si>
  <si>
    <t>52</t>
  </si>
  <si>
    <t>781</t>
  </si>
  <si>
    <t>046</t>
  </si>
  <si>
    <t>5</t>
  </si>
  <si>
    <t>092</t>
  </si>
  <si>
    <t>043</t>
  </si>
  <si>
    <t>044</t>
  </si>
  <si>
    <t>FAPEMIG</t>
  </si>
  <si>
    <t>GRUPO6</t>
  </si>
  <si>
    <t>51</t>
  </si>
  <si>
    <t>83</t>
  </si>
  <si>
    <t>GRUPO9</t>
  </si>
  <si>
    <t>062</t>
  </si>
  <si>
    <t>714</t>
  </si>
  <si>
    <t>6</t>
  </si>
  <si>
    <t>703</t>
  </si>
  <si>
    <t>9</t>
  </si>
  <si>
    <t>14</t>
  </si>
  <si>
    <t>054</t>
  </si>
  <si>
    <t>422</t>
  </si>
  <si>
    <t>UTRAMIG</t>
  </si>
  <si>
    <t>124</t>
  </si>
  <si>
    <t>055</t>
  </si>
  <si>
    <t>UNIMONTES</t>
  </si>
  <si>
    <t>131</t>
  </si>
  <si>
    <t>HEMOMINAS</t>
  </si>
  <si>
    <t>126</t>
  </si>
  <si>
    <t>033</t>
  </si>
  <si>
    <t>129</t>
  </si>
  <si>
    <t>045</t>
  </si>
  <si>
    <t>AGÊNCIA RMBH</t>
  </si>
  <si>
    <t>ARSAE -MG</t>
  </si>
  <si>
    <t>ARTEMIG</t>
  </si>
  <si>
    <t>038</t>
  </si>
  <si>
    <t>DETRAN/MG</t>
  </si>
  <si>
    <t>FUNDESE</t>
  </si>
  <si>
    <t>FUNDALEMG</t>
  </si>
  <si>
    <t>123</t>
  </si>
  <si>
    <t>FUNPREN</t>
  </si>
  <si>
    <t>544</t>
  </si>
  <si>
    <t>040</t>
  </si>
  <si>
    <t>FUNEMP</t>
  </si>
  <si>
    <t>22</t>
  </si>
  <si>
    <t>663</t>
  </si>
  <si>
    <t>133</t>
  </si>
  <si>
    <t>23</t>
  </si>
  <si>
    <t>691</t>
  </si>
  <si>
    <t>132</t>
  </si>
  <si>
    <t>334</t>
  </si>
  <si>
    <t>FAHMEMG</t>
  </si>
  <si>
    <t>FUNAPEC</t>
  </si>
  <si>
    <t>125</t>
  </si>
  <si>
    <t>661</t>
  </si>
  <si>
    <t>FUNCONTAS</t>
  </si>
  <si>
    <t>MG INVESTE</t>
  </si>
  <si>
    <t>25</t>
  </si>
  <si>
    <t>754</t>
  </si>
  <si>
    <t>FPP - MG</t>
  </si>
  <si>
    <t>753</t>
  </si>
  <si>
    <t>FGP - MG</t>
  </si>
  <si>
    <t>FECIDAT</t>
  </si>
  <si>
    <t>693</t>
  </si>
  <si>
    <t>127</t>
  </si>
  <si>
    <t>FFP - MG</t>
  </si>
  <si>
    <t>511</t>
  </si>
  <si>
    <t>056</t>
  </si>
  <si>
    <t>19</t>
  </si>
  <si>
    <t>573</t>
  </si>
  <si>
    <t>143</t>
  </si>
  <si>
    <t>571</t>
  </si>
  <si>
    <t>608</t>
  </si>
  <si>
    <t>111</t>
  </si>
  <si>
    <t>108</t>
  </si>
  <si>
    <t>605</t>
  </si>
  <si>
    <t>110</t>
  </si>
  <si>
    <t>116</t>
  </si>
  <si>
    <t>114</t>
  </si>
  <si>
    <t>607</t>
  </si>
  <si>
    <t>113</t>
  </si>
  <si>
    <t>112</t>
  </si>
  <si>
    <t>181</t>
  </si>
  <si>
    <t>135</t>
  </si>
  <si>
    <t>12</t>
  </si>
  <si>
    <t>361</t>
  </si>
  <si>
    <t>136</t>
  </si>
  <si>
    <t>362</t>
  </si>
  <si>
    <t>10</t>
  </si>
  <si>
    <t>302</t>
  </si>
  <si>
    <t>137</t>
  </si>
  <si>
    <t>368</t>
  </si>
  <si>
    <t>167</t>
  </si>
  <si>
    <t>165</t>
  </si>
  <si>
    <t>163</t>
  </si>
  <si>
    <t>162</t>
  </si>
  <si>
    <t>169</t>
  </si>
  <si>
    <t>367</t>
  </si>
  <si>
    <t>005</t>
  </si>
  <si>
    <t>366</t>
  </si>
  <si>
    <t>365</t>
  </si>
  <si>
    <t>363</t>
  </si>
  <si>
    <t>306</t>
  </si>
  <si>
    <t>168</t>
  </si>
  <si>
    <t>364</t>
  </si>
  <si>
    <t>172</t>
  </si>
  <si>
    <t>13</t>
  </si>
  <si>
    <t>392</t>
  </si>
  <si>
    <t>103</t>
  </si>
  <si>
    <t>695</t>
  </si>
  <si>
    <t>100</t>
  </si>
  <si>
    <t>102</t>
  </si>
  <si>
    <t>105</t>
  </si>
  <si>
    <t>391</t>
  </si>
  <si>
    <t>106</t>
  </si>
  <si>
    <t>15</t>
  </si>
  <si>
    <t>451</t>
  </si>
  <si>
    <t>099</t>
  </si>
  <si>
    <t>081</t>
  </si>
  <si>
    <t>130</t>
  </si>
  <si>
    <t>085</t>
  </si>
  <si>
    <t>26</t>
  </si>
  <si>
    <t>453</t>
  </si>
  <si>
    <t>117</t>
  </si>
  <si>
    <t>783</t>
  </si>
  <si>
    <t>18</t>
  </si>
  <si>
    <t>542</t>
  </si>
  <si>
    <t>512</t>
  </si>
  <si>
    <t>021</t>
  </si>
  <si>
    <t>025</t>
  </si>
  <si>
    <t>541</t>
  </si>
  <si>
    <t>027</t>
  </si>
  <si>
    <t>052</t>
  </si>
  <si>
    <t>053</t>
  </si>
  <si>
    <t>726</t>
  </si>
  <si>
    <t>421</t>
  </si>
  <si>
    <t>134</t>
  </si>
  <si>
    <t>331</t>
  </si>
  <si>
    <t>141</t>
  </si>
  <si>
    <t>243</t>
  </si>
  <si>
    <t>146</t>
  </si>
  <si>
    <t>074</t>
  </si>
  <si>
    <t>083</t>
  </si>
  <si>
    <t>084</t>
  </si>
  <si>
    <t>148</t>
  </si>
  <si>
    <t>11</t>
  </si>
  <si>
    <t>066</t>
  </si>
  <si>
    <t>067</t>
  </si>
  <si>
    <t>27</t>
  </si>
  <si>
    <t>812</t>
  </si>
  <si>
    <t>069</t>
  </si>
  <si>
    <t>813</t>
  </si>
  <si>
    <t>811</t>
  </si>
  <si>
    <t>070</t>
  </si>
  <si>
    <t>073</t>
  </si>
  <si>
    <t>244</t>
  </si>
  <si>
    <t>023</t>
  </si>
  <si>
    <t>068</t>
  </si>
  <si>
    <t>086</t>
  </si>
  <si>
    <t>109</t>
  </si>
  <si>
    <t>115</t>
  </si>
  <si>
    <t>119</t>
  </si>
  <si>
    <t>120</t>
  </si>
  <si>
    <t>160</t>
  </si>
  <si>
    <t>156</t>
  </si>
  <si>
    <t>159</t>
  </si>
  <si>
    <t>149</t>
  </si>
  <si>
    <t>151</t>
  </si>
  <si>
    <t>155</t>
  </si>
  <si>
    <t>121</t>
  </si>
  <si>
    <t>157</t>
  </si>
  <si>
    <t>147</t>
  </si>
  <si>
    <t>161</t>
  </si>
  <si>
    <t>036</t>
  </si>
  <si>
    <t>037</t>
  </si>
  <si>
    <t>003</t>
  </si>
  <si>
    <t>001</t>
  </si>
  <si>
    <t>002</t>
  </si>
  <si>
    <t>004</t>
  </si>
  <si>
    <t>028</t>
  </si>
  <si>
    <t>011</t>
  </si>
  <si>
    <t>018</t>
  </si>
  <si>
    <t>212</t>
  </si>
  <si>
    <t>662</t>
  </si>
  <si>
    <t>482</t>
  </si>
  <si>
    <t>694</t>
  </si>
  <si>
    <t>752</t>
  </si>
  <si>
    <t>843</t>
  </si>
  <si>
    <t>844</t>
  </si>
  <si>
    <t>274</t>
  </si>
  <si>
    <t>999</t>
  </si>
  <si>
    <t>039</t>
  </si>
  <si>
    <t>088</t>
  </si>
  <si>
    <t>138</t>
  </si>
  <si>
    <t>692</t>
  </si>
  <si>
    <t>091</t>
  </si>
  <si>
    <t>093</t>
  </si>
  <si>
    <t>095</t>
  </si>
  <si>
    <t>096</t>
  </si>
  <si>
    <t>022</t>
  </si>
  <si>
    <t>572</t>
  </si>
  <si>
    <t>543</t>
  </si>
  <si>
    <t>041</t>
  </si>
  <si>
    <t>006</t>
  </si>
  <si>
    <t>008</t>
  </si>
  <si>
    <t>075</t>
  </si>
  <si>
    <t>051</t>
  </si>
  <si>
    <t>242</t>
  </si>
  <si>
    <t>042</t>
  </si>
  <si>
    <t>076</t>
  </si>
  <si>
    <t>089</t>
  </si>
  <si>
    <t>104</t>
  </si>
  <si>
    <t>722</t>
  </si>
  <si>
    <t>065</t>
  </si>
  <si>
    <t>029</t>
  </si>
  <si>
    <t>303</t>
  </si>
  <si>
    <t>150</t>
  </si>
  <si>
    <t>152</t>
  </si>
  <si>
    <t>153</t>
  </si>
  <si>
    <t>154</t>
  </si>
  <si>
    <t>019</t>
  </si>
  <si>
    <t>007</t>
  </si>
  <si>
    <t>087</t>
  </si>
  <si>
    <t>012</t>
  </si>
  <si>
    <t>665</t>
  </si>
  <si>
    <t>026</t>
  </si>
  <si>
    <t>766</t>
  </si>
  <si>
    <t>767</t>
  </si>
  <si>
    <t>609</t>
  </si>
  <si>
    <t>078</t>
  </si>
  <si>
    <t>304</t>
  </si>
  <si>
    <t>080</t>
  </si>
  <si>
    <t>118</t>
  </si>
  <si>
    <t>077</t>
  </si>
  <si>
    <t>010</t>
  </si>
  <si>
    <t>606</t>
  </si>
  <si>
    <t>090</t>
  </si>
  <si>
    <t>097</t>
  </si>
  <si>
    <t>015</t>
  </si>
  <si>
    <t>016</t>
  </si>
  <si>
    <t>024</t>
  </si>
  <si>
    <t>098</t>
  </si>
  <si>
    <t>765</t>
  </si>
  <si>
    <t>764</t>
  </si>
  <si>
    <t>071</t>
  </si>
  <si>
    <t>058</t>
  </si>
  <si>
    <t>305</t>
  </si>
  <si>
    <t>063</t>
  </si>
  <si>
    <t>301</t>
  </si>
  <si>
    <t>060</t>
  </si>
  <si>
    <t>059</t>
  </si>
  <si>
    <t>166</t>
  </si>
  <si>
    <t>064</t>
  </si>
  <si>
    <t>082</t>
  </si>
  <si>
    <t>737</t>
  </si>
  <si>
    <t>738</t>
  </si>
  <si>
    <t>009</t>
  </si>
  <si>
    <t>241</t>
  </si>
  <si>
    <t>704</t>
  </si>
  <si>
    <t>020</t>
  </si>
  <si>
    <t>079</t>
  </si>
  <si>
    <t>JUSTIFICATIVA</t>
  </si>
  <si>
    <t>Substituição de fonte</t>
  </si>
  <si>
    <t>Regime emergencial de abastecimento interno de combustíveis_Medida Provisória nº 1.349, de 7 de abril de 2026</t>
  </si>
  <si>
    <t>Tarifas para realização da venda da Companhia de Saneamento de Minas Gerais – COPASA</t>
  </si>
  <si>
    <t>Remanejamento de Crédito para atender demandas do Fundo Estadual de Saúde.</t>
  </si>
  <si>
    <t>Ajuste além crédito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</si>
</sst>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scheme val="minor"/>
    </font>
    <font>
      <b/>
      <sz val="11"/>
      <color theme="0"/>
      <name val="Calibri"/>
      <scheme val="minor"/>
    </font>
    <font>
      <sz val="11"/>
      <color rgb="FF000000"/>
      <name val="TimesNewRomanPSMT"/>
    </font>
    <font>
      <sz val="10"/>
      <color theme="1"/>
      <name val="Calibri"/>
      <family val="2"/>
      <scheme val="minor"/>
    </font>
    <font>
      <b/>
      <sz val="11"/>
      <color rgb="FFFFFFFF"/>
      <name val="Calibri"/>
      <scheme val="minor"/>
    </font>
    <font>
      <sz val="10"/>
      <color rgb="FF00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6">
    <xf numFmtId="0" fontId="0" fillId="0" borderId="0"/>
    <xf numFmtId="164" fontId="7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5" fillId="0" borderId="0"/>
    <xf numFmtId="0" fontId="20" fillId="0" borderId="0"/>
  </cellStyleXfs>
  <cellXfs count="52">
    <xf numFmtId="0" fontId="0" fillId="0" borderId="0" xfId="0"/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2" borderId="0" xfId="0" applyFont="1" applyFill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10" fillId="0" borderId="0" xfId="0" applyNumberFormat="1" applyFont="1"/>
    <xf numFmtId="49" fontId="10" fillId="0" borderId="0" xfId="1" applyNumberFormat="1" applyFont="1" applyFill="1" applyBorder="1"/>
    <xf numFmtId="0" fontId="9" fillId="3" borderId="0" xfId="0" applyFont="1" applyFill="1" applyAlignment="1">
      <alignment wrapText="1"/>
    </xf>
    <xf numFmtId="0" fontId="13" fillId="0" borderId="0" xfId="0" applyFont="1"/>
    <xf numFmtId="1" fontId="0" fillId="0" borderId="0" xfId="0" applyNumberFormat="1" applyAlignment="1">
      <alignment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49" fontId="0" fillId="0" borderId="0" xfId="0" applyNumberFormat="1"/>
    <xf numFmtId="1" fontId="12" fillId="0" borderId="0" xfId="0" applyNumberFormat="1" applyFont="1" applyAlignment="1">
      <alignment horizontal="left"/>
    </xf>
    <xf numFmtId="0" fontId="1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/>
    </xf>
    <xf numFmtId="1" fontId="14" fillId="5" borderId="0" xfId="0" applyNumberFormat="1" applyFont="1" applyFill="1" applyAlignment="1">
      <alignment horizontal="center" vertical="top"/>
    </xf>
    <xf numFmtId="0" fontId="15" fillId="0" borderId="0" xfId="0" applyFont="1"/>
    <xf numFmtId="0" fontId="10" fillId="0" borderId="0" xfId="0" applyFont="1" applyAlignment="1">
      <alignment wrapText="1"/>
    </xf>
    <xf numFmtId="1" fontId="14" fillId="6" borderId="0" xfId="0" applyNumberFormat="1" applyFont="1" applyFill="1" applyAlignment="1">
      <alignment horizontal="center" vertical="top"/>
    </xf>
    <xf numFmtId="164" fontId="10" fillId="0" borderId="0" xfId="1" applyFont="1"/>
    <xf numFmtId="0" fontId="16" fillId="2" borderId="0" xfId="0" applyFont="1" applyFill="1" applyAlignment="1">
      <alignment horizontal="center" vertical="center"/>
    </xf>
    <xf numFmtId="0" fontId="17" fillId="0" borderId="0" xfId="0" applyFont="1" applyAlignment="1">
      <alignment horizontal="justify" vertical="center"/>
    </xf>
    <xf numFmtId="0" fontId="17" fillId="0" borderId="0" xfId="0" applyFont="1" applyAlignment="1">
      <alignment wrapText="1"/>
    </xf>
    <xf numFmtId="0" fontId="18" fillId="0" borderId="0" xfId="0" applyFont="1" applyAlignment="1">
      <alignment horizontal="left"/>
    </xf>
    <xf numFmtId="0" fontId="18" fillId="0" borderId="0" xfId="0" applyFont="1"/>
    <xf numFmtId="164" fontId="8" fillId="2" borderId="0" xfId="1" applyFont="1" applyFill="1" applyAlignment="1">
      <alignment horizontal="center" vertical="center"/>
    </xf>
    <xf numFmtId="49" fontId="15" fillId="0" borderId="0" xfId="0" applyNumberFormat="1" applyFont="1"/>
    <xf numFmtId="164" fontId="15" fillId="0" borderId="0" xfId="1" applyFont="1"/>
    <xf numFmtId="49" fontId="8" fillId="2" borderId="0" xfId="0" applyNumberFormat="1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164" fontId="10" fillId="0" borderId="0" xfId="1" applyFont="1" applyAlignment="1" applyProtection="1">
      <alignment horizontal="center" vertical="center"/>
      <protection locked="0"/>
    </xf>
    <xf numFmtId="0" fontId="5" fillId="0" borderId="0" xfId="4"/>
    <xf numFmtId="0" fontId="4" fillId="0" borderId="0" xfId="0" applyFont="1" applyAlignment="1" applyProtection="1">
      <alignment horizontal="center" vertical="center"/>
      <protection locked="0"/>
    </xf>
    <xf numFmtId="1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164" fontId="4" fillId="0" borderId="0" xfId="1" applyFont="1" applyBorder="1" applyAlignment="1" applyProtection="1">
      <alignment horizontal="center" vertical="center"/>
      <protection locked="0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/>
    <xf numFmtId="1" fontId="4" fillId="7" borderId="1" xfId="0" applyNumberFormat="1" applyFont="1" applyFill="1" applyBorder="1"/>
    <xf numFmtId="164" fontId="4" fillId="7" borderId="1" xfId="1" applyFont="1" applyFill="1" applyBorder="1"/>
    <xf numFmtId="49" fontId="3" fillId="0" borderId="0" xfId="0" applyNumberFormat="1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49" fontId="2" fillId="0" borderId="0" xfId="0" applyNumberFormat="1" applyFont="1" applyAlignment="1" applyProtection="1">
      <alignment horizontal="left" vertical="center"/>
      <protection locked="0"/>
    </xf>
    <xf numFmtId="164" fontId="2" fillId="0" borderId="0" xfId="1" applyFont="1" applyBorder="1" applyAlignment="1" applyProtection="1">
      <alignment horizontal="center" vertical="center"/>
      <protection locked="0"/>
    </xf>
    <xf numFmtId="49" fontId="1" fillId="0" borderId="0" xfId="0" applyNumberFormat="1" applyFont="1" applyAlignment="1" applyProtection="1">
      <alignment horizontal="left" vertical="center"/>
      <protection locked="0"/>
    </xf>
  </cellXfs>
  <cellStyles count="6">
    <cellStyle name="Normal" xfId="0" builtinId="0"/>
    <cellStyle name="Normal 2" xfId="2" xr:uid="{00000000-0005-0000-0000-000001000000}"/>
    <cellStyle name="Normal 3" xfId="4" xr:uid="{00000000-0005-0000-0000-000002000000}"/>
    <cellStyle name="Normal 4" xfId="5" xr:uid="{00000000-0005-0000-0000-000003000000}"/>
    <cellStyle name="Vírgula" xfId="1" builtinId="3"/>
    <cellStyle name="Vírgula 2" xfId="3" xr:uid="{00000000-0005-0000-0000-000005000000}"/>
  </cellStyles>
  <dxfs count="65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rgb="FF000000"/>
          <bgColor rgb="FF4F81BD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AF1000" totalsRowShown="0" headerRowDxfId="60" dataDxfId="59">
  <autoFilter ref="A1:AF1000" xr:uid="{00000000-0009-0000-0100-000001000000}"/>
  <tableColumns count="32">
    <tableColumn id="1" xr3:uid="{00000000-0010-0000-0000-000001000000}" name="BLOCO" dataDxfId="58">
      <calculatedColumnFormula>IFERROR(IF('PREENCHER AQUI'!A2="","",'PREENCHER AQUI'!A2),"")</calculatedColumnFormula>
    </tableColumn>
    <tableColumn id="2" xr3:uid="{00000000-0010-0000-0000-000002000000}" name="ORIENTACAO" dataDxfId="57">
      <calculatedColumnFormula>IFERROR(IF('PREENCHER AQUI'!B2="","",PROPER('PREENCHER AQUI'!B2)),"")</calculatedColumnFormula>
    </tableColumn>
    <tableColumn id="3" xr3:uid="{00000000-0010-0000-0000-000003000000}" name="UO_COD" dataDxfId="56">
      <calculatedColumnFormula>IFERROR(IF('PREENCHER AQUI'!C2="","",'PREENCHER AQUI'!C2),"")</calculatedColumnFormula>
    </tableColumn>
    <tableColumn id="4" xr3:uid="{00000000-0010-0000-0000-000004000000}" name="ACAO_COD" dataDxfId="55">
      <calculatedColumnFormula>IFERROR(IF('PREENCHER AQUI'!D2="","",'PREENCHER AQUI'!D2),"")</calculatedColumnFormula>
    </tableColumn>
    <tableColumn id="5" xr3:uid="{00000000-0010-0000-0000-000005000000}" name="FUNCAO_COD" dataDxfId="54">
      <calculatedColumnFormula>IFERROR(VLOOKUP(CONCATENATE(C2,D2),qdd!$C$2:$F$1000,2,FALSE),"")</calculatedColumnFormula>
    </tableColumn>
    <tableColumn id="6" xr3:uid="{00000000-0010-0000-0000-000006000000}" name="SUBFUNCAO_COD" dataDxfId="53">
      <calculatedColumnFormula>IFERROR(VLOOKUP(CONCATENATE(C2,D2),qdd!$C$2:$F$1000,3,FALSE),"")</calculatedColumnFormula>
    </tableColumn>
    <tableColumn id="7" xr3:uid="{00000000-0010-0000-0000-000007000000}" name="PROGRAMA_COD" dataDxfId="52">
      <calculatedColumnFormula>IFERROR(VLOOKUP(CONCATENATE(C2,D2),qdd!$C$2:$F$1000,4,FALSE),"")</calculatedColumnFormula>
    </tableColumn>
    <tableColumn id="8" xr3:uid="{00000000-0010-0000-0000-000008000000}" name="SUBPROJETO_COD" dataDxfId="51">
      <calculatedColumnFormula>IF(E2="","","0001")</calculatedColumnFormula>
    </tableColumn>
    <tableColumn id="9" xr3:uid="{00000000-0010-0000-0000-000009000000}" name="CATEGORIA_COD" dataDxfId="50">
      <calculatedColumnFormula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calculatedColumnFormula>
    </tableColumn>
    <tableColumn id="10" xr3:uid="{00000000-0010-0000-0000-00000A000000}" name="GRUPO_COD" dataDxfId="49">
      <calculatedColumnFormula>IFERROR(IF('PREENCHER AQUI'!E2="","",'PREENCHER AQUI'!E2),"")</calculatedColumnFormula>
    </tableColumn>
    <tableColumn id="11" xr3:uid="{00000000-0010-0000-0000-00000B000000}" name="MODALIDADE_COD" dataDxfId="48">
      <calculatedColumnFormula>IFERROR(IF('PREENCHER AQUI'!F2="","",'PREENCHER AQUI'!F2),"")</calculatedColumnFormula>
    </tableColumn>
    <tableColumn id="12" xr3:uid="{00000000-0010-0000-0000-00000C000000}" name="ELEMENTO_COD" dataDxfId="47">
      <calculatedColumnFormula>IF(Tabela1[[#This Row],[IPU_COD]]=9,"91",IF(Tabela1[[#This Row],[ACAO_COD]]="","",VLOOKUP(CONCATENATE("G",J2,"M",K2),qdd!$BC$2:$BD$46,2,FALSE)))</calculatedColumnFormula>
    </tableColumn>
    <tableColumn id="13" xr3:uid="{00000000-0010-0000-0000-00000D000000}" name="IPG_COD" dataDxfId="46">
      <calculatedColumnFormula>TEXT(IFERROR(VLOOKUP(CONCATENATE(C2,D2),qdd!$C$2:$G$1000,5,FALSE),""),0)</calculatedColumnFormula>
    </tableColumn>
    <tableColumn id="14" xr3:uid="{00000000-0010-0000-0000-00000E000000}" name="FONTE_COD" dataDxfId="45">
      <calculatedColumnFormula>IFERROR(IF('PREENCHER AQUI'!I2="","",'PREENCHER AQUI'!I2),"")</calculatedColumnFormula>
    </tableColumn>
    <tableColumn id="15" xr3:uid="{00000000-0010-0000-0000-00000F000000}" name="IPU_COD" dataDxfId="44">
      <calculatedColumnFormula>IFERROR(IF('PREENCHER AQUI'!J2="","",'PREENCHER AQUI'!J2),"")</calculatedColumnFormula>
    </tableColumn>
    <tableColumn id="16" xr3:uid="{00000000-0010-0000-0000-000010000000}" name="SIAFI_COMPLETO" dataDxfId="43">
      <calculatedColumnFormula>IFERROR(CONCATENATE(E2,F2,G2,D2,H2,I2,J2,K2,L2,M2,N2,O2),"")</calculatedColumnFormula>
    </tableColumn>
    <tableColumn id="17" xr3:uid="{00000000-0010-0000-0000-000011000000}" name="VALOR" dataDxfId="42" dataCellStyle="Vírgula">
      <calculatedColumnFormula>IFERROR(IF(Tabela4[[#This Row],[VALOR]]="","",IF(Tabela1[[#This Row],[ORIENTACAO]]="Anular",'PREENCHER AQUI'!K2*-1*100,'PREENCHER AQUI'!K2*100)),"")</calculatedColumnFormula>
    </tableColumn>
    <tableColumn id="18" xr3:uid="{00000000-0010-0000-0000-000012000000}" name="UO_SUPLEMENTADA" dataDxfId="41"/>
    <tableColumn id="19" xr3:uid="{00000000-0010-0000-0000-000013000000}" name="Ponto Focal" dataDxfId="40"/>
    <tableColumn id="20" xr3:uid="{00000000-0010-0000-0000-000014000000}" name="TIPO" dataDxfId="39">
      <calculatedColumnFormula>IFERROR(IF('PREENCHER AQUI'!L2="","999",LEFT('PREENCHER AQUI'!L2,1)),"")</calculatedColumnFormula>
    </tableColumn>
    <tableColumn id="21" xr3:uid="{00000000-0010-0000-0000-000015000000}" name="PROGRESSO" dataDxfId="38"/>
    <tableColumn id="22" xr3:uid="{00000000-0010-0000-0000-000016000000}" name="SIAFI" dataDxfId="37"/>
    <tableColumn id="25" xr3:uid="{00000000-0010-0000-0000-000019000000}" name="SIGLA" dataDxfId="36">
      <calculatedColumnFormula>IFERROR(VLOOKUP(Tabela1[[#This Row],[UO_COD]],qdd!$AT$1:$AU$102,2,FALSE),"")</calculatedColumnFormula>
    </tableColumn>
    <tableColumn id="24" xr3:uid="{00000000-0010-0000-0000-000018000000}" name="CONCAT" dataDxfId="35">
      <calculatedColumnFormula>CONCATENATE("F",Tabela1[[#This Row],[FONTE_COD]],Tabela1[[#This Row],[IPU_COD]],"G",Tabela1[[#This Row],[GRUPO_COD]],"T",Tabela1[[#This Row],[TIPO]])</calculatedColumnFormula>
    </tableColumn>
    <tableColumn id="23" xr3:uid="{00000000-0010-0000-0000-000017000000}" name="OC" dataDxfId="34">
      <calculatedColumnFormula>IFERROR(IF(Tabela1[[#This Row],[ORIENTACAO]]="ANULAR","",VLOOKUP(CONCATENATE("F",Tabela1[[#This Row],[FONTE_COD]],Tabela1[[#This Row],[IPU_COD]],"G",Tabela1[[#This Row],[GRUPO_COD]],"T",Tabela1[[#This Row],[TIPO]]),REGRAS!$F$2:$G$5000,2,FALSE)),"")</calculatedColumnFormula>
    </tableColumn>
    <tableColumn id="26" xr3:uid="{00000000-0010-0000-0000-00001A000000}" name="AUTORIZAÇÃO" dataDxfId="33"/>
    <tableColumn id="27" xr3:uid="{00000000-0010-0000-0000-00001B000000}" name="APLICAÇÃO" dataDxfId="32">
      <calculatedColumnFormula>IFERROR(VLOOKUP(CONCATENATE("B",Tabela1[[#This Row],[BLOCO]],Tabela1[[#This Row],[UO_COD]]),qdd!$AW$2:$AX$1000,2,FALSE),"")</calculatedColumnFormula>
    </tableColumn>
    <tableColumn id="33" xr3:uid="{00000000-0010-0000-0000-000021000000}" name="VALOR INCISO" dataDxfId="31" dataCellStyle="Vírgula">
      <calculatedColumnFormula>IFERROR(Tabela1[[#This Row],[VALOR]]/100,"")</calculatedColumnFormula>
    </tableColumn>
    <tableColumn id="28" xr3:uid="{00000000-0010-0000-0000-00001C000000}" name="VALOR EXTENSO" dataDxfId="30">
      <calculatedColumnFormula array="1">IF(Tabela1[[#This Row],[VALOR]]&lt;0,"",IFERROR(SUBSTITUTE(Converter_numero(Tabela1[[#This Row],[VALOR INCISO]]),",",""),""))</calculatedColumnFormula>
    </tableColumn>
    <tableColumn id="29" xr3:uid="{00000000-0010-0000-0000-00001D000000}" name="Inciso" dataDxfId="29">
      <calculatedColumnFormula>IF(Tabela1[[#This Row],[TIPO]]=REGRAS!$W$2,REGRAS!$X$2,IF(Tabela1[[#This Row],[TIPO]]=REGRAS!$W$4,REGRAS!$X$4,""))</calculatedColumnFormula>
    </tableColumn>
    <tableColumn id="30" xr3:uid="{00000000-0010-0000-0000-00001E000000}" name="Nome da Fonte" dataDxfId="28">
      <calculatedColumnFormula>VLOOKUP(Tabela1[[#This Row],[FONTE_COD]],REGRAS!$O$2:$P$69,2,FALSE)</calculatedColumnFormula>
    </tableColumn>
    <tableColumn id="34" xr3:uid="{00000000-0010-0000-0000-000022000000}" name="RECURSO PROPRIO" dataDxfId="27">
      <calculatedColumnFormula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M1000" totalsRowShown="0" headerRowDxfId="14" dataDxfId="13">
  <autoFilter ref="A1:M1000" xr:uid="{00000000-0009-0000-0100-000004000000}"/>
  <tableColumns count="13">
    <tableColumn id="1" xr3:uid="{00000000-0010-0000-0100-000001000000}" name="BLOCO" dataDxfId="12"/>
    <tableColumn id="2" xr3:uid="{00000000-0010-0000-0100-000002000000}" name="ORIENTACAO" dataDxfId="11"/>
    <tableColumn id="3" xr3:uid="{00000000-0010-0000-0100-000003000000}" name="UO_COD" dataDxfId="10"/>
    <tableColumn id="4" xr3:uid="{00000000-0010-0000-0100-000004000000}" name="ACAO_COD" dataDxfId="9"/>
    <tableColumn id="6" xr3:uid="{00000000-0010-0000-0100-000006000000}" name="GRUPO_COD" dataDxfId="8"/>
    <tableColumn id="7" xr3:uid="{00000000-0010-0000-0100-000007000000}" name="MODALIDADE_COD" dataDxfId="7"/>
    <tableColumn id="8" xr3:uid="{00000000-0010-0000-0100-000008000000}" name="ELEMENTO_COD" dataDxfId="6"/>
    <tableColumn id="9" xr3:uid="{00000000-0010-0000-0100-000009000000}" name="IPG_COD" dataDxfId="5"/>
    <tableColumn id="10" xr3:uid="{00000000-0010-0000-0100-00000A000000}" name="FONTE_COD" dataDxfId="4"/>
    <tableColumn id="11" xr3:uid="{00000000-0010-0000-0100-00000B000000}" name="IPU_COD" dataDxfId="3"/>
    <tableColumn id="12" xr3:uid="{00000000-0010-0000-0100-00000C000000}" name="VALOR" dataDxfId="2" dataCellStyle="Vírgula"/>
    <tableColumn id="13" xr3:uid="{00000000-0010-0000-0100-00000D000000}" name="TIPO" dataDxfId="1"/>
    <tableColumn id="5" xr3:uid="{00000000-0010-0000-0100-000005000000}" name="JUSTIFICATIVA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FF0000"/>
  </sheetPr>
  <dimension ref="A1:AF1000"/>
  <sheetViews>
    <sheetView showGridLines="0" tabSelected="1" topLeftCell="H1" zoomScale="80" zoomScaleNormal="80" workbookViewId="0">
      <pane ySplit="1" topLeftCell="A2" activePane="bottomLeft" state="frozen"/>
      <selection activeCell="F14" sqref="F14"/>
      <selection pane="bottomLeft" activeCell="U16" sqref="U16"/>
    </sheetView>
  </sheetViews>
  <sheetFormatPr defaultColWidth="9.140625" defaultRowHeight="18.75" customHeight="1"/>
  <cols>
    <col min="1" max="1" width="10.5703125" style="1" customWidth="1"/>
    <col min="2" max="2" width="21.7109375" style="1" customWidth="1"/>
    <col min="3" max="3" width="14.85546875" style="3" bestFit="1" customWidth="1"/>
    <col min="4" max="4" width="17" style="2" bestFit="1" customWidth="1"/>
    <col min="5" max="5" width="11.5703125" style="2" customWidth="1"/>
    <col min="6" max="6" width="8.7109375" style="2" customWidth="1"/>
    <col min="7" max="7" width="14.7109375" style="2" customWidth="1"/>
    <col min="8" max="8" width="17.28515625" style="2" customWidth="1"/>
    <col min="9" max="9" width="9.140625" style="2" customWidth="1"/>
    <col min="10" max="10" width="8.5703125" style="2" customWidth="1"/>
    <col min="11" max="11" width="13" style="2" customWidth="1"/>
    <col min="12" max="12" width="23.7109375" style="2" customWidth="1"/>
    <col min="13" max="13" width="9.28515625" style="2" customWidth="1"/>
    <col min="14" max="14" width="13.85546875" style="2" customWidth="1"/>
    <col min="15" max="15" width="15" style="2" bestFit="1" customWidth="1"/>
    <col min="16" max="16" width="42.85546875" style="1" customWidth="1"/>
    <col min="17" max="17" width="56.5703125" style="1" customWidth="1"/>
    <col min="18" max="18" width="27.140625" style="1" customWidth="1"/>
    <col min="19" max="19" width="7.28515625" style="1" customWidth="1"/>
    <col min="20" max="20" width="14.42578125" style="1" customWidth="1"/>
    <col min="21" max="21" width="18" style="1" bestFit="1" customWidth="1"/>
    <col min="22" max="23" width="12.85546875" style="1" customWidth="1"/>
    <col min="24" max="24" width="12.85546875" style="1" hidden="1" customWidth="1"/>
    <col min="25" max="25" width="9.42578125" style="1" bestFit="1" customWidth="1"/>
    <col min="26" max="26" width="20.140625" style="1" bestFit="1" customWidth="1"/>
    <col min="27" max="27" width="16.7109375" style="1" bestFit="1" customWidth="1"/>
    <col min="28" max="28" width="16.7109375" style="22" customWidth="1"/>
    <col min="29" max="29" width="81.42578125" style="7" bestFit="1" customWidth="1"/>
    <col min="30" max="30" width="21.5703125" style="7" customWidth="1"/>
    <col min="31" max="31" width="50.7109375" style="7" customWidth="1"/>
    <col min="32" max="32" width="20.7109375" style="7" customWidth="1"/>
    <col min="33" max="16384" width="9.140625" style="1"/>
  </cols>
  <sheetData>
    <row r="1" spans="1:32" ht="18.75" customHeigh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23" t="s">
        <v>25</v>
      </c>
      <c r="AA1" s="23" t="s">
        <v>26</v>
      </c>
      <c r="AB1" s="28" t="s">
        <v>27</v>
      </c>
      <c r="AC1" s="31" t="s">
        <v>28</v>
      </c>
      <c r="AD1" s="32" t="s">
        <v>29</v>
      </c>
      <c r="AE1" s="32" t="s">
        <v>30</v>
      </c>
      <c r="AF1" s="31" t="s">
        <v>31</v>
      </c>
    </row>
    <row r="2" spans="1:32" ht="18.75" customHeight="1">
      <c r="A2" s="2">
        <f>IFERROR(IF('PREENCHER AQUI'!A2="","",'PREENCHER AQUI'!A2),"")</f>
        <v>1</v>
      </c>
      <c r="B2" s="1" t="str">
        <f>IFERROR(IF('PREENCHER AQUI'!B2="","",PROPER('PREENCHER AQUI'!B2)),"")</f>
        <v>Anular</v>
      </c>
      <c r="C2" s="1">
        <f>IFERROR(IF('PREENCHER AQUI'!C2="","",'PREENCHER AQUI'!C2),"")</f>
        <v>4711</v>
      </c>
      <c r="D2" s="2">
        <f>IFERROR(IF('PREENCHER AQUI'!D2="","",'PREENCHER AQUI'!D2),"")</f>
        <v>7957</v>
      </c>
      <c r="E2" s="2" t="str">
        <f>IFERROR(VLOOKUP(CONCATENATE(C2,D2),qdd!$C$2:$F$1000,2,FALSE),"")</f>
        <v>09</v>
      </c>
      <c r="F2" s="2" t="str">
        <f>IFERROR(VLOOKUP(CONCATENATE(C2,D2),qdd!$C$2:$F$1000,3,FALSE),"")</f>
        <v>272</v>
      </c>
      <c r="G2" s="2" t="str">
        <f>IFERROR(VLOOKUP(CONCATENATE(C2,D2),qdd!$C$2:$F$1000,4,FALSE),"")</f>
        <v>705</v>
      </c>
      <c r="H2" s="6" t="str">
        <f t="shared" ref="H2" si="0">IF(E2="","","0001")</f>
        <v>0001</v>
      </c>
      <c r="I2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2" s="2">
        <f>IFERROR(IF('PREENCHER AQUI'!E2="","",'PREENCHER AQUI'!E2),"")</f>
        <v>1</v>
      </c>
      <c r="K2" s="2">
        <f>IFERROR(IF('PREENCHER AQUI'!F2="","",'PREENCHER AQUI'!F2),"")</f>
        <v>90</v>
      </c>
      <c r="L2" s="2">
        <f>IF(Tabela1[[#This Row],[IPU_COD]]=9,"91",IF(Tabela1[[#This Row],[ACAO_COD]]="","",VLOOKUP(CONCATENATE("G",J2,"M",K2),qdd!$BC$2:$BD$46,2,FALSE)))</f>
        <v>13</v>
      </c>
      <c r="M2" s="2" t="str">
        <f>TEXT(IFERROR(VLOOKUP(CONCATENATE(C2,D2),qdd!$C$2:$G$1000,5,FALSE),""),0)</f>
        <v>0</v>
      </c>
      <c r="N2" s="2">
        <f>IFERROR(IF('PREENCHER AQUI'!I2="","",'PREENCHER AQUI'!I2),"")</f>
        <v>10</v>
      </c>
      <c r="O2" s="2">
        <f>IFERROR(IF('PREENCHER AQUI'!J2="","",'PREENCHER AQUI'!J2),"")</f>
        <v>1</v>
      </c>
      <c r="P2" s="7" t="str">
        <f t="shared" ref="P2" si="1">IFERROR(CONCATENATE(E2,F2,G2,D2,H2,I2,J2,K2,L2,M2,N2,O2),"")</f>
        <v>09272705795700013190130101</v>
      </c>
      <c r="Q2" s="8">
        <f>IFERROR(IF(Tabela4[[#This Row],[VALOR]]="","",IF(Tabela1[[#This Row],[ORIENTACAO]]="Anular",'PREENCHER AQUI'!K2*-1*100,'PREENCHER AQUI'!K2*100)),"")</f>
        <v>-30500000</v>
      </c>
      <c r="T2" s="7" t="str">
        <f>IFERROR(IF('PREENCHER AQUI'!L2="","999",LEFT('PREENCHER AQUI'!L2,1)),"")</f>
        <v>4</v>
      </c>
      <c r="U2" s="7"/>
      <c r="V2" s="7"/>
      <c r="W2" s="1" t="str">
        <f>IFERROR(VLOOKUP(Tabela1[[#This Row],[UO_COD]],qdd!$AT$1:$AU$102,2,FALSE),"")</f>
        <v>FFP - MG</v>
      </c>
      <c r="X2" s="1" t="str">
        <f>CONCATENATE("F",Tabela1[[#This Row],[FONTE_COD]],Tabela1[[#This Row],[IPU_COD]],"G",Tabela1[[#This Row],[GRUPO_COD]],"T",Tabela1[[#This Row],[TIPO]])</f>
        <v>F101G1T4</v>
      </c>
      <c r="Y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" s="19"/>
      <c r="AA2" s="7" t="str">
        <f>IFERROR(VLOOKUP(CONCATENATE("B",Tabela1[[#This Row],[BLOCO]],Tabela1[[#This Row],[UO_COD]]),qdd!$AW$2:$AX$1000,2,FALSE),"")</f>
        <v>Substituição de fonte</v>
      </c>
      <c r="AB2" s="30">
        <f>IFERROR(Tabela1[[#This Row],[VALOR]]/100,"")</f>
        <v>-305000</v>
      </c>
      <c r="AC2" s="7" t="str" cm="1">
        <f t="array" ref="AC2">IF(Tabela1[[#This Row],[VALOR]]&lt;0,"",IFERROR(SUBSTITUTE(Converter_numero(Tabela1[[#This Row],[VALOR INCISO]]),",",""),""))</f>
        <v/>
      </c>
      <c r="AD2" s="7" t="str">
        <f>IF(Tabela1[[#This Row],[TIPO]]=REGRAS!$W$2,REGRAS!$X$2,IF(Tabela1[[#This Row],[TIPO]]=REGRAS!$W$4,REGRAS!$X$4,""))</f>
        <v/>
      </c>
      <c r="AE2" s="29" t="str">
        <f>VLOOKUP(Tabela1[[#This Row],[FONTE_COD]],REGRAS!$O$2:$P$69,2,FALSE)</f>
        <v>Recursos ordinários – recursos não vinculados de impostos</v>
      </c>
      <c r="AF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" spans="1:32" ht="18.75" customHeight="1">
      <c r="A3" s="2">
        <f>IFERROR(IF('PREENCHER AQUI'!A3="","",'PREENCHER AQUI'!A3),"")</f>
        <v>1</v>
      </c>
      <c r="B3" s="1" t="str">
        <f>IFERROR(IF('PREENCHER AQUI'!B3="","",PROPER('PREENCHER AQUI'!B3)),"")</f>
        <v>Suplementar</v>
      </c>
      <c r="C3" s="1">
        <f>IFERROR(IF('PREENCHER AQUI'!C3="","",'PREENCHER AQUI'!C3),"")</f>
        <v>1911</v>
      </c>
      <c r="D3" s="2">
        <f>IFERROR(IF('PREENCHER AQUI'!D3="","",'PREENCHER AQUI'!D3),"")</f>
        <v>2049</v>
      </c>
      <c r="E3" s="2" t="str">
        <f>IFERROR(VLOOKUP(CONCATENATE(C3,D3),qdd!$C$2:$F$1000,2,FALSE),"")</f>
        <v>04</v>
      </c>
      <c r="F3" s="2" t="str">
        <f>IFERROR(VLOOKUP(CONCATENATE(C3,D3),qdd!$C$2:$F$1000,3,FALSE),"")</f>
        <v>123</v>
      </c>
      <c r="G3" s="2" t="str">
        <f>IFERROR(VLOOKUP(CONCATENATE(C3,D3),qdd!$C$2:$F$1000,4,FALSE),"")</f>
        <v>705</v>
      </c>
      <c r="H3" s="6" t="str">
        <f t="shared" ref="H3:H66" si="2">IF(E3="","","0001")</f>
        <v>0001</v>
      </c>
      <c r="I3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3" s="2">
        <f>IFERROR(IF('PREENCHER AQUI'!E3="","",'PREENCHER AQUI'!E3),"")</f>
        <v>3</v>
      </c>
      <c r="K3" s="2">
        <f>IFERROR(IF('PREENCHER AQUI'!F3="","",'PREENCHER AQUI'!F3),"")</f>
        <v>20</v>
      </c>
      <c r="L3" s="2" t="str">
        <f>IF(Tabela1[[#This Row],[IPU_COD]]=9,"91",IF(Tabela1[[#This Row],[ACAO_COD]]="","",VLOOKUP(CONCATENATE("G",J3,"M",K3),qdd!$BC$2:$BD$46,2,FALSE)))</f>
        <v>41</v>
      </c>
      <c r="M3" s="2" t="str">
        <f>TEXT(IFERROR(VLOOKUP(CONCATENATE(C3,D3),qdd!$C$2:$G$1000,5,FALSE),""),0)</f>
        <v>0</v>
      </c>
      <c r="N3" s="2">
        <f>IFERROR(IF('PREENCHER AQUI'!I3="","",'PREENCHER AQUI'!I3),"")</f>
        <v>10</v>
      </c>
      <c r="O3" s="2">
        <f>IFERROR(IF('PREENCHER AQUI'!J3="","",'PREENCHER AQUI'!J3),"")</f>
        <v>1</v>
      </c>
      <c r="P3" s="7" t="str">
        <f t="shared" ref="P3:P66" si="3">IFERROR(CONCATENATE(E3,F3,G3,D3,H3,I3,J3,K3,L3,M3,N3,O3),"")</f>
        <v>04123705204900013320410101</v>
      </c>
      <c r="Q3" s="8">
        <f>IFERROR(IF(Tabela4[[#This Row],[VALOR]]="","",IF(Tabela1[[#This Row],[ORIENTACAO]]="Anular",'PREENCHER AQUI'!K3*-1*100,'PREENCHER AQUI'!K3*100)),"")</f>
        <v>30000000</v>
      </c>
      <c r="T3" s="7" t="str">
        <f>IFERROR(IF('PREENCHER AQUI'!L3="","999",LEFT('PREENCHER AQUI'!L3,1)),"")</f>
        <v>4</v>
      </c>
      <c r="U3" s="7"/>
      <c r="V3" s="29"/>
      <c r="W3" s="1" t="str">
        <f>IFERROR(VLOOKUP(Tabela1[[#This Row],[UO_COD]],qdd!$AT$1:$AU$102,2,FALSE),"")</f>
        <v>EGE - SEF</v>
      </c>
      <c r="X3" s="1" t="str">
        <f>CONCATENATE("F",Tabela1[[#This Row],[FONTE_COD]],Tabela1[[#This Row],[IPU_COD]],"G",Tabela1[[#This Row],[GRUPO_COD]],"T",Tabela1[[#This Row],[TIPO]])</f>
        <v>F101G3T4</v>
      </c>
      <c r="Y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3" s="19"/>
      <c r="AA3" s="29" t="str">
        <f>IFERROR(VLOOKUP(CONCATENATE("B",Tabela1[[#This Row],[BLOCO]],Tabela1[[#This Row],[UO_COD]]),qdd!$AW$2:$AX$1000,2,FALSE),"")</f>
        <v>Regime emergencial de abastecimento interno de combustíveis_Medida Provisória nº 1.349, de 7 de abril de 2026</v>
      </c>
      <c r="AB3" s="30">
        <f>IFERROR(Tabela1[[#This Row],[VALOR]]/100,"")</f>
        <v>300000</v>
      </c>
      <c r="AC3" s="7" t="str" cm="1">
        <f t="array" aca="1" ref="AC3" ca="1">IF(Tabela1[[#This Row],[VALOR]]&lt;0,"",IFERROR(SUBSTITUTE(Converter_numero(Tabela1[[#This Row],[VALOR INCISO]]),",",""),""))</f>
        <v/>
      </c>
      <c r="AD3" s="29" t="str">
        <f>IF(Tabela1[[#This Row],[TIPO]]=REGRAS!$W$2,REGRAS!$X$2,IF(Tabela1[[#This Row],[TIPO]]=REGRAS!$W$4,REGRAS!$X$4,""))</f>
        <v/>
      </c>
      <c r="AE3" s="29" t="str">
        <f>VLOOKUP(Tabela1[[#This Row],[FONTE_COD]],REGRAS!$O$2:$P$69,2,FALSE)</f>
        <v>Recursos ordinários – recursos não vinculados de impostos</v>
      </c>
      <c r="AF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" spans="1:32" ht="18.75" customHeight="1">
      <c r="A4" s="2">
        <f>IFERROR(IF('PREENCHER AQUI'!A4="","",'PREENCHER AQUI'!A4),"")</f>
        <v>1</v>
      </c>
      <c r="B4" s="1" t="str">
        <f>IFERROR(IF('PREENCHER AQUI'!B4="","",PROPER('PREENCHER AQUI'!B4)),"")</f>
        <v>Suplementar</v>
      </c>
      <c r="C4" s="1">
        <f>IFERROR(IF('PREENCHER AQUI'!C4="","",'PREENCHER AQUI'!C4),"")</f>
        <v>1911</v>
      </c>
      <c r="D4" s="2">
        <f>IFERROR(IF('PREENCHER AQUI'!D4="","",'PREENCHER AQUI'!D4),"")</f>
        <v>2049</v>
      </c>
      <c r="E4" s="2" t="str">
        <f>IFERROR(VLOOKUP(CONCATENATE(C4,D4),qdd!$C$2:$F$1000,2,FALSE),"")</f>
        <v>04</v>
      </c>
      <c r="F4" s="2" t="str">
        <f>IFERROR(VLOOKUP(CONCATENATE(C4,D4),qdd!$C$2:$F$1000,3,FALSE),"")</f>
        <v>123</v>
      </c>
      <c r="G4" s="2" t="str">
        <f>IFERROR(VLOOKUP(CONCATENATE(C4,D4),qdd!$C$2:$F$1000,4,FALSE),"")</f>
        <v>705</v>
      </c>
      <c r="H4" s="6" t="str">
        <f t="shared" si="2"/>
        <v>0001</v>
      </c>
      <c r="I4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4" s="2">
        <f>IFERROR(IF('PREENCHER AQUI'!E4="","",'PREENCHER AQUI'!E4),"")</f>
        <v>3</v>
      </c>
      <c r="K4" s="2">
        <f>IFERROR(IF('PREENCHER AQUI'!F4="","",'PREENCHER AQUI'!F4),"")</f>
        <v>90</v>
      </c>
      <c r="L4" s="2" t="str">
        <f>IF(Tabela1[[#This Row],[IPU_COD]]=9,"91",IF(Tabela1[[#This Row],[ACAO_COD]]="","",VLOOKUP(CONCATENATE("G",J4,"M",K4),qdd!$BC$2:$BD$46,2,FALSE)))</f>
        <v>41</v>
      </c>
      <c r="M4" s="2" t="str">
        <f>TEXT(IFERROR(VLOOKUP(CONCATENATE(C4,D4),qdd!$C$2:$G$1000,5,FALSE),""),0)</f>
        <v>0</v>
      </c>
      <c r="N4" s="2">
        <f>IFERROR(IF('PREENCHER AQUI'!I4="","",'PREENCHER AQUI'!I4),"")</f>
        <v>10</v>
      </c>
      <c r="O4" s="2">
        <f>IFERROR(IF('PREENCHER AQUI'!J4="","",'PREENCHER AQUI'!J4),"")</f>
        <v>1</v>
      </c>
      <c r="P4" s="7" t="str">
        <f t="shared" si="3"/>
        <v>04123705204900013390410101</v>
      </c>
      <c r="Q4" s="8">
        <f>IFERROR(IF(Tabela4[[#This Row],[VALOR]]="","",IF(Tabela1[[#This Row],[ORIENTACAO]]="Anular",'PREENCHER AQUI'!K4*-1*100,'PREENCHER AQUI'!K4*100)),"")</f>
        <v>500000</v>
      </c>
      <c r="T4" s="7" t="str">
        <f>IFERROR(IF('PREENCHER AQUI'!L4="","999",LEFT('PREENCHER AQUI'!L4,1)),"")</f>
        <v>4</v>
      </c>
      <c r="U4" s="7"/>
      <c r="V4" s="29"/>
      <c r="W4" s="1" t="str">
        <f>IFERROR(VLOOKUP(Tabela1[[#This Row],[UO_COD]],qdd!$AT$1:$AU$102,2,FALSE),"")</f>
        <v>EGE - SEF</v>
      </c>
      <c r="X4" s="1" t="str">
        <f>CONCATENATE("F",Tabela1[[#This Row],[FONTE_COD]],Tabela1[[#This Row],[IPU_COD]],"G",Tabela1[[#This Row],[GRUPO_COD]],"T",Tabela1[[#This Row],[TIPO]])</f>
        <v>F101G3T4</v>
      </c>
      <c r="Y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4" s="19"/>
      <c r="AA4" s="29" t="str">
        <f>IFERROR(VLOOKUP(CONCATENATE("B",Tabela1[[#This Row],[BLOCO]],Tabela1[[#This Row],[UO_COD]]),qdd!$AW$2:$AX$1000,2,FALSE),"")</f>
        <v>Regime emergencial de abastecimento interno de combustíveis_Medida Provisória nº 1.349, de 7 de abril de 2026</v>
      </c>
      <c r="AB4" s="30">
        <f>IFERROR(Tabela1[[#This Row],[VALOR]]/100,"")</f>
        <v>5000</v>
      </c>
      <c r="AC4" s="7" t="str" cm="1">
        <f t="array" aca="1" ref="AC4" ca="1">IF(Tabela1[[#This Row],[VALOR]]&lt;0,"",IFERROR(SUBSTITUTE(Converter_numero(Tabela1[[#This Row],[VALOR INCISO]]),",",""),""))</f>
        <v/>
      </c>
      <c r="AD4" s="29" t="str">
        <f>IF(Tabela1[[#This Row],[TIPO]]=REGRAS!$W$2,REGRAS!$X$2,IF(Tabela1[[#This Row],[TIPO]]=REGRAS!$W$4,REGRAS!$X$4,""))</f>
        <v/>
      </c>
      <c r="AE4" s="29" t="str">
        <f>VLOOKUP(Tabela1[[#This Row],[FONTE_COD]],REGRAS!$O$2:$P$69,2,FALSE)</f>
        <v>Recursos ordinários – recursos não vinculados de impostos</v>
      </c>
      <c r="AF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" spans="1:32" ht="18.75" customHeight="1">
      <c r="A5" s="2">
        <f>IFERROR(IF('PREENCHER AQUI'!A5="","",'PREENCHER AQUI'!A5),"")</f>
        <v>2</v>
      </c>
      <c r="B5" s="1" t="str">
        <f>IFERROR(IF('PREENCHER AQUI'!B5="","",PROPER('PREENCHER AQUI'!B5)),"")</f>
        <v>Anular</v>
      </c>
      <c r="C5" s="1">
        <f>IFERROR(IF('PREENCHER AQUI'!C5="","",'PREENCHER AQUI'!C5),"")</f>
        <v>4291</v>
      </c>
      <c r="D5" s="2">
        <f>IFERROR(IF('PREENCHER AQUI'!D5="","",'PREENCHER AQUI'!D5),"")</f>
        <v>4131</v>
      </c>
      <c r="E5" s="2" t="str">
        <f>IFERROR(VLOOKUP(CONCATENATE(C5,D5),qdd!$C$2:$F$1000,2,FALSE),"")</f>
        <v>10</v>
      </c>
      <c r="F5" s="2" t="str">
        <f>IFERROR(VLOOKUP(CONCATENATE(C5,D5),qdd!$C$2:$F$1000,3,FALSE),"")</f>
        <v>302</v>
      </c>
      <c r="G5" s="2" t="str">
        <f>IFERROR(VLOOKUP(CONCATENATE(C5,D5),qdd!$C$2:$F$1000,4,FALSE),"")</f>
        <v>061</v>
      </c>
      <c r="H5" s="6" t="str">
        <f t="shared" si="2"/>
        <v>0001</v>
      </c>
      <c r="I5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5" s="2">
        <f>IFERROR(IF('PREENCHER AQUI'!E5="","",'PREENCHER AQUI'!E5),"")</f>
        <v>3</v>
      </c>
      <c r="K5" s="2">
        <f>IFERROR(IF('PREENCHER AQUI'!F5="","",'PREENCHER AQUI'!F5),"")</f>
        <v>41</v>
      </c>
      <c r="L5" s="2" t="str">
        <f>IF(Tabela1[[#This Row],[IPU_COD]]=9,"91",IF(Tabela1[[#This Row],[ACAO_COD]]="","",VLOOKUP(CONCATENATE("G",J5,"M",K5),qdd!$BC$2:$BD$46,2,FALSE)))</f>
        <v>41</v>
      </c>
      <c r="M5" s="2" t="str">
        <f>TEXT(IFERROR(VLOOKUP(CONCATENATE(C5,D5),qdd!$C$2:$G$1000,5,FALSE),""),0)</f>
        <v>0</v>
      </c>
      <c r="N5" s="2">
        <f>IFERROR(IF('PREENCHER AQUI'!I5="","",'PREENCHER AQUI'!I5),"")</f>
        <v>10</v>
      </c>
      <c r="O5" s="2">
        <f>IFERROR(IF('PREENCHER AQUI'!J5="","",'PREENCHER AQUI'!J5),"")</f>
        <v>1</v>
      </c>
      <c r="P5" s="7" t="str">
        <f t="shared" si="3"/>
        <v>10302061413100013341410101</v>
      </c>
      <c r="Q5" s="8">
        <f>IFERROR(IF(Tabela4[[#This Row],[VALOR]]="","",IF(Tabela1[[#This Row],[ORIENTACAO]]="Anular",'PREENCHER AQUI'!K5*-1*100,'PREENCHER AQUI'!K5*100)),"")</f>
        <v>-1963574711</v>
      </c>
      <c r="T5" s="7" t="str">
        <f>IFERROR(IF('PREENCHER AQUI'!L5="","999",LEFT('PREENCHER AQUI'!L5,1)),"")</f>
        <v>1</v>
      </c>
      <c r="U5" s="7"/>
      <c r="V5" s="29"/>
      <c r="W5" s="20" t="str">
        <f>IFERROR(VLOOKUP(Tabela1[[#This Row],[UO_COD]],qdd!$AT$1:$AU$102,2,FALSE),"")</f>
        <v>FES</v>
      </c>
      <c r="X5" s="20" t="str">
        <f>CONCATENATE("F",Tabela1[[#This Row],[FONTE_COD]],Tabela1[[#This Row],[IPU_COD]],"G",Tabela1[[#This Row],[GRUPO_COD]],"T",Tabela1[[#This Row],[TIPO]])</f>
        <v>F101G3T1</v>
      </c>
      <c r="Y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" s="19"/>
      <c r="AA5" s="29" t="str">
        <f>IFERROR(VLOOKUP(CONCATENATE("B",Tabela1[[#This Row],[BLOCO]],Tabela1[[#This Row],[UO_COD]]),qdd!$AW$2:$AX$1000,2,FALSE),"")</f>
        <v>Remanejamento de Crédito para atender demandas do Fundo Estadual de Saúde.</v>
      </c>
      <c r="AB5" s="30">
        <f>IFERROR(Tabela1[[#This Row],[VALOR]]/100,"")</f>
        <v>-19635747.109999999</v>
      </c>
      <c r="AC5" s="7" t="str" cm="1">
        <f t="array" ref="AC5">IF(Tabela1[[#This Row],[VALOR]]&lt;0,"",IFERROR(SUBSTITUTE(Converter_numero(Tabela1[[#This Row],[VALOR INCISO]]),",",""),""))</f>
        <v/>
      </c>
      <c r="AD5" s="29" t="str">
        <f>IF(Tabela1[[#This Row],[TIPO]]=REGRAS!$W$2,REGRAS!$X$2,IF(Tabela1[[#This Row],[TIPO]]=REGRAS!$W$4,REGRAS!$X$4,""))</f>
        <v/>
      </c>
      <c r="AE5" s="29" t="str">
        <f>VLOOKUP(Tabela1[[#This Row],[FONTE_COD]],REGRAS!$O$2:$P$69,2,FALSE)</f>
        <v>Recursos ordinários – recursos não vinculados de impostos</v>
      </c>
      <c r="AF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" spans="1:32" ht="18.75" customHeight="1">
      <c r="A6" s="2">
        <f>IFERROR(IF('PREENCHER AQUI'!A6="","",'PREENCHER AQUI'!A6),"")</f>
        <v>2</v>
      </c>
      <c r="B6" s="1" t="str">
        <f>IFERROR(IF('PREENCHER AQUI'!B6="","",PROPER('PREENCHER AQUI'!B6)),"")</f>
        <v>Suplementar</v>
      </c>
      <c r="C6" s="1">
        <f>IFERROR(IF('PREENCHER AQUI'!C6="","",'PREENCHER AQUI'!C6),"")</f>
        <v>4291</v>
      </c>
      <c r="D6" s="2">
        <f>IFERROR(IF('PREENCHER AQUI'!D6="","",'PREENCHER AQUI'!D6),"")</f>
        <v>2500</v>
      </c>
      <c r="E6" s="2" t="str">
        <f>IFERROR(VLOOKUP(CONCATENATE(C6,D6),qdd!$C$2:$F$1000,2,FALSE),"")</f>
        <v>10</v>
      </c>
      <c r="F6" s="2" t="str">
        <f>IFERROR(VLOOKUP(CONCATENATE(C6,D6),qdd!$C$2:$F$1000,3,FALSE),"")</f>
        <v>122</v>
      </c>
      <c r="G6" s="2" t="str">
        <f>IFERROR(VLOOKUP(CONCATENATE(C6,D6),qdd!$C$2:$F$1000,4,FALSE),"")</f>
        <v>705</v>
      </c>
      <c r="H6" s="6" t="str">
        <f t="shared" si="2"/>
        <v>0001</v>
      </c>
      <c r="I6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4</v>
      </c>
      <c r="J6" s="2">
        <f>IFERROR(IF('PREENCHER AQUI'!E6="","",'PREENCHER AQUI'!E6),"")</f>
        <v>4</v>
      </c>
      <c r="K6" s="2">
        <f>IFERROR(IF('PREENCHER AQUI'!F6="","",'PREENCHER AQUI'!F6),"")</f>
        <v>41</v>
      </c>
      <c r="L6" s="2" t="str">
        <f>IF(Tabela1[[#This Row],[IPU_COD]]=9,"91",IF(Tabela1[[#This Row],[ACAO_COD]]="","",VLOOKUP(CONCATENATE("G",J6,"M",K6),qdd!$BC$2:$BD$46,2,FALSE)))</f>
        <v>92</v>
      </c>
      <c r="M6" s="2" t="str">
        <f>TEXT(IFERROR(VLOOKUP(CONCATENATE(C6,D6),qdd!$C$2:$G$1000,5,FALSE),""),0)</f>
        <v>0</v>
      </c>
      <c r="N6" s="2">
        <f>IFERROR(IF('PREENCHER AQUI'!I6="","",'PREENCHER AQUI'!I6),"")</f>
        <v>10</v>
      </c>
      <c r="O6" s="2">
        <f>IFERROR(IF('PREENCHER AQUI'!J6="","",'PREENCHER AQUI'!J6),"")</f>
        <v>1</v>
      </c>
      <c r="P6" s="7" t="str">
        <f t="shared" si="3"/>
        <v>10122705250000014441920101</v>
      </c>
      <c r="Q6" s="8">
        <f>IFERROR(IF(Tabela4[[#This Row],[VALOR]]="","",IF(Tabela1[[#This Row],[ORIENTACAO]]="Anular",'PREENCHER AQUI'!K6*-1*100,'PREENCHER AQUI'!K6*100)),"")</f>
        <v>319313900</v>
      </c>
      <c r="T6" s="7" t="str">
        <f>IFERROR(IF('PREENCHER AQUI'!L6="","999",LEFT('PREENCHER AQUI'!L6,1)),"")</f>
        <v>1</v>
      </c>
      <c r="U6" s="7"/>
      <c r="V6" s="29"/>
      <c r="W6" s="1" t="str">
        <f>IFERROR(VLOOKUP(Tabela1[[#This Row],[UO_COD]],qdd!$AT$1:$AU$102,2,FALSE),"")</f>
        <v>FES</v>
      </c>
      <c r="X6" s="1" t="str">
        <f>CONCATENATE("F",Tabela1[[#This Row],[FONTE_COD]],Tabela1[[#This Row],[IPU_COD]],"G",Tabela1[[#This Row],[GRUPO_COD]],"T",Tabela1[[#This Row],[TIPO]])</f>
        <v>F101G4T1</v>
      </c>
      <c r="Y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6" s="19"/>
      <c r="AA6" s="29" t="str">
        <f>IFERROR(VLOOKUP(CONCATENATE("B",Tabela1[[#This Row],[BLOCO]],Tabela1[[#This Row],[UO_COD]]),qdd!$AW$2:$AX$1000,2,FALSE),"")</f>
        <v>Remanejamento de Crédito para atender demandas do Fundo Estadual de Saúde.</v>
      </c>
      <c r="AB6" s="30">
        <f>IFERROR(Tabela1[[#This Row],[VALOR]]/100,"")</f>
        <v>3193139</v>
      </c>
      <c r="AC6" s="7" t="str" cm="1">
        <f t="array" aca="1" ref="AC6" ca="1">IF(Tabela1[[#This Row],[VALOR]]&lt;0,"",IFERROR(SUBSTITUTE(Converter_numero(Tabela1[[#This Row],[VALOR INCISO]]),",",""),""))</f>
        <v/>
      </c>
      <c r="AD6" s="29" t="str">
        <f>IF(Tabela1[[#This Row],[TIPO]]=REGRAS!$W$2,REGRAS!$X$2,IF(Tabela1[[#This Row],[TIPO]]=REGRAS!$W$4,REGRAS!$X$4,""))</f>
        <v/>
      </c>
      <c r="AE6" s="29" t="str">
        <f>VLOOKUP(Tabela1[[#This Row],[FONTE_COD]],REGRAS!$O$2:$P$69,2,FALSE)</f>
        <v>Recursos ordinários – recursos não vinculados de impostos</v>
      </c>
      <c r="AF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" spans="1:32" ht="18.75" customHeight="1">
      <c r="A7" s="2">
        <f>IFERROR(IF('PREENCHER AQUI'!A7="","",'PREENCHER AQUI'!A7),"")</f>
        <v>2</v>
      </c>
      <c r="B7" s="1" t="str">
        <f>IFERROR(IF('PREENCHER AQUI'!B7="","",PROPER('PREENCHER AQUI'!B7)),"")</f>
        <v>Suplementar</v>
      </c>
      <c r="C7" s="1">
        <f>IFERROR(IF('PREENCHER AQUI'!C7="","",'PREENCHER AQUI'!C7),"")</f>
        <v>4291</v>
      </c>
      <c r="D7" s="2">
        <f>IFERROR(IF('PREENCHER AQUI'!D7="","",'PREENCHER AQUI'!D7),"")</f>
        <v>4125</v>
      </c>
      <c r="E7" s="2" t="str">
        <f>IFERROR(VLOOKUP(CONCATENATE(C7,D7),qdd!$C$2:$F$1000,2,FALSE),"")</f>
        <v>10</v>
      </c>
      <c r="F7" s="2" t="str">
        <f>IFERROR(VLOOKUP(CONCATENATE(C7,D7),qdd!$C$2:$F$1000,3,FALSE),"")</f>
        <v>301</v>
      </c>
      <c r="G7" s="2" t="str">
        <f>IFERROR(VLOOKUP(CONCATENATE(C7,D7),qdd!$C$2:$F$1000,4,FALSE),"")</f>
        <v>060</v>
      </c>
      <c r="H7" s="6" t="str">
        <f t="shared" si="2"/>
        <v>0001</v>
      </c>
      <c r="I7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7" s="2">
        <f>IFERROR(IF('PREENCHER AQUI'!E7="","",'PREENCHER AQUI'!E7),"")</f>
        <v>3</v>
      </c>
      <c r="K7" s="2">
        <f>IFERROR(IF('PREENCHER AQUI'!F7="","",'PREENCHER AQUI'!F7),"")</f>
        <v>41</v>
      </c>
      <c r="L7" s="2" t="str">
        <f>IF(Tabela1[[#This Row],[IPU_COD]]=9,"91",IF(Tabela1[[#This Row],[ACAO_COD]]="","",VLOOKUP(CONCATENATE("G",J7,"M",K7),qdd!$BC$2:$BD$46,2,FALSE)))</f>
        <v>41</v>
      </c>
      <c r="M7" s="2" t="str">
        <f>TEXT(IFERROR(VLOOKUP(CONCATENATE(C7,D7),qdd!$C$2:$G$1000,5,FALSE),""),0)</f>
        <v>0</v>
      </c>
      <c r="N7" s="2">
        <f>IFERROR(IF('PREENCHER AQUI'!I7="","",'PREENCHER AQUI'!I7),"")</f>
        <v>10</v>
      </c>
      <c r="O7" s="2">
        <f>IFERROR(IF('PREENCHER AQUI'!J7="","",'PREENCHER AQUI'!J7),"")</f>
        <v>1</v>
      </c>
      <c r="P7" s="7" t="str">
        <f t="shared" si="3"/>
        <v>10301060412500013341410101</v>
      </c>
      <c r="Q7" s="8">
        <f>IFERROR(IF(Tabela4[[#This Row],[VALOR]]="","",IF(Tabela1[[#This Row],[ORIENTACAO]]="Anular",'PREENCHER AQUI'!K7*-1*100,'PREENCHER AQUI'!K7*100)),"")</f>
        <v>368921696</v>
      </c>
      <c r="T7" s="7" t="str">
        <f>IFERROR(IF('PREENCHER AQUI'!L7="","999",LEFT('PREENCHER AQUI'!L7,1)),"")</f>
        <v>1</v>
      </c>
      <c r="U7" s="7"/>
      <c r="V7" s="7"/>
      <c r="W7" s="1" t="str">
        <f>IFERROR(VLOOKUP(Tabela1[[#This Row],[UO_COD]],qdd!$AT$1:$AU$102,2,FALSE),"")</f>
        <v>FES</v>
      </c>
      <c r="X7" s="1" t="str">
        <f>CONCATENATE("F",Tabela1[[#This Row],[FONTE_COD]],Tabela1[[#This Row],[IPU_COD]],"G",Tabela1[[#This Row],[GRUPO_COD]],"T",Tabela1[[#This Row],[TIPO]])</f>
        <v>F101G3T1</v>
      </c>
      <c r="Y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7" s="19"/>
      <c r="AA7" s="29" t="str">
        <f>IFERROR(VLOOKUP(CONCATENATE("B",Tabela1[[#This Row],[BLOCO]],Tabela1[[#This Row],[UO_COD]]),qdd!$AW$2:$AX$1000,2,FALSE),"")</f>
        <v>Remanejamento de Crédito para atender demandas do Fundo Estadual de Saúde.</v>
      </c>
      <c r="AB7" s="30">
        <f>IFERROR(Tabela1[[#This Row],[VALOR]]/100,"")</f>
        <v>3689216.96</v>
      </c>
      <c r="AC7" s="7" t="str" cm="1">
        <f t="array" aca="1" ref="AC7" ca="1">IF(Tabela1[[#This Row],[VALOR]]&lt;0,"",IFERROR(SUBSTITUTE(Converter_numero(Tabela1[[#This Row],[VALOR INCISO]]),",",""),""))</f>
        <v/>
      </c>
      <c r="AD7" s="7" t="str">
        <f>IF(Tabela1[[#This Row],[TIPO]]=REGRAS!$W$2,REGRAS!$X$2,IF(Tabela1[[#This Row],[TIPO]]=REGRAS!$W$4,REGRAS!$X$4,""))</f>
        <v/>
      </c>
      <c r="AE7" s="29" t="str">
        <f>VLOOKUP(Tabela1[[#This Row],[FONTE_COD]],REGRAS!$O$2:$P$69,2,FALSE)</f>
        <v>Recursos ordinários – recursos não vinculados de impostos</v>
      </c>
      <c r="AF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" spans="1:32" ht="18.75" customHeight="1">
      <c r="A8" s="2">
        <f>IFERROR(IF('PREENCHER AQUI'!A8="","",'PREENCHER AQUI'!A8),"")</f>
        <v>2</v>
      </c>
      <c r="B8" s="1" t="str">
        <f>IFERROR(IF('PREENCHER AQUI'!B8="","",PROPER('PREENCHER AQUI'!B8)),"")</f>
        <v>Suplementar</v>
      </c>
      <c r="C8" s="1">
        <f>IFERROR(IF('PREENCHER AQUI'!C8="","",'PREENCHER AQUI'!C8),"")</f>
        <v>4291</v>
      </c>
      <c r="D8" s="2">
        <f>IFERROR(IF('PREENCHER AQUI'!D8="","",'PREENCHER AQUI'!D8),"")</f>
        <v>4127</v>
      </c>
      <c r="E8" s="2" t="str">
        <f>IFERROR(VLOOKUP(CONCATENATE(C8,D8),qdd!$C$2:$F$1000,2,FALSE),"")</f>
        <v>10</v>
      </c>
      <c r="F8" s="2" t="str">
        <f>IFERROR(VLOOKUP(CONCATENATE(C8,D8),qdd!$C$2:$F$1000,3,FALSE),"")</f>
        <v>301</v>
      </c>
      <c r="G8" s="2" t="str">
        <f>IFERROR(VLOOKUP(CONCATENATE(C8,D8),qdd!$C$2:$F$1000,4,FALSE),"")</f>
        <v>060</v>
      </c>
      <c r="H8" s="6" t="str">
        <f t="shared" si="2"/>
        <v>0001</v>
      </c>
      <c r="I8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4</v>
      </c>
      <c r="J8" s="2">
        <f>IFERROR(IF('PREENCHER AQUI'!E8="","",'PREENCHER AQUI'!E8),"")</f>
        <v>4</v>
      </c>
      <c r="K8" s="2">
        <f>IFERROR(IF('PREENCHER AQUI'!F8="","",'PREENCHER AQUI'!F8),"")</f>
        <v>41</v>
      </c>
      <c r="L8" s="2" t="str">
        <f>IF(Tabela1[[#This Row],[IPU_COD]]=9,"91",IF(Tabela1[[#This Row],[ACAO_COD]]="","",VLOOKUP(CONCATENATE("G",J8,"M",K8),qdd!$BC$2:$BD$46,2,FALSE)))</f>
        <v>92</v>
      </c>
      <c r="M8" s="2" t="str">
        <f>TEXT(IFERROR(VLOOKUP(CONCATENATE(C8,D8),qdd!$C$2:$G$1000,5,FALSE),""),0)</f>
        <v>0</v>
      </c>
      <c r="N8" s="2">
        <f>IFERROR(IF('PREENCHER AQUI'!I8="","",'PREENCHER AQUI'!I8),"")</f>
        <v>10</v>
      </c>
      <c r="O8" s="2">
        <f>IFERROR(IF('PREENCHER AQUI'!J8="","",'PREENCHER AQUI'!J8),"")</f>
        <v>1</v>
      </c>
      <c r="P8" s="7" t="str">
        <f t="shared" si="3"/>
        <v>10301060412700014441920101</v>
      </c>
      <c r="Q8" s="8">
        <f>IFERROR(IF(Tabela4[[#This Row],[VALOR]]="","",IF(Tabela1[[#This Row],[ORIENTACAO]]="Anular",'PREENCHER AQUI'!K8*-1*100,'PREENCHER AQUI'!K8*100)),"")</f>
        <v>1275339115</v>
      </c>
      <c r="T8" s="7" t="str">
        <f>IFERROR(IF('PREENCHER AQUI'!L8="","999",LEFT('PREENCHER AQUI'!L8,1)),"")</f>
        <v>1</v>
      </c>
      <c r="U8" s="7"/>
      <c r="V8" s="29"/>
      <c r="W8" s="1" t="str">
        <f>IFERROR(VLOOKUP(Tabela1[[#This Row],[UO_COD]],qdd!$AT$1:$AU$102,2,FALSE),"")</f>
        <v>FES</v>
      </c>
      <c r="X8" s="1" t="str">
        <f>CONCATENATE("F",Tabela1[[#This Row],[FONTE_COD]],Tabela1[[#This Row],[IPU_COD]],"G",Tabela1[[#This Row],[GRUPO_COD]],"T",Tabela1[[#This Row],[TIPO]])</f>
        <v>F101G4T1</v>
      </c>
      <c r="Y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8" s="19"/>
      <c r="AA8" s="29" t="str">
        <f>IFERROR(VLOOKUP(CONCATENATE("B",Tabela1[[#This Row],[BLOCO]],Tabela1[[#This Row],[UO_COD]]),qdd!$AW$2:$AX$1000,2,FALSE),"")</f>
        <v>Remanejamento de Crédito para atender demandas do Fundo Estadual de Saúde.</v>
      </c>
      <c r="AB8" s="30">
        <f>IFERROR(Tabela1[[#This Row],[VALOR]]/100,"")</f>
        <v>12753391.15</v>
      </c>
      <c r="AC8" s="7" t="str" cm="1">
        <f t="array" aca="1" ref="AC8" ca="1">IF(Tabela1[[#This Row],[VALOR]]&lt;0,"",IFERROR(SUBSTITUTE(Converter_numero(Tabela1[[#This Row],[VALOR INCISO]]),",",""),""))</f>
        <v/>
      </c>
      <c r="AD8" s="29" t="str">
        <f>IF(Tabela1[[#This Row],[TIPO]]=REGRAS!$W$2,REGRAS!$X$2,IF(Tabela1[[#This Row],[TIPO]]=REGRAS!$W$4,REGRAS!$X$4,""))</f>
        <v/>
      </c>
      <c r="AE8" s="29" t="str">
        <f>VLOOKUP(Tabela1[[#This Row],[FONTE_COD]],REGRAS!$O$2:$P$69,2,FALSE)</f>
        <v>Recursos ordinários – recursos não vinculados de impostos</v>
      </c>
      <c r="AF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" spans="1:32" ht="18.75" customHeight="1">
      <c r="A9" s="2">
        <f>IFERROR(IF('PREENCHER AQUI'!A9="","",'PREENCHER AQUI'!A9),"")</f>
        <v>3</v>
      </c>
      <c r="B9" s="1" t="str">
        <f>IFERROR(IF('PREENCHER AQUI'!B9="","",PROPER('PREENCHER AQUI'!B9)),"")</f>
        <v>Suplementar</v>
      </c>
      <c r="C9" s="1">
        <f>IFERROR(IF('PREENCHER AQUI'!C9="","",'PREENCHER AQUI'!C9),"")</f>
        <v>1261</v>
      </c>
      <c r="D9" s="2">
        <f>IFERROR(IF('PREENCHER AQUI'!D9="","",'PREENCHER AQUI'!D9),"")</f>
        <v>2096</v>
      </c>
      <c r="E9" s="2" t="str">
        <f>IFERROR(VLOOKUP(CONCATENATE(C9,D9),qdd!$C$2:$F$1000,2,FALSE),"")</f>
        <v>12</v>
      </c>
      <c r="F9" s="2" t="str">
        <f>IFERROR(VLOOKUP(CONCATENATE(C9,D9),qdd!$C$2:$F$1000,3,FALSE),"")</f>
        <v>368</v>
      </c>
      <c r="G9" s="2" t="str">
        <f>IFERROR(VLOOKUP(CONCATENATE(C9,D9),qdd!$C$2:$F$1000,4,FALSE),"")</f>
        <v>162</v>
      </c>
      <c r="H9" s="6" t="str">
        <f t="shared" si="2"/>
        <v>0001</v>
      </c>
      <c r="I9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9" s="2">
        <f>IFERROR(IF('PREENCHER AQUI'!E9="","",'PREENCHER AQUI'!E9),"")</f>
        <v>3</v>
      </c>
      <c r="K9" s="2">
        <f>IFERROR(IF('PREENCHER AQUI'!F9="","",'PREENCHER AQUI'!F9),"")</f>
        <v>90</v>
      </c>
      <c r="L9" s="2" t="str">
        <f>IF(Tabela1[[#This Row],[IPU_COD]]=9,"91",IF(Tabela1[[#This Row],[ACAO_COD]]="","",VLOOKUP(CONCATENATE("G",J9,"M",K9),qdd!$BC$2:$BD$46,2,FALSE)))</f>
        <v>41</v>
      </c>
      <c r="M9" s="2" t="str">
        <f>TEXT(IFERROR(VLOOKUP(CONCATENATE(C9,D9),qdd!$C$2:$G$1000,5,FALSE),""),0)</f>
        <v>0</v>
      </c>
      <c r="N9" s="2">
        <f>IFERROR(IF('PREENCHER AQUI'!I9="","",'PREENCHER AQUI'!I9),"")</f>
        <v>10</v>
      </c>
      <c r="O9" s="2">
        <f>IFERROR(IF('PREENCHER AQUI'!J9="","",'PREENCHER AQUI'!J9),"")</f>
        <v>7</v>
      </c>
      <c r="P9" s="7" t="str">
        <f t="shared" si="3"/>
        <v>12368162209600013390410107</v>
      </c>
      <c r="Q9" s="8">
        <f>IFERROR(IF(Tabela4[[#This Row],[VALOR]]="","",IF(Tabela1[[#This Row],[ORIENTACAO]]="Anular",'PREENCHER AQUI'!K9*-1*100,'PREENCHER AQUI'!K9*100)),"")</f>
        <v>80000000</v>
      </c>
      <c r="T9" s="7" t="str">
        <f>IFERROR(IF('PREENCHER AQUI'!L9="","999",LEFT('PREENCHER AQUI'!L9,1)),"")</f>
        <v>1</v>
      </c>
      <c r="U9" s="7"/>
      <c r="V9" s="29"/>
      <c r="W9" s="1" t="str">
        <f>IFERROR(VLOOKUP(Tabela1[[#This Row],[UO_COD]],qdd!$AT$1:$AU$102,2,FALSE),"")</f>
        <v>SEE</v>
      </c>
      <c r="X9" s="1" t="str">
        <f>CONCATENATE("F",Tabela1[[#This Row],[FONTE_COD]],Tabela1[[#This Row],[IPU_COD]],"G",Tabela1[[#This Row],[GRUPO_COD]],"T",Tabela1[[#This Row],[TIPO]])</f>
        <v>F107G3T1</v>
      </c>
      <c r="Y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9" s="19"/>
      <c r="AA9" s="29" t="str">
        <f>IFERROR(VLOOKUP(CONCATENATE("B",Tabela1[[#This Row],[BLOCO]],Tabela1[[#This Row],[UO_COD]]),qdd!$AW$2:$AX$1000,2,FALSE),"")</f>
        <v>Ajuste além crédito</v>
      </c>
      <c r="AB9" s="30">
        <f>IFERROR(Tabela1[[#This Row],[VALOR]]/100,"")</f>
        <v>800000</v>
      </c>
      <c r="AC9" s="7" t="str" cm="1">
        <f t="array" aca="1" ref="AC9" ca="1">IF(Tabela1[[#This Row],[VALOR]]&lt;0,"",IFERROR(SUBSTITUTE(Converter_numero(Tabela1[[#This Row],[VALOR INCISO]]),",",""),""))</f>
        <v/>
      </c>
      <c r="AD9" s="29" t="str">
        <f>IF(Tabela1[[#This Row],[TIPO]]=REGRAS!$W$2,REGRAS!$X$2,IF(Tabela1[[#This Row],[TIPO]]=REGRAS!$W$4,REGRAS!$X$4,""))</f>
        <v/>
      </c>
      <c r="AE9" s="29" t="str">
        <f>VLOOKUP(Tabela1[[#This Row],[FONTE_COD]],REGRAS!$O$2:$P$69,2,FALSE)</f>
        <v>Recursos ordinários – recursos não vinculados de impostos</v>
      </c>
      <c r="AF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" spans="1:32" ht="18.75" customHeight="1">
      <c r="A10" s="2">
        <f>IFERROR(IF('PREENCHER AQUI'!A10="","",'PREENCHER AQUI'!A10),"")</f>
        <v>3</v>
      </c>
      <c r="B10" s="1" t="str">
        <f>IFERROR(IF('PREENCHER AQUI'!B10="","",PROPER('PREENCHER AQUI'!B10)),"")</f>
        <v>Anular</v>
      </c>
      <c r="C10" s="1">
        <f>IFERROR(IF('PREENCHER AQUI'!C10="","",'PREENCHER AQUI'!C10),"")</f>
        <v>1261</v>
      </c>
      <c r="D10" s="2">
        <f>IFERROR(IF('PREENCHER AQUI'!D10="","",'PREENCHER AQUI'!D10),"")</f>
        <v>2097</v>
      </c>
      <c r="E10" s="2" t="str">
        <f>IFERROR(VLOOKUP(CONCATENATE(C10,D10),qdd!$C$2:$F$1000,2,FALSE),"")</f>
        <v>12</v>
      </c>
      <c r="F10" s="2" t="str">
        <f>IFERROR(VLOOKUP(CONCATENATE(C10,D10),qdd!$C$2:$F$1000,3,FALSE),"")</f>
        <v>368</v>
      </c>
      <c r="G10" s="2" t="str">
        <f>IFERROR(VLOOKUP(CONCATENATE(C10,D10),qdd!$C$2:$F$1000,4,FALSE),"")</f>
        <v>162</v>
      </c>
      <c r="H10" s="6" t="str">
        <f t="shared" si="2"/>
        <v>0001</v>
      </c>
      <c r="I10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10" s="2">
        <f>IFERROR(IF('PREENCHER AQUI'!E10="","",'PREENCHER AQUI'!E10),"")</f>
        <v>1</v>
      </c>
      <c r="K10" s="2">
        <f>IFERROR(IF('PREENCHER AQUI'!F10="","",'PREENCHER AQUI'!F10),"")</f>
        <v>90</v>
      </c>
      <c r="L10" s="2">
        <f>IF(Tabela1[[#This Row],[IPU_COD]]=9,"91",IF(Tabela1[[#This Row],[ACAO_COD]]="","",VLOOKUP(CONCATENATE("G",J10,"M",K10),qdd!$BC$2:$BD$46,2,FALSE)))</f>
        <v>13</v>
      </c>
      <c r="M10" s="2" t="str">
        <f>TEXT(IFERROR(VLOOKUP(CONCATENATE(C10,D10),qdd!$C$2:$G$1000,5,FALSE),""),0)</f>
        <v>0</v>
      </c>
      <c r="N10" s="2">
        <f>IFERROR(IF('PREENCHER AQUI'!I10="","",'PREENCHER AQUI'!I10),"")</f>
        <v>10</v>
      </c>
      <c r="O10" s="2">
        <f>IFERROR(IF('PREENCHER AQUI'!J10="","",'PREENCHER AQUI'!J10),"")</f>
        <v>1</v>
      </c>
      <c r="P10" s="7" t="str">
        <f t="shared" si="3"/>
        <v>12368162209700013190130101</v>
      </c>
      <c r="Q10" s="8">
        <f>IFERROR(IF(Tabela4[[#This Row],[VALOR]]="","",IF(Tabela1[[#This Row],[ORIENTACAO]]="Anular",'PREENCHER AQUI'!K10*-1*100,'PREENCHER AQUI'!K10*100)),"")</f>
        <v>-80000000</v>
      </c>
      <c r="T10" s="7" t="str">
        <f>IFERROR(IF('PREENCHER AQUI'!L10="","999",LEFT('PREENCHER AQUI'!L10,1)),"")</f>
        <v>1</v>
      </c>
      <c r="U10" s="7"/>
      <c r="V10" s="29"/>
      <c r="W10" s="20" t="str">
        <f>IFERROR(VLOOKUP(Tabela1[[#This Row],[UO_COD]],qdd!$AT$1:$AU$102,2,FALSE),"")</f>
        <v>SEE</v>
      </c>
      <c r="X10" s="20" t="str">
        <f>CONCATENATE("F",Tabela1[[#This Row],[FONTE_COD]],Tabela1[[#This Row],[IPU_COD]],"G",Tabela1[[#This Row],[GRUPO_COD]],"T",Tabela1[[#This Row],[TIPO]])</f>
        <v>F101G1T1</v>
      </c>
      <c r="Y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" s="19"/>
      <c r="AA10" s="29" t="str">
        <f>IFERROR(VLOOKUP(CONCATENATE("B",Tabela1[[#This Row],[BLOCO]],Tabela1[[#This Row],[UO_COD]]),qdd!$AW$2:$AX$1000,2,FALSE),"")</f>
        <v>Ajuste além crédito</v>
      </c>
      <c r="AB10" s="30">
        <f>IFERROR(Tabela1[[#This Row],[VALOR]]/100,"")</f>
        <v>-800000</v>
      </c>
      <c r="AC10" s="7" t="str" cm="1">
        <f t="array" ref="AC10">IF(Tabela1[[#This Row],[VALOR]]&lt;0,"",IFERROR(SUBSTITUTE(Converter_numero(Tabela1[[#This Row],[VALOR INCISO]]),",",""),""))</f>
        <v/>
      </c>
      <c r="AD10" s="29" t="str">
        <f>IF(Tabela1[[#This Row],[TIPO]]=REGRAS!$W$2,REGRAS!$X$2,IF(Tabela1[[#This Row],[TIPO]]=REGRAS!$W$4,REGRAS!$X$4,""))</f>
        <v/>
      </c>
      <c r="AE10" s="29" t="str">
        <f>VLOOKUP(Tabela1[[#This Row],[FONTE_COD]],REGRAS!$O$2:$P$69,2,FALSE)</f>
        <v>Recursos ordinários – recursos não vinculados de impostos</v>
      </c>
      <c r="AF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" spans="1:32" ht="18.75" customHeight="1">
      <c r="A11" s="2" t="str">
        <f>IFERROR(IF('PREENCHER AQUI'!A11="","",'PREENCHER AQUI'!A11),"")</f>
        <v/>
      </c>
      <c r="B11" s="1" t="str">
        <f>IFERROR(IF('PREENCHER AQUI'!B11="","",PROPER('PREENCHER AQUI'!B11)),"")</f>
        <v/>
      </c>
      <c r="C11" s="1" t="str">
        <f>IFERROR(IF('PREENCHER AQUI'!C11="","",'PREENCHER AQUI'!C11),"")</f>
        <v/>
      </c>
      <c r="D11" s="2" t="str">
        <f>IFERROR(IF('PREENCHER AQUI'!D11="","",'PREENCHER AQUI'!D11),"")</f>
        <v/>
      </c>
      <c r="E11" s="2" t="str">
        <f>IFERROR(VLOOKUP(CONCATENATE(C11,D11),qdd!$C$2:$F$1000,2,FALSE),"")</f>
        <v/>
      </c>
      <c r="F11" s="2" t="str">
        <f>IFERROR(VLOOKUP(CONCATENATE(C11,D11),qdd!$C$2:$F$1000,3,FALSE),"")</f>
        <v/>
      </c>
      <c r="G11" s="2" t="str">
        <f>IFERROR(VLOOKUP(CONCATENATE(C11,D11),qdd!$C$2:$F$1000,4,FALSE),"")</f>
        <v/>
      </c>
      <c r="H11" s="6" t="str">
        <f t="shared" si="2"/>
        <v/>
      </c>
      <c r="I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" s="2" t="str">
        <f>IFERROR(IF('PREENCHER AQUI'!E11="","",'PREENCHER AQUI'!E11),"")</f>
        <v/>
      </c>
      <c r="K11" s="2" t="str">
        <f>IFERROR(IF('PREENCHER AQUI'!F11="","",'PREENCHER AQUI'!F11),"")</f>
        <v/>
      </c>
      <c r="L11" s="2" t="str">
        <f>IF(Tabela1[[#This Row],[IPU_COD]]=9,"91",IF(Tabela1[[#This Row],[ACAO_COD]]="","",VLOOKUP(CONCATENATE("G",J11,"M",K11),qdd!$BC$2:$BD$46,2,FALSE)))</f>
        <v/>
      </c>
      <c r="M11" s="2" t="str">
        <f>TEXT(IFERROR(VLOOKUP(CONCATENATE(C11,D11),qdd!$C$2:$G$1000,5,FALSE),""),0)</f>
        <v/>
      </c>
      <c r="N11" s="2" t="str">
        <f>IFERROR(IF('PREENCHER AQUI'!I11="","",'PREENCHER AQUI'!I11),"")</f>
        <v/>
      </c>
      <c r="O11" s="2" t="str">
        <f>IFERROR(IF('PREENCHER AQUI'!J11="","",'PREENCHER AQUI'!J11),"")</f>
        <v/>
      </c>
      <c r="P11" s="7" t="str">
        <f t="shared" si="3"/>
        <v/>
      </c>
      <c r="Q11" s="8" t="str">
        <f>IFERROR(IF(Tabela4[[#This Row],[VALOR]]="","",IF(Tabela1[[#This Row],[ORIENTACAO]]="Anular",'PREENCHER AQUI'!K11*-1*100,'PREENCHER AQUI'!K11*100)),"")</f>
        <v/>
      </c>
      <c r="T11" s="7" t="str">
        <f>IFERROR(IF('PREENCHER AQUI'!L11="","999",LEFT('PREENCHER AQUI'!L11,1)),"")</f>
        <v>999</v>
      </c>
      <c r="U11" s="7"/>
      <c r="V11" s="29"/>
      <c r="W11" s="1" t="str">
        <f>IFERROR(VLOOKUP(Tabela1[[#This Row],[UO_COD]],qdd!$AT$1:$AU$102,2,FALSE),"")</f>
        <v/>
      </c>
      <c r="X11" s="1" t="str">
        <f>CONCATENATE("F",Tabela1[[#This Row],[FONTE_COD]],Tabela1[[#This Row],[IPU_COD]],"G",Tabela1[[#This Row],[GRUPO_COD]],"T",Tabela1[[#This Row],[TIPO]])</f>
        <v>FGT999</v>
      </c>
      <c r="Y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" s="19"/>
      <c r="AA11" s="29" t="str">
        <f>IFERROR(VLOOKUP(CONCATENATE("B",Tabela1[[#This Row],[BLOCO]],Tabela1[[#This Row],[UO_COD]]),qdd!$AW$2:$AX$1000,2,FALSE),"")</f>
        <v/>
      </c>
      <c r="AB11" s="30" t="str">
        <f>IFERROR(Tabela1[[#This Row],[VALOR]]/100,"")</f>
        <v/>
      </c>
      <c r="AC11" s="7" t="str" cm="1">
        <f t="array" aca="1" ref="AC11" ca="1">IF(Tabela1[[#This Row],[VALOR]]&lt;0,"",IFERROR(SUBSTITUTE(Converter_numero(Tabela1[[#This Row],[VALOR INCISO]]),",",""),""))</f>
        <v/>
      </c>
      <c r="AD11" s="29" t="str">
        <f>IF(Tabela1[[#This Row],[TIPO]]=REGRAS!$W$2,REGRAS!$X$2,IF(Tabela1[[#This Row],[TIPO]]=REGRAS!$W$4,REGRAS!$X$4,""))</f>
        <v/>
      </c>
      <c r="AE11" s="29" t="e">
        <f>VLOOKUP(Tabela1[[#This Row],[FONTE_COD]],REGRAS!$O$2:$P$69,2,FALSE)</f>
        <v>#N/A</v>
      </c>
      <c r="AF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" spans="1:32" ht="18.75" customHeight="1">
      <c r="A12" s="2" t="str">
        <f>IFERROR(IF('PREENCHER AQUI'!A12="","",'PREENCHER AQUI'!A12),"")</f>
        <v/>
      </c>
      <c r="B12" s="1" t="str">
        <f>IFERROR(IF('PREENCHER AQUI'!B12="","",PROPER('PREENCHER AQUI'!B12)),"")</f>
        <v/>
      </c>
      <c r="C12" s="1" t="str">
        <f>IFERROR(IF('PREENCHER AQUI'!C12="","",'PREENCHER AQUI'!C12),"")</f>
        <v/>
      </c>
      <c r="D12" s="2" t="str">
        <f>IFERROR(IF('PREENCHER AQUI'!D12="","",'PREENCHER AQUI'!D12),"")</f>
        <v/>
      </c>
      <c r="E12" s="2" t="str">
        <f>IFERROR(VLOOKUP(CONCATENATE(C12,D12),qdd!$C$2:$F$1000,2,FALSE),"")</f>
        <v/>
      </c>
      <c r="F12" s="2" t="str">
        <f>IFERROR(VLOOKUP(CONCATENATE(C12,D12),qdd!$C$2:$F$1000,3,FALSE),"")</f>
        <v/>
      </c>
      <c r="G12" s="2" t="str">
        <f>IFERROR(VLOOKUP(CONCATENATE(C12,D12),qdd!$C$2:$F$1000,4,FALSE),"")</f>
        <v/>
      </c>
      <c r="H12" s="6" t="str">
        <f t="shared" si="2"/>
        <v/>
      </c>
      <c r="I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" s="2" t="str">
        <f>IFERROR(IF('PREENCHER AQUI'!E12="","",'PREENCHER AQUI'!E12),"")</f>
        <v/>
      </c>
      <c r="K12" s="2" t="str">
        <f>IFERROR(IF('PREENCHER AQUI'!F12="","",'PREENCHER AQUI'!F12),"")</f>
        <v/>
      </c>
      <c r="L12" s="2" t="str">
        <f>IF(Tabela1[[#This Row],[IPU_COD]]=9,"91",IF(Tabela1[[#This Row],[ACAO_COD]]="","",VLOOKUP(CONCATENATE("G",J12,"M",K12),qdd!$BC$2:$BD$46,2,FALSE)))</f>
        <v/>
      </c>
      <c r="M12" s="2" t="str">
        <f>TEXT(IFERROR(VLOOKUP(CONCATENATE(C12,D12),qdd!$C$2:$G$1000,5,FALSE),""),0)</f>
        <v/>
      </c>
      <c r="N12" s="2" t="str">
        <f>IFERROR(IF('PREENCHER AQUI'!I12="","",'PREENCHER AQUI'!I12),"")</f>
        <v/>
      </c>
      <c r="O12" s="2" t="str">
        <f>IFERROR(IF('PREENCHER AQUI'!J12="","",'PREENCHER AQUI'!J12),"")</f>
        <v/>
      </c>
      <c r="P12" s="7" t="str">
        <f t="shared" si="3"/>
        <v/>
      </c>
      <c r="Q12" s="8" t="str">
        <f>IFERROR(IF(Tabela4[[#This Row],[VALOR]]="","",IF(Tabela1[[#This Row],[ORIENTACAO]]="Anular",'PREENCHER AQUI'!K12*-1*100,'PREENCHER AQUI'!K12*100)),"")</f>
        <v/>
      </c>
      <c r="T12" s="7" t="str">
        <f>IFERROR(IF('PREENCHER AQUI'!L12="","999",LEFT('PREENCHER AQUI'!L12,1)),"")</f>
        <v>999</v>
      </c>
      <c r="U12" s="7"/>
      <c r="V12" s="7"/>
      <c r="W12" s="1" t="str">
        <f>IFERROR(VLOOKUP(Tabela1[[#This Row],[UO_COD]],qdd!$AT$1:$AU$102,2,FALSE),"")</f>
        <v/>
      </c>
      <c r="X12" s="1" t="str">
        <f>CONCATENATE("F",Tabela1[[#This Row],[FONTE_COD]],Tabela1[[#This Row],[IPU_COD]],"G",Tabela1[[#This Row],[GRUPO_COD]],"T",Tabela1[[#This Row],[TIPO]])</f>
        <v>FGT999</v>
      </c>
      <c r="Y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" s="19"/>
      <c r="AA12" s="29" t="str">
        <f>IFERROR(VLOOKUP(CONCATENATE("B",Tabela1[[#This Row],[BLOCO]],Tabela1[[#This Row],[UO_COD]]),qdd!$AW$2:$AX$1000,2,FALSE),"")</f>
        <v/>
      </c>
      <c r="AB12" s="30" t="str">
        <f>IFERROR(Tabela1[[#This Row],[VALOR]]/100,"")</f>
        <v/>
      </c>
      <c r="AC12" s="7" t="str" cm="1">
        <f t="array" aca="1" ref="AC12" ca="1">IF(Tabela1[[#This Row],[VALOR]]&lt;0,"",IFERROR(SUBSTITUTE(Converter_numero(Tabela1[[#This Row],[VALOR INCISO]]),",",""),""))</f>
        <v/>
      </c>
      <c r="AD12" s="7" t="str">
        <f>IF(Tabela1[[#This Row],[TIPO]]=REGRAS!$W$2,REGRAS!$X$2,IF(Tabela1[[#This Row],[TIPO]]=REGRAS!$W$4,REGRAS!$X$4,""))</f>
        <v/>
      </c>
      <c r="AE12" s="29" t="e">
        <f>VLOOKUP(Tabela1[[#This Row],[FONTE_COD]],REGRAS!$O$2:$P$69,2,FALSE)</f>
        <v>#N/A</v>
      </c>
      <c r="AF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" spans="1:32" ht="18.75" customHeight="1">
      <c r="A13" s="2" t="str">
        <f>IFERROR(IF('PREENCHER AQUI'!A13="","",'PREENCHER AQUI'!A13),"")</f>
        <v/>
      </c>
      <c r="B13" s="1" t="str">
        <f>IFERROR(IF('PREENCHER AQUI'!B13="","",PROPER('PREENCHER AQUI'!B13)),"")</f>
        <v/>
      </c>
      <c r="C13" s="1" t="str">
        <f>IFERROR(IF('PREENCHER AQUI'!C13="","",'PREENCHER AQUI'!C13),"")</f>
        <v/>
      </c>
      <c r="D13" s="2" t="str">
        <f>IFERROR(IF('PREENCHER AQUI'!D13="","",'PREENCHER AQUI'!D13),"")</f>
        <v/>
      </c>
      <c r="E13" s="2" t="str">
        <f>IFERROR(VLOOKUP(CONCATENATE(C13,D13),qdd!$C$2:$F$1000,2,FALSE),"")</f>
        <v/>
      </c>
      <c r="F13" s="2" t="str">
        <f>IFERROR(VLOOKUP(CONCATENATE(C13,D13),qdd!$C$2:$F$1000,3,FALSE),"")</f>
        <v/>
      </c>
      <c r="G13" s="2" t="str">
        <f>IFERROR(VLOOKUP(CONCATENATE(C13,D13),qdd!$C$2:$F$1000,4,FALSE),"")</f>
        <v/>
      </c>
      <c r="H13" s="6" t="str">
        <f t="shared" si="2"/>
        <v/>
      </c>
      <c r="I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" s="2" t="str">
        <f>IFERROR(IF('PREENCHER AQUI'!E13="","",'PREENCHER AQUI'!E13),"")</f>
        <v/>
      </c>
      <c r="K13" s="2" t="str">
        <f>IFERROR(IF('PREENCHER AQUI'!F13="","",'PREENCHER AQUI'!F13),"")</f>
        <v/>
      </c>
      <c r="L13" s="2" t="str">
        <f>IF(Tabela1[[#This Row],[IPU_COD]]=9,"91",IF(Tabela1[[#This Row],[ACAO_COD]]="","",VLOOKUP(CONCATENATE("G",J13,"M",K13),qdd!$BC$2:$BD$46,2,FALSE)))</f>
        <v/>
      </c>
      <c r="M13" s="2" t="str">
        <f>TEXT(IFERROR(VLOOKUP(CONCATENATE(C13,D13),qdd!$C$2:$G$1000,5,FALSE),""),0)</f>
        <v/>
      </c>
      <c r="N13" s="2" t="str">
        <f>IFERROR(IF('PREENCHER AQUI'!I13="","",'PREENCHER AQUI'!I13),"")</f>
        <v/>
      </c>
      <c r="O13" s="2" t="str">
        <f>IFERROR(IF('PREENCHER AQUI'!J13="","",'PREENCHER AQUI'!J13),"")</f>
        <v/>
      </c>
      <c r="P13" s="7" t="str">
        <f t="shared" si="3"/>
        <v/>
      </c>
      <c r="Q13" s="8" t="str">
        <f>IFERROR(IF(Tabela4[[#This Row],[VALOR]]="","",IF(Tabela1[[#This Row],[ORIENTACAO]]="Anular",'PREENCHER AQUI'!K13*-1*100,'PREENCHER AQUI'!K13*100)),"")</f>
        <v/>
      </c>
      <c r="T13" s="7" t="str">
        <f>IFERROR(IF('PREENCHER AQUI'!L13="","999",LEFT('PREENCHER AQUI'!L13,1)),"")</f>
        <v>999</v>
      </c>
      <c r="U13" s="7"/>
      <c r="V13" s="29"/>
      <c r="W13" s="1" t="str">
        <f>IFERROR(VLOOKUP(Tabela1[[#This Row],[UO_COD]],qdd!$AT$1:$AU$102,2,FALSE),"")</f>
        <v/>
      </c>
      <c r="X13" s="1" t="str">
        <f>CONCATENATE("F",Tabela1[[#This Row],[FONTE_COD]],Tabela1[[#This Row],[IPU_COD]],"G",Tabela1[[#This Row],[GRUPO_COD]],"T",Tabela1[[#This Row],[TIPO]])</f>
        <v>FGT999</v>
      </c>
      <c r="Y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" s="19"/>
      <c r="AA13" s="29" t="str">
        <f>IFERROR(VLOOKUP(CONCATENATE("B",Tabela1[[#This Row],[BLOCO]],Tabela1[[#This Row],[UO_COD]]),qdd!$AW$2:$AX$1000,2,FALSE),"")</f>
        <v/>
      </c>
      <c r="AB13" s="30" t="str">
        <f>IFERROR(Tabela1[[#This Row],[VALOR]]/100,"")</f>
        <v/>
      </c>
      <c r="AC13" s="7" t="str" cm="1">
        <f t="array" aca="1" ref="AC13" ca="1">IF(Tabela1[[#This Row],[VALOR]]&lt;0,"",IFERROR(SUBSTITUTE(Converter_numero(Tabela1[[#This Row],[VALOR INCISO]]),",",""),""))</f>
        <v/>
      </c>
      <c r="AD13" s="29" t="str">
        <f>IF(Tabela1[[#This Row],[TIPO]]=REGRAS!$W$2,REGRAS!$X$2,IF(Tabela1[[#This Row],[TIPO]]=REGRAS!$W$4,REGRAS!$X$4,""))</f>
        <v/>
      </c>
      <c r="AE13" s="29" t="e">
        <f>VLOOKUP(Tabela1[[#This Row],[FONTE_COD]],REGRAS!$O$2:$P$69,2,FALSE)</f>
        <v>#N/A</v>
      </c>
      <c r="AF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" spans="1:32" ht="18.75" customHeight="1">
      <c r="A14" s="2" t="str">
        <f>IFERROR(IF('PREENCHER AQUI'!A14="","",'PREENCHER AQUI'!A14),"")</f>
        <v/>
      </c>
      <c r="B14" s="1" t="str">
        <f>IFERROR(IF('PREENCHER AQUI'!B14="","",PROPER('PREENCHER AQUI'!B14)),"")</f>
        <v/>
      </c>
      <c r="C14" s="1" t="str">
        <f>IFERROR(IF('PREENCHER AQUI'!C14="","",'PREENCHER AQUI'!C14),"")</f>
        <v/>
      </c>
      <c r="D14" s="2" t="str">
        <f>IFERROR(IF('PREENCHER AQUI'!D14="","",'PREENCHER AQUI'!D14),"")</f>
        <v/>
      </c>
      <c r="E14" s="2" t="str">
        <f>IFERROR(VLOOKUP(CONCATENATE(C14,D14),qdd!$C$2:$F$1000,2,FALSE),"")</f>
        <v/>
      </c>
      <c r="F14" s="2" t="str">
        <f>IFERROR(VLOOKUP(CONCATENATE(C14,D14),qdd!$C$2:$F$1000,3,FALSE),"")</f>
        <v/>
      </c>
      <c r="G14" s="2" t="str">
        <f>IFERROR(VLOOKUP(CONCATENATE(C14,D14),qdd!$C$2:$F$1000,4,FALSE),"")</f>
        <v/>
      </c>
      <c r="H14" s="6" t="str">
        <f t="shared" si="2"/>
        <v/>
      </c>
      <c r="I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" s="2" t="str">
        <f>IFERROR(IF('PREENCHER AQUI'!E14="","",'PREENCHER AQUI'!E14),"")</f>
        <v/>
      </c>
      <c r="K14" s="2" t="str">
        <f>IFERROR(IF('PREENCHER AQUI'!F14="","",'PREENCHER AQUI'!F14),"")</f>
        <v/>
      </c>
      <c r="L14" s="2" t="str">
        <f>IF(Tabela1[[#This Row],[IPU_COD]]=9,"91",IF(Tabela1[[#This Row],[ACAO_COD]]="","",VLOOKUP(CONCATENATE("G",J14,"M",K14),qdd!$BC$2:$BD$46,2,FALSE)))</f>
        <v/>
      </c>
      <c r="M14" s="2" t="str">
        <f>TEXT(IFERROR(VLOOKUP(CONCATENATE(C14,D14),qdd!$C$2:$G$1000,5,FALSE),""),0)</f>
        <v/>
      </c>
      <c r="N14" s="2" t="str">
        <f>IFERROR(IF('PREENCHER AQUI'!I14="","",'PREENCHER AQUI'!I14),"")</f>
        <v/>
      </c>
      <c r="O14" s="2" t="str">
        <f>IFERROR(IF('PREENCHER AQUI'!J14="","",'PREENCHER AQUI'!J14),"")</f>
        <v/>
      </c>
      <c r="P14" s="7" t="str">
        <f t="shared" si="3"/>
        <v/>
      </c>
      <c r="Q14" s="8" t="str">
        <f>IFERROR(IF(Tabela4[[#This Row],[VALOR]]="","",IF(Tabela1[[#This Row],[ORIENTACAO]]="Anular",'PREENCHER AQUI'!K14*-1*100,'PREENCHER AQUI'!K14*100)),"")</f>
        <v/>
      </c>
      <c r="T14" s="7" t="str">
        <f>IFERROR(IF('PREENCHER AQUI'!L14="","999",LEFT('PREENCHER AQUI'!L14,1)),"")</f>
        <v>999</v>
      </c>
      <c r="U14" s="7"/>
      <c r="V14" s="29"/>
      <c r="W14" s="1" t="str">
        <f>IFERROR(VLOOKUP(Tabela1[[#This Row],[UO_COD]],qdd!$AT$1:$AU$102,2,FALSE),"")</f>
        <v/>
      </c>
      <c r="X14" s="1" t="str">
        <f>CONCATENATE("F",Tabela1[[#This Row],[FONTE_COD]],Tabela1[[#This Row],[IPU_COD]],"G",Tabela1[[#This Row],[GRUPO_COD]],"T",Tabela1[[#This Row],[TIPO]])</f>
        <v>FGT999</v>
      </c>
      <c r="Y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" s="19"/>
      <c r="AA14" s="29" t="str">
        <f>IFERROR(VLOOKUP(CONCATENATE("B",Tabela1[[#This Row],[BLOCO]],Tabela1[[#This Row],[UO_COD]]),qdd!$AW$2:$AX$1000,2,FALSE),"")</f>
        <v/>
      </c>
      <c r="AB14" s="30" t="str">
        <f>IFERROR(Tabela1[[#This Row],[VALOR]]/100,"")</f>
        <v/>
      </c>
      <c r="AC14" s="7" t="str" cm="1">
        <f t="array" aca="1" ref="AC14" ca="1">IF(Tabela1[[#This Row],[VALOR]]&lt;0,"",IFERROR(SUBSTITUTE(Converter_numero(Tabela1[[#This Row],[VALOR INCISO]]),",",""),""))</f>
        <v/>
      </c>
      <c r="AD14" s="29" t="str">
        <f>IF(Tabela1[[#This Row],[TIPO]]=REGRAS!$W$2,REGRAS!$X$2,IF(Tabela1[[#This Row],[TIPO]]=REGRAS!$W$4,REGRAS!$X$4,""))</f>
        <v/>
      </c>
      <c r="AE14" s="29" t="e">
        <f>VLOOKUP(Tabela1[[#This Row],[FONTE_COD]],REGRAS!$O$2:$P$69,2,FALSE)</f>
        <v>#N/A</v>
      </c>
      <c r="AF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" spans="1:32" ht="18.75" customHeight="1">
      <c r="A15" s="2" t="str">
        <f>IFERROR(IF('PREENCHER AQUI'!A15="","",'PREENCHER AQUI'!A15),"")</f>
        <v/>
      </c>
      <c r="B15" s="1" t="str">
        <f>IFERROR(IF('PREENCHER AQUI'!B15="","",PROPER('PREENCHER AQUI'!B15)),"")</f>
        <v/>
      </c>
      <c r="C15" s="1" t="str">
        <f>IFERROR(IF('PREENCHER AQUI'!C15="","",'PREENCHER AQUI'!C15),"")</f>
        <v/>
      </c>
      <c r="D15" s="2" t="str">
        <f>IFERROR(IF('PREENCHER AQUI'!D15="","",'PREENCHER AQUI'!D15),"")</f>
        <v/>
      </c>
      <c r="E15" s="2" t="str">
        <f>IFERROR(VLOOKUP(CONCATENATE(C15,D15),qdd!$C$2:$F$1000,2,FALSE),"")</f>
        <v/>
      </c>
      <c r="F15" s="2" t="str">
        <f>IFERROR(VLOOKUP(CONCATENATE(C15,D15),qdd!$C$2:$F$1000,3,FALSE),"")</f>
        <v/>
      </c>
      <c r="G15" s="2" t="str">
        <f>IFERROR(VLOOKUP(CONCATENATE(C15,D15),qdd!$C$2:$F$1000,4,FALSE),"")</f>
        <v/>
      </c>
      <c r="H15" s="6" t="str">
        <f t="shared" si="2"/>
        <v/>
      </c>
      <c r="I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" s="2" t="str">
        <f>IFERROR(IF('PREENCHER AQUI'!E15="","",'PREENCHER AQUI'!E15),"")</f>
        <v/>
      </c>
      <c r="K15" s="2" t="str">
        <f>IFERROR(IF('PREENCHER AQUI'!F15="","",'PREENCHER AQUI'!F15),"")</f>
        <v/>
      </c>
      <c r="L15" s="2" t="str">
        <f>IF(Tabela1[[#This Row],[IPU_COD]]=9,"91",IF(Tabela1[[#This Row],[ACAO_COD]]="","",VLOOKUP(CONCATENATE("G",J15,"M",K15),qdd!$BC$2:$BD$46,2,FALSE)))</f>
        <v/>
      </c>
      <c r="M15" s="2" t="str">
        <f>TEXT(IFERROR(VLOOKUP(CONCATENATE(C15,D15),qdd!$C$2:$G$1000,5,FALSE),""),0)</f>
        <v/>
      </c>
      <c r="N15" s="2" t="str">
        <f>IFERROR(IF('PREENCHER AQUI'!I15="","",'PREENCHER AQUI'!I15),"")</f>
        <v/>
      </c>
      <c r="O15" s="2" t="str">
        <f>IFERROR(IF('PREENCHER AQUI'!J15="","",'PREENCHER AQUI'!J15),"")</f>
        <v/>
      </c>
      <c r="P15" s="7" t="str">
        <f t="shared" si="3"/>
        <v/>
      </c>
      <c r="Q15" s="8" t="str">
        <f>IFERROR(IF(Tabela4[[#This Row],[VALOR]]="","",IF(Tabela1[[#This Row],[ORIENTACAO]]="Anular",'PREENCHER AQUI'!K15*-1*100,'PREENCHER AQUI'!K15*100)),"")</f>
        <v/>
      </c>
      <c r="T15" s="7" t="str">
        <f>IFERROR(IF('PREENCHER AQUI'!L15="","999",LEFT('PREENCHER AQUI'!L15,1)),"")</f>
        <v>999</v>
      </c>
      <c r="U15" s="7"/>
      <c r="V15" s="29"/>
      <c r="W15" s="20" t="str">
        <f>IFERROR(VLOOKUP(Tabela1[[#This Row],[UO_COD]],qdd!$AT$1:$AU$102,2,FALSE),"")</f>
        <v/>
      </c>
      <c r="X15" s="20" t="str">
        <f>CONCATENATE("F",Tabela1[[#This Row],[FONTE_COD]],Tabela1[[#This Row],[IPU_COD]],"G",Tabela1[[#This Row],[GRUPO_COD]],"T",Tabela1[[#This Row],[TIPO]])</f>
        <v>FGT999</v>
      </c>
      <c r="Y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" s="19"/>
      <c r="AA15" s="29" t="str">
        <f>IFERROR(VLOOKUP(CONCATENATE("B",Tabela1[[#This Row],[BLOCO]],Tabela1[[#This Row],[UO_COD]]),qdd!$AW$2:$AX$1000,2,FALSE),"")</f>
        <v/>
      </c>
      <c r="AB15" s="30" t="str">
        <f>IFERROR(Tabela1[[#This Row],[VALOR]]/100,"")</f>
        <v/>
      </c>
      <c r="AC15" s="7" t="str" cm="1">
        <f t="array" aca="1" ref="AC15" ca="1">IF(Tabela1[[#This Row],[VALOR]]&lt;0,"",IFERROR(SUBSTITUTE(Converter_numero(Tabela1[[#This Row],[VALOR INCISO]]),",",""),""))</f>
        <v/>
      </c>
      <c r="AD15" s="29" t="str">
        <f>IF(Tabela1[[#This Row],[TIPO]]=REGRAS!$W$2,REGRAS!$X$2,IF(Tabela1[[#This Row],[TIPO]]=REGRAS!$W$4,REGRAS!$X$4,""))</f>
        <v/>
      </c>
      <c r="AE15" s="29" t="e">
        <f>VLOOKUP(Tabela1[[#This Row],[FONTE_COD]],REGRAS!$O$2:$P$69,2,FALSE)</f>
        <v>#N/A</v>
      </c>
      <c r="AF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" spans="1:32" ht="18.75" customHeight="1">
      <c r="A16" s="2" t="str">
        <f>IFERROR(IF('PREENCHER AQUI'!A16="","",'PREENCHER AQUI'!A16),"")</f>
        <v/>
      </c>
      <c r="B16" s="1" t="str">
        <f>IFERROR(IF('PREENCHER AQUI'!B16="","",PROPER('PREENCHER AQUI'!B16)),"")</f>
        <v/>
      </c>
      <c r="C16" s="1" t="str">
        <f>IFERROR(IF('PREENCHER AQUI'!C16="","",'PREENCHER AQUI'!C16),"")</f>
        <v/>
      </c>
      <c r="D16" s="2" t="str">
        <f>IFERROR(IF('PREENCHER AQUI'!D16="","",'PREENCHER AQUI'!D16),"")</f>
        <v/>
      </c>
      <c r="E16" s="2" t="str">
        <f>IFERROR(VLOOKUP(CONCATENATE(C16,D16),qdd!$C$2:$F$1000,2,FALSE),"")</f>
        <v/>
      </c>
      <c r="F16" s="2" t="str">
        <f>IFERROR(VLOOKUP(CONCATENATE(C16,D16),qdd!$C$2:$F$1000,3,FALSE),"")</f>
        <v/>
      </c>
      <c r="G16" s="2" t="str">
        <f>IFERROR(VLOOKUP(CONCATENATE(C16,D16),qdd!$C$2:$F$1000,4,FALSE),"")</f>
        <v/>
      </c>
      <c r="H16" s="6" t="str">
        <f t="shared" si="2"/>
        <v/>
      </c>
      <c r="I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" s="2" t="str">
        <f>IFERROR(IF('PREENCHER AQUI'!E16="","",'PREENCHER AQUI'!E16),"")</f>
        <v/>
      </c>
      <c r="K16" s="2" t="str">
        <f>IFERROR(IF('PREENCHER AQUI'!F16="","",'PREENCHER AQUI'!F16),"")</f>
        <v/>
      </c>
      <c r="L16" s="2" t="str">
        <f>IF(Tabela1[[#This Row],[IPU_COD]]=9,"91",IF(Tabela1[[#This Row],[ACAO_COD]]="","",VLOOKUP(CONCATENATE("G",J16,"M",K16),qdd!$BC$2:$BD$46,2,FALSE)))</f>
        <v/>
      </c>
      <c r="M16" s="2" t="str">
        <f>TEXT(IFERROR(VLOOKUP(CONCATENATE(C16,D16),qdd!$C$2:$G$1000,5,FALSE),""),0)</f>
        <v/>
      </c>
      <c r="N16" s="2" t="str">
        <f>IFERROR(IF('PREENCHER AQUI'!I16="","",'PREENCHER AQUI'!I16),"")</f>
        <v/>
      </c>
      <c r="O16" s="2" t="str">
        <f>IFERROR(IF('PREENCHER AQUI'!J16="","",'PREENCHER AQUI'!J16),"")</f>
        <v/>
      </c>
      <c r="P16" s="7" t="str">
        <f t="shared" si="3"/>
        <v/>
      </c>
      <c r="Q16" s="8" t="str">
        <f>IFERROR(IF(Tabela4[[#This Row],[VALOR]]="","",IF(Tabela1[[#This Row],[ORIENTACAO]]="Anular",'PREENCHER AQUI'!K16*-1*100,'PREENCHER AQUI'!K16*100)),"")</f>
        <v/>
      </c>
      <c r="T16" s="7" t="str">
        <f>IFERROR(IF('PREENCHER AQUI'!L16="","999",LEFT('PREENCHER AQUI'!L16,1)),"")</f>
        <v>999</v>
      </c>
      <c r="U16" s="7"/>
      <c r="V16" s="29"/>
      <c r="W16" s="1" t="str">
        <f>IFERROR(VLOOKUP(Tabela1[[#This Row],[UO_COD]],qdd!$AT$1:$AU$102,2,FALSE),"")</f>
        <v/>
      </c>
      <c r="X16" s="1" t="str">
        <f>CONCATENATE("F",Tabela1[[#This Row],[FONTE_COD]],Tabela1[[#This Row],[IPU_COD]],"G",Tabela1[[#This Row],[GRUPO_COD]],"T",Tabela1[[#This Row],[TIPO]])</f>
        <v>FGT999</v>
      </c>
      <c r="Y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" s="19"/>
      <c r="AA16" s="29" t="str">
        <f>IFERROR(VLOOKUP(CONCATENATE("B",Tabela1[[#This Row],[BLOCO]],Tabela1[[#This Row],[UO_COD]]),qdd!$AW$2:$AX$1000,2,FALSE),"")</f>
        <v/>
      </c>
      <c r="AB16" s="30" t="str">
        <f>IFERROR(Tabela1[[#This Row],[VALOR]]/100,"")</f>
        <v/>
      </c>
      <c r="AC16" s="7" t="str" cm="1">
        <f t="array" aca="1" ref="AC16" ca="1">IF(Tabela1[[#This Row],[VALOR]]&lt;0,"",IFERROR(SUBSTITUTE(Converter_numero(Tabela1[[#This Row],[VALOR INCISO]]),",",""),""))</f>
        <v/>
      </c>
      <c r="AD16" s="29" t="str">
        <f>IF(Tabela1[[#This Row],[TIPO]]=REGRAS!$W$2,REGRAS!$X$2,IF(Tabela1[[#This Row],[TIPO]]=REGRAS!$W$4,REGRAS!$X$4,""))</f>
        <v/>
      </c>
      <c r="AE16" s="29" t="e">
        <f>VLOOKUP(Tabela1[[#This Row],[FONTE_COD]],REGRAS!$O$2:$P$69,2,FALSE)</f>
        <v>#N/A</v>
      </c>
      <c r="AF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" spans="1:32" ht="18.75" customHeight="1">
      <c r="A17" s="2" t="str">
        <f>IFERROR(IF('PREENCHER AQUI'!A17="","",'PREENCHER AQUI'!A17),"")</f>
        <v/>
      </c>
      <c r="B17" s="1" t="str">
        <f>IFERROR(IF('PREENCHER AQUI'!B17="","",PROPER('PREENCHER AQUI'!B17)),"")</f>
        <v/>
      </c>
      <c r="C17" s="1" t="str">
        <f>IFERROR(IF('PREENCHER AQUI'!C17="","",'PREENCHER AQUI'!C17),"")</f>
        <v/>
      </c>
      <c r="D17" s="2" t="str">
        <f>IFERROR(IF('PREENCHER AQUI'!D17="","",'PREENCHER AQUI'!D17),"")</f>
        <v/>
      </c>
      <c r="E17" s="2" t="str">
        <f>IFERROR(VLOOKUP(CONCATENATE(C17,D17),qdd!$C$2:$F$1000,2,FALSE),"")</f>
        <v/>
      </c>
      <c r="F17" s="2" t="str">
        <f>IFERROR(VLOOKUP(CONCATENATE(C17,D17),qdd!$C$2:$F$1000,3,FALSE),"")</f>
        <v/>
      </c>
      <c r="G17" s="2" t="str">
        <f>IFERROR(VLOOKUP(CONCATENATE(C17,D17),qdd!$C$2:$F$1000,4,FALSE),"")</f>
        <v/>
      </c>
      <c r="H17" s="6" t="str">
        <f t="shared" si="2"/>
        <v/>
      </c>
      <c r="I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" s="2" t="str">
        <f>IFERROR(IF('PREENCHER AQUI'!E17="","",'PREENCHER AQUI'!E17),"")</f>
        <v/>
      </c>
      <c r="K17" s="2" t="str">
        <f>IFERROR(IF('PREENCHER AQUI'!F17="","",'PREENCHER AQUI'!F17),"")</f>
        <v/>
      </c>
      <c r="L17" s="2" t="str">
        <f>IF(Tabela1[[#This Row],[IPU_COD]]=9,"91",IF(Tabela1[[#This Row],[ACAO_COD]]="","",VLOOKUP(CONCATENATE("G",J17,"M",K17),qdd!$BC$2:$BD$46,2,FALSE)))</f>
        <v/>
      </c>
      <c r="M17" s="2" t="str">
        <f>TEXT(IFERROR(VLOOKUP(CONCATENATE(C17,D17),qdd!$C$2:$G$1000,5,FALSE),""),0)</f>
        <v/>
      </c>
      <c r="N17" s="2" t="str">
        <f>IFERROR(IF('PREENCHER AQUI'!I17="","",'PREENCHER AQUI'!I17),"")</f>
        <v/>
      </c>
      <c r="O17" s="2" t="str">
        <f>IFERROR(IF('PREENCHER AQUI'!J17="","",'PREENCHER AQUI'!J17),"")</f>
        <v/>
      </c>
      <c r="P17" s="7" t="str">
        <f t="shared" si="3"/>
        <v/>
      </c>
      <c r="Q17" s="8" t="str">
        <f>IFERROR(IF(Tabela4[[#This Row],[VALOR]]="","",IF(Tabela1[[#This Row],[ORIENTACAO]]="Anular",'PREENCHER AQUI'!K17*-1*100,'PREENCHER AQUI'!K17*100)),"")</f>
        <v/>
      </c>
      <c r="T17" s="7" t="str">
        <f>IFERROR(IF('PREENCHER AQUI'!L17="","999",LEFT('PREENCHER AQUI'!L17,1)),"")</f>
        <v>999</v>
      </c>
      <c r="U17" s="7"/>
      <c r="V17" s="7"/>
      <c r="W17" s="1" t="str">
        <f>IFERROR(VLOOKUP(Tabela1[[#This Row],[UO_COD]],qdd!$AT$1:$AU$102,2,FALSE),"")</f>
        <v/>
      </c>
      <c r="X17" s="1" t="str">
        <f>CONCATENATE("F",Tabela1[[#This Row],[FONTE_COD]],Tabela1[[#This Row],[IPU_COD]],"G",Tabela1[[#This Row],[GRUPO_COD]],"T",Tabela1[[#This Row],[TIPO]])</f>
        <v>FGT999</v>
      </c>
      <c r="Y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" s="19"/>
      <c r="AA17" s="29" t="str">
        <f>IFERROR(VLOOKUP(CONCATENATE("B",Tabela1[[#This Row],[BLOCO]],Tabela1[[#This Row],[UO_COD]]),qdd!$AW$2:$AX$1000,2,FALSE),"")</f>
        <v/>
      </c>
      <c r="AB17" s="30" t="str">
        <f>IFERROR(Tabela1[[#This Row],[VALOR]]/100,"")</f>
        <v/>
      </c>
      <c r="AC17" s="7" t="str" cm="1">
        <f t="array" aca="1" ref="AC17" ca="1">IF(Tabela1[[#This Row],[VALOR]]&lt;0,"",IFERROR(SUBSTITUTE(Converter_numero(Tabela1[[#This Row],[VALOR INCISO]]),",",""),""))</f>
        <v/>
      </c>
      <c r="AD17" s="7" t="str">
        <f>IF(Tabela1[[#This Row],[TIPO]]=REGRAS!$W$2,REGRAS!$X$2,IF(Tabela1[[#This Row],[TIPO]]=REGRAS!$W$4,REGRAS!$X$4,""))</f>
        <v/>
      </c>
      <c r="AE17" s="29" t="e">
        <f>VLOOKUP(Tabela1[[#This Row],[FONTE_COD]],REGRAS!$O$2:$P$69,2,FALSE)</f>
        <v>#N/A</v>
      </c>
      <c r="AF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" spans="1:32" ht="18.75" customHeight="1">
      <c r="A18" s="2" t="str">
        <f>IFERROR(IF('PREENCHER AQUI'!A18="","",'PREENCHER AQUI'!A18),"")</f>
        <v/>
      </c>
      <c r="B18" s="1" t="str">
        <f>IFERROR(IF('PREENCHER AQUI'!B18="","",PROPER('PREENCHER AQUI'!B18)),"")</f>
        <v/>
      </c>
      <c r="C18" s="1" t="str">
        <f>IFERROR(IF('PREENCHER AQUI'!C18="","",'PREENCHER AQUI'!C18),"")</f>
        <v/>
      </c>
      <c r="D18" s="2" t="str">
        <f>IFERROR(IF('PREENCHER AQUI'!D18="","",'PREENCHER AQUI'!D18),"")</f>
        <v/>
      </c>
      <c r="E18" s="2" t="str">
        <f>IFERROR(VLOOKUP(CONCATENATE(C18,D18),qdd!$C$2:$F$1000,2,FALSE),"")</f>
        <v/>
      </c>
      <c r="F18" s="2" t="str">
        <f>IFERROR(VLOOKUP(CONCATENATE(C18,D18),qdd!$C$2:$F$1000,3,FALSE),"")</f>
        <v/>
      </c>
      <c r="G18" s="2" t="str">
        <f>IFERROR(VLOOKUP(CONCATENATE(C18,D18),qdd!$C$2:$F$1000,4,FALSE),"")</f>
        <v/>
      </c>
      <c r="H18" s="6" t="str">
        <f t="shared" si="2"/>
        <v/>
      </c>
      <c r="I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" s="2" t="str">
        <f>IFERROR(IF('PREENCHER AQUI'!E18="","",'PREENCHER AQUI'!E18),"")</f>
        <v/>
      </c>
      <c r="K18" s="2" t="str">
        <f>IFERROR(IF('PREENCHER AQUI'!F18="","",'PREENCHER AQUI'!F18),"")</f>
        <v/>
      </c>
      <c r="L18" s="2" t="str">
        <f>IF(Tabela1[[#This Row],[IPU_COD]]=9,"91",IF(Tabela1[[#This Row],[ACAO_COD]]="","",VLOOKUP(CONCATENATE("G",J18,"M",K18),qdd!$BC$2:$BD$46,2,FALSE)))</f>
        <v/>
      </c>
      <c r="M18" s="2" t="str">
        <f>TEXT(IFERROR(VLOOKUP(CONCATENATE(C18,D18),qdd!$C$2:$G$1000,5,FALSE),""),0)</f>
        <v/>
      </c>
      <c r="N18" s="2" t="str">
        <f>IFERROR(IF('PREENCHER AQUI'!I18="","",'PREENCHER AQUI'!I18),"")</f>
        <v/>
      </c>
      <c r="O18" s="2" t="str">
        <f>IFERROR(IF('PREENCHER AQUI'!J18="","",'PREENCHER AQUI'!J18),"")</f>
        <v/>
      </c>
      <c r="P18" s="7" t="str">
        <f t="shared" si="3"/>
        <v/>
      </c>
      <c r="Q18" s="8" t="str">
        <f>IFERROR(IF(Tabela4[[#This Row],[VALOR]]="","",IF(Tabela1[[#This Row],[ORIENTACAO]]="Anular",'PREENCHER AQUI'!K18*-1*100,'PREENCHER AQUI'!K18*100)),"")</f>
        <v/>
      </c>
      <c r="T18" s="7" t="str">
        <f>IFERROR(IF('PREENCHER AQUI'!L18="","999",LEFT('PREENCHER AQUI'!L18,1)),"")</f>
        <v>999</v>
      </c>
      <c r="U18" s="7"/>
      <c r="V18" s="29"/>
      <c r="W18" s="1" t="str">
        <f>IFERROR(VLOOKUP(Tabela1[[#This Row],[UO_COD]],qdd!$AT$1:$AU$102,2,FALSE),"")</f>
        <v/>
      </c>
      <c r="X18" s="1" t="str">
        <f>CONCATENATE("F",Tabela1[[#This Row],[FONTE_COD]],Tabela1[[#This Row],[IPU_COD]],"G",Tabela1[[#This Row],[GRUPO_COD]],"T",Tabela1[[#This Row],[TIPO]])</f>
        <v>FGT999</v>
      </c>
      <c r="Y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" s="19"/>
      <c r="AA18" s="29" t="str">
        <f>IFERROR(VLOOKUP(CONCATENATE("B",Tabela1[[#This Row],[BLOCO]],Tabela1[[#This Row],[UO_COD]]),qdd!$AW$2:$AX$1000,2,FALSE),"")</f>
        <v/>
      </c>
      <c r="AB18" s="30" t="str">
        <f>IFERROR(Tabela1[[#This Row],[VALOR]]/100,"")</f>
        <v/>
      </c>
      <c r="AC18" s="7" t="str" cm="1">
        <f t="array" aca="1" ref="AC18" ca="1">IF(Tabela1[[#This Row],[VALOR]]&lt;0,"",IFERROR(SUBSTITUTE(Converter_numero(Tabela1[[#This Row],[VALOR INCISO]]),",",""),""))</f>
        <v/>
      </c>
      <c r="AD18" s="29" t="str">
        <f>IF(Tabela1[[#This Row],[TIPO]]=REGRAS!$W$2,REGRAS!$X$2,IF(Tabela1[[#This Row],[TIPO]]=REGRAS!$W$4,REGRAS!$X$4,""))</f>
        <v/>
      </c>
      <c r="AE18" s="29" t="e">
        <f>VLOOKUP(Tabela1[[#This Row],[FONTE_COD]],REGRAS!$O$2:$P$69,2,FALSE)</f>
        <v>#N/A</v>
      </c>
      <c r="AF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" spans="1:32" ht="18.75" customHeight="1">
      <c r="A19" s="2" t="str">
        <f>IFERROR(IF('PREENCHER AQUI'!A19="","",'PREENCHER AQUI'!A19),"")</f>
        <v/>
      </c>
      <c r="B19" s="1" t="str">
        <f>IFERROR(IF('PREENCHER AQUI'!B19="","",PROPER('PREENCHER AQUI'!B19)),"")</f>
        <v/>
      </c>
      <c r="C19" s="1" t="str">
        <f>IFERROR(IF('PREENCHER AQUI'!C19="","",'PREENCHER AQUI'!C19),"")</f>
        <v/>
      </c>
      <c r="D19" s="2" t="str">
        <f>IFERROR(IF('PREENCHER AQUI'!D19="","",'PREENCHER AQUI'!D19),"")</f>
        <v/>
      </c>
      <c r="E19" s="2" t="str">
        <f>IFERROR(VLOOKUP(CONCATENATE(C19,D19),qdd!$C$2:$F$1000,2,FALSE),"")</f>
        <v/>
      </c>
      <c r="F19" s="2" t="str">
        <f>IFERROR(VLOOKUP(CONCATENATE(C19,D19),qdd!$C$2:$F$1000,3,FALSE),"")</f>
        <v/>
      </c>
      <c r="G19" s="2" t="str">
        <f>IFERROR(VLOOKUP(CONCATENATE(C19,D19),qdd!$C$2:$F$1000,4,FALSE),"")</f>
        <v/>
      </c>
      <c r="H19" s="6" t="str">
        <f t="shared" si="2"/>
        <v/>
      </c>
      <c r="I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" s="2" t="str">
        <f>IFERROR(IF('PREENCHER AQUI'!E19="","",'PREENCHER AQUI'!E19),"")</f>
        <v/>
      </c>
      <c r="K19" s="2" t="str">
        <f>IFERROR(IF('PREENCHER AQUI'!F19="","",'PREENCHER AQUI'!F19),"")</f>
        <v/>
      </c>
      <c r="L19" s="2" t="str">
        <f>IF(Tabela1[[#This Row],[IPU_COD]]=9,"91",IF(Tabela1[[#This Row],[ACAO_COD]]="","",VLOOKUP(CONCATENATE("G",J19,"M",K19),qdd!$BC$2:$BD$46,2,FALSE)))</f>
        <v/>
      </c>
      <c r="M19" s="2" t="str">
        <f>TEXT(IFERROR(VLOOKUP(CONCATENATE(C19,D19),qdd!$C$2:$G$1000,5,FALSE),""),0)</f>
        <v/>
      </c>
      <c r="N19" s="2" t="str">
        <f>IFERROR(IF('PREENCHER AQUI'!I19="","",'PREENCHER AQUI'!I19),"")</f>
        <v/>
      </c>
      <c r="O19" s="2" t="str">
        <f>IFERROR(IF('PREENCHER AQUI'!J19="","",'PREENCHER AQUI'!J19),"")</f>
        <v/>
      </c>
      <c r="P19" s="7" t="str">
        <f t="shared" si="3"/>
        <v/>
      </c>
      <c r="Q19" s="8" t="str">
        <f>IFERROR(IF(Tabela4[[#This Row],[VALOR]]="","",IF(Tabela1[[#This Row],[ORIENTACAO]]="Anular",'PREENCHER AQUI'!K19*-1*100,'PREENCHER AQUI'!K19*100)),"")</f>
        <v/>
      </c>
      <c r="T19" s="7" t="str">
        <f>IFERROR(IF('PREENCHER AQUI'!L19="","999",LEFT('PREENCHER AQUI'!L19,1)),"")</f>
        <v>999</v>
      </c>
      <c r="U19" s="7"/>
      <c r="V19" s="29"/>
      <c r="W19" s="1" t="str">
        <f>IFERROR(VLOOKUP(Tabela1[[#This Row],[UO_COD]],qdd!$AT$1:$AU$102,2,FALSE),"")</f>
        <v/>
      </c>
      <c r="X19" s="1" t="str">
        <f>CONCATENATE("F",Tabela1[[#This Row],[FONTE_COD]],Tabela1[[#This Row],[IPU_COD]],"G",Tabela1[[#This Row],[GRUPO_COD]],"T",Tabela1[[#This Row],[TIPO]])</f>
        <v>FGT999</v>
      </c>
      <c r="Y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" s="19"/>
      <c r="AA19" s="29" t="str">
        <f>IFERROR(VLOOKUP(CONCATENATE("B",Tabela1[[#This Row],[BLOCO]],Tabela1[[#This Row],[UO_COD]]),qdd!$AW$2:$AX$1000,2,FALSE),"")</f>
        <v/>
      </c>
      <c r="AB19" s="30" t="str">
        <f>IFERROR(Tabela1[[#This Row],[VALOR]]/100,"")</f>
        <v/>
      </c>
      <c r="AC19" s="7" t="str" cm="1">
        <f t="array" aca="1" ref="AC19" ca="1">IF(Tabela1[[#This Row],[VALOR]]&lt;0,"",IFERROR(SUBSTITUTE(Converter_numero(Tabela1[[#This Row],[VALOR INCISO]]),",",""),""))</f>
        <v/>
      </c>
      <c r="AD19" s="29" t="str">
        <f>IF(Tabela1[[#This Row],[TIPO]]=REGRAS!$W$2,REGRAS!$X$2,IF(Tabela1[[#This Row],[TIPO]]=REGRAS!$W$4,REGRAS!$X$4,""))</f>
        <v/>
      </c>
      <c r="AE19" s="29" t="e">
        <f>VLOOKUP(Tabela1[[#This Row],[FONTE_COD]],REGRAS!$O$2:$P$69,2,FALSE)</f>
        <v>#N/A</v>
      </c>
      <c r="AF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" spans="1:32" ht="18.75" customHeight="1">
      <c r="A20" s="2" t="str">
        <f>IFERROR(IF('PREENCHER AQUI'!A20="","",'PREENCHER AQUI'!A20),"")</f>
        <v/>
      </c>
      <c r="B20" s="1" t="str">
        <f>IFERROR(IF('PREENCHER AQUI'!B20="","",PROPER('PREENCHER AQUI'!B20)),"")</f>
        <v/>
      </c>
      <c r="C20" s="1" t="str">
        <f>IFERROR(IF('PREENCHER AQUI'!C20="","",'PREENCHER AQUI'!C20),"")</f>
        <v/>
      </c>
      <c r="D20" s="2" t="str">
        <f>IFERROR(IF('PREENCHER AQUI'!D20="","",'PREENCHER AQUI'!D20),"")</f>
        <v/>
      </c>
      <c r="E20" s="2" t="str">
        <f>IFERROR(VLOOKUP(CONCATENATE(C20,D20),qdd!$C$2:$F$1000,2,FALSE),"")</f>
        <v/>
      </c>
      <c r="F20" s="2" t="str">
        <f>IFERROR(VLOOKUP(CONCATENATE(C20,D20),qdd!$C$2:$F$1000,3,FALSE),"")</f>
        <v/>
      </c>
      <c r="G20" s="2" t="str">
        <f>IFERROR(VLOOKUP(CONCATENATE(C20,D20),qdd!$C$2:$F$1000,4,FALSE),"")</f>
        <v/>
      </c>
      <c r="H20" s="6" t="str">
        <f t="shared" si="2"/>
        <v/>
      </c>
      <c r="I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" s="2" t="str">
        <f>IFERROR(IF('PREENCHER AQUI'!E20="","",'PREENCHER AQUI'!E20),"")</f>
        <v/>
      </c>
      <c r="K20" s="2" t="str">
        <f>IFERROR(IF('PREENCHER AQUI'!F20="","",'PREENCHER AQUI'!F20),"")</f>
        <v/>
      </c>
      <c r="L20" s="2" t="str">
        <f>IF(Tabela1[[#This Row],[IPU_COD]]=9,"91",IF(Tabela1[[#This Row],[ACAO_COD]]="","",VLOOKUP(CONCATENATE("G",J20,"M",K20),qdd!$BC$2:$BD$46,2,FALSE)))</f>
        <v/>
      </c>
      <c r="M20" s="2" t="str">
        <f>TEXT(IFERROR(VLOOKUP(CONCATENATE(C20,D20),qdd!$C$2:$G$1000,5,FALSE),""),0)</f>
        <v/>
      </c>
      <c r="N20" s="2" t="str">
        <f>IFERROR(IF('PREENCHER AQUI'!I20="","",'PREENCHER AQUI'!I20),"")</f>
        <v/>
      </c>
      <c r="O20" s="2" t="str">
        <f>IFERROR(IF('PREENCHER AQUI'!J20="","",'PREENCHER AQUI'!J20),"")</f>
        <v/>
      </c>
      <c r="P20" s="7" t="str">
        <f t="shared" si="3"/>
        <v/>
      </c>
      <c r="Q20" s="8" t="str">
        <f>IFERROR(IF(Tabela4[[#This Row],[VALOR]]="","",IF(Tabela1[[#This Row],[ORIENTACAO]]="Anular",'PREENCHER AQUI'!K20*-1*100,'PREENCHER AQUI'!K20*100)),"")</f>
        <v/>
      </c>
      <c r="T20" s="7" t="str">
        <f>IFERROR(IF('PREENCHER AQUI'!L20="","999",LEFT('PREENCHER AQUI'!L20,1)),"")</f>
        <v>999</v>
      </c>
      <c r="U20" s="7"/>
      <c r="V20" s="29"/>
      <c r="W20" s="20" t="str">
        <f>IFERROR(VLOOKUP(Tabela1[[#This Row],[UO_COD]],qdd!$AT$1:$AU$102,2,FALSE),"")</f>
        <v/>
      </c>
      <c r="X20" s="20" t="str">
        <f>CONCATENATE("F",Tabela1[[#This Row],[FONTE_COD]],Tabela1[[#This Row],[IPU_COD]],"G",Tabela1[[#This Row],[GRUPO_COD]],"T",Tabela1[[#This Row],[TIPO]])</f>
        <v>FGT999</v>
      </c>
      <c r="Y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" s="19"/>
      <c r="AA20" s="29" t="str">
        <f>IFERROR(VLOOKUP(CONCATENATE("B",Tabela1[[#This Row],[BLOCO]],Tabela1[[#This Row],[UO_COD]]),qdd!$AW$2:$AX$1000,2,FALSE),"")</f>
        <v/>
      </c>
      <c r="AB20" s="30" t="str">
        <f>IFERROR(Tabela1[[#This Row],[VALOR]]/100,"")</f>
        <v/>
      </c>
      <c r="AC20" s="7" t="str" cm="1">
        <f t="array" aca="1" ref="AC20" ca="1">IF(Tabela1[[#This Row],[VALOR]]&lt;0,"",IFERROR(SUBSTITUTE(Converter_numero(Tabela1[[#This Row],[VALOR INCISO]]),",",""),""))</f>
        <v/>
      </c>
      <c r="AD20" s="29" t="str">
        <f>IF(Tabela1[[#This Row],[TIPO]]=REGRAS!$W$2,REGRAS!$X$2,IF(Tabela1[[#This Row],[TIPO]]=REGRAS!$W$4,REGRAS!$X$4,""))</f>
        <v/>
      </c>
      <c r="AE20" s="29" t="e">
        <f>VLOOKUP(Tabela1[[#This Row],[FONTE_COD]],REGRAS!$O$2:$P$69,2,FALSE)</f>
        <v>#N/A</v>
      </c>
      <c r="AF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" spans="1:32" ht="18.75" customHeight="1">
      <c r="A21" s="2" t="str">
        <f>IFERROR(IF('PREENCHER AQUI'!A21="","",'PREENCHER AQUI'!A21),"")</f>
        <v/>
      </c>
      <c r="B21" s="1" t="str">
        <f>IFERROR(IF('PREENCHER AQUI'!B21="","",PROPER('PREENCHER AQUI'!B21)),"")</f>
        <v/>
      </c>
      <c r="C21" s="1" t="str">
        <f>IFERROR(IF('PREENCHER AQUI'!C21="","",'PREENCHER AQUI'!C21),"")</f>
        <v/>
      </c>
      <c r="D21" s="2" t="str">
        <f>IFERROR(IF('PREENCHER AQUI'!D21="","",'PREENCHER AQUI'!D21),"")</f>
        <v/>
      </c>
      <c r="E21" s="2" t="str">
        <f>IFERROR(VLOOKUP(CONCATENATE(C21,D21),qdd!$C$2:$F$1000,2,FALSE),"")</f>
        <v/>
      </c>
      <c r="F21" s="2" t="str">
        <f>IFERROR(VLOOKUP(CONCATENATE(C21,D21),qdd!$C$2:$F$1000,3,FALSE),"")</f>
        <v/>
      </c>
      <c r="G21" s="2" t="str">
        <f>IFERROR(VLOOKUP(CONCATENATE(C21,D21),qdd!$C$2:$F$1000,4,FALSE),"")</f>
        <v/>
      </c>
      <c r="H21" s="6" t="str">
        <f t="shared" si="2"/>
        <v/>
      </c>
      <c r="I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" s="2" t="str">
        <f>IFERROR(IF('PREENCHER AQUI'!E21="","",'PREENCHER AQUI'!E21),"")</f>
        <v/>
      </c>
      <c r="K21" s="2" t="str">
        <f>IFERROR(IF('PREENCHER AQUI'!F21="","",'PREENCHER AQUI'!F21),"")</f>
        <v/>
      </c>
      <c r="L21" s="2" t="str">
        <f>IF(Tabela1[[#This Row],[IPU_COD]]=9,"91",IF(Tabela1[[#This Row],[ACAO_COD]]="","",VLOOKUP(CONCATENATE("G",J21,"M",K21),qdd!$BC$2:$BD$46,2,FALSE)))</f>
        <v/>
      </c>
      <c r="M21" s="2" t="str">
        <f>TEXT(IFERROR(VLOOKUP(CONCATENATE(C21,D21),qdd!$C$2:$G$1000,5,FALSE),""),0)</f>
        <v/>
      </c>
      <c r="N21" s="2" t="str">
        <f>IFERROR(IF('PREENCHER AQUI'!I21="","",'PREENCHER AQUI'!I21),"")</f>
        <v/>
      </c>
      <c r="O21" s="2" t="str">
        <f>IFERROR(IF('PREENCHER AQUI'!J21="","",'PREENCHER AQUI'!J21),"")</f>
        <v/>
      </c>
      <c r="P21" s="7" t="str">
        <f t="shared" si="3"/>
        <v/>
      </c>
      <c r="Q21" s="8" t="str">
        <f>IFERROR(IF(Tabela4[[#This Row],[VALOR]]="","",IF(Tabela1[[#This Row],[ORIENTACAO]]="Anular",'PREENCHER AQUI'!K21*-1*100,'PREENCHER AQUI'!K21*100)),"")</f>
        <v/>
      </c>
      <c r="T21" s="7" t="str">
        <f>IFERROR(IF('PREENCHER AQUI'!L21="","999",LEFT('PREENCHER AQUI'!L21,1)),"")</f>
        <v>999</v>
      </c>
      <c r="U21" s="7"/>
      <c r="V21" s="29"/>
      <c r="W21" s="1" t="str">
        <f>IFERROR(VLOOKUP(Tabela1[[#This Row],[UO_COD]],qdd!$AT$1:$AU$102,2,FALSE),"")</f>
        <v/>
      </c>
      <c r="X21" s="1" t="str">
        <f>CONCATENATE("F",Tabela1[[#This Row],[FONTE_COD]],Tabela1[[#This Row],[IPU_COD]],"G",Tabela1[[#This Row],[GRUPO_COD]],"T",Tabela1[[#This Row],[TIPO]])</f>
        <v>FGT999</v>
      </c>
      <c r="Y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" s="19"/>
      <c r="AA21" s="29" t="str">
        <f>IFERROR(VLOOKUP(CONCATENATE("B",Tabela1[[#This Row],[BLOCO]],Tabela1[[#This Row],[UO_COD]]),qdd!$AW$2:$AX$1000,2,FALSE),"")</f>
        <v/>
      </c>
      <c r="AB21" s="30" t="str">
        <f>IFERROR(Tabela1[[#This Row],[VALOR]]/100,"")</f>
        <v/>
      </c>
      <c r="AC21" s="7" t="str" cm="1">
        <f t="array" aca="1" ref="AC21" ca="1">IF(Tabela1[[#This Row],[VALOR]]&lt;0,"",IFERROR(SUBSTITUTE(Converter_numero(Tabela1[[#This Row],[VALOR INCISO]]),",",""),""))</f>
        <v/>
      </c>
      <c r="AD21" s="29" t="str">
        <f>IF(Tabela1[[#This Row],[TIPO]]=REGRAS!$W$2,REGRAS!$X$2,IF(Tabela1[[#This Row],[TIPO]]=REGRAS!$W$4,REGRAS!$X$4,""))</f>
        <v/>
      </c>
      <c r="AE21" s="29" t="e">
        <f>VLOOKUP(Tabela1[[#This Row],[FONTE_COD]],REGRAS!$O$2:$P$69,2,FALSE)</f>
        <v>#N/A</v>
      </c>
      <c r="AF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" spans="1:32" ht="18.75" customHeight="1">
      <c r="A22" s="2" t="str">
        <f>IFERROR(IF('PREENCHER AQUI'!A22="","",'PREENCHER AQUI'!A22),"")</f>
        <v/>
      </c>
      <c r="B22" s="1" t="str">
        <f>IFERROR(IF('PREENCHER AQUI'!B22="","",PROPER('PREENCHER AQUI'!B22)),"")</f>
        <v/>
      </c>
      <c r="C22" s="1" t="str">
        <f>IFERROR(IF('PREENCHER AQUI'!C22="","",'PREENCHER AQUI'!C22),"")</f>
        <v/>
      </c>
      <c r="D22" s="2" t="str">
        <f>IFERROR(IF('PREENCHER AQUI'!D22="","",'PREENCHER AQUI'!D22),"")</f>
        <v/>
      </c>
      <c r="E22" s="2" t="str">
        <f>IFERROR(VLOOKUP(CONCATENATE(C22,D22),qdd!$C$2:$F$1000,2,FALSE),"")</f>
        <v/>
      </c>
      <c r="F22" s="2" t="str">
        <f>IFERROR(VLOOKUP(CONCATENATE(C22,D22),qdd!$C$2:$F$1000,3,FALSE),"")</f>
        <v/>
      </c>
      <c r="G22" s="2" t="str">
        <f>IFERROR(VLOOKUP(CONCATENATE(C22,D22),qdd!$C$2:$F$1000,4,FALSE),"")</f>
        <v/>
      </c>
      <c r="H22" s="6" t="str">
        <f t="shared" si="2"/>
        <v/>
      </c>
      <c r="I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" s="2" t="str">
        <f>IFERROR(IF('PREENCHER AQUI'!E22="","",'PREENCHER AQUI'!E22),"")</f>
        <v/>
      </c>
      <c r="K22" s="2" t="str">
        <f>IFERROR(IF('PREENCHER AQUI'!F22="","",'PREENCHER AQUI'!F22),"")</f>
        <v/>
      </c>
      <c r="L22" s="2" t="str">
        <f>IF(Tabela1[[#This Row],[IPU_COD]]=9,"91",IF(Tabela1[[#This Row],[ACAO_COD]]="","",VLOOKUP(CONCATENATE("G",J22,"M",K22),qdd!$BC$2:$BD$46,2,FALSE)))</f>
        <v/>
      </c>
      <c r="M22" s="2" t="str">
        <f>TEXT(IFERROR(VLOOKUP(CONCATENATE(C22,D22),qdd!$C$2:$G$1000,5,FALSE),""),0)</f>
        <v/>
      </c>
      <c r="N22" s="2" t="str">
        <f>IFERROR(IF('PREENCHER AQUI'!I22="","",'PREENCHER AQUI'!I22),"")</f>
        <v/>
      </c>
      <c r="O22" s="2" t="str">
        <f>IFERROR(IF('PREENCHER AQUI'!J22="","",'PREENCHER AQUI'!J22),"")</f>
        <v/>
      </c>
      <c r="P22" s="7" t="str">
        <f t="shared" si="3"/>
        <v/>
      </c>
      <c r="Q22" s="8" t="str">
        <f>IFERROR(IF(Tabela4[[#This Row],[VALOR]]="","",IF(Tabela1[[#This Row],[ORIENTACAO]]="Anular",'PREENCHER AQUI'!K22*-1*100,'PREENCHER AQUI'!K22*100)),"")</f>
        <v/>
      </c>
      <c r="T22" s="7" t="str">
        <f>IFERROR(IF('PREENCHER AQUI'!L22="","999",LEFT('PREENCHER AQUI'!L22,1)),"")</f>
        <v>999</v>
      </c>
      <c r="U22" s="7"/>
      <c r="V22" s="7"/>
      <c r="W22" s="1" t="str">
        <f>IFERROR(VLOOKUP(Tabela1[[#This Row],[UO_COD]],qdd!$AT$1:$AU$102,2,FALSE),"")</f>
        <v/>
      </c>
      <c r="X22" s="1" t="str">
        <f>CONCATENATE("F",Tabela1[[#This Row],[FONTE_COD]],Tabela1[[#This Row],[IPU_COD]],"G",Tabela1[[#This Row],[GRUPO_COD]],"T",Tabela1[[#This Row],[TIPO]])</f>
        <v>FGT999</v>
      </c>
      <c r="Y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" s="19"/>
      <c r="AA22" s="29" t="str">
        <f>IFERROR(VLOOKUP(CONCATENATE("B",Tabela1[[#This Row],[BLOCO]],Tabela1[[#This Row],[UO_COD]]),qdd!$AW$2:$AX$1000,2,FALSE),"")</f>
        <v/>
      </c>
      <c r="AB22" s="30" t="str">
        <f>IFERROR(Tabela1[[#This Row],[VALOR]]/100,"")</f>
        <v/>
      </c>
      <c r="AC22" s="7" t="str" cm="1">
        <f t="array" aca="1" ref="AC22" ca="1">IF(Tabela1[[#This Row],[VALOR]]&lt;0,"",IFERROR(SUBSTITUTE(Converter_numero(Tabela1[[#This Row],[VALOR INCISO]]),",",""),""))</f>
        <v/>
      </c>
      <c r="AD22" s="7" t="str">
        <f>IF(Tabela1[[#This Row],[TIPO]]=REGRAS!$W$2,REGRAS!$X$2,IF(Tabela1[[#This Row],[TIPO]]=REGRAS!$W$4,REGRAS!$X$4,""))</f>
        <v/>
      </c>
      <c r="AE22" s="29" t="e">
        <f>VLOOKUP(Tabela1[[#This Row],[FONTE_COD]],REGRAS!$O$2:$P$69,2,FALSE)</f>
        <v>#N/A</v>
      </c>
      <c r="AF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" spans="1:32" ht="18.75" customHeight="1">
      <c r="A23" s="2" t="str">
        <f>IFERROR(IF('PREENCHER AQUI'!A23="","",'PREENCHER AQUI'!A23),"")</f>
        <v/>
      </c>
      <c r="B23" s="1" t="str">
        <f>IFERROR(IF('PREENCHER AQUI'!B23="","",PROPER('PREENCHER AQUI'!B23)),"")</f>
        <v/>
      </c>
      <c r="C23" s="1" t="str">
        <f>IFERROR(IF('PREENCHER AQUI'!C23="","",'PREENCHER AQUI'!C23),"")</f>
        <v/>
      </c>
      <c r="D23" s="2" t="str">
        <f>IFERROR(IF('PREENCHER AQUI'!D23="","",'PREENCHER AQUI'!D23),"")</f>
        <v/>
      </c>
      <c r="E23" s="2" t="str">
        <f>IFERROR(VLOOKUP(CONCATENATE(C23,D23),qdd!$C$2:$F$1000,2,FALSE),"")</f>
        <v/>
      </c>
      <c r="F23" s="2" t="str">
        <f>IFERROR(VLOOKUP(CONCATENATE(C23,D23),qdd!$C$2:$F$1000,3,FALSE),"")</f>
        <v/>
      </c>
      <c r="G23" s="2" t="str">
        <f>IFERROR(VLOOKUP(CONCATENATE(C23,D23),qdd!$C$2:$F$1000,4,FALSE),"")</f>
        <v/>
      </c>
      <c r="H23" s="6" t="str">
        <f t="shared" si="2"/>
        <v/>
      </c>
      <c r="I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" s="2" t="str">
        <f>IFERROR(IF('PREENCHER AQUI'!E23="","",'PREENCHER AQUI'!E23),"")</f>
        <v/>
      </c>
      <c r="K23" s="2" t="str">
        <f>IFERROR(IF('PREENCHER AQUI'!F23="","",'PREENCHER AQUI'!F23),"")</f>
        <v/>
      </c>
      <c r="L23" s="2" t="str">
        <f>IF(Tabela1[[#This Row],[IPU_COD]]=9,"91",IF(Tabela1[[#This Row],[ACAO_COD]]="","",VLOOKUP(CONCATENATE("G",J23,"M",K23),qdd!$BC$2:$BD$46,2,FALSE)))</f>
        <v/>
      </c>
      <c r="M23" s="2" t="str">
        <f>TEXT(IFERROR(VLOOKUP(CONCATENATE(C23,D23),qdd!$C$2:$G$1000,5,FALSE),""),0)</f>
        <v/>
      </c>
      <c r="N23" s="2" t="str">
        <f>IFERROR(IF('PREENCHER AQUI'!I23="","",'PREENCHER AQUI'!I23),"")</f>
        <v/>
      </c>
      <c r="O23" s="2" t="str">
        <f>IFERROR(IF('PREENCHER AQUI'!J23="","",'PREENCHER AQUI'!J23),"")</f>
        <v/>
      </c>
      <c r="P23" s="7" t="str">
        <f t="shared" si="3"/>
        <v/>
      </c>
      <c r="Q23" s="8" t="str">
        <f>IFERROR(IF(Tabela4[[#This Row],[VALOR]]="","",IF(Tabela1[[#This Row],[ORIENTACAO]]="Anular",'PREENCHER AQUI'!K23*-1*100,'PREENCHER AQUI'!K23*100)),"")</f>
        <v/>
      </c>
      <c r="T23" s="7" t="str">
        <f>IFERROR(IF('PREENCHER AQUI'!L23="","999",LEFT('PREENCHER AQUI'!L23,1)),"")</f>
        <v>999</v>
      </c>
      <c r="V23" s="19"/>
      <c r="W23" s="1" t="str">
        <f>IFERROR(VLOOKUP(Tabela1[[#This Row],[UO_COD]],qdd!$AT$1:$AU$102,2,FALSE),"")</f>
        <v/>
      </c>
      <c r="X23" s="1" t="str">
        <f>CONCATENATE("F",Tabela1[[#This Row],[FONTE_COD]],Tabela1[[#This Row],[IPU_COD]],"G",Tabela1[[#This Row],[GRUPO_COD]],"T",Tabela1[[#This Row],[TIPO]])</f>
        <v>FGT999</v>
      </c>
      <c r="Y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" s="19"/>
      <c r="AA23" s="29" t="str">
        <f>IFERROR(VLOOKUP(CONCATENATE("B",Tabela1[[#This Row],[BLOCO]],Tabela1[[#This Row],[UO_COD]]),qdd!$AW$2:$AX$1000,2,FALSE),"")</f>
        <v/>
      </c>
      <c r="AB23" s="30" t="str">
        <f>IFERROR(Tabela1[[#This Row],[VALOR]]/100,"")</f>
        <v/>
      </c>
      <c r="AC23" s="7" t="str" cm="1">
        <f t="array" aca="1" ref="AC23" ca="1">IF(Tabela1[[#This Row],[VALOR]]&lt;0,"",IFERROR(SUBSTITUTE(Converter_numero(Tabela1[[#This Row],[VALOR INCISO]]),",",""),""))</f>
        <v/>
      </c>
      <c r="AD23" s="29" t="str">
        <f>IF(Tabela1[[#This Row],[TIPO]]=REGRAS!$W$2,REGRAS!$X$2,IF(Tabela1[[#This Row],[TIPO]]=REGRAS!$W$4,REGRAS!$X$4,""))</f>
        <v/>
      </c>
      <c r="AE23" s="29" t="e">
        <f>VLOOKUP(Tabela1[[#This Row],[FONTE_COD]],REGRAS!$O$2:$P$69,2,FALSE)</f>
        <v>#N/A</v>
      </c>
      <c r="AF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" spans="1:32" ht="18.75" customHeight="1">
      <c r="A24" s="2" t="str">
        <f>IFERROR(IF('PREENCHER AQUI'!A24="","",'PREENCHER AQUI'!A24),"")</f>
        <v/>
      </c>
      <c r="B24" s="1" t="str">
        <f>IFERROR(IF('PREENCHER AQUI'!B24="","",PROPER('PREENCHER AQUI'!B24)),"")</f>
        <v/>
      </c>
      <c r="C24" s="1" t="str">
        <f>IFERROR(IF('PREENCHER AQUI'!C24="","",'PREENCHER AQUI'!C24),"")</f>
        <v/>
      </c>
      <c r="D24" s="2" t="str">
        <f>IFERROR(IF('PREENCHER AQUI'!D24="","",'PREENCHER AQUI'!D24),"")</f>
        <v/>
      </c>
      <c r="E24" s="2" t="str">
        <f>IFERROR(VLOOKUP(CONCATENATE(C24,D24),qdd!$C$2:$F$1000,2,FALSE),"")</f>
        <v/>
      </c>
      <c r="F24" s="2" t="str">
        <f>IFERROR(VLOOKUP(CONCATENATE(C24,D24),qdd!$C$2:$F$1000,3,FALSE),"")</f>
        <v/>
      </c>
      <c r="G24" s="2" t="str">
        <f>IFERROR(VLOOKUP(CONCATENATE(C24,D24),qdd!$C$2:$F$1000,4,FALSE),"")</f>
        <v/>
      </c>
      <c r="H24" s="6" t="str">
        <f t="shared" si="2"/>
        <v/>
      </c>
      <c r="I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" s="2" t="str">
        <f>IFERROR(IF('PREENCHER AQUI'!E24="","",'PREENCHER AQUI'!E24),"")</f>
        <v/>
      </c>
      <c r="K24" s="2" t="str">
        <f>IFERROR(IF('PREENCHER AQUI'!F24="","",'PREENCHER AQUI'!F24),"")</f>
        <v/>
      </c>
      <c r="L24" s="2" t="str">
        <f>IF(Tabela1[[#This Row],[IPU_COD]]=9,"91",IF(Tabela1[[#This Row],[ACAO_COD]]="","",VLOOKUP(CONCATENATE("G",J24,"M",K24),qdd!$BC$2:$BD$46,2,FALSE)))</f>
        <v/>
      </c>
      <c r="M24" s="2" t="str">
        <f>TEXT(IFERROR(VLOOKUP(CONCATENATE(C24,D24),qdd!$C$2:$G$1000,5,FALSE),""),0)</f>
        <v/>
      </c>
      <c r="N24" s="2" t="str">
        <f>IFERROR(IF('PREENCHER AQUI'!I24="","",'PREENCHER AQUI'!I24),"")</f>
        <v/>
      </c>
      <c r="O24" s="2" t="str">
        <f>IFERROR(IF('PREENCHER AQUI'!J24="","",'PREENCHER AQUI'!J24),"")</f>
        <v/>
      </c>
      <c r="P24" s="7" t="str">
        <f t="shared" si="3"/>
        <v/>
      </c>
      <c r="Q24" s="8" t="str">
        <f>IFERROR(IF(Tabela4[[#This Row],[VALOR]]="","",IF(Tabela1[[#This Row],[ORIENTACAO]]="Anular",'PREENCHER AQUI'!K24*-1*100,'PREENCHER AQUI'!K24*100)),"")</f>
        <v/>
      </c>
      <c r="T24" s="7" t="str">
        <f>IFERROR(IF('PREENCHER AQUI'!L24="","999",LEFT('PREENCHER AQUI'!L24,1)),"")</f>
        <v>999</v>
      </c>
      <c r="V24" s="19"/>
      <c r="W24" s="1" t="str">
        <f>IFERROR(VLOOKUP(Tabela1[[#This Row],[UO_COD]],qdd!$AT$1:$AU$102,2,FALSE),"")</f>
        <v/>
      </c>
      <c r="X24" s="1" t="str">
        <f>CONCATENATE("F",Tabela1[[#This Row],[FONTE_COD]],Tabela1[[#This Row],[IPU_COD]],"G",Tabela1[[#This Row],[GRUPO_COD]],"T",Tabela1[[#This Row],[TIPO]])</f>
        <v>FGT999</v>
      </c>
      <c r="Y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" s="19"/>
      <c r="AA24" s="29" t="str">
        <f>IFERROR(VLOOKUP(CONCATENATE("B",Tabela1[[#This Row],[BLOCO]],Tabela1[[#This Row],[UO_COD]]),qdd!$AW$2:$AX$1000,2,FALSE),"")</f>
        <v/>
      </c>
      <c r="AB24" s="30" t="str">
        <f>IFERROR(Tabela1[[#This Row],[VALOR]]/100,"")</f>
        <v/>
      </c>
      <c r="AC24" s="7" t="str" cm="1">
        <f t="array" aca="1" ref="AC24" ca="1">IF(Tabela1[[#This Row],[VALOR]]&lt;0,"",IFERROR(SUBSTITUTE(Converter_numero(Tabela1[[#This Row],[VALOR INCISO]]),",",""),""))</f>
        <v/>
      </c>
      <c r="AD24" s="29" t="str">
        <f>IF(Tabela1[[#This Row],[TIPO]]=REGRAS!$W$2,REGRAS!$X$2,IF(Tabela1[[#This Row],[TIPO]]=REGRAS!$W$4,REGRAS!$X$4,""))</f>
        <v/>
      </c>
      <c r="AE24" s="29" t="e">
        <f>VLOOKUP(Tabela1[[#This Row],[FONTE_COD]],REGRAS!$O$2:$P$69,2,FALSE)</f>
        <v>#N/A</v>
      </c>
      <c r="AF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" spans="1:32" ht="18.75" customHeight="1">
      <c r="A25" s="2" t="str">
        <f>IFERROR(IF('PREENCHER AQUI'!A25="","",'PREENCHER AQUI'!A25),"")</f>
        <v/>
      </c>
      <c r="B25" s="1" t="str">
        <f>IFERROR(IF('PREENCHER AQUI'!B25="","",PROPER('PREENCHER AQUI'!B25)),"")</f>
        <v/>
      </c>
      <c r="C25" s="1" t="str">
        <f>IFERROR(IF('PREENCHER AQUI'!C25="","",'PREENCHER AQUI'!C25),"")</f>
        <v/>
      </c>
      <c r="D25" s="2" t="str">
        <f>IFERROR(IF('PREENCHER AQUI'!D25="","",'PREENCHER AQUI'!D25),"")</f>
        <v/>
      </c>
      <c r="E25" s="2" t="str">
        <f>IFERROR(VLOOKUP(CONCATENATE(C25,D25),qdd!$C$2:$F$1000,2,FALSE),"")</f>
        <v/>
      </c>
      <c r="F25" s="2" t="str">
        <f>IFERROR(VLOOKUP(CONCATENATE(C25,D25),qdd!$C$2:$F$1000,3,FALSE),"")</f>
        <v/>
      </c>
      <c r="G25" s="2" t="str">
        <f>IFERROR(VLOOKUP(CONCATENATE(C25,D25),qdd!$C$2:$F$1000,4,FALSE),"")</f>
        <v/>
      </c>
      <c r="H25" s="6" t="str">
        <f t="shared" si="2"/>
        <v/>
      </c>
      <c r="I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" s="2" t="str">
        <f>IFERROR(IF('PREENCHER AQUI'!E25="","",'PREENCHER AQUI'!E25),"")</f>
        <v/>
      </c>
      <c r="K25" s="2" t="str">
        <f>IFERROR(IF('PREENCHER AQUI'!F25="","",'PREENCHER AQUI'!F25),"")</f>
        <v/>
      </c>
      <c r="L25" s="2" t="str">
        <f>IF(Tabela1[[#This Row],[IPU_COD]]=9,"91",IF(Tabela1[[#This Row],[ACAO_COD]]="","",VLOOKUP(CONCATENATE("G",J25,"M",K25),qdd!$BC$2:$BD$46,2,FALSE)))</f>
        <v/>
      </c>
      <c r="M25" s="2" t="str">
        <f>TEXT(IFERROR(VLOOKUP(CONCATENATE(C25,D25),qdd!$C$2:$G$1000,5,FALSE),""),0)</f>
        <v/>
      </c>
      <c r="N25" s="2" t="str">
        <f>IFERROR(IF('PREENCHER AQUI'!I25="","",'PREENCHER AQUI'!I25),"")</f>
        <v/>
      </c>
      <c r="O25" s="2" t="str">
        <f>IFERROR(IF('PREENCHER AQUI'!J25="","",'PREENCHER AQUI'!J25),"")</f>
        <v/>
      </c>
      <c r="P25" s="7" t="str">
        <f t="shared" si="3"/>
        <v/>
      </c>
      <c r="Q25" s="8" t="str">
        <f>IFERROR(IF(Tabela4[[#This Row],[VALOR]]="","",IF(Tabela1[[#This Row],[ORIENTACAO]]="Anular",'PREENCHER AQUI'!K25*-1*100,'PREENCHER AQUI'!K25*100)),"")</f>
        <v/>
      </c>
      <c r="T25" s="7" t="str">
        <f>IFERROR(IF('PREENCHER AQUI'!L25="","999",LEFT('PREENCHER AQUI'!L25,1)),"")</f>
        <v>999</v>
      </c>
      <c r="V25" s="19"/>
      <c r="W25" s="20" t="str">
        <f>IFERROR(VLOOKUP(Tabela1[[#This Row],[UO_COD]],qdd!$AT$1:$AU$102,2,FALSE),"")</f>
        <v/>
      </c>
      <c r="X25" s="20" t="str">
        <f>CONCATENATE("F",Tabela1[[#This Row],[FONTE_COD]],Tabela1[[#This Row],[IPU_COD]],"G",Tabela1[[#This Row],[GRUPO_COD]],"T",Tabela1[[#This Row],[TIPO]])</f>
        <v>FGT999</v>
      </c>
      <c r="Y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" s="19"/>
      <c r="AA25" s="29" t="str">
        <f>IFERROR(VLOOKUP(CONCATENATE("B",Tabela1[[#This Row],[BLOCO]],Tabela1[[#This Row],[UO_COD]]),qdd!$AW$2:$AX$1000,2,FALSE),"")</f>
        <v/>
      </c>
      <c r="AB25" s="30" t="str">
        <f>IFERROR(Tabela1[[#This Row],[VALOR]]/100,"")</f>
        <v/>
      </c>
      <c r="AC25" s="7" t="str" cm="1">
        <f t="array" aca="1" ref="AC25" ca="1">IF(Tabela1[[#This Row],[VALOR]]&lt;0,"",IFERROR(SUBSTITUTE(Converter_numero(Tabela1[[#This Row],[VALOR INCISO]]),",",""),""))</f>
        <v/>
      </c>
      <c r="AD25" s="29" t="str">
        <f>IF(Tabela1[[#This Row],[TIPO]]=REGRAS!$W$2,REGRAS!$X$2,IF(Tabela1[[#This Row],[TIPO]]=REGRAS!$W$4,REGRAS!$X$4,""))</f>
        <v/>
      </c>
      <c r="AE25" s="29" t="e">
        <f>VLOOKUP(Tabela1[[#This Row],[FONTE_COD]],REGRAS!$O$2:$P$69,2,FALSE)</f>
        <v>#N/A</v>
      </c>
      <c r="AF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" spans="1:32" ht="18.75" customHeight="1">
      <c r="A26" s="2" t="str">
        <f>IFERROR(IF('PREENCHER AQUI'!A26="","",'PREENCHER AQUI'!A26),"")</f>
        <v/>
      </c>
      <c r="B26" s="1" t="str">
        <f>IFERROR(IF('PREENCHER AQUI'!B26="","",PROPER('PREENCHER AQUI'!B26)),"")</f>
        <v/>
      </c>
      <c r="C26" s="1" t="str">
        <f>IFERROR(IF('PREENCHER AQUI'!C26="","",'PREENCHER AQUI'!C26),"")</f>
        <v/>
      </c>
      <c r="D26" s="2" t="str">
        <f>IFERROR(IF('PREENCHER AQUI'!D26="","",'PREENCHER AQUI'!D26),"")</f>
        <v/>
      </c>
      <c r="E26" s="2" t="str">
        <f>IFERROR(VLOOKUP(CONCATENATE(C26,D26),qdd!$C$2:$F$1000,2,FALSE),"")</f>
        <v/>
      </c>
      <c r="F26" s="2" t="str">
        <f>IFERROR(VLOOKUP(CONCATENATE(C26,D26),qdd!$C$2:$F$1000,3,FALSE),"")</f>
        <v/>
      </c>
      <c r="G26" s="2" t="str">
        <f>IFERROR(VLOOKUP(CONCATENATE(C26,D26),qdd!$C$2:$F$1000,4,FALSE),"")</f>
        <v/>
      </c>
      <c r="H26" s="6" t="str">
        <f t="shared" si="2"/>
        <v/>
      </c>
      <c r="I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" s="2" t="str">
        <f>IFERROR(IF('PREENCHER AQUI'!E26="","",'PREENCHER AQUI'!E26),"")</f>
        <v/>
      </c>
      <c r="K26" s="2" t="str">
        <f>IFERROR(IF('PREENCHER AQUI'!F26="","",'PREENCHER AQUI'!F26),"")</f>
        <v/>
      </c>
      <c r="L26" s="2" t="str">
        <f>IF(Tabela1[[#This Row],[IPU_COD]]=9,"91",IF(Tabela1[[#This Row],[ACAO_COD]]="","",VLOOKUP(CONCATENATE("G",J26,"M",K26),qdd!$BC$2:$BD$46,2,FALSE)))</f>
        <v/>
      </c>
      <c r="M26" s="2" t="str">
        <f>TEXT(IFERROR(VLOOKUP(CONCATENATE(C26,D26),qdd!$C$2:$G$1000,5,FALSE),""),0)</f>
        <v/>
      </c>
      <c r="N26" s="2" t="str">
        <f>IFERROR(IF('PREENCHER AQUI'!I26="","",'PREENCHER AQUI'!I26),"")</f>
        <v/>
      </c>
      <c r="O26" s="2" t="str">
        <f>IFERROR(IF('PREENCHER AQUI'!J26="","",'PREENCHER AQUI'!J26),"")</f>
        <v/>
      </c>
      <c r="P26" s="7" t="str">
        <f t="shared" si="3"/>
        <v/>
      </c>
      <c r="Q26" s="8" t="str">
        <f>IFERROR(IF(Tabela4[[#This Row],[VALOR]]="","",IF(Tabela1[[#This Row],[ORIENTACAO]]="Anular",'PREENCHER AQUI'!K26*-1*100,'PREENCHER AQUI'!K26*100)),"")</f>
        <v/>
      </c>
      <c r="T26" s="7" t="str">
        <f>IFERROR(IF('PREENCHER AQUI'!L26="","999",LEFT('PREENCHER AQUI'!L26,1)),"")</f>
        <v>999</v>
      </c>
      <c r="V26" s="19"/>
      <c r="W26" s="1" t="str">
        <f>IFERROR(VLOOKUP(Tabela1[[#This Row],[UO_COD]],qdd!$AT$1:$AU$102,2,FALSE),"")</f>
        <v/>
      </c>
      <c r="X26" s="1" t="str">
        <f>CONCATENATE("F",Tabela1[[#This Row],[FONTE_COD]],Tabela1[[#This Row],[IPU_COD]],"G",Tabela1[[#This Row],[GRUPO_COD]],"T",Tabela1[[#This Row],[TIPO]])</f>
        <v>FGT999</v>
      </c>
      <c r="Y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" s="19"/>
      <c r="AA26" s="29" t="str">
        <f>IFERROR(VLOOKUP(CONCATENATE("B",Tabela1[[#This Row],[BLOCO]],Tabela1[[#This Row],[UO_COD]]),qdd!$AW$2:$AX$1000,2,FALSE),"")</f>
        <v/>
      </c>
      <c r="AB26" s="30" t="str">
        <f>IFERROR(Tabela1[[#This Row],[VALOR]]/100,"")</f>
        <v/>
      </c>
      <c r="AC26" s="7" t="str" cm="1">
        <f t="array" aca="1" ref="AC26" ca="1">IF(Tabela1[[#This Row],[VALOR]]&lt;0,"",IFERROR(SUBSTITUTE(Converter_numero(Tabela1[[#This Row],[VALOR INCISO]]),",",""),""))</f>
        <v/>
      </c>
      <c r="AD26" s="29" t="str">
        <f>IF(Tabela1[[#This Row],[TIPO]]=REGRAS!$W$2,REGRAS!$X$2,IF(Tabela1[[#This Row],[TIPO]]=REGRAS!$W$4,REGRAS!$X$4,""))</f>
        <v/>
      </c>
      <c r="AE26" s="29" t="e">
        <f>VLOOKUP(Tabela1[[#This Row],[FONTE_COD]],REGRAS!$O$2:$P$69,2,FALSE)</f>
        <v>#N/A</v>
      </c>
      <c r="AF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" spans="1:32" ht="18.75" customHeight="1">
      <c r="A27" s="2" t="str">
        <f>IFERROR(IF('PREENCHER AQUI'!A27="","",'PREENCHER AQUI'!A27),"")</f>
        <v/>
      </c>
      <c r="B27" s="1" t="str">
        <f>IFERROR(IF('PREENCHER AQUI'!B27="","",PROPER('PREENCHER AQUI'!B27)),"")</f>
        <v/>
      </c>
      <c r="C27" s="1" t="str">
        <f>IFERROR(IF('PREENCHER AQUI'!C27="","",'PREENCHER AQUI'!C27),"")</f>
        <v/>
      </c>
      <c r="D27" s="2" t="str">
        <f>IFERROR(IF('PREENCHER AQUI'!D27="","",'PREENCHER AQUI'!D27),"")</f>
        <v/>
      </c>
      <c r="E27" s="2" t="str">
        <f>IFERROR(VLOOKUP(CONCATENATE(C27,D27),qdd!$C$2:$F$1000,2,FALSE),"")</f>
        <v/>
      </c>
      <c r="F27" s="2" t="str">
        <f>IFERROR(VLOOKUP(CONCATENATE(C27,D27),qdd!$C$2:$F$1000,3,FALSE),"")</f>
        <v/>
      </c>
      <c r="G27" s="2" t="str">
        <f>IFERROR(VLOOKUP(CONCATENATE(C27,D27),qdd!$C$2:$F$1000,4,FALSE),"")</f>
        <v/>
      </c>
      <c r="H27" s="6" t="str">
        <f t="shared" si="2"/>
        <v/>
      </c>
      <c r="I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" s="2" t="str">
        <f>IFERROR(IF('PREENCHER AQUI'!E27="","",'PREENCHER AQUI'!E27),"")</f>
        <v/>
      </c>
      <c r="K27" s="2" t="str">
        <f>IFERROR(IF('PREENCHER AQUI'!F27="","",'PREENCHER AQUI'!F27),"")</f>
        <v/>
      </c>
      <c r="L27" s="2" t="str">
        <f>IF(Tabela1[[#This Row],[IPU_COD]]=9,"91",IF(Tabela1[[#This Row],[ACAO_COD]]="","",VLOOKUP(CONCATENATE("G",J27,"M",K27),qdd!$BC$2:$BD$46,2,FALSE)))</f>
        <v/>
      </c>
      <c r="M27" s="2" t="str">
        <f>TEXT(IFERROR(VLOOKUP(CONCATENATE(C27,D27),qdd!$C$2:$G$1000,5,FALSE),""),0)</f>
        <v/>
      </c>
      <c r="N27" s="2" t="str">
        <f>IFERROR(IF('PREENCHER AQUI'!I27="","",'PREENCHER AQUI'!I27),"")</f>
        <v/>
      </c>
      <c r="O27" s="2" t="str">
        <f>IFERROR(IF('PREENCHER AQUI'!J27="","",'PREENCHER AQUI'!J27),"")</f>
        <v/>
      </c>
      <c r="P27" s="7" t="str">
        <f t="shared" si="3"/>
        <v/>
      </c>
      <c r="Q27" s="8" t="str">
        <f>IFERROR(IF(Tabela4[[#This Row],[VALOR]]="","",IF(Tabela1[[#This Row],[ORIENTACAO]]="Anular",'PREENCHER AQUI'!K27*-1*100,'PREENCHER AQUI'!K27*100)),"")</f>
        <v/>
      </c>
      <c r="T27" s="7" t="str">
        <f>IFERROR(IF('PREENCHER AQUI'!L27="","999",LEFT('PREENCHER AQUI'!L27,1)),"")</f>
        <v>999</v>
      </c>
      <c r="W27" s="1" t="str">
        <f>IFERROR(VLOOKUP(Tabela1[[#This Row],[UO_COD]],qdd!$AT$1:$AU$102,2,FALSE),"")</f>
        <v/>
      </c>
      <c r="X27" s="1" t="str">
        <f>CONCATENATE("F",Tabela1[[#This Row],[FONTE_COD]],Tabela1[[#This Row],[IPU_COD]],"G",Tabela1[[#This Row],[GRUPO_COD]],"T",Tabela1[[#This Row],[TIPO]])</f>
        <v>FGT999</v>
      </c>
      <c r="Y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" s="19"/>
      <c r="AA27" s="29" t="str">
        <f>IFERROR(VLOOKUP(CONCATENATE("B",Tabela1[[#This Row],[BLOCO]],Tabela1[[#This Row],[UO_COD]]),qdd!$AW$2:$AX$1000,2,FALSE),"")</f>
        <v/>
      </c>
      <c r="AB27" s="30" t="str">
        <f>IFERROR(Tabela1[[#This Row],[VALOR]]/100,"")</f>
        <v/>
      </c>
      <c r="AC27" s="7" t="str" cm="1">
        <f t="array" aca="1" ref="AC27" ca="1">IF(Tabela1[[#This Row],[VALOR]]&lt;0,"",IFERROR(SUBSTITUTE(Converter_numero(Tabela1[[#This Row],[VALOR INCISO]]),",",""),""))</f>
        <v/>
      </c>
      <c r="AD27" s="7" t="str">
        <f>IF(Tabela1[[#This Row],[TIPO]]=REGRAS!$W$2,REGRAS!$X$2,IF(Tabela1[[#This Row],[TIPO]]=REGRAS!$W$4,REGRAS!$X$4,""))</f>
        <v/>
      </c>
      <c r="AE27" s="29" t="e">
        <f>VLOOKUP(Tabela1[[#This Row],[FONTE_COD]],REGRAS!$O$2:$P$69,2,FALSE)</f>
        <v>#N/A</v>
      </c>
      <c r="AF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" spans="1:32" ht="18.75" customHeight="1">
      <c r="A28" s="2" t="str">
        <f>IFERROR(IF('PREENCHER AQUI'!A28="","",'PREENCHER AQUI'!A28),"")</f>
        <v/>
      </c>
      <c r="B28" s="1" t="str">
        <f>IFERROR(IF('PREENCHER AQUI'!B28="","",PROPER('PREENCHER AQUI'!B28)),"")</f>
        <v/>
      </c>
      <c r="C28" s="1" t="str">
        <f>IFERROR(IF('PREENCHER AQUI'!C28="","",'PREENCHER AQUI'!C28),"")</f>
        <v/>
      </c>
      <c r="D28" s="2" t="str">
        <f>IFERROR(IF('PREENCHER AQUI'!D28="","",'PREENCHER AQUI'!D28),"")</f>
        <v/>
      </c>
      <c r="E28" s="2" t="str">
        <f>IFERROR(VLOOKUP(CONCATENATE(C28,D28),qdd!$C$2:$F$1000,2,FALSE),"")</f>
        <v/>
      </c>
      <c r="F28" s="2" t="str">
        <f>IFERROR(VLOOKUP(CONCATENATE(C28,D28),qdd!$C$2:$F$1000,3,FALSE),"")</f>
        <v/>
      </c>
      <c r="G28" s="2" t="str">
        <f>IFERROR(VLOOKUP(CONCATENATE(C28,D28),qdd!$C$2:$F$1000,4,FALSE),"")</f>
        <v/>
      </c>
      <c r="H28" s="6" t="str">
        <f t="shared" si="2"/>
        <v/>
      </c>
      <c r="I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" s="2" t="str">
        <f>IFERROR(IF('PREENCHER AQUI'!E28="","",'PREENCHER AQUI'!E28),"")</f>
        <v/>
      </c>
      <c r="K28" s="2" t="str">
        <f>IFERROR(IF('PREENCHER AQUI'!F28="","",'PREENCHER AQUI'!F28),"")</f>
        <v/>
      </c>
      <c r="L28" s="2" t="str">
        <f>IF(Tabela1[[#This Row],[IPU_COD]]=9,"91",IF(Tabela1[[#This Row],[ACAO_COD]]="","",VLOOKUP(CONCATENATE("G",J28,"M",K28),qdd!$BC$2:$BD$46,2,FALSE)))</f>
        <v/>
      </c>
      <c r="M28" s="2" t="str">
        <f>TEXT(IFERROR(VLOOKUP(CONCATENATE(C28,D28),qdd!$C$2:$G$1000,5,FALSE),""),0)</f>
        <v/>
      </c>
      <c r="N28" s="2" t="str">
        <f>IFERROR(IF('PREENCHER AQUI'!I28="","",'PREENCHER AQUI'!I28),"")</f>
        <v/>
      </c>
      <c r="O28" s="2" t="str">
        <f>IFERROR(IF('PREENCHER AQUI'!J28="","",'PREENCHER AQUI'!J28),"")</f>
        <v/>
      </c>
      <c r="P28" s="7" t="str">
        <f t="shared" si="3"/>
        <v/>
      </c>
      <c r="Q28" s="8" t="str">
        <f>IFERROR(IF(Tabela4[[#This Row],[VALOR]]="","",IF(Tabela1[[#This Row],[ORIENTACAO]]="Anular",'PREENCHER AQUI'!K28*-1*100,'PREENCHER AQUI'!K28*100)),"")</f>
        <v/>
      </c>
      <c r="T28" s="7" t="str">
        <f>IFERROR(IF('PREENCHER AQUI'!L28="","999",LEFT('PREENCHER AQUI'!L28,1)),"")</f>
        <v>999</v>
      </c>
      <c r="V28" s="19"/>
      <c r="W28" s="1" t="str">
        <f>IFERROR(VLOOKUP(Tabela1[[#This Row],[UO_COD]],qdd!$AT$1:$AU$102,2,FALSE),"")</f>
        <v/>
      </c>
      <c r="X28" s="1" t="str">
        <f>CONCATENATE("F",Tabela1[[#This Row],[FONTE_COD]],Tabela1[[#This Row],[IPU_COD]],"G",Tabela1[[#This Row],[GRUPO_COD]],"T",Tabela1[[#This Row],[TIPO]])</f>
        <v>FGT999</v>
      </c>
      <c r="Y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" s="19"/>
      <c r="AA28" s="29" t="str">
        <f>IFERROR(VLOOKUP(CONCATENATE("B",Tabela1[[#This Row],[BLOCO]],Tabela1[[#This Row],[UO_COD]]),qdd!$AW$2:$AX$1000,2,FALSE),"")</f>
        <v/>
      </c>
      <c r="AB28" s="30" t="str">
        <f>IFERROR(Tabela1[[#This Row],[VALOR]]/100,"")</f>
        <v/>
      </c>
      <c r="AC28" s="7" t="str" cm="1">
        <f t="array" aca="1" ref="AC28" ca="1">IF(Tabela1[[#This Row],[VALOR]]&lt;0,"",IFERROR(SUBSTITUTE(Converter_numero(Tabela1[[#This Row],[VALOR INCISO]]),",",""),""))</f>
        <v/>
      </c>
      <c r="AD28" s="29" t="str">
        <f>IF(Tabela1[[#This Row],[TIPO]]=REGRAS!$W$2,REGRAS!$X$2,IF(Tabela1[[#This Row],[TIPO]]=REGRAS!$W$4,REGRAS!$X$4,""))</f>
        <v/>
      </c>
      <c r="AE28" s="29" t="e">
        <f>VLOOKUP(Tabela1[[#This Row],[FONTE_COD]],REGRAS!$O$2:$P$69,2,FALSE)</f>
        <v>#N/A</v>
      </c>
      <c r="AF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" spans="1:32" ht="18.75" customHeight="1">
      <c r="A29" s="2" t="str">
        <f>IFERROR(IF('PREENCHER AQUI'!A29="","",'PREENCHER AQUI'!A29),"")</f>
        <v/>
      </c>
      <c r="B29" s="1" t="str">
        <f>IFERROR(IF('PREENCHER AQUI'!B29="","",PROPER('PREENCHER AQUI'!B29)),"")</f>
        <v/>
      </c>
      <c r="C29" s="1" t="str">
        <f>IFERROR(IF('PREENCHER AQUI'!C29="","",'PREENCHER AQUI'!C29),"")</f>
        <v/>
      </c>
      <c r="D29" s="2" t="str">
        <f>IFERROR(IF('PREENCHER AQUI'!D29="","",'PREENCHER AQUI'!D29),"")</f>
        <v/>
      </c>
      <c r="E29" s="2" t="str">
        <f>IFERROR(VLOOKUP(CONCATENATE(C29,D29),qdd!$C$2:$F$1000,2,FALSE),"")</f>
        <v/>
      </c>
      <c r="F29" s="2" t="str">
        <f>IFERROR(VLOOKUP(CONCATENATE(C29,D29),qdd!$C$2:$F$1000,3,FALSE),"")</f>
        <v/>
      </c>
      <c r="G29" s="2" t="str">
        <f>IFERROR(VLOOKUP(CONCATENATE(C29,D29),qdd!$C$2:$F$1000,4,FALSE),"")</f>
        <v/>
      </c>
      <c r="H29" s="6" t="str">
        <f t="shared" si="2"/>
        <v/>
      </c>
      <c r="I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" s="2" t="str">
        <f>IFERROR(IF('PREENCHER AQUI'!E29="","",'PREENCHER AQUI'!E29),"")</f>
        <v/>
      </c>
      <c r="K29" s="2" t="str">
        <f>IFERROR(IF('PREENCHER AQUI'!F29="","",'PREENCHER AQUI'!F29),"")</f>
        <v/>
      </c>
      <c r="L29" s="2" t="str">
        <f>IF(Tabela1[[#This Row],[IPU_COD]]=9,"91",IF(Tabela1[[#This Row],[ACAO_COD]]="","",VLOOKUP(CONCATENATE("G",J29,"M",K29),qdd!$BC$2:$BD$46,2,FALSE)))</f>
        <v/>
      </c>
      <c r="M29" s="2" t="str">
        <f>TEXT(IFERROR(VLOOKUP(CONCATENATE(C29,D29),qdd!$C$2:$G$1000,5,FALSE),""),0)</f>
        <v/>
      </c>
      <c r="N29" s="2" t="str">
        <f>IFERROR(IF('PREENCHER AQUI'!I29="","",'PREENCHER AQUI'!I29),"")</f>
        <v/>
      </c>
      <c r="O29" s="2" t="str">
        <f>IFERROR(IF('PREENCHER AQUI'!J29="","",'PREENCHER AQUI'!J29),"")</f>
        <v/>
      </c>
      <c r="P29" s="7" t="str">
        <f t="shared" si="3"/>
        <v/>
      </c>
      <c r="Q29" s="8" t="str">
        <f>IFERROR(IF(Tabela4[[#This Row],[VALOR]]="","",IF(Tabela1[[#This Row],[ORIENTACAO]]="Anular",'PREENCHER AQUI'!K29*-1*100,'PREENCHER AQUI'!K29*100)),"")</f>
        <v/>
      </c>
      <c r="T29" s="7" t="str">
        <f>IFERROR(IF('PREENCHER AQUI'!L29="","999",LEFT('PREENCHER AQUI'!L29,1)),"")</f>
        <v>999</v>
      </c>
      <c r="V29" s="19"/>
      <c r="W29" s="1" t="str">
        <f>IFERROR(VLOOKUP(Tabela1[[#This Row],[UO_COD]],qdd!$AT$1:$AU$102,2,FALSE),"")</f>
        <v/>
      </c>
      <c r="X29" s="1" t="str">
        <f>CONCATENATE("F",Tabela1[[#This Row],[FONTE_COD]],Tabela1[[#This Row],[IPU_COD]],"G",Tabela1[[#This Row],[GRUPO_COD]],"T",Tabela1[[#This Row],[TIPO]])</f>
        <v>FGT999</v>
      </c>
      <c r="Y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" s="19"/>
      <c r="AA29" s="29" t="str">
        <f>IFERROR(VLOOKUP(CONCATENATE("B",Tabela1[[#This Row],[BLOCO]],Tabela1[[#This Row],[UO_COD]]),qdd!$AW$2:$AX$1000,2,FALSE),"")</f>
        <v/>
      </c>
      <c r="AB29" s="30" t="str">
        <f>IFERROR(Tabela1[[#This Row],[VALOR]]/100,"")</f>
        <v/>
      </c>
      <c r="AC29" s="7" t="str" cm="1">
        <f t="array" aca="1" ref="AC29" ca="1">IF(Tabela1[[#This Row],[VALOR]]&lt;0,"",IFERROR(SUBSTITUTE(Converter_numero(Tabela1[[#This Row],[VALOR INCISO]]),",",""),""))</f>
        <v/>
      </c>
      <c r="AD29" s="29" t="str">
        <f>IF(Tabela1[[#This Row],[TIPO]]=REGRAS!$W$2,REGRAS!$X$2,IF(Tabela1[[#This Row],[TIPO]]=REGRAS!$W$4,REGRAS!$X$4,""))</f>
        <v/>
      </c>
      <c r="AE29" s="29" t="e">
        <f>VLOOKUP(Tabela1[[#This Row],[FONTE_COD]],REGRAS!$O$2:$P$69,2,FALSE)</f>
        <v>#N/A</v>
      </c>
      <c r="AF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" spans="1:32" ht="18.75" customHeight="1">
      <c r="A30" s="2" t="str">
        <f>IFERROR(IF('PREENCHER AQUI'!A30="","",'PREENCHER AQUI'!A30),"")</f>
        <v/>
      </c>
      <c r="B30" s="1" t="str">
        <f>IFERROR(IF('PREENCHER AQUI'!B30="","",PROPER('PREENCHER AQUI'!B30)),"")</f>
        <v/>
      </c>
      <c r="C30" s="1" t="str">
        <f>IFERROR(IF('PREENCHER AQUI'!C30="","",'PREENCHER AQUI'!C30),"")</f>
        <v/>
      </c>
      <c r="D30" s="2" t="str">
        <f>IFERROR(IF('PREENCHER AQUI'!D30="","",'PREENCHER AQUI'!D30),"")</f>
        <v/>
      </c>
      <c r="E30" s="2" t="str">
        <f>IFERROR(VLOOKUP(CONCATENATE(C30,D30),qdd!$C$2:$F$1000,2,FALSE),"")</f>
        <v/>
      </c>
      <c r="F30" s="2" t="str">
        <f>IFERROR(VLOOKUP(CONCATENATE(C30,D30),qdd!$C$2:$F$1000,3,FALSE),"")</f>
        <v/>
      </c>
      <c r="G30" s="2" t="str">
        <f>IFERROR(VLOOKUP(CONCATENATE(C30,D30),qdd!$C$2:$F$1000,4,FALSE),"")</f>
        <v/>
      </c>
      <c r="H30" s="6" t="str">
        <f t="shared" si="2"/>
        <v/>
      </c>
      <c r="I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" s="2" t="str">
        <f>IFERROR(IF('PREENCHER AQUI'!E30="","",'PREENCHER AQUI'!E30),"")</f>
        <v/>
      </c>
      <c r="K30" s="2" t="str">
        <f>IFERROR(IF('PREENCHER AQUI'!F30="","",'PREENCHER AQUI'!F30),"")</f>
        <v/>
      </c>
      <c r="L30" s="2" t="str">
        <f>IF(Tabela1[[#This Row],[IPU_COD]]=9,"91",IF(Tabela1[[#This Row],[ACAO_COD]]="","",VLOOKUP(CONCATENATE("G",J30,"M",K30),qdd!$BC$2:$BD$46,2,FALSE)))</f>
        <v/>
      </c>
      <c r="M30" s="2" t="str">
        <f>TEXT(IFERROR(VLOOKUP(CONCATENATE(C30,D30),qdd!$C$2:$G$1000,5,FALSE),""),0)</f>
        <v/>
      </c>
      <c r="N30" s="2" t="str">
        <f>IFERROR(IF('PREENCHER AQUI'!I30="","",'PREENCHER AQUI'!I30),"")</f>
        <v/>
      </c>
      <c r="O30" s="2" t="str">
        <f>IFERROR(IF('PREENCHER AQUI'!J30="","",'PREENCHER AQUI'!J30),"")</f>
        <v/>
      </c>
      <c r="P30" s="7" t="str">
        <f t="shared" si="3"/>
        <v/>
      </c>
      <c r="Q30" s="8" t="str">
        <f>IFERROR(IF(Tabela4[[#This Row],[VALOR]]="","",IF(Tabela1[[#This Row],[ORIENTACAO]]="Anular",'PREENCHER AQUI'!K30*-1*100,'PREENCHER AQUI'!K30*100)),"")</f>
        <v/>
      </c>
      <c r="T30" s="7" t="str">
        <f>IFERROR(IF('PREENCHER AQUI'!L30="","999",LEFT('PREENCHER AQUI'!L30,1)),"")</f>
        <v>999</v>
      </c>
      <c r="V30" s="19"/>
      <c r="W30" s="20" t="str">
        <f>IFERROR(VLOOKUP(Tabela1[[#This Row],[UO_COD]],qdd!$AT$1:$AU$102,2,FALSE),"")</f>
        <v/>
      </c>
      <c r="X30" s="20" t="str">
        <f>CONCATENATE("F",Tabela1[[#This Row],[FONTE_COD]],Tabela1[[#This Row],[IPU_COD]],"G",Tabela1[[#This Row],[GRUPO_COD]],"T",Tabela1[[#This Row],[TIPO]])</f>
        <v>FGT999</v>
      </c>
      <c r="Y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" s="19"/>
      <c r="AA30" s="29" t="str">
        <f>IFERROR(VLOOKUP(CONCATENATE("B",Tabela1[[#This Row],[BLOCO]],Tabela1[[#This Row],[UO_COD]]),qdd!$AW$2:$AX$1000,2,FALSE),"")</f>
        <v/>
      </c>
      <c r="AB30" s="30" t="str">
        <f>IFERROR(Tabela1[[#This Row],[VALOR]]/100,"")</f>
        <v/>
      </c>
      <c r="AC30" s="7" t="str" cm="1">
        <f t="array" aca="1" ref="AC30" ca="1">IF(Tabela1[[#This Row],[VALOR]]&lt;0,"",IFERROR(SUBSTITUTE(Converter_numero(Tabela1[[#This Row],[VALOR INCISO]]),",",""),""))</f>
        <v/>
      </c>
      <c r="AD30" s="29" t="str">
        <f>IF(Tabela1[[#This Row],[TIPO]]=REGRAS!$W$2,REGRAS!$X$2,IF(Tabela1[[#This Row],[TIPO]]=REGRAS!$W$4,REGRAS!$X$4,""))</f>
        <v/>
      </c>
      <c r="AE30" s="29" t="e">
        <f>VLOOKUP(Tabela1[[#This Row],[FONTE_COD]],REGRAS!$O$2:$P$69,2,FALSE)</f>
        <v>#N/A</v>
      </c>
      <c r="AF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" spans="1:32" ht="18.75" customHeight="1">
      <c r="A31" s="2" t="str">
        <f>IFERROR(IF('PREENCHER AQUI'!A31="","",'PREENCHER AQUI'!A31),"")</f>
        <v/>
      </c>
      <c r="B31" s="1" t="str">
        <f>IFERROR(IF('PREENCHER AQUI'!B31="","",PROPER('PREENCHER AQUI'!B31)),"")</f>
        <v/>
      </c>
      <c r="C31" s="1" t="str">
        <f>IFERROR(IF('PREENCHER AQUI'!C31="","",'PREENCHER AQUI'!C31),"")</f>
        <v/>
      </c>
      <c r="D31" s="2" t="str">
        <f>IFERROR(IF('PREENCHER AQUI'!D31="","",'PREENCHER AQUI'!D31),"")</f>
        <v/>
      </c>
      <c r="E31" s="2" t="str">
        <f>IFERROR(VLOOKUP(CONCATENATE(C31,D31),qdd!$C$2:$F$1000,2,FALSE),"")</f>
        <v/>
      </c>
      <c r="F31" s="2" t="str">
        <f>IFERROR(VLOOKUP(CONCATENATE(C31,D31),qdd!$C$2:$F$1000,3,FALSE),"")</f>
        <v/>
      </c>
      <c r="G31" s="2" t="str">
        <f>IFERROR(VLOOKUP(CONCATENATE(C31,D31),qdd!$C$2:$F$1000,4,FALSE),"")</f>
        <v/>
      </c>
      <c r="H31" s="6" t="str">
        <f t="shared" si="2"/>
        <v/>
      </c>
      <c r="I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" s="2" t="str">
        <f>IFERROR(IF('PREENCHER AQUI'!E31="","",'PREENCHER AQUI'!E31),"")</f>
        <v/>
      </c>
      <c r="K31" s="2" t="str">
        <f>IFERROR(IF('PREENCHER AQUI'!F31="","",'PREENCHER AQUI'!F31),"")</f>
        <v/>
      </c>
      <c r="L31" s="2" t="str">
        <f>IF(Tabela1[[#This Row],[IPU_COD]]=9,"91",IF(Tabela1[[#This Row],[ACAO_COD]]="","",VLOOKUP(CONCATENATE("G",J31,"M",K31),qdd!$BC$2:$BD$46,2,FALSE)))</f>
        <v/>
      </c>
      <c r="M31" s="2" t="str">
        <f>TEXT(IFERROR(VLOOKUP(CONCATENATE(C31,D31),qdd!$C$2:$G$1000,5,FALSE),""),0)</f>
        <v/>
      </c>
      <c r="N31" s="2" t="str">
        <f>IFERROR(IF('PREENCHER AQUI'!I31="","",'PREENCHER AQUI'!I31),"")</f>
        <v/>
      </c>
      <c r="O31" s="2" t="str">
        <f>IFERROR(IF('PREENCHER AQUI'!J31="","",'PREENCHER AQUI'!J31),"")</f>
        <v/>
      </c>
      <c r="P31" s="7" t="str">
        <f t="shared" si="3"/>
        <v/>
      </c>
      <c r="Q31" s="8" t="str">
        <f>IFERROR(IF(Tabela4[[#This Row],[VALOR]]="","",IF(Tabela1[[#This Row],[ORIENTACAO]]="Anular",'PREENCHER AQUI'!K31*-1*100,'PREENCHER AQUI'!K31*100)),"")</f>
        <v/>
      </c>
      <c r="T31" s="7" t="str">
        <f>IFERROR(IF('PREENCHER AQUI'!L31="","999",LEFT('PREENCHER AQUI'!L31,1)),"")</f>
        <v>999</v>
      </c>
      <c r="V31" s="19"/>
      <c r="W31" s="1" t="str">
        <f>IFERROR(VLOOKUP(Tabela1[[#This Row],[UO_COD]],qdd!$AT$1:$AU$102,2,FALSE),"")</f>
        <v/>
      </c>
      <c r="X31" s="1" t="str">
        <f>CONCATENATE("F",Tabela1[[#This Row],[FONTE_COD]],Tabela1[[#This Row],[IPU_COD]],"G",Tabela1[[#This Row],[GRUPO_COD]],"T",Tabela1[[#This Row],[TIPO]])</f>
        <v>FGT999</v>
      </c>
      <c r="Y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" s="19"/>
      <c r="AA31" s="29" t="str">
        <f>IFERROR(VLOOKUP(CONCATENATE("B",Tabela1[[#This Row],[BLOCO]],Tabela1[[#This Row],[UO_COD]]),qdd!$AW$2:$AX$1000,2,FALSE),"")</f>
        <v/>
      </c>
      <c r="AB31" s="30" t="str">
        <f>IFERROR(Tabela1[[#This Row],[VALOR]]/100,"")</f>
        <v/>
      </c>
      <c r="AC31" s="7" t="str" cm="1">
        <f t="array" aca="1" ref="AC31" ca="1">IF(Tabela1[[#This Row],[VALOR]]&lt;0,"",IFERROR(SUBSTITUTE(Converter_numero(Tabela1[[#This Row],[VALOR INCISO]]),",",""),""))</f>
        <v/>
      </c>
      <c r="AD31" s="29" t="str">
        <f>IF(Tabela1[[#This Row],[TIPO]]=REGRAS!$W$2,REGRAS!$X$2,IF(Tabela1[[#This Row],[TIPO]]=REGRAS!$W$4,REGRAS!$X$4,""))</f>
        <v/>
      </c>
      <c r="AE31" s="29" t="e">
        <f>VLOOKUP(Tabela1[[#This Row],[FONTE_COD]],REGRAS!$O$2:$P$69,2,FALSE)</f>
        <v>#N/A</v>
      </c>
      <c r="AF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" spans="1:32" ht="18.75" customHeight="1">
      <c r="A32" s="2" t="str">
        <f>IFERROR(IF('PREENCHER AQUI'!A32="","",'PREENCHER AQUI'!A32),"")</f>
        <v/>
      </c>
      <c r="B32" s="1" t="str">
        <f>IFERROR(IF('PREENCHER AQUI'!B32="","",PROPER('PREENCHER AQUI'!B32)),"")</f>
        <v/>
      </c>
      <c r="C32" s="1" t="str">
        <f>IFERROR(IF('PREENCHER AQUI'!C32="","",'PREENCHER AQUI'!C32),"")</f>
        <v/>
      </c>
      <c r="D32" s="2" t="str">
        <f>IFERROR(IF('PREENCHER AQUI'!D32="","",'PREENCHER AQUI'!D32),"")</f>
        <v/>
      </c>
      <c r="E32" s="2" t="str">
        <f>IFERROR(VLOOKUP(CONCATENATE(C32,D32),qdd!$C$2:$F$1000,2,FALSE),"")</f>
        <v/>
      </c>
      <c r="F32" s="2" t="str">
        <f>IFERROR(VLOOKUP(CONCATENATE(C32,D32),qdd!$C$2:$F$1000,3,FALSE),"")</f>
        <v/>
      </c>
      <c r="G32" s="2" t="str">
        <f>IFERROR(VLOOKUP(CONCATENATE(C32,D32),qdd!$C$2:$F$1000,4,FALSE),"")</f>
        <v/>
      </c>
      <c r="H32" s="6" t="str">
        <f t="shared" si="2"/>
        <v/>
      </c>
      <c r="I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" s="2" t="str">
        <f>IFERROR(IF('PREENCHER AQUI'!E32="","",'PREENCHER AQUI'!E32),"")</f>
        <v/>
      </c>
      <c r="K32" s="2" t="str">
        <f>IFERROR(IF('PREENCHER AQUI'!F32="","",'PREENCHER AQUI'!F32),"")</f>
        <v/>
      </c>
      <c r="L32" s="2" t="str">
        <f>IF(Tabela1[[#This Row],[IPU_COD]]=9,"91",IF(Tabela1[[#This Row],[ACAO_COD]]="","",VLOOKUP(CONCATENATE("G",J32,"M",K32),qdd!$BC$2:$BD$46,2,FALSE)))</f>
        <v/>
      </c>
      <c r="M32" s="2" t="str">
        <f>TEXT(IFERROR(VLOOKUP(CONCATENATE(C32,D32),qdd!$C$2:$G$1000,5,FALSE),""),0)</f>
        <v/>
      </c>
      <c r="N32" s="2" t="str">
        <f>IFERROR(IF('PREENCHER AQUI'!I32="","",'PREENCHER AQUI'!I32),"")</f>
        <v/>
      </c>
      <c r="O32" s="2" t="str">
        <f>IFERROR(IF('PREENCHER AQUI'!J32="","",'PREENCHER AQUI'!J32),"")</f>
        <v/>
      </c>
      <c r="P32" s="7" t="str">
        <f t="shared" si="3"/>
        <v/>
      </c>
      <c r="Q32" s="8" t="str">
        <f>IFERROR(IF(Tabela4[[#This Row],[VALOR]]="","",IF(Tabela1[[#This Row],[ORIENTACAO]]="Anular",'PREENCHER AQUI'!K32*-1*100,'PREENCHER AQUI'!K32*100)),"")</f>
        <v/>
      </c>
      <c r="T32" s="7" t="str">
        <f>IFERROR(IF('PREENCHER AQUI'!L32="","999",LEFT('PREENCHER AQUI'!L32,1)),"")</f>
        <v>999</v>
      </c>
      <c r="W32" s="1" t="str">
        <f>IFERROR(VLOOKUP(Tabela1[[#This Row],[UO_COD]],qdd!$AT$1:$AU$102,2,FALSE),"")</f>
        <v/>
      </c>
      <c r="X32" s="1" t="str">
        <f>CONCATENATE("F",Tabela1[[#This Row],[FONTE_COD]],Tabela1[[#This Row],[IPU_COD]],"G",Tabela1[[#This Row],[GRUPO_COD]],"T",Tabela1[[#This Row],[TIPO]])</f>
        <v>FGT999</v>
      </c>
      <c r="Y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" s="19"/>
      <c r="AA32" s="29" t="str">
        <f>IFERROR(VLOOKUP(CONCATENATE("B",Tabela1[[#This Row],[BLOCO]],Tabela1[[#This Row],[UO_COD]]),qdd!$AW$2:$AX$1000,2,FALSE),"")</f>
        <v/>
      </c>
      <c r="AB32" s="30" t="str">
        <f>IFERROR(Tabela1[[#This Row],[VALOR]]/100,"")</f>
        <v/>
      </c>
      <c r="AC32" s="7" t="str" cm="1">
        <f t="array" aca="1" ref="AC32" ca="1">IF(Tabela1[[#This Row],[VALOR]]&lt;0,"",IFERROR(SUBSTITUTE(Converter_numero(Tabela1[[#This Row],[VALOR INCISO]]),",",""),""))</f>
        <v/>
      </c>
      <c r="AD32" s="7" t="str">
        <f>IF(Tabela1[[#This Row],[TIPO]]=REGRAS!$W$2,REGRAS!$X$2,IF(Tabela1[[#This Row],[TIPO]]=REGRAS!$W$4,REGRAS!$X$4,""))</f>
        <v/>
      </c>
      <c r="AE32" s="29" t="e">
        <f>VLOOKUP(Tabela1[[#This Row],[FONTE_COD]],REGRAS!$O$2:$P$69,2,FALSE)</f>
        <v>#N/A</v>
      </c>
      <c r="AF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" spans="1:32" ht="18.75" customHeight="1">
      <c r="A33" s="2" t="str">
        <f>IFERROR(IF('PREENCHER AQUI'!A33="","",'PREENCHER AQUI'!A33),"")</f>
        <v/>
      </c>
      <c r="B33" s="1" t="str">
        <f>IFERROR(IF('PREENCHER AQUI'!B33="","",PROPER('PREENCHER AQUI'!B33)),"")</f>
        <v/>
      </c>
      <c r="C33" s="1" t="str">
        <f>IFERROR(IF('PREENCHER AQUI'!C33="","",'PREENCHER AQUI'!C33),"")</f>
        <v/>
      </c>
      <c r="D33" s="2" t="str">
        <f>IFERROR(IF('PREENCHER AQUI'!D33="","",'PREENCHER AQUI'!D33),"")</f>
        <v/>
      </c>
      <c r="E33" s="2" t="str">
        <f>IFERROR(VLOOKUP(CONCATENATE(C33,D33),qdd!$C$2:$F$1000,2,FALSE),"")</f>
        <v/>
      </c>
      <c r="F33" s="2" t="str">
        <f>IFERROR(VLOOKUP(CONCATENATE(C33,D33),qdd!$C$2:$F$1000,3,FALSE),"")</f>
        <v/>
      </c>
      <c r="G33" s="2" t="str">
        <f>IFERROR(VLOOKUP(CONCATENATE(C33,D33),qdd!$C$2:$F$1000,4,FALSE),"")</f>
        <v/>
      </c>
      <c r="H33" s="6" t="str">
        <f t="shared" si="2"/>
        <v/>
      </c>
      <c r="I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" s="2" t="str">
        <f>IFERROR(IF('PREENCHER AQUI'!E33="","",'PREENCHER AQUI'!E33),"")</f>
        <v/>
      </c>
      <c r="K33" s="2" t="str">
        <f>IFERROR(IF('PREENCHER AQUI'!F33="","",'PREENCHER AQUI'!F33),"")</f>
        <v/>
      </c>
      <c r="L33" s="2" t="str">
        <f>IF(Tabela1[[#This Row],[IPU_COD]]=9,"91",IF(Tabela1[[#This Row],[ACAO_COD]]="","",VLOOKUP(CONCATENATE("G",J33,"M",K33),qdd!$BC$2:$BD$46,2,FALSE)))</f>
        <v/>
      </c>
      <c r="M33" s="2" t="str">
        <f>TEXT(IFERROR(VLOOKUP(CONCATENATE(C33,D33),qdd!$C$2:$G$1000,5,FALSE),""),0)</f>
        <v/>
      </c>
      <c r="N33" s="2" t="str">
        <f>IFERROR(IF('PREENCHER AQUI'!I33="","",'PREENCHER AQUI'!I33),"")</f>
        <v/>
      </c>
      <c r="O33" s="2" t="str">
        <f>IFERROR(IF('PREENCHER AQUI'!J33="","",'PREENCHER AQUI'!J33),"")</f>
        <v/>
      </c>
      <c r="P33" s="7" t="str">
        <f t="shared" si="3"/>
        <v/>
      </c>
      <c r="Q33" s="8" t="str">
        <f>IFERROR(IF(Tabela4[[#This Row],[VALOR]]="","",IF(Tabela1[[#This Row],[ORIENTACAO]]="Anular",'PREENCHER AQUI'!K33*-1*100,'PREENCHER AQUI'!K33*100)),"")</f>
        <v/>
      </c>
      <c r="T33" s="7" t="str">
        <f>IFERROR(IF('PREENCHER AQUI'!L33="","999",LEFT('PREENCHER AQUI'!L33,1)),"")</f>
        <v>999</v>
      </c>
      <c r="V33" s="19"/>
      <c r="W33" s="1" t="str">
        <f>IFERROR(VLOOKUP(Tabela1[[#This Row],[UO_COD]],qdd!$AT$1:$AU$102,2,FALSE),"")</f>
        <v/>
      </c>
      <c r="X33" s="1" t="str">
        <f>CONCATENATE("F",Tabela1[[#This Row],[FONTE_COD]],Tabela1[[#This Row],[IPU_COD]],"G",Tabela1[[#This Row],[GRUPO_COD]],"T",Tabela1[[#This Row],[TIPO]])</f>
        <v>FGT999</v>
      </c>
      <c r="Y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" s="19"/>
      <c r="AA33" s="29" t="str">
        <f>IFERROR(VLOOKUP(CONCATENATE("B",Tabela1[[#This Row],[BLOCO]],Tabela1[[#This Row],[UO_COD]]),qdd!$AW$2:$AX$1000,2,FALSE),"")</f>
        <v/>
      </c>
      <c r="AB33" s="30" t="str">
        <f>IFERROR(Tabela1[[#This Row],[VALOR]]/100,"")</f>
        <v/>
      </c>
      <c r="AC33" s="7" t="str" cm="1">
        <f t="array" aca="1" ref="AC33" ca="1">IF(Tabela1[[#This Row],[VALOR]]&lt;0,"",IFERROR(SUBSTITUTE(Converter_numero(Tabela1[[#This Row],[VALOR INCISO]]),",",""),""))</f>
        <v/>
      </c>
      <c r="AD33" s="29" t="str">
        <f>IF(Tabela1[[#This Row],[TIPO]]=REGRAS!$W$2,REGRAS!$X$2,IF(Tabela1[[#This Row],[TIPO]]=REGRAS!$W$4,REGRAS!$X$4,""))</f>
        <v/>
      </c>
      <c r="AE33" s="29" t="e">
        <f>VLOOKUP(Tabela1[[#This Row],[FONTE_COD]],REGRAS!$O$2:$P$69,2,FALSE)</f>
        <v>#N/A</v>
      </c>
      <c r="AF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" spans="1:32" ht="18.75" customHeight="1">
      <c r="A34" s="2" t="str">
        <f>IFERROR(IF('PREENCHER AQUI'!A34="","",'PREENCHER AQUI'!A34),"")</f>
        <v/>
      </c>
      <c r="B34" s="1" t="str">
        <f>IFERROR(IF('PREENCHER AQUI'!B34="","",PROPER('PREENCHER AQUI'!B34)),"")</f>
        <v/>
      </c>
      <c r="C34" s="1" t="str">
        <f>IFERROR(IF('PREENCHER AQUI'!C34="","",'PREENCHER AQUI'!C34),"")</f>
        <v/>
      </c>
      <c r="D34" s="2" t="str">
        <f>IFERROR(IF('PREENCHER AQUI'!D34="","",'PREENCHER AQUI'!D34),"")</f>
        <v/>
      </c>
      <c r="E34" s="2" t="str">
        <f>IFERROR(VLOOKUP(CONCATENATE(C34,D34),qdd!$C$2:$F$1000,2,FALSE),"")</f>
        <v/>
      </c>
      <c r="F34" s="2" t="str">
        <f>IFERROR(VLOOKUP(CONCATENATE(C34,D34),qdd!$C$2:$F$1000,3,FALSE),"")</f>
        <v/>
      </c>
      <c r="G34" s="2" t="str">
        <f>IFERROR(VLOOKUP(CONCATENATE(C34,D34),qdd!$C$2:$F$1000,4,FALSE),"")</f>
        <v/>
      </c>
      <c r="H34" s="6" t="str">
        <f t="shared" si="2"/>
        <v/>
      </c>
      <c r="I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" s="2" t="str">
        <f>IFERROR(IF('PREENCHER AQUI'!E34="","",'PREENCHER AQUI'!E34),"")</f>
        <v/>
      </c>
      <c r="K34" s="2" t="str">
        <f>IFERROR(IF('PREENCHER AQUI'!F34="","",'PREENCHER AQUI'!F34),"")</f>
        <v/>
      </c>
      <c r="L34" s="2" t="str">
        <f>IF(Tabela1[[#This Row],[IPU_COD]]=9,"91",IF(Tabela1[[#This Row],[ACAO_COD]]="","",VLOOKUP(CONCATENATE("G",J34,"M",K34),qdd!$BC$2:$BD$46,2,FALSE)))</f>
        <v/>
      </c>
      <c r="M34" s="2" t="str">
        <f>TEXT(IFERROR(VLOOKUP(CONCATENATE(C34,D34),qdd!$C$2:$G$1000,5,FALSE),""),0)</f>
        <v/>
      </c>
      <c r="N34" s="2" t="str">
        <f>IFERROR(IF('PREENCHER AQUI'!I34="","",'PREENCHER AQUI'!I34),"")</f>
        <v/>
      </c>
      <c r="O34" s="2" t="str">
        <f>IFERROR(IF('PREENCHER AQUI'!J34="","",'PREENCHER AQUI'!J34),"")</f>
        <v/>
      </c>
      <c r="P34" s="7" t="str">
        <f t="shared" si="3"/>
        <v/>
      </c>
      <c r="Q34" s="8" t="str">
        <f>IFERROR(IF(Tabela4[[#This Row],[VALOR]]="","",IF(Tabela1[[#This Row],[ORIENTACAO]]="Anular",'PREENCHER AQUI'!K34*-1*100,'PREENCHER AQUI'!K34*100)),"")</f>
        <v/>
      </c>
      <c r="T34" s="7" t="str">
        <f>IFERROR(IF('PREENCHER AQUI'!L34="","999",LEFT('PREENCHER AQUI'!L34,1)),"")</f>
        <v>999</v>
      </c>
      <c r="V34" s="19"/>
      <c r="W34" s="1" t="str">
        <f>IFERROR(VLOOKUP(Tabela1[[#This Row],[UO_COD]],qdd!$AT$1:$AU$102,2,FALSE),"")</f>
        <v/>
      </c>
      <c r="X34" s="1" t="str">
        <f>CONCATENATE("F",Tabela1[[#This Row],[FONTE_COD]],Tabela1[[#This Row],[IPU_COD]],"G",Tabela1[[#This Row],[GRUPO_COD]],"T",Tabela1[[#This Row],[TIPO]])</f>
        <v>FGT999</v>
      </c>
      <c r="Y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" s="19"/>
      <c r="AA34" s="29" t="str">
        <f>IFERROR(VLOOKUP(CONCATENATE("B",Tabela1[[#This Row],[BLOCO]],Tabela1[[#This Row],[UO_COD]]),qdd!$AW$2:$AX$1000,2,FALSE),"")</f>
        <v/>
      </c>
      <c r="AB34" s="30" t="str">
        <f>IFERROR(Tabela1[[#This Row],[VALOR]]/100,"")</f>
        <v/>
      </c>
      <c r="AC34" s="7" t="str" cm="1">
        <f t="array" aca="1" ref="AC34" ca="1">IF(Tabela1[[#This Row],[VALOR]]&lt;0,"",IFERROR(SUBSTITUTE(Converter_numero(Tabela1[[#This Row],[VALOR INCISO]]),",",""),""))</f>
        <v/>
      </c>
      <c r="AD34" s="29" t="str">
        <f>IF(Tabela1[[#This Row],[TIPO]]=REGRAS!$W$2,REGRAS!$X$2,IF(Tabela1[[#This Row],[TIPO]]=REGRAS!$W$4,REGRAS!$X$4,""))</f>
        <v/>
      </c>
      <c r="AE34" s="29" t="e">
        <f>VLOOKUP(Tabela1[[#This Row],[FONTE_COD]],REGRAS!$O$2:$P$69,2,FALSE)</f>
        <v>#N/A</v>
      </c>
      <c r="AF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" spans="1:32" ht="18.75" customHeight="1">
      <c r="A35" s="2" t="str">
        <f>IFERROR(IF('PREENCHER AQUI'!A35="","",'PREENCHER AQUI'!A35),"")</f>
        <v/>
      </c>
      <c r="B35" s="1" t="str">
        <f>IFERROR(IF('PREENCHER AQUI'!B35="","",PROPER('PREENCHER AQUI'!B35)),"")</f>
        <v/>
      </c>
      <c r="C35" s="1" t="str">
        <f>IFERROR(IF('PREENCHER AQUI'!C35="","",'PREENCHER AQUI'!C35),"")</f>
        <v/>
      </c>
      <c r="D35" s="2" t="str">
        <f>IFERROR(IF('PREENCHER AQUI'!D35="","",'PREENCHER AQUI'!D35),"")</f>
        <v/>
      </c>
      <c r="E35" s="2" t="str">
        <f>IFERROR(VLOOKUP(CONCATENATE(C35,D35),qdd!$C$2:$F$1000,2,FALSE),"")</f>
        <v/>
      </c>
      <c r="F35" s="2" t="str">
        <f>IFERROR(VLOOKUP(CONCATENATE(C35,D35),qdd!$C$2:$F$1000,3,FALSE),"")</f>
        <v/>
      </c>
      <c r="G35" s="2" t="str">
        <f>IFERROR(VLOOKUP(CONCATENATE(C35,D35),qdd!$C$2:$F$1000,4,FALSE),"")</f>
        <v/>
      </c>
      <c r="H35" s="6" t="str">
        <f t="shared" si="2"/>
        <v/>
      </c>
      <c r="I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" s="2" t="str">
        <f>IFERROR(IF('PREENCHER AQUI'!E35="","",'PREENCHER AQUI'!E35),"")</f>
        <v/>
      </c>
      <c r="K35" s="2" t="str">
        <f>IFERROR(IF('PREENCHER AQUI'!F35="","",'PREENCHER AQUI'!F35),"")</f>
        <v/>
      </c>
      <c r="L35" s="2" t="str">
        <f>IF(Tabela1[[#This Row],[IPU_COD]]=9,"91",IF(Tabela1[[#This Row],[ACAO_COD]]="","",VLOOKUP(CONCATENATE("G",J35,"M",K35),qdd!$BC$2:$BD$46,2,FALSE)))</f>
        <v/>
      </c>
      <c r="M35" s="2" t="str">
        <f>TEXT(IFERROR(VLOOKUP(CONCATENATE(C35,D35),qdd!$C$2:$G$1000,5,FALSE),""),0)</f>
        <v/>
      </c>
      <c r="N35" s="2" t="str">
        <f>IFERROR(IF('PREENCHER AQUI'!I35="","",'PREENCHER AQUI'!I35),"")</f>
        <v/>
      </c>
      <c r="O35" s="2" t="str">
        <f>IFERROR(IF('PREENCHER AQUI'!J35="","",'PREENCHER AQUI'!J35),"")</f>
        <v/>
      </c>
      <c r="P35" s="7" t="str">
        <f t="shared" si="3"/>
        <v/>
      </c>
      <c r="Q35" s="8" t="str">
        <f>IFERROR(IF(Tabela4[[#This Row],[VALOR]]="","",IF(Tabela1[[#This Row],[ORIENTACAO]]="Anular",'PREENCHER AQUI'!K35*-1*100,'PREENCHER AQUI'!K35*100)),"")</f>
        <v/>
      </c>
      <c r="T35" s="7" t="str">
        <f>IFERROR(IF('PREENCHER AQUI'!L35="","999",LEFT('PREENCHER AQUI'!L35,1)),"")</f>
        <v>999</v>
      </c>
      <c r="V35" s="19"/>
      <c r="W35" s="20" t="str">
        <f>IFERROR(VLOOKUP(Tabela1[[#This Row],[UO_COD]],qdd!$AT$1:$AU$102,2,FALSE),"")</f>
        <v/>
      </c>
      <c r="X35" s="20" t="str">
        <f>CONCATENATE("F",Tabela1[[#This Row],[FONTE_COD]],Tabela1[[#This Row],[IPU_COD]],"G",Tabela1[[#This Row],[GRUPO_COD]],"T",Tabela1[[#This Row],[TIPO]])</f>
        <v>FGT999</v>
      </c>
      <c r="Y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" s="19"/>
      <c r="AA35" s="29" t="str">
        <f>IFERROR(VLOOKUP(CONCATENATE("B",Tabela1[[#This Row],[BLOCO]],Tabela1[[#This Row],[UO_COD]]),qdd!$AW$2:$AX$1000,2,FALSE),"")</f>
        <v/>
      </c>
      <c r="AB35" s="30" t="str">
        <f>IFERROR(Tabela1[[#This Row],[VALOR]]/100,"")</f>
        <v/>
      </c>
      <c r="AC35" s="7" t="str" cm="1">
        <f t="array" aca="1" ref="AC35" ca="1">IF(Tabela1[[#This Row],[VALOR]]&lt;0,"",IFERROR(SUBSTITUTE(Converter_numero(Tabela1[[#This Row],[VALOR INCISO]]),",",""),""))</f>
        <v/>
      </c>
      <c r="AD35" s="29" t="str">
        <f>IF(Tabela1[[#This Row],[TIPO]]=REGRAS!$W$2,REGRAS!$X$2,IF(Tabela1[[#This Row],[TIPO]]=REGRAS!$W$4,REGRAS!$X$4,""))</f>
        <v/>
      </c>
      <c r="AE35" s="29" t="e">
        <f>VLOOKUP(Tabela1[[#This Row],[FONTE_COD]],REGRAS!$O$2:$P$69,2,FALSE)</f>
        <v>#N/A</v>
      </c>
      <c r="AF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" spans="1:32" ht="18.75" customHeight="1">
      <c r="A36" s="2" t="str">
        <f>IFERROR(IF('PREENCHER AQUI'!A36="","",'PREENCHER AQUI'!A36),"")</f>
        <v/>
      </c>
      <c r="B36" s="1" t="str">
        <f>IFERROR(IF('PREENCHER AQUI'!B36="","",PROPER('PREENCHER AQUI'!B36)),"")</f>
        <v/>
      </c>
      <c r="C36" s="1" t="str">
        <f>IFERROR(IF('PREENCHER AQUI'!C36="","",'PREENCHER AQUI'!C36),"")</f>
        <v/>
      </c>
      <c r="D36" s="2" t="str">
        <f>IFERROR(IF('PREENCHER AQUI'!D36="","",'PREENCHER AQUI'!D36),"")</f>
        <v/>
      </c>
      <c r="E36" s="2" t="str">
        <f>IFERROR(VLOOKUP(CONCATENATE(C36,D36),qdd!$C$2:$F$1000,2,FALSE),"")</f>
        <v/>
      </c>
      <c r="F36" s="2" t="str">
        <f>IFERROR(VLOOKUP(CONCATENATE(C36,D36),qdd!$C$2:$F$1000,3,FALSE),"")</f>
        <v/>
      </c>
      <c r="G36" s="2" t="str">
        <f>IFERROR(VLOOKUP(CONCATENATE(C36,D36),qdd!$C$2:$F$1000,4,FALSE),"")</f>
        <v/>
      </c>
      <c r="H36" s="6" t="str">
        <f t="shared" si="2"/>
        <v/>
      </c>
      <c r="I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" s="2" t="str">
        <f>IFERROR(IF('PREENCHER AQUI'!E36="","",'PREENCHER AQUI'!E36),"")</f>
        <v/>
      </c>
      <c r="K36" s="2" t="str">
        <f>IFERROR(IF('PREENCHER AQUI'!F36="","",'PREENCHER AQUI'!F36),"")</f>
        <v/>
      </c>
      <c r="L36" s="2" t="str">
        <f>IF(Tabela1[[#This Row],[IPU_COD]]=9,"91",IF(Tabela1[[#This Row],[ACAO_COD]]="","",VLOOKUP(CONCATENATE("G",J36,"M",K36),qdd!$BC$2:$BD$46,2,FALSE)))</f>
        <v/>
      </c>
      <c r="M36" s="2" t="str">
        <f>TEXT(IFERROR(VLOOKUP(CONCATENATE(C36,D36),qdd!$C$2:$G$1000,5,FALSE),""),0)</f>
        <v/>
      </c>
      <c r="N36" s="2" t="str">
        <f>IFERROR(IF('PREENCHER AQUI'!I36="","",'PREENCHER AQUI'!I36),"")</f>
        <v/>
      </c>
      <c r="O36" s="2" t="str">
        <f>IFERROR(IF('PREENCHER AQUI'!J36="","",'PREENCHER AQUI'!J36),"")</f>
        <v/>
      </c>
      <c r="P36" s="7" t="str">
        <f t="shared" si="3"/>
        <v/>
      </c>
      <c r="Q36" s="8" t="str">
        <f>IFERROR(IF(Tabela4[[#This Row],[VALOR]]="","",IF(Tabela1[[#This Row],[ORIENTACAO]]="Anular",'PREENCHER AQUI'!K36*-1*100,'PREENCHER AQUI'!K36*100)),"")</f>
        <v/>
      </c>
      <c r="T36" s="7" t="str">
        <f>IFERROR(IF('PREENCHER AQUI'!L36="","999",LEFT('PREENCHER AQUI'!L36,1)),"")</f>
        <v>999</v>
      </c>
      <c r="V36" s="19"/>
      <c r="W36" s="1" t="str">
        <f>IFERROR(VLOOKUP(Tabela1[[#This Row],[UO_COD]],qdd!$AT$1:$AU$102,2,FALSE),"")</f>
        <v/>
      </c>
      <c r="X36" s="1" t="str">
        <f>CONCATENATE("F",Tabela1[[#This Row],[FONTE_COD]],Tabela1[[#This Row],[IPU_COD]],"G",Tabela1[[#This Row],[GRUPO_COD]],"T",Tabela1[[#This Row],[TIPO]])</f>
        <v>FGT999</v>
      </c>
      <c r="Y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" s="19"/>
      <c r="AA36" s="29" t="str">
        <f>IFERROR(VLOOKUP(CONCATENATE("B",Tabela1[[#This Row],[BLOCO]],Tabela1[[#This Row],[UO_COD]]),qdd!$AW$2:$AX$1000,2,FALSE),"")</f>
        <v/>
      </c>
      <c r="AB36" s="30" t="str">
        <f>IFERROR(Tabela1[[#This Row],[VALOR]]/100,"")</f>
        <v/>
      </c>
      <c r="AC36" s="7" t="str" cm="1">
        <f t="array" aca="1" ref="AC36" ca="1">IF(Tabela1[[#This Row],[VALOR]]&lt;0,"",IFERROR(SUBSTITUTE(Converter_numero(Tabela1[[#This Row],[VALOR INCISO]]),",",""),""))</f>
        <v/>
      </c>
      <c r="AD36" s="29" t="str">
        <f>IF(Tabela1[[#This Row],[TIPO]]=REGRAS!$W$2,REGRAS!$X$2,IF(Tabela1[[#This Row],[TIPO]]=REGRAS!$W$4,REGRAS!$X$4,""))</f>
        <v/>
      </c>
      <c r="AE36" s="29" t="e">
        <f>VLOOKUP(Tabela1[[#This Row],[FONTE_COD]],REGRAS!$O$2:$P$69,2,FALSE)</f>
        <v>#N/A</v>
      </c>
      <c r="AF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" spans="1:32" ht="18.75" customHeight="1">
      <c r="A37" s="2" t="str">
        <f>IFERROR(IF('PREENCHER AQUI'!A37="","",'PREENCHER AQUI'!A37),"")</f>
        <v/>
      </c>
      <c r="B37" s="1" t="str">
        <f>IFERROR(IF('PREENCHER AQUI'!B37="","",PROPER('PREENCHER AQUI'!B37)),"")</f>
        <v/>
      </c>
      <c r="C37" s="1" t="str">
        <f>IFERROR(IF('PREENCHER AQUI'!C37="","",'PREENCHER AQUI'!C37),"")</f>
        <v/>
      </c>
      <c r="D37" s="2" t="str">
        <f>IFERROR(IF('PREENCHER AQUI'!D37="","",'PREENCHER AQUI'!D37),"")</f>
        <v/>
      </c>
      <c r="E37" s="2" t="str">
        <f>IFERROR(VLOOKUP(CONCATENATE(C37,D37),qdd!$C$2:$F$1000,2,FALSE),"")</f>
        <v/>
      </c>
      <c r="F37" s="2" t="str">
        <f>IFERROR(VLOOKUP(CONCATENATE(C37,D37),qdd!$C$2:$F$1000,3,FALSE),"")</f>
        <v/>
      </c>
      <c r="G37" s="2" t="str">
        <f>IFERROR(VLOOKUP(CONCATENATE(C37,D37),qdd!$C$2:$F$1000,4,FALSE),"")</f>
        <v/>
      </c>
      <c r="H37" s="6" t="str">
        <f t="shared" si="2"/>
        <v/>
      </c>
      <c r="I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" s="2" t="str">
        <f>IFERROR(IF('PREENCHER AQUI'!E37="","",'PREENCHER AQUI'!E37),"")</f>
        <v/>
      </c>
      <c r="K37" s="2" t="str">
        <f>IFERROR(IF('PREENCHER AQUI'!F37="","",'PREENCHER AQUI'!F37),"")</f>
        <v/>
      </c>
      <c r="L37" s="2" t="str">
        <f>IF(Tabela1[[#This Row],[IPU_COD]]=9,"91",IF(Tabela1[[#This Row],[ACAO_COD]]="","",VLOOKUP(CONCATENATE("G",J37,"M",K37),qdd!$BC$2:$BD$46,2,FALSE)))</f>
        <v/>
      </c>
      <c r="M37" s="2" t="str">
        <f>TEXT(IFERROR(VLOOKUP(CONCATENATE(C37,D37),qdd!$C$2:$G$1000,5,FALSE),""),0)</f>
        <v/>
      </c>
      <c r="N37" s="2" t="str">
        <f>IFERROR(IF('PREENCHER AQUI'!I37="","",'PREENCHER AQUI'!I37),"")</f>
        <v/>
      </c>
      <c r="O37" s="2" t="str">
        <f>IFERROR(IF('PREENCHER AQUI'!J37="","",'PREENCHER AQUI'!J37),"")</f>
        <v/>
      </c>
      <c r="P37" s="7" t="str">
        <f t="shared" si="3"/>
        <v/>
      </c>
      <c r="Q37" s="8" t="str">
        <f>IFERROR(IF(Tabela4[[#This Row],[VALOR]]="","",IF(Tabela1[[#This Row],[ORIENTACAO]]="Anular",'PREENCHER AQUI'!K37*-1*100,'PREENCHER AQUI'!K37*100)),"")</f>
        <v/>
      </c>
      <c r="T37" s="7" t="str">
        <f>IFERROR(IF('PREENCHER AQUI'!L37="","999",LEFT('PREENCHER AQUI'!L37,1)),"")</f>
        <v>999</v>
      </c>
      <c r="W37" s="1" t="str">
        <f>IFERROR(VLOOKUP(Tabela1[[#This Row],[UO_COD]],qdd!$AT$1:$AU$102,2,FALSE),"")</f>
        <v/>
      </c>
      <c r="X37" s="1" t="str">
        <f>CONCATENATE("F",Tabela1[[#This Row],[FONTE_COD]],Tabela1[[#This Row],[IPU_COD]],"G",Tabela1[[#This Row],[GRUPO_COD]],"T",Tabela1[[#This Row],[TIPO]])</f>
        <v>FGT999</v>
      </c>
      <c r="Y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" s="19"/>
      <c r="AA37" s="29" t="str">
        <f>IFERROR(VLOOKUP(CONCATENATE("B",Tabela1[[#This Row],[BLOCO]],Tabela1[[#This Row],[UO_COD]]),qdd!$AW$2:$AX$1000,2,FALSE),"")</f>
        <v/>
      </c>
      <c r="AB37" s="30" t="str">
        <f>IFERROR(Tabela1[[#This Row],[VALOR]]/100,"")</f>
        <v/>
      </c>
      <c r="AC37" s="7" t="str" cm="1">
        <f t="array" aca="1" ref="AC37" ca="1">IF(Tabela1[[#This Row],[VALOR]]&lt;0,"",IFERROR(SUBSTITUTE(Converter_numero(Tabela1[[#This Row],[VALOR INCISO]]),",",""),""))</f>
        <v/>
      </c>
      <c r="AD37" s="7" t="str">
        <f>IF(Tabela1[[#This Row],[TIPO]]=REGRAS!$W$2,REGRAS!$X$2,IF(Tabela1[[#This Row],[TIPO]]=REGRAS!$W$4,REGRAS!$X$4,""))</f>
        <v/>
      </c>
      <c r="AE37" s="29" t="e">
        <f>VLOOKUP(Tabela1[[#This Row],[FONTE_COD]],REGRAS!$O$2:$P$69,2,FALSE)</f>
        <v>#N/A</v>
      </c>
      <c r="AF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" spans="1:32" ht="18.75" customHeight="1">
      <c r="A38" s="2" t="str">
        <f>IFERROR(IF('PREENCHER AQUI'!A38="","",'PREENCHER AQUI'!A38),"")</f>
        <v/>
      </c>
      <c r="B38" s="1" t="str">
        <f>IFERROR(IF('PREENCHER AQUI'!B38="","",PROPER('PREENCHER AQUI'!B38)),"")</f>
        <v/>
      </c>
      <c r="C38" s="1" t="str">
        <f>IFERROR(IF('PREENCHER AQUI'!C38="","",'PREENCHER AQUI'!C38),"")</f>
        <v/>
      </c>
      <c r="D38" s="2" t="str">
        <f>IFERROR(IF('PREENCHER AQUI'!D38="","",'PREENCHER AQUI'!D38),"")</f>
        <v/>
      </c>
      <c r="E38" s="2" t="str">
        <f>IFERROR(VLOOKUP(CONCATENATE(C38,D38),qdd!$C$2:$F$1000,2,FALSE),"")</f>
        <v/>
      </c>
      <c r="F38" s="2" t="str">
        <f>IFERROR(VLOOKUP(CONCATENATE(C38,D38),qdd!$C$2:$F$1000,3,FALSE),"")</f>
        <v/>
      </c>
      <c r="G38" s="2" t="str">
        <f>IFERROR(VLOOKUP(CONCATENATE(C38,D38),qdd!$C$2:$F$1000,4,FALSE),"")</f>
        <v/>
      </c>
      <c r="H38" s="6" t="str">
        <f t="shared" si="2"/>
        <v/>
      </c>
      <c r="I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" s="2" t="str">
        <f>IFERROR(IF('PREENCHER AQUI'!E38="","",'PREENCHER AQUI'!E38),"")</f>
        <v/>
      </c>
      <c r="K38" s="2" t="str">
        <f>IFERROR(IF('PREENCHER AQUI'!F38="","",'PREENCHER AQUI'!F38),"")</f>
        <v/>
      </c>
      <c r="L38" s="2" t="str">
        <f>IF(Tabela1[[#This Row],[IPU_COD]]=9,"91",IF(Tabela1[[#This Row],[ACAO_COD]]="","",VLOOKUP(CONCATENATE("G",J38,"M",K38),qdd!$BC$2:$BD$46,2,FALSE)))</f>
        <v/>
      </c>
      <c r="M38" s="2" t="str">
        <f>TEXT(IFERROR(VLOOKUP(CONCATENATE(C38,D38),qdd!$C$2:$G$1000,5,FALSE),""),0)</f>
        <v/>
      </c>
      <c r="N38" s="2" t="str">
        <f>IFERROR(IF('PREENCHER AQUI'!I38="","",'PREENCHER AQUI'!I38),"")</f>
        <v/>
      </c>
      <c r="O38" s="2" t="str">
        <f>IFERROR(IF('PREENCHER AQUI'!J38="","",'PREENCHER AQUI'!J38),"")</f>
        <v/>
      </c>
      <c r="P38" s="7" t="str">
        <f t="shared" si="3"/>
        <v/>
      </c>
      <c r="Q38" s="8" t="str">
        <f>IFERROR(IF(Tabela4[[#This Row],[VALOR]]="","",IF(Tabela1[[#This Row],[ORIENTACAO]]="Anular",'PREENCHER AQUI'!K38*-1*100,'PREENCHER AQUI'!K38*100)),"")</f>
        <v/>
      </c>
      <c r="T38" s="7" t="str">
        <f>IFERROR(IF('PREENCHER AQUI'!L38="","999",LEFT('PREENCHER AQUI'!L38,1)),"")</f>
        <v>999</v>
      </c>
      <c r="V38" s="19"/>
      <c r="W38" s="1" t="str">
        <f>IFERROR(VLOOKUP(Tabela1[[#This Row],[UO_COD]],qdd!$AT$1:$AU$102,2,FALSE),"")</f>
        <v/>
      </c>
      <c r="X38" s="1" t="str">
        <f>CONCATENATE("F",Tabela1[[#This Row],[FONTE_COD]],Tabela1[[#This Row],[IPU_COD]],"G",Tabela1[[#This Row],[GRUPO_COD]],"T",Tabela1[[#This Row],[TIPO]])</f>
        <v>FGT999</v>
      </c>
      <c r="Y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" s="19"/>
      <c r="AA38" s="29" t="str">
        <f>IFERROR(VLOOKUP(CONCATENATE("B",Tabela1[[#This Row],[BLOCO]],Tabela1[[#This Row],[UO_COD]]),qdd!$AW$2:$AX$1000,2,FALSE),"")</f>
        <v/>
      </c>
      <c r="AB38" s="30" t="str">
        <f>IFERROR(Tabela1[[#This Row],[VALOR]]/100,"")</f>
        <v/>
      </c>
      <c r="AC38" s="7" t="str" cm="1">
        <f t="array" aca="1" ref="AC38" ca="1">IF(Tabela1[[#This Row],[VALOR]]&lt;0,"",IFERROR(SUBSTITUTE(Converter_numero(Tabela1[[#This Row],[VALOR INCISO]]),",",""),""))</f>
        <v/>
      </c>
      <c r="AD38" s="29" t="str">
        <f>IF(Tabela1[[#This Row],[TIPO]]=REGRAS!$W$2,REGRAS!$X$2,IF(Tabela1[[#This Row],[TIPO]]=REGRAS!$W$4,REGRAS!$X$4,""))</f>
        <v/>
      </c>
      <c r="AE38" s="29" t="e">
        <f>VLOOKUP(Tabela1[[#This Row],[FONTE_COD]],REGRAS!$O$2:$P$69,2,FALSE)</f>
        <v>#N/A</v>
      </c>
      <c r="AF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" spans="1:32" ht="18.75" customHeight="1">
      <c r="A39" s="2" t="str">
        <f>IFERROR(IF('PREENCHER AQUI'!A39="","",'PREENCHER AQUI'!A39),"")</f>
        <v/>
      </c>
      <c r="B39" s="1" t="str">
        <f>IFERROR(IF('PREENCHER AQUI'!B39="","",PROPER('PREENCHER AQUI'!B39)),"")</f>
        <v/>
      </c>
      <c r="C39" s="1" t="str">
        <f>IFERROR(IF('PREENCHER AQUI'!C39="","",'PREENCHER AQUI'!C39),"")</f>
        <v/>
      </c>
      <c r="D39" s="2" t="str">
        <f>IFERROR(IF('PREENCHER AQUI'!D39="","",'PREENCHER AQUI'!D39),"")</f>
        <v/>
      </c>
      <c r="E39" s="2" t="str">
        <f>IFERROR(VLOOKUP(CONCATENATE(C39,D39),qdd!$C$2:$F$1000,2,FALSE),"")</f>
        <v/>
      </c>
      <c r="F39" s="2" t="str">
        <f>IFERROR(VLOOKUP(CONCATENATE(C39,D39),qdd!$C$2:$F$1000,3,FALSE),"")</f>
        <v/>
      </c>
      <c r="G39" s="2" t="str">
        <f>IFERROR(VLOOKUP(CONCATENATE(C39,D39),qdd!$C$2:$F$1000,4,FALSE),"")</f>
        <v/>
      </c>
      <c r="H39" s="6" t="str">
        <f t="shared" si="2"/>
        <v/>
      </c>
      <c r="I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" s="2" t="str">
        <f>IFERROR(IF('PREENCHER AQUI'!E39="","",'PREENCHER AQUI'!E39),"")</f>
        <v/>
      </c>
      <c r="K39" s="2" t="str">
        <f>IFERROR(IF('PREENCHER AQUI'!F39="","",'PREENCHER AQUI'!F39),"")</f>
        <v/>
      </c>
      <c r="L39" s="2" t="str">
        <f>IF(Tabela1[[#This Row],[IPU_COD]]=9,"91",IF(Tabela1[[#This Row],[ACAO_COD]]="","",VLOOKUP(CONCATENATE("G",J39,"M",K39),qdd!$BC$2:$BD$46,2,FALSE)))</f>
        <v/>
      </c>
      <c r="M39" s="2" t="str">
        <f>TEXT(IFERROR(VLOOKUP(CONCATENATE(C39,D39),qdd!$C$2:$G$1000,5,FALSE),""),0)</f>
        <v/>
      </c>
      <c r="N39" s="2" t="str">
        <f>IFERROR(IF('PREENCHER AQUI'!I39="","",'PREENCHER AQUI'!I39),"")</f>
        <v/>
      </c>
      <c r="O39" s="2" t="str">
        <f>IFERROR(IF('PREENCHER AQUI'!J39="","",'PREENCHER AQUI'!J39),"")</f>
        <v/>
      </c>
      <c r="P39" s="7" t="str">
        <f t="shared" si="3"/>
        <v/>
      </c>
      <c r="Q39" s="8" t="str">
        <f>IFERROR(IF(Tabela4[[#This Row],[VALOR]]="","",IF(Tabela1[[#This Row],[ORIENTACAO]]="Anular",'PREENCHER AQUI'!K39*-1*100,'PREENCHER AQUI'!K39*100)),"")</f>
        <v/>
      </c>
      <c r="T39" s="7" t="str">
        <f>IFERROR(IF('PREENCHER AQUI'!L39="","999",LEFT('PREENCHER AQUI'!L39,1)),"")</f>
        <v>999</v>
      </c>
      <c r="V39" s="19"/>
      <c r="W39" s="1" t="str">
        <f>IFERROR(VLOOKUP(Tabela1[[#This Row],[UO_COD]],qdd!$AT$1:$AU$102,2,FALSE),"")</f>
        <v/>
      </c>
      <c r="X39" s="1" t="str">
        <f>CONCATENATE("F",Tabela1[[#This Row],[FONTE_COD]],Tabela1[[#This Row],[IPU_COD]],"G",Tabela1[[#This Row],[GRUPO_COD]],"T",Tabela1[[#This Row],[TIPO]])</f>
        <v>FGT999</v>
      </c>
      <c r="Y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" s="19"/>
      <c r="AA39" s="29" t="str">
        <f>IFERROR(VLOOKUP(CONCATENATE("B",Tabela1[[#This Row],[BLOCO]],Tabela1[[#This Row],[UO_COD]]),qdd!$AW$2:$AX$1000,2,FALSE),"")</f>
        <v/>
      </c>
      <c r="AB39" s="30" t="str">
        <f>IFERROR(Tabela1[[#This Row],[VALOR]]/100,"")</f>
        <v/>
      </c>
      <c r="AC39" s="7" t="str" cm="1">
        <f t="array" aca="1" ref="AC39" ca="1">IF(Tabela1[[#This Row],[VALOR]]&lt;0,"",IFERROR(SUBSTITUTE(Converter_numero(Tabela1[[#This Row],[VALOR INCISO]]),",",""),""))</f>
        <v/>
      </c>
      <c r="AD39" s="29" t="str">
        <f>IF(Tabela1[[#This Row],[TIPO]]=REGRAS!$W$2,REGRAS!$X$2,IF(Tabela1[[#This Row],[TIPO]]=REGRAS!$W$4,REGRAS!$X$4,""))</f>
        <v/>
      </c>
      <c r="AE39" s="29" t="e">
        <f>VLOOKUP(Tabela1[[#This Row],[FONTE_COD]],REGRAS!$O$2:$P$69,2,FALSE)</f>
        <v>#N/A</v>
      </c>
      <c r="AF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" spans="1:32" ht="18.75" customHeight="1">
      <c r="A40" s="2" t="str">
        <f>IFERROR(IF('PREENCHER AQUI'!A40="","",'PREENCHER AQUI'!A40),"")</f>
        <v/>
      </c>
      <c r="B40" s="1" t="str">
        <f>IFERROR(IF('PREENCHER AQUI'!B40="","",PROPER('PREENCHER AQUI'!B40)),"")</f>
        <v/>
      </c>
      <c r="C40" s="1" t="str">
        <f>IFERROR(IF('PREENCHER AQUI'!C40="","",'PREENCHER AQUI'!C40),"")</f>
        <v/>
      </c>
      <c r="D40" s="2" t="str">
        <f>IFERROR(IF('PREENCHER AQUI'!D40="","",'PREENCHER AQUI'!D40),"")</f>
        <v/>
      </c>
      <c r="E40" s="2" t="str">
        <f>IFERROR(VLOOKUP(CONCATENATE(C40,D40),qdd!$C$2:$F$1000,2,FALSE),"")</f>
        <v/>
      </c>
      <c r="F40" s="2" t="str">
        <f>IFERROR(VLOOKUP(CONCATENATE(C40,D40),qdd!$C$2:$F$1000,3,FALSE),"")</f>
        <v/>
      </c>
      <c r="G40" s="2" t="str">
        <f>IFERROR(VLOOKUP(CONCATENATE(C40,D40),qdd!$C$2:$F$1000,4,FALSE),"")</f>
        <v/>
      </c>
      <c r="H40" s="6" t="str">
        <f t="shared" si="2"/>
        <v/>
      </c>
      <c r="I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" s="2" t="str">
        <f>IFERROR(IF('PREENCHER AQUI'!E40="","",'PREENCHER AQUI'!E40),"")</f>
        <v/>
      </c>
      <c r="K40" s="2" t="str">
        <f>IFERROR(IF('PREENCHER AQUI'!F40="","",'PREENCHER AQUI'!F40),"")</f>
        <v/>
      </c>
      <c r="L40" s="2" t="str">
        <f>IF(Tabela1[[#This Row],[IPU_COD]]=9,"91",IF(Tabela1[[#This Row],[ACAO_COD]]="","",VLOOKUP(CONCATENATE("G",J40,"M",K40),qdd!$BC$2:$BD$46,2,FALSE)))</f>
        <v/>
      </c>
      <c r="M40" s="2" t="str">
        <f>TEXT(IFERROR(VLOOKUP(CONCATENATE(C40,D40),qdd!$C$2:$G$1000,5,FALSE),""),0)</f>
        <v/>
      </c>
      <c r="N40" s="2" t="str">
        <f>IFERROR(IF('PREENCHER AQUI'!I40="","",'PREENCHER AQUI'!I40),"")</f>
        <v/>
      </c>
      <c r="O40" s="2" t="str">
        <f>IFERROR(IF('PREENCHER AQUI'!J40="","",'PREENCHER AQUI'!J40),"")</f>
        <v/>
      </c>
      <c r="P40" s="7" t="str">
        <f t="shared" si="3"/>
        <v/>
      </c>
      <c r="Q40" s="8" t="str">
        <f>IFERROR(IF(Tabela4[[#This Row],[VALOR]]="","",IF(Tabela1[[#This Row],[ORIENTACAO]]="Anular",'PREENCHER AQUI'!K40*-1*100,'PREENCHER AQUI'!K40*100)),"")</f>
        <v/>
      </c>
      <c r="T40" s="7" t="str">
        <f>IFERROR(IF('PREENCHER AQUI'!L40="","999",LEFT('PREENCHER AQUI'!L40,1)),"")</f>
        <v>999</v>
      </c>
      <c r="V40" s="19"/>
      <c r="W40" s="20" t="str">
        <f>IFERROR(VLOOKUP(Tabela1[[#This Row],[UO_COD]],qdd!$AT$1:$AU$102,2,FALSE),"")</f>
        <v/>
      </c>
      <c r="X40" s="20" t="str">
        <f>CONCATENATE("F",Tabela1[[#This Row],[FONTE_COD]],Tabela1[[#This Row],[IPU_COD]],"G",Tabela1[[#This Row],[GRUPO_COD]],"T",Tabela1[[#This Row],[TIPO]])</f>
        <v>FGT999</v>
      </c>
      <c r="Y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" s="19"/>
      <c r="AA40" s="29" t="str">
        <f>IFERROR(VLOOKUP(CONCATENATE("B",Tabela1[[#This Row],[BLOCO]],Tabela1[[#This Row],[UO_COD]]),qdd!$AW$2:$AX$1000,2,FALSE),"")</f>
        <v/>
      </c>
      <c r="AB40" s="30" t="str">
        <f>IFERROR(Tabela1[[#This Row],[VALOR]]/100,"")</f>
        <v/>
      </c>
      <c r="AC40" s="7" t="str" cm="1">
        <f t="array" aca="1" ref="AC40" ca="1">IF(Tabela1[[#This Row],[VALOR]]&lt;0,"",IFERROR(SUBSTITUTE(Converter_numero(Tabela1[[#This Row],[VALOR INCISO]]),",",""),""))</f>
        <v/>
      </c>
      <c r="AD40" s="29" t="str">
        <f>IF(Tabela1[[#This Row],[TIPO]]=REGRAS!$W$2,REGRAS!$X$2,IF(Tabela1[[#This Row],[TIPO]]=REGRAS!$W$4,REGRAS!$X$4,""))</f>
        <v/>
      </c>
      <c r="AE40" s="29" t="e">
        <f>VLOOKUP(Tabela1[[#This Row],[FONTE_COD]],REGRAS!$O$2:$P$69,2,FALSE)</f>
        <v>#N/A</v>
      </c>
      <c r="AF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" spans="1:32" ht="18.75" customHeight="1">
      <c r="A41" s="2" t="str">
        <f>IFERROR(IF('PREENCHER AQUI'!A41="","",'PREENCHER AQUI'!A41),"")</f>
        <v/>
      </c>
      <c r="B41" s="1" t="str">
        <f>IFERROR(IF('PREENCHER AQUI'!B41="","",PROPER('PREENCHER AQUI'!B41)),"")</f>
        <v/>
      </c>
      <c r="C41" s="1" t="str">
        <f>IFERROR(IF('PREENCHER AQUI'!C41="","",'PREENCHER AQUI'!C41),"")</f>
        <v/>
      </c>
      <c r="D41" s="2" t="str">
        <f>IFERROR(IF('PREENCHER AQUI'!D41="","",'PREENCHER AQUI'!D41),"")</f>
        <v/>
      </c>
      <c r="E41" s="2" t="str">
        <f>IFERROR(VLOOKUP(CONCATENATE(C41,D41),qdd!$C$2:$F$1000,2,FALSE),"")</f>
        <v/>
      </c>
      <c r="F41" s="2" t="str">
        <f>IFERROR(VLOOKUP(CONCATENATE(C41,D41),qdd!$C$2:$F$1000,3,FALSE),"")</f>
        <v/>
      </c>
      <c r="G41" s="2" t="str">
        <f>IFERROR(VLOOKUP(CONCATENATE(C41,D41),qdd!$C$2:$F$1000,4,FALSE),"")</f>
        <v/>
      </c>
      <c r="H41" s="6" t="str">
        <f t="shared" si="2"/>
        <v/>
      </c>
      <c r="I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" s="2" t="str">
        <f>IFERROR(IF('PREENCHER AQUI'!E41="","",'PREENCHER AQUI'!E41),"")</f>
        <v/>
      </c>
      <c r="K41" s="2" t="str">
        <f>IFERROR(IF('PREENCHER AQUI'!F41="","",'PREENCHER AQUI'!F41),"")</f>
        <v/>
      </c>
      <c r="L41" s="2" t="str">
        <f>IF(Tabela1[[#This Row],[IPU_COD]]=9,"91",IF(Tabela1[[#This Row],[ACAO_COD]]="","",VLOOKUP(CONCATENATE("G",J41,"M",K41),qdd!$BC$2:$BD$46,2,FALSE)))</f>
        <v/>
      </c>
      <c r="M41" s="2" t="str">
        <f>TEXT(IFERROR(VLOOKUP(CONCATENATE(C41,D41),qdd!$C$2:$G$1000,5,FALSE),""),0)</f>
        <v/>
      </c>
      <c r="N41" s="2" t="str">
        <f>IFERROR(IF('PREENCHER AQUI'!I41="","",'PREENCHER AQUI'!I41),"")</f>
        <v/>
      </c>
      <c r="O41" s="2" t="str">
        <f>IFERROR(IF('PREENCHER AQUI'!J41="","",'PREENCHER AQUI'!J41),"")</f>
        <v/>
      </c>
      <c r="P41" s="7" t="str">
        <f t="shared" si="3"/>
        <v/>
      </c>
      <c r="Q41" s="8" t="str">
        <f>IFERROR(IF(Tabela4[[#This Row],[VALOR]]="","",IF(Tabela1[[#This Row],[ORIENTACAO]]="Anular",'PREENCHER AQUI'!K41*-1*100,'PREENCHER AQUI'!K41*100)),"")</f>
        <v/>
      </c>
      <c r="T41" s="7" t="str">
        <f>IFERROR(IF('PREENCHER AQUI'!L41="","999",LEFT('PREENCHER AQUI'!L41,1)),"")</f>
        <v>999</v>
      </c>
      <c r="V41" s="19"/>
      <c r="W41" s="1" t="str">
        <f>IFERROR(VLOOKUP(Tabela1[[#This Row],[UO_COD]],qdd!$AT$1:$AU$102,2,FALSE),"")</f>
        <v/>
      </c>
      <c r="X41" s="1" t="str">
        <f>CONCATENATE("F",Tabela1[[#This Row],[FONTE_COD]],Tabela1[[#This Row],[IPU_COD]],"G",Tabela1[[#This Row],[GRUPO_COD]],"T",Tabela1[[#This Row],[TIPO]])</f>
        <v>FGT999</v>
      </c>
      <c r="Y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" s="19"/>
      <c r="AA41" s="29" t="str">
        <f>IFERROR(VLOOKUP(CONCATENATE("B",Tabela1[[#This Row],[BLOCO]],Tabela1[[#This Row],[UO_COD]]),qdd!$AW$2:$AX$1000,2,FALSE),"")</f>
        <v/>
      </c>
      <c r="AB41" s="30" t="str">
        <f>IFERROR(Tabela1[[#This Row],[VALOR]]/100,"")</f>
        <v/>
      </c>
      <c r="AC41" s="7" t="str" cm="1">
        <f t="array" aca="1" ref="AC41" ca="1">IF(Tabela1[[#This Row],[VALOR]]&lt;0,"",IFERROR(SUBSTITUTE(Converter_numero(Tabela1[[#This Row],[VALOR INCISO]]),",",""),""))</f>
        <v/>
      </c>
      <c r="AD41" s="29" t="str">
        <f>IF(Tabela1[[#This Row],[TIPO]]=REGRAS!$W$2,REGRAS!$X$2,IF(Tabela1[[#This Row],[TIPO]]=REGRAS!$W$4,REGRAS!$X$4,""))</f>
        <v/>
      </c>
      <c r="AE41" s="29" t="e">
        <f>VLOOKUP(Tabela1[[#This Row],[FONTE_COD]],REGRAS!$O$2:$P$69,2,FALSE)</f>
        <v>#N/A</v>
      </c>
      <c r="AF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" spans="1:32" ht="18.75" customHeight="1">
      <c r="A42" s="2" t="str">
        <f>IFERROR(IF('PREENCHER AQUI'!A42="","",'PREENCHER AQUI'!A42),"")</f>
        <v/>
      </c>
      <c r="B42" s="1" t="str">
        <f>IFERROR(IF('PREENCHER AQUI'!B42="","",PROPER('PREENCHER AQUI'!B42)),"")</f>
        <v/>
      </c>
      <c r="C42" s="1" t="str">
        <f>IFERROR(IF('PREENCHER AQUI'!C42="","",'PREENCHER AQUI'!C42),"")</f>
        <v/>
      </c>
      <c r="D42" s="2" t="str">
        <f>IFERROR(IF('PREENCHER AQUI'!D42="","",'PREENCHER AQUI'!D42),"")</f>
        <v/>
      </c>
      <c r="E42" s="2" t="str">
        <f>IFERROR(VLOOKUP(CONCATENATE(C42,D42),qdd!$C$2:$F$1000,2,FALSE),"")</f>
        <v/>
      </c>
      <c r="F42" s="2" t="str">
        <f>IFERROR(VLOOKUP(CONCATENATE(C42,D42),qdd!$C$2:$F$1000,3,FALSE),"")</f>
        <v/>
      </c>
      <c r="G42" s="2" t="str">
        <f>IFERROR(VLOOKUP(CONCATENATE(C42,D42),qdd!$C$2:$F$1000,4,FALSE),"")</f>
        <v/>
      </c>
      <c r="H42" s="6" t="str">
        <f t="shared" si="2"/>
        <v/>
      </c>
      <c r="I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" s="2" t="str">
        <f>IFERROR(IF('PREENCHER AQUI'!E42="","",'PREENCHER AQUI'!E42),"")</f>
        <v/>
      </c>
      <c r="K42" s="2" t="str">
        <f>IFERROR(IF('PREENCHER AQUI'!F42="","",'PREENCHER AQUI'!F42),"")</f>
        <v/>
      </c>
      <c r="L42" s="2" t="str">
        <f>IF(Tabela1[[#This Row],[IPU_COD]]=9,"91",IF(Tabela1[[#This Row],[ACAO_COD]]="","",VLOOKUP(CONCATENATE("G",J42,"M",K42),qdd!$BC$2:$BD$46,2,FALSE)))</f>
        <v/>
      </c>
      <c r="M42" s="2" t="str">
        <f>TEXT(IFERROR(VLOOKUP(CONCATENATE(C42,D42),qdd!$C$2:$G$1000,5,FALSE),""),0)</f>
        <v/>
      </c>
      <c r="N42" s="2" t="str">
        <f>IFERROR(IF('PREENCHER AQUI'!I42="","",'PREENCHER AQUI'!I42),"")</f>
        <v/>
      </c>
      <c r="O42" s="2" t="str">
        <f>IFERROR(IF('PREENCHER AQUI'!J42="","",'PREENCHER AQUI'!J42),"")</f>
        <v/>
      </c>
      <c r="P42" s="7" t="str">
        <f t="shared" si="3"/>
        <v/>
      </c>
      <c r="Q42" s="8" t="str">
        <f>IFERROR(IF(Tabela4[[#This Row],[VALOR]]="","",IF(Tabela1[[#This Row],[ORIENTACAO]]="Anular",'PREENCHER AQUI'!K42*-1*100,'PREENCHER AQUI'!K42*100)),"")</f>
        <v/>
      </c>
      <c r="T42" s="7" t="str">
        <f>IFERROR(IF('PREENCHER AQUI'!L42="","999",LEFT('PREENCHER AQUI'!L42,1)),"")</f>
        <v>999</v>
      </c>
      <c r="W42" s="1" t="str">
        <f>IFERROR(VLOOKUP(Tabela1[[#This Row],[UO_COD]],qdd!$AT$1:$AU$102,2,FALSE),"")</f>
        <v/>
      </c>
      <c r="X42" s="1" t="str">
        <f>CONCATENATE("F",Tabela1[[#This Row],[FONTE_COD]],Tabela1[[#This Row],[IPU_COD]],"G",Tabela1[[#This Row],[GRUPO_COD]],"T",Tabela1[[#This Row],[TIPO]])</f>
        <v>FGT999</v>
      </c>
      <c r="Y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" s="19"/>
      <c r="AA42" s="29" t="str">
        <f>IFERROR(VLOOKUP(CONCATENATE("B",Tabela1[[#This Row],[BLOCO]],Tabela1[[#This Row],[UO_COD]]),qdd!$AW$2:$AX$1000,2,FALSE),"")</f>
        <v/>
      </c>
      <c r="AB42" s="30" t="str">
        <f>IFERROR(Tabela1[[#This Row],[VALOR]]/100,"")</f>
        <v/>
      </c>
      <c r="AC42" s="7" t="str" cm="1">
        <f t="array" aca="1" ref="AC42" ca="1">IF(Tabela1[[#This Row],[VALOR]]&lt;0,"",IFERROR(SUBSTITUTE(Converter_numero(Tabela1[[#This Row],[VALOR INCISO]]),",",""),""))</f>
        <v/>
      </c>
      <c r="AD42" s="7" t="str">
        <f>IF(Tabela1[[#This Row],[TIPO]]=REGRAS!$W$2,REGRAS!$X$2,IF(Tabela1[[#This Row],[TIPO]]=REGRAS!$W$4,REGRAS!$X$4,""))</f>
        <v/>
      </c>
      <c r="AE42" s="29" t="e">
        <f>VLOOKUP(Tabela1[[#This Row],[FONTE_COD]],REGRAS!$O$2:$P$69,2,FALSE)</f>
        <v>#N/A</v>
      </c>
      <c r="AF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" spans="1:32" ht="18.75" customHeight="1">
      <c r="A43" s="2" t="str">
        <f>IFERROR(IF('PREENCHER AQUI'!A43="","",'PREENCHER AQUI'!A43),"")</f>
        <v/>
      </c>
      <c r="B43" s="1" t="str">
        <f>IFERROR(IF('PREENCHER AQUI'!B43="","",PROPER('PREENCHER AQUI'!B43)),"")</f>
        <v/>
      </c>
      <c r="C43" s="1" t="str">
        <f>IFERROR(IF('PREENCHER AQUI'!C43="","",'PREENCHER AQUI'!C43),"")</f>
        <v/>
      </c>
      <c r="D43" s="2" t="str">
        <f>IFERROR(IF('PREENCHER AQUI'!D43="","",'PREENCHER AQUI'!D43),"")</f>
        <v/>
      </c>
      <c r="E43" s="2" t="str">
        <f>IFERROR(VLOOKUP(CONCATENATE(C43,D43),qdd!$C$2:$F$1000,2,FALSE),"")</f>
        <v/>
      </c>
      <c r="F43" s="2" t="str">
        <f>IFERROR(VLOOKUP(CONCATENATE(C43,D43),qdd!$C$2:$F$1000,3,FALSE),"")</f>
        <v/>
      </c>
      <c r="G43" s="2" t="str">
        <f>IFERROR(VLOOKUP(CONCATENATE(C43,D43),qdd!$C$2:$F$1000,4,FALSE),"")</f>
        <v/>
      </c>
      <c r="H43" s="6" t="str">
        <f t="shared" si="2"/>
        <v/>
      </c>
      <c r="I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" s="2" t="str">
        <f>IFERROR(IF('PREENCHER AQUI'!E43="","",'PREENCHER AQUI'!E43),"")</f>
        <v/>
      </c>
      <c r="K43" s="2" t="str">
        <f>IFERROR(IF('PREENCHER AQUI'!F43="","",'PREENCHER AQUI'!F43),"")</f>
        <v/>
      </c>
      <c r="L43" s="2" t="str">
        <f>IF(Tabela1[[#This Row],[IPU_COD]]=9,"91",IF(Tabela1[[#This Row],[ACAO_COD]]="","",VLOOKUP(CONCATENATE("G",J43,"M",K43),qdd!$BC$2:$BD$46,2,FALSE)))</f>
        <v/>
      </c>
      <c r="M43" s="2" t="str">
        <f>TEXT(IFERROR(VLOOKUP(CONCATENATE(C43,D43),qdd!$C$2:$G$1000,5,FALSE),""),0)</f>
        <v/>
      </c>
      <c r="N43" s="2" t="str">
        <f>IFERROR(IF('PREENCHER AQUI'!I43="","",'PREENCHER AQUI'!I43),"")</f>
        <v/>
      </c>
      <c r="O43" s="2" t="str">
        <f>IFERROR(IF('PREENCHER AQUI'!J43="","",'PREENCHER AQUI'!J43),"")</f>
        <v/>
      </c>
      <c r="P43" s="7" t="str">
        <f t="shared" si="3"/>
        <v/>
      </c>
      <c r="Q43" s="8" t="str">
        <f>IFERROR(IF(Tabela4[[#This Row],[VALOR]]="","",IF(Tabela1[[#This Row],[ORIENTACAO]]="Anular",'PREENCHER AQUI'!K43*-1*100,'PREENCHER AQUI'!K43*100)),"")</f>
        <v/>
      </c>
      <c r="T43" s="7" t="str">
        <f>IFERROR(IF('PREENCHER AQUI'!L43="","999",LEFT('PREENCHER AQUI'!L43,1)),"")</f>
        <v>999</v>
      </c>
      <c r="V43" s="19"/>
      <c r="W43" s="1" t="str">
        <f>IFERROR(VLOOKUP(Tabela1[[#This Row],[UO_COD]],qdd!$AT$1:$AU$102,2,FALSE),"")</f>
        <v/>
      </c>
      <c r="X43" s="1" t="str">
        <f>CONCATENATE("F",Tabela1[[#This Row],[FONTE_COD]],Tabela1[[#This Row],[IPU_COD]],"G",Tabela1[[#This Row],[GRUPO_COD]],"T",Tabela1[[#This Row],[TIPO]])</f>
        <v>FGT999</v>
      </c>
      <c r="Y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" s="19"/>
      <c r="AA43" s="29" t="str">
        <f>IFERROR(VLOOKUP(CONCATENATE("B",Tabela1[[#This Row],[BLOCO]],Tabela1[[#This Row],[UO_COD]]),qdd!$AW$2:$AX$1000,2,FALSE),"")</f>
        <v/>
      </c>
      <c r="AB43" s="30" t="str">
        <f>IFERROR(Tabela1[[#This Row],[VALOR]]/100,"")</f>
        <v/>
      </c>
      <c r="AC43" s="7" t="str" cm="1">
        <f t="array" aca="1" ref="AC43" ca="1">IF(Tabela1[[#This Row],[VALOR]]&lt;0,"",IFERROR(SUBSTITUTE(Converter_numero(Tabela1[[#This Row],[VALOR INCISO]]),",",""),""))</f>
        <v/>
      </c>
      <c r="AD43" s="29" t="str">
        <f>IF(Tabela1[[#This Row],[TIPO]]=REGRAS!$W$2,REGRAS!$X$2,IF(Tabela1[[#This Row],[TIPO]]=REGRAS!$W$4,REGRAS!$X$4,""))</f>
        <v/>
      </c>
      <c r="AE43" s="29" t="e">
        <f>VLOOKUP(Tabela1[[#This Row],[FONTE_COD]],REGRAS!$O$2:$P$69,2,FALSE)</f>
        <v>#N/A</v>
      </c>
      <c r="AF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" spans="1:32" ht="18.75" customHeight="1">
      <c r="A44" s="2" t="str">
        <f>IFERROR(IF('PREENCHER AQUI'!A44="","",'PREENCHER AQUI'!A44),"")</f>
        <v/>
      </c>
      <c r="B44" s="1" t="str">
        <f>IFERROR(IF('PREENCHER AQUI'!B44="","",PROPER('PREENCHER AQUI'!B44)),"")</f>
        <v/>
      </c>
      <c r="C44" s="1" t="str">
        <f>IFERROR(IF('PREENCHER AQUI'!C44="","",'PREENCHER AQUI'!C44),"")</f>
        <v/>
      </c>
      <c r="D44" s="2" t="str">
        <f>IFERROR(IF('PREENCHER AQUI'!D44="","",'PREENCHER AQUI'!D44),"")</f>
        <v/>
      </c>
      <c r="E44" s="2" t="str">
        <f>IFERROR(VLOOKUP(CONCATENATE(C44,D44),qdd!$C$2:$F$1000,2,FALSE),"")</f>
        <v/>
      </c>
      <c r="F44" s="2" t="str">
        <f>IFERROR(VLOOKUP(CONCATENATE(C44,D44),qdd!$C$2:$F$1000,3,FALSE),"")</f>
        <v/>
      </c>
      <c r="G44" s="2" t="str">
        <f>IFERROR(VLOOKUP(CONCATENATE(C44,D44),qdd!$C$2:$F$1000,4,FALSE),"")</f>
        <v/>
      </c>
      <c r="H44" s="6" t="str">
        <f t="shared" si="2"/>
        <v/>
      </c>
      <c r="I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" s="2" t="str">
        <f>IFERROR(IF('PREENCHER AQUI'!E44="","",'PREENCHER AQUI'!E44),"")</f>
        <v/>
      </c>
      <c r="K44" s="2" t="str">
        <f>IFERROR(IF('PREENCHER AQUI'!F44="","",'PREENCHER AQUI'!F44),"")</f>
        <v/>
      </c>
      <c r="L44" s="2" t="str">
        <f>IF(Tabela1[[#This Row],[IPU_COD]]=9,"91",IF(Tabela1[[#This Row],[ACAO_COD]]="","",VLOOKUP(CONCATENATE("G",J44,"M",K44),qdd!$BC$2:$BD$46,2,FALSE)))</f>
        <v/>
      </c>
      <c r="M44" s="2" t="str">
        <f>TEXT(IFERROR(VLOOKUP(CONCATENATE(C44,D44),qdd!$C$2:$G$1000,5,FALSE),""),0)</f>
        <v/>
      </c>
      <c r="N44" s="2" t="str">
        <f>IFERROR(IF('PREENCHER AQUI'!I44="","",'PREENCHER AQUI'!I44),"")</f>
        <v/>
      </c>
      <c r="O44" s="2" t="str">
        <f>IFERROR(IF('PREENCHER AQUI'!J44="","",'PREENCHER AQUI'!J44),"")</f>
        <v/>
      </c>
      <c r="P44" s="7" t="str">
        <f t="shared" si="3"/>
        <v/>
      </c>
      <c r="Q44" s="8" t="str">
        <f>IFERROR(IF(Tabela4[[#This Row],[VALOR]]="","",IF(Tabela1[[#This Row],[ORIENTACAO]]="Anular",'PREENCHER AQUI'!K44*-1*100,'PREENCHER AQUI'!K44*100)),"")</f>
        <v/>
      </c>
      <c r="T44" s="7" t="str">
        <f>IFERROR(IF('PREENCHER AQUI'!L44="","999",LEFT('PREENCHER AQUI'!L44,1)),"")</f>
        <v>999</v>
      </c>
      <c r="V44" s="19"/>
      <c r="W44" s="1" t="str">
        <f>IFERROR(VLOOKUP(Tabela1[[#This Row],[UO_COD]],qdd!$AT$1:$AU$102,2,FALSE),"")</f>
        <v/>
      </c>
      <c r="X44" s="1" t="str">
        <f>CONCATENATE("F",Tabela1[[#This Row],[FONTE_COD]],Tabela1[[#This Row],[IPU_COD]],"G",Tabela1[[#This Row],[GRUPO_COD]],"T",Tabela1[[#This Row],[TIPO]])</f>
        <v>FGT999</v>
      </c>
      <c r="Y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" s="19"/>
      <c r="AA44" s="29" t="str">
        <f>IFERROR(VLOOKUP(CONCATENATE("B",Tabela1[[#This Row],[BLOCO]],Tabela1[[#This Row],[UO_COD]]),qdd!$AW$2:$AX$1000,2,FALSE),"")</f>
        <v/>
      </c>
      <c r="AB44" s="30" t="str">
        <f>IFERROR(Tabela1[[#This Row],[VALOR]]/100,"")</f>
        <v/>
      </c>
      <c r="AC44" s="7" t="str" cm="1">
        <f t="array" aca="1" ref="AC44" ca="1">IF(Tabela1[[#This Row],[VALOR]]&lt;0,"",IFERROR(SUBSTITUTE(Converter_numero(Tabela1[[#This Row],[VALOR INCISO]]),",",""),""))</f>
        <v/>
      </c>
      <c r="AD44" s="29" t="str">
        <f>IF(Tabela1[[#This Row],[TIPO]]=REGRAS!$W$2,REGRAS!$X$2,IF(Tabela1[[#This Row],[TIPO]]=REGRAS!$W$4,REGRAS!$X$4,""))</f>
        <v/>
      </c>
      <c r="AE44" s="29" t="e">
        <f>VLOOKUP(Tabela1[[#This Row],[FONTE_COD]],REGRAS!$O$2:$P$69,2,FALSE)</f>
        <v>#N/A</v>
      </c>
      <c r="AF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" spans="1:32" ht="18.75" customHeight="1">
      <c r="A45" s="2" t="str">
        <f>IFERROR(IF('PREENCHER AQUI'!A45="","",'PREENCHER AQUI'!A45),"")</f>
        <v/>
      </c>
      <c r="B45" s="1" t="str">
        <f>IFERROR(IF('PREENCHER AQUI'!B45="","",PROPER('PREENCHER AQUI'!B45)),"")</f>
        <v/>
      </c>
      <c r="C45" s="1" t="str">
        <f>IFERROR(IF('PREENCHER AQUI'!C45="","",'PREENCHER AQUI'!C45),"")</f>
        <v/>
      </c>
      <c r="D45" s="2" t="str">
        <f>IFERROR(IF('PREENCHER AQUI'!D45="","",'PREENCHER AQUI'!D45),"")</f>
        <v/>
      </c>
      <c r="E45" s="2" t="str">
        <f>IFERROR(VLOOKUP(CONCATENATE(C45,D45),qdd!$C$2:$F$1000,2,FALSE),"")</f>
        <v/>
      </c>
      <c r="F45" s="2" t="str">
        <f>IFERROR(VLOOKUP(CONCATENATE(C45,D45),qdd!$C$2:$F$1000,3,FALSE),"")</f>
        <v/>
      </c>
      <c r="G45" s="2" t="str">
        <f>IFERROR(VLOOKUP(CONCATENATE(C45,D45),qdd!$C$2:$F$1000,4,FALSE),"")</f>
        <v/>
      </c>
      <c r="H45" s="6" t="str">
        <f t="shared" si="2"/>
        <v/>
      </c>
      <c r="I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" s="2" t="str">
        <f>IFERROR(IF('PREENCHER AQUI'!E45="","",'PREENCHER AQUI'!E45),"")</f>
        <v/>
      </c>
      <c r="K45" s="2" t="str">
        <f>IFERROR(IF('PREENCHER AQUI'!F45="","",'PREENCHER AQUI'!F45),"")</f>
        <v/>
      </c>
      <c r="L45" s="2" t="str">
        <f>IF(Tabela1[[#This Row],[IPU_COD]]=9,"91",IF(Tabela1[[#This Row],[ACAO_COD]]="","",VLOOKUP(CONCATENATE("G",J45,"M",K45),qdd!$BC$2:$BD$46,2,FALSE)))</f>
        <v/>
      </c>
      <c r="M45" s="2" t="str">
        <f>TEXT(IFERROR(VLOOKUP(CONCATENATE(C45,D45),qdd!$C$2:$G$1000,5,FALSE),""),0)</f>
        <v/>
      </c>
      <c r="N45" s="2" t="str">
        <f>IFERROR(IF('PREENCHER AQUI'!I45="","",'PREENCHER AQUI'!I45),"")</f>
        <v/>
      </c>
      <c r="O45" s="2" t="str">
        <f>IFERROR(IF('PREENCHER AQUI'!J45="","",'PREENCHER AQUI'!J45),"")</f>
        <v/>
      </c>
      <c r="P45" s="7" t="str">
        <f t="shared" si="3"/>
        <v/>
      </c>
      <c r="Q45" s="8" t="str">
        <f>IFERROR(IF(Tabela4[[#This Row],[VALOR]]="","",IF(Tabela1[[#This Row],[ORIENTACAO]]="Anular",'PREENCHER AQUI'!K45*-1*100,'PREENCHER AQUI'!K45*100)),"")</f>
        <v/>
      </c>
      <c r="T45" s="7" t="str">
        <f>IFERROR(IF('PREENCHER AQUI'!L45="","999",LEFT('PREENCHER AQUI'!L45,1)),"")</f>
        <v>999</v>
      </c>
      <c r="V45" s="19"/>
      <c r="W45" s="20" t="str">
        <f>IFERROR(VLOOKUP(Tabela1[[#This Row],[UO_COD]],qdd!$AT$1:$AU$102,2,FALSE),"")</f>
        <v/>
      </c>
      <c r="X45" s="20" t="str">
        <f>CONCATENATE("F",Tabela1[[#This Row],[FONTE_COD]],Tabela1[[#This Row],[IPU_COD]],"G",Tabela1[[#This Row],[GRUPO_COD]],"T",Tabela1[[#This Row],[TIPO]])</f>
        <v>FGT999</v>
      </c>
      <c r="Y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" s="19"/>
      <c r="AA45" s="29" t="str">
        <f>IFERROR(VLOOKUP(CONCATENATE("B",Tabela1[[#This Row],[BLOCO]],Tabela1[[#This Row],[UO_COD]]),qdd!$AW$2:$AX$1000,2,FALSE),"")</f>
        <v/>
      </c>
      <c r="AB45" s="30" t="str">
        <f>IFERROR(Tabela1[[#This Row],[VALOR]]/100,"")</f>
        <v/>
      </c>
      <c r="AC45" s="7" t="str" cm="1">
        <f t="array" aca="1" ref="AC45" ca="1">IF(Tabela1[[#This Row],[VALOR]]&lt;0,"",IFERROR(SUBSTITUTE(Converter_numero(Tabela1[[#This Row],[VALOR INCISO]]),",",""),""))</f>
        <v/>
      </c>
      <c r="AD45" s="29" t="str">
        <f>IF(Tabela1[[#This Row],[TIPO]]=REGRAS!$W$2,REGRAS!$X$2,IF(Tabela1[[#This Row],[TIPO]]=REGRAS!$W$4,REGRAS!$X$4,""))</f>
        <v/>
      </c>
      <c r="AE45" s="29" t="e">
        <f>VLOOKUP(Tabela1[[#This Row],[FONTE_COD]],REGRAS!$O$2:$P$69,2,FALSE)</f>
        <v>#N/A</v>
      </c>
      <c r="AF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" spans="1:32" ht="18.75" customHeight="1">
      <c r="A46" s="2" t="str">
        <f>IFERROR(IF('PREENCHER AQUI'!A46="","",'PREENCHER AQUI'!A46),"")</f>
        <v/>
      </c>
      <c r="B46" s="1" t="str">
        <f>IFERROR(IF('PREENCHER AQUI'!B46="","",PROPER('PREENCHER AQUI'!B46)),"")</f>
        <v/>
      </c>
      <c r="C46" s="1" t="str">
        <f>IFERROR(IF('PREENCHER AQUI'!C46="","",'PREENCHER AQUI'!C46),"")</f>
        <v/>
      </c>
      <c r="D46" s="2" t="str">
        <f>IFERROR(IF('PREENCHER AQUI'!D46="","",'PREENCHER AQUI'!D46),"")</f>
        <v/>
      </c>
      <c r="E46" s="2" t="str">
        <f>IFERROR(VLOOKUP(CONCATENATE(C46,D46),qdd!$C$2:$F$1000,2,FALSE),"")</f>
        <v/>
      </c>
      <c r="F46" s="2" t="str">
        <f>IFERROR(VLOOKUP(CONCATENATE(C46,D46),qdd!$C$2:$F$1000,3,FALSE),"")</f>
        <v/>
      </c>
      <c r="G46" s="2" t="str">
        <f>IFERROR(VLOOKUP(CONCATENATE(C46,D46),qdd!$C$2:$F$1000,4,FALSE),"")</f>
        <v/>
      </c>
      <c r="H46" s="6" t="str">
        <f t="shared" si="2"/>
        <v/>
      </c>
      <c r="I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" s="2" t="str">
        <f>IFERROR(IF('PREENCHER AQUI'!E46="","",'PREENCHER AQUI'!E46),"")</f>
        <v/>
      </c>
      <c r="K46" s="2" t="str">
        <f>IFERROR(IF('PREENCHER AQUI'!F46="","",'PREENCHER AQUI'!F46),"")</f>
        <v/>
      </c>
      <c r="L46" s="2" t="str">
        <f>IF(Tabela1[[#This Row],[IPU_COD]]=9,"91",IF(Tabela1[[#This Row],[ACAO_COD]]="","",VLOOKUP(CONCATENATE("G",J46,"M",K46),qdd!$BC$2:$BD$46,2,FALSE)))</f>
        <v/>
      </c>
      <c r="M46" s="2" t="str">
        <f>TEXT(IFERROR(VLOOKUP(CONCATENATE(C46,D46),qdd!$C$2:$G$1000,5,FALSE),""),0)</f>
        <v/>
      </c>
      <c r="N46" s="2" t="str">
        <f>IFERROR(IF('PREENCHER AQUI'!I46="","",'PREENCHER AQUI'!I46),"")</f>
        <v/>
      </c>
      <c r="O46" s="2" t="str">
        <f>IFERROR(IF('PREENCHER AQUI'!J46="","",'PREENCHER AQUI'!J46),"")</f>
        <v/>
      </c>
      <c r="P46" s="7" t="str">
        <f t="shared" si="3"/>
        <v/>
      </c>
      <c r="Q46" s="8" t="str">
        <f>IFERROR(IF(Tabela4[[#This Row],[VALOR]]="","",IF(Tabela1[[#This Row],[ORIENTACAO]]="Anular",'PREENCHER AQUI'!K46*-1*100,'PREENCHER AQUI'!K46*100)),"")</f>
        <v/>
      </c>
      <c r="T46" s="7" t="str">
        <f>IFERROR(IF('PREENCHER AQUI'!L46="","999",LEFT('PREENCHER AQUI'!L46,1)),"")</f>
        <v>999</v>
      </c>
      <c r="V46" s="19"/>
      <c r="W46" s="1" t="str">
        <f>IFERROR(VLOOKUP(Tabela1[[#This Row],[UO_COD]],qdd!$AT$1:$AU$102,2,FALSE),"")</f>
        <v/>
      </c>
      <c r="X46" s="1" t="str">
        <f>CONCATENATE("F",Tabela1[[#This Row],[FONTE_COD]],Tabela1[[#This Row],[IPU_COD]],"G",Tabela1[[#This Row],[GRUPO_COD]],"T",Tabela1[[#This Row],[TIPO]])</f>
        <v>FGT999</v>
      </c>
      <c r="Y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" s="19"/>
      <c r="AA46" s="29" t="str">
        <f>IFERROR(VLOOKUP(CONCATENATE("B",Tabela1[[#This Row],[BLOCO]],Tabela1[[#This Row],[UO_COD]]),qdd!$AW$2:$AX$1000,2,FALSE),"")</f>
        <v/>
      </c>
      <c r="AB46" s="30" t="str">
        <f>IFERROR(Tabela1[[#This Row],[VALOR]]/100,"")</f>
        <v/>
      </c>
      <c r="AC46" s="7" t="str" cm="1">
        <f t="array" aca="1" ref="AC46" ca="1">IF(Tabela1[[#This Row],[VALOR]]&lt;0,"",IFERROR(SUBSTITUTE(Converter_numero(Tabela1[[#This Row],[VALOR INCISO]]),",",""),""))</f>
        <v/>
      </c>
      <c r="AD46" s="29" t="str">
        <f>IF(Tabela1[[#This Row],[TIPO]]=REGRAS!$W$2,REGRAS!$X$2,IF(Tabela1[[#This Row],[TIPO]]=REGRAS!$W$4,REGRAS!$X$4,""))</f>
        <v/>
      </c>
      <c r="AE46" s="29" t="e">
        <f>VLOOKUP(Tabela1[[#This Row],[FONTE_COD]],REGRAS!$O$2:$P$69,2,FALSE)</f>
        <v>#N/A</v>
      </c>
      <c r="AF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" spans="1:32" ht="18.75" customHeight="1">
      <c r="A47" s="2" t="str">
        <f>IFERROR(IF('PREENCHER AQUI'!A47="","",'PREENCHER AQUI'!A47),"")</f>
        <v/>
      </c>
      <c r="B47" s="1" t="str">
        <f>IFERROR(IF('PREENCHER AQUI'!B47="","",PROPER('PREENCHER AQUI'!B47)),"")</f>
        <v/>
      </c>
      <c r="C47" s="1" t="str">
        <f>IFERROR(IF('PREENCHER AQUI'!C47="","",'PREENCHER AQUI'!C47),"")</f>
        <v/>
      </c>
      <c r="D47" s="2" t="str">
        <f>IFERROR(IF('PREENCHER AQUI'!D47="","",'PREENCHER AQUI'!D47),"")</f>
        <v/>
      </c>
      <c r="E47" s="2" t="str">
        <f>IFERROR(VLOOKUP(CONCATENATE(C47,D47),qdd!$C$2:$F$1000,2,FALSE),"")</f>
        <v/>
      </c>
      <c r="F47" s="2" t="str">
        <f>IFERROR(VLOOKUP(CONCATENATE(C47,D47),qdd!$C$2:$F$1000,3,FALSE),"")</f>
        <v/>
      </c>
      <c r="G47" s="2" t="str">
        <f>IFERROR(VLOOKUP(CONCATENATE(C47,D47),qdd!$C$2:$F$1000,4,FALSE),"")</f>
        <v/>
      </c>
      <c r="H47" s="6" t="str">
        <f t="shared" si="2"/>
        <v/>
      </c>
      <c r="I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" s="2" t="str">
        <f>IFERROR(IF('PREENCHER AQUI'!E47="","",'PREENCHER AQUI'!E47),"")</f>
        <v/>
      </c>
      <c r="K47" s="2" t="str">
        <f>IFERROR(IF('PREENCHER AQUI'!F47="","",'PREENCHER AQUI'!F47),"")</f>
        <v/>
      </c>
      <c r="L47" s="2" t="str">
        <f>IF(Tabela1[[#This Row],[IPU_COD]]=9,"91",IF(Tabela1[[#This Row],[ACAO_COD]]="","",VLOOKUP(CONCATENATE("G",J47,"M",K47),qdd!$BC$2:$BD$46,2,FALSE)))</f>
        <v/>
      </c>
      <c r="M47" s="2" t="str">
        <f>TEXT(IFERROR(VLOOKUP(CONCATENATE(C47,D47),qdd!$C$2:$G$1000,5,FALSE),""),0)</f>
        <v/>
      </c>
      <c r="N47" s="2" t="str">
        <f>IFERROR(IF('PREENCHER AQUI'!I47="","",'PREENCHER AQUI'!I47),"")</f>
        <v/>
      </c>
      <c r="O47" s="2" t="str">
        <f>IFERROR(IF('PREENCHER AQUI'!J47="","",'PREENCHER AQUI'!J47),"")</f>
        <v/>
      </c>
      <c r="P47" s="7" t="str">
        <f t="shared" si="3"/>
        <v/>
      </c>
      <c r="Q47" s="8" t="str">
        <f>IFERROR(IF(Tabela4[[#This Row],[VALOR]]="","",IF(Tabela1[[#This Row],[ORIENTACAO]]="Anular",'PREENCHER AQUI'!K47*-1*100,'PREENCHER AQUI'!K47*100)),"")</f>
        <v/>
      </c>
      <c r="T47" s="7" t="str">
        <f>IFERROR(IF('PREENCHER AQUI'!L47="","999",LEFT('PREENCHER AQUI'!L47,1)),"")</f>
        <v>999</v>
      </c>
      <c r="W47" s="1" t="str">
        <f>IFERROR(VLOOKUP(Tabela1[[#This Row],[UO_COD]],qdd!$AT$1:$AU$102,2,FALSE),"")</f>
        <v/>
      </c>
      <c r="X47" s="1" t="str">
        <f>CONCATENATE("F",Tabela1[[#This Row],[FONTE_COD]],Tabela1[[#This Row],[IPU_COD]],"G",Tabela1[[#This Row],[GRUPO_COD]],"T",Tabela1[[#This Row],[TIPO]])</f>
        <v>FGT999</v>
      </c>
      <c r="Y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" s="19"/>
      <c r="AA47" s="29" t="str">
        <f>IFERROR(VLOOKUP(CONCATENATE("B",Tabela1[[#This Row],[BLOCO]],Tabela1[[#This Row],[UO_COD]]),qdd!$AW$2:$AX$1000,2,FALSE),"")</f>
        <v/>
      </c>
      <c r="AB47" s="30" t="str">
        <f>IFERROR(Tabela1[[#This Row],[VALOR]]/100,"")</f>
        <v/>
      </c>
      <c r="AC47" s="7" t="str" cm="1">
        <f t="array" aca="1" ref="AC47" ca="1">IF(Tabela1[[#This Row],[VALOR]]&lt;0,"",IFERROR(SUBSTITUTE(Converter_numero(Tabela1[[#This Row],[VALOR INCISO]]),",",""),""))</f>
        <v/>
      </c>
      <c r="AD47" s="7" t="str">
        <f>IF(Tabela1[[#This Row],[TIPO]]=REGRAS!$W$2,REGRAS!$X$2,IF(Tabela1[[#This Row],[TIPO]]=REGRAS!$W$4,REGRAS!$X$4,""))</f>
        <v/>
      </c>
      <c r="AE47" s="29" t="e">
        <f>VLOOKUP(Tabela1[[#This Row],[FONTE_COD]],REGRAS!$O$2:$P$69,2,FALSE)</f>
        <v>#N/A</v>
      </c>
      <c r="AF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" spans="1:32" ht="18.75" customHeight="1">
      <c r="A48" s="2" t="str">
        <f>IFERROR(IF('PREENCHER AQUI'!A48="","",'PREENCHER AQUI'!A48),"")</f>
        <v/>
      </c>
      <c r="B48" s="1" t="str">
        <f>IFERROR(IF('PREENCHER AQUI'!B48="","",PROPER('PREENCHER AQUI'!B48)),"")</f>
        <v/>
      </c>
      <c r="C48" s="1" t="str">
        <f>IFERROR(IF('PREENCHER AQUI'!C48="","",'PREENCHER AQUI'!C48),"")</f>
        <v/>
      </c>
      <c r="D48" s="2" t="str">
        <f>IFERROR(IF('PREENCHER AQUI'!D48="","",'PREENCHER AQUI'!D48),"")</f>
        <v/>
      </c>
      <c r="E48" s="2" t="str">
        <f>IFERROR(VLOOKUP(CONCATENATE(C48,D48),qdd!$C$2:$F$1000,2,FALSE),"")</f>
        <v/>
      </c>
      <c r="F48" s="2" t="str">
        <f>IFERROR(VLOOKUP(CONCATENATE(C48,D48),qdd!$C$2:$F$1000,3,FALSE),"")</f>
        <v/>
      </c>
      <c r="G48" s="2" t="str">
        <f>IFERROR(VLOOKUP(CONCATENATE(C48,D48),qdd!$C$2:$F$1000,4,FALSE),"")</f>
        <v/>
      </c>
      <c r="H48" s="6" t="str">
        <f t="shared" si="2"/>
        <v/>
      </c>
      <c r="I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" s="2" t="str">
        <f>IFERROR(IF('PREENCHER AQUI'!E48="","",'PREENCHER AQUI'!E48),"")</f>
        <v/>
      </c>
      <c r="K48" s="2" t="str">
        <f>IFERROR(IF('PREENCHER AQUI'!F48="","",'PREENCHER AQUI'!F48),"")</f>
        <v/>
      </c>
      <c r="L48" s="2" t="str">
        <f>IF(Tabela1[[#This Row],[IPU_COD]]=9,"91",IF(Tabela1[[#This Row],[ACAO_COD]]="","",VLOOKUP(CONCATENATE("G",J48,"M",K48),qdd!$BC$2:$BD$46,2,FALSE)))</f>
        <v/>
      </c>
      <c r="M48" s="2" t="str">
        <f>TEXT(IFERROR(VLOOKUP(CONCATENATE(C48,D48),qdd!$C$2:$G$1000,5,FALSE),""),0)</f>
        <v/>
      </c>
      <c r="N48" s="2" t="str">
        <f>IFERROR(IF('PREENCHER AQUI'!I48="","",'PREENCHER AQUI'!I48),"")</f>
        <v/>
      </c>
      <c r="O48" s="2" t="str">
        <f>IFERROR(IF('PREENCHER AQUI'!J48="","",'PREENCHER AQUI'!J48),"")</f>
        <v/>
      </c>
      <c r="P48" s="7" t="str">
        <f t="shared" si="3"/>
        <v/>
      </c>
      <c r="Q48" s="8" t="str">
        <f>IFERROR(IF(Tabela4[[#This Row],[VALOR]]="","",IF(Tabela1[[#This Row],[ORIENTACAO]]="Anular",'PREENCHER AQUI'!K48*-1*100,'PREENCHER AQUI'!K48*100)),"")</f>
        <v/>
      </c>
      <c r="T48" s="7" t="str">
        <f>IFERROR(IF('PREENCHER AQUI'!L48="","999",LEFT('PREENCHER AQUI'!L48,1)),"")</f>
        <v>999</v>
      </c>
      <c r="V48" s="19"/>
      <c r="W48" s="1" t="str">
        <f>IFERROR(VLOOKUP(Tabela1[[#This Row],[UO_COD]],qdd!$AT$1:$AU$102,2,FALSE),"")</f>
        <v/>
      </c>
      <c r="X48" s="1" t="str">
        <f>CONCATENATE("F",Tabela1[[#This Row],[FONTE_COD]],Tabela1[[#This Row],[IPU_COD]],"G",Tabela1[[#This Row],[GRUPO_COD]],"T",Tabela1[[#This Row],[TIPO]])</f>
        <v>FGT999</v>
      </c>
      <c r="Y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" s="19"/>
      <c r="AA48" s="29" t="str">
        <f>IFERROR(VLOOKUP(CONCATENATE("B",Tabela1[[#This Row],[BLOCO]],Tabela1[[#This Row],[UO_COD]]),qdd!$AW$2:$AX$1000,2,FALSE),"")</f>
        <v/>
      </c>
      <c r="AB48" s="30" t="str">
        <f>IFERROR(Tabela1[[#This Row],[VALOR]]/100,"")</f>
        <v/>
      </c>
      <c r="AC48" s="7" t="str" cm="1">
        <f t="array" aca="1" ref="AC48" ca="1">IF(Tabela1[[#This Row],[VALOR]]&lt;0,"",IFERROR(SUBSTITUTE(Converter_numero(Tabela1[[#This Row],[VALOR INCISO]]),",",""),""))</f>
        <v/>
      </c>
      <c r="AD48" s="29" t="str">
        <f>IF(Tabela1[[#This Row],[TIPO]]=REGRAS!$W$2,REGRAS!$X$2,IF(Tabela1[[#This Row],[TIPO]]=REGRAS!$W$4,REGRAS!$X$4,""))</f>
        <v/>
      </c>
      <c r="AE48" s="29" t="e">
        <f>VLOOKUP(Tabela1[[#This Row],[FONTE_COD]],REGRAS!$O$2:$P$69,2,FALSE)</f>
        <v>#N/A</v>
      </c>
      <c r="AF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" spans="1:32" ht="18.75" customHeight="1">
      <c r="A49" s="2" t="str">
        <f>IFERROR(IF('PREENCHER AQUI'!A49="","",'PREENCHER AQUI'!A49),"")</f>
        <v/>
      </c>
      <c r="B49" s="1" t="str">
        <f>IFERROR(IF('PREENCHER AQUI'!B49="","",PROPER('PREENCHER AQUI'!B49)),"")</f>
        <v/>
      </c>
      <c r="C49" s="1" t="str">
        <f>IFERROR(IF('PREENCHER AQUI'!C49="","",'PREENCHER AQUI'!C49),"")</f>
        <v/>
      </c>
      <c r="D49" s="2" t="str">
        <f>IFERROR(IF('PREENCHER AQUI'!D49="","",'PREENCHER AQUI'!D49),"")</f>
        <v/>
      </c>
      <c r="E49" s="2" t="str">
        <f>IFERROR(VLOOKUP(CONCATENATE(C49,D49),qdd!$C$2:$F$1000,2,FALSE),"")</f>
        <v/>
      </c>
      <c r="F49" s="2" t="str">
        <f>IFERROR(VLOOKUP(CONCATENATE(C49,D49),qdd!$C$2:$F$1000,3,FALSE),"")</f>
        <v/>
      </c>
      <c r="G49" s="2" t="str">
        <f>IFERROR(VLOOKUP(CONCATENATE(C49,D49),qdd!$C$2:$F$1000,4,FALSE),"")</f>
        <v/>
      </c>
      <c r="H49" s="6" t="str">
        <f t="shared" si="2"/>
        <v/>
      </c>
      <c r="I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" s="2" t="str">
        <f>IFERROR(IF('PREENCHER AQUI'!E49="","",'PREENCHER AQUI'!E49),"")</f>
        <v/>
      </c>
      <c r="K49" s="2" t="str">
        <f>IFERROR(IF('PREENCHER AQUI'!F49="","",'PREENCHER AQUI'!F49),"")</f>
        <v/>
      </c>
      <c r="L49" s="2" t="str">
        <f>IF(Tabela1[[#This Row],[IPU_COD]]=9,"91",IF(Tabela1[[#This Row],[ACAO_COD]]="","",VLOOKUP(CONCATENATE("G",J49,"M",K49),qdd!$BC$2:$BD$46,2,FALSE)))</f>
        <v/>
      </c>
      <c r="M49" s="2" t="str">
        <f>TEXT(IFERROR(VLOOKUP(CONCATENATE(C49,D49),qdd!$C$2:$G$1000,5,FALSE),""),0)</f>
        <v/>
      </c>
      <c r="N49" s="2" t="str">
        <f>IFERROR(IF('PREENCHER AQUI'!I49="","",'PREENCHER AQUI'!I49),"")</f>
        <v/>
      </c>
      <c r="O49" s="2" t="str">
        <f>IFERROR(IF('PREENCHER AQUI'!J49="","",'PREENCHER AQUI'!J49),"")</f>
        <v/>
      </c>
      <c r="P49" s="7" t="str">
        <f t="shared" si="3"/>
        <v/>
      </c>
      <c r="Q49" s="8" t="str">
        <f>IFERROR(IF(Tabela4[[#This Row],[VALOR]]="","",IF(Tabela1[[#This Row],[ORIENTACAO]]="Anular",'PREENCHER AQUI'!K49*-1*100,'PREENCHER AQUI'!K49*100)),"")</f>
        <v/>
      </c>
      <c r="T49" s="7" t="str">
        <f>IFERROR(IF('PREENCHER AQUI'!L49="","999",LEFT('PREENCHER AQUI'!L49,1)),"")</f>
        <v>999</v>
      </c>
      <c r="V49" s="19"/>
      <c r="W49" s="1" t="str">
        <f>IFERROR(VLOOKUP(Tabela1[[#This Row],[UO_COD]],qdd!$AT$1:$AU$102,2,FALSE),"")</f>
        <v/>
      </c>
      <c r="X49" s="1" t="str">
        <f>CONCATENATE("F",Tabela1[[#This Row],[FONTE_COD]],Tabela1[[#This Row],[IPU_COD]],"G",Tabela1[[#This Row],[GRUPO_COD]],"T",Tabela1[[#This Row],[TIPO]])</f>
        <v>FGT999</v>
      </c>
      <c r="Y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" s="19"/>
      <c r="AA49" s="29" t="str">
        <f>IFERROR(VLOOKUP(CONCATENATE("B",Tabela1[[#This Row],[BLOCO]],Tabela1[[#This Row],[UO_COD]]),qdd!$AW$2:$AX$1000,2,FALSE),"")</f>
        <v/>
      </c>
      <c r="AB49" s="30" t="str">
        <f>IFERROR(Tabela1[[#This Row],[VALOR]]/100,"")</f>
        <v/>
      </c>
      <c r="AC49" s="7" t="str" cm="1">
        <f t="array" aca="1" ref="AC49" ca="1">IF(Tabela1[[#This Row],[VALOR]]&lt;0,"",IFERROR(SUBSTITUTE(Converter_numero(Tabela1[[#This Row],[VALOR INCISO]]),",",""),""))</f>
        <v/>
      </c>
      <c r="AD49" s="29" t="str">
        <f>IF(Tabela1[[#This Row],[TIPO]]=REGRAS!$W$2,REGRAS!$X$2,IF(Tabela1[[#This Row],[TIPO]]=REGRAS!$W$4,REGRAS!$X$4,""))</f>
        <v/>
      </c>
      <c r="AE49" s="29" t="e">
        <f>VLOOKUP(Tabela1[[#This Row],[FONTE_COD]],REGRAS!$O$2:$P$69,2,FALSE)</f>
        <v>#N/A</v>
      </c>
      <c r="AF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" spans="1:32" ht="18.75" customHeight="1">
      <c r="A50" s="2" t="str">
        <f>IFERROR(IF('PREENCHER AQUI'!A50="","",'PREENCHER AQUI'!A50),"")</f>
        <v/>
      </c>
      <c r="B50" s="1" t="str">
        <f>IFERROR(IF('PREENCHER AQUI'!B50="","",PROPER('PREENCHER AQUI'!B50)),"")</f>
        <v/>
      </c>
      <c r="C50" s="1" t="str">
        <f>IFERROR(IF('PREENCHER AQUI'!C50="","",'PREENCHER AQUI'!C50),"")</f>
        <v/>
      </c>
      <c r="D50" s="2" t="str">
        <f>IFERROR(IF('PREENCHER AQUI'!D50="","",'PREENCHER AQUI'!D50),"")</f>
        <v/>
      </c>
      <c r="E50" s="2" t="str">
        <f>IFERROR(VLOOKUP(CONCATENATE(C50,D50),qdd!$C$2:$F$1000,2,FALSE),"")</f>
        <v/>
      </c>
      <c r="F50" s="2" t="str">
        <f>IFERROR(VLOOKUP(CONCATENATE(C50,D50),qdd!$C$2:$F$1000,3,FALSE),"")</f>
        <v/>
      </c>
      <c r="G50" s="2" t="str">
        <f>IFERROR(VLOOKUP(CONCATENATE(C50,D50),qdd!$C$2:$F$1000,4,FALSE),"")</f>
        <v/>
      </c>
      <c r="H50" s="6" t="str">
        <f t="shared" si="2"/>
        <v/>
      </c>
      <c r="I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" s="2" t="str">
        <f>IFERROR(IF('PREENCHER AQUI'!E50="","",'PREENCHER AQUI'!E50),"")</f>
        <v/>
      </c>
      <c r="K50" s="2" t="str">
        <f>IFERROR(IF('PREENCHER AQUI'!F50="","",'PREENCHER AQUI'!F50),"")</f>
        <v/>
      </c>
      <c r="L50" s="2" t="str">
        <f>IF(Tabela1[[#This Row],[IPU_COD]]=9,"91",IF(Tabela1[[#This Row],[ACAO_COD]]="","",VLOOKUP(CONCATENATE("G",J50,"M",K50),qdd!$BC$2:$BD$46,2,FALSE)))</f>
        <v/>
      </c>
      <c r="M50" s="2" t="str">
        <f>TEXT(IFERROR(VLOOKUP(CONCATENATE(C50,D50),qdd!$C$2:$G$1000,5,FALSE),""),0)</f>
        <v/>
      </c>
      <c r="N50" s="2" t="str">
        <f>IFERROR(IF('PREENCHER AQUI'!I50="","",'PREENCHER AQUI'!I50),"")</f>
        <v/>
      </c>
      <c r="O50" s="2" t="str">
        <f>IFERROR(IF('PREENCHER AQUI'!J50="","",'PREENCHER AQUI'!J50),"")</f>
        <v/>
      </c>
      <c r="P50" s="7" t="str">
        <f t="shared" si="3"/>
        <v/>
      </c>
      <c r="Q50" s="8" t="str">
        <f>IFERROR(IF(Tabela4[[#This Row],[VALOR]]="","",IF(Tabela1[[#This Row],[ORIENTACAO]]="Anular",'PREENCHER AQUI'!K50*-1*100,'PREENCHER AQUI'!K50*100)),"")</f>
        <v/>
      </c>
      <c r="T50" s="7" t="str">
        <f>IFERROR(IF('PREENCHER AQUI'!L50="","999",LEFT('PREENCHER AQUI'!L50,1)),"")</f>
        <v>999</v>
      </c>
      <c r="V50" s="19"/>
      <c r="W50" s="20" t="str">
        <f>IFERROR(VLOOKUP(Tabela1[[#This Row],[UO_COD]],qdd!$AT$1:$AU$102,2,FALSE),"")</f>
        <v/>
      </c>
      <c r="X50" s="20" t="str">
        <f>CONCATENATE("F",Tabela1[[#This Row],[FONTE_COD]],Tabela1[[#This Row],[IPU_COD]],"G",Tabela1[[#This Row],[GRUPO_COD]],"T",Tabela1[[#This Row],[TIPO]])</f>
        <v>FGT999</v>
      </c>
      <c r="Y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" s="19"/>
      <c r="AA50" s="29" t="str">
        <f>IFERROR(VLOOKUP(CONCATENATE("B",Tabela1[[#This Row],[BLOCO]],Tabela1[[#This Row],[UO_COD]]),qdd!$AW$2:$AX$1000,2,FALSE),"")</f>
        <v/>
      </c>
      <c r="AB50" s="30" t="str">
        <f>IFERROR(Tabela1[[#This Row],[VALOR]]/100,"")</f>
        <v/>
      </c>
      <c r="AC50" s="7" t="str" cm="1">
        <f t="array" aca="1" ref="AC50" ca="1">IF(Tabela1[[#This Row],[VALOR]]&lt;0,"",IFERROR(SUBSTITUTE(Converter_numero(Tabela1[[#This Row],[VALOR INCISO]]),",",""),""))</f>
        <v/>
      </c>
      <c r="AD50" s="29" t="str">
        <f>IF(Tabela1[[#This Row],[TIPO]]=REGRAS!$W$2,REGRAS!$X$2,IF(Tabela1[[#This Row],[TIPO]]=REGRAS!$W$4,REGRAS!$X$4,""))</f>
        <v/>
      </c>
      <c r="AE50" s="29" t="e">
        <f>VLOOKUP(Tabela1[[#This Row],[FONTE_COD]],REGRAS!$O$2:$P$69,2,FALSE)</f>
        <v>#N/A</v>
      </c>
      <c r="AF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" spans="1:32" ht="18.75" customHeight="1">
      <c r="A51" s="2" t="str">
        <f>IFERROR(IF('PREENCHER AQUI'!A51="","",'PREENCHER AQUI'!A51),"")</f>
        <v/>
      </c>
      <c r="B51" s="1" t="str">
        <f>IFERROR(IF('PREENCHER AQUI'!B51="","",PROPER('PREENCHER AQUI'!B51)),"")</f>
        <v/>
      </c>
      <c r="C51" s="1" t="str">
        <f>IFERROR(IF('PREENCHER AQUI'!C51="","",'PREENCHER AQUI'!C51),"")</f>
        <v/>
      </c>
      <c r="D51" s="2" t="str">
        <f>IFERROR(IF('PREENCHER AQUI'!D51="","",'PREENCHER AQUI'!D51),"")</f>
        <v/>
      </c>
      <c r="E51" s="2" t="str">
        <f>IFERROR(VLOOKUP(CONCATENATE(C51,D51),qdd!$C$2:$F$1000,2,FALSE),"")</f>
        <v/>
      </c>
      <c r="F51" s="2" t="str">
        <f>IFERROR(VLOOKUP(CONCATENATE(C51,D51),qdd!$C$2:$F$1000,3,FALSE),"")</f>
        <v/>
      </c>
      <c r="G51" s="2" t="str">
        <f>IFERROR(VLOOKUP(CONCATENATE(C51,D51),qdd!$C$2:$F$1000,4,FALSE),"")</f>
        <v/>
      </c>
      <c r="H51" s="6" t="str">
        <f t="shared" si="2"/>
        <v/>
      </c>
      <c r="I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" s="2" t="str">
        <f>IFERROR(IF('PREENCHER AQUI'!E51="","",'PREENCHER AQUI'!E51),"")</f>
        <v/>
      </c>
      <c r="K51" s="2" t="str">
        <f>IFERROR(IF('PREENCHER AQUI'!F51="","",'PREENCHER AQUI'!F51),"")</f>
        <v/>
      </c>
      <c r="L51" s="2" t="str">
        <f>IF(Tabela1[[#This Row],[IPU_COD]]=9,"91",IF(Tabela1[[#This Row],[ACAO_COD]]="","",VLOOKUP(CONCATENATE("G",J51,"M",K51),qdd!$BC$2:$BD$46,2,FALSE)))</f>
        <v/>
      </c>
      <c r="M51" s="2" t="str">
        <f>TEXT(IFERROR(VLOOKUP(CONCATENATE(C51,D51),qdd!$C$2:$G$1000,5,FALSE),""),0)</f>
        <v/>
      </c>
      <c r="N51" s="2" t="str">
        <f>IFERROR(IF('PREENCHER AQUI'!I51="","",'PREENCHER AQUI'!I51),"")</f>
        <v/>
      </c>
      <c r="O51" s="2" t="str">
        <f>IFERROR(IF('PREENCHER AQUI'!J51="","",'PREENCHER AQUI'!J51),"")</f>
        <v/>
      </c>
      <c r="P51" s="7" t="str">
        <f t="shared" si="3"/>
        <v/>
      </c>
      <c r="Q51" s="8" t="str">
        <f>IFERROR(IF(Tabela4[[#This Row],[VALOR]]="","",IF(Tabela1[[#This Row],[ORIENTACAO]]="Anular",'PREENCHER AQUI'!K51*-1*100,'PREENCHER AQUI'!K51*100)),"")</f>
        <v/>
      </c>
      <c r="T51" s="7" t="str">
        <f>IFERROR(IF('PREENCHER AQUI'!L51="","999",LEFT('PREENCHER AQUI'!L51,1)),"")</f>
        <v>999</v>
      </c>
      <c r="V51" s="19"/>
      <c r="W51" s="1" t="str">
        <f>IFERROR(VLOOKUP(Tabela1[[#This Row],[UO_COD]],qdd!$AT$1:$AU$102,2,FALSE),"")</f>
        <v/>
      </c>
      <c r="X51" s="1" t="str">
        <f>CONCATENATE("F",Tabela1[[#This Row],[FONTE_COD]],Tabela1[[#This Row],[IPU_COD]],"G",Tabela1[[#This Row],[GRUPO_COD]],"T",Tabela1[[#This Row],[TIPO]])</f>
        <v>FGT999</v>
      </c>
      <c r="Y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" s="19"/>
      <c r="AA51" s="29" t="str">
        <f>IFERROR(VLOOKUP(CONCATENATE("B",Tabela1[[#This Row],[BLOCO]],Tabela1[[#This Row],[UO_COD]]),qdd!$AW$2:$AX$1000,2,FALSE),"")</f>
        <v/>
      </c>
      <c r="AB51" s="30" t="str">
        <f>IFERROR(Tabela1[[#This Row],[VALOR]]/100,"")</f>
        <v/>
      </c>
      <c r="AC51" s="7" t="str" cm="1">
        <f t="array" aca="1" ref="AC51" ca="1">IF(Tabela1[[#This Row],[VALOR]]&lt;0,"",IFERROR(SUBSTITUTE(Converter_numero(Tabela1[[#This Row],[VALOR INCISO]]),",",""),""))</f>
        <v/>
      </c>
      <c r="AD51" s="29" t="str">
        <f>IF(Tabela1[[#This Row],[TIPO]]=REGRAS!$W$2,REGRAS!$X$2,IF(Tabela1[[#This Row],[TIPO]]=REGRAS!$W$4,REGRAS!$X$4,""))</f>
        <v/>
      </c>
      <c r="AE51" s="29" t="e">
        <f>VLOOKUP(Tabela1[[#This Row],[FONTE_COD]],REGRAS!$O$2:$P$69,2,FALSE)</f>
        <v>#N/A</v>
      </c>
      <c r="AF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" spans="1:32" ht="18.75" customHeight="1">
      <c r="A52" s="2" t="str">
        <f>IFERROR(IF('PREENCHER AQUI'!A52="","",'PREENCHER AQUI'!A52),"")</f>
        <v/>
      </c>
      <c r="B52" s="1" t="str">
        <f>IFERROR(IF('PREENCHER AQUI'!B52="","",PROPER('PREENCHER AQUI'!B52)),"")</f>
        <v/>
      </c>
      <c r="C52" s="1" t="str">
        <f>IFERROR(IF('PREENCHER AQUI'!C52="","",'PREENCHER AQUI'!C52),"")</f>
        <v/>
      </c>
      <c r="D52" s="2" t="str">
        <f>IFERROR(IF('PREENCHER AQUI'!D52="","",'PREENCHER AQUI'!D52),"")</f>
        <v/>
      </c>
      <c r="E52" s="2" t="str">
        <f>IFERROR(VLOOKUP(CONCATENATE(C52,D52),qdd!$C$2:$F$1000,2,FALSE),"")</f>
        <v/>
      </c>
      <c r="F52" s="2" t="str">
        <f>IFERROR(VLOOKUP(CONCATENATE(C52,D52),qdd!$C$2:$F$1000,3,FALSE),"")</f>
        <v/>
      </c>
      <c r="G52" s="2" t="str">
        <f>IFERROR(VLOOKUP(CONCATENATE(C52,D52),qdd!$C$2:$F$1000,4,FALSE),"")</f>
        <v/>
      </c>
      <c r="H52" s="6" t="str">
        <f t="shared" si="2"/>
        <v/>
      </c>
      <c r="I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" s="2" t="str">
        <f>IFERROR(IF('PREENCHER AQUI'!E52="","",'PREENCHER AQUI'!E52),"")</f>
        <v/>
      </c>
      <c r="K52" s="2" t="str">
        <f>IFERROR(IF('PREENCHER AQUI'!F52="","",'PREENCHER AQUI'!F52),"")</f>
        <v/>
      </c>
      <c r="L52" s="2" t="str">
        <f>IF(Tabela1[[#This Row],[IPU_COD]]=9,"91",IF(Tabela1[[#This Row],[ACAO_COD]]="","",VLOOKUP(CONCATENATE("G",J52,"M",K52),qdd!$BC$2:$BD$46,2,FALSE)))</f>
        <v/>
      </c>
      <c r="M52" s="2" t="str">
        <f>TEXT(IFERROR(VLOOKUP(CONCATENATE(C52,D52),qdd!$C$2:$G$1000,5,FALSE),""),0)</f>
        <v/>
      </c>
      <c r="N52" s="2" t="str">
        <f>IFERROR(IF('PREENCHER AQUI'!I52="","",'PREENCHER AQUI'!I52),"")</f>
        <v/>
      </c>
      <c r="O52" s="2" t="str">
        <f>IFERROR(IF('PREENCHER AQUI'!J52="","",'PREENCHER AQUI'!J52),"")</f>
        <v/>
      </c>
      <c r="P52" s="7" t="str">
        <f t="shared" si="3"/>
        <v/>
      </c>
      <c r="Q52" s="8" t="str">
        <f>IFERROR(IF(Tabela4[[#This Row],[VALOR]]="","",IF(Tabela1[[#This Row],[ORIENTACAO]]="Anular",'PREENCHER AQUI'!K52*-1*100,'PREENCHER AQUI'!K52*100)),"")</f>
        <v/>
      </c>
      <c r="T52" s="7" t="str">
        <f>IFERROR(IF('PREENCHER AQUI'!L52="","999",LEFT('PREENCHER AQUI'!L52,1)),"")</f>
        <v>999</v>
      </c>
      <c r="W52" s="1" t="str">
        <f>IFERROR(VLOOKUP(Tabela1[[#This Row],[UO_COD]],qdd!$AT$1:$AU$102,2,FALSE),"")</f>
        <v/>
      </c>
      <c r="X52" s="1" t="str">
        <f>CONCATENATE("F",Tabela1[[#This Row],[FONTE_COD]],Tabela1[[#This Row],[IPU_COD]],"G",Tabela1[[#This Row],[GRUPO_COD]],"T",Tabela1[[#This Row],[TIPO]])</f>
        <v>FGT999</v>
      </c>
      <c r="Y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" s="19"/>
      <c r="AA52" s="29" t="str">
        <f>IFERROR(VLOOKUP(CONCATENATE("B",Tabela1[[#This Row],[BLOCO]],Tabela1[[#This Row],[UO_COD]]),qdd!$AW$2:$AX$1000,2,FALSE),"")</f>
        <v/>
      </c>
      <c r="AB52" s="30" t="str">
        <f>IFERROR(Tabela1[[#This Row],[VALOR]]/100,"")</f>
        <v/>
      </c>
      <c r="AC52" s="7" t="str" cm="1">
        <f t="array" aca="1" ref="AC52" ca="1">IF(Tabela1[[#This Row],[VALOR]]&lt;0,"",IFERROR(SUBSTITUTE(Converter_numero(Tabela1[[#This Row],[VALOR INCISO]]),",",""),""))</f>
        <v/>
      </c>
      <c r="AD52" s="7" t="str">
        <f>IF(Tabela1[[#This Row],[TIPO]]=REGRAS!$W$2,REGRAS!$X$2,IF(Tabela1[[#This Row],[TIPO]]=REGRAS!$W$4,REGRAS!$X$4,""))</f>
        <v/>
      </c>
      <c r="AE52" s="29" t="e">
        <f>VLOOKUP(Tabela1[[#This Row],[FONTE_COD]],REGRAS!$O$2:$P$69,2,FALSE)</f>
        <v>#N/A</v>
      </c>
      <c r="AF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" spans="1:32" ht="18.75" customHeight="1">
      <c r="A53" s="2" t="str">
        <f>IFERROR(IF('PREENCHER AQUI'!A53="","",'PREENCHER AQUI'!A53),"")</f>
        <v/>
      </c>
      <c r="B53" s="1" t="str">
        <f>IFERROR(IF('PREENCHER AQUI'!B53="","",PROPER('PREENCHER AQUI'!B53)),"")</f>
        <v/>
      </c>
      <c r="C53" s="1" t="str">
        <f>IFERROR(IF('PREENCHER AQUI'!C53="","",'PREENCHER AQUI'!C53),"")</f>
        <v/>
      </c>
      <c r="D53" s="2" t="str">
        <f>IFERROR(IF('PREENCHER AQUI'!D53="","",'PREENCHER AQUI'!D53),"")</f>
        <v/>
      </c>
      <c r="E53" s="2" t="str">
        <f>IFERROR(VLOOKUP(CONCATENATE(C53,D53),qdd!$C$2:$F$1000,2,FALSE),"")</f>
        <v/>
      </c>
      <c r="F53" s="2" t="str">
        <f>IFERROR(VLOOKUP(CONCATENATE(C53,D53),qdd!$C$2:$F$1000,3,FALSE),"")</f>
        <v/>
      </c>
      <c r="G53" s="2" t="str">
        <f>IFERROR(VLOOKUP(CONCATENATE(C53,D53),qdd!$C$2:$F$1000,4,FALSE),"")</f>
        <v/>
      </c>
      <c r="H53" s="6" t="str">
        <f t="shared" si="2"/>
        <v/>
      </c>
      <c r="I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" s="2" t="str">
        <f>IFERROR(IF('PREENCHER AQUI'!E53="","",'PREENCHER AQUI'!E53),"")</f>
        <v/>
      </c>
      <c r="K53" s="2" t="str">
        <f>IFERROR(IF('PREENCHER AQUI'!F53="","",'PREENCHER AQUI'!F53),"")</f>
        <v/>
      </c>
      <c r="L53" s="2" t="str">
        <f>IF(Tabela1[[#This Row],[IPU_COD]]=9,"91",IF(Tabela1[[#This Row],[ACAO_COD]]="","",VLOOKUP(CONCATENATE("G",J53,"M",K53),qdd!$BC$2:$BD$46,2,FALSE)))</f>
        <v/>
      </c>
      <c r="M53" s="2" t="str">
        <f>TEXT(IFERROR(VLOOKUP(CONCATENATE(C53,D53),qdd!$C$2:$G$1000,5,FALSE),""),0)</f>
        <v/>
      </c>
      <c r="N53" s="2" t="str">
        <f>IFERROR(IF('PREENCHER AQUI'!I53="","",'PREENCHER AQUI'!I53),"")</f>
        <v/>
      </c>
      <c r="O53" s="2" t="str">
        <f>IFERROR(IF('PREENCHER AQUI'!J53="","",'PREENCHER AQUI'!J53),"")</f>
        <v/>
      </c>
      <c r="P53" s="7" t="str">
        <f t="shared" si="3"/>
        <v/>
      </c>
      <c r="Q53" s="8" t="str">
        <f>IFERROR(IF(Tabela4[[#This Row],[VALOR]]="","",IF(Tabela1[[#This Row],[ORIENTACAO]]="Anular",'PREENCHER AQUI'!K53*-1*100,'PREENCHER AQUI'!K53*100)),"")</f>
        <v/>
      </c>
      <c r="T53" s="7" t="str">
        <f>IFERROR(IF('PREENCHER AQUI'!L53="","999",LEFT('PREENCHER AQUI'!L53,1)),"")</f>
        <v>999</v>
      </c>
      <c r="V53" s="19"/>
      <c r="W53" s="1" t="str">
        <f>IFERROR(VLOOKUP(Tabela1[[#This Row],[UO_COD]],qdd!$AT$1:$AU$102,2,FALSE),"")</f>
        <v/>
      </c>
      <c r="X53" s="1" t="str">
        <f>CONCATENATE("F",Tabela1[[#This Row],[FONTE_COD]],Tabela1[[#This Row],[IPU_COD]],"G",Tabela1[[#This Row],[GRUPO_COD]],"T",Tabela1[[#This Row],[TIPO]])</f>
        <v>FGT999</v>
      </c>
      <c r="Y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" s="19"/>
      <c r="AA53" s="29" t="str">
        <f>IFERROR(VLOOKUP(CONCATENATE("B",Tabela1[[#This Row],[BLOCO]],Tabela1[[#This Row],[UO_COD]]),qdd!$AW$2:$AX$1000,2,FALSE),"")</f>
        <v/>
      </c>
      <c r="AB53" s="30" t="str">
        <f>IFERROR(Tabela1[[#This Row],[VALOR]]/100,"")</f>
        <v/>
      </c>
      <c r="AC53" s="7" t="str" cm="1">
        <f t="array" aca="1" ref="AC53" ca="1">IF(Tabela1[[#This Row],[VALOR]]&lt;0,"",IFERROR(SUBSTITUTE(Converter_numero(Tabela1[[#This Row],[VALOR INCISO]]),",",""),""))</f>
        <v/>
      </c>
      <c r="AD53" s="29" t="str">
        <f>IF(Tabela1[[#This Row],[TIPO]]=REGRAS!$W$2,REGRAS!$X$2,IF(Tabela1[[#This Row],[TIPO]]=REGRAS!$W$4,REGRAS!$X$4,""))</f>
        <v/>
      </c>
      <c r="AE53" s="29" t="e">
        <f>VLOOKUP(Tabela1[[#This Row],[FONTE_COD]],REGRAS!$O$2:$P$69,2,FALSE)</f>
        <v>#N/A</v>
      </c>
      <c r="AF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" spans="1:32" ht="18.75" customHeight="1">
      <c r="A54" s="2" t="str">
        <f>IFERROR(IF('PREENCHER AQUI'!A54="","",'PREENCHER AQUI'!A54),"")</f>
        <v/>
      </c>
      <c r="B54" s="1" t="str">
        <f>IFERROR(IF('PREENCHER AQUI'!B54="","",PROPER('PREENCHER AQUI'!B54)),"")</f>
        <v/>
      </c>
      <c r="C54" s="1" t="str">
        <f>IFERROR(IF('PREENCHER AQUI'!C54="","",'PREENCHER AQUI'!C54),"")</f>
        <v/>
      </c>
      <c r="D54" s="2" t="str">
        <f>IFERROR(IF('PREENCHER AQUI'!D54="","",'PREENCHER AQUI'!D54),"")</f>
        <v/>
      </c>
      <c r="E54" s="2" t="str">
        <f>IFERROR(VLOOKUP(CONCATENATE(C54,D54),qdd!$C$2:$F$1000,2,FALSE),"")</f>
        <v/>
      </c>
      <c r="F54" s="2" t="str">
        <f>IFERROR(VLOOKUP(CONCATENATE(C54,D54),qdd!$C$2:$F$1000,3,FALSE),"")</f>
        <v/>
      </c>
      <c r="G54" s="2" t="str">
        <f>IFERROR(VLOOKUP(CONCATENATE(C54,D54),qdd!$C$2:$F$1000,4,FALSE),"")</f>
        <v/>
      </c>
      <c r="H54" s="6" t="str">
        <f t="shared" si="2"/>
        <v/>
      </c>
      <c r="I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" s="2" t="str">
        <f>IFERROR(IF('PREENCHER AQUI'!E54="","",'PREENCHER AQUI'!E54),"")</f>
        <v/>
      </c>
      <c r="K54" s="2" t="str">
        <f>IFERROR(IF('PREENCHER AQUI'!F54="","",'PREENCHER AQUI'!F54),"")</f>
        <v/>
      </c>
      <c r="L54" s="2" t="str">
        <f>IF(Tabela1[[#This Row],[IPU_COD]]=9,"91",IF(Tabela1[[#This Row],[ACAO_COD]]="","",VLOOKUP(CONCATENATE("G",J54,"M",K54),qdd!$BC$2:$BD$46,2,FALSE)))</f>
        <v/>
      </c>
      <c r="M54" s="2" t="str">
        <f>TEXT(IFERROR(VLOOKUP(CONCATENATE(C54,D54),qdd!$C$2:$G$1000,5,FALSE),""),0)</f>
        <v/>
      </c>
      <c r="N54" s="2" t="str">
        <f>IFERROR(IF('PREENCHER AQUI'!I54="","",'PREENCHER AQUI'!I54),"")</f>
        <v/>
      </c>
      <c r="O54" s="2" t="str">
        <f>IFERROR(IF('PREENCHER AQUI'!J54="","",'PREENCHER AQUI'!J54),"")</f>
        <v/>
      </c>
      <c r="P54" s="7" t="str">
        <f t="shared" si="3"/>
        <v/>
      </c>
      <c r="Q54" s="8" t="str">
        <f>IFERROR(IF(Tabela4[[#This Row],[VALOR]]="","",IF(Tabela1[[#This Row],[ORIENTACAO]]="Anular",'PREENCHER AQUI'!K54*-1*100,'PREENCHER AQUI'!K54*100)),"")</f>
        <v/>
      </c>
      <c r="T54" s="7" t="str">
        <f>IFERROR(IF('PREENCHER AQUI'!L54="","999",LEFT('PREENCHER AQUI'!L54,1)),"")</f>
        <v>999</v>
      </c>
      <c r="V54" s="19"/>
      <c r="W54" s="1" t="str">
        <f>IFERROR(VLOOKUP(Tabela1[[#This Row],[UO_COD]],qdd!$AT$1:$AU$102,2,FALSE),"")</f>
        <v/>
      </c>
      <c r="X54" s="1" t="str">
        <f>CONCATENATE("F",Tabela1[[#This Row],[FONTE_COD]],Tabela1[[#This Row],[IPU_COD]],"G",Tabela1[[#This Row],[GRUPO_COD]],"T",Tabela1[[#This Row],[TIPO]])</f>
        <v>FGT999</v>
      </c>
      <c r="Y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" s="19"/>
      <c r="AA54" s="29" t="str">
        <f>IFERROR(VLOOKUP(CONCATENATE("B",Tabela1[[#This Row],[BLOCO]],Tabela1[[#This Row],[UO_COD]]),qdd!$AW$2:$AX$1000,2,FALSE),"")</f>
        <v/>
      </c>
      <c r="AB54" s="30" t="str">
        <f>IFERROR(Tabela1[[#This Row],[VALOR]]/100,"")</f>
        <v/>
      </c>
      <c r="AC54" s="7" t="str" cm="1">
        <f t="array" aca="1" ref="AC54" ca="1">IF(Tabela1[[#This Row],[VALOR]]&lt;0,"",IFERROR(SUBSTITUTE(Converter_numero(Tabela1[[#This Row],[VALOR INCISO]]),",",""),""))</f>
        <v/>
      </c>
      <c r="AD54" s="29" t="str">
        <f>IF(Tabela1[[#This Row],[TIPO]]=REGRAS!$W$2,REGRAS!$X$2,IF(Tabela1[[#This Row],[TIPO]]=REGRAS!$W$4,REGRAS!$X$4,""))</f>
        <v/>
      </c>
      <c r="AE54" s="29" t="e">
        <f>VLOOKUP(Tabela1[[#This Row],[FONTE_COD]],REGRAS!$O$2:$P$69,2,FALSE)</f>
        <v>#N/A</v>
      </c>
      <c r="AF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" spans="1:32" ht="18.75" customHeight="1">
      <c r="A55" s="2" t="str">
        <f>IFERROR(IF('PREENCHER AQUI'!A55="","",'PREENCHER AQUI'!A55),"")</f>
        <v/>
      </c>
      <c r="B55" s="1" t="str">
        <f>IFERROR(IF('PREENCHER AQUI'!B55="","",PROPER('PREENCHER AQUI'!B55)),"")</f>
        <v/>
      </c>
      <c r="C55" s="1" t="str">
        <f>IFERROR(IF('PREENCHER AQUI'!C55="","",'PREENCHER AQUI'!C55),"")</f>
        <v/>
      </c>
      <c r="D55" s="2" t="str">
        <f>IFERROR(IF('PREENCHER AQUI'!D55="","",'PREENCHER AQUI'!D55),"")</f>
        <v/>
      </c>
      <c r="E55" s="2" t="str">
        <f>IFERROR(VLOOKUP(CONCATENATE(C55,D55),qdd!$C$2:$F$1000,2,FALSE),"")</f>
        <v/>
      </c>
      <c r="F55" s="2" t="str">
        <f>IFERROR(VLOOKUP(CONCATENATE(C55,D55),qdd!$C$2:$F$1000,3,FALSE),"")</f>
        <v/>
      </c>
      <c r="G55" s="2" t="str">
        <f>IFERROR(VLOOKUP(CONCATENATE(C55,D55),qdd!$C$2:$F$1000,4,FALSE),"")</f>
        <v/>
      </c>
      <c r="H55" s="6" t="str">
        <f t="shared" si="2"/>
        <v/>
      </c>
      <c r="I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" s="2" t="str">
        <f>IFERROR(IF('PREENCHER AQUI'!E55="","",'PREENCHER AQUI'!E55),"")</f>
        <v/>
      </c>
      <c r="K55" s="2" t="str">
        <f>IFERROR(IF('PREENCHER AQUI'!F55="","",'PREENCHER AQUI'!F55),"")</f>
        <v/>
      </c>
      <c r="L55" s="2" t="str">
        <f>IF(Tabela1[[#This Row],[IPU_COD]]=9,"91",IF(Tabela1[[#This Row],[ACAO_COD]]="","",VLOOKUP(CONCATENATE("G",J55,"M",K55),qdd!$BC$2:$BD$46,2,FALSE)))</f>
        <v/>
      </c>
      <c r="M55" s="2" t="str">
        <f>TEXT(IFERROR(VLOOKUP(CONCATENATE(C55,D55),qdd!$C$2:$G$1000,5,FALSE),""),0)</f>
        <v/>
      </c>
      <c r="N55" s="2" t="str">
        <f>IFERROR(IF('PREENCHER AQUI'!I55="","",'PREENCHER AQUI'!I55),"")</f>
        <v/>
      </c>
      <c r="O55" s="2" t="str">
        <f>IFERROR(IF('PREENCHER AQUI'!J55="","",'PREENCHER AQUI'!J55),"")</f>
        <v/>
      </c>
      <c r="P55" s="7" t="str">
        <f t="shared" si="3"/>
        <v/>
      </c>
      <c r="Q55" s="8" t="str">
        <f>IFERROR(IF(Tabela4[[#This Row],[VALOR]]="","",IF(Tabela1[[#This Row],[ORIENTACAO]]="Anular",'PREENCHER AQUI'!K55*-1*100,'PREENCHER AQUI'!K55*100)),"")</f>
        <v/>
      </c>
      <c r="T55" s="7" t="str">
        <f>IFERROR(IF('PREENCHER AQUI'!L55="","999",LEFT('PREENCHER AQUI'!L55,1)),"")</f>
        <v>999</v>
      </c>
      <c r="V55" s="19"/>
      <c r="W55" s="20" t="str">
        <f>IFERROR(VLOOKUP(Tabela1[[#This Row],[UO_COD]],qdd!$AT$1:$AU$102,2,FALSE),"")</f>
        <v/>
      </c>
      <c r="X55" s="20" t="str">
        <f>CONCATENATE("F",Tabela1[[#This Row],[FONTE_COD]],Tabela1[[#This Row],[IPU_COD]],"G",Tabela1[[#This Row],[GRUPO_COD]],"T",Tabela1[[#This Row],[TIPO]])</f>
        <v>FGT999</v>
      </c>
      <c r="Y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" s="19"/>
      <c r="AA55" s="29" t="str">
        <f>IFERROR(VLOOKUP(CONCATENATE("B",Tabela1[[#This Row],[BLOCO]],Tabela1[[#This Row],[UO_COD]]),qdd!$AW$2:$AX$1000,2,FALSE),"")</f>
        <v/>
      </c>
      <c r="AB55" s="30" t="str">
        <f>IFERROR(Tabela1[[#This Row],[VALOR]]/100,"")</f>
        <v/>
      </c>
      <c r="AC55" s="7" t="str" cm="1">
        <f t="array" aca="1" ref="AC55" ca="1">IF(Tabela1[[#This Row],[VALOR]]&lt;0,"",IFERROR(SUBSTITUTE(Converter_numero(Tabela1[[#This Row],[VALOR INCISO]]),",",""),""))</f>
        <v/>
      </c>
      <c r="AD55" s="29" t="str">
        <f>IF(Tabela1[[#This Row],[TIPO]]=REGRAS!$W$2,REGRAS!$X$2,IF(Tabela1[[#This Row],[TIPO]]=REGRAS!$W$4,REGRAS!$X$4,""))</f>
        <v/>
      </c>
      <c r="AE55" s="29" t="e">
        <f>VLOOKUP(Tabela1[[#This Row],[FONTE_COD]],REGRAS!$O$2:$P$69,2,FALSE)</f>
        <v>#N/A</v>
      </c>
      <c r="AF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" spans="1:32" ht="18.75" customHeight="1">
      <c r="A56" s="2" t="str">
        <f>IFERROR(IF('PREENCHER AQUI'!A56="","",'PREENCHER AQUI'!A56),"")</f>
        <v/>
      </c>
      <c r="B56" s="1" t="str">
        <f>IFERROR(IF('PREENCHER AQUI'!B56="","",PROPER('PREENCHER AQUI'!B56)),"")</f>
        <v/>
      </c>
      <c r="C56" s="1" t="str">
        <f>IFERROR(IF('PREENCHER AQUI'!C56="","",'PREENCHER AQUI'!C56),"")</f>
        <v/>
      </c>
      <c r="D56" s="2" t="str">
        <f>IFERROR(IF('PREENCHER AQUI'!D56="","",'PREENCHER AQUI'!D56),"")</f>
        <v/>
      </c>
      <c r="E56" s="2" t="str">
        <f>IFERROR(VLOOKUP(CONCATENATE(C56,D56),qdd!$C$2:$F$1000,2,FALSE),"")</f>
        <v/>
      </c>
      <c r="F56" s="2" t="str">
        <f>IFERROR(VLOOKUP(CONCATENATE(C56,D56),qdd!$C$2:$F$1000,3,FALSE),"")</f>
        <v/>
      </c>
      <c r="G56" s="2" t="str">
        <f>IFERROR(VLOOKUP(CONCATENATE(C56,D56),qdd!$C$2:$F$1000,4,FALSE),"")</f>
        <v/>
      </c>
      <c r="H56" s="6" t="str">
        <f t="shared" si="2"/>
        <v/>
      </c>
      <c r="I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" s="2" t="str">
        <f>IFERROR(IF('PREENCHER AQUI'!E56="","",'PREENCHER AQUI'!E56),"")</f>
        <v/>
      </c>
      <c r="K56" s="2" t="str">
        <f>IFERROR(IF('PREENCHER AQUI'!F56="","",'PREENCHER AQUI'!F56),"")</f>
        <v/>
      </c>
      <c r="L56" s="2" t="str">
        <f>IF(Tabela1[[#This Row],[IPU_COD]]=9,"91",IF(Tabela1[[#This Row],[ACAO_COD]]="","",VLOOKUP(CONCATENATE("G",J56,"M",K56),qdd!$BC$2:$BD$46,2,FALSE)))</f>
        <v/>
      </c>
      <c r="M56" s="2" t="str">
        <f>TEXT(IFERROR(VLOOKUP(CONCATENATE(C56,D56),qdd!$C$2:$G$1000,5,FALSE),""),0)</f>
        <v/>
      </c>
      <c r="N56" s="2" t="str">
        <f>IFERROR(IF('PREENCHER AQUI'!I56="","",'PREENCHER AQUI'!I56),"")</f>
        <v/>
      </c>
      <c r="O56" s="2" t="str">
        <f>IFERROR(IF('PREENCHER AQUI'!J56="","",'PREENCHER AQUI'!J56),"")</f>
        <v/>
      </c>
      <c r="P56" s="7" t="str">
        <f t="shared" si="3"/>
        <v/>
      </c>
      <c r="Q56" s="8" t="str">
        <f>IFERROR(IF(Tabela4[[#This Row],[VALOR]]="","",IF(Tabela1[[#This Row],[ORIENTACAO]]="Anular",'PREENCHER AQUI'!K56*-1*100,'PREENCHER AQUI'!K56*100)),"")</f>
        <v/>
      </c>
      <c r="T56" s="7" t="str">
        <f>IFERROR(IF('PREENCHER AQUI'!L56="","999",LEFT('PREENCHER AQUI'!L56,1)),"")</f>
        <v>999</v>
      </c>
      <c r="V56" s="19"/>
      <c r="W56" s="1" t="str">
        <f>IFERROR(VLOOKUP(Tabela1[[#This Row],[UO_COD]],qdd!$AT$1:$AU$102,2,FALSE),"")</f>
        <v/>
      </c>
      <c r="X56" s="1" t="str">
        <f>CONCATENATE("F",Tabela1[[#This Row],[FONTE_COD]],Tabela1[[#This Row],[IPU_COD]],"G",Tabela1[[#This Row],[GRUPO_COD]],"T",Tabela1[[#This Row],[TIPO]])</f>
        <v>FGT999</v>
      </c>
      <c r="Y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" s="19"/>
      <c r="AA56" s="29" t="str">
        <f>IFERROR(VLOOKUP(CONCATENATE("B",Tabela1[[#This Row],[BLOCO]],Tabela1[[#This Row],[UO_COD]]),qdd!$AW$2:$AX$1000,2,FALSE),"")</f>
        <v/>
      </c>
      <c r="AB56" s="30" t="str">
        <f>IFERROR(Tabela1[[#This Row],[VALOR]]/100,"")</f>
        <v/>
      </c>
      <c r="AC56" s="7" t="str" cm="1">
        <f t="array" aca="1" ref="AC56" ca="1">IF(Tabela1[[#This Row],[VALOR]]&lt;0,"",IFERROR(SUBSTITUTE(Converter_numero(Tabela1[[#This Row],[VALOR INCISO]]),",",""),""))</f>
        <v/>
      </c>
      <c r="AD56" s="29" t="str">
        <f>IF(Tabela1[[#This Row],[TIPO]]=REGRAS!$W$2,REGRAS!$X$2,IF(Tabela1[[#This Row],[TIPO]]=REGRAS!$W$4,REGRAS!$X$4,""))</f>
        <v/>
      </c>
      <c r="AE56" s="29" t="e">
        <f>VLOOKUP(Tabela1[[#This Row],[FONTE_COD]],REGRAS!$O$2:$P$69,2,FALSE)</f>
        <v>#N/A</v>
      </c>
      <c r="AF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" spans="1:32" ht="18.75" customHeight="1">
      <c r="A57" s="2" t="str">
        <f>IFERROR(IF('PREENCHER AQUI'!A57="","",'PREENCHER AQUI'!A57),"")</f>
        <v/>
      </c>
      <c r="B57" s="1" t="str">
        <f>IFERROR(IF('PREENCHER AQUI'!B57="","",PROPER('PREENCHER AQUI'!B57)),"")</f>
        <v/>
      </c>
      <c r="C57" s="1" t="str">
        <f>IFERROR(IF('PREENCHER AQUI'!C57="","",'PREENCHER AQUI'!C57),"")</f>
        <v/>
      </c>
      <c r="D57" s="2" t="str">
        <f>IFERROR(IF('PREENCHER AQUI'!D57="","",'PREENCHER AQUI'!D57),"")</f>
        <v/>
      </c>
      <c r="E57" s="2" t="str">
        <f>IFERROR(VLOOKUP(CONCATENATE(C57,D57),qdd!$C$2:$F$1000,2,FALSE),"")</f>
        <v/>
      </c>
      <c r="F57" s="2" t="str">
        <f>IFERROR(VLOOKUP(CONCATENATE(C57,D57),qdd!$C$2:$F$1000,3,FALSE),"")</f>
        <v/>
      </c>
      <c r="G57" s="2" t="str">
        <f>IFERROR(VLOOKUP(CONCATENATE(C57,D57),qdd!$C$2:$F$1000,4,FALSE),"")</f>
        <v/>
      </c>
      <c r="H57" s="6" t="str">
        <f t="shared" si="2"/>
        <v/>
      </c>
      <c r="I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" s="2" t="str">
        <f>IFERROR(IF('PREENCHER AQUI'!E57="","",'PREENCHER AQUI'!E57),"")</f>
        <v/>
      </c>
      <c r="K57" s="2" t="str">
        <f>IFERROR(IF('PREENCHER AQUI'!F57="","",'PREENCHER AQUI'!F57),"")</f>
        <v/>
      </c>
      <c r="L57" s="2" t="str">
        <f>IF(Tabela1[[#This Row],[IPU_COD]]=9,"91",IF(Tabela1[[#This Row],[ACAO_COD]]="","",VLOOKUP(CONCATENATE("G",J57,"M",K57),qdd!$BC$2:$BD$46,2,FALSE)))</f>
        <v/>
      </c>
      <c r="M57" s="2" t="str">
        <f>TEXT(IFERROR(VLOOKUP(CONCATENATE(C57,D57),qdd!$C$2:$G$1000,5,FALSE),""),0)</f>
        <v/>
      </c>
      <c r="N57" s="2" t="str">
        <f>IFERROR(IF('PREENCHER AQUI'!I57="","",'PREENCHER AQUI'!I57),"")</f>
        <v/>
      </c>
      <c r="O57" s="2" t="str">
        <f>IFERROR(IF('PREENCHER AQUI'!J57="","",'PREENCHER AQUI'!J57),"")</f>
        <v/>
      </c>
      <c r="P57" s="7" t="str">
        <f t="shared" si="3"/>
        <v/>
      </c>
      <c r="Q57" s="8" t="str">
        <f>IFERROR(IF(Tabela4[[#This Row],[VALOR]]="","",IF(Tabela1[[#This Row],[ORIENTACAO]]="Anular",'PREENCHER AQUI'!K57*-1*100,'PREENCHER AQUI'!K57*100)),"")</f>
        <v/>
      </c>
      <c r="T57" s="7" t="str">
        <f>IFERROR(IF('PREENCHER AQUI'!L57="","999",LEFT('PREENCHER AQUI'!L57,1)),"")</f>
        <v>999</v>
      </c>
      <c r="W57" s="1" t="str">
        <f>IFERROR(VLOOKUP(Tabela1[[#This Row],[UO_COD]],qdd!$AT$1:$AU$102,2,FALSE),"")</f>
        <v/>
      </c>
      <c r="X57" s="1" t="str">
        <f>CONCATENATE("F",Tabela1[[#This Row],[FONTE_COD]],Tabela1[[#This Row],[IPU_COD]],"G",Tabela1[[#This Row],[GRUPO_COD]],"T",Tabela1[[#This Row],[TIPO]])</f>
        <v>FGT999</v>
      </c>
      <c r="Y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" s="19"/>
      <c r="AA57" s="29" t="str">
        <f>IFERROR(VLOOKUP(CONCATENATE("B",Tabela1[[#This Row],[BLOCO]],Tabela1[[#This Row],[UO_COD]]),qdd!$AW$2:$AX$1000,2,FALSE),"")</f>
        <v/>
      </c>
      <c r="AB57" s="30" t="str">
        <f>IFERROR(Tabela1[[#This Row],[VALOR]]/100,"")</f>
        <v/>
      </c>
      <c r="AC57" s="7" t="str" cm="1">
        <f t="array" aca="1" ref="AC57" ca="1">IF(Tabela1[[#This Row],[VALOR]]&lt;0,"",IFERROR(SUBSTITUTE(Converter_numero(Tabela1[[#This Row],[VALOR INCISO]]),",",""),""))</f>
        <v/>
      </c>
      <c r="AD57" s="7" t="str">
        <f>IF(Tabela1[[#This Row],[TIPO]]=REGRAS!$W$2,REGRAS!$X$2,IF(Tabela1[[#This Row],[TIPO]]=REGRAS!$W$4,REGRAS!$X$4,""))</f>
        <v/>
      </c>
      <c r="AE57" s="29" t="e">
        <f>VLOOKUP(Tabela1[[#This Row],[FONTE_COD]],REGRAS!$O$2:$P$69,2,FALSE)</f>
        <v>#N/A</v>
      </c>
      <c r="AF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" spans="1:32" ht="18.75" customHeight="1">
      <c r="A58" s="2" t="str">
        <f>IFERROR(IF('PREENCHER AQUI'!A58="","",'PREENCHER AQUI'!A58),"")</f>
        <v/>
      </c>
      <c r="B58" s="1" t="str">
        <f>IFERROR(IF('PREENCHER AQUI'!B58="","",PROPER('PREENCHER AQUI'!B58)),"")</f>
        <v/>
      </c>
      <c r="C58" s="1" t="str">
        <f>IFERROR(IF('PREENCHER AQUI'!C58="","",'PREENCHER AQUI'!C58),"")</f>
        <v/>
      </c>
      <c r="D58" s="2" t="str">
        <f>IFERROR(IF('PREENCHER AQUI'!D58="","",'PREENCHER AQUI'!D58),"")</f>
        <v/>
      </c>
      <c r="E58" s="2" t="str">
        <f>IFERROR(VLOOKUP(CONCATENATE(C58,D58),qdd!$C$2:$F$1000,2,FALSE),"")</f>
        <v/>
      </c>
      <c r="F58" s="2" t="str">
        <f>IFERROR(VLOOKUP(CONCATENATE(C58,D58),qdd!$C$2:$F$1000,3,FALSE),"")</f>
        <v/>
      </c>
      <c r="G58" s="2" t="str">
        <f>IFERROR(VLOOKUP(CONCATENATE(C58,D58),qdd!$C$2:$F$1000,4,FALSE),"")</f>
        <v/>
      </c>
      <c r="H58" s="6" t="str">
        <f t="shared" si="2"/>
        <v/>
      </c>
      <c r="I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" s="2" t="str">
        <f>IFERROR(IF('PREENCHER AQUI'!E58="","",'PREENCHER AQUI'!E58),"")</f>
        <v/>
      </c>
      <c r="K58" s="2" t="str">
        <f>IFERROR(IF('PREENCHER AQUI'!F58="","",'PREENCHER AQUI'!F58),"")</f>
        <v/>
      </c>
      <c r="L58" s="2" t="str">
        <f>IF(Tabela1[[#This Row],[IPU_COD]]=9,"91",IF(Tabela1[[#This Row],[ACAO_COD]]="","",VLOOKUP(CONCATENATE("G",J58,"M",K58),qdd!$BC$2:$BD$46,2,FALSE)))</f>
        <v/>
      </c>
      <c r="M58" s="2" t="str">
        <f>TEXT(IFERROR(VLOOKUP(CONCATENATE(C58,D58),qdd!$C$2:$G$1000,5,FALSE),""),0)</f>
        <v/>
      </c>
      <c r="N58" s="2" t="str">
        <f>IFERROR(IF('PREENCHER AQUI'!I58="","",'PREENCHER AQUI'!I58),"")</f>
        <v/>
      </c>
      <c r="O58" s="2" t="str">
        <f>IFERROR(IF('PREENCHER AQUI'!J58="","",'PREENCHER AQUI'!J58),"")</f>
        <v/>
      </c>
      <c r="P58" s="7" t="str">
        <f t="shared" si="3"/>
        <v/>
      </c>
      <c r="Q58" s="8" t="str">
        <f>IFERROR(IF(Tabela4[[#This Row],[VALOR]]="","",IF(Tabela1[[#This Row],[ORIENTACAO]]="Anular",'PREENCHER AQUI'!K58*-1*100,'PREENCHER AQUI'!K58*100)),"")</f>
        <v/>
      </c>
      <c r="T58" s="7" t="str">
        <f>IFERROR(IF('PREENCHER AQUI'!L58="","999",LEFT('PREENCHER AQUI'!L58,1)),"")</f>
        <v>999</v>
      </c>
      <c r="V58" s="19"/>
      <c r="W58" s="1" t="str">
        <f>IFERROR(VLOOKUP(Tabela1[[#This Row],[UO_COD]],qdd!$AT$1:$AU$102,2,FALSE),"")</f>
        <v/>
      </c>
      <c r="X58" s="1" t="str">
        <f>CONCATENATE("F",Tabela1[[#This Row],[FONTE_COD]],Tabela1[[#This Row],[IPU_COD]],"G",Tabela1[[#This Row],[GRUPO_COD]],"T",Tabela1[[#This Row],[TIPO]])</f>
        <v>FGT999</v>
      </c>
      <c r="Y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" s="19"/>
      <c r="AA58" s="29" t="str">
        <f>IFERROR(VLOOKUP(CONCATENATE("B",Tabela1[[#This Row],[BLOCO]],Tabela1[[#This Row],[UO_COD]]),qdd!$AW$2:$AX$1000,2,FALSE),"")</f>
        <v/>
      </c>
      <c r="AB58" s="30" t="str">
        <f>IFERROR(Tabela1[[#This Row],[VALOR]]/100,"")</f>
        <v/>
      </c>
      <c r="AC58" s="7" t="str" cm="1">
        <f t="array" aca="1" ref="AC58" ca="1">IF(Tabela1[[#This Row],[VALOR]]&lt;0,"",IFERROR(SUBSTITUTE(Converter_numero(Tabela1[[#This Row],[VALOR INCISO]]),",",""),""))</f>
        <v/>
      </c>
      <c r="AD58" s="29" t="str">
        <f>IF(Tabela1[[#This Row],[TIPO]]=REGRAS!$W$2,REGRAS!$X$2,IF(Tabela1[[#This Row],[TIPO]]=REGRAS!$W$4,REGRAS!$X$4,""))</f>
        <v/>
      </c>
      <c r="AE58" s="29" t="e">
        <f>VLOOKUP(Tabela1[[#This Row],[FONTE_COD]],REGRAS!$O$2:$P$69,2,FALSE)</f>
        <v>#N/A</v>
      </c>
      <c r="AF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" spans="1:32" ht="18.75" customHeight="1">
      <c r="A59" s="2" t="str">
        <f>IFERROR(IF('PREENCHER AQUI'!A59="","",'PREENCHER AQUI'!A59),"")</f>
        <v/>
      </c>
      <c r="B59" s="1" t="str">
        <f>IFERROR(IF('PREENCHER AQUI'!B59="","",PROPER('PREENCHER AQUI'!B59)),"")</f>
        <v/>
      </c>
      <c r="C59" s="1" t="str">
        <f>IFERROR(IF('PREENCHER AQUI'!C59="","",'PREENCHER AQUI'!C59),"")</f>
        <v/>
      </c>
      <c r="D59" s="2" t="str">
        <f>IFERROR(IF('PREENCHER AQUI'!D59="","",'PREENCHER AQUI'!D59),"")</f>
        <v/>
      </c>
      <c r="E59" s="2" t="str">
        <f>IFERROR(VLOOKUP(CONCATENATE(C59,D59),qdd!$C$2:$F$1000,2,FALSE),"")</f>
        <v/>
      </c>
      <c r="F59" s="2" t="str">
        <f>IFERROR(VLOOKUP(CONCATENATE(C59,D59),qdd!$C$2:$F$1000,3,FALSE),"")</f>
        <v/>
      </c>
      <c r="G59" s="2" t="str">
        <f>IFERROR(VLOOKUP(CONCATENATE(C59,D59),qdd!$C$2:$F$1000,4,FALSE),"")</f>
        <v/>
      </c>
      <c r="H59" s="6" t="str">
        <f t="shared" si="2"/>
        <v/>
      </c>
      <c r="I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" s="2" t="str">
        <f>IFERROR(IF('PREENCHER AQUI'!E59="","",'PREENCHER AQUI'!E59),"")</f>
        <v/>
      </c>
      <c r="K59" s="2" t="str">
        <f>IFERROR(IF('PREENCHER AQUI'!F59="","",'PREENCHER AQUI'!F59),"")</f>
        <v/>
      </c>
      <c r="L59" s="2" t="str">
        <f>IF(Tabela1[[#This Row],[IPU_COD]]=9,"91",IF(Tabela1[[#This Row],[ACAO_COD]]="","",VLOOKUP(CONCATENATE("G",J59,"M",K59),qdd!$BC$2:$BD$46,2,FALSE)))</f>
        <v/>
      </c>
      <c r="M59" s="2" t="str">
        <f>TEXT(IFERROR(VLOOKUP(CONCATENATE(C59,D59),qdd!$C$2:$G$1000,5,FALSE),""),0)</f>
        <v/>
      </c>
      <c r="N59" s="2" t="str">
        <f>IFERROR(IF('PREENCHER AQUI'!I59="","",'PREENCHER AQUI'!I59),"")</f>
        <v/>
      </c>
      <c r="O59" s="2" t="str">
        <f>IFERROR(IF('PREENCHER AQUI'!J59="","",'PREENCHER AQUI'!J59),"")</f>
        <v/>
      </c>
      <c r="P59" s="7" t="str">
        <f t="shared" si="3"/>
        <v/>
      </c>
      <c r="Q59" s="8" t="str">
        <f>IFERROR(IF(Tabela4[[#This Row],[VALOR]]="","",IF(Tabela1[[#This Row],[ORIENTACAO]]="Anular",'PREENCHER AQUI'!K59*-1*100,'PREENCHER AQUI'!K59*100)),"")</f>
        <v/>
      </c>
      <c r="T59" s="7" t="str">
        <f>IFERROR(IF('PREENCHER AQUI'!L59="","999",LEFT('PREENCHER AQUI'!L59,1)),"")</f>
        <v>999</v>
      </c>
      <c r="V59" s="19"/>
      <c r="W59" s="1" t="str">
        <f>IFERROR(VLOOKUP(Tabela1[[#This Row],[UO_COD]],qdd!$AT$1:$AU$102,2,FALSE),"")</f>
        <v/>
      </c>
      <c r="X59" s="1" t="str">
        <f>CONCATENATE("F",Tabela1[[#This Row],[FONTE_COD]],Tabela1[[#This Row],[IPU_COD]],"G",Tabela1[[#This Row],[GRUPO_COD]],"T",Tabela1[[#This Row],[TIPO]])</f>
        <v>FGT999</v>
      </c>
      <c r="Y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" s="19"/>
      <c r="AA59" s="29" t="str">
        <f>IFERROR(VLOOKUP(CONCATENATE("B",Tabela1[[#This Row],[BLOCO]],Tabela1[[#This Row],[UO_COD]]),qdd!$AW$2:$AX$1000,2,FALSE),"")</f>
        <v/>
      </c>
      <c r="AB59" s="30" t="str">
        <f>IFERROR(Tabela1[[#This Row],[VALOR]]/100,"")</f>
        <v/>
      </c>
      <c r="AC59" s="7" t="str" cm="1">
        <f t="array" aca="1" ref="AC59" ca="1">IF(Tabela1[[#This Row],[VALOR]]&lt;0,"",IFERROR(SUBSTITUTE(Converter_numero(Tabela1[[#This Row],[VALOR INCISO]]),",",""),""))</f>
        <v/>
      </c>
      <c r="AD59" s="29" t="str">
        <f>IF(Tabela1[[#This Row],[TIPO]]=REGRAS!$W$2,REGRAS!$X$2,IF(Tabela1[[#This Row],[TIPO]]=REGRAS!$W$4,REGRAS!$X$4,""))</f>
        <v/>
      </c>
      <c r="AE59" s="29" t="e">
        <f>VLOOKUP(Tabela1[[#This Row],[FONTE_COD]],REGRAS!$O$2:$P$69,2,FALSE)</f>
        <v>#N/A</v>
      </c>
      <c r="AF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" spans="1:32" ht="18.75" customHeight="1">
      <c r="A60" s="2" t="str">
        <f>IFERROR(IF('PREENCHER AQUI'!A60="","",'PREENCHER AQUI'!A60),"")</f>
        <v/>
      </c>
      <c r="B60" s="1" t="str">
        <f>IFERROR(IF('PREENCHER AQUI'!B60="","",PROPER('PREENCHER AQUI'!B60)),"")</f>
        <v/>
      </c>
      <c r="C60" s="1" t="str">
        <f>IFERROR(IF('PREENCHER AQUI'!C60="","",'PREENCHER AQUI'!C60),"")</f>
        <v/>
      </c>
      <c r="D60" s="2" t="str">
        <f>IFERROR(IF('PREENCHER AQUI'!D60="","",'PREENCHER AQUI'!D60),"")</f>
        <v/>
      </c>
      <c r="E60" s="2" t="str">
        <f>IFERROR(VLOOKUP(CONCATENATE(C60,D60),qdd!$C$2:$F$1000,2,FALSE),"")</f>
        <v/>
      </c>
      <c r="F60" s="2" t="str">
        <f>IFERROR(VLOOKUP(CONCATENATE(C60,D60),qdd!$C$2:$F$1000,3,FALSE),"")</f>
        <v/>
      </c>
      <c r="G60" s="2" t="str">
        <f>IFERROR(VLOOKUP(CONCATENATE(C60,D60),qdd!$C$2:$F$1000,4,FALSE),"")</f>
        <v/>
      </c>
      <c r="H60" s="6" t="str">
        <f t="shared" si="2"/>
        <v/>
      </c>
      <c r="I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" s="2" t="str">
        <f>IFERROR(IF('PREENCHER AQUI'!E60="","",'PREENCHER AQUI'!E60),"")</f>
        <v/>
      </c>
      <c r="K60" s="2" t="str">
        <f>IFERROR(IF('PREENCHER AQUI'!F60="","",'PREENCHER AQUI'!F60),"")</f>
        <v/>
      </c>
      <c r="L60" s="2" t="str">
        <f>IF(Tabela1[[#This Row],[IPU_COD]]=9,"91",IF(Tabela1[[#This Row],[ACAO_COD]]="","",VLOOKUP(CONCATENATE("G",J60,"M",K60),qdd!$BC$2:$BD$46,2,FALSE)))</f>
        <v/>
      </c>
      <c r="M60" s="2" t="str">
        <f>TEXT(IFERROR(VLOOKUP(CONCATENATE(C60,D60),qdd!$C$2:$G$1000,5,FALSE),""),0)</f>
        <v/>
      </c>
      <c r="N60" s="2" t="str">
        <f>IFERROR(IF('PREENCHER AQUI'!I60="","",'PREENCHER AQUI'!I60),"")</f>
        <v/>
      </c>
      <c r="O60" s="2" t="str">
        <f>IFERROR(IF('PREENCHER AQUI'!J60="","",'PREENCHER AQUI'!J60),"")</f>
        <v/>
      </c>
      <c r="P60" s="7" t="str">
        <f t="shared" si="3"/>
        <v/>
      </c>
      <c r="Q60" s="8" t="str">
        <f>IFERROR(IF(Tabela4[[#This Row],[VALOR]]="","",IF(Tabela1[[#This Row],[ORIENTACAO]]="Anular",'PREENCHER AQUI'!K60*-1*100,'PREENCHER AQUI'!K60*100)),"")</f>
        <v/>
      </c>
      <c r="T60" s="7" t="str">
        <f>IFERROR(IF('PREENCHER AQUI'!L60="","999",LEFT('PREENCHER AQUI'!L60,1)),"")</f>
        <v>999</v>
      </c>
      <c r="V60" s="19"/>
      <c r="W60" s="20" t="str">
        <f>IFERROR(VLOOKUP(Tabela1[[#This Row],[UO_COD]],qdd!$AT$1:$AU$102,2,FALSE),"")</f>
        <v/>
      </c>
      <c r="X60" s="20" t="str">
        <f>CONCATENATE("F",Tabela1[[#This Row],[FONTE_COD]],Tabela1[[#This Row],[IPU_COD]],"G",Tabela1[[#This Row],[GRUPO_COD]],"T",Tabela1[[#This Row],[TIPO]])</f>
        <v>FGT999</v>
      </c>
      <c r="Y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" s="19"/>
      <c r="AA60" s="29" t="str">
        <f>IFERROR(VLOOKUP(CONCATENATE("B",Tabela1[[#This Row],[BLOCO]],Tabela1[[#This Row],[UO_COD]]),qdd!$AW$2:$AX$1000,2,FALSE),"")</f>
        <v/>
      </c>
      <c r="AB60" s="30" t="str">
        <f>IFERROR(Tabela1[[#This Row],[VALOR]]/100,"")</f>
        <v/>
      </c>
      <c r="AC60" s="7" t="str" cm="1">
        <f t="array" aca="1" ref="AC60" ca="1">IF(Tabela1[[#This Row],[VALOR]]&lt;0,"",IFERROR(SUBSTITUTE(Converter_numero(Tabela1[[#This Row],[VALOR INCISO]]),",",""),""))</f>
        <v/>
      </c>
      <c r="AD60" s="29" t="str">
        <f>IF(Tabela1[[#This Row],[TIPO]]=REGRAS!$W$2,REGRAS!$X$2,IF(Tabela1[[#This Row],[TIPO]]=REGRAS!$W$4,REGRAS!$X$4,""))</f>
        <v/>
      </c>
      <c r="AE60" s="29" t="e">
        <f>VLOOKUP(Tabela1[[#This Row],[FONTE_COD]],REGRAS!$O$2:$P$69,2,FALSE)</f>
        <v>#N/A</v>
      </c>
      <c r="AF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" spans="1:32" ht="18.75" customHeight="1">
      <c r="A61" s="2" t="str">
        <f>IFERROR(IF('PREENCHER AQUI'!A61="","",'PREENCHER AQUI'!A61),"")</f>
        <v/>
      </c>
      <c r="B61" s="1" t="str">
        <f>IFERROR(IF('PREENCHER AQUI'!B61="","",PROPER('PREENCHER AQUI'!B61)),"")</f>
        <v/>
      </c>
      <c r="C61" s="1" t="str">
        <f>IFERROR(IF('PREENCHER AQUI'!C61="","",'PREENCHER AQUI'!C61),"")</f>
        <v/>
      </c>
      <c r="D61" s="2" t="str">
        <f>IFERROR(IF('PREENCHER AQUI'!D61="","",'PREENCHER AQUI'!D61),"")</f>
        <v/>
      </c>
      <c r="E61" s="2" t="str">
        <f>IFERROR(VLOOKUP(CONCATENATE(C61,D61),qdd!$C$2:$F$1000,2,FALSE),"")</f>
        <v/>
      </c>
      <c r="F61" s="2" t="str">
        <f>IFERROR(VLOOKUP(CONCATENATE(C61,D61),qdd!$C$2:$F$1000,3,FALSE),"")</f>
        <v/>
      </c>
      <c r="G61" s="2" t="str">
        <f>IFERROR(VLOOKUP(CONCATENATE(C61,D61),qdd!$C$2:$F$1000,4,FALSE),"")</f>
        <v/>
      </c>
      <c r="H61" s="6" t="str">
        <f t="shared" si="2"/>
        <v/>
      </c>
      <c r="I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" s="2" t="str">
        <f>IFERROR(IF('PREENCHER AQUI'!E61="","",'PREENCHER AQUI'!E61),"")</f>
        <v/>
      </c>
      <c r="K61" s="2" t="str">
        <f>IFERROR(IF('PREENCHER AQUI'!F61="","",'PREENCHER AQUI'!F61),"")</f>
        <v/>
      </c>
      <c r="L61" s="2" t="str">
        <f>IF(Tabela1[[#This Row],[IPU_COD]]=9,"91",IF(Tabela1[[#This Row],[ACAO_COD]]="","",VLOOKUP(CONCATENATE("G",J61,"M",K61),qdd!$BC$2:$BD$46,2,FALSE)))</f>
        <v/>
      </c>
      <c r="M61" s="2" t="str">
        <f>TEXT(IFERROR(VLOOKUP(CONCATENATE(C61,D61),qdd!$C$2:$G$1000,5,FALSE),""),0)</f>
        <v/>
      </c>
      <c r="N61" s="2" t="str">
        <f>IFERROR(IF('PREENCHER AQUI'!I61="","",'PREENCHER AQUI'!I61),"")</f>
        <v/>
      </c>
      <c r="O61" s="2" t="str">
        <f>IFERROR(IF('PREENCHER AQUI'!J61="","",'PREENCHER AQUI'!J61),"")</f>
        <v/>
      </c>
      <c r="P61" s="7" t="str">
        <f t="shared" si="3"/>
        <v/>
      </c>
      <c r="Q61" s="8" t="str">
        <f>IFERROR(IF(Tabela4[[#This Row],[VALOR]]="","",IF(Tabela1[[#This Row],[ORIENTACAO]]="Anular",'PREENCHER AQUI'!K61*-1*100,'PREENCHER AQUI'!K61*100)),"")</f>
        <v/>
      </c>
      <c r="T61" s="7" t="str">
        <f>IFERROR(IF('PREENCHER AQUI'!L61="","999",LEFT('PREENCHER AQUI'!L61,1)),"")</f>
        <v>999</v>
      </c>
      <c r="V61" s="19"/>
      <c r="W61" s="1" t="str">
        <f>IFERROR(VLOOKUP(Tabela1[[#This Row],[UO_COD]],qdd!$AT$1:$AU$102,2,FALSE),"")</f>
        <v/>
      </c>
      <c r="X61" s="1" t="str">
        <f>CONCATENATE("F",Tabela1[[#This Row],[FONTE_COD]],Tabela1[[#This Row],[IPU_COD]],"G",Tabela1[[#This Row],[GRUPO_COD]],"T",Tabela1[[#This Row],[TIPO]])</f>
        <v>FGT999</v>
      </c>
      <c r="Y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" s="19"/>
      <c r="AA61" s="29" t="str">
        <f>IFERROR(VLOOKUP(CONCATENATE("B",Tabela1[[#This Row],[BLOCO]],Tabela1[[#This Row],[UO_COD]]),qdd!$AW$2:$AX$1000,2,FALSE),"")</f>
        <v/>
      </c>
      <c r="AB61" s="30" t="str">
        <f>IFERROR(Tabela1[[#This Row],[VALOR]]/100,"")</f>
        <v/>
      </c>
      <c r="AC61" s="7" t="str" cm="1">
        <f t="array" aca="1" ref="AC61" ca="1">IF(Tabela1[[#This Row],[VALOR]]&lt;0,"",IFERROR(SUBSTITUTE(Converter_numero(Tabela1[[#This Row],[VALOR INCISO]]),",",""),""))</f>
        <v/>
      </c>
      <c r="AD61" s="29" t="str">
        <f>IF(Tabela1[[#This Row],[TIPO]]=REGRAS!$W$2,REGRAS!$X$2,IF(Tabela1[[#This Row],[TIPO]]=REGRAS!$W$4,REGRAS!$X$4,""))</f>
        <v/>
      </c>
      <c r="AE61" s="29" t="e">
        <f>VLOOKUP(Tabela1[[#This Row],[FONTE_COD]],REGRAS!$O$2:$P$69,2,FALSE)</f>
        <v>#N/A</v>
      </c>
      <c r="AF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" spans="1:32" ht="18.75" customHeight="1">
      <c r="A62" s="2" t="str">
        <f>IFERROR(IF('PREENCHER AQUI'!A62="","",'PREENCHER AQUI'!A62),"")</f>
        <v/>
      </c>
      <c r="B62" s="1" t="str">
        <f>IFERROR(IF('PREENCHER AQUI'!B62="","",PROPER('PREENCHER AQUI'!B62)),"")</f>
        <v/>
      </c>
      <c r="C62" s="1" t="str">
        <f>IFERROR(IF('PREENCHER AQUI'!C62="","",'PREENCHER AQUI'!C62),"")</f>
        <v/>
      </c>
      <c r="D62" s="2" t="str">
        <f>IFERROR(IF('PREENCHER AQUI'!D62="","",'PREENCHER AQUI'!D62),"")</f>
        <v/>
      </c>
      <c r="E62" s="2" t="str">
        <f>IFERROR(VLOOKUP(CONCATENATE(C62,D62),qdd!$C$2:$F$1000,2,FALSE),"")</f>
        <v/>
      </c>
      <c r="F62" s="2" t="str">
        <f>IFERROR(VLOOKUP(CONCATENATE(C62,D62),qdd!$C$2:$F$1000,3,FALSE),"")</f>
        <v/>
      </c>
      <c r="G62" s="2" t="str">
        <f>IFERROR(VLOOKUP(CONCATENATE(C62,D62),qdd!$C$2:$F$1000,4,FALSE),"")</f>
        <v/>
      </c>
      <c r="H62" s="6" t="str">
        <f t="shared" si="2"/>
        <v/>
      </c>
      <c r="I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" s="2" t="str">
        <f>IFERROR(IF('PREENCHER AQUI'!E62="","",'PREENCHER AQUI'!E62),"")</f>
        <v/>
      </c>
      <c r="K62" s="2" t="str">
        <f>IFERROR(IF('PREENCHER AQUI'!F62="","",'PREENCHER AQUI'!F62),"")</f>
        <v/>
      </c>
      <c r="L62" s="2" t="str">
        <f>IF(Tabela1[[#This Row],[IPU_COD]]=9,"91",IF(Tabela1[[#This Row],[ACAO_COD]]="","",VLOOKUP(CONCATENATE("G",J62,"M",K62),qdd!$BC$2:$BD$46,2,FALSE)))</f>
        <v/>
      </c>
      <c r="M62" s="2" t="str">
        <f>TEXT(IFERROR(VLOOKUP(CONCATENATE(C62,D62),qdd!$C$2:$G$1000,5,FALSE),""),0)</f>
        <v/>
      </c>
      <c r="N62" s="2" t="str">
        <f>IFERROR(IF('PREENCHER AQUI'!I62="","",'PREENCHER AQUI'!I62),"")</f>
        <v/>
      </c>
      <c r="O62" s="2" t="str">
        <f>IFERROR(IF('PREENCHER AQUI'!J62="","",'PREENCHER AQUI'!J62),"")</f>
        <v/>
      </c>
      <c r="P62" s="7" t="str">
        <f t="shared" si="3"/>
        <v/>
      </c>
      <c r="Q62" s="8" t="str">
        <f>IFERROR(IF(Tabela4[[#This Row],[VALOR]]="","",IF(Tabela1[[#This Row],[ORIENTACAO]]="Anular",'PREENCHER AQUI'!K62*-1*100,'PREENCHER AQUI'!K62*100)),"")</f>
        <v/>
      </c>
      <c r="T62" s="7" t="str">
        <f>IFERROR(IF('PREENCHER AQUI'!L62="","999",LEFT('PREENCHER AQUI'!L62,1)),"")</f>
        <v>999</v>
      </c>
      <c r="W62" s="1" t="str">
        <f>IFERROR(VLOOKUP(Tabela1[[#This Row],[UO_COD]],qdd!$AT$1:$AU$102,2,FALSE),"")</f>
        <v/>
      </c>
      <c r="X62" s="1" t="str">
        <f>CONCATENATE("F",Tabela1[[#This Row],[FONTE_COD]],Tabela1[[#This Row],[IPU_COD]],"G",Tabela1[[#This Row],[GRUPO_COD]],"T",Tabela1[[#This Row],[TIPO]])</f>
        <v>FGT999</v>
      </c>
      <c r="Y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" s="19"/>
      <c r="AA62" s="29" t="str">
        <f>IFERROR(VLOOKUP(CONCATENATE("B",Tabela1[[#This Row],[BLOCO]],Tabela1[[#This Row],[UO_COD]]),qdd!$AW$2:$AX$1000,2,FALSE),"")</f>
        <v/>
      </c>
      <c r="AB62" s="30" t="str">
        <f>IFERROR(Tabela1[[#This Row],[VALOR]]/100,"")</f>
        <v/>
      </c>
      <c r="AC62" s="7" t="str" cm="1">
        <f t="array" aca="1" ref="AC62" ca="1">IF(Tabela1[[#This Row],[VALOR]]&lt;0,"",IFERROR(SUBSTITUTE(Converter_numero(Tabela1[[#This Row],[VALOR INCISO]]),",",""),""))</f>
        <v/>
      </c>
      <c r="AD62" s="7" t="str">
        <f>IF(Tabela1[[#This Row],[TIPO]]=REGRAS!$W$2,REGRAS!$X$2,IF(Tabela1[[#This Row],[TIPO]]=REGRAS!$W$4,REGRAS!$X$4,""))</f>
        <v/>
      </c>
      <c r="AE62" s="29" t="e">
        <f>VLOOKUP(Tabela1[[#This Row],[FONTE_COD]],REGRAS!$O$2:$P$69,2,FALSE)</f>
        <v>#N/A</v>
      </c>
      <c r="AF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" spans="1:32" ht="18.75" customHeight="1">
      <c r="A63" s="2" t="str">
        <f>IFERROR(IF('PREENCHER AQUI'!A63="","",'PREENCHER AQUI'!A63),"")</f>
        <v/>
      </c>
      <c r="B63" s="1" t="str">
        <f>IFERROR(IF('PREENCHER AQUI'!B63="","",PROPER('PREENCHER AQUI'!B63)),"")</f>
        <v/>
      </c>
      <c r="C63" s="1" t="str">
        <f>IFERROR(IF('PREENCHER AQUI'!C63="","",'PREENCHER AQUI'!C63),"")</f>
        <v/>
      </c>
      <c r="D63" s="2" t="str">
        <f>IFERROR(IF('PREENCHER AQUI'!D63="","",'PREENCHER AQUI'!D63),"")</f>
        <v/>
      </c>
      <c r="E63" s="2" t="str">
        <f>IFERROR(VLOOKUP(CONCATENATE(C63,D63),qdd!$C$2:$F$1000,2,FALSE),"")</f>
        <v/>
      </c>
      <c r="F63" s="2" t="str">
        <f>IFERROR(VLOOKUP(CONCATENATE(C63,D63),qdd!$C$2:$F$1000,3,FALSE),"")</f>
        <v/>
      </c>
      <c r="G63" s="2" t="str">
        <f>IFERROR(VLOOKUP(CONCATENATE(C63,D63),qdd!$C$2:$F$1000,4,FALSE),"")</f>
        <v/>
      </c>
      <c r="H63" s="6" t="str">
        <f t="shared" si="2"/>
        <v/>
      </c>
      <c r="I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" s="2" t="str">
        <f>IFERROR(IF('PREENCHER AQUI'!E63="","",'PREENCHER AQUI'!E63),"")</f>
        <v/>
      </c>
      <c r="K63" s="2" t="str">
        <f>IFERROR(IF('PREENCHER AQUI'!F63="","",'PREENCHER AQUI'!F63),"")</f>
        <v/>
      </c>
      <c r="L63" s="2" t="str">
        <f>IF(Tabela1[[#This Row],[IPU_COD]]=9,"91",IF(Tabela1[[#This Row],[ACAO_COD]]="","",VLOOKUP(CONCATENATE("G",J63,"M",K63),qdd!$BC$2:$BD$46,2,FALSE)))</f>
        <v/>
      </c>
      <c r="M63" s="2" t="str">
        <f>TEXT(IFERROR(VLOOKUP(CONCATENATE(C63,D63),qdd!$C$2:$G$1000,5,FALSE),""),0)</f>
        <v/>
      </c>
      <c r="N63" s="2" t="str">
        <f>IFERROR(IF('PREENCHER AQUI'!I63="","",'PREENCHER AQUI'!I63),"")</f>
        <v/>
      </c>
      <c r="O63" s="2" t="str">
        <f>IFERROR(IF('PREENCHER AQUI'!J63="","",'PREENCHER AQUI'!J63),"")</f>
        <v/>
      </c>
      <c r="P63" s="7" t="str">
        <f t="shared" si="3"/>
        <v/>
      </c>
      <c r="Q63" s="8" t="str">
        <f>IFERROR(IF(Tabela4[[#This Row],[VALOR]]="","",IF(Tabela1[[#This Row],[ORIENTACAO]]="Anular",'PREENCHER AQUI'!K63*-1*100,'PREENCHER AQUI'!K63*100)),"")</f>
        <v/>
      </c>
      <c r="T63" s="7" t="str">
        <f>IFERROR(IF('PREENCHER AQUI'!L63="","999",LEFT('PREENCHER AQUI'!L63,1)),"")</f>
        <v>999</v>
      </c>
      <c r="V63" s="19"/>
      <c r="W63" s="1" t="str">
        <f>IFERROR(VLOOKUP(Tabela1[[#This Row],[UO_COD]],qdd!$AT$1:$AU$102,2,FALSE),"")</f>
        <v/>
      </c>
      <c r="X63" s="1" t="str">
        <f>CONCATENATE("F",Tabela1[[#This Row],[FONTE_COD]],Tabela1[[#This Row],[IPU_COD]],"G",Tabela1[[#This Row],[GRUPO_COD]],"T",Tabela1[[#This Row],[TIPO]])</f>
        <v>FGT999</v>
      </c>
      <c r="Y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" s="19"/>
      <c r="AA63" s="29" t="str">
        <f>IFERROR(VLOOKUP(CONCATENATE("B",Tabela1[[#This Row],[BLOCO]],Tabela1[[#This Row],[UO_COD]]),qdd!$AW$2:$AX$1000,2,FALSE),"")</f>
        <v/>
      </c>
      <c r="AB63" s="30" t="str">
        <f>IFERROR(Tabela1[[#This Row],[VALOR]]/100,"")</f>
        <v/>
      </c>
      <c r="AC63" s="7" t="str" cm="1">
        <f t="array" aca="1" ref="AC63" ca="1">IF(Tabela1[[#This Row],[VALOR]]&lt;0,"",IFERROR(SUBSTITUTE(Converter_numero(Tabela1[[#This Row],[VALOR INCISO]]),",",""),""))</f>
        <v/>
      </c>
      <c r="AD63" s="29" t="str">
        <f>IF(Tabela1[[#This Row],[TIPO]]=REGRAS!$W$2,REGRAS!$X$2,IF(Tabela1[[#This Row],[TIPO]]=REGRAS!$W$4,REGRAS!$X$4,""))</f>
        <v/>
      </c>
      <c r="AE63" s="29" t="e">
        <f>VLOOKUP(Tabela1[[#This Row],[FONTE_COD]],REGRAS!$O$2:$P$69,2,FALSE)</f>
        <v>#N/A</v>
      </c>
      <c r="AF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" spans="1:32" ht="18.75" customHeight="1">
      <c r="A64" s="2" t="str">
        <f>IFERROR(IF('PREENCHER AQUI'!A64="","",'PREENCHER AQUI'!A64),"")</f>
        <v/>
      </c>
      <c r="B64" s="1" t="str">
        <f>IFERROR(IF('PREENCHER AQUI'!B64="","",PROPER('PREENCHER AQUI'!B64)),"")</f>
        <v/>
      </c>
      <c r="C64" s="1" t="str">
        <f>IFERROR(IF('PREENCHER AQUI'!C64="","",'PREENCHER AQUI'!C64),"")</f>
        <v/>
      </c>
      <c r="D64" s="2" t="str">
        <f>IFERROR(IF('PREENCHER AQUI'!D64="","",'PREENCHER AQUI'!D64),"")</f>
        <v/>
      </c>
      <c r="E64" s="2" t="str">
        <f>IFERROR(VLOOKUP(CONCATENATE(C64,D64),qdd!$C$2:$F$1000,2,FALSE),"")</f>
        <v/>
      </c>
      <c r="F64" s="2" t="str">
        <f>IFERROR(VLOOKUP(CONCATENATE(C64,D64),qdd!$C$2:$F$1000,3,FALSE),"")</f>
        <v/>
      </c>
      <c r="G64" s="2" t="str">
        <f>IFERROR(VLOOKUP(CONCATENATE(C64,D64),qdd!$C$2:$F$1000,4,FALSE),"")</f>
        <v/>
      </c>
      <c r="H64" s="6" t="str">
        <f t="shared" si="2"/>
        <v/>
      </c>
      <c r="I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" s="2" t="str">
        <f>IFERROR(IF('PREENCHER AQUI'!E64="","",'PREENCHER AQUI'!E64),"")</f>
        <v/>
      </c>
      <c r="K64" s="2" t="str">
        <f>IFERROR(IF('PREENCHER AQUI'!F64="","",'PREENCHER AQUI'!F64),"")</f>
        <v/>
      </c>
      <c r="L64" s="2" t="str">
        <f>IF(Tabela1[[#This Row],[IPU_COD]]=9,"91",IF(Tabela1[[#This Row],[ACAO_COD]]="","",VLOOKUP(CONCATENATE("G",J64,"M",K64),qdd!$BC$2:$BD$46,2,FALSE)))</f>
        <v/>
      </c>
      <c r="M64" s="2" t="str">
        <f>TEXT(IFERROR(VLOOKUP(CONCATENATE(C64,D64),qdd!$C$2:$G$1000,5,FALSE),""),0)</f>
        <v/>
      </c>
      <c r="N64" s="2" t="str">
        <f>IFERROR(IF('PREENCHER AQUI'!I64="","",'PREENCHER AQUI'!I64),"")</f>
        <v/>
      </c>
      <c r="O64" s="2" t="str">
        <f>IFERROR(IF('PREENCHER AQUI'!J64="","",'PREENCHER AQUI'!J64),"")</f>
        <v/>
      </c>
      <c r="P64" s="7" t="str">
        <f t="shared" si="3"/>
        <v/>
      </c>
      <c r="Q64" s="8" t="str">
        <f>IFERROR(IF(Tabela4[[#This Row],[VALOR]]="","",IF(Tabela1[[#This Row],[ORIENTACAO]]="Anular",'PREENCHER AQUI'!K64*-1*100,'PREENCHER AQUI'!K64*100)),"")</f>
        <v/>
      </c>
      <c r="T64" s="7" t="str">
        <f>IFERROR(IF('PREENCHER AQUI'!L64="","999",LEFT('PREENCHER AQUI'!L64,1)),"")</f>
        <v>999</v>
      </c>
      <c r="V64" s="19"/>
      <c r="W64" s="1" t="str">
        <f>IFERROR(VLOOKUP(Tabela1[[#This Row],[UO_COD]],qdd!$AT$1:$AU$102,2,FALSE),"")</f>
        <v/>
      </c>
      <c r="X64" s="1" t="str">
        <f>CONCATENATE("F",Tabela1[[#This Row],[FONTE_COD]],Tabela1[[#This Row],[IPU_COD]],"G",Tabela1[[#This Row],[GRUPO_COD]],"T",Tabela1[[#This Row],[TIPO]])</f>
        <v>FGT999</v>
      </c>
      <c r="Y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" s="19"/>
      <c r="AA64" s="29" t="str">
        <f>IFERROR(VLOOKUP(CONCATENATE("B",Tabela1[[#This Row],[BLOCO]],Tabela1[[#This Row],[UO_COD]]),qdd!$AW$2:$AX$1000,2,FALSE),"")</f>
        <v/>
      </c>
      <c r="AB64" s="30" t="str">
        <f>IFERROR(Tabela1[[#This Row],[VALOR]]/100,"")</f>
        <v/>
      </c>
      <c r="AC64" s="7" t="str" cm="1">
        <f t="array" aca="1" ref="AC64" ca="1">IF(Tabela1[[#This Row],[VALOR]]&lt;0,"",IFERROR(SUBSTITUTE(Converter_numero(Tabela1[[#This Row],[VALOR INCISO]]),",",""),""))</f>
        <v/>
      </c>
      <c r="AD64" s="29" t="str">
        <f>IF(Tabela1[[#This Row],[TIPO]]=REGRAS!$W$2,REGRAS!$X$2,IF(Tabela1[[#This Row],[TIPO]]=REGRAS!$W$4,REGRAS!$X$4,""))</f>
        <v/>
      </c>
      <c r="AE64" s="29" t="e">
        <f>VLOOKUP(Tabela1[[#This Row],[FONTE_COD]],REGRAS!$O$2:$P$69,2,FALSE)</f>
        <v>#N/A</v>
      </c>
      <c r="AF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" spans="1:32" ht="18.75" customHeight="1">
      <c r="A65" s="2" t="str">
        <f>IFERROR(IF('PREENCHER AQUI'!A65="","",'PREENCHER AQUI'!A65),"")</f>
        <v/>
      </c>
      <c r="B65" s="1" t="str">
        <f>IFERROR(IF('PREENCHER AQUI'!B65="","",PROPER('PREENCHER AQUI'!B65)),"")</f>
        <v/>
      </c>
      <c r="C65" s="1" t="str">
        <f>IFERROR(IF('PREENCHER AQUI'!C65="","",'PREENCHER AQUI'!C65),"")</f>
        <v/>
      </c>
      <c r="D65" s="2" t="str">
        <f>IFERROR(IF('PREENCHER AQUI'!D65="","",'PREENCHER AQUI'!D65),"")</f>
        <v/>
      </c>
      <c r="E65" s="2" t="str">
        <f>IFERROR(VLOOKUP(CONCATENATE(C65,D65),qdd!$C$2:$F$1000,2,FALSE),"")</f>
        <v/>
      </c>
      <c r="F65" s="2" t="str">
        <f>IFERROR(VLOOKUP(CONCATENATE(C65,D65),qdd!$C$2:$F$1000,3,FALSE),"")</f>
        <v/>
      </c>
      <c r="G65" s="2" t="str">
        <f>IFERROR(VLOOKUP(CONCATENATE(C65,D65),qdd!$C$2:$F$1000,4,FALSE),"")</f>
        <v/>
      </c>
      <c r="H65" s="6" t="str">
        <f t="shared" si="2"/>
        <v/>
      </c>
      <c r="I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" s="2" t="str">
        <f>IFERROR(IF('PREENCHER AQUI'!E65="","",'PREENCHER AQUI'!E65),"")</f>
        <v/>
      </c>
      <c r="K65" s="2" t="str">
        <f>IFERROR(IF('PREENCHER AQUI'!F65="","",'PREENCHER AQUI'!F65),"")</f>
        <v/>
      </c>
      <c r="L65" s="2" t="str">
        <f>IF(Tabela1[[#This Row],[IPU_COD]]=9,"91",IF(Tabela1[[#This Row],[ACAO_COD]]="","",VLOOKUP(CONCATENATE("G",J65,"M",K65),qdd!$BC$2:$BD$46,2,FALSE)))</f>
        <v/>
      </c>
      <c r="M65" s="2" t="str">
        <f>TEXT(IFERROR(VLOOKUP(CONCATENATE(C65,D65),qdd!$C$2:$G$1000,5,FALSE),""),0)</f>
        <v/>
      </c>
      <c r="N65" s="2" t="str">
        <f>IFERROR(IF('PREENCHER AQUI'!I65="","",'PREENCHER AQUI'!I65),"")</f>
        <v/>
      </c>
      <c r="O65" s="2" t="str">
        <f>IFERROR(IF('PREENCHER AQUI'!J65="","",'PREENCHER AQUI'!J65),"")</f>
        <v/>
      </c>
      <c r="P65" s="7" t="str">
        <f t="shared" si="3"/>
        <v/>
      </c>
      <c r="Q65" s="8" t="str">
        <f>IFERROR(IF(Tabela4[[#This Row],[VALOR]]="","",IF(Tabela1[[#This Row],[ORIENTACAO]]="Anular",'PREENCHER AQUI'!K65*-1*100,'PREENCHER AQUI'!K65*100)),"")</f>
        <v/>
      </c>
      <c r="T65" s="7" t="str">
        <f>IFERROR(IF('PREENCHER AQUI'!L65="","999",LEFT('PREENCHER AQUI'!L65,1)),"")</f>
        <v>999</v>
      </c>
      <c r="V65" s="19"/>
      <c r="W65" s="20" t="str">
        <f>IFERROR(VLOOKUP(Tabela1[[#This Row],[UO_COD]],qdd!$AT$1:$AU$102,2,FALSE),"")</f>
        <v/>
      </c>
      <c r="X65" s="20" t="str">
        <f>CONCATENATE("F",Tabela1[[#This Row],[FONTE_COD]],Tabela1[[#This Row],[IPU_COD]],"G",Tabela1[[#This Row],[GRUPO_COD]],"T",Tabela1[[#This Row],[TIPO]])</f>
        <v>FGT999</v>
      </c>
      <c r="Y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" s="19"/>
      <c r="AA65" s="29" t="str">
        <f>IFERROR(VLOOKUP(CONCATENATE("B",Tabela1[[#This Row],[BLOCO]],Tabela1[[#This Row],[UO_COD]]),qdd!$AW$2:$AX$1000,2,FALSE),"")</f>
        <v/>
      </c>
      <c r="AB65" s="30" t="str">
        <f>IFERROR(Tabela1[[#This Row],[VALOR]]/100,"")</f>
        <v/>
      </c>
      <c r="AC65" s="7" t="str" cm="1">
        <f t="array" aca="1" ref="AC65" ca="1">IF(Tabela1[[#This Row],[VALOR]]&lt;0,"",IFERROR(SUBSTITUTE(Converter_numero(Tabela1[[#This Row],[VALOR INCISO]]),",",""),""))</f>
        <v/>
      </c>
      <c r="AD65" s="29" t="str">
        <f>IF(Tabela1[[#This Row],[TIPO]]=REGRAS!$W$2,REGRAS!$X$2,IF(Tabela1[[#This Row],[TIPO]]=REGRAS!$W$4,REGRAS!$X$4,""))</f>
        <v/>
      </c>
      <c r="AE65" s="29" t="e">
        <f>VLOOKUP(Tabela1[[#This Row],[FONTE_COD]],REGRAS!$O$2:$P$69,2,FALSE)</f>
        <v>#N/A</v>
      </c>
      <c r="AF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" spans="1:32" ht="18.75" customHeight="1">
      <c r="A66" s="2" t="str">
        <f>IFERROR(IF('PREENCHER AQUI'!A66="","",'PREENCHER AQUI'!A66),"")</f>
        <v/>
      </c>
      <c r="B66" s="1" t="str">
        <f>IFERROR(IF('PREENCHER AQUI'!B66="","",PROPER('PREENCHER AQUI'!B66)),"")</f>
        <v/>
      </c>
      <c r="C66" s="1" t="str">
        <f>IFERROR(IF('PREENCHER AQUI'!C66="","",'PREENCHER AQUI'!C66),"")</f>
        <v/>
      </c>
      <c r="D66" s="2" t="str">
        <f>IFERROR(IF('PREENCHER AQUI'!D66="","",'PREENCHER AQUI'!D66),"")</f>
        <v/>
      </c>
      <c r="E66" s="2" t="str">
        <f>IFERROR(VLOOKUP(CONCATENATE(C66,D66),qdd!$C$2:$F$1000,2,FALSE),"")</f>
        <v/>
      </c>
      <c r="F66" s="2" t="str">
        <f>IFERROR(VLOOKUP(CONCATENATE(C66,D66),qdd!$C$2:$F$1000,3,FALSE),"")</f>
        <v/>
      </c>
      <c r="G66" s="2" t="str">
        <f>IFERROR(VLOOKUP(CONCATENATE(C66,D66),qdd!$C$2:$F$1000,4,FALSE),"")</f>
        <v/>
      </c>
      <c r="H66" s="6" t="str">
        <f t="shared" si="2"/>
        <v/>
      </c>
      <c r="I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" s="2" t="str">
        <f>IFERROR(IF('PREENCHER AQUI'!E66="","",'PREENCHER AQUI'!E66),"")</f>
        <v/>
      </c>
      <c r="K66" s="2" t="str">
        <f>IFERROR(IF('PREENCHER AQUI'!F66="","",'PREENCHER AQUI'!F66),"")</f>
        <v/>
      </c>
      <c r="L66" s="2" t="str">
        <f>IF(Tabela1[[#This Row],[IPU_COD]]=9,"91",IF(Tabela1[[#This Row],[ACAO_COD]]="","",VLOOKUP(CONCATENATE("G",J66,"M",K66),qdd!$BC$2:$BD$46,2,FALSE)))</f>
        <v/>
      </c>
      <c r="M66" s="2" t="str">
        <f>TEXT(IFERROR(VLOOKUP(CONCATENATE(C66,D66),qdd!$C$2:$G$1000,5,FALSE),""),0)</f>
        <v/>
      </c>
      <c r="N66" s="2" t="str">
        <f>IFERROR(IF('PREENCHER AQUI'!I66="","",'PREENCHER AQUI'!I66),"")</f>
        <v/>
      </c>
      <c r="O66" s="2" t="str">
        <f>IFERROR(IF('PREENCHER AQUI'!J66="","",'PREENCHER AQUI'!J66),"")</f>
        <v/>
      </c>
      <c r="P66" s="7" t="str">
        <f t="shared" si="3"/>
        <v/>
      </c>
      <c r="Q66" s="8" t="str">
        <f>IFERROR(IF(Tabela4[[#This Row],[VALOR]]="","",IF(Tabela1[[#This Row],[ORIENTACAO]]="Anular",'PREENCHER AQUI'!K66*-1*100,'PREENCHER AQUI'!K66*100)),"")</f>
        <v/>
      </c>
      <c r="T66" s="7" t="str">
        <f>IFERROR(IF('PREENCHER AQUI'!L66="","999",LEFT('PREENCHER AQUI'!L66,1)),"")</f>
        <v>999</v>
      </c>
      <c r="V66" s="19"/>
      <c r="W66" s="1" t="str">
        <f>IFERROR(VLOOKUP(Tabela1[[#This Row],[UO_COD]],qdd!$AT$1:$AU$102,2,FALSE),"")</f>
        <v/>
      </c>
      <c r="X66" s="1" t="str">
        <f>CONCATENATE("F",Tabela1[[#This Row],[FONTE_COD]],Tabela1[[#This Row],[IPU_COD]],"G",Tabela1[[#This Row],[GRUPO_COD]],"T",Tabela1[[#This Row],[TIPO]])</f>
        <v>FGT999</v>
      </c>
      <c r="Y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" s="19"/>
      <c r="AA66" s="29" t="str">
        <f>IFERROR(VLOOKUP(CONCATENATE("B",Tabela1[[#This Row],[BLOCO]],Tabela1[[#This Row],[UO_COD]]),qdd!$AW$2:$AX$1000,2,FALSE),"")</f>
        <v/>
      </c>
      <c r="AB66" s="30" t="str">
        <f>IFERROR(Tabela1[[#This Row],[VALOR]]/100,"")</f>
        <v/>
      </c>
      <c r="AC66" s="7" t="str" cm="1">
        <f t="array" aca="1" ref="AC66" ca="1">IF(Tabela1[[#This Row],[VALOR]]&lt;0,"",IFERROR(SUBSTITUTE(Converter_numero(Tabela1[[#This Row],[VALOR INCISO]]),",",""),""))</f>
        <v/>
      </c>
      <c r="AD66" s="29" t="str">
        <f>IF(Tabela1[[#This Row],[TIPO]]=REGRAS!$W$2,REGRAS!$X$2,IF(Tabela1[[#This Row],[TIPO]]=REGRAS!$W$4,REGRAS!$X$4,""))</f>
        <v/>
      </c>
      <c r="AE66" s="29" t="e">
        <f>VLOOKUP(Tabela1[[#This Row],[FONTE_COD]],REGRAS!$O$2:$P$69,2,FALSE)</f>
        <v>#N/A</v>
      </c>
      <c r="AF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" spans="1:32" ht="18.75" customHeight="1">
      <c r="A67" s="2" t="str">
        <f>IFERROR(IF('PREENCHER AQUI'!A67="","",'PREENCHER AQUI'!A67),"")</f>
        <v/>
      </c>
      <c r="B67" s="1" t="str">
        <f>IFERROR(IF('PREENCHER AQUI'!B67="","",PROPER('PREENCHER AQUI'!B67)),"")</f>
        <v/>
      </c>
      <c r="C67" s="1" t="str">
        <f>IFERROR(IF('PREENCHER AQUI'!C67="","",'PREENCHER AQUI'!C67),"")</f>
        <v/>
      </c>
      <c r="D67" s="2" t="str">
        <f>IFERROR(IF('PREENCHER AQUI'!D67="","",'PREENCHER AQUI'!D67),"")</f>
        <v/>
      </c>
      <c r="E67" s="2" t="str">
        <f>IFERROR(VLOOKUP(CONCATENATE(C67,D67),qdd!$C$2:$F$1000,2,FALSE),"")</f>
        <v/>
      </c>
      <c r="F67" s="2" t="str">
        <f>IFERROR(VLOOKUP(CONCATENATE(C67,D67),qdd!$C$2:$F$1000,3,FALSE),"")</f>
        <v/>
      </c>
      <c r="G67" s="2" t="str">
        <f>IFERROR(VLOOKUP(CONCATENATE(C67,D67),qdd!$C$2:$F$1000,4,FALSE),"")</f>
        <v/>
      </c>
      <c r="H67" s="6" t="str">
        <f t="shared" ref="H67:H130" si="4">IF(E67="","","0001")</f>
        <v/>
      </c>
      <c r="I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" s="2" t="str">
        <f>IFERROR(IF('PREENCHER AQUI'!E67="","",'PREENCHER AQUI'!E67),"")</f>
        <v/>
      </c>
      <c r="K67" s="2" t="str">
        <f>IFERROR(IF('PREENCHER AQUI'!F67="","",'PREENCHER AQUI'!F67),"")</f>
        <v/>
      </c>
      <c r="L67" s="2" t="str">
        <f>IF(Tabela1[[#This Row],[IPU_COD]]=9,"91",IF(Tabela1[[#This Row],[ACAO_COD]]="","",VLOOKUP(CONCATENATE("G",J67,"M",K67),qdd!$BC$2:$BD$46,2,FALSE)))</f>
        <v/>
      </c>
      <c r="M67" s="2" t="str">
        <f>TEXT(IFERROR(VLOOKUP(CONCATENATE(C67,D67),qdd!$C$2:$G$1000,5,FALSE),""),0)</f>
        <v/>
      </c>
      <c r="N67" s="2" t="str">
        <f>IFERROR(IF('PREENCHER AQUI'!I67="","",'PREENCHER AQUI'!I67),"")</f>
        <v/>
      </c>
      <c r="O67" s="2" t="str">
        <f>IFERROR(IF('PREENCHER AQUI'!J67="","",'PREENCHER AQUI'!J67),"")</f>
        <v/>
      </c>
      <c r="P67" s="7" t="str">
        <f t="shared" ref="P67:P130" si="5">IFERROR(CONCATENATE(E67,F67,G67,D67,H67,I67,J67,K67,L67,M67,N67,O67),"")</f>
        <v/>
      </c>
      <c r="Q67" s="8" t="str">
        <f>IFERROR(IF(Tabela4[[#This Row],[VALOR]]="","",IF(Tabela1[[#This Row],[ORIENTACAO]]="Anular",'PREENCHER AQUI'!K67*-1*100,'PREENCHER AQUI'!K67*100)),"")</f>
        <v/>
      </c>
      <c r="T67" s="7" t="str">
        <f>IFERROR(IF('PREENCHER AQUI'!L67="","999",LEFT('PREENCHER AQUI'!L67,1)),"")</f>
        <v>999</v>
      </c>
      <c r="W67" s="1" t="str">
        <f>IFERROR(VLOOKUP(Tabela1[[#This Row],[UO_COD]],qdd!$AT$1:$AU$102,2,FALSE),"")</f>
        <v/>
      </c>
      <c r="X67" s="1" t="str">
        <f>CONCATENATE("F",Tabela1[[#This Row],[FONTE_COD]],Tabela1[[#This Row],[IPU_COD]],"G",Tabela1[[#This Row],[GRUPO_COD]],"T",Tabela1[[#This Row],[TIPO]])</f>
        <v>FGT999</v>
      </c>
      <c r="Y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" s="19"/>
      <c r="AA67" s="29" t="str">
        <f>IFERROR(VLOOKUP(CONCATENATE("B",Tabela1[[#This Row],[BLOCO]],Tabela1[[#This Row],[UO_COD]]),qdd!$AW$2:$AX$1000,2,FALSE),"")</f>
        <v/>
      </c>
      <c r="AB67" s="30" t="str">
        <f>IFERROR(Tabela1[[#This Row],[VALOR]]/100,"")</f>
        <v/>
      </c>
      <c r="AC67" s="7" t="str" cm="1">
        <f t="array" aca="1" ref="AC67" ca="1">IF(Tabela1[[#This Row],[VALOR]]&lt;0,"",IFERROR(SUBSTITUTE(Converter_numero(Tabela1[[#This Row],[VALOR INCISO]]),",",""),""))</f>
        <v/>
      </c>
      <c r="AD67" s="7" t="str">
        <f>IF(Tabela1[[#This Row],[TIPO]]=REGRAS!$W$2,REGRAS!$X$2,IF(Tabela1[[#This Row],[TIPO]]=REGRAS!$W$4,REGRAS!$X$4,""))</f>
        <v/>
      </c>
      <c r="AE67" s="29" t="e">
        <f>VLOOKUP(Tabela1[[#This Row],[FONTE_COD]],REGRAS!$O$2:$P$69,2,FALSE)</f>
        <v>#N/A</v>
      </c>
      <c r="AF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" spans="1:32" ht="18.75" customHeight="1">
      <c r="A68" s="2" t="str">
        <f>IFERROR(IF('PREENCHER AQUI'!A68="","",'PREENCHER AQUI'!A68),"")</f>
        <v/>
      </c>
      <c r="B68" s="1" t="str">
        <f>IFERROR(IF('PREENCHER AQUI'!B68="","",PROPER('PREENCHER AQUI'!B68)),"")</f>
        <v/>
      </c>
      <c r="C68" s="1" t="str">
        <f>IFERROR(IF('PREENCHER AQUI'!C68="","",'PREENCHER AQUI'!C68),"")</f>
        <v/>
      </c>
      <c r="D68" s="2" t="str">
        <f>IFERROR(IF('PREENCHER AQUI'!D68="","",'PREENCHER AQUI'!D68),"")</f>
        <v/>
      </c>
      <c r="E68" s="2" t="str">
        <f>IFERROR(VLOOKUP(CONCATENATE(C68,D68),qdd!$C$2:$F$1000,2,FALSE),"")</f>
        <v/>
      </c>
      <c r="F68" s="2" t="str">
        <f>IFERROR(VLOOKUP(CONCATENATE(C68,D68),qdd!$C$2:$F$1000,3,FALSE),"")</f>
        <v/>
      </c>
      <c r="G68" s="2" t="str">
        <f>IFERROR(VLOOKUP(CONCATENATE(C68,D68),qdd!$C$2:$F$1000,4,FALSE),"")</f>
        <v/>
      </c>
      <c r="H68" s="6" t="str">
        <f t="shared" si="4"/>
        <v/>
      </c>
      <c r="I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" s="2" t="str">
        <f>IFERROR(IF('PREENCHER AQUI'!E68="","",'PREENCHER AQUI'!E68),"")</f>
        <v/>
      </c>
      <c r="K68" s="2" t="str">
        <f>IFERROR(IF('PREENCHER AQUI'!F68="","",'PREENCHER AQUI'!F68),"")</f>
        <v/>
      </c>
      <c r="L68" s="2" t="str">
        <f>IF(Tabela1[[#This Row],[IPU_COD]]=9,"91",IF(Tabela1[[#This Row],[ACAO_COD]]="","",VLOOKUP(CONCATENATE("G",J68,"M",K68),qdd!$BC$2:$BD$46,2,FALSE)))</f>
        <v/>
      </c>
      <c r="M68" s="2" t="str">
        <f>TEXT(IFERROR(VLOOKUP(CONCATENATE(C68,D68),qdd!$C$2:$G$1000,5,FALSE),""),0)</f>
        <v/>
      </c>
      <c r="N68" s="2" t="str">
        <f>IFERROR(IF('PREENCHER AQUI'!I68="","",'PREENCHER AQUI'!I68),"")</f>
        <v/>
      </c>
      <c r="O68" s="2" t="str">
        <f>IFERROR(IF('PREENCHER AQUI'!J68="","",'PREENCHER AQUI'!J68),"")</f>
        <v/>
      </c>
      <c r="P68" s="7" t="str">
        <f t="shared" si="5"/>
        <v/>
      </c>
      <c r="Q68" s="8" t="str">
        <f>IFERROR(IF(Tabela4[[#This Row],[VALOR]]="","",IF(Tabela1[[#This Row],[ORIENTACAO]]="Anular",'PREENCHER AQUI'!K68*-1*100,'PREENCHER AQUI'!K68*100)),"")</f>
        <v/>
      </c>
      <c r="T68" s="7" t="str">
        <f>IFERROR(IF('PREENCHER AQUI'!L68="","999",LEFT('PREENCHER AQUI'!L68,1)),"")</f>
        <v>999</v>
      </c>
      <c r="V68" s="19"/>
      <c r="W68" s="1" t="str">
        <f>IFERROR(VLOOKUP(Tabela1[[#This Row],[UO_COD]],qdd!$AT$1:$AU$102,2,FALSE),"")</f>
        <v/>
      </c>
      <c r="X68" s="1" t="str">
        <f>CONCATENATE("F",Tabela1[[#This Row],[FONTE_COD]],Tabela1[[#This Row],[IPU_COD]],"G",Tabela1[[#This Row],[GRUPO_COD]],"T",Tabela1[[#This Row],[TIPO]])</f>
        <v>FGT999</v>
      </c>
      <c r="Y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" s="19"/>
      <c r="AA68" s="29" t="str">
        <f>IFERROR(VLOOKUP(CONCATENATE("B",Tabela1[[#This Row],[BLOCO]],Tabela1[[#This Row],[UO_COD]]),qdd!$AW$2:$AX$1000,2,FALSE),"")</f>
        <v/>
      </c>
      <c r="AB68" s="30" t="str">
        <f>IFERROR(Tabela1[[#This Row],[VALOR]]/100,"")</f>
        <v/>
      </c>
      <c r="AC68" s="7" t="str" cm="1">
        <f t="array" aca="1" ref="AC68" ca="1">IF(Tabela1[[#This Row],[VALOR]]&lt;0,"",IFERROR(SUBSTITUTE(Converter_numero(Tabela1[[#This Row],[VALOR INCISO]]),",",""),""))</f>
        <v/>
      </c>
      <c r="AD68" s="29" t="str">
        <f>IF(Tabela1[[#This Row],[TIPO]]=REGRAS!$W$2,REGRAS!$X$2,IF(Tabela1[[#This Row],[TIPO]]=REGRAS!$W$4,REGRAS!$X$4,""))</f>
        <v/>
      </c>
      <c r="AE68" s="29" t="e">
        <f>VLOOKUP(Tabela1[[#This Row],[FONTE_COD]],REGRAS!$O$2:$P$69,2,FALSE)</f>
        <v>#N/A</v>
      </c>
      <c r="AF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" spans="1:32" ht="18.75" customHeight="1">
      <c r="A69" s="2" t="str">
        <f>IFERROR(IF('PREENCHER AQUI'!A69="","",'PREENCHER AQUI'!A69),"")</f>
        <v/>
      </c>
      <c r="B69" s="1" t="str">
        <f>IFERROR(IF('PREENCHER AQUI'!B69="","",PROPER('PREENCHER AQUI'!B69)),"")</f>
        <v/>
      </c>
      <c r="C69" s="1" t="str">
        <f>IFERROR(IF('PREENCHER AQUI'!C69="","",'PREENCHER AQUI'!C69),"")</f>
        <v/>
      </c>
      <c r="D69" s="2" t="str">
        <f>IFERROR(IF('PREENCHER AQUI'!D69="","",'PREENCHER AQUI'!D69),"")</f>
        <v/>
      </c>
      <c r="E69" s="2" t="str">
        <f>IFERROR(VLOOKUP(CONCATENATE(C69,D69),qdd!$C$2:$F$1000,2,FALSE),"")</f>
        <v/>
      </c>
      <c r="F69" s="2" t="str">
        <f>IFERROR(VLOOKUP(CONCATENATE(C69,D69),qdd!$C$2:$F$1000,3,FALSE),"")</f>
        <v/>
      </c>
      <c r="G69" s="2" t="str">
        <f>IFERROR(VLOOKUP(CONCATENATE(C69,D69),qdd!$C$2:$F$1000,4,FALSE),"")</f>
        <v/>
      </c>
      <c r="H69" s="6" t="str">
        <f t="shared" si="4"/>
        <v/>
      </c>
      <c r="I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" s="2" t="str">
        <f>IFERROR(IF('PREENCHER AQUI'!E69="","",'PREENCHER AQUI'!E69),"")</f>
        <v/>
      </c>
      <c r="K69" s="2" t="str">
        <f>IFERROR(IF('PREENCHER AQUI'!F69="","",'PREENCHER AQUI'!F69),"")</f>
        <v/>
      </c>
      <c r="L69" s="2" t="str">
        <f>IF(Tabela1[[#This Row],[IPU_COD]]=9,"91",IF(Tabela1[[#This Row],[ACAO_COD]]="","",VLOOKUP(CONCATENATE("G",J69,"M",K69),qdd!$BC$2:$BD$46,2,FALSE)))</f>
        <v/>
      </c>
      <c r="M69" s="2" t="str">
        <f>TEXT(IFERROR(VLOOKUP(CONCATENATE(C69,D69),qdd!$C$2:$G$1000,5,FALSE),""),0)</f>
        <v/>
      </c>
      <c r="N69" s="2" t="str">
        <f>IFERROR(IF('PREENCHER AQUI'!I69="","",'PREENCHER AQUI'!I69),"")</f>
        <v/>
      </c>
      <c r="O69" s="2" t="str">
        <f>IFERROR(IF('PREENCHER AQUI'!J69="","",'PREENCHER AQUI'!J69),"")</f>
        <v/>
      </c>
      <c r="P69" s="7" t="str">
        <f t="shared" si="5"/>
        <v/>
      </c>
      <c r="Q69" s="8" t="str">
        <f>IFERROR(IF(Tabela4[[#This Row],[VALOR]]="","",IF(Tabela1[[#This Row],[ORIENTACAO]]="Anular",'PREENCHER AQUI'!K69*-1*100,'PREENCHER AQUI'!K69*100)),"")</f>
        <v/>
      </c>
      <c r="T69" s="7" t="str">
        <f>IFERROR(IF('PREENCHER AQUI'!L69="","999",LEFT('PREENCHER AQUI'!L69,1)),"")</f>
        <v>999</v>
      </c>
      <c r="V69" s="19"/>
      <c r="W69" s="1" t="str">
        <f>IFERROR(VLOOKUP(Tabela1[[#This Row],[UO_COD]],qdd!$AT$1:$AU$102,2,FALSE),"")</f>
        <v/>
      </c>
      <c r="X69" s="1" t="str">
        <f>CONCATENATE("F",Tabela1[[#This Row],[FONTE_COD]],Tabela1[[#This Row],[IPU_COD]],"G",Tabela1[[#This Row],[GRUPO_COD]],"T",Tabela1[[#This Row],[TIPO]])</f>
        <v>FGT999</v>
      </c>
      <c r="Y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" s="19"/>
      <c r="AA69" s="29" t="str">
        <f>IFERROR(VLOOKUP(CONCATENATE("B",Tabela1[[#This Row],[BLOCO]],Tabela1[[#This Row],[UO_COD]]),qdd!$AW$2:$AX$1000,2,FALSE),"")</f>
        <v/>
      </c>
      <c r="AB69" s="30" t="str">
        <f>IFERROR(Tabela1[[#This Row],[VALOR]]/100,"")</f>
        <v/>
      </c>
      <c r="AC69" s="7" t="str" cm="1">
        <f t="array" aca="1" ref="AC69" ca="1">IF(Tabela1[[#This Row],[VALOR]]&lt;0,"",IFERROR(SUBSTITUTE(Converter_numero(Tabela1[[#This Row],[VALOR INCISO]]),",",""),""))</f>
        <v/>
      </c>
      <c r="AD69" s="29" t="str">
        <f>IF(Tabela1[[#This Row],[TIPO]]=REGRAS!$W$2,REGRAS!$X$2,IF(Tabela1[[#This Row],[TIPO]]=REGRAS!$W$4,REGRAS!$X$4,""))</f>
        <v/>
      </c>
      <c r="AE69" s="29" t="e">
        <f>VLOOKUP(Tabela1[[#This Row],[FONTE_COD]],REGRAS!$O$2:$P$69,2,FALSE)</f>
        <v>#N/A</v>
      </c>
      <c r="AF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" spans="1:32" ht="18.75" customHeight="1">
      <c r="A70" s="2" t="str">
        <f>IFERROR(IF('PREENCHER AQUI'!A70="","",'PREENCHER AQUI'!A70),"")</f>
        <v/>
      </c>
      <c r="B70" s="1" t="str">
        <f>IFERROR(IF('PREENCHER AQUI'!B70="","",PROPER('PREENCHER AQUI'!B70)),"")</f>
        <v/>
      </c>
      <c r="C70" s="1" t="str">
        <f>IFERROR(IF('PREENCHER AQUI'!C70="","",'PREENCHER AQUI'!C70),"")</f>
        <v/>
      </c>
      <c r="D70" s="2" t="str">
        <f>IFERROR(IF('PREENCHER AQUI'!D70="","",'PREENCHER AQUI'!D70),"")</f>
        <v/>
      </c>
      <c r="E70" s="2" t="str">
        <f>IFERROR(VLOOKUP(CONCATENATE(C70,D70),qdd!$C$2:$F$1000,2,FALSE),"")</f>
        <v/>
      </c>
      <c r="F70" s="2" t="str">
        <f>IFERROR(VLOOKUP(CONCATENATE(C70,D70),qdd!$C$2:$F$1000,3,FALSE),"")</f>
        <v/>
      </c>
      <c r="G70" s="2" t="str">
        <f>IFERROR(VLOOKUP(CONCATENATE(C70,D70),qdd!$C$2:$F$1000,4,FALSE),"")</f>
        <v/>
      </c>
      <c r="H70" s="6" t="str">
        <f t="shared" si="4"/>
        <v/>
      </c>
      <c r="I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" s="2" t="str">
        <f>IFERROR(IF('PREENCHER AQUI'!E70="","",'PREENCHER AQUI'!E70),"")</f>
        <v/>
      </c>
      <c r="K70" s="2" t="str">
        <f>IFERROR(IF('PREENCHER AQUI'!F70="","",'PREENCHER AQUI'!F70),"")</f>
        <v/>
      </c>
      <c r="L70" s="2" t="str">
        <f>IF(Tabela1[[#This Row],[IPU_COD]]=9,"91",IF(Tabela1[[#This Row],[ACAO_COD]]="","",VLOOKUP(CONCATENATE("G",J70,"M",K70),qdd!$BC$2:$BD$46,2,FALSE)))</f>
        <v/>
      </c>
      <c r="M70" s="2" t="str">
        <f>TEXT(IFERROR(VLOOKUP(CONCATENATE(C70,D70),qdd!$C$2:$G$1000,5,FALSE),""),0)</f>
        <v/>
      </c>
      <c r="N70" s="2" t="str">
        <f>IFERROR(IF('PREENCHER AQUI'!I70="","",'PREENCHER AQUI'!I70),"")</f>
        <v/>
      </c>
      <c r="O70" s="2" t="str">
        <f>IFERROR(IF('PREENCHER AQUI'!J70="","",'PREENCHER AQUI'!J70),"")</f>
        <v/>
      </c>
      <c r="P70" s="7" t="str">
        <f t="shared" si="5"/>
        <v/>
      </c>
      <c r="Q70" s="8" t="str">
        <f>IFERROR(IF(Tabela4[[#This Row],[VALOR]]="","",IF(Tabela1[[#This Row],[ORIENTACAO]]="Anular",'PREENCHER AQUI'!K70*-1*100,'PREENCHER AQUI'!K70*100)),"")</f>
        <v/>
      </c>
      <c r="T70" s="7" t="str">
        <f>IFERROR(IF('PREENCHER AQUI'!L70="","999",LEFT('PREENCHER AQUI'!L70,1)),"")</f>
        <v>999</v>
      </c>
      <c r="V70" s="19"/>
      <c r="W70" s="20" t="str">
        <f>IFERROR(VLOOKUP(Tabela1[[#This Row],[UO_COD]],qdd!$AT$1:$AU$102,2,FALSE),"")</f>
        <v/>
      </c>
      <c r="X70" s="20" t="str">
        <f>CONCATENATE("F",Tabela1[[#This Row],[FONTE_COD]],Tabela1[[#This Row],[IPU_COD]],"G",Tabela1[[#This Row],[GRUPO_COD]],"T",Tabela1[[#This Row],[TIPO]])</f>
        <v>FGT999</v>
      </c>
      <c r="Y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" s="19"/>
      <c r="AA70" s="29" t="str">
        <f>IFERROR(VLOOKUP(CONCATENATE("B",Tabela1[[#This Row],[BLOCO]],Tabela1[[#This Row],[UO_COD]]),qdd!$AW$2:$AX$1000,2,FALSE),"")</f>
        <v/>
      </c>
      <c r="AB70" s="30" t="str">
        <f>IFERROR(Tabela1[[#This Row],[VALOR]]/100,"")</f>
        <v/>
      </c>
      <c r="AC70" s="7" t="str" cm="1">
        <f t="array" aca="1" ref="AC70" ca="1">IF(Tabela1[[#This Row],[VALOR]]&lt;0,"",IFERROR(SUBSTITUTE(Converter_numero(Tabela1[[#This Row],[VALOR INCISO]]),",",""),""))</f>
        <v/>
      </c>
      <c r="AD70" s="29" t="str">
        <f>IF(Tabela1[[#This Row],[TIPO]]=REGRAS!$W$2,REGRAS!$X$2,IF(Tabela1[[#This Row],[TIPO]]=REGRAS!$W$4,REGRAS!$X$4,""))</f>
        <v/>
      </c>
      <c r="AE70" s="29" t="e">
        <f>VLOOKUP(Tabela1[[#This Row],[FONTE_COD]],REGRAS!$O$2:$P$69,2,FALSE)</f>
        <v>#N/A</v>
      </c>
      <c r="AF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" spans="1:32" ht="18.75" customHeight="1">
      <c r="A71" s="2" t="str">
        <f>IFERROR(IF('PREENCHER AQUI'!A71="","",'PREENCHER AQUI'!A71),"")</f>
        <v/>
      </c>
      <c r="B71" s="1" t="str">
        <f>IFERROR(IF('PREENCHER AQUI'!B71="","",PROPER('PREENCHER AQUI'!B71)),"")</f>
        <v/>
      </c>
      <c r="C71" s="1" t="str">
        <f>IFERROR(IF('PREENCHER AQUI'!C71="","",'PREENCHER AQUI'!C71),"")</f>
        <v/>
      </c>
      <c r="D71" s="2" t="str">
        <f>IFERROR(IF('PREENCHER AQUI'!D71="","",'PREENCHER AQUI'!D71),"")</f>
        <v/>
      </c>
      <c r="E71" s="2" t="str">
        <f>IFERROR(VLOOKUP(CONCATENATE(C71,D71),qdd!$C$2:$F$1000,2,FALSE),"")</f>
        <v/>
      </c>
      <c r="F71" s="2" t="str">
        <f>IFERROR(VLOOKUP(CONCATENATE(C71,D71),qdd!$C$2:$F$1000,3,FALSE),"")</f>
        <v/>
      </c>
      <c r="G71" s="2" t="str">
        <f>IFERROR(VLOOKUP(CONCATENATE(C71,D71),qdd!$C$2:$F$1000,4,FALSE),"")</f>
        <v/>
      </c>
      <c r="H71" s="6" t="str">
        <f t="shared" si="4"/>
        <v/>
      </c>
      <c r="I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" s="2" t="str">
        <f>IFERROR(IF('PREENCHER AQUI'!E71="","",'PREENCHER AQUI'!E71),"")</f>
        <v/>
      </c>
      <c r="K71" s="2" t="str">
        <f>IFERROR(IF('PREENCHER AQUI'!F71="","",'PREENCHER AQUI'!F71),"")</f>
        <v/>
      </c>
      <c r="L71" s="2" t="str">
        <f>IF(Tabela1[[#This Row],[IPU_COD]]=9,"91",IF(Tabela1[[#This Row],[ACAO_COD]]="","",VLOOKUP(CONCATENATE("G",J71,"M",K71),qdd!$BC$2:$BD$46,2,FALSE)))</f>
        <v/>
      </c>
      <c r="M71" s="2" t="str">
        <f>TEXT(IFERROR(VLOOKUP(CONCATENATE(C71,D71),qdd!$C$2:$G$1000,5,FALSE),""),0)</f>
        <v/>
      </c>
      <c r="N71" s="2" t="str">
        <f>IFERROR(IF('PREENCHER AQUI'!I71="","",'PREENCHER AQUI'!I71),"")</f>
        <v/>
      </c>
      <c r="O71" s="2" t="str">
        <f>IFERROR(IF('PREENCHER AQUI'!J71="","",'PREENCHER AQUI'!J71),"")</f>
        <v/>
      </c>
      <c r="P71" s="7" t="str">
        <f t="shared" si="5"/>
        <v/>
      </c>
      <c r="Q71" s="8" t="str">
        <f>IFERROR(IF(Tabela4[[#This Row],[VALOR]]="","",IF(Tabela1[[#This Row],[ORIENTACAO]]="Anular",'PREENCHER AQUI'!K71*-1*100,'PREENCHER AQUI'!K71*100)),"")</f>
        <v/>
      </c>
      <c r="T71" s="7" t="str">
        <f>IFERROR(IF('PREENCHER AQUI'!L71="","999",LEFT('PREENCHER AQUI'!L71,1)),"")</f>
        <v>999</v>
      </c>
      <c r="V71" s="19"/>
      <c r="W71" s="1" t="str">
        <f>IFERROR(VLOOKUP(Tabela1[[#This Row],[UO_COD]],qdd!$AT$1:$AU$102,2,FALSE),"")</f>
        <v/>
      </c>
      <c r="X71" s="1" t="str">
        <f>CONCATENATE("F",Tabela1[[#This Row],[FONTE_COD]],Tabela1[[#This Row],[IPU_COD]],"G",Tabela1[[#This Row],[GRUPO_COD]],"T",Tabela1[[#This Row],[TIPO]])</f>
        <v>FGT999</v>
      </c>
      <c r="Y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" s="19"/>
      <c r="AA71" s="29" t="str">
        <f>IFERROR(VLOOKUP(CONCATENATE("B",Tabela1[[#This Row],[BLOCO]],Tabela1[[#This Row],[UO_COD]]),qdd!$AW$2:$AX$1000,2,FALSE),"")</f>
        <v/>
      </c>
      <c r="AB71" s="30" t="str">
        <f>IFERROR(Tabela1[[#This Row],[VALOR]]/100,"")</f>
        <v/>
      </c>
      <c r="AC71" s="7" t="str" cm="1">
        <f t="array" aca="1" ref="AC71" ca="1">IF(Tabela1[[#This Row],[VALOR]]&lt;0,"",IFERROR(SUBSTITUTE(Converter_numero(Tabela1[[#This Row],[VALOR INCISO]]),",",""),""))</f>
        <v/>
      </c>
      <c r="AD71" s="29" t="str">
        <f>IF(Tabela1[[#This Row],[TIPO]]=REGRAS!$W$2,REGRAS!$X$2,IF(Tabela1[[#This Row],[TIPO]]=REGRAS!$W$4,REGRAS!$X$4,""))</f>
        <v/>
      </c>
      <c r="AE71" s="29" t="e">
        <f>VLOOKUP(Tabela1[[#This Row],[FONTE_COD]],REGRAS!$O$2:$P$69,2,FALSE)</f>
        <v>#N/A</v>
      </c>
      <c r="AF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" spans="1:32" ht="18.75" customHeight="1">
      <c r="A72" s="2" t="str">
        <f>IFERROR(IF('PREENCHER AQUI'!A72="","",'PREENCHER AQUI'!A72),"")</f>
        <v/>
      </c>
      <c r="B72" s="1" t="str">
        <f>IFERROR(IF('PREENCHER AQUI'!B72="","",PROPER('PREENCHER AQUI'!B72)),"")</f>
        <v/>
      </c>
      <c r="C72" s="1" t="str">
        <f>IFERROR(IF('PREENCHER AQUI'!C72="","",'PREENCHER AQUI'!C72),"")</f>
        <v/>
      </c>
      <c r="D72" s="2" t="str">
        <f>IFERROR(IF('PREENCHER AQUI'!D72="","",'PREENCHER AQUI'!D72),"")</f>
        <v/>
      </c>
      <c r="E72" s="2" t="str">
        <f>IFERROR(VLOOKUP(CONCATENATE(C72,D72),qdd!$C$2:$F$1000,2,FALSE),"")</f>
        <v/>
      </c>
      <c r="F72" s="2" t="str">
        <f>IFERROR(VLOOKUP(CONCATENATE(C72,D72),qdd!$C$2:$F$1000,3,FALSE),"")</f>
        <v/>
      </c>
      <c r="G72" s="2" t="str">
        <f>IFERROR(VLOOKUP(CONCATENATE(C72,D72),qdd!$C$2:$F$1000,4,FALSE),"")</f>
        <v/>
      </c>
      <c r="H72" s="6" t="str">
        <f t="shared" si="4"/>
        <v/>
      </c>
      <c r="I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" s="2" t="str">
        <f>IFERROR(IF('PREENCHER AQUI'!E72="","",'PREENCHER AQUI'!E72),"")</f>
        <v/>
      </c>
      <c r="K72" s="2" t="str">
        <f>IFERROR(IF('PREENCHER AQUI'!F72="","",'PREENCHER AQUI'!F72),"")</f>
        <v/>
      </c>
      <c r="L72" s="2" t="str">
        <f>IF(Tabela1[[#This Row],[IPU_COD]]=9,"91",IF(Tabela1[[#This Row],[ACAO_COD]]="","",VLOOKUP(CONCATENATE("G",J72,"M",K72),qdd!$BC$2:$BD$46,2,FALSE)))</f>
        <v/>
      </c>
      <c r="M72" s="2" t="str">
        <f>TEXT(IFERROR(VLOOKUP(CONCATENATE(C72,D72),qdd!$C$2:$G$1000,5,FALSE),""),0)</f>
        <v/>
      </c>
      <c r="N72" s="2" t="str">
        <f>IFERROR(IF('PREENCHER AQUI'!I72="","",'PREENCHER AQUI'!I72),"")</f>
        <v/>
      </c>
      <c r="O72" s="2" t="str">
        <f>IFERROR(IF('PREENCHER AQUI'!J72="","",'PREENCHER AQUI'!J72),"")</f>
        <v/>
      </c>
      <c r="P72" s="7" t="str">
        <f t="shared" si="5"/>
        <v/>
      </c>
      <c r="Q72" s="8" t="str">
        <f>IFERROR(IF(Tabela4[[#This Row],[VALOR]]="","",IF(Tabela1[[#This Row],[ORIENTACAO]]="Anular",'PREENCHER AQUI'!K72*-1*100,'PREENCHER AQUI'!K72*100)),"")</f>
        <v/>
      </c>
      <c r="T72" s="7" t="str">
        <f>IFERROR(IF('PREENCHER AQUI'!L72="","999",LEFT('PREENCHER AQUI'!L72,1)),"")</f>
        <v>999</v>
      </c>
      <c r="W72" s="1" t="str">
        <f>IFERROR(VLOOKUP(Tabela1[[#This Row],[UO_COD]],qdd!$AT$1:$AU$102,2,FALSE),"")</f>
        <v/>
      </c>
      <c r="X72" s="1" t="str">
        <f>CONCATENATE("F",Tabela1[[#This Row],[FONTE_COD]],Tabela1[[#This Row],[IPU_COD]],"G",Tabela1[[#This Row],[GRUPO_COD]],"T",Tabela1[[#This Row],[TIPO]])</f>
        <v>FGT999</v>
      </c>
      <c r="Y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" s="19"/>
      <c r="AA72" s="29" t="str">
        <f>IFERROR(VLOOKUP(CONCATENATE("B",Tabela1[[#This Row],[BLOCO]],Tabela1[[#This Row],[UO_COD]]),qdd!$AW$2:$AX$1000,2,FALSE),"")</f>
        <v/>
      </c>
      <c r="AB72" s="30" t="str">
        <f>IFERROR(Tabela1[[#This Row],[VALOR]]/100,"")</f>
        <v/>
      </c>
      <c r="AC72" s="7" t="str" cm="1">
        <f t="array" aca="1" ref="AC72" ca="1">IF(Tabela1[[#This Row],[VALOR]]&lt;0,"",IFERROR(SUBSTITUTE(Converter_numero(Tabela1[[#This Row],[VALOR INCISO]]),",",""),""))</f>
        <v/>
      </c>
      <c r="AD72" s="7" t="str">
        <f>IF(Tabela1[[#This Row],[TIPO]]=REGRAS!$W$2,REGRAS!$X$2,IF(Tabela1[[#This Row],[TIPO]]=REGRAS!$W$4,REGRAS!$X$4,""))</f>
        <v/>
      </c>
      <c r="AE72" s="29" t="e">
        <f>VLOOKUP(Tabela1[[#This Row],[FONTE_COD]],REGRAS!$O$2:$P$69,2,FALSE)</f>
        <v>#N/A</v>
      </c>
      <c r="AF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" spans="1:32" ht="18.75" customHeight="1">
      <c r="A73" s="2" t="str">
        <f>IFERROR(IF('PREENCHER AQUI'!A73="","",'PREENCHER AQUI'!A73),"")</f>
        <v/>
      </c>
      <c r="B73" s="1" t="str">
        <f>IFERROR(IF('PREENCHER AQUI'!B73="","",PROPER('PREENCHER AQUI'!B73)),"")</f>
        <v/>
      </c>
      <c r="C73" s="1" t="str">
        <f>IFERROR(IF('PREENCHER AQUI'!C73="","",'PREENCHER AQUI'!C73),"")</f>
        <v/>
      </c>
      <c r="D73" s="2" t="str">
        <f>IFERROR(IF('PREENCHER AQUI'!D73="","",'PREENCHER AQUI'!D73),"")</f>
        <v/>
      </c>
      <c r="E73" s="2" t="str">
        <f>IFERROR(VLOOKUP(CONCATENATE(C73,D73),qdd!$C$2:$F$1000,2,FALSE),"")</f>
        <v/>
      </c>
      <c r="F73" s="2" t="str">
        <f>IFERROR(VLOOKUP(CONCATENATE(C73,D73),qdd!$C$2:$F$1000,3,FALSE),"")</f>
        <v/>
      </c>
      <c r="G73" s="2" t="str">
        <f>IFERROR(VLOOKUP(CONCATENATE(C73,D73),qdd!$C$2:$F$1000,4,FALSE),"")</f>
        <v/>
      </c>
      <c r="H73" s="6" t="str">
        <f t="shared" si="4"/>
        <v/>
      </c>
      <c r="I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" s="2" t="str">
        <f>IFERROR(IF('PREENCHER AQUI'!E73="","",'PREENCHER AQUI'!E73),"")</f>
        <v/>
      </c>
      <c r="K73" s="2" t="str">
        <f>IFERROR(IF('PREENCHER AQUI'!F73="","",'PREENCHER AQUI'!F73),"")</f>
        <v/>
      </c>
      <c r="L73" s="2" t="str">
        <f>IF(Tabela1[[#This Row],[IPU_COD]]=9,"91",IF(Tabela1[[#This Row],[ACAO_COD]]="","",VLOOKUP(CONCATENATE("G",J73,"M",K73),qdd!$BC$2:$BD$46,2,FALSE)))</f>
        <v/>
      </c>
      <c r="M73" s="2" t="str">
        <f>TEXT(IFERROR(VLOOKUP(CONCATENATE(C73,D73),qdd!$C$2:$G$1000,5,FALSE),""),0)</f>
        <v/>
      </c>
      <c r="N73" s="2" t="str">
        <f>IFERROR(IF('PREENCHER AQUI'!I73="","",'PREENCHER AQUI'!I73),"")</f>
        <v/>
      </c>
      <c r="O73" s="2" t="str">
        <f>IFERROR(IF('PREENCHER AQUI'!J73="","",'PREENCHER AQUI'!J73),"")</f>
        <v/>
      </c>
      <c r="P73" s="7" t="str">
        <f t="shared" si="5"/>
        <v/>
      </c>
      <c r="Q73" s="8" t="str">
        <f>IFERROR(IF(Tabela4[[#This Row],[VALOR]]="","",IF(Tabela1[[#This Row],[ORIENTACAO]]="Anular",'PREENCHER AQUI'!K73*-1*100,'PREENCHER AQUI'!K73*100)),"")</f>
        <v/>
      </c>
      <c r="T73" s="7" t="str">
        <f>IFERROR(IF('PREENCHER AQUI'!L73="","999",LEFT('PREENCHER AQUI'!L73,1)),"")</f>
        <v>999</v>
      </c>
      <c r="V73" s="19"/>
      <c r="W73" s="1" t="str">
        <f>IFERROR(VLOOKUP(Tabela1[[#This Row],[UO_COD]],qdd!$AT$1:$AU$102,2,FALSE),"")</f>
        <v/>
      </c>
      <c r="X73" s="1" t="str">
        <f>CONCATENATE("F",Tabela1[[#This Row],[FONTE_COD]],Tabela1[[#This Row],[IPU_COD]],"G",Tabela1[[#This Row],[GRUPO_COD]],"T",Tabela1[[#This Row],[TIPO]])</f>
        <v>FGT999</v>
      </c>
      <c r="Y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" s="19"/>
      <c r="AA73" s="29" t="str">
        <f>IFERROR(VLOOKUP(CONCATENATE("B",Tabela1[[#This Row],[BLOCO]],Tabela1[[#This Row],[UO_COD]]),qdd!$AW$2:$AX$1000,2,FALSE),"")</f>
        <v/>
      </c>
      <c r="AB73" s="30" t="str">
        <f>IFERROR(Tabela1[[#This Row],[VALOR]]/100,"")</f>
        <v/>
      </c>
      <c r="AC73" s="7" t="str" cm="1">
        <f t="array" aca="1" ref="AC73" ca="1">IF(Tabela1[[#This Row],[VALOR]]&lt;0,"",IFERROR(SUBSTITUTE(Converter_numero(Tabela1[[#This Row],[VALOR INCISO]]),",",""),""))</f>
        <v/>
      </c>
      <c r="AD73" s="29" t="str">
        <f>IF(Tabela1[[#This Row],[TIPO]]=REGRAS!$W$2,REGRAS!$X$2,IF(Tabela1[[#This Row],[TIPO]]=REGRAS!$W$4,REGRAS!$X$4,""))</f>
        <v/>
      </c>
      <c r="AE73" s="29" t="e">
        <f>VLOOKUP(Tabela1[[#This Row],[FONTE_COD]],REGRAS!$O$2:$P$69,2,FALSE)</f>
        <v>#N/A</v>
      </c>
      <c r="AF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" spans="1:32" ht="18.75" customHeight="1">
      <c r="A74" s="2" t="str">
        <f>IFERROR(IF('PREENCHER AQUI'!A74="","",'PREENCHER AQUI'!A74),"")</f>
        <v/>
      </c>
      <c r="B74" s="1" t="str">
        <f>IFERROR(IF('PREENCHER AQUI'!B74="","",PROPER('PREENCHER AQUI'!B74)),"")</f>
        <v/>
      </c>
      <c r="C74" s="1" t="str">
        <f>IFERROR(IF('PREENCHER AQUI'!C74="","",'PREENCHER AQUI'!C74),"")</f>
        <v/>
      </c>
      <c r="D74" s="2" t="str">
        <f>IFERROR(IF('PREENCHER AQUI'!D74="","",'PREENCHER AQUI'!D74),"")</f>
        <v/>
      </c>
      <c r="E74" s="2" t="str">
        <f>IFERROR(VLOOKUP(CONCATENATE(C74,D74),qdd!$C$2:$F$1000,2,FALSE),"")</f>
        <v/>
      </c>
      <c r="F74" s="2" t="str">
        <f>IFERROR(VLOOKUP(CONCATENATE(C74,D74),qdd!$C$2:$F$1000,3,FALSE),"")</f>
        <v/>
      </c>
      <c r="G74" s="2" t="str">
        <f>IFERROR(VLOOKUP(CONCATENATE(C74,D74),qdd!$C$2:$F$1000,4,FALSE),"")</f>
        <v/>
      </c>
      <c r="H74" s="6" t="str">
        <f t="shared" si="4"/>
        <v/>
      </c>
      <c r="I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" s="2" t="str">
        <f>IFERROR(IF('PREENCHER AQUI'!E74="","",'PREENCHER AQUI'!E74),"")</f>
        <v/>
      </c>
      <c r="K74" s="2" t="str">
        <f>IFERROR(IF('PREENCHER AQUI'!F74="","",'PREENCHER AQUI'!F74),"")</f>
        <v/>
      </c>
      <c r="L74" s="2" t="str">
        <f>IF(Tabela1[[#This Row],[IPU_COD]]=9,"91",IF(Tabela1[[#This Row],[ACAO_COD]]="","",VLOOKUP(CONCATENATE("G",J74,"M",K74),qdd!$BC$2:$BD$46,2,FALSE)))</f>
        <v/>
      </c>
      <c r="M74" s="2" t="str">
        <f>TEXT(IFERROR(VLOOKUP(CONCATENATE(C74,D74),qdd!$C$2:$G$1000,5,FALSE),""),0)</f>
        <v/>
      </c>
      <c r="N74" s="2" t="str">
        <f>IFERROR(IF('PREENCHER AQUI'!I74="","",'PREENCHER AQUI'!I74),"")</f>
        <v/>
      </c>
      <c r="O74" s="2" t="str">
        <f>IFERROR(IF('PREENCHER AQUI'!J74="","",'PREENCHER AQUI'!J74),"")</f>
        <v/>
      </c>
      <c r="P74" s="7" t="str">
        <f t="shared" si="5"/>
        <v/>
      </c>
      <c r="Q74" s="8" t="str">
        <f>IFERROR(IF(Tabela4[[#This Row],[VALOR]]="","",IF(Tabela1[[#This Row],[ORIENTACAO]]="Anular",'PREENCHER AQUI'!K74*-1*100,'PREENCHER AQUI'!K74*100)),"")</f>
        <v/>
      </c>
      <c r="T74" s="7" t="str">
        <f>IFERROR(IF('PREENCHER AQUI'!L74="","999",LEFT('PREENCHER AQUI'!L74,1)),"")</f>
        <v>999</v>
      </c>
      <c r="V74" s="19"/>
      <c r="W74" s="1" t="str">
        <f>IFERROR(VLOOKUP(Tabela1[[#This Row],[UO_COD]],qdd!$AT$1:$AU$102,2,FALSE),"")</f>
        <v/>
      </c>
      <c r="X74" s="1" t="str">
        <f>CONCATENATE("F",Tabela1[[#This Row],[FONTE_COD]],Tabela1[[#This Row],[IPU_COD]],"G",Tabela1[[#This Row],[GRUPO_COD]],"T",Tabela1[[#This Row],[TIPO]])</f>
        <v>FGT999</v>
      </c>
      <c r="Y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" s="19"/>
      <c r="AA74" s="29" t="str">
        <f>IFERROR(VLOOKUP(CONCATENATE("B",Tabela1[[#This Row],[BLOCO]],Tabela1[[#This Row],[UO_COD]]),qdd!$AW$2:$AX$1000,2,FALSE),"")</f>
        <v/>
      </c>
      <c r="AB74" s="30" t="str">
        <f>IFERROR(Tabela1[[#This Row],[VALOR]]/100,"")</f>
        <v/>
      </c>
      <c r="AC74" s="7" t="str" cm="1">
        <f t="array" aca="1" ref="AC74" ca="1">IF(Tabela1[[#This Row],[VALOR]]&lt;0,"",IFERROR(SUBSTITUTE(Converter_numero(Tabela1[[#This Row],[VALOR INCISO]]),",",""),""))</f>
        <v/>
      </c>
      <c r="AD74" s="29" t="str">
        <f>IF(Tabela1[[#This Row],[TIPO]]=REGRAS!$W$2,REGRAS!$X$2,IF(Tabela1[[#This Row],[TIPO]]=REGRAS!$W$4,REGRAS!$X$4,""))</f>
        <v/>
      </c>
      <c r="AE74" s="29" t="e">
        <f>VLOOKUP(Tabela1[[#This Row],[FONTE_COD]],REGRAS!$O$2:$P$69,2,FALSE)</f>
        <v>#N/A</v>
      </c>
      <c r="AF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" spans="1:32" ht="18.75" customHeight="1">
      <c r="A75" s="2" t="str">
        <f>IFERROR(IF('PREENCHER AQUI'!A75="","",'PREENCHER AQUI'!A75),"")</f>
        <v/>
      </c>
      <c r="B75" s="1" t="str">
        <f>IFERROR(IF('PREENCHER AQUI'!B75="","",PROPER('PREENCHER AQUI'!B75)),"")</f>
        <v/>
      </c>
      <c r="C75" s="1" t="str">
        <f>IFERROR(IF('PREENCHER AQUI'!C75="","",'PREENCHER AQUI'!C75),"")</f>
        <v/>
      </c>
      <c r="D75" s="2" t="str">
        <f>IFERROR(IF('PREENCHER AQUI'!D75="","",'PREENCHER AQUI'!D75),"")</f>
        <v/>
      </c>
      <c r="E75" s="2" t="str">
        <f>IFERROR(VLOOKUP(CONCATENATE(C75,D75),qdd!$C$2:$F$1000,2,FALSE),"")</f>
        <v/>
      </c>
      <c r="F75" s="2" t="str">
        <f>IFERROR(VLOOKUP(CONCATENATE(C75,D75),qdd!$C$2:$F$1000,3,FALSE),"")</f>
        <v/>
      </c>
      <c r="G75" s="2" t="str">
        <f>IFERROR(VLOOKUP(CONCATENATE(C75,D75),qdd!$C$2:$F$1000,4,FALSE),"")</f>
        <v/>
      </c>
      <c r="H75" s="6" t="str">
        <f t="shared" si="4"/>
        <v/>
      </c>
      <c r="I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" s="2" t="str">
        <f>IFERROR(IF('PREENCHER AQUI'!E75="","",'PREENCHER AQUI'!E75),"")</f>
        <v/>
      </c>
      <c r="K75" s="2" t="str">
        <f>IFERROR(IF('PREENCHER AQUI'!F75="","",'PREENCHER AQUI'!F75),"")</f>
        <v/>
      </c>
      <c r="L75" s="2" t="str">
        <f>IF(Tabela1[[#This Row],[IPU_COD]]=9,"91",IF(Tabela1[[#This Row],[ACAO_COD]]="","",VLOOKUP(CONCATENATE("G",J75,"M",K75),qdd!$BC$2:$BD$46,2,FALSE)))</f>
        <v/>
      </c>
      <c r="M75" s="2" t="str">
        <f>TEXT(IFERROR(VLOOKUP(CONCATENATE(C75,D75),qdd!$C$2:$G$1000,5,FALSE),""),0)</f>
        <v/>
      </c>
      <c r="N75" s="2" t="str">
        <f>IFERROR(IF('PREENCHER AQUI'!I75="","",'PREENCHER AQUI'!I75),"")</f>
        <v/>
      </c>
      <c r="O75" s="2" t="str">
        <f>IFERROR(IF('PREENCHER AQUI'!J75="","",'PREENCHER AQUI'!J75),"")</f>
        <v/>
      </c>
      <c r="P75" s="7" t="str">
        <f t="shared" si="5"/>
        <v/>
      </c>
      <c r="Q75" s="8" t="str">
        <f>IFERROR(IF(Tabela4[[#This Row],[VALOR]]="","",IF(Tabela1[[#This Row],[ORIENTACAO]]="Anular",'PREENCHER AQUI'!K75*-1*100,'PREENCHER AQUI'!K75*100)),"")</f>
        <v/>
      </c>
      <c r="T75" s="7" t="str">
        <f>IFERROR(IF('PREENCHER AQUI'!L75="","999",LEFT('PREENCHER AQUI'!L75,1)),"")</f>
        <v>999</v>
      </c>
      <c r="V75" s="19"/>
      <c r="W75" s="20" t="str">
        <f>IFERROR(VLOOKUP(Tabela1[[#This Row],[UO_COD]],qdd!$AT$1:$AU$102,2,FALSE),"")</f>
        <v/>
      </c>
      <c r="X75" s="20" t="str">
        <f>CONCATENATE("F",Tabela1[[#This Row],[FONTE_COD]],Tabela1[[#This Row],[IPU_COD]],"G",Tabela1[[#This Row],[GRUPO_COD]],"T",Tabela1[[#This Row],[TIPO]])</f>
        <v>FGT999</v>
      </c>
      <c r="Y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" s="19"/>
      <c r="AA75" s="29" t="str">
        <f>IFERROR(VLOOKUP(CONCATENATE("B",Tabela1[[#This Row],[BLOCO]],Tabela1[[#This Row],[UO_COD]]),qdd!$AW$2:$AX$1000,2,FALSE),"")</f>
        <v/>
      </c>
      <c r="AB75" s="30" t="str">
        <f>IFERROR(Tabela1[[#This Row],[VALOR]]/100,"")</f>
        <v/>
      </c>
      <c r="AC75" s="7" t="str" cm="1">
        <f t="array" aca="1" ref="AC75" ca="1">IF(Tabela1[[#This Row],[VALOR]]&lt;0,"",IFERROR(SUBSTITUTE(Converter_numero(Tabela1[[#This Row],[VALOR INCISO]]),",",""),""))</f>
        <v/>
      </c>
      <c r="AD75" s="29" t="str">
        <f>IF(Tabela1[[#This Row],[TIPO]]=REGRAS!$W$2,REGRAS!$X$2,IF(Tabela1[[#This Row],[TIPO]]=REGRAS!$W$4,REGRAS!$X$4,""))</f>
        <v/>
      </c>
      <c r="AE75" s="29" t="e">
        <f>VLOOKUP(Tabela1[[#This Row],[FONTE_COD]],REGRAS!$O$2:$P$69,2,FALSE)</f>
        <v>#N/A</v>
      </c>
      <c r="AF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" spans="1:32" ht="18.75" customHeight="1">
      <c r="A76" s="2" t="str">
        <f>IFERROR(IF('PREENCHER AQUI'!A76="","",'PREENCHER AQUI'!A76),"")</f>
        <v/>
      </c>
      <c r="B76" s="1" t="str">
        <f>IFERROR(IF('PREENCHER AQUI'!B76="","",PROPER('PREENCHER AQUI'!B76)),"")</f>
        <v/>
      </c>
      <c r="C76" s="1" t="str">
        <f>IFERROR(IF('PREENCHER AQUI'!C76="","",'PREENCHER AQUI'!C76),"")</f>
        <v/>
      </c>
      <c r="D76" s="2" t="str">
        <f>IFERROR(IF('PREENCHER AQUI'!D76="","",'PREENCHER AQUI'!D76),"")</f>
        <v/>
      </c>
      <c r="E76" s="2" t="str">
        <f>IFERROR(VLOOKUP(CONCATENATE(C76,D76),qdd!$C$2:$F$1000,2,FALSE),"")</f>
        <v/>
      </c>
      <c r="F76" s="2" t="str">
        <f>IFERROR(VLOOKUP(CONCATENATE(C76,D76),qdd!$C$2:$F$1000,3,FALSE),"")</f>
        <v/>
      </c>
      <c r="G76" s="2" t="str">
        <f>IFERROR(VLOOKUP(CONCATENATE(C76,D76),qdd!$C$2:$F$1000,4,FALSE),"")</f>
        <v/>
      </c>
      <c r="H76" s="6" t="str">
        <f t="shared" si="4"/>
        <v/>
      </c>
      <c r="I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" s="2" t="str">
        <f>IFERROR(IF('PREENCHER AQUI'!E76="","",'PREENCHER AQUI'!E76),"")</f>
        <v/>
      </c>
      <c r="K76" s="2" t="str">
        <f>IFERROR(IF('PREENCHER AQUI'!F76="","",'PREENCHER AQUI'!F76),"")</f>
        <v/>
      </c>
      <c r="L76" s="2" t="str">
        <f>IF(Tabela1[[#This Row],[IPU_COD]]=9,"91",IF(Tabela1[[#This Row],[ACAO_COD]]="","",VLOOKUP(CONCATENATE("G",J76,"M",K76),qdd!$BC$2:$BD$46,2,FALSE)))</f>
        <v/>
      </c>
      <c r="M76" s="2" t="str">
        <f>TEXT(IFERROR(VLOOKUP(CONCATENATE(C76,D76),qdd!$C$2:$G$1000,5,FALSE),""),0)</f>
        <v/>
      </c>
      <c r="N76" s="2" t="str">
        <f>IFERROR(IF('PREENCHER AQUI'!I76="","",'PREENCHER AQUI'!I76),"")</f>
        <v/>
      </c>
      <c r="O76" s="2" t="str">
        <f>IFERROR(IF('PREENCHER AQUI'!J76="","",'PREENCHER AQUI'!J76),"")</f>
        <v/>
      </c>
      <c r="P76" s="7" t="str">
        <f t="shared" si="5"/>
        <v/>
      </c>
      <c r="Q76" s="8" t="str">
        <f>IFERROR(IF(Tabela4[[#This Row],[VALOR]]="","",IF(Tabela1[[#This Row],[ORIENTACAO]]="Anular",'PREENCHER AQUI'!K76*-1*100,'PREENCHER AQUI'!K76*100)),"")</f>
        <v/>
      </c>
      <c r="T76" s="7" t="str">
        <f>IFERROR(IF('PREENCHER AQUI'!L76="","999",LEFT('PREENCHER AQUI'!L76,1)),"")</f>
        <v>999</v>
      </c>
      <c r="V76" s="19"/>
      <c r="W76" s="1" t="str">
        <f>IFERROR(VLOOKUP(Tabela1[[#This Row],[UO_COD]],qdd!$AT$1:$AU$102,2,FALSE),"")</f>
        <v/>
      </c>
      <c r="X76" s="1" t="str">
        <f>CONCATENATE("F",Tabela1[[#This Row],[FONTE_COD]],Tabela1[[#This Row],[IPU_COD]],"G",Tabela1[[#This Row],[GRUPO_COD]],"T",Tabela1[[#This Row],[TIPO]])</f>
        <v>FGT999</v>
      </c>
      <c r="Y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" s="19"/>
      <c r="AA76" s="29" t="str">
        <f>IFERROR(VLOOKUP(CONCATENATE("B",Tabela1[[#This Row],[BLOCO]],Tabela1[[#This Row],[UO_COD]]),qdd!$AW$2:$AX$1000,2,FALSE),"")</f>
        <v/>
      </c>
      <c r="AB76" s="30" t="str">
        <f>IFERROR(Tabela1[[#This Row],[VALOR]]/100,"")</f>
        <v/>
      </c>
      <c r="AC76" s="7" t="str" cm="1">
        <f t="array" aca="1" ref="AC76" ca="1">IF(Tabela1[[#This Row],[VALOR]]&lt;0,"",IFERROR(SUBSTITUTE(Converter_numero(Tabela1[[#This Row],[VALOR INCISO]]),",",""),""))</f>
        <v/>
      </c>
      <c r="AD76" s="29" t="str">
        <f>IF(Tabela1[[#This Row],[TIPO]]=REGRAS!$W$2,REGRAS!$X$2,IF(Tabela1[[#This Row],[TIPO]]=REGRAS!$W$4,REGRAS!$X$4,""))</f>
        <v/>
      </c>
      <c r="AE76" s="29" t="e">
        <f>VLOOKUP(Tabela1[[#This Row],[FONTE_COD]],REGRAS!$O$2:$P$69,2,FALSE)</f>
        <v>#N/A</v>
      </c>
      <c r="AF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" spans="1:32" ht="18.75" customHeight="1">
      <c r="A77" s="2" t="str">
        <f>IFERROR(IF('PREENCHER AQUI'!A77="","",'PREENCHER AQUI'!A77),"")</f>
        <v/>
      </c>
      <c r="B77" s="1" t="str">
        <f>IFERROR(IF('PREENCHER AQUI'!B77="","",PROPER('PREENCHER AQUI'!B77)),"")</f>
        <v/>
      </c>
      <c r="C77" s="1" t="str">
        <f>IFERROR(IF('PREENCHER AQUI'!C77="","",'PREENCHER AQUI'!C77),"")</f>
        <v/>
      </c>
      <c r="D77" s="2" t="str">
        <f>IFERROR(IF('PREENCHER AQUI'!D77="","",'PREENCHER AQUI'!D77),"")</f>
        <v/>
      </c>
      <c r="E77" s="2" t="str">
        <f>IFERROR(VLOOKUP(CONCATENATE(C77,D77),qdd!$C$2:$F$1000,2,FALSE),"")</f>
        <v/>
      </c>
      <c r="F77" s="2" t="str">
        <f>IFERROR(VLOOKUP(CONCATENATE(C77,D77),qdd!$C$2:$F$1000,3,FALSE),"")</f>
        <v/>
      </c>
      <c r="G77" s="2" t="str">
        <f>IFERROR(VLOOKUP(CONCATENATE(C77,D77),qdd!$C$2:$F$1000,4,FALSE),"")</f>
        <v/>
      </c>
      <c r="H77" s="6" t="str">
        <f t="shared" si="4"/>
        <v/>
      </c>
      <c r="I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" s="2" t="str">
        <f>IFERROR(IF('PREENCHER AQUI'!E77="","",'PREENCHER AQUI'!E77),"")</f>
        <v/>
      </c>
      <c r="K77" s="2" t="str">
        <f>IFERROR(IF('PREENCHER AQUI'!F77="","",'PREENCHER AQUI'!F77),"")</f>
        <v/>
      </c>
      <c r="L77" s="2" t="str">
        <f>IF(Tabela1[[#This Row],[IPU_COD]]=9,"91",IF(Tabela1[[#This Row],[ACAO_COD]]="","",VLOOKUP(CONCATENATE("G",J77,"M",K77),qdd!$BC$2:$BD$46,2,FALSE)))</f>
        <v/>
      </c>
      <c r="M77" s="2" t="str">
        <f>TEXT(IFERROR(VLOOKUP(CONCATENATE(C77,D77),qdd!$C$2:$G$1000,5,FALSE),""),0)</f>
        <v/>
      </c>
      <c r="N77" s="2" t="str">
        <f>IFERROR(IF('PREENCHER AQUI'!I77="","",'PREENCHER AQUI'!I77),"")</f>
        <v/>
      </c>
      <c r="O77" s="2" t="str">
        <f>IFERROR(IF('PREENCHER AQUI'!J77="","",'PREENCHER AQUI'!J77),"")</f>
        <v/>
      </c>
      <c r="P77" s="7" t="str">
        <f t="shared" si="5"/>
        <v/>
      </c>
      <c r="Q77" s="8" t="str">
        <f>IFERROR(IF(Tabela4[[#This Row],[VALOR]]="","",IF(Tabela1[[#This Row],[ORIENTACAO]]="Anular",'PREENCHER AQUI'!K77*-1*100,'PREENCHER AQUI'!K77*100)),"")</f>
        <v/>
      </c>
      <c r="T77" s="7" t="str">
        <f>IFERROR(IF('PREENCHER AQUI'!L77="","999",LEFT('PREENCHER AQUI'!L77,1)),"")</f>
        <v>999</v>
      </c>
      <c r="W77" s="1" t="str">
        <f>IFERROR(VLOOKUP(Tabela1[[#This Row],[UO_COD]],qdd!$AT$1:$AU$102,2,FALSE),"")</f>
        <v/>
      </c>
      <c r="X77" s="1" t="str">
        <f>CONCATENATE("F",Tabela1[[#This Row],[FONTE_COD]],Tabela1[[#This Row],[IPU_COD]],"G",Tabela1[[#This Row],[GRUPO_COD]],"T",Tabela1[[#This Row],[TIPO]])</f>
        <v>FGT999</v>
      </c>
      <c r="Y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" s="19"/>
      <c r="AA77" s="29" t="str">
        <f>IFERROR(VLOOKUP(CONCATENATE("B",Tabela1[[#This Row],[BLOCO]],Tabela1[[#This Row],[UO_COD]]),qdd!$AW$2:$AX$1000,2,FALSE),"")</f>
        <v/>
      </c>
      <c r="AB77" s="30" t="str">
        <f>IFERROR(Tabela1[[#This Row],[VALOR]]/100,"")</f>
        <v/>
      </c>
      <c r="AC77" s="7" t="str" cm="1">
        <f t="array" aca="1" ref="AC77" ca="1">IF(Tabela1[[#This Row],[VALOR]]&lt;0,"",IFERROR(SUBSTITUTE(Converter_numero(Tabela1[[#This Row],[VALOR INCISO]]),",",""),""))</f>
        <v/>
      </c>
      <c r="AD77" s="7" t="str">
        <f>IF(Tabela1[[#This Row],[TIPO]]=REGRAS!$W$2,REGRAS!$X$2,IF(Tabela1[[#This Row],[TIPO]]=REGRAS!$W$4,REGRAS!$X$4,""))</f>
        <v/>
      </c>
      <c r="AE77" s="29" t="e">
        <f>VLOOKUP(Tabela1[[#This Row],[FONTE_COD]],REGRAS!$O$2:$P$69,2,FALSE)</f>
        <v>#N/A</v>
      </c>
      <c r="AF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" spans="1:32" ht="18.75" customHeight="1">
      <c r="A78" s="2" t="str">
        <f>IFERROR(IF('PREENCHER AQUI'!A78="","",'PREENCHER AQUI'!A78),"")</f>
        <v/>
      </c>
      <c r="B78" s="1" t="str">
        <f>IFERROR(IF('PREENCHER AQUI'!B78="","",PROPER('PREENCHER AQUI'!B78)),"")</f>
        <v/>
      </c>
      <c r="C78" s="1" t="str">
        <f>IFERROR(IF('PREENCHER AQUI'!C78="","",'PREENCHER AQUI'!C78),"")</f>
        <v/>
      </c>
      <c r="D78" s="2" t="str">
        <f>IFERROR(IF('PREENCHER AQUI'!D78="","",'PREENCHER AQUI'!D78),"")</f>
        <v/>
      </c>
      <c r="E78" s="2" t="str">
        <f>IFERROR(VLOOKUP(CONCATENATE(C78,D78),qdd!$C$2:$F$1000,2,FALSE),"")</f>
        <v/>
      </c>
      <c r="F78" s="2" t="str">
        <f>IFERROR(VLOOKUP(CONCATENATE(C78,D78),qdd!$C$2:$F$1000,3,FALSE),"")</f>
        <v/>
      </c>
      <c r="G78" s="2" t="str">
        <f>IFERROR(VLOOKUP(CONCATENATE(C78,D78),qdd!$C$2:$F$1000,4,FALSE),"")</f>
        <v/>
      </c>
      <c r="H78" s="6" t="str">
        <f t="shared" si="4"/>
        <v/>
      </c>
      <c r="I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" s="2" t="str">
        <f>IFERROR(IF('PREENCHER AQUI'!E78="","",'PREENCHER AQUI'!E78),"")</f>
        <v/>
      </c>
      <c r="K78" s="2" t="str">
        <f>IFERROR(IF('PREENCHER AQUI'!F78="","",'PREENCHER AQUI'!F78),"")</f>
        <v/>
      </c>
      <c r="L78" s="2" t="str">
        <f>IF(Tabela1[[#This Row],[IPU_COD]]=9,"91",IF(Tabela1[[#This Row],[ACAO_COD]]="","",VLOOKUP(CONCATENATE("G",J78,"M",K78),qdd!$BC$2:$BD$46,2,FALSE)))</f>
        <v/>
      </c>
      <c r="M78" s="2" t="str">
        <f>TEXT(IFERROR(VLOOKUP(CONCATENATE(C78,D78),qdd!$C$2:$G$1000,5,FALSE),""),0)</f>
        <v/>
      </c>
      <c r="N78" s="2" t="str">
        <f>IFERROR(IF('PREENCHER AQUI'!I78="","",'PREENCHER AQUI'!I78),"")</f>
        <v/>
      </c>
      <c r="O78" s="2" t="str">
        <f>IFERROR(IF('PREENCHER AQUI'!J78="","",'PREENCHER AQUI'!J78),"")</f>
        <v/>
      </c>
      <c r="P78" s="7" t="str">
        <f t="shared" si="5"/>
        <v/>
      </c>
      <c r="Q78" s="8" t="str">
        <f>IFERROR(IF(Tabela4[[#This Row],[VALOR]]="","",IF(Tabela1[[#This Row],[ORIENTACAO]]="Anular",'PREENCHER AQUI'!K78*-1*100,'PREENCHER AQUI'!K78*100)),"")</f>
        <v/>
      </c>
      <c r="T78" s="7" t="str">
        <f>IFERROR(IF('PREENCHER AQUI'!L78="","999",LEFT('PREENCHER AQUI'!L78,1)),"")</f>
        <v>999</v>
      </c>
      <c r="V78" s="19"/>
      <c r="W78" s="1" t="str">
        <f>IFERROR(VLOOKUP(Tabela1[[#This Row],[UO_COD]],qdd!$AT$1:$AU$102,2,FALSE),"")</f>
        <v/>
      </c>
      <c r="X78" s="1" t="str">
        <f>CONCATENATE("F",Tabela1[[#This Row],[FONTE_COD]],Tabela1[[#This Row],[IPU_COD]],"G",Tabela1[[#This Row],[GRUPO_COD]],"T",Tabela1[[#This Row],[TIPO]])</f>
        <v>FGT999</v>
      </c>
      <c r="Y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" s="19"/>
      <c r="AA78" s="29" t="str">
        <f>IFERROR(VLOOKUP(CONCATENATE("B",Tabela1[[#This Row],[BLOCO]],Tabela1[[#This Row],[UO_COD]]),qdd!$AW$2:$AX$1000,2,FALSE),"")</f>
        <v/>
      </c>
      <c r="AB78" s="30" t="str">
        <f>IFERROR(Tabela1[[#This Row],[VALOR]]/100,"")</f>
        <v/>
      </c>
      <c r="AC78" s="7" t="str" cm="1">
        <f t="array" aca="1" ref="AC78" ca="1">IF(Tabela1[[#This Row],[VALOR]]&lt;0,"",IFERROR(SUBSTITUTE(Converter_numero(Tabela1[[#This Row],[VALOR INCISO]]),",",""),""))</f>
        <v/>
      </c>
      <c r="AD78" s="29" t="str">
        <f>IF(Tabela1[[#This Row],[TIPO]]=REGRAS!$W$2,REGRAS!$X$2,IF(Tabela1[[#This Row],[TIPO]]=REGRAS!$W$4,REGRAS!$X$4,""))</f>
        <v/>
      </c>
      <c r="AE78" s="29" t="e">
        <f>VLOOKUP(Tabela1[[#This Row],[FONTE_COD]],REGRAS!$O$2:$P$69,2,FALSE)</f>
        <v>#N/A</v>
      </c>
      <c r="AF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" spans="1:32" ht="18.75" customHeight="1">
      <c r="A79" s="2" t="str">
        <f>IFERROR(IF('PREENCHER AQUI'!A79="","",'PREENCHER AQUI'!A79),"")</f>
        <v/>
      </c>
      <c r="B79" s="1" t="str">
        <f>IFERROR(IF('PREENCHER AQUI'!B79="","",PROPER('PREENCHER AQUI'!B79)),"")</f>
        <v/>
      </c>
      <c r="C79" s="1" t="str">
        <f>IFERROR(IF('PREENCHER AQUI'!C79="","",'PREENCHER AQUI'!C79),"")</f>
        <v/>
      </c>
      <c r="D79" s="2" t="str">
        <f>IFERROR(IF('PREENCHER AQUI'!D79="","",'PREENCHER AQUI'!D79),"")</f>
        <v/>
      </c>
      <c r="E79" s="2" t="str">
        <f>IFERROR(VLOOKUP(CONCATENATE(C79,D79),qdd!$C$2:$F$1000,2,FALSE),"")</f>
        <v/>
      </c>
      <c r="F79" s="2" t="str">
        <f>IFERROR(VLOOKUP(CONCATENATE(C79,D79),qdd!$C$2:$F$1000,3,FALSE),"")</f>
        <v/>
      </c>
      <c r="G79" s="2" t="str">
        <f>IFERROR(VLOOKUP(CONCATENATE(C79,D79),qdd!$C$2:$F$1000,4,FALSE),"")</f>
        <v/>
      </c>
      <c r="H79" s="6" t="str">
        <f t="shared" si="4"/>
        <v/>
      </c>
      <c r="I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" s="2" t="str">
        <f>IFERROR(IF('PREENCHER AQUI'!E79="","",'PREENCHER AQUI'!E79),"")</f>
        <v/>
      </c>
      <c r="K79" s="2" t="str">
        <f>IFERROR(IF('PREENCHER AQUI'!F79="","",'PREENCHER AQUI'!F79),"")</f>
        <v/>
      </c>
      <c r="L79" s="2" t="str">
        <f>IF(Tabela1[[#This Row],[IPU_COD]]=9,"91",IF(Tabela1[[#This Row],[ACAO_COD]]="","",VLOOKUP(CONCATENATE("G",J79,"M",K79),qdd!$BC$2:$BD$46,2,FALSE)))</f>
        <v/>
      </c>
      <c r="M79" s="2" t="str">
        <f>TEXT(IFERROR(VLOOKUP(CONCATENATE(C79,D79),qdd!$C$2:$G$1000,5,FALSE),""),0)</f>
        <v/>
      </c>
      <c r="N79" s="2" t="str">
        <f>IFERROR(IF('PREENCHER AQUI'!I79="","",'PREENCHER AQUI'!I79),"")</f>
        <v/>
      </c>
      <c r="O79" s="2" t="str">
        <f>IFERROR(IF('PREENCHER AQUI'!J79="","",'PREENCHER AQUI'!J79),"")</f>
        <v/>
      </c>
      <c r="P79" s="7" t="str">
        <f t="shared" si="5"/>
        <v/>
      </c>
      <c r="Q79" s="8" t="str">
        <f>IFERROR(IF(Tabela4[[#This Row],[VALOR]]="","",IF(Tabela1[[#This Row],[ORIENTACAO]]="Anular",'PREENCHER AQUI'!K79*-1*100,'PREENCHER AQUI'!K79*100)),"")</f>
        <v/>
      </c>
      <c r="T79" s="7" t="str">
        <f>IFERROR(IF('PREENCHER AQUI'!L79="","999",LEFT('PREENCHER AQUI'!L79,1)),"")</f>
        <v>999</v>
      </c>
      <c r="V79" s="19"/>
      <c r="W79" s="1" t="str">
        <f>IFERROR(VLOOKUP(Tabela1[[#This Row],[UO_COD]],qdd!$AT$1:$AU$102,2,FALSE),"")</f>
        <v/>
      </c>
      <c r="X79" s="1" t="str">
        <f>CONCATENATE("F",Tabela1[[#This Row],[FONTE_COD]],Tabela1[[#This Row],[IPU_COD]],"G",Tabela1[[#This Row],[GRUPO_COD]],"T",Tabela1[[#This Row],[TIPO]])</f>
        <v>FGT999</v>
      </c>
      <c r="Y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" s="19"/>
      <c r="AA79" s="29" t="str">
        <f>IFERROR(VLOOKUP(CONCATENATE("B",Tabela1[[#This Row],[BLOCO]],Tabela1[[#This Row],[UO_COD]]),qdd!$AW$2:$AX$1000,2,FALSE),"")</f>
        <v/>
      </c>
      <c r="AB79" s="30" t="str">
        <f>IFERROR(Tabela1[[#This Row],[VALOR]]/100,"")</f>
        <v/>
      </c>
      <c r="AC79" s="7" t="str" cm="1">
        <f t="array" aca="1" ref="AC79" ca="1">IF(Tabela1[[#This Row],[VALOR]]&lt;0,"",IFERROR(SUBSTITUTE(Converter_numero(Tabela1[[#This Row],[VALOR INCISO]]),",",""),""))</f>
        <v/>
      </c>
      <c r="AD79" s="29" t="str">
        <f>IF(Tabela1[[#This Row],[TIPO]]=REGRAS!$W$2,REGRAS!$X$2,IF(Tabela1[[#This Row],[TIPO]]=REGRAS!$W$4,REGRAS!$X$4,""))</f>
        <v/>
      </c>
      <c r="AE79" s="29" t="e">
        <f>VLOOKUP(Tabela1[[#This Row],[FONTE_COD]],REGRAS!$O$2:$P$69,2,FALSE)</f>
        <v>#N/A</v>
      </c>
      <c r="AF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" spans="1:32" ht="18.75" customHeight="1">
      <c r="A80" s="2" t="str">
        <f>IFERROR(IF('PREENCHER AQUI'!A80="","",'PREENCHER AQUI'!A80),"")</f>
        <v/>
      </c>
      <c r="B80" s="1" t="str">
        <f>IFERROR(IF('PREENCHER AQUI'!B80="","",PROPER('PREENCHER AQUI'!B80)),"")</f>
        <v/>
      </c>
      <c r="C80" s="1" t="str">
        <f>IFERROR(IF('PREENCHER AQUI'!C80="","",'PREENCHER AQUI'!C80),"")</f>
        <v/>
      </c>
      <c r="D80" s="2" t="str">
        <f>IFERROR(IF('PREENCHER AQUI'!D80="","",'PREENCHER AQUI'!D80),"")</f>
        <v/>
      </c>
      <c r="E80" s="2" t="str">
        <f>IFERROR(VLOOKUP(CONCATENATE(C80,D80),qdd!$C$2:$F$1000,2,FALSE),"")</f>
        <v/>
      </c>
      <c r="F80" s="2" t="str">
        <f>IFERROR(VLOOKUP(CONCATENATE(C80,D80),qdd!$C$2:$F$1000,3,FALSE),"")</f>
        <v/>
      </c>
      <c r="G80" s="2" t="str">
        <f>IFERROR(VLOOKUP(CONCATENATE(C80,D80),qdd!$C$2:$F$1000,4,FALSE),"")</f>
        <v/>
      </c>
      <c r="H80" s="6" t="str">
        <f t="shared" si="4"/>
        <v/>
      </c>
      <c r="I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" s="2" t="str">
        <f>IFERROR(IF('PREENCHER AQUI'!E80="","",'PREENCHER AQUI'!E80),"")</f>
        <v/>
      </c>
      <c r="K80" s="2" t="str">
        <f>IFERROR(IF('PREENCHER AQUI'!F80="","",'PREENCHER AQUI'!F80),"")</f>
        <v/>
      </c>
      <c r="L80" s="2" t="str">
        <f>IF(Tabela1[[#This Row],[IPU_COD]]=9,"91",IF(Tabela1[[#This Row],[ACAO_COD]]="","",VLOOKUP(CONCATENATE("G",J80,"M",K80),qdd!$BC$2:$BD$46,2,FALSE)))</f>
        <v/>
      </c>
      <c r="M80" s="2" t="str">
        <f>TEXT(IFERROR(VLOOKUP(CONCATENATE(C80,D80),qdd!$C$2:$G$1000,5,FALSE),""),0)</f>
        <v/>
      </c>
      <c r="N80" s="2" t="str">
        <f>IFERROR(IF('PREENCHER AQUI'!I80="","",'PREENCHER AQUI'!I80),"")</f>
        <v/>
      </c>
      <c r="O80" s="2" t="str">
        <f>IFERROR(IF('PREENCHER AQUI'!J80="","",'PREENCHER AQUI'!J80),"")</f>
        <v/>
      </c>
      <c r="P80" s="7" t="str">
        <f t="shared" si="5"/>
        <v/>
      </c>
      <c r="Q80" s="8" t="str">
        <f>IFERROR(IF(Tabela4[[#This Row],[VALOR]]="","",IF(Tabela1[[#This Row],[ORIENTACAO]]="Anular",'PREENCHER AQUI'!K80*-1*100,'PREENCHER AQUI'!K80*100)),"")</f>
        <v/>
      </c>
      <c r="T80" s="7" t="str">
        <f>IFERROR(IF('PREENCHER AQUI'!L80="","999",LEFT('PREENCHER AQUI'!L80,1)),"")</f>
        <v>999</v>
      </c>
      <c r="V80" s="19"/>
      <c r="W80" s="20" t="str">
        <f>IFERROR(VLOOKUP(Tabela1[[#This Row],[UO_COD]],qdd!$AT$1:$AU$102,2,FALSE),"")</f>
        <v/>
      </c>
      <c r="X80" s="20" t="str">
        <f>CONCATENATE("F",Tabela1[[#This Row],[FONTE_COD]],Tabela1[[#This Row],[IPU_COD]],"G",Tabela1[[#This Row],[GRUPO_COD]],"T",Tabela1[[#This Row],[TIPO]])</f>
        <v>FGT999</v>
      </c>
      <c r="Y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" s="19"/>
      <c r="AA80" s="29" t="str">
        <f>IFERROR(VLOOKUP(CONCATENATE("B",Tabela1[[#This Row],[BLOCO]],Tabela1[[#This Row],[UO_COD]]),qdd!$AW$2:$AX$1000,2,FALSE),"")</f>
        <v/>
      </c>
      <c r="AB80" s="30" t="str">
        <f>IFERROR(Tabela1[[#This Row],[VALOR]]/100,"")</f>
        <v/>
      </c>
      <c r="AC80" s="7" t="str" cm="1">
        <f t="array" aca="1" ref="AC80" ca="1">IF(Tabela1[[#This Row],[VALOR]]&lt;0,"",IFERROR(SUBSTITUTE(Converter_numero(Tabela1[[#This Row],[VALOR INCISO]]),",",""),""))</f>
        <v/>
      </c>
      <c r="AD80" s="29" t="str">
        <f>IF(Tabela1[[#This Row],[TIPO]]=REGRAS!$W$2,REGRAS!$X$2,IF(Tabela1[[#This Row],[TIPO]]=REGRAS!$W$4,REGRAS!$X$4,""))</f>
        <v/>
      </c>
      <c r="AE80" s="29" t="e">
        <f>VLOOKUP(Tabela1[[#This Row],[FONTE_COD]],REGRAS!$O$2:$P$69,2,FALSE)</f>
        <v>#N/A</v>
      </c>
      <c r="AF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" spans="1:32" ht="18.75" customHeight="1">
      <c r="A81" s="2" t="str">
        <f>IFERROR(IF('PREENCHER AQUI'!A81="","",'PREENCHER AQUI'!A81),"")</f>
        <v/>
      </c>
      <c r="B81" s="1" t="str">
        <f>IFERROR(IF('PREENCHER AQUI'!B81="","",PROPER('PREENCHER AQUI'!B81)),"")</f>
        <v/>
      </c>
      <c r="C81" s="1" t="str">
        <f>IFERROR(IF('PREENCHER AQUI'!C81="","",'PREENCHER AQUI'!C81),"")</f>
        <v/>
      </c>
      <c r="D81" s="2" t="str">
        <f>IFERROR(IF('PREENCHER AQUI'!D81="","",'PREENCHER AQUI'!D81),"")</f>
        <v/>
      </c>
      <c r="E81" s="2" t="str">
        <f>IFERROR(VLOOKUP(CONCATENATE(C81,D81),qdd!$C$2:$F$1000,2,FALSE),"")</f>
        <v/>
      </c>
      <c r="F81" s="2" t="str">
        <f>IFERROR(VLOOKUP(CONCATENATE(C81,D81),qdd!$C$2:$F$1000,3,FALSE),"")</f>
        <v/>
      </c>
      <c r="G81" s="2" t="str">
        <f>IFERROR(VLOOKUP(CONCATENATE(C81,D81),qdd!$C$2:$F$1000,4,FALSE),"")</f>
        <v/>
      </c>
      <c r="H81" s="6" t="str">
        <f t="shared" si="4"/>
        <v/>
      </c>
      <c r="I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" s="2" t="str">
        <f>IFERROR(IF('PREENCHER AQUI'!E81="","",'PREENCHER AQUI'!E81),"")</f>
        <v/>
      </c>
      <c r="K81" s="2" t="str">
        <f>IFERROR(IF('PREENCHER AQUI'!F81="","",'PREENCHER AQUI'!F81),"")</f>
        <v/>
      </c>
      <c r="L81" s="2" t="str">
        <f>IF(Tabela1[[#This Row],[IPU_COD]]=9,"91",IF(Tabela1[[#This Row],[ACAO_COD]]="","",VLOOKUP(CONCATENATE("G",J81,"M",K81),qdd!$BC$2:$BD$46,2,FALSE)))</f>
        <v/>
      </c>
      <c r="M81" s="2" t="str">
        <f>TEXT(IFERROR(VLOOKUP(CONCATENATE(C81,D81),qdd!$C$2:$G$1000,5,FALSE),""),0)</f>
        <v/>
      </c>
      <c r="N81" s="2" t="str">
        <f>IFERROR(IF('PREENCHER AQUI'!I81="","",'PREENCHER AQUI'!I81),"")</f>
        <v/>
      </c>
      <c r="O81" s="2" t="str">
        <f>IFERROR(IF('PREENCHER AQUI'!J81="","",'PREENCHER AQUI'!J81),"")</f>
        <v/>
      </c>
      <c r="P81" s="7" t="str">
        <f t="shared" si="5"/>
        <v/>
      </c>
      <c r="Q81" s="8" t="str">
        <f>IFERROR(IF(Tabela4[[#This Row],[VALOR]]="","",IF(Tabela1[[#This Row],[ORIENTACAO]]="Anular",'PREENCHER AQUI'!K81*-1*100,'PREENCHER AQUI'!K81*100)),"")</f>
        <v/>
      </c>
      <c r="T81" s="7" t="str">
        <f>IFERROR(IF('PREENCHER AQUI'!L81="","999",LEFT('PREENCHER AQUI'!L81,1)),"")</f>
        <v>999</v>
      </c>
      <c r="V81" s="19"/>
      <c r="W81" s="1" t="str">
        <f>IFERROR(VLOOKUP(Tabela1[[#This Row],[UO_COD]],qdd!$AT$1:$AU$102,2,FALSE),"")</f>
        <v/>
      </c>
      <c r="X81" s="1" t="str">
        <f>CONCATENATE("F",Tabela1[[#This Row],[FONTE_COD]],Tabela1[[#This Row],[IPU_COD]],"G",Tabela1[[#This Row],[GRUPO_COD]],"T",Tabela1[[#This Row],[TIPO]])</f>
        <v>FGT999</v>
      </c>
      <c r="Y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" s="19"/>
      <c r="AA81" s="29" t="str">
        <f>IFERROR(VLOOKUP(CONCATENATE("B",Tabela1[[#This Row],[BLOCO]],Tabela1[[#This Row],[UO_COD]]),qdd!$AW$2:$AX$1000,2,FALSE),"")</f>
        <v/>
      </c>
      <c r="AB81" s="30" t="str">
        <f>IFERROR(Tabela1[[#This Row],[VALOR]]/100,"")</f>
        <v/>
      </c>
      <c r="AC81" s="7" t="str" cm="1">
        <f t="array" aca="1" ref="AC81" ca="1">IF(Tabela1[[#This Row],[VALOR]]&lt;0,"",IFERROR(SUBSTITUTE(Converter_numero(Tabela1[[#This Row],[VALOR INCISO]]),",",""),""))</f>
        <v/>
      </c>
      <c r="AD81" s="29" t="str">
        <f>IF(Tabela1[[#This Row],[TIPO]]=REGRAS!$W$2,REGRAS!$X$2,IF(Tabela1[[#This Row],[TIPO]]=REGRAS!$W$4,REGRAS!$X$4,""))</f>
        <v/>
      </c>
      <c r="AE81" s="29" t="e">
        <f>VLOOKUP(Tabela1[[#This Row],[FONTE_COD]],REGRAS!$O$2:$P$69,2,FALSE)</f>
        <v>#N/A</v>
      </c>
      <c r="AF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" spans="1:32" ht="18.75" customHeight="1">
      <c r="A82" s="2" t="str">
        <f>IFERROR(IF('PREENCHER AQUI'!A82="","",'PREENCHER AQUI'!A82),"")</f>
        <v/>
      </c>
      <c r="B82" s="1" t="str">
        <f>IFERROR(IF('PREENCHER AQUI'!B82="","",PROPER('PREENCHER AQUI'!B82)),"")</f>
        <v/>
      </c>
      <c r="C82" s="1" t="str">
        <f>IFERROR(IF('PREENCHER AQUI'!C82="","",'PREENCHER AQUI'!C82),"")</f>
        <v/>
      </c>
      <c r="D82" s="2" t="str">
        <f>IFERROR(IF('PREENCHER AQUI'!D82="","",'PREENCHER AQUI'!D82),"")</f>
        <v/>
      </c>
      <c r="E82" s="2" t="str">
        <f>IFERROR(VLOOKUP(CONCATENATE(C82,D82),qdd!$C$2:$F$1000,2,FALSE),"")</f>
        <v/>
      </c>
      <c r="F82" s="2" t="str">
        <f>IFERROR(VLOOKUP(CONCATENATE(C82,D82),qdd!$C$2:$F$1000,3,FALSE),"")</f>
        <v/>
      </c>
      <c r="G82" s="2" t="str">
        <f>IFERROR(VLOOKUP(CONCATENATE(C82,D82),qdd!$C$2:$F$1000,4,FALSE),"")</f>
        <v/>
      </c>
      <c r="H82" s="6" t="str">
        <f t="shared" si="4"/>
        <v/>
      </c>
      <c r="I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" s="2" t="str">
        <f>IFERROR(IF('PREENCHER AQUI'!E82="","",'PREENCHER AQUI'!E82),"")</f>
        <v/>
      </c>
      <c r="K82" s="2" t="str">
        <f>IFERROR(IF('PREENCHER AQUI'!F82="","",'PREENCHER AQUI'!F82),"")</f>
        <v/>
      </c>
      <c r="L82" s="2" t="str">
        <f>IF(Tabela1[[#This Row],[IPU_COD]]=9,"91",IF(Tabela1[[#This Row],[ACAO_COD]]="","",VLOOKUP(CONCATENATE("G",J82,"M",K82),qdd!$BC$2:$BD$46,2,FALSE)))</f>
        <v/>
      </c>
      <c r="M82" s="2" t="str">
        <f>TEXT(IFERROR(VLOOKUP(CONCATENATE(C82,D82),qdd!$C$2:$G$1000,5,FALSE),""),0)</f>
        <v/>
      </c>
      <c r="N82" s="2" t="str">
        <f>IFERROR(IF('PREENCHER AQUI'!I82="","",'PREENCHER AQUI'!I82),"")</f>
        <v/>
      </c>
      <c r="O82" s="2" t="str">
        <f>IFERROR(IF('PREENCHER AQUI'!J82="","",'PREENCHER AQUI'!J82),"")</f>
        <v/>
      </c>
      <c r="P82" s="7" t="str">
        <f t="shared" si="5"/>
        <v/>
      </c>
      <c r="Q82" s="8" t="str">
        <f>IFERROR(IF(Tabela4[[#This Row],[VALOR]]="","",IF(Tabela1[[#This Row],[ORIENTACAO]]="Anular",'PREENCHER AQUI'!K82*-1*100,'PREENCHER AQUI'!K82*100)),"")</f>
        <v/>
      </c>
      <c r="T82" s="7" t="str">
        <f>IFERROR(IF('PREENCHER AQUI'!L82="","999",LEFT('PREENCHER AQUI'!L82,1)),"")</f>
        <v>999</v>
      </c>
      <c r="W82" s="1" t="str">
        <f>IFERROR(VLOOKUP(Tabela1[[#This Row],[UO_COD]],qdd!$AT$1:$AU$102,2,FALSE),"")</f>
        <v/>
      </c>
      <c r="X82" s="1" t="str">
        <f>CONCATENATE("F",Tabela1[[#This Row],[FONTE_COD]],Tabela1[[#This Row],[IPU_COD]],"G",Tabela1[[#This Row],[GRUPO_COD]],"T",Tabela1[[#This Row],[TIPO]])</f>
        <v>FGT999</v>
      </c>
      <c r="Y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" s="19"/>
      <c r="AA82" s="29" t="str">
        <f>IFERROR(VLOOKUP(CONCATENATE("B",Tabela1[[#This Row],[BLOCO]],Tabela1[[#This Row],[UO_COD]]),qdd!$AW$2:$AX$1000,2,FALSE),"")</f>
        <v/>
      </c>
      <c r="AB82" s="30" t="str">
        <f>IFERROR(Tabela1[[#This Row],[VALOR]]/100,"")</f>
        <v/>
      </c>
      <c r="AC82" s="7" t="str" cm="1">
        <f t="array" aca="1" ref="AC82" ca="1">IF(Tabela1[[#This Row],[VALOR]]&lt;0,"",IFERROR(SUBSTITUTE(Converter_numero(Tabela1[[#This Row],[VALOR INCISO]]),",",""),""))</f>
        <v/>
      </c>
      <c r="AD82" s="7" t="str">
        <f>IF(Tabela1[[#This Row],[TIPO]]=REGRAS!$W$2,REGRAS!$X$2,IF(Tabela1[[#This Row],[TIPO]]=REGRAS!$W$4,REGRAS!$X$4,""))</f>
        <v/>
      </c>
      <c r="AE82" s="29" t="e">
        <f>VLOOKUP(Tabela1[[#This Row],[FONTE_COD]],REGRAS!$O$2:$P$69,2,FALSE)</f>
        <v>#N/A</v>
      </c>
      <c r="AF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" spans="1:32" ht="18.75" customHeight="1">
      <c r="A83" s="2" t="str">
        <f>IFERROR(IF('PREENCHER AQUI'!A83="","",'PREENCHER AQUI'!A83),"")</f>
        <v/>
      </c>
      <c r="B83" s="1" t="str">
        <f>IFERROR(IF('PREENCHER AQUI'!B83="","",PROPER('PREENCHER AQUI'!B83)),"")</f>
        <v/>
      </c>
      <c r="C83" s="1" t="str">
        <f>IFERROR(IF('PREENCHER AQUI'!C83="","",'PREENCHER AQUI'!C83),"")</f>
        <v/>
      </c>
      <c r="D83" s="2" t="str">
        <f>IFERROR(IF('PREENCHER AQUI'!D83="","",'PREENCHER AQUI'!D83),"")</f>
        <v/>
      </c>
      <c r="E83" s="2" t="str">
        <f>IFERROR(VLOOKUP(CONCATENATE(C83,D83),qdd!$C$2:$F$1000,2,FALSE),"")</f>
        <v/>
      </c>
      <c r="F83" s="2" t="str">
        <f>IFERROR(VLOOKUP(CONCATENATE(C83,D83),qdd!$C$2:$F$1000,3,FALSE),"")</f>
        <v/>
      </c>
      <c r="G83" s="2" t="str">
        <f>IFERROR(VLOOKUP(CONCATENATE(C83,D83),qdd!$C$2:$F$1000,4,FALSE),"")</f>
        <v/>
      </c>
      <c r="H83" s="6" t="str">
        <f t="shared" si="4"/>
        <v/>
      </c>
      <c r="I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" s="2" t="str">
        <f>IFERROR(IF('PREENCHER AQUI'!E83="","",'PREENCHER AQUI'!E83),"")</f>
        <v/>
      </c>
      <c r="K83" s="2" t="str">
        <f>IFERROR(IF('PREENCHER AQUI'!F83="","",'PREENCHER AQUI'!F83),"")</f>
        <v/>
      </c>
      <c r="L83" s="2" t="str">
        <f>IF(Tabela1[[#This Row],[IPU_COD]]=9,"91",IF(Tabela1[[#This Row],[ACAO_COD]]="","",VLOOKUP(CONCATENATE("G",J83,"M",K83),qdd!$BC$2:$BD$46,2,FALSE)))</f>
        <v/>
      </c>
      <c r="M83" s="2" t="str">
        <f>TEXT(IFERROR(VLOOKUP(CONCATENATE(C83,D83),qdd!$C$2:$G$1000,5,FALSE),""),0)</f>
        <v/>
      </c>
      <c r="N83" s="2" t="str">
        <f>IFERROR(IF('PREENCHER AQUI'!I83="","",'PREENCHER AQUI'!I83),"")</f>
        <v/>
      </c>
      <c r="O83" s="2" t="str">
        <f>IFERROR(IF('PREENCHER AQUI'!J83="","",'PREENCHER AQUI'!J83),"")</f>
        <v/>
      </c>
      <c r="P83" s="7" t="str">
        <f t="shared" si="5"/>
        <v/>
      </c>
      <c r="Q83" s="8" t="str">
        <f>IFERROR(IF(Tabela4[[#This Row],[VALOR]]="","",IF(Tabela1[[#This Row],[ORIENTACAO]]="Anular",'PREENCHER AQUI'!K83*-1*100,'PREENCHER AQUI'!K83*100)),"")</f>
        <v/>
      </c>
      <c r="T83" s="7" t="str">
        <f>IFERROR(IF('PREENCHER AQUI'!L83="","999",LEFT('PREENCHER AQUI'!L83,1)),"")</f>
        <v>999</v>
      </c>
      <c r="V83" s="19"/>
      <c r="W83" s="1" t="str">
        <f>IFERROR(VLOOKUP(Tabela1[[#This Row],[UO_COD]],qdd!$AT$1:$AU$102,2,FALSE),"")</f>
        <v/>
      </c>
      <c r="X83" s="1" t="str">
        <f>CONCATENATE("F",Tabela1[[#This Row],[FONTE_COD]],Tabela1[[#This Row],[IPU_COD]],"G",Tabela1[[#This Row],[GRUPO_COD]],"T",Tabela1[[#This Row],[TIPO]])</f>
        <v>FGT999</v>
      </c>
      <c r="Y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" s="19"/>
      <c r="AA83" s="29" t="str">
        <f>IFERROR(VLOOKUP(CONCATENATE("B",Tabela1[[#This Row],[BLOCO]],Tabela1[[#This Row],[UO_COD]]),qdd!$AW$2:$AX$1000,2,FALSE),"")</f>
        <v/>
      </c>
      <c r="AB83" s="30" t="str">
        <f>IFERROR(Tabela1[[#This Row],[VALOR]]/100,"")</f>
        <v/>
      </c>
      <c r="AC83" s="7" t="str" cm="1">
        <f t="array" aca="1" ref="AC83" ca="1">IF(Tabela1[[#This Row],[VALOR]]&lt;0,"",IFERROR(SUBSTITUTE(Converter_numero(Tabela1[[#This Row],[VALOR INCISO]]),",",""),""))</f>
        <v/>
      </c>
      <c r="AD83" s="29" t="str">
        <f>IF(Tabela1[[#This Row],[TIPO]]=REGRAS!$W$2,REGRAS!$X$2,IF(Tabela1[[#This Row],[TIPO]]=REGRAS!$W$4,REGRAS!$X$4,""))</f>
        <v/>
      </c>
      <c r="AE83" s="29" t="e">
        <f>VLOOKUP(Tabela1[[#This Row],[FONTE_COD]],REGRAS!$O$2:$P$69,2,FALSE)</f>
        <v>#N/A</v>
      </c>
      <c r="AF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" spans="1:32" ht="18.75" customHeight="1">
      <c r="A84" s="2" t="str">
        <f>IFERROR(IF('PREENCHER AQUI'!A84="","",'PREENCHER AQUI'!A84),"")</f>
        <v/>
      </c>
      <c r="B84" s="1" t="str">
        <f>IFERROR(IF('PREENCHER AQUI'!B84="","",PROPER('PREENCHER AQUI'!B84)),"")</f>
        <v/>
      </c>
      <c r="C84" s="1" t="str">
        <f>IFERROR(IF('PREENCHER AQUI'!C84="","",'PREENCHER AQUI'!C84),"")</f>
        <v/>
      </c>
      <c r="D84" s="2" t="str">
        <f>IFERROR(IF('PREENCHER AQUI'!D84="","",'PREENCHER AQUI'!D84),"")</f>
        <v/>
      </c>
      <c r="E84" s="2" t="str">
        <f>IFERROR(VLOOKUP(CONCATENATE(C84,D84),qdd!$C$2:$F$1000,2,FALSE),"")</f>
        <v/>
      </c>
      <c r="F84" s="2" t="str">
        <f>IFERROR(VLOOKUP(CONCATENATE(C84,D84),qdd!$C$2:$F$1000,3,FALSE),"")</f>
        <v/>
      </c>
      <c r="G84" s="2" t="str">
        <f>IFERROR(VLOOKUP(CONCATENATE(C84,D84),qdd!$C$2:$F$1000,4,FALSE),"")</f>
        <v/>
      </c>
      <c r="H84" s="6" t="str">
        <f t="shared" si="4"/>
        <v/>
      </c>
      <c r="I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" s="2" t="str">
        <f>IFERROR(IF('PREENCHER AQUI'!E84="","",'PREENCHER AQUI'!E84),"")</f>
        <v/>
      </c>
      <c r="K84" s="2" t="str">
        <f>IFERROR(IF('PREENCHER AQUI'!F84="","",'PREENCHER AQUI'!F84),"")</f>
        <v/>
      </c>
      <c r="L84" s="2" t="str">
        <f>IF(Tabela1[[#This Row],[IPU_COD]]=9,"91",IF(Tabela1[[#This Row],[ACAO_COD]]="","",VLOOKUP(CONCATENATE("G",J84,"M",K84),qdd!$BC$2:$BD$46,2,FALSE)))</f>
        <v/>
      </c>
      <c r="M84" s="2" t="str">
        <f>TEXT(IFERROR(VLOOKUP(CONCATENATE(C84,D84),qdd!$C$2:$G$1000,5,FALSE),""),0)</f>
        <v/>
      </c>
      <c r="N84" s="2" t="str">
        <f>IFERROR(IF('PREENCHER AQUI'!I84="","",'PREENCHER AQUI'!I84),"")</f>
        <v/>
      </c>
      <c r="O84" s="2" t="str">
        <f>IFERROR(IF('PREENCHER AQUI'!J84="","",'PREENCHER AQUI'!J84),"")</f>
        <v/>
      </c>
      <c r="P84" s="7" t="str">
        <f t="shared" si="5"/>
        <v/>
      </c>
      <c r="Q84" s="8" t="str">
        <f>IFERROR(IF(Tabela4[[#This Row],[VALOR]]="","",IF(Tabela1[[#This Row],[ORIENTACAO]]="Anular",'PREENCHER AQUI'!K84*-1*100,'PREENCHER AQUI'!K84*100)),"")</f>
        <v/>
      </c>
      <c r="T84" s="7" t="str">
        <f>IFERROR(IF('PREENCHER AQUI'!L84="","999",LEFT('PREENCHER AQUI'!L84,1)),"")</f>
        <v>999</v>
      </c>
      <c r="V84" s="19"/>
      <c r="W84" s="1" t="str">
        <f>IFERROR(VLOOKUP(Tabela1[[#This Row],[UO_COD]],qdd!$AT$1:$AU$102,2,FALSE),"")</f>
        <v/>
      </c>
      <c r="X84" s="1" t="str">
        <f>CONCATENATE("F",Tabela1[[#This Row],[FONTE_COD]],Tabela1[[#This Row],[IPU_COD]],"G",Tabela1[[#This Row],[GRUPO_COD]],"T",Tabela1[[#This Row],[TIPO]])</f>
        <v>FGT999</v>
      </c>
      <c r="Y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" s="19"/>
      <c r="AA84" s="29" t="str">
        <f>IFERROR(VLOOKUP(CONCATENATE("B",Tabela1[[#This Row],[BLOCO]],Tabela1[[#This Row],[UO_COD]]),qdd!$AW$2:$AX$1000,2,FALSE),"")</f>
        <v/>
      </c>
      <c r="AB84" s="30" t="str">
        <f>IFERROR(Tabela1[[#This Row],[VALOR]]/100,"")</f>
        <v/>
      </c>
      <c r="AC84" s="7" t="str" cm="1">
        <f t="array" aca="1" ref="AC84" ca="1">IF(Tabela1[[#This Row],[VALOR]]&lt;0,"",IFERROR(SUBSTITUTE(Converter_numero(Tabela1[[#This Row],[VALOR INCISO]]),",",""),""))</f>
        <v/>
      </c>
      <c r="AD84" s="29" t="str">
        <f>IF(Tabela1[[#This Row],[TIPO]]=REGRAS!$W$2,REGRAS!$X$2,IF(Tabela1[[#This Row],[TIPO]]=REGRAS!$W$4,REGRAS!$X$4,""))</f>
        <v/>
      </c>
      <c r="AE84" s="29" t="e">
        <f>VLOOKUP(Tabela1[[#This Row],[FONTE_COD]],REGRAS!$O$2:$P$69,2,FALSE)</f>
        <v>#N/A</v>
      </c>
      <c r="AF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" spans="1:32" ht="18.75" customHeight="1">
      <c r="A85" s="2" t="str">
        <f>IFERROR(IF('PREENCHER AQUI'!A85="","",'PREENCHER AQUI'!A85),"")</f>
        <v/>
      </c>
      <c r="B85" s="1" t="str">
        <f>IFERROR(IF('PREENCHER AQUI'!B85="","",PROPER('PREENCHER AQUI'!B85)),"")</f>
        <v/>
      </c>
      <c r="C85" s="1" t="str">
        <f>IFERROR(IF('PREENCHER AQUI'!C85="","",'PREENCHER AQUI'!C85),"")</f>
        <v/>
      </c>
      <c r="D85" s="2" t="str">
        <f>IFERROR(IF('PREENCHER AQUI'!D85="","",'PREENCHER AQUI'!D85),"")</f>
        <v/>
      </c>
      <c r="E85" s="2" t="str">
        <f>IFERROR(VLOOKUP(CONCATENATE(C85,D85),qdd!$C$2:$F$1000,2,FALSE),"")</f>
        <v/>
      </c>
      <c r="F85" s="2" t="str">
        <f>IFERROR(VLOOKUP(CONCATENATE(C85,D85),qdd!$C$2:$F$1000,3,FALSE),"")</f>
        <v/>
      </c>
      <c r="G85" s="2" t="str">
        <f>IFERROR(VLOOKUP(CONCATENATE(C85,D85),qdd!$C$2:$F$1000,4,FALSE),"")</f>
        <v/>
      </c>
      <c r="H85" s="6" t="str">
        <f t="shared" si="4"/>
        <v/>
      </c>
      <c r="I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" s="2" t="str">
        <f>IFERROR(IF('PREENCHER AQUI'!E85="","",'PREENCHER AQUI'!E85),"")</f>
        <v/>
      </c>
      <c r="K85" s="2" t="str">
        <f>IFERROR(IF('PREENCHER AQUI'!F85="","",'PREENCHER AQUI'!F85),"")</f>
        <v/>
      </c>
      <c r="L85" s="2" t="str">
        <f>IF(Tabela1[[#This Row],[IPU_COD]]=9,"91",IF(Tabela1[[#This Row],[ACAO_COD]]="","",VLOOKUP(CONCATENATE("G",J85,"M",K85),qdd!$BC$2:$BD$46,2,FALSE)))</f>
        <v/>
      </c>
      <c r="M85" s="2" t="str">
        <f>TEXT(IFERROR(VLOOKUP(CONCATENATE(C85,D85),qdd!$C$2:$G$1000,5,FALSE),""),0)</f>
        <v/>
      </c>
      <c r="N85" s="2" t="str">
        <f>IFERROR(IF('PREENCHER AQUI'!I85="","",'PREENCHER AQUI'!I85),"")</f>
        <v/>
      </c>
      <c r="O85" s="2" t="str">
        <f>IFERROR(IF('PREENCHER AQUI'!J85="","",'PREENCHER AQUI'!J85),"")</f>
        <v/>
      </c>
      <c r="P85" s="7" t="str">
        <f t="shared" si="5"/>
        <v/>
      </c>
      <c r="Q85" s="8" t="str">
        <f>IFERROR(IF(Tabela4[[#This Row],[VALOR]]="","",IF(Tabela1[[#This Row],[ORIENTACAO]]="Anular",'PREENCHER AQUI'!K85*-1*100,'PREENCHER AQUI'!K85*100)),"")</f>
        <v/>
      </c>
      <c r="T85" s="7" t="str">
        <f>IFERROR(IF('PREENCHER AQUI'!L85="","999",LEFT('PREENCHER AQUI'!L85,1)),"")</f>
        <v>999</v>
      </c>
      <c r="V85" s="19"/>
      <c r="W85" s="20" t="str">
        <f>IFERROR(VLOOKUP(Tabela1[[#This Row],[UO_COD]],qdd!$AT$1:$AU$102,2,FALSE),"")</f>
        <v/>
      </c>
      <c r="X85" s="20" t="str">
        <f>CONCATENATE("F",Tabela1[[#This Row],[FONTE_COD]],Tabela1[[#This Row],[IPU_COD]],"G",Tabela1[[#This Row],[GRUPO_COD]],"T",Tabela1[[#This Row],[TIPO]])</f>
        <v>FGT999</v>
      </c>
      <c r="Y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" s="19"/>
      <c r="AA85" s="29" t="str">
        <f>IFERROR(VLOOKUP(CONCATENATE("B",Tabela1[[#This Row],[BLOCO]],Tabela1[[#This Row],[UO_COD]]),qdd!$AW$2:$AX$1000,2,FALSE),"")</f>
        <v/>
      </c>
      <c r="AB85" s="30" t="str">
        <f>IFERROR(Tabela1[[#This Row],[VALOR]]/100,"")</f>
        <v/>
      </c>
      <c r="AC85" s="7" t="str" cm="1">
        <f t="array" aca="1" ref="AC85" ca="1">IF(Tabela1[[#This Row],[VALOR]]&lt;0,"",IFERROR(SUBSTITUTE(Converter_numero(Tabela1[[#This Row],[VALOR INCISO]]),",",""),""))</f>
        <v/>
      </c>
      <c r="AD85" s="29" t="str">
        <f>IF(Tabela1[[#This Row],[TIPO]]=REGRAS!$W$2,REGRAS!$X$2,IF(Tabela1[[#This Row],[TIPO]]=REGRAS!$W$4,REGRAS!$X$4,""))</f>
        <v/>
      </c>
      <c r="AE85" s="29" t="e">
        <f>VLOOKUP(Tabela1[[#This Row],[FONTE_COD]],REGRAS!$O$2:$P$69,2,FALSE)</f>
        <v>#N/A</v>
      </c>
      <c r="AF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" spans="1:32" ht="18.75" customHeight="1">
      <c r="A86" s="2" t="str">
        <f>IFERROR(IF('PREENCHER AQUI'!A86="","",'PREENCHER AQUI'!A86),"")</f>
        <v/>
      </c>
      <c r="B86" s="1" t="str">
        <f>IFERROR(IF('PREENCHER AQUI'!B86="","",PROPER('PREENCHER AQUI'!B86)),"")</f>
        <v/>
      </c>
      <c r="C86" s="1" t="str">
        <f>IFERROR(IF('PREENCHER AQUI'!C86="","",'PREENCHER AQUI'!C86),"")</f>
        <v/>
      </c>
      <c r="D86" s="2" t="str">
        <f>IFERROR(IF('PREENCHER AQUI'!D86="","",'PREENCHER AQUI'!D86),"")</f>
        <v/>
      </c>
      <c r="E86" s="2" t="str">
        <f>IFERROR(VLOOKUP(CONCATENATE(C86,D86),qdd!$C$2:$F$1000,2,FALSE),"")</f>
        <v/>
      </c>
      <c r="F86" s="2" t="str">
        <f>IFERROR(VLOOKUP(CONCATENATE(C86,D86),qdd!$C$2:$F$1000,3,FALSE),"")</f>
        <v/>
      </c>
      <c r="G86" s="2" t="str">
        <f>IFERROR(VLOOKUP(CONCATENATE(C86,D86),qdd!$C$2:$F$1000,4,FALSE),"")</f>
        <v/>
      </c>
      <c r="H86" s="6" t="str">
        <f t="shared" si="4"/>
        <v/>
      </c>
      <c r="I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" s="2" t="str">
        <f>IFERROR(IF('PREENCHER AQUI'!E86="","",'PREENCHER AQUI'!E86),"")</f>
        <v/>
      </c>
      <c r="K86" s="2" t="str">
        <f>IFERROR(IF('PREENCHER AQUI'!F86="","",'PREENCHER AQUI'!F86),"")</f>
        <v/>
      </c>
      <c r="L86" s="2" t="str">
        <f>IF(Tabela1[[#This Row],[IPU_COD]]=9,"91",IF(Tabela1[[#This Row],[ACAO_COD]]="","",VLOOKUP(CONCATENATE("G",J86,"M",K86),qdd!$BC$2:$BD$46,2,FALSE)))</f>
        <v/>
      </c>
      <c r="M86" s="2" t="str">
        <f>TEXT(IFERROR(VLOOKUP(CONCATENATE(C86,D86),qdd!$C$2:$G$1000,5,FALSE),""),0)</f>
        <v/>
      </c>
      <c r="N86" s="2" t="str">
        <f>IFERROR(IF('PREENCHER AQUI'!I86="","",'PREENCHER AQUI'!I86),"")</f>
        <v/>
      </c>
      <c r="O86" s="2" t="str">
        <f>IFERROR(IF('PREENCHER AQUI'!J86="","",'PREENCHER AQUI'!J86),"")</f>
        <v/>
      </c>
      <c r="P86" s="7" t="str">
        <f t="shared" si="5"/>
        <v/>
      </c>
      <c r="Q86" s="8" t="str">
        <f>IFERROR(IF(Tabela4[[#This Row],[VALOR]]="","",IF(Tabela1[[#This Row],[ORIENTACAO]]="Anular",'PREENCHER AQUI'!K86*-1*100,'PREENCHER AQUI'!K86*100)),"")</f>
        <v/>
      </c>
      <c r="T86" s="7" t="str">
        <f>IFERROR(IF('PREENCHER AQUI'!L86="","999",LEFT('PREENCHER AQUI'!L86,1)),"")</f>
        <v>999</v>
      </c>
      <c r="V86" s="19"/>
      <c r="W86" s="1" t="str">
        <f>IFERROR(VLOOKUP(Tabela1[[#This Row],[UO_COD]],qdd!$AT$1:$AU$102,2,FALSE),"")</f>
        <v/>
      </c>
      <c r="X86" s="1" t="str">
        <f>CONCATENATE("F",Tabela1[[#This Row],[FONTE_COD]],Tabela1[[#This Row],[IPU_COD]],"G",Tabela1[[#This Row],[GRUPO_COD]],"T",Tabela1[[#This Row],[TIPO]])</f>
        <v>FGT999</v>
      </c>
      <c r="Y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" s="19"/>
      <c r="AA86" s="29" t="str">
        <f>IFERROR(VLOOKUP(CONCATENATE("B",Tabela1[[#This Row],[BLOCO]],Tabela1[[#This Row],[UO_COD]]),qdd!$AW$2:$AX$1000,2,FALSE),"")</f>
        <v/>
      </c>
      <c r="AB86" s="30" t="str">
        <f>IFERROR(Tabela1[[#This Row],[VALOR]]/100,"")</f>
        <v/>
      </c>
      <c r="AC86" s="7" t="str" cm="1">
        <f t="array" aca="1" ref="AC86" ca="1">IF(Tabela1[[#This Row],[VALOR]]&lt;0,"",IFERROR(SUBSTITUTE(Converter_numero(Tabela1[[#This Row],[VALOR INCISO]]),",",""),""))</f>
        <v/>
      </c>
      <c r="AD86" s="29" t="str">
        <f>IF(Tabela1[[#This Row],[TIPO]]=REGRAS!$W$2,REGRAS!$X$2,IF(Tabela1[[#This Row],[TIPO]]=REGRAS!$W$4,REGRAS!$X$4,""))</f>
        <v/>
      </c>
      <c r="AE86" s="29" t="e">
        <f>VLOOKUP(Tabela1[[#This Row],[FONTE_COD]],REGRAS!$O$2:$P$69,2,FALSE)</f>
        <v>#N/A</v>
      </c>
      <c r="AF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" spans="1:32" ht="18.75" customHeight="1">
      <c r="A87" s="2" t="str">
        <f>IFERROR(IF('PREENCHER AQUI'!A87="","",'PREENCHER AQUI'!A87),"")</f>
        <v/>
      </c>
      <c r="B87" s="1" t="str">
        <f>IFERROR(IF('PREENCHER AQUI'!B87="","",PROPER('PREENCHER AQUI'!B87)),"")</f>
        <v/>
      </c>
      <c r="C87" s="1" t="str">
        <f>IFERROR(IF('PREENCHER AQUI'!C87="","",'PREENCHER AQUI'!C87),"")</f>
        <v/>
      </c>
      <c r="D87" s="2" t="str">
        <f>IFERROR(IF('PREENCHER AQUI'!D87="","",'PREENCHER AQUI'!D87),"")</f>
        <v/>
      </c>
      <c r="E87" s="2" t="str">
        <f>IFERROR(VLOOKUP(CONCATENATE(C87,D87),qdd!$C$2:$F$1000,2,FALSE),"")</f>
        <v/>
      </c>
      <c r="F87" s="2" t="str">
        <f>IFERROR(VLOOKUP(CONCATENATE(C87,D87),qdd!$C$2:$F$1000,3,FALSE),"")</f>
        <v/>
      </c>
      <c r="G87" s="2" t="str">
        <f>IFERROR(VLOOKUP(CONCATENATE(C87,D87),qdd!$C$2:$F$1000,4,FALSE),"")</f>
        <v/>
      </c>
      <c r="H87" s="6" t="str">
        <f t="shared" si="4"/>
        <v/>
      </c>
      <c r="I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" s="2" t="str">
        <f>IFERROR(IF('PREENCHER AQUI'!E87="","",'PREENCHER AQUI'!E87),"")</f>
        <v/>
      </c>
      <c r="K87" s="2" t="str">
        <f>IFERROR(IF('PREENCHER AQUI'!F87="","",'PREENCHER AQUI'!F87),"")</f>
        <v/>
      </c>
      <c r="L87" s="2" t="str">
        <f>IF(Tabela1[[#This Row],[IPU_COD]]=9,"91",IF(Tabela1[[#This Row],[ACAO_COD]]="","",VLOOKUP(CONCATENATE("G",J87,"M",K87),qdd!$BC$2:$BD$46,2,FALSE)))</f>
        <v/>
      </c>
      <c r="M87" s="2" t="str">
        <f>TEXT(IFERROR(VLOOKUP(CONCATENATE(C87,D87),qdd!$C$2:$G$1000,5,FALSE),""),0)</f>
        <v/>
      </c>
      <c r="N87" s="2" t="str">
        <f>IFERROR(IF('PREENCHER AQUI'!I87="","",'PREENCHER AQUI'!I87),"")</f>
        <v/>
      </c>
      <c r="O87" s="2" t="str">
        <f>IFERROR(IF('PREENCHER AQUI'!J87="","",'PREENCHER AQUI'!J87),"")</f>
        <v/>
      </c>
      <c r="P87" s="7" t="str">
        <f t="shared" si="5"/>
        <v/>
      </c>
      <c r="Q87" s="8" t="str">
        <f>IFERROR(IF(Tabela4[[#This Row],[VALOR]]="","",IF(Tabela1[[#This Row],[ORIENTACAO]]="Anular",'PREENCHER AQUI'!K87*-1*100,'PREENCHER AQUI'!K87*100)),"")</f>
        <v/>
      </c>
      <c r="T87" s="7" t="str">
        <f>IFERROR(IF('PREENCHER AQUI'!L87="","999",LEFT('PREENCHER AQUI'!L87,1)),"")</f>
        <v>999</v>
      </c>
      <c r="W87" s="1" t="str">
        <f>IFERROR(VLOOKUP(Tabela1[[#This Row],[UO_COD]],qdd!$AT$1:$AU$102,2,FALSE),"")</f>
        <v/>
      </c>
      <c r="X87" s="1" t="str">
        <f>CONCATENATE("F",Tabela1[[#This Row],[FONTE_COD]],Tabela1[[#This Row],[IPU_COD]],"G",Tabela1[[#This Row],[GRUPO_COD]],"T",Tabela1[[#This Row],[TIPO]])</f>
        <v>FGT999</v>
      </c>
      <c r="Y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" s="19"/>
      <c r="AA87" s="29" t="str">
        <f>IFERROR(VLOOKUP(CONCATENATE("B",Tabela1[[#This Row],[BLOCO]],Tabela1[[#This Row],[UO_COD]]),qdd!$AW$2:$AX$1000,2,FALSE),"")</f>
        <v/>
      </c>
      <c r="AB87" s="30" t="str">
        <f>IFERROR(Tabela1[[#This Row],[VALOR]]/100,"")</f>
        <v/>
      </c>
      <c r="AC87" s="7" t="str" cm="1">
        <f t="array" aca="1" ref="AC87" ca="1">IF(Tabela1[[#This Row],[VALOR]]&lt;0,"",IFERROR(SUBSTITUTE(Converter_numero(Tabela1[[#This Row],[VALOR INCISO]]),",",""),""))</f>
        <v/>
      </c>
      <c r="AD87" s="7" t="str">
        <f>IF(Tabela1[[#This Row],[TIPO]]=REGRAS!$W$2,REGRAS!$X$2,IF(Tabela1[[#This Row],[TIPO]]=REGRAS!$W$4,REGRAS!$X$4,""))</f>
        <v/>
      </c>
      <c r="AE87" s="29" t="e">
        <f>VLOOKUP(Tabela1[[#This Row],[FONTE_COD]],REGRAS!$O$2:$P$69,2,FALSE)</f>
        <v>#N/A</v>
      </c>
      <c r="AF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" spans="1:32" ht="18.75" customHeight="1">
      <c r="A88" s="2" t="str">
        <f>IFERROR(IF('PREENCHER AQUI'!A88="","",'PREENCHER AQUI'!A88),"")</f>
        <v/>
      </c>
      <c r="B88" s="1" t="str">
        <f>IFERROR(IF('PREENCHER AQUI'!B88="","",PROPER('PREENCHER AQUI'!B88)),"")</f>
        <v/>
      </c>
      <c r="C88" s="1" t="str">
        <f>IFERROR(IF('PREENCHER AQUI'!C88="","",'PREENCHER AQUI'!C88),"")</f>
        <v/>
      </c>
      <c r="D88" s="2" t="str">
        <f>IFERROR(IF('PREENCHER AQUI'!D88="","",'PREENCHER AQUI'!D88),"")</f>
        <v/>
      </c>
      <c r="E88" s="2" t="str">
        <f>IFERROR(VLOOKUP(CONCATENATE(C88,D88),qdd!$C$2:$F$1000,2,FALSE),"")</f>
        <v/>
      </c>
      <c r="F88" s="2" t="str">
        <f>IFERROR(VLOOKUP(CONCATENATE(C88,D88),qdd!$C$2:$F$1000,3,FALSE),"")</f>
        <v/>
      </c>
      <c r="G88" s="2" t="str">
        <f>IFERROR(VLOOKUP(CONCATENATE(C88,D88),qdd!$C$2:$F$1000,4,FALSE),"")</f>
        <v/>
      </c>
      <c r="H88" s="6" t="str">
        <f t="shared" si="4"/>
        <v/>
      </c>
      <c r="I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" s="2" t="str">
        <f>IFERROR(IF('PREENCHER AQUI'!E88="","",'PREENCHER AQUI'!E88),"")</f>
        <v/>
      </c>
      <c r="K88" s="2" t="str">
        <f>IFERROR(IF('PREENCHER AQUI'!F88="","",'PREENCHER AQUI'!F88),"")</f>
        <v/>
      </c>
      <c r="L88" s="2" t="str">
        <f>IF(Tabela1[[#This Row],[IPU_COD]]=9,"91",IF(Tabela1[[#This Row],[ACAO_COD]]="","",VLOOKUP(CONCATENATE("G",J88,"M",K88),qdd!$BC$2:$BD$46,2,FALSE)))</f>
        <v/>
      </c>
      <c r="M88" s="2" t="str">
        <f>TEXT(IFERROR(VLOOKUP(CONCATENATE(C88,D88),qdd!$C$2:$G$1000,5,FALSE),""),0)</f>
        <v/>
      </c>
      <c r="N88" s="2" t="str">
        <f>IFERROR(IF('PREENCHER AQUI'!I88="","",'PREENCHER AQUI'!I88),"")</f>
        <v/>
      </c>
      <c r="O88" s="2" t="str">
        <f>IFERROR(IF('PREENCHER AQUI'!J88="","",'PREENCHER AQUI'!J88),"")</f>
        <v/>
      </c>
      <c r="P88" s="7" t="str">
        <f t="shared" si="5"/>
        <v/>
      </c>
      <c r="Q88" s="8" t="str">
        <f>IFERROR(IF(Tabela4[[#This Row],[VALOR]]="","",IF(Tabela1[[#This Row],[ORIENTACAO]]="Anular",'PREENCHER AQUI'!K88*-1*100,'PREENCHER AQUI'!K88*100)),"")</f>
        <v/>
      </c>
      <c r="T88" s="7" t="str">
        <f>IFERROR(IF('PREENCHER AQUI'!L88="","999",LEFT('PREENCHER AQUI'!L88,1)),"")</f>
        <v>999</v>
      </c>
      <c r="V88" s="19"/>
      <c r="W88" s="1" t="str">
        <f>IFERROR(VLOOKUP(Tabela1[[#This Row],[UO_COD]],qdd!$AT$1:$AU$102,2,FALSE),"")</f>
        <v/>
      </c>
      <c r="X88" s="1" t="str">
        <f>CONCATENATE("F",Tabela1[[#This Row],[FONTE_COD]],Tabela1[[#This Row],[IPU_COD]],"G",Tabela1[[#This Row],[GRUPO_COD]],"T",Tabela1[[#This Row],[TIPO]])</f>
        <v>FGT999</v>
      </c>
      <c r="Y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" s="19"/>
      <c r="AA88" s="29" t="str">
        <f>IFERROR(VLOOKUP(CONCATENATE("B",Tabela1[[#This Row],[BLOCO]],Tabela1[[#This Row],[UO_COD]]),qdd!$AW$2:$AX$1000,2,FALSE),"")</f>
        <v/>
      </c>
      <c r="AB88" s="30" t="str">
        <f>IFERROR(Tabela1[[#This Row],[VALOR]]/100,"")</f>
        <v/>
      </c>
      <c r="AC88" s="7" t="str" cm="1">
        <f t="array" aca="1" ref="AC88" ca="1">IF(Tabela1[[#This Row],[VALOR]]&lt;0,"",IFERROR(SUBSTITUTE(Converter_numero(Tabela1[[#This Row],[VALOR INCISO]]),",",""),""))</f>
        <v/>
      </c>
      <c r="AD88" s="29" t="str">
        <f>IF(Tabela1[[#This Row],[TIPO]]=REGRAS!$W$2,REGRAS!$X$2,IF(Tabela1[[#This Row],[TIPO]]=REGRAS!$W$4,REGRAS!$X$4,""))</f>
        <v/>
      </c>
      <c r="AE88" s="29" t="e">
        <f>VLOOKUP(Tabela1[[#This Row],[FONTE_COD]],REGRAS!$O$2:$P$69,2,FALSE)</f>
        <v>#N/A</v>
      </c>
      <c r="AF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" spans="1:32" ht="18.75" customHeight="1">
      <c r="A89" s="2" t="str">
        <f>IFERROR(IF('PREENCHER AQUI'!A89="","",'PREENCHER AQUI'!A89),"")</f>
        <v/>
      </c>
      <c r="B89" s="1" t="str">
        <f>IFERROR(IF('PREENCHER AQUI'!B89="","",PROPER('PREENCHER AQUI'!B89)),"")</f>
        <v/>
      </c>
      <c r="C89" s="1" t="str">
        <f>IFERROR(IF('PREENCHER AQUI'!C89="","",'PREENCHER AQUI'!C89),"")</f>
        <v/>
      </c>
      <c r="D89" s="2" t="str">
        <f>IFERROR(IF('PREENCHER AQUI'!D89="","",'PREENCHER AQUI'!D89),"")</f>
        <v/>
      </c>
      <c r="E89" s="2" t="str">
        <f>IFERROR(VLOOKUP(CONCATENATE(C89,D89),qdd!$C$2:$F$1000,2,FALSE),"")</f>
        <v/>
      </c>
      <c r="F89" s="2" t="str">
        <f>IFERROR(VLOOKUP(CONCATENATE(C89,D89),qdd!$C$2:$F$1000,3,FALSE),"")</f>
        <v/>
      </c>
      <c r="G89" s="2" t="str">
        <f>IFERROR(VLOOKUP(CONCATENATE(C89,D89),qdd!$C$2:$F$1000,4,FALSE),"")</f>
        <v/>
      </c>
      <c r="H89" s="6" t="str">
        <f t="shared" si="4"/>
        <v/>
      </c>
      <c r="I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" s="2" t="str">
        <f>IFERROR(IF('PREENCHER AQUI'!E89="","",'PREENCHER AQUI'!E89),"")</f>
        <v/>
      </c>
      <c r="K89" s="2" t="str">
        <f>IFERROR(IF('PREENCHER AQUI'!F89="","",'PREENCHER AQUI'!F89),"")</f>
        <v/>
      </c>
      <c r="L89" s="2" t="str">
        <f>IF(Tabela1[[#This Row],[IPU_COD]]=9,"91",IF(Tabela1[[#This Row],[ACAO_COD]]="","",VLOOKUP(CONCATENATE("G",J89,"M",K89),qdd!$BC$2:$BD$46,2,FALSE)))</f>
        <v/>
      </c>
      <c r="M89" s="2" t="str">
        <f>TEXT(IFERROR(VLOOKUP(CONCATENATE(C89,D89),qdd!$C$2:$G$1000,5,FALSE),""),0)</f>
        <v/>
      </c>
      <c r="N89" s="2" t="str">
        <f>IFERROR(IF('PREENCHER AQUI'!I89="","",'PREENCHER AQUI'!I89),"")</f>
        <v/>
      </c>
      <c r="O89" s="2" t="str">
        <f>IFERROR(IF('PREENCHER AQUI'!J89="","",'PREENCHER AQUI'!J89),"")</f>
        <v/>
      </c>
      <c r="P89" s="7" t="str">
        <f t="shared" si="5"/>
        <v/>
      </c>
      <c r="Q89" s="8" t="str">
        <f>IFERROR(IF(Tabela4[[#This Row],[VALOR]]="","",IF(Tabela1[[#This Row],[ORIENTACAO]]="Anular",'PREENCHER AQUI'!K89*-1*100,'PREENCHER AQUI'!K89*100)),"")</f>
        <v/>
      </c>
      <c r="T89" s="7" t="str">
        <f>IFERROR(IF('PREENCHER AQUI'!L89="","999",LEFT('PREENCHER AQUI'!L89,1)),"")</f>
        <v>999</v>
      </c>
      <c r="V89" s="19"/>
      <c r="W89" s="1" t="str">
        <f>IFERROR(VLOOKUP(Tabela1[[#This Row],[UO_COD]],qdd!$AT$1:$AU$102,2,FALSE),"")</f>
        <v/>
      </c>
      <c r="X89" s="1" t="str">
        <f>CONCATENATE("F",Tabela1[[#This Row],[FONTE_COD]],Tabela1[[#This Row],[IPU_COD]],"G",Tabela1[[#This Row],[GRUPO_COD]],"T",Tabela1[[#This Row],[TIPO]])</f>
        <v>FGT999</v>
      </c>
      <c r="Y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" s="19"/>
      <c r="AA89" s="29" t="str">
        <f>IFERROR(VLOOKUP(CONCATENATE("B",Tabela1[[#This Row],[BLOCO]],Tabela1[[#This Row],[UO_COD]]),qdd!$AW$2:$AX$1000,2,FALSE),"")</f>
        <v/>
      </c>
      <c r="AB89" s="30" t="str">
        <f>IFERROR(Tabela1[[#This Row],[VALOR]]/100,"")</f>
        <v/>
      </c>
      <c r="AC89" s="7" t="str" cm="1">
        <f t="array" aca="1" ref="AC89" ca="1">IF(Tabela1[[#This Row],[VALOR]]&lt;0,"",IFERROR(SUBSTITUTE(Converter_numero(Tabela1[[#This Row],[VALOR INCISO]]),",",""),""))</f>
        <v/>
      </c>
      <c r="AD89" s="29" t="str">
        <f>IF(Tabela1[[#This Row],[TIPO]]=REGRAS!$W$2,REGRAS!$X$2,IF(Tabela1[[#This Row],[TIPO]]=REGRAS!$W$4,REGRAS!$X$4,""))</f>
        <v/>
      </c>
      <c r="AE89" s="29" t="e">
        <f>VLOOKUP(Tabela1[[#This Row],[FONTE_COD]],REGRAS!$O$2:$P$69,2,FALSE)</f>
        <v>#N/A</v>
      </c>
      <c r="AF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" spans="1:32" ht="18.75" customHeight="1">
      <c r="A90" s="2" t="str">
        <f>IFERROR(IF('PREENCHER AQUI'!A90="","",'PREENCHER AQUI'!A90),"")</f>
        <v/>
      </c>
      <c r="B90" s="1" t="str">
        <f>IFERROR(IF('PREENCHER AQUI'!B90="","",PROPER('PREENCHER AQUI'!B90)),"")</f>
        <v/>
      </c>
      <c r="C90" s="1" t="str">
        <f>IFERROR(IF('PREENCHER AQUI'!C90="","",'PREENCHER AQUI'!C90),"")</f>
        <v/>
      </c>
      <c r="D90" s="2" t="str">
        <f>IFERROR(IF('PREENCHER AQUI'!D90="","",'PREENCHER AQUI'!D90),"")</f>
        <v/>
      </c>
      <c r="E90" s="2" t="str">
        <f>IFERROR(VLOOKUP(CONCATENATE(C90,D90),qdd!$C$2:$F$1000,2,FALSE),"")</f>
        <v/>
      </c>
      <c r="F90" s="2" t="str">
        <f>IFERROR(VLOOKUP(CONCATENATE(C90,D90),qdd!$C$2:$F$1000,3,FALSE),"")</f>
        <v/>
      </c>
      <c r="G90" s="2" t="str">
        <f>IFERROR(VLOOKUP(CONCATENATE(C90,D90),qdd!$C$2:$F$1000,4,FALSE),"")</f>
        <v/>
      </c>
      <c r="H90" s="6" t="str">
        <f t="shared" si="4"/>
        <v/>
      </c>
      <c r="I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" s="2" t="str">
        <f>IFERROR(IF('PREENCHER AQUI'!E90="","",'PREENCHER AQUI'!E90),"")</f>
        <v/>
      </c>
      <c r="K90" s="2" t="str">
        <f>IFERROR(IF('PREENCHER AQUI'!F90="","",'PREENCHER AQUI'!F90),"")</f>
        <v/>
      </c>
      <c r="L90" s="2" t="str">
        <f>IF(Tabela1[[#This Row],[IPU_COD]]=9,"91",IF(Tabela1[[#This Row],[ACAO_COD]]="","",VLOOKUP(CONCATENATE("G",J90,"M",K90),qdd!$BC$2:$BD$46,2,FALSE)))</f>
        <v/>
      </c>
      <c r="M90" s="2" t="str">
        <f>TEXT(IFERROR(VLOOKUP(CONCATENATE(C90,D90),qdd!$C$2:$G$1000,5,FALSE),""),0)</f>
        <v/>
      </c>
      <c r="N90" s="2" t="str">
        <f>IFERROR(IF('PREENCHER AQUI'!I90="","",'PREENCHER AQUI'!I90),"")</f>
        <v/>
      </c>
      <c r="O90" s="2" t="str">
        <f>IFERROR(IF('PREENCHER AQUI'!J90="","",'PREENCHER AQUI'!J90),"")</f>
        <v/>
      </c>
      <c r="P90" s="7" t="str">
        <f t="shared" si="5"/>
        <v/>
      </c>
      <c r="Q90" s="8" t="str">
        <f>IFERROR(IF(Tabela4[[#This Row],[VALOR]]="","",IF(Tabela1[[#This Row],[ORIENTACAO]]="Anular",'PREENCHER AQUI'!K90*-1*100,'PREENCHER AQUI'!K90*100)),"")</f>
        <v/>
      </c>
      <c r="T90" s="7" t="str">
        <f>IFERROR(IF('PREENCHER AQUI'!L90="","999",LEFT('PREENCHER AQUI'!L90,1)),"")</f>
        <v>999</v>
      </c>
      <c r="V90" s="19"/>
      <c r="W90" s="20" t="str">
        <f>IFERROR(VLOOKUP(Tabela1[[#This Row],[UO_COD]],qdd!$AT$1:$AU$102,2,FALSE),"")</f>
        <v/>
      </c>
      <c r="X90" s="20" t="str">
        <f>CONCATENATE("F",Tabela1[[#This Row],[FONTE_COD]],Tabela1[[#This Row],[IPU_COD]],"G",Tabela1[[#This Row],[GRUPO_COD]],"T",Tabela1[[#This Row],[TIPO]])</f>
        <v>FGT999</v>
      </c>
      <c r="Y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" s="19"/>
      <c r="AA90" s="29" t="str">
        <f>IFERROR(VLOOKUP(CONCATENATE("B",Tabela1[[#This Row],[BLOCO]],Tabela1[[#This Row],[UO_COD]]),qdd!$AW$2:$AX$1000,2,FALSE),"")</f>
        <v/>
      </c>
      <c r="AB90" s="30" t="str">
        <f>IFERROR(Tabela1[[#This Row],[VALOR]]/100,"")</f>
        <v/>
      </c>
      <c r="AC90" s="7" t="str" cm="1">
        <f t="array" aca="1" ref="AC90" ca="1">IF(Tabela1[[#This Row],[VALOR]]&lt;0,"",IFERROR(SUBSTITUTE(Converter_numero(Tabela1[[#This Row],[VALOR INCISO]]),",",""),""))</f>
        <v/>
      </c>
      <c r="AD90" s="29" t="str">
        <f>IF(Tabela1[[#This Row],[TIPO]]=REGRAS!$W$2,REGRAS!$X$2,IF(Tabela1[[#This Row],[TIPO]]=REGRAS!$W$4,REGRAS!$X$4,""))</f>
        <v/>
      </c>
      <c r="AE90" s="29" t="e">
        <f>VLOOKUP(Tabela1[[#This Row],[FONTE_COD]],REGRAS!$O$2:$P$69,2,FALSE)</f>
        <v>#N/A</v>
      </c>
      <c r="AF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" spans="1:32" ht="18.75" customHeight="1">
      <c r="A91" s="2" t="str">
        <f>IFERROR(IF('PREENCHER AQUI'!A91="","",'PREENCHER AQUI'!A91),"")</f>
        <v/>
      </c>
      <c r="B91" s="1" t="str">
        <f>IFERROR(IF('PREENCHER AQUI'!B91="","",PROPER('PREENCHER AQUI'!B91)),"")</f>
        <v/>
      </c>
      <c r="C91" s="1" t="str">
        <f>IFERROR(IF('PREENCHER AQUI'!C91="","",'PREENCHER AQUI'!C91),"")</f>
        <v/>
      </c>
      <c r="D91" s="2" t="str">
        <f>IFERROR(IF('PREENCHER AQUI'!D91="","",'PREENCHER AQUI'!D91),"")</f>
        <v/>
      </c>
      <c r="E91" s="2" t="str">
        <f>IFERROR(VLOOKUP(CONCATENATE(C91,D91),qdd!$C$2:$F$1000,2,FALSE),"")</f>
        <v/>
      </c>
      <c r="F91" s="2" t="str">
        <f>IFERROR(VLOOKUP(CONCATENATE(C91,D91),qdd!$C$2:$F$1000,3,FALSE),"")</f>
        <v/>
      </c>
      <c r="G91" s="2" t="str">
        <f>IFERROR(VLOOKUP(CONCATENATE(C91,D91),qdd!$C$2:$F$1000,4,FALSE),"")</f>
        <v/>
      </c>
      <c r="H91" s="6" t="str">
        <f t="shared" si="4"/>
        <v/>
      </c>
      <c r="I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" s="2" t="str">
        <f>IFERROR(IF('PREENCHER AQUI'!E91="","",'PREENCHER AQUI'!E91),"")</f>
        <v/>
      </c>
      <c r="K91" s="2" t="str">
        <f>IFERROR(IF('PREENCHER AQUI'!F91="","",'PREENCHER AQUI'!F91),"")</f>
        <v/>
      </c>
      <c r="L91" s="2" t="str">
        <f>IF(Tabela1[[#This Row],[IPU_COD]]=9,"91",IF(Tabela1[[#This Row],[ACAO_COD]]="","",VLOOKUP(CONCATENATE("G",J91,"M",K91),qdd!$BC$2:$BD$46,2,FALSE)))</f>
        <v/>
      </c>
      <c r="M91" s="2" t="str">
        <f>TEXT(IFERROR(VLOOKUP(CONCATENATE(C91,D91),qdd!$C$2:$G$1000,5,FALSE),""),0)</f>
        <v/>
      </c>
      <c r="N91" s="2" t="str">
        <f>IFERROR(IF('PREENCHER AQUI'!I91="","",'PREENCHER AQUI'!I91),"")</f>
        <v/>
      </c>
      <c r="O91" s="2" t="str">
        <f>IFERROR(IF('PREENCHER AQUI'!J91="","",'PREENCHER AQUI'!J91),"")</f>
        <v/>
      </c>
      <c r="P91" s="7" t="str">
        <f t="shared" si="5"/>
        <v/>
      </c>
      <c r="Q91" s="8" t="str">
        <f>IFERROR(IF(Tabela4[[#This Row],[VALOR]]="","",IF(Tabela1[[#This Row],[ORIENTACAO]]="Anular",'PREENCHER AQUI'!K91*-1*100,'PREENCHER AQUI'!K91*100)),"")</f>
        <v/>
      </c>
      <c r="T91" s="7" t="str">
        <f>IFERROR(IF('PREENCHER AQUI'!L91="","999",LEFT('PREENCHER AQUI'!L91,1)),"")</f>
        <v>999</v>
      </c>
      <c r="V91" s="19"/>
      <c r="W91" s="1" t="str">
        <f>IFERROR(VLOOKUP(Tabela1[[#This Row],[UO_COD]],qdd!$AT$1:$AU$102,2,FALSE),"")</f>
        <v/>
      </c>
      <c r="X91" s="1" t="str">
        <f>CONCATENATE("F",Tabela1[[#This Row],[FONTE_COD]],Tabela1[[#This Row],[IPU_COD]],"G",Tabela1[[#This Row],[GRUPO_COD]],"T",Tabela1[[#This Row],[TIPO]])</f>
        <v>FGT999</v>
      </c>
      <c r="Y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" s="19"/>
      <c r="AA91" s="29" t="str">
        <f>IFERROR(VLOOKUP(CONCATENATE("B",Tabela1[[#This Row],[BLOCO]],Tabela1[[#This Row],[UO_COD]]),qdd!$AW$2:$AX$1000,2,FALSE),"")</f>
        <v/>
      </c>
      <c r="AB91" s="30" t="str">
        <f>IFERROR(Tabela1[[#This Row],[VALOR]]/100,"")</f>
        <v/>
      </c>
      <c r="AC91" s="7" t="str" cm="1">
        <f t="array" aca="1" ref="AC91" ca="1">IF(Tabela1[[#This Row],[VALOR]]&lt;0,"",IFERROR(SUBSTITUTE(Converter_numero(Tabela1[[#This Row],[VALOR INCISO]]),",",""),""))</f>
        <v/>
      </c>
      <c r="AD91" s="29" t="str">
        <f>IF(Tabela1[[#This Row],[TIPO]]=REGRAS!$W$2,REGRAS!$X$2,IF(Tabela1[[#This Row],[TIPO]]=REGRAS!$W$4,REGRAS!$X$4,""))</f>
        <v/>
      </c>
      <c r="AE91" s="29" t="e">
        <f>VLOOKUP(Tabela1[[#This Row],[FONTE_COD]],REGRAS!$O$2:$P$69,2,FALSE)</f>
        <v>#N/A</v>
      </c>
      <c r="AF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" spans="1:32" ht="18.75" customHeight="1">
      <c r="A92" s="2" t="str">
        <f>IFERROR(IF('PREENCHER AQUI'!A92="","",'PREENCHER AQUI'!A92),"")</f>
        <v/>
      </c>
      <c r="B92" s="1" t="str">
        <f>IFERROR(IF('PREENCHER AQUI'!B92="","",PROPER('PREENCHER AQUI'!B92)),"")</f>
        <v/>
      </c>
      <c r="C92" s="1" t="str">
        <f>IFERROR(IF('PREENCHER AQUI'!C92="","",'PREENCHER AQUI'!C92),"")</f>
        <v/>
      </c>
      <c r="D92" s="2" t="str">
        <f>IFERROR(IF('PREENCHER AQUI'!D92="","",'PREENCHER AQUI'!D92),"")</f>
        <v/>
      </c>
      <c r="E92" s="2" t="str">
        <f>IFERROR(VLOOKUP(CONCATENATE(C92,D92),qdd!$C$2:$F$1000,2,FALSE),"")</f>
        <v/>
      </c>
      <c r="F92" s="2" t="str">
        <f>IFERROR(VLOOKUP(CONCATENATE(C92,D92),qdd!$C$2:$F$1000,3,FALSE),"")</f>
        <v/>
      </c>
      <c r="G92" s="2" t="str">
        <f>IFERROR(VLOOKUP(CONCATENATE(C92,D92),qdd!$C$2:$F$1000,4,FALSE),"")</f>
        <v/>
      </c>
      <c r="H92" s="6" t="str">
        <f t="shared" si="4"/>
        <v/>
      </c>
      <c r="I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" s="2" t="str">
        <f>IFERROR(IF('PREENCHER AQUI'!E92="","",'PREENCHER AQUI'!E92),"")</f>
        <v/>
      </c>
      <c r="K92" s="2" t="str">
        <f>IFERROR(IF('PREENCHER AQUI'!F92="","",'PREENCHER AQUI'!F92),"")</f>
        <v/>
      </c>
      <c r="L92" s="2" t="str">
        <f>IF(Tabela1[[#This Row],[IPU_COD]]=9,"91",IF(Tabela1[[#This Row],[ACAO_COD]]="","",VLOOKUP(CONCATENATE("G",J92,"M",K92),qdd!$BC$2:$BD$46,2,FALSE)))</f>
        <v/>
      </c>
      <c r="M92" s="2" t="str">
        <f>TEXT(IFERROR(VLOOKUP(CONCATENATE(C92,D92),qdd!$C$2:$G$1000,5,FALSE),""),0)</f>
        <v/>
      </c>
      <c r="N92" s="2" t="str">
        <f>IFERROR(IF('PREENCHER AQUI'!I92="","",'PREENCHER AQUI'!I92),"")</f>
        <v/>
      </c>
      <c r="O92" s="2" t="str">
        <f>IFERROR(IF('PREENCHER AQUI'!J92="","",'PREENCHER AQUI'!J92),"")</f>
        <v/>
      </c>
      <c r="P92" s="7" t="str">
        <f t="shared" si="5"/>
        <v/>
      </c>
      <c r="Q92" s="8" t="str">
        <f>IFERROR(IF(Tabela4[[#This Row],[VALOR]]="","",IF(Tabela1[[#This Row],[ORIENTACAO]]="Anular",'PREENCHER AQUI'!K92*-1*100,'PREENCHER AQUI'!K92*100)),"")</f>
        <v/>
      </c>
      <c r="T92" s="7" t="str">
        <f>IFERROR(IF('PREENCHER AQUI'!L92="","999",LEFT('PREENCHER AQUI'!L92,1)),"")</f>
        <v>999</v>
      </c>
      <c r="W92" s="1" t="str">
        <f>IFERROR(VLOOKUP(Tabela1[[#This Row],[UO_COD]],qdd!$AT$1:$AU$102,2,FALSE),"")</f>
        <v/>
      </c>
      <c r="X92" s="1" t="str">
        <f>CONCATENATE("F",Tabela1[[#This Row],[FONTE_COD]],Tabela1[[#This Row],[IPU_COD]],"G",Tabela1[[#This Row],[GRUPO_COD]],"T",Tabela1[[#This Row],[TIPO]])</f>
        <v>FGT999</v>
      </c>
      <c r="Y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" s="19"/>
      <c r="AA92" s="29" t="str">
        <f>IFERROR(VLOOKUP(CONCATENATE("B",Tabela1[[#This Row],[BLOCO]],Tabela1[[#This Row],[UO_COD]]),qdd!$AW$2:$AX$1000,2,FALSE),"")</f>
        <v/>
      </c>
      <c r="AB92" s="30" t="str">
        <f>IFERROR(Tabela1[[#This Row],[VALOR]]/100,"")</f>
        <v/>
      </c>
      <c r="AC92" s="7" t="str" cm="1">
        <f t="array" aca="1" ref="AC92" ca="1">IF(Tabela1[[#This Row],[VALOR]]&lt;0,"",IFERROR(SUBSTITUTE(Converter_numero(Tabela1[[#This Row],[VALOR INCISO]]),",",""),""))</f>
        <v/>
      </c>
      <c r="AD92" s="7" t="str">
        <f>IF(Tabela1[[#This Row],[TIPO]]=REGRAS!$W$2,REGRAS!$X$2,IF(Tabela1[[#This Row],[TIPO]]=REGRAS!$W$4,REGRAS!$X$4,""))</f>
        <v/>
      </c>
      <c r="AE92" s="29" t="e">
        <f>VLOOKUP(Tabela1[[#This Row],[FONTE_COD]],REGRAS!$O$2:$P$69,2,FALSE)</f>
        <v>#N/A</v>
      </c>
      <c r="AF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" spans="1:32" ht="18.75" customHeight="1">
      <c r="A93" s="2" t="str">
        <f>IFERROR(IF('PREENCHER AQUI'!A93="","",'PREENCHER AQUI'!A93),"")</f>
        <v/>
      </c>
      <c r="B93" s="1" t="str">
        <f>IFERROR(IF('PREENCHER AQUI'!B93="","",PROPER('PREENCHER AQUI'!B93)),"")</f>
        <v/>
      </c>
      <c r="C93" s="1" t="str">
        <f>IFERROR(IF('PREENCHER AQUI'!C93="","",'PREENCHER AQUI'!C93),"")</f>
        <v/>
      </c>
      <c r="D93" s="2" t="str">
        <f>IFERROR(IF('PREENCHER AQUI'!D93="","",'PREENCHER AQUI'!D93),"")</f>
        <v/>
      </c>
      <c r="E93" s="2" t="str">
        <f>IFERROR(VLOOKUP(CONCATENATE(C93,D93),qdd!$C$2:$F$1000,2,FALSE),"")</f>
        <v/>
      </c>
      <c r="F93" s="2" t="str">
        <f>IFERROR(VLOOKUP(CONCATENATE(C93,D93),qdd!$C$2:$F$1000,3,FALSE),"")</f>
        <v/>
      </c>
      <c r="G93" s="2" t="str">
        <f>IFERROR(VLOOKUP(CONCATENATE(C93,D93),qdd!$C$2:$F$1000,4,FALSE),"")</f>
        <v/>
      </c>
      <c r="H93" s="6" t="str">
        <f t="shared" si="4"/>
        <v/>
      </c>
      <c r="I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" s="2" t="str">
        <f>IFERROR(IF('PREENCHER AQUI'!E93="","",'PREENCHER AQUI'!E93),"")</f>
        <v/>
      </c>
      <c r="K93" s="2" t="str">
        <f>IFERROR(IF('PREENCHER AQUI'!F93="","",'PREENCHER AQUI'!F93),"")</f>
        <v/>
      </c>
      <c r="L93" s="2" t="str">
        <f>IF(Tabela1[[#This Row],[IPU_COD]]=9,"91",IF(Tabela1[[#This Row],[ACAO_COD]]="","",VLOOKUP(CONCATENATE("G",J93,"M",K93),qdd!$BC$2:$BD$46,2,FALSE)))</f>
        <v/>
      </c>
      <c r="M93" s="2" t="str">
        <f>TEXT(IFERROR(VLOOKUP(CONCATENATE(C93,D93),qdd!$C$2:$G$1000,5,FALSE),""),0)</f>
        <v/>
      </c>
      <c r="N93" s="2" t="str">
        <f>IFERROR(IF('PREENCHER AQUI'!I93="","",'PREENCHER AQUI'!I93),"")</f>
        <v/>
      </c>
      <c r="O93" s="2" t="str">
        <f>IFERROR(IF('PREENCHER AQUI'!J93="","",'PREENCHER AQUI'!J93),"")</f>
        <v/>
      </c>
      <c r="P93" s="7" t="str">
        <f t="shared" si="5"/>
        <v/>
      </c>
      <c r="Q93" s="8" t="str">
        <f>IFERROR(IF(Tabela4[[#This Row],[VALOR]]="","",IF(Tabela1[[#This Row],[ORIENTACAO]]="Anular",'PREENCHER AQUI'!K93*-1*100,'PREENCHER AQUI'!K93*100)),"")</f>
        <v/>
      </c>
      <c r="T93" s="7" t="str">
        <f>IFERROR(IF('PREENCHER AQUI'!L93="","999",LEFT('PREENCHER AQUI'!L93,1)),"")</f>
        <v>999</v>
      </c>
      <c r="V93" s="19"/>
      <c r="W93" s="1" t="str">
        <f>IFERROR(VLOOKUP(Tabela1[[#This Row],[UO_COD]],qdd!$AT$1:$AU$102,2,FALSE),"")</f>
        <v/>
      </c>
      <c r="X93" s="1" t="str">
        <f>CONCATENATE("F",Tabela1[[#This Row],[FONTE_COD]],Tabela1[[#This Row],[IPU_COD]],"G",Tabela1[[#This Row],[GRUPO_COD]],"T",Tabela1[[#This Row],[TIPO]])</f>
        <v>FGT999</v>
      </c>
      <c r="Y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" s="19"/>
      <c r="AA93" s="29" t="str">
        <f>IFERROR(VLOOKUP(CONCATENATE("B",Tabela1[[#This Row],[BLOCO]],Tabela1[[#This Row],[UO_COD]]),qdd!$AW$2:$AX$1000,2,FALSE),"")</f>
        <v/>
      </c>
      <c r="AB93" s="30" t="str">
        <f>IFERROR(Tabela1[[#This Row],[VALOR]]/100,"")</f>
        <v/>
      </c>
      <c r="AC93" s="7" t="str" cm="1">
        <f t="array" aca="1" ref="AC93" ca="1">IF(Tabela1[[#This Row],[VALOR]]&lt;0,"",IFERROR(SUBSTITUTE(Converter_numero(Tabela1[[#This Row],[VALOR INCISO]]),",",""),""))</f>
        <v/>
      </c>
      <c r="AD93" s="29" t="str">
        <f>IF(Tabela1[[#This Row],[TIPO]]=REGRAS!$W$2,REGRAS!$X$2,IF(Tabela1[[#This Row],[TIPO]]=REGRAS!$W$4,REGRAS!$X$4,""))</f>
        <v/>
      </c>
      <c r="AE93" s="29" t="e">
        <f>VLOOKUP(Tabela1[[#This Row],[FONTE_COD]],REGRAS!$O$2:$P$69,2,FALSE)</f>
        <v>#N/A</v>
      </c>
      <c r="AF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" spans="1:32" ht="18.75" customHeight="1">
      <c r="A94" s="2" t="str">
        <f>IFERROR(IF('PREENCHER AQUI'!A94="","",'PREENCHER AQUI'!A94),"")</f>
        <v/>
      </c>
      <c r="B94" s="1" t="str">
        <f>IFERROR(IF('PREENCHER AQUI'!B94="","",PROPER('PREENCHER AQUI'!B94)),"")</f>
        <v/>
      </c>
      <c r="C94" s="1" t="str">
        <f>IFERROR(IF('PREENCHER AQUI'!C94="","",'PREENCHER AQUI'!C94),"")</f>
        <v/>
      </c>
      <c r="D94" s="2" t="str">
        <f>IFERROR(IF('PREENCHER AQUI'!D94="","",'PREENCHER AQUI'!D94),"")</f>
        <v/>
      </c>
      <c r="E94" s="2" t="str">
        <f>IFERROR(VLOOKUP(CONCATENATE(C94,D94),qdd!$C$2:$F$1000,2,FALSE),"")</f>
        <v/>
      </c>
      <c r="F94" s="2" t="str">
        <f>IFERROR(VLOOKUP(CONCATENATE(C94,D94),qdd!$C$2:$F$1000,3,FALSE),"")</f>
        <v/>
      </c>
      <c r="G94" s="2" t="str">
        <f>IFERROR(VLOOKUP(CONCATENATE(C94,D94),qdd!$C$2:$F$1000,4,FALSE),"")</f>
        <v/>
      </c>
      <c r="H94" s="6" t="str">
        <f t="shared" si="4"/>
        <v/>
      </c>
      <c r="I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" s="2" t="str">
        <f>IFERROR(IF('PREENCHER AQUI'!E94="","",'PREENCHER AQUI'!E94),"")</f>
        <v/>
      </c>
      <c r="K94" s="2" t="str">
        <f>IFERROR(IF('PREENCHER AQUI'!F94="","",'PREENCHER AQUI'!F94),"")</f>
        <v/>
      </c>
      <c r="L94" s="2" t="str">
        <f>IF(Tabela1[[#This Row],[IPU_COD]]=9,"91",IF(Tabela1[[#This Row],[ACAO_COD]]="","",VLOOKUP(CONCATENATE("G",J94,"M",K94),qdd!$BC$2:$BD$46,2,FALSE)))</f>
        <v/>
      </c>
      <c r="M94" s="2" t="str">
        <f>TEXT(IFERROR(VLOOKUP(CONCATENATE(C94,D94),qdd!$C$2:$G$1000,5,FALSE),""),0)</f>
        <v/>
      </c>
      <c r="N94" s="2" t="str">
        <f>IFERROR(IF('PREENCHER AQUI'!I94="","",'PREENCHER AQUI'!I94),"")</f>
        <v/>
      </c>
      <c r="O94" s="2" t="str">
        <f>IFERROR(IF('PREENCHER AQUI'!J94="","",'PREENCHER AQUI'!J94),"")</f>
        <v/>
      </c>
      <c r="P94" s="7" t="str">
        <f t="shared" si="5"/>
        <v/>
      </c>
      <c r="Q94" s="8" t="str">
        <f>IFERROR(IF(Tabela4[[#This Row],[VALOR]]="","",IF(Tabela1[[#This Row],[ORIENTACAO]]="Anular",'PREENCHER AQUI'!K94*-1*100,'PREENCHER AQUI'!K94*100)),"")</f>
        <v/>
      </c>
      <c r="T94" s="7" t="str">
        <f>IFERROR(IF('PREENCHER AQUI'!L94="","999",LEFT('PREENCHER AQUI'!L94,1)),"")</f>
        <v>999</v>
      </c>
      <c r="V94" s="19"/>
      <c r="W94" s="1" t="str">
        <f>IFERROR(VLOOKUP(Tabela1[[#This Row],[UO_COD]],qdd!$AT$1:$AU$102,2,FALSE),"")</f>
        <v/>
      </c>
      <c r="X94" s="1" t="str">
        <f>CONCATENATE("F",Tabela1[[#This Row],[FONTE_COD]],Tabela1[[#This Row],[IPU_COD]],"G",Tabela1[[#This Row],[GRUPO_COD]],"T",Tabela1[[#This Row],[TIPO]])</f>
        <v>FGT999</v>
      </c>
      <c r="Y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" s="19"/>
      <c r="AA94" s="29" t="str">
        <f>IFERROR(VLOOKUP(CONCATENATE("B",Tabela1[[#This Row],[BLOCO]],Tabela1[[#This Row],[UO_COD]]),qdd!$AW$2:$AX$1000,2,FALSE),"")</f>
        <v/>
      </c>
      <c r="AB94" s="30" t="str">
        <f>IFERROR(Tabela1[[#This Row],[VALOR]]/100,"")</f>
        <v/>
      </c>
      <c r="AC94" s="7" t="str" cm="1">
        <f t="array" aca="1" ref="AC94" ca="1">IF(Tabela1[[#This Row],[VALOR]]&lt;0,"",IFERROR(SUBSTITUTE(Converter_numero(Tabela1[[#This Row],[VALOR INCISO]]),",",""),""))</f>
        <v/>
      </c>
      <c r="AD94" s="29" t="str">
        <f>IF(Tabela1[[#This Row],[TIPO]]=REGRAS!$W$2,REGRAS!$X$2,IF(Tabela1[[#This Row],[TIPO]]=REGRAS!$W$4,REGRAS!$X$4,""))</f>
        <v/>
      </c>
      <c r="AE94" s="29" t="e">
        <f>VLOOKUP(Tabela1[[#This Row],[FONTE_COD]],REGRAS!$O$2:$P$69,2,FALSE)</f>
        <v>#N/A</v>
      </c>
      <c r="AF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" spans="1:32" ht="18.75" customHeight="1">
      <c r="A95" s="2" t="str">
        <f>IFERROR(IF('PREENCHER AQUI'!A95="","",'PREENCHER AQUI'!A95),"")</f>
        <v/>
      </c>
      <c r="B95" s="1" t="str">
        <f>IFERROR(IF('PREENCHER AQUI'!B95="","",PROPER('PREENCHER AQUI'!B95)),"")</f>
        <v/>
      </c>
      <c r="C95" s="1" t="str">
        <f>IFERROR(IF('PREENCHER AQUI'!C95="","",'PREENCHER AQUI'!C95),"")</f>
        <v/>
      </c>
      <c r="D95" s="2" t="str">
        <f>IFERROR(IF('PREENCHER AQUI'!D95="","",'PREENCHER AQUI'!D95),"")</f>
        <v/>
      </c>
      <c r="E95" s="2" t="str">
        <f>IFERROR(VLOOKUP(CONCATENATE(C95,D95),qdd!$C$2:$F$1000,2,FALSE),"")</f>
        <v/>
      </c>
      <c r="F95" s="2" t="str">
        <f>IFERROR(VLOOKUP(CONCATENATE(C95,D95),qdd!$C$2:$F$1000,3,FALSE),"")</f>
        <v/>
      </c>
      <c r="G95" s="2" t="str">
        <f>IFERROR(VLOOKUP(CONCATENATE(C95,D95),qdd!$C$2:$F$1000,4,FALSE),"")</f>
        <v/>
      </c>
      <c r="H95" s="6" t="str">
        <f t="shared" si="4"/>
        <v/>
      </c>
      <c r="I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" s="2" t="str">
        <f>IFERROR(IF('PREENCHER AQUI'!E95="","",'PREENCHER AQUI'!E95),"")</f>
        <v/>
      </c>
      <c r="K95" s="2" t="str">
        <f>IFERROR(IF('PREENCHER AQUI'!F95="","",'PREENCHER AQUI'!F95),"")</f>
        <v/>
      </c>
      <c r="L95" s="2" t="str">
        <f>IF(Tabela1[[#This Row],[IPU_COD]]=9,"91",IF(Tabela1[[#This Row],[ACAO_COD]]="","",VLOOKUP(CONCATENATE("G",J95,"M",K95),qdd!$BC$2:$BD$46,2,FALSE)))</f>
        <v/>
      </c>
      <c r="M95" s="2" t="str">
        <f>TEXT(IFERROR(VLOOKUP(CONCATENATE(C95,D95),qdd!$C$2:$G$1000,5,FALSE),""),0)</f>
        <v/>
      </c>
      <c r="N95" s="2" t="str">
        <f>IFERROR(IF('PREENCHER AQUI'!I95="","",'PREENCHER AQUI'!I95),"")</f>
        <v/>
      </c>
      <c r="O95" s="2" t="str">
        <f>IFERROR(IF('PREENCHER AQUI'!J95="","",'PREENCHER AQUI'!J95),"")</f>
        <v/>
      </c>
      <c r="P95" s="7" t="str">
        <f t="shared" si="5"/>
        <v/>
      </c>
      <c r="Q95" s="8" t="str">
        <f>IFERROR(IF(Tabela4[[#This Row],[VALOR]]="","",IF(Tabela1[[#This Row],[ORIENTACAO]]="Anular",'PREENCHER AQUI'!K95*-1*100,'PREENCHER AQUI'!K95*100)),"")</f>
        <v/>
      </c>
      <c r="T95" s="7" t="str">
        <f>IFERROR(IF('PREENCHER AQUI'!L95="","999",LEFT('PREENCHER AQUI'!L95,1)),"")</f>
        <v>999</v>
      </c>
      <c r="V95" s="19"/>
      <c r="W95" s="20" t="str">
        <f>IFERROR(VLOOKUP(Tabela1[[#This Row],[UO_COD]],qdd!$AT$1:$AU$102,2,FALSE),"")</f>
        <v/>
      </c>
      <c r="X95" s="20" t="str">
        <f>CONCATENATE("F",Tabela1[[#This Row],[FONTE_COD]],Tabela1[[#This Row],[IPU_COD]],"G",Tabela1[[#This Row],[GRUPO_COD]],"T",Tabela1[[#This Row],[TIPO]])</f>
        <v>FGT999</v>
      </c>
      <c r="Y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" s="19"/>
      <c r="AA95" s="29" t="str">
        <f>IFERROR(VLOOKUP(CONCATENATE("B",Tabela1[[#This Row],[BLOCO]],Tabela1[[#This Row],[UO_COD]]),qdd!$AW$2:$AX$1000,2,FALSE),"")</f>
        <v/>
      </c>
      <c r="AB95" s="30" t="str">
        <f>IFERROR(Tabela1[[#This Row],[VALOR]]/100,"")</f>
        <v/>
      </c>
      <c r="AC95" s="7" t="str" cm="1">
        <f t="array" aca="1" ref="AC95" ca="1">IF(Tabela1[[#This Row],[VALOR]]&lt;0,"",IFERROR(SUBSTITUTE(Converter_numero(Tabela1[[#This Row],[VALOR INCISO]]),",",""),""))</f>
        <v/>
      </c>
      <c r="AD95" s="29" t="str">
        <f>IF(Tabela1[[#This Row],[TIPO]]=REGRAS!$W$2,REGRAS!$X$2,IF(Tabela1[[#This Row],[TIPO]]=REGRAS!$W$4,REGRAS!$X$4,""))</f>
        <v/>
      </c>
      <c r="AE95" s="29" t="e">
        <f>VLOOKUP(Tabela1[[#This Row],[FONTE_COD]],REGRAS!$O$2:$P$69,2,FALSE)</f>
        <v>#N/A</v>
      </c>
      <c r="AF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" spans="1:32" ht="18.75" customHeight="1">
      <c r="A96" s="2" t="str">
        <f>IFERROR(IF('PREENCHER AQUI'!A96="","",'PREENCHER AQUI'!A96),"")</f>
        <v/>
      </c>
      <c r="B96" s="1" t="str">
        <f>IFERROR(IF('PREENCHER AQUI'!B96="","",PROPER('PREENCHER AQUI'!B96)),"")</f>
        <v/>
      </c>
      <c r="C96" s="1" t="str">
        <f>IFERROR(IF('PREENCHER AQUI'!C96="","",'PREENCHER AQUI'!C96),"")</f>
        <v/>
      </c>
      <c r="D96" s="2" t="str">
        <f>IFERROR(IF('PREENCHER AQUI'!D96="","",'PREENCHER AQUI'!D96),"")</f>
        <v/>
      </c>
      <c r="E96" s="2" t="str">
        <f>IFERROR(VLOOKUP(CONCATENATE(C96,D96),qdd!$C$2:$F$1000,2,FALSE),"")</f>
        <v/>
      </c>
      <c r="F96" s="2" t="str">
        <f>IFERROR(VLOOKUP(CONCATENATE(C96,D96),qdd!$C$2:$F$1000,3,FALSE),"")</f>
        <v/>
      </c>
      <c r="G96" s="2" t="str">
        <f>IFERROR(VLOOKUP(CONCATENATE(C96,D96),qdd!$C$2:$F$1000,4,FALSE),"")</f>
        <v/>
      </c>
      <c r="H96" s="6" t="str">
        <f t="shared" si="4"/>
        <v/>
      </c>
      <c r="I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" s="2" t="str">
        <f>IFERROR(IF('PREENCHER AQUI'!E96="","",'PREENCHER AQUI'!E96),"")</f>
        <v/>
      </c>
      <c r="K96" s="2" t="str">
        <f>IFERROR(IF('PREENCHER AQUI'!F96="","",'PREENCHER AQUI'!F96),"")</f>
        <v/>
      </c>
      <c r="L96" s="2" t="str">
        <f>IF(Tabela1[[#This Row],[IPU_COD]]=9,"91",IF(Tabela1[[#This Row],[ACAO_COD]]="","",VLOOKUP(CONCATENATE("G",J96,"M",K96),qdd!$BC$2:$BD$46,2,FALSE)))</f>
        <v/>
      </c>
      <c r="M96" s="2" t="str">
        <f>TEXT(IFERROR(VLOOKUP(CONCATENATE(C96,D96),qdd!$C$2:$G$1000,5,FALSE),""),0)</f>
        <v/>
      </c>
      <c r="N96" s="2" t="str">
        <f>IFERROR(IF('PREENCHER AQUI'!I96="","",'PREENCHER AQUI'!I96),"")</f>
        <v/>
      </c>
      <c r="O96" s="2" t="str">
        <f>IFERROR(IF('PREENCHER AQUI'!J96="","",'PREENCHER AQUI'!J96),"")</f>
        <v/>
      </c>
      <c r="P96" s="7" t="str">
        <f t="shared" si="5"/>
        <v/>
      </c>
      <c r="Q96" s="8" t="str">
        <f>IFERROR(IF(Tabela4[[#This Row],[VALOR]]="","",IF(Tabela1[[#This Row],[ORIENTACAO]]="Anular",'PREENCHER AQUI'!K96*-1*100,'PREENCHER AQUI'!K96*100)),"")</f>
        <v/>
      </c>
      <c r="T96" s="7" t="str">
        <f>IFERROR(IF('PREENCHER AQUI'!L96="","999",LEFT('PREENCHER AQUI'!L96,1)),"")</f>
        <v>999</v>
      </c>
      <c r="V96" s="19"/>
      <c r="W96" s="1" t="str">
        <f>IFERROR(VLOOKUP(Tabela1[[#This Row],[UO_COD]],qdd!$AT$1:$AU$102,2,FALSE),"")</f>
        <v/>
      </c>
      <c r="X96" s="1" t="str">
        <f>CONCATENATE("F",Tabela1[[#This Row],[FONTE_COD]],Tabela1[[#This Row],[IPU_COD]],"G",Tabela1[[#This Row],[GRUPO_COD]],"T",Tabela1[[#This Row],[TIPO]])</f>
        <v>FGT999</v>
      </c>
      <c r="Y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" s="19"/>
      <c r="AA96" s="29" t="str">
        <f>IFERROR(VLOOKUP(CONCATENATE("B",Tabela1[[#This Row],[BLOCO]],Tabela1[[#This Row],[UO_COD]]),qdd!$AW$2:$AX$1000,2,FALSE),"")</f>
        <v/>
      </c>
      <c r="AB96" s="30" t="str">
        <f>IFERROR(Tabela1[[#This Row],[VALOR]]/100,"")</f>
        <v/>
      </c>
      <c r="AC96" s="7" t="str" cm="1">
        <f t="array" aca="1" ref="AC96" ca="1">IF(Tabela1[[#This Row],[VALOR]]&lt;0,"",IFERROR(SUBSTITUTE(Converter_numero(Tabela1[[#This Row],[VALOR INCISO]]),",",""),""))</f>
        <v/>
      </c>
      <c r="AD96" s="29" t="str">
        <f>IF(Tabela1[[#This Row],[TIPO]]=REGRAS!$W$2,REGRAS!$X$2,IF(Tabela1[[#This Row],[TIPO]]=REGRAS!$W$4,REGRAS!$X$4,""))</f>
        <v/>
      </c>
      <c r="AE96" s="29" t="e">
        <f>VLOOKUP(Tabela1[[#This Row],[FONTE_COD]],REGRAS!$O$2:$P$69,2,FALSE)</f>
        <v>#N/A</v>
      </c>
      <c r="AF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" spans="1:32" ht="18.75" customHeight="1">
      <c r="A97" s="2" t="str">
        <f>IFERROR(IF('PREENCHER AQUI'!A97="","",'PREENCHER AQUI'!A97),"")</f>
        <v/>
      </c>
      <c r="B97" s="1" t="str">
        <f>IFERROR(IF('PREENCHER AQUI'!B97="","",PROPER('PREENCHER AQUI'!B97)),"")</f>
        <v/>
      </c>
      <c r="C97" s="1" t="str">
        <f>IFERROR(IF('PREENCHER AQUI'!C97="","",'PREENCHER AQUI'!C97),"")</f>
        <v/>
      </c>
      <c r="D97" s="2" t="str">
        <f>IFERROR(IF('PREENCHER AQUI'!D97="","",'PREENCHER AQUI'!D97),"")</f>
        <v/>
      </c>
      <c r="E97" s="2" t="str">
        <f>IFERROR(VLOOKUP(CONCATENATE(C97,D97),qdd!$C$2:$F$1000,2,FALSE),"")</f>
        <v/>
      </c>
      <c r="F97" s="2" t="str">
        <f>IFERROR(VLOOKUP(CONCATENATE(C97,D97),qdd!$C$2:$F$1000,3,FALSE),"")</f>
        <v/>
      </c>
      <c r="G97" s="2" t="str">
        <f>IFERROR(VLOOKUP(CONCATENATE(C97,D97),qdd!$C$2:$F$1000,4,FALSE),"")</f>
        <v/>
      </c>
      <c r="H97" s="6" t="str">
        <f t="shared" si="4"/>
        <v/>
      </c>
      <c r="I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" s="2" t="str">
        <f>IFERROR(IF('PREENCHER AQUI'!E97="","",'PREENCHER AQUI'!E97),"")</f>
        <v/>
      </c>
      <c r="K97" s="2" t="str">
        <f>IFERROR(IF('PREENCHER AQUI'!F97="","",'PREENCHER AQUI'!F97),"")</f>
        <v/>
      </c>
      <c r="L97" s="2" t="str">
        <f>IF(Tabela1[[#This Row],[IPU_COD]]=9,"91",IF(Tabela1[[#This Row],[ACAO_COD]]="","",VLOOKUP(CONCATENATE("G",J97,"M",K97),qdd!$BC$2:$BD$46,2,FALSE)))</f>
        <v/>
      </c>
      <c r="M97" s="2" t="str">
        <f>TEXT(IFERROR(VLOOKUP(CONCATENATE(C97,D97),qdd!$C$2:$G$1000,5,FALSE),""),0)</f>
        <v/>
      </c>
      <c r="N97" s="2" t="str">
        <f>IFERROR(IF('PREENCHER AQUI'!I97="","",'PREENCHER AQUI'!I97),"")</f>
        <v/>
      </c>
      <c r="O97" s="2" t="str">
        <f>IFERROR(IF('PREENCHER AQUI'!J97="","",'PREENCHER AQUI'!J97),"")</f>
        <v/>
      </c>
      <c r="P97" s="7" t="str">
        <f t="shared" si="5"/>
        <v/>
      </c>
      <c r="Q97" s="8" t="str">
        <f>IFERROR(IF(Tabela4[[#This Row],[VALOR]]="","",IF(Tabela1[[#This Row],[ORIENTACAO]]="Anular",'PREENCHER AQUI'!K97*-1*100,'PREENCHER AQUI'!K97*100)),"")</f>
        <v/>
      </c>
      <c r="T97" s="7" t="str">
        <f>IFERROR(IF('PREENCHER AQUI'!L97="","999",LEFT('PREENCHER AQUI'!L97,1)),"")</f>
        <v>999</v>
      </c>
      <c r="W97" s="1" t="str">
        <f>IFERROR(VLOOKUP(Tabela1[[#This Row],[UO_COD]],qdd!$AT$1:$AU$102,2,FALSE),"")</f>
        <v/>
      </c>
      <c r="X97" s="1" t="str">
        <f>CONCATENATE("F",Tabela1[[#This Row],[FONTE_COD]],Tabela1[[#This Row],[IPU_COD]],"G",Tabela1[[#This Row],[GRUPO_COD]],"T",Tabela1[[#This Row],[TIPO]])</f>
        <v>FGT999</v>
      </c>
      <c r="Y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" s="19"/>
      <c r="AA97" s="29" t="str">
        <f>IFERROR(VLOOKUP(CONCATENATE("B",Tabela1[[#This Row],[BLOCO]],Tabela1[[#This Row],[UO_COD]]),qdd!$AW$2:$AX$1000,2,FALSE),"")</f>
        <v/>
      </c>
      <c r="AB97" s="30" t="str">
        <f>IFERROR(Tabela1[[#This Row],[VALOR]]/100,"")</f>
        <v/>
      </c>
      <c r="AC97" s="7" t="str" cm="1">
        <f t="array" aca="1" ref="AC97" ca="1">IF(Tabela1[[#This Row],[VALOR]]&lt;0,"",IFERROR(SUBSTITUTE(Converter_numero(Tabela1[[#This Row],[VALOR INCISO]]),",",""),""))</f>
        <v/>
      </c>
      <c r="AD97" s="7" t="str">
        <f>IF(Tabela1[[#This Row],[TIPO]]=REGRAS!$W$2,REGRAS!$X$2,IF(Tabela1[[#This Row],[TIPO]]=REGRAS!$W$4,REGRAS!$X$4,""))</f>
        <v/>
      </c>
      <c r="AE97" s="29" t="e">
        <f>VLOOKUP(Tabela1[[#This Row],[FONTE_COD]],REGRAS!$O$2:$P$69,2,FALSE)</f>
        <v>#N/A</v>
      </c>
      <c r="AF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" spans="1:32" ht="18.75" customHeight="1">
      <c r="A98" s="2" t="str">
        <f>IFERROR(IF('PREENCHER AQUI'!A98="","",'PREENCHER AQUI'!A98),"")</f>
        <v/>
      </c>
      <c r="B98" s="1" t="str">
        <f>IFERROR(IF('PREENCHER AQUI'!B98="","",PROPER('PREENCHER AQUI'!B98)),"")</f>
        <v/>
      </c>
      <c r="C98" s="1" t="str">
        <f>IFERROR(IF('PREENCHER AQUI'!C98="","",'PREENCHER AQUI'!C98),"")</f>
        <v/>
      </c>
      <c r="D98" s="2" t="str">
        <f>IFERROR(IF('PREENCHER AQUI'!D98="","",'PREENCHER AQUI'!D98),"")</f>
        <v/>
      </c>
      <c r="E98" s="2" t="str">
        <f>IFERROR(VLOOKUP(CONCATENATE(C98,D98),qdd!$C$2:$F$1000,2,FALSE),"")</f>
        <v/>
      </c>
      <c r="F98" s="2" t="str">
        <f>IFERROR(VLOOKUP(CONCATENATE(C98,D98),qdd!$C$2:$F$1000,3,FALSE),"")</f>
        <v/>
      </c>
      <c r="G98" s="2" t="str">
        <f>IFERROR(VLOOKUP(CONCATENATE(C98,D98),qdd!$C$2:$F$1000,4,FALSE),"")</f>
        <v/>
      </c>
      <c r="H98" s="6" t="str">
        <f t="shared" si="4"/>
        <v/>
      </c>
      <c r="I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" s="2" t="str">
        <f>IFERROR(IF('PREENCHER AQUI'!E98="","",'PREENCHER AQUI'!E98),"")</f>
        <v/>
      </c>
      <c r="K98" s="2" t="str">
        <f>IFERROR(IF('PREENCHER AQUI'!F98="","",'PREENCHER AQUI'!F98),"")</f>
        <v/>
      </c>
      <c r="L98" s="2" t="str">
        <f>IF(Tabela1[[#This Row],[IPU_COD]]=9,"91",IF(Tabela1[[#This Row],[ACAO_COD]]="","",VLOOKUP(CONCATENATE("G",J98,"M",K98),qdd!$BC$2:$BD$46,2,FALSE)))</f>
        <v/>
      </c>
      <c r="M98" s="2" t="str">
        <f>TEXT(IFERROR(VLOOKUP(CONCATENATE(C98,D98),qdd!$C$2:$G$1000,5,FALSE),""),0)</f>
        <v/>
      </c>
      <c r="N98" s="2" t="str">
        <f>IFERROR(IF('PREENCHER AQUI'!I98="","",'PREENCHER AQUI'!I98),"")</f>
        <v/>
      </c>
      <c r="O98" s="2" t="str">
        <f>IFERROR(IF('PREENCHER AQUI'!J98="","",'PREENCHER AQUI'!J98),"")</f>
        <v/>
      </c>
      <c r="P98" s="7" t="str">
        <f t="shared" si="5"/>
        <v/>
      </c>
      <c r="Q98" s="8" t="str">
        <f>IFERROR(IF(Tabela4[[#This Row],[VALOR]]="","",IF(Tabela1[[#This Row],[ORIENTACAO]]="Anular",'PREENCHER AQUI'!K98*-1*100,'PREENCHER AQUI'!K98*100)),"")</f>
        <v/>
      </c>
      <c r="T98" s="7" t="str">
        <f>IFERROR(IF('PREENCHER AQUI'!L98="","999",LEFT('PREENCHER AQUI'!L98,1)),"")</f>
        <v>999</v>
      </c>
      <c r="V98" s="19"/>
      <c r="W98" s="1" t="str">
        <f>IFERROR(VLOOKUP(Tabela1[[#This Row],[UO_COD]],qdd!$AT$1:$AU$102,2,FALSE),"")</f>
        <v/>
      </c>
      <c r="X98" s="1" t="str">
        <f>CONCATENATE("F",Tabela1[[#This Row],[FONTE_COD]],Tabela1[[#This Row],[IPU_COD]],"G",Tabela1[[#This Row],[GRUPO_COD]],"T",Tabela1[[#This Row],[TIPO]])</f>
        <v>FGT999</v>
      </c>
      <c r="Y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" s="19"/>
      <c r="AA98" s="29" t="str">
        <f>IFERROR(VLOOKUP(CONCATENATE("B",Tabela1[[#This Row],[BLOCO]],Tabela1[[#This Row],[UO_COD]]),qdd!$AW$2:$AX$1000,2,FALSE),"")</f>
        <v/>
      </c>
      <c r="AB98" s="30" t="str">
        <f>IFERROR(Tabela1[[#This Row],[VALOR]]/100,"")</f>
        <v/>
      </c>
      <c r="AC98" s="7" t="str" cm="1">
        <f t="array" aca="1" ref="AC98" ca="1">IF(Tabela1[[#This Row],[VALOR]]&lt;0,"",IFERROR(SUBSTITUTE(Converter_numero(Tabela1[[#This Row],[VALOR INCISO]]),",",""),""))</f>
        <v/>
      </c>
      <c r="AD98" s="29" t="str">
        <f>IF(Tabela1[[#This Row],[TIPO]]=REGRAS!$W$2,REGRAS!$X$2,IF(Tabela1[[#This Row],[TIPO]]=REGRAS!$W$4,REGRAS!$X$4,""))</f>
        <v/>
      </c>
      <c r="AE98" s="29" t="e">
        <f>VLOOKUP(Tabela1[[#This Row],[FONTE_COD]],REGRAS!$O$2:$P$69,2,FALSE)</f>
        <v>#N/A</v>
      </c>
      <c r="AF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" spans="1:32" ht="18.75" customHeight="1">
      <c r="A99" s="2" t="str">
        <f>IFERROR(IF('PREENCHER AQUI'!A99="","",'PREENCHER AQUI'!A99),"")</f>
        <v/>
      </c>
      <c r="B99" s="1" t="str">
        <f>IFERROR(IF('PREENCHER AQUI'!B99="","",PROPER('PREENCHER AQUI'!B99)),"")</f>
        <v/>
      </c>
      <c r="C99" s="1" t="str">
        <f>IFERROR(IF('PREENCHER AQUI'!C99="","",'PREENCHER AQUI'!C99),"")</f>
        <v/>
      </c>
      <c r="D99" s="2" t="str">
        <f>IFERROR(IF('PREENCHER AQUI'!D99="","",'PREENCHER AQUI'!D99),"")</f>
        <v/>
      </c>
      <c r="E99" s="2" t="str">
        <f>IFERROR(VLOOKUP(CONCATENATE(C99,D99),qdd!$C$2:$F$1000,2,FALSE),"")</f>
        <v/>
      </c>
      <c r="F99" s="2" t="str">
        <f>IFERROR(VLOOKUP(CONCATENATE(C99,D99),qdd!$C$2:$F$1000,3,FALSE),"")</f>
        <v/>
      </c>
      <c r="G99" s="2" t="str">
        <f>IFERROR(VLOOKUP(CONCATENATE(C99,D99),qdd!$C$2:$F$1000,4,FALSE),"")</f>
        <v/>
      </c>
      <c r="H99" s="6" t="str">
        <f t="shared" si="4"/>
        <v/>
      </c>
      <c r="I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" s="2" t="str">
        <f>IFERROR(IF('PREENCHER AQUI'!E99="","",'PREENCHER AQUI'!E99),"")</f>
        <v/>
      </c>
      <c r="K99" s="2" t="str">
        <f>IFERROR(IF('PREENCHER AQUI'!F99="","",'PREENCHER AQUI'!F99),"")</f>
        <v/>
      </c>
      <c r="L99" s="2" t="str">
        <f>IF(Tabela1[[#This Row],[IPU_COD]]=9,"91",IF(Tabela1[[#This Row],[ACAO_COD]]="","",VLOOKUP(CONCATENATE("G",J99,"M",K99),qdd!$BC$2:$BD$46,2,FALSE)))</f>
        <v/>
      </c>
      <c r="M99" s="2" t="str">
        <f>TEXT(IFERROR(VLOOKUP(CONCATENATE(C99,D99),qdd!$C$2:$G$1000,5,FALSE),""),0)</f>
        <v/>
      </c>
      <c r="N99" s="2" t="str">
        <f>IFERROR(IF('PREENCHER AQUI'!I99="","",'PREENCHER AQUI'!I99),"")</f>
        <v/>
      </c>
      <c r="O99" s="2" t="str">
        <f>IFERROR(IF('PREENCHER AQUI'!J99="","",'PREENCHER AQUI'!J99),"")</f>
        <v/>
      </c>
      <c r="P99" s="7" t="str">
        <f t="shared" si="5"/>
        <v/>
      </c>
      <c r="Q99" s="8" t="str">
        <f>IFERROR(IF(Tabela4[[#This Row],[VALOR]]="","",IF(Tabela1[[#This Row],[ORIENTACAO]]="Anular",'PREENCHER AQUI'!K99*-1*100,'PREENCHER AQUI'!K99*100)),"")</f>
        <v/>
      </c>
      <c r="T99" s="7" t="str">
        <f>IFERROR(IF('PREENCHER AQUI'!L99="","999",LEFT('PREENCHER AQUI'!L99,1)),"")</f>
        <v>999</v>
      </c>
      <c r="V99" s="19"/>
      <c r="W99" s="1" t="str">
        <f>IFERROR(VLOOKUP(Tabela1[[#This Row],[UO_COD]],qdd!$AT$1:$AU$102,2,FALSE),"")</f>
        <v/>
      </c>
      <c r="X99" s="1" t="str">
        <f>CONCATENATE("F",Tabela1[[#This Row],[FONTE_COD]],Tabela1[[#This Row],[IPU_COD]],"G",Tabela1[[#This Row],[GRUPO_COD]],"T",Tabela1[[#This Row],[TIPO]])</f>
        <v>FGT999</v>
      </c>
      <c r="Y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" s="19"/>
      <c r="AA99" s="29" t="str">
        <f>IFERROR(VLOOKUP(CONCATENATE("B",Tabela1[[#This Row],[BLOCO]],Tabela1[[#This Row],[UO_COD]]),qdd!$AW$2:$AX$1000,2,FALSE),"")</f>
        <v/>
      </c>
      <c r="AB99" s="30" t="str">
        <f>IFERROR(Tabela1[[#This Row],[VALOR]]/100,"")</f>
        <v/>
      </c>
      <c r="AC99" s="7" t="str" cm="1">
        <f t="array" aca="1" ref="AC99" ca="1">IF(Tabela1[[#This Row],[VALOR]]&lt;0,"",IFERROR(SUBSTITUTE(Converter_numero(Tabela1[[#This Row],[VALOR INCISO]]),",",""),""))</f>
        <v/>
      </c>
      <c r="AD99" s="29" t="str">
        <f>IF(Tabela1[[#This Row],[TIPO]]=REGRAS!$W$2,REGRAS!$X$2,IF(Tabela1[[#This Row],[TIPO]]=REGRAS!$W$4,REGRAS!$X$4,""))</f>
        <v/>
      </c>
      <c r="AE99" s="29" t="e">
        <f>VLOOKUP(Tabela1[[#This Row],[FONTE_COD]],REGRAS!$O$2:$P$69,2,FALSE)</f>
        <v>#N/A</v>
      </c>
      <c r="AF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" spans="1:32" ht="18.75" customHeight="1">
      <c r="A100" s="2" t="str">
        <f>IFERROR(IF('PREENCHER AQUI'!A100="","",'PREENCHER AQUI'!A100),"")</f>
        <v/>
      </c>
      <c r="B100" s="1" t="str">
        <f>IFERROR(IF('PREENCHER AQUI'!B100="","",PROPER('PREENCHER AQUI'!B100)),"")</f>
        <v/>
      </c>
      <c r="C100" s="1" t="str">
        <f>IFERROR(IF('PREENCHER AQUI'!C100="","",'PREENCHER AQUI'!C100),"")</f>
        <v/>
      </c>
      <c r="D100" s="2" t="str">
        <f>IFERROR(IF('PREENCHER AQUI'!D100="","",'PREENCHER AQUI'!D100),"")</f>
        <v/>
      </c>
      <c r="E100" s="2" t="str">
        <f>IFERROR(VLOOKUP(CONCATENATE(C100,D100),qdd!$C$2:$F$1000,2,FALSE),"")</f>
        <v/>
      </c>
      <c r="F100" s="2" t="str">
        <f>IFERROR(VLOOKUP(CONCATENATE(C100,D100),qdd!$C$2:$F$1000,3,FALSE),"")</f>
        <v/>
      </c>
      <c r="G100" s="2" t="str">
        <f>IFERROR(VLOOKUP(CONCATENATE(C100,D100),qdd!$C$2:$F$1000,4,FALSE),"")</f>
        <v/>
      </c>
      <c r="H100" s="6" t="str">
        <f t="shared" si="4"/>
        <v/>
      </c>
      <c r="I1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" s="2" t="str">
        <f>IFERROR(IF('PREENCHER AQUI'!E100="","",'PREENCHER AQUI'!E100),"")</f>
        <v/>
      </c>
      <c r="K100" s="2" t="str">
        <f>IFERROR(IF('PREENCHER AQUI'!F100="","",'PREENCHER AQUI'!F100),"")</f>
        <v/>
      </c>
      <c r="L100" s="2" t="str">
        <f>IF(Tabela1[[#This Row],[IPU_COD]]=9,"91",IF(Tabela1[[#This Row],[ACAO_COD]]="","",VLOOKUP(CONCATENATE("G",J100,"M",K100),qdd!$BC$2:$BD$46,2,FALSE)))</f>
        <v/>
      </c>
      <c r="M100" s="2" t="str">
        <f>TEXT(IFERROR(VLOOKUP(CONCATENATE(C100,D100),qdd!$C$2:$G$1000,5,FALSE),""),0)</f>
        <v/>
      </c>
      <c r="N100" s="2" t="str">
        <f>IFERROR(IF('PREENCHER AQUI'!I100="","",'PREENCHER AQUI'!I100),"")</f>
        <v/>
      </c>
      <c r="O100" s="2" t="str">
        <f>IFERROR(IF('PREENCHER AQUI'!J100="","",'PREENCHER AQUI'!J100),"")</f>
        <v/>
      </c>
      <c r="P100" s="7" t="str">
        <f t="shared" si="5"/>
        <v/>
      </c>
      <c r="Q100" s="8" t="str">
        <f>IFERROR(IF(Tabela4[[#This Row],[VALOR]]="","",IF(Tabela1[[#This Row],[ORIENTACAO]]="Anular",'PREENCHER AQUI'!K100*-1*100,'PREENCHER AQUI'!K100*100)),"")</f>
        <v/>
      </c>
      <c r="T100" s="7" t="str">
        <f>IFERROR(IF('PREENCHER AQUI'!L100="","999",LEFT('PREENCHER AQUI'!L100,1)),"")</f>
        <v>999</v>
      </c>
      <c r="V100" s="19"/>
      <c r="W100" s="20" t="str">
        <f>IFERROR(VLOOKUP(Tabela1[[#This Row],[UO_COD]],qdd!$AT$1:$AU$102,2,FALSE),"")</f>
        <v/>
      </c>
      <c r="X100" s="20" t="str">
        <f>CONCATENATE("F",Tabela1[[#This Row],[FONTE_COD]],Tabela1[[#This Row],[IPU_COD]],"G",Tabela1[[#This Row],[GRUPO_COD]],"T",Tabela1[[#This Row],[TIPO]])</f>
        <v>FGT999</v>
      </c>
      <c r="Y1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" s="19"/>
      <c r="AA100" s="29" t="str">
        <f>IFERROR(VLOOKUP(CONCATENATE("B",Tabela1[[#This Row],[BLOCO]],Tabela1[[#This Row],[UO_COD]]),qdd!$AW$2:$AX$1000,2,FALSE),"")</f>
        <v/>
      </c>
      <c r="AB100" s="30" t="str">
        <f>IFERROR(Tabela1[[#This Row],[VALOR]]/100,"")</f>
        <v/>
      </c>
      <c r="AC100" s="7" t="str" cm="1">
        <f t="array" aca="1" ref="AC100" ca="1">IF(Tabela1[[#This Row],[VALOR]]&lt;0,"",IFERROR(SUBSTITUTE(Converter_numero(Tabela1[[#This Row],[VALOR INCISO]]),",",""),""))</f>
        <v/>
      </c>
      <c r="AD100" s="29" t="str">
        <f>IF(Tabela1[[#This Row],[TIPO]]=REGRAS!$W$2,REGRAS!$X$2,IF(Tabela1[[#This Row],[TIPO]]=REGRAS!$W$4,REGRAS!$X$4,""))</f>
        <v/>
      </c>
      <c r="AE100" s="29" t="e">
        <f>VLOOKUP(Tabela1[[#This Row],[FONTE_COD]],REGRAS!$O$2:$P$69,2,FALSE)</f>
        <v>#N/A</v>
      </c>
      <c r="AF1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1" spans="1:32" ht="18.75" customHeight="1">
      <c r="A101" s="2" t="str">
        <f>IFERROR(IF('PREENCHER AQUI'!A101="","",'PREENCHER AQUI'!A101),"")</f>
        <v/>
      </c>
      <c r="B101" s="1" t="str">
        <f>IFERROR(IF('PREENCHER AQUI'!B101="","",PROPER('PREENCHER AQUI'!B101)),"")</f>
        <v/>
      </c>
      <c r="C101" s="1" t="str">
        <f>IFERROR(IF('PREENCHER AQUI'!C101="","",'PREENCHER AQUI'!C101),"")</f>
        <v/>
      </c>
      <c r="D101" s="2" t="str">
        <f>IFERROR(IF('PREENCHER AQUI'!D101="","",'PREENCHER AQUI'!D101),"")</f>
        <v/>
      </c>
      <c r="E101" s="2" t="str">
        <f>IFERROR(VLOOKUP(CONCATENATE(C101,D101),qdd!$C$2:$F$1000,2,FALSE),"")</f>
        <v/>
      </c>
      <c r="F101" s="2" t="str">
        <f>IFERROR(VLOOKUP(CONCATENATE(C101,D101),qdd!$C$2:$F$1000,3,FALSE),"")</f>
        <v/>
      </c>
      <c r="G101" s="2" t="str">
        <f>IFERROR(VLOOKUP(CONCATENATE(C101,D101),qdd!$C$2:$F$1000,4,FALSE),"")</f>
        <v/>
      </c>
      <c r="H101" s="6" t="str">
        <f t="shared" si="4"/>
        <v/>
      </c>
      <c r="I1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1" s="2" t="str">
        <f>IFERROR(IF('PREENCHER AQUI'!E101="","",'PREENCHER AQUI'!E101),"")</f>
        <v/>
      </c>
      <c r="K101" s="2" t="str">
        <f>IFERROR(IF('PREENCHER AQUI'!F101="","",'PREENCHER AQUI'!F101),"")</f>
        <v/>
      </c>
      <c r="L101" s="2" t="str">
        <f>IF(Tabela1[[#This Row],[IPU_COD]]=9,"91",IF(Tabela1[[#This Row],[ACAO_COD]]="","",VLOOKUP(CONCATENATE("G",J101,"M",K101),qdd!$BC$2:$BD$46,2,FALSE)))</f>
        <v/>
      </c>
      <c r="M101" s="2" t="str">
        <f>TEXT(IFERROR(VLOOKUP(CONCATENATE(C101,D101),qdd!$C$2:$G$1000,5,FALSE),""),0)</f>
        <v/>
      </c>
      <c r="N101" s="2" t="str">
        <f>IFERROR(IF('PREENCHER AQUI'!I101="","",'PREENCHER AQUI'!I101),"")</f>
        <v/>
      </c>
      <c r="O101" s="2" t="str">
        <f>IFERROR(IF('PREENCHER AQUI'!J101="","",'PREENCHER AQUI'!J101),"")</f>
        <v/>
      </c>
      <c r="P101" s="7" t="str">
        <f t="shared" si="5"/>
        <v/>
      </c>
      <c r="Q101" s="8" t="str">
        <f>IFERROR(IF(Tabela4[[#This Row],[VALOR]]="","",IF(Tabela1[[#This Row],[ORIENTACAO]]="Anular",'PREENCHER AQUI'!K101*-1*100,'PREENCHER AQUI'!K101*100)),"")</f>
        <v/>
      </c>
      <c r="T101" s="7" t="str">
        <f>IFERROR(IF('PREENCHER AQUI'!L101="","999",LEFT('PREENCHER AQUI'!L101,1)),"")</f>
        <v>999</v>
      </c>
      <c r="V101" s="19"/>
      <c r="W101" s="1" t="str">
        <f>IFERROR(VLOOKUP(Tabela1[[#This Row],[UO_COD]],qdd!$AT$1:$AU$102,2,FALSE),"")</f>
        <v/>
      </c>
      <c r="X101" s="1" t="str">
        <f>CONCATENATE("F",Tabela1[[#This Row],[FONTE_COD]],Tabela1[[#This Row],[IPU_COD]],"G",Tabela1[[#This Row],[GRUPO_COD]],"T",Tabela1[[#This Row],[TIPO]])</f>
        <v>FGT999</v>
      </c>
      <c r="Y1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1" s="19"/>
      <c r="AA101" s="29" t="str">
        <f>IFERROR(VLOOKUP(CONCATENATE("B",Tabela1[[#This Row],[BLOCO]],Tabela1[[#This Row],[UO_COD]]),qdd!$AW$2:$AX$1000,2,FALSE),"")</f>
        <v/>
      </c>
      <c r="AB101" s="30" t="str">
        <f>IFERROR(Tabela1[[#This Row],[VALOR]]/100,"")</f>
        <v/>
      </c>
      <c r="AC101" s="7" t="str" cm="1">
        <f t="array" aca="1" ref="AC101" ca="1">IF(Tabela1[[#This Row],[VALOR]]&lt;0,"",IFERROR(SUBSTITUTE(Converter_numero(Tabela1[[#This Row],[VALOR INCISO]]),",",""),""))</f>
        <v/>
      </c>
      <c r="AD101" s="29" t="str">
        <f>IF(Tabela1[[#This Row],[TIPO]]=REGRAS!$W$2,REGRAS!$X$2,IF(Tabela1[[#This Row],[TIPO]]=REGRAS!$W$4,REGRAS!$X$4,""))</f>
        <v/>
      </c>
      <c r="AE101" s="29" t="e">
        <f>VLOOKUP(Tabela1[[#This Row],[FONTE_COD]],REGRAS!$O$2:$P$69,2,FALSE)</f>
        <v>#N/A</v>
      </c>
      <c r="AF1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2" spans="1:32" ht="18.75" customHeight="1">
      <c r="A102" s="2" t="str">
        <f>IFERROR(IF('PREENCHER AQUI'!A102="","",'PREENCHER AQUI'!A102),"")</f>
        <v/>
      </c>
      <c r="B102" s="1" t="str">
        <f>IFERROR(IF('PREENCHER AQUI'!B102="","",PROPER('PREENCHER AQUI'!B102)),"")</f>
        <v/>
      </c>
      <c r="C102" s="1" t="str">
        <f>IFERROR(IF('PREENCHER AQUI'!C102="","",'PREENCHER AQUI'!C102),"")</f>
        <v/>
      </c>
      <c r="D102" s="2" t="str">
        <f>IFERROR(IF('PREENCHER AQUI'!D102="","",'PREENCHER AQUI'!D102),"")</f>
        <v/>
      </c>
      <c r="E102" s="2" t="str">
        <f>IFERROR(VLOOKUP(CONCATENATE(C102,D102),qdd!$C$2:$F$1000,2,FALSE),"")</f>
        <v/>
      </c>
      <c r="F102" s="2" t="str">
        <f>IFERROR(VLOOKUP(CONCATENATE(C102,D102),qdd!$C$2:$F$1000,3,FALSE),"")</f>
        <v/>
      </c>
      <c r="G102" s="2" t="str">
        <f>IFERROR(VLOOKUP(CONCATENATE(C102,D102),qdd!$C$2:$F$1000,4,FALSE),"")</f>
        <v/>
      </c>
      <c r="H102" s="6" t="str">
        <f t="shared" si="4"/>
        <v/>
      </c>
      <c r="I1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2" s="2" t="str">
        <f>IFERROR(IF('PREENCHER AQUI'!E102="","",'PREENCHER AQUI'!E102),"")</f>
        <v/>
      </c>
      <c r="K102" s="2" t="str">
        <f>IFERROR(IF('PREENCHER AQUI'!F102="","",'PREENCHER AQUI'!F102),"")</f>
        <v/>
      </c>
      <c r="L102" s="2" t="str">
        <f>IF(Tabela1[[#This Row],[IPU_COD]]=9,"91",IF(Tabela1[[#This Row],[ACAO_COD]]="","",VLOOKUP(CONCATENATE("G",J102,"M",K102),qdd!$BC$2:$BD$46,2,FALSE)))</f>
        <v/>
      </c>
      <c r="M102" s="2" t="str">
        <f>TEXT(IFERROR(VLOOKUP(CONCATENATE(C102,D102),qdd!$C$2:$G$1000,5,FALSE),""),0)</f>
        <v/>
      </c>
      <c r="N102" s="2" t="str">
        <f>IFERROR(IF('PREENCHER AQUI'!I102="","",'PREENCHER AQUI'!I102),"")</f>
        <v/>
      </c>
      <c r="O102" s="2" t="str">
        <f>IFERROR(IF('PREENCHER AQUI'!J102="","",'PREENCHER AQUI'!J102),"")</f>
        <v/>
      </c>
      <c r="P102" s="7" t="str">
        <f t="shared" si="5"/>
        <v/>
      </c>
      <c r="Q102" s="8" t="str">
        <f>IFERROR(IF(Tabela4[[#This Row],[VALOR]]="","",IF(Tabela1[[#This Row],[ORIENTACAO]]="Anular",'PREENCHER AQUI'!K102*-1*100,'PREENCHER AQUI'!K102*100)),"")</f>
        <v/>
      </c>
      <c r="T102" s="7" t="str">
        <f>IFERROR(IF('PREENCHER AQUI'!L102="","999",LEFT('PREENCHER AQUI'!L102,1)),"")</f>
        <v>999</v>
      </c>
      <c r="W102" s="1" t="str">
        <f>IFERROR(VLOOKUP(Tabela1[[#This Row],[UO_COD]],qdd!$AT$1:$AU$102,2,FALSE),"")</f>
        <v/>
      </c>
      <c r="X102" s="1" t="str">
        <f>CONCATENATE("F",Tabela1[[#This Row],[FONTE_COD]],Tabela1[[#This Row],[IPU_COD]],"G",Tabela1[[#This Row],[GRUPO_COD]],"T",Tabela1[[#This Row],[TIPO]])</f>
        <v>FGT999</v>
      </c>
      <c r="Y1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2" s="19"/>
      <c r="AA102" s="29" t="str">
        <f>IFERROR(VLOOKUP(CONCATENATE("B",Tabela1[[#This Row],[BLOCO]],Tabela1[[#This Row],[UO_COD]]),qdd!$AW$2:$AX$1000,2,FALSE),"")</f>
        <v/>
      </c>
      <c r="AB102" s="30" t="str">
        <f>IFERROR(Tabela1[[#This Row],[VALOR]]/100,"")</f>
        <v/>
      </c>
      <c r="AC102" s="7" t="str" cm="1">
        <f t="array" aca="1" ref="AC102" ca="1">IF(Tabela1[[#This Row],[VALOR]]&lt;0,"",IFERROR(SUBSTITUTE(Converter_numero(Tabela1[[#This Row],[VALOR INCISO]]),",",""),""))</f>
        <v/>
      </c>
      <c r="AD102" s="7" t="str">
        <f>IF(Tabela1[[#This Row],[TIPO]]=REGRAS!$W$2,REGRAS!$X$2,IF(Tabela1[[#This Row],[TIPO]]=REGRAS!$W$4,REGRAS!$X$4,""))</f>
        <v/>
      </c>
      <c r="AE102" s="29" t="e">
        <f>VLOOKUP(Tabela1[[#This Row],[FONTE_COD]],REGRAS!$O$2:$P$69,2,FALSE)</f>
        <v>#N/A</v>
      </c>
      <c r="AF1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3" spans="1:32" ht="18.75" customHeight="1">
      <c r="A103" s="2" t="str">
        <f>IFERROR(IF('PREENCHER AQUI'!A103="","",'PREENCHER AQUI'!A103),"")</f>
        <v/>
      </c>
      <c r="B103" s="1" t="str">
        <f>IFERROR(IF('PREENCHER AQUI'!B103="","",PROPER('PREENCHER AQUI'!B103)),"")</f>
        <v/>
      </c>
      <c r="C103" s="1" t="str">
        <f>IFERROR(IF('PREENCHER AQUI'!C103="","",'PREENCHER AQUI'!C103),"")</f>
        <v/>
      </c>
      <c r="D103" s="2" t="str">
        <f>IFERROR(IF('PREENCHER AQUI'!D103="","",'PREENCHER AQUI'!D103),"")</f>
        <v/>
      </c>
      <c r="E103" s="2" t="str">
        <f>IFERROR(VLOOKUP(CONCATENATE(C103,D103),qdd!$C$2:$F$1000,2,FALSE),"")</f>
        <v/>
      </c>
      <c r="F103" s="2" t="str">
        <f>IFERROR(VLOOKUP(CONCATENATE(C103,D103),qdd!$C$2:$F$1000,3,FALSE),"")</f>
        <v/>
      </c>
      <c r="G103" s="2" t="str">
        <f>IFERROR(VLOOKUP(CONCATENATE(C103,D103),qdd!$C$2:$F$1000,4,FALSE),"")</f>
        <v/>
      </c>
      <c r="H103" s="6" t="str">
        <f t="shared" si="4"/>
        <v/>
      </c>
      <c r="I1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3" s="2" t="str">
        <f>IFERROR(IF('PREENCHER AQUI'!E103="","",'PREENCHER AQUI'!E103),"")</f>
        <v/>
      </c>
      <c r="K103" s="2" t="str">
        <f>IFERROR(IF('PREENCHER AQUI'!F103="","",'PREENCHER AQUI'!F103),"")</f>
        <v/>
      </c>
      <c r="L103" s="2" t="str">
        <f>IF(Tabela1[[#This Row],[IPU_COD]]=9,"91",IF(Tabela1[[#This Row],[ACAO_COD]]="","",VLOOKUP(CONCATENATE("G",J103,"M",K103),qdd!$BC$2:$BD$46,2,FALSE)))</f>
        <v/>
      </c>
      <c r="M103" s="2" t="str">
        <f>TEXT(IFERROR(VLOOKUP(CONCATENATE(C103,D103),qdd!$C$2:$G$1000,5,FALSE),""),0)</f>
        <v/>
      </c>
      <c r="N103" s="2" t="str">
        <f>IFERROR(IF('PREENCHER AQUI'!I103="","",'PREENCHER AQUI'!I103),"")</f>
        <v/>
      </c>
      <c r="O103" s="2" t="str">
        <f>IFERROR(IF('PREENCHER AQUI'!J103="","",'PREENCHER AQUI'!J103),"")</f>
        <v/>
      </c>
      <c r="P103" s="7" t="str">
        <f t="shared" si="5"/>
        <v/>
      </c>
      <c r="Q103" s="8" t="str">
        <f>IFERROR(IF(Tabela4[[#This Row],[VALOR]]="","",IF(Tabela1[[#This Row],[ORIENTACAO]]="Anular",'PREENCHER AQUI'!K103*-1*100,'PREENCHER AQUI'!K103*100)),"")</f>
        <v/>
      </c>
      <c r="T103" s="7" t="str">
        <f>IFERROR(IF('PREENCHER AQUI'!L103="","999",LEFT('PREENCHER AQUI'!L103,1)),"")</f>
        <v>999</v>
      </c>
      <c r="V103" s="19"/>
      <c r="W103" s="1" t="str">
        <f>IFERROR(VLOOKUP(Tabela1[[#This Row],[UO_COD]],qdd!$AT$1:$AU$102,2,FALSE),"")</f>
        <v/>
      </c>
      <c r="X103" s="1" t="str">
        <f>CONCATENATE("F",Tabela1[[#This Row],[FONTE_COD]],Tabela1[[#This Row],[IPU_COD]],"G",Tabela1[[#This Row],[GRUPO_COD]],"T",Tabela1[[#This Row],[TIPO]])</f>
        <v>FGT999</v>
      </c>
      <c r="Y1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3" s="19"/>
      <c r="AA103" s="29" t="str">
        <f>IFERROR(VLOOKUP(CONCATENATE("B",Tabela1[[#This Row],[BLOCO]],Tabela1[[#This Row],[UO_COD]]),qdd!$AW$2:$AX$1000,2,FALSE),"")</f>
        <v/>
      </c>
      <c r="AB103" s="30" t="str">
        <f>IFERROR(Tabela1[[#This Row],[VALOR]]/100,"")</f>
        <v/>
      </c>
      <c r="AC103" s="7" t="str" cm="1">
        <f t="array" aca="1" ref="AC103" ca="1">IF(Tabela1[[#This Row],[VALOR]]&lt;0,"",IFERROR(SUBSTITUTE(Converter_numero(Tabela1[[#This Row],[VALOR INCISO]]),",",""),""))</f>
        <v/>
      </c>
      <c r="AD103" s="29" t="str">
        <f>IF(Tabela1[[#This Row],[TIPO]]=REGRAS!$W$2,REGRAS!$X$2,IF(Tabela1[[#This Row],[TIPO]]=REGRAS!$W$4,REGRAS!$X$4,""))</f>
        <v/>
      </c>
      <c r="AE103" s="29" t="e">
        <f>VLOOKUP(Tabela1[[#This Row],[FONTE_COD]],REGRAS!$O$2:$P$69,2,FALSE)</f>
        <v>#N/A</v>
      </c>
      <c r="AF1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4" spans="1:32" ht="18.75" customHeight="1">
      <c r="A104" s="2" t="str">
        <f>IFERROR(IF('PREENCHER AQUI'!A104="","",'PREENCHER AQUI'!A104),"")</f>
        <v/>
      </c>
      <c r="B104" s="1" t="str">
        <f>IFERROR(IF('PREENCHER AQUI'!B104="","",PROPER('PREENCHER AQUI'!B104)),"")</f>
        <v/>
      </c>
      <c r="C104" s="1" t="str">
        <f>IFERROR(IF('PREENCHER AQUI'!C104="","",'PREENCHER AQUI'!C104),"")</f>
        <v/>
      </c>
      <c r="D104" s="2" t="str">
        <f>IFERROR(IF('PREENCHER AQUI'!D104="","",'PREENCHER AQUI'!D104),"")</f>
        <v/>
      </c>
      <c r="E104" s="2" t="str">
        <f>IFERROR(VLOOKUP(CONCATENATE(C104,D104),qdd!$C$2:$F$1000,2,FALSE),"")</f>
        <v/>
      </c>
      <c r="F104" s="2" t="str">
        <f>IFERROR(VLOOKUP(CONCATENATE(C104,D104),qdd!$C$2:$F$1000,3,FALSE),"")</f>
        <v/>
      </c>
      <c r="G104" s="2" t="str">
        <f>IFERROR(VLOOKUP(CONCATENATE(C104,D104),qdd!$C$2:$F$1000,4,FALSE),"")</f>
        <v/>
      </c>
      <c r="H104" s="6" t="str">
        <f t="shared" si="4"/>
        <v/>
      </c>
      <c r="I1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4" s="2" t="str">
        <f>IFERROR(IF('PREENCHER AQUI'!E104="","",'PREENCHER AQUI'!E104),"")</f>
        <v/>
      </c>
      <c r="K104" s="2" t="str">
        <f>IFERROR(IF('PREENCHER AQUI'!F104="","",'PREENCHER AQUI'!F104),"")</f>
        <v/>
      </c>
      <c r="L104" s="2" t="str">
        <f>IF(Tabela1[[#This Row],[IPU_COD]]=9,"91",IF(Tabela1[[#This Row],[ACAO_COD]]="","",VLOOKUP(CONCATENATE("G",J104,"M",K104),qdd!$BC$2:$BD$46,2,FALSE)))</f>
        <v/>
      </c>
      <c r="M104" s="2" t="str">
        <f>TEXT(IFERROR(VLOOKUP(CONCATENATE(C104,D104),qdd!$C$2:$G$1000,5,FALSE),""),0)</f>
        <v/>
      </c>
      <c r="N104" s="2" t="str">
        <f>IFERROR(IF('PREENCHER AQUI'!I104="","",'PREENCHER AQUI'!I104),"")</f>
        <v/>
      </c>
      <c r="O104" s="2" t="str">
        <f>IFERROR(IF('PREENCHER AQUI'!J104="","",'PREENCHER AQUI'!J104),"")</f>
        <v/>
      </c>
      <c r="P104" s="7" t="str">
        <f t="shared" si="5"/>
        <v/>
      </c>
      <c r="Q104" s="8" t="str">
        <f>IFERROR(IF(Tabela4[[#This Row],[VALOR]]="","",IF(Tabela1[[#This Row],[ORIENTACAO]]="Anular",'PREENCHER AQUI'!K104*-1*100,'PREENCHER AQUI'!K104*100)),"")</f>
        <v/>
      </c>
      <c r="T104" s="7" t="str">
        <f>IFERROR(IF('PREENCHER AQUI'!L104="","999",LEFT('PREENCHER AQUI'!L104,1)),"")</f>
        <v>999</v>
      </c>
      <c r="V104" s="19"/>
      <c r="W104" s="1" t="str">
        <f>IFERROR(VLOOKUP(Tabela1[[#This Row],[UO_COD]],qdd!$AT$1:$AU$102,2,FALSE),"")</f>
        <v/>
      </c>
      <c r="X104" s="1" t="str">
        <f>CONCATENATE("F",Tabela1[[#This Row],[FONTE_COD]],Tabela1[[#This Row],[IPU_COD]],"G",Tabela1[[#This Row],[GRUPO_COD]],"T",Tabela1[[#This Row],[TIPO]])</f>
        <v>FGT999</v>
      </c>
      <c r="Y1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4" s="19"/>
      <c r="AA104" s="29" t="str">
        <f>IFERROR(VLOOKUP(CONCATENATE("B",Tabela1[[#This Row],[BLOCO]],Tabela1[[#This Row],[UO_COD]]),qdd!$AW$2:$AX$1000,2,FALSE),"")</f>
        <v/>
      </c>
      <c r="AB104" s="30" t="str">
        <f>IFERROR(Tabela1[[#This Row],[VALOR]]/100,"")</f>
        <v/>
      </c>
      <c r="AC104" s="7" t="str" cm="1">
        <f t="array" aca="1" ref="AC104" ca="1">IF(Tabela1[[#This Row],[VALOR]]&lt;0,"",IFERROR(SUBSTITUTE(Converter_numero(Tabela1[[#This Row],[VALOR INCISO]]),",",""),""))</f>
        <v/>
      </c>
      <c r="AD104" s="29" t="str">
        <f>IF(Tabela1[[#This Row],[TIPO]]=REGRAS!$W$2,REGRAS!$X$2,IF(Tabela1[[#This Row],[TIPO]]=REGRAS!$W$4,REGRAS!$X$4,""))</f>
        <v/>
      </c>
      <c r="AE104" s="29" t="e">
        <f>VLOOKUP(Tabela1[[#This Row],[FONTE_COD]],REGRAS!$O$2:$P$69,2,FALSE)</f>
        <v>#N/A</v>
      </c>
      <c r="AF1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5" spans="1:32" ht="18.75" customHeight="1">
      <c r="A105" s="2" t="str">
        <f>IFERROR(IF('PREENCHER AQUI'!A105="","",'PREENCHER AQUI'!A105),"")</f>
        <v/>
      </c>
      <c r="B105" s="1" t="str">
        <f>IFERROR(IF('PREENCHER AQUI'!B105="","",PROPER('PREENCHER AQUI'!B105)),"")</f>
        <v/>
      </c>
      <c r="C105" s="1" t="str">
        <f>IFERROR(IF('PREENCHER AQUI'!C105="","",'PREENCHER AQUI'!C105),"")</f>
        <v/>
      </c>
      <c r="D105" s="2" t="str">
        <f>IFERROR(IF('PREENCHER AQUI'!D105="","",'PREENCHER AQUI'!D105),"")</f>
        <v/>
      </c>
      <c r="E105" s="2" t="str">
        <f>IFERROR(VLOOKUP(CONCATENATE(C105,D105),qdd!$C$2:$F$1000,2,FALSE),"")</f>
        <v/>
      </c>
      <c r="F105" s="2" t="str">
        <f>IFERROR(VLOOKUP(CONCATENATE(C105,D105),qdd!$C$2:$F$1000,3,FALSE),"")</f>
        <v/>
      </c>
      <c r="G105" s="2" t="str">
        <f>IFERROR(VLOOKUP(CONCATENATE(C105,D105),qdd!$C$2:$F$1000,4,FALSE),"")</f>
        <v/>
      </c>
      <c r="H105" s="6" t="str">
        <f t="shared" si="4"/>
        <v/>
      </c>
      <c r="I1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5" s="2" t="str">
        <f>IFERROR(IF('PREENCHER AQUI'!E105="","",'PREENCHER AQUI'!E105),"")</f>
        <v/>
      </c>
      <c r="K105" s="2" t="str">
        <f>IFERROR(IF('PREENCHER AQUI'!F105="","",'PREENCHER AQUI'!F105),"")</f>
        <v/>
      </c>
      <c r="L105" s="2" t="str">
        <f>IF(Tabela1[[#This Row],[IPU_COD]]=9,"91",IF(Tabela1[[#This Row],[ACAO_COD]]="","",VLOOKUP(CONCATENATE("G",J105,"M",K105),qdd!$BC$2:$BD$46,2,FALSE)))</f>
        <v/>
      </c>
      <c r="M105" s="2" t="str">
        <f>TEXT(IFERROR(VLOOKUP(CONCATENATE(C105,D105),qdd!$C$2:$G$1000,5,FALSE),""),0)</f>
        <v/>
      </c>
      <c r="N105" s="2" t="str">
        <f>IFERROR(IF('PREENCHER AQUI'!I105="","",'PREENCHER AQUI'!I105),"")</f>
        <v/>
      </c>
      <c r="O105" s="2" t="str">
        <f>IFERROR(IF('PREENCHER AQUI'!J105="","",'PREENCHER AQUI'!J105),"")</f>
        <v/>
      </c>
      <c r="P105" s="7" t="str">
        <f t="shared" si="5"/>
        <v/>
      </c>
      <c r="Q105" s="8" t="str">
        <f>IFERROR(IF(Tabela4[[#This Row],[VALOR]]="","",IF(Tabela1[[#This Row],[ORIENTACAO]]="Anular",'PREENCHER AQUI'!K105*-1*100,'PREENCHER AQUI'!K105*100)),"")</f>
        <v/>
      </c>
      <c r="T105" s="7" t="str">
        <f>IFERROR(IF('PREENCHER AQUI'!L105="","999",LEFT('PREENCHER AQUI'!L105,1)),"")</f>
        <v>999</v>
      </c>
      <c r="V105" s="19"/>
      <c r="W105" s="20" t="str">
        <f>IFERROR(VLOOKUP(Tabela1[[#This Row],[UO_COD]],qdd!$AT$1:$AU$102,2,FALSE),"")</f>
        <v/>
      </c>
      <c r="X105" s="20" t="str">
        <f>CONCATENATE("F",Tabela1[[#This Row],[FONTE_COD]],Tabela1[[#This Row],[IPU_COD]],"G",Tabela1[[#This Row],[GRUPO_COD]],"T",Tabela1[[#This Row],[TIPO]])</f>
        <v>FGT999</v>
      </c>
      <c r="Y1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5" s="19"/>
      <c r="AA105" s="29" t="str">
        <f>IFERROR(VLOOKUP(CONCATENATE("B",Tabela1[[#This Row],[BLOCO]],Tabela1[[#This Row],[UO_COD]]),qdd!$AW$2:$AX$1000,2,FALSE),"")</f>
        <v/>
      </c>
      <c r="AB105" s="30" t="str">
        <f>IFERROR(Tabela1[[#This Row],[VALOR]]/100,"")</f>
        <v/>
      </c>
      <c r="AC105" s="7" t="str" cm="1">
        <f t="array" aca="1" ref="AC105" ca="1">IF(Tabela1[[#This Row],[VALOR]]&lt;0,"",IFERROR(SUBSTITUTE(Converter_numero(Tabela1[[#This Row],[VALOR INCISO]]),",",""),""))</f>
        <v/>
      </c>
      <c r="AD105" s="29" t="str">
        <f>IF(Tabela1[[#This Row],[TIPO]]=REGRAS!$W$2,REGRAS!$X$2,IF(Tabela1[[#This Row],[TIPO]]=REGRAS!$W$4,REGRAS!$X$4,""))</f>
        <v/>
      </c>
      <c r="AE105" s="29" t="e">
        <f>VLOOKUP(Tabela1[[#This Row],[FONTE_COD]],REGRAS!$O$2:$P$69,2,FALSE)</f>
        <v>#N/A</v>
      </c>
      <c r="AF1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6" spans="1:32" ht="18.75" customHeight="1">
      <c r="A106" s="2" t="str">
        <f>IFERROR(IF('PREENCHER AQUI'!A106="","",'PREENCHER AQUI'!A106),"")</f>
        <v/>
      </c>
      <c r="B106" s="1" t="str">
        <f>IFERROR(IF('PREENCHER AQUI'!B106="","",PROPER('PREENCHER AQUI'!B106)),"")</f>
        <v/>
      </c>
      <c r="C106" s="1" t="str">
        <f>IFERROR(IF('PREENCHER AQUI'!C106="","",'PREENCHER AQUI'!C106),"")</f>
        <v/>
      </c>
      <c r="D106" s="2" t="str">
        <f>IFERROR(IF('PREENCHER AQUI'!D106="","",'PREENCHER AQUI'!D106),"")</f>
        <v/>
      </c>
      <c r="E106" s="2" t="str">
        <f>IFERROR(VLOOKUP(CONCATENATE(C106,D106),qdd!$C$2:$F$1000,2,FALSE),"")</f>
        <v/>
      </c>
      <c r="F106" s="2" t="str">
        <f>IFERROR(VLOOKUP(CONCATENATE(C106,D106),qdd!$C$2:$F$1000,3,FALSE),"")</f>
        <v/>
      </c>
      <c r="G106" s="2" t="str">
        <f>IFERROR(VLOOKUP(CONCATENATE(C106,D106),qdd!$C$2:$F$1000,4,FALSE),"")</f>
        <v/>
      </c>
      <c r="H106" s="6" t="str">
        <f t="shared" si="4"/>
        <v/>
      </c>
      <c r="I1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6" s="2" t="str">
        <f>IFERROR(IF('PREENCHER AQUI'!E106="","",'PREENCHER AQUI'!E106),"")</f>
        <v/>
      </c>
      <c r="K106" s="2" t="str">
        <f>IFERROR(IF('PREENCHER AQUI'!F106="","",'PREENCHER AQUI'!F106),"")</f>
        <v/>
      </c>
      <c r="L106" s="2" t="str">
        <f>IF(Tabela1[[#This Row],[IPU_COD]]=9,"91",IF(Tabela1[[#This Row],[ACAO_COD]]="","",VLOOKUP(CONCATENATE("G",J106,"M",K106),qdd!$BC$2:$BD$46,2,FALSE)))</f>
        <v/>
      </c>
      <c r="M106" s="2" t="str">
        <f>TEXT(IFERROR(VLOOKUP(CONCATENATE(C106,D106),qdd!$C$2:$G$1000,5,FALSE),""),0)</f>
        <v/>
      </c>
      <c r="N106" s="2" t="str">
        <f>IFERROR(IF('PREENCHER AQUI'!I106="","",'PREENCHER AQUI'!I106),"")</f>
        <v/>
      </c>
      <c r="O106" s="2" t="str">
        <f>IFERROR(IF('PREENCHER AQUI'!J106="","",'PREENCHER AQUI'!J106),"")</f>
        <v/>
      </c>
      <c r="P106" s="7" t="str">
        <f t="shared" si="5"/>
        <v/>
      </c>
      <c r="Q106" s="8" t="str">
        <f>IFERROR(IF(Tabela4[[#This Row],[VALOR]]="","",IF(Tabela1[[#This Row],[ORIENTACAO]]="Anular",'PREENCHER AQUI'!K106*-1*100,'PREENCHER AQUI'!K106*100)),"")</f>
        <v/>
      </c>
      <c r="T106" s="7" t="str">
        <f>IFERROR(IF('PREENCHER AQUI'!L106="","999",LEFT('PREENCHER AQUI'!L106,1)),"")</f>
        <v>999</v>
      </c>
      <c r="V106" s="19"/>
      <c r="W106" s="1" t="str">
        <f>IFERROR(VLOOKUP(Tabela1[[#This Row],[UO_COD]],qdd!$AT$1:$AU$102,2,FALSE),"")</f>
        <v/>
      </c>
      <c r="X106" s="1" t="str">
        <f>CONCATENATE("F",Tabela1[[#This Row],[FONTE_COD]],Tabela1[[#This Row],[IPU_COD]],"G",Tabela1[[#This Row],[GRUPO_COD]],"T",Tabela1[[#This Row],[TIPO]])</f>
        <v>FGT999</v>
      </c>
      <c r="Y1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6" s="19"/>
      <c r="AA106" s="29" t="str">
        <f>IFERROR(VLOOKUP(CONCATENATE("B",Tabela1[[#This Row],[BLOCO]],Tabela1[[#This Row],[UO_COD]]),qdd!$AW$2:$AX$1000,2,FALSE),"")</f>
        <v/>
      </c>
      <c r="AB106" s="30" t="str">
        <f>IFERROR(Tabela1[[#This Row],[VALOR]]/100,"")</f>
        <v/>
      </c>
      <c r="AC106" s="7" t="str" cm="1">
        <f t="array" aca="1" ref="AC106" ca="1">IF(Tabela1[[#This Row],[VALOR]]&lt;0,"",IFERROR(SUBSTITUTE(Converter_numero(Tabela1[[#This Row],[VALOR INCISO]]),",",""),""))</f>
        <v/>
      </c>
      <c r="AD106" s="29" t="str">
        <f>IF(Tabela1[[#This Row],[TIPO]]=REGRAS!$W$2,REGRAS!$X$2,IF(Tabela1[[#This Row],[TIPO]]=REGRAS!$W$4,REGRAS!$X$4,""))</f>
        <v/>
      </c>
      <c r="AE106" s="29" t="e">
        <f>VLOOKUP(Tabela1[[#This Row],[FONTE_COD]],REGRAS!$O$2:$P$69,2,FALSE)</f>
        <v>#N/A</v>
      </c>
      <c r="AF1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7" spans="1:32" ht="18.75" customHeight="1">
      <c r="A107" s="2" t="str">
        <f>IFERROR(IF('PREENCHER AQUI'!A107="","",'PREENCHER AQUI'!A107),"")</f>
        <v/>
      </c>
      <c r="B107" s="1" t="str">
        <f>IFERROR(IF('PREENCHER AQUI'!B107="","",PROPER('PREENCHER AQUI'!B107)),"")</f>
        <v/>
      </c>
      <c r="C107" s="1" t="str">
        <f>IFERROR(IF('PREENCHER AQUI'!C107="","",'PREENCHER AQUI'!C107),"")</f>
        <v/>
      </c>
      <c r="D107" s="2" t="str">
        <f>IFERROR(IF('PREENCHER AQUI'!D107="","",'PREENCHER AQUI'!D107),"")</f>
        <v/>
      </c>
      <c r="E107" s="2" t="str">
        <f>IFERROR(VLOOKUP(CONCATENATE(C107,D107),qdd!$C$2:$F$1000,2,FALSE),"")</f>
        <v/>
      </c>
      <c r="F107" s="2" t="str">
        <f>IFERROR(VLOOKUP(CONCATENATE(C107,D107),qdd!$C$2:$F$1000,3,FALSE),"")</f>
        <v/>
      </c>
      <c r="G107" s="2" t="str">
        <f>IFERROR(VLOOKUP(CONCATENATE(C107,D107),qdd!$C$2:$F$1000,4,FALSE),"")</f>
        <v/>
      </c>
      <c r="H107" s="6" t="str">
        <f t="shared" si="4"/>
        <v/>
      </c>
      <c r="I1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7" s="2" t="str">
        <f>IFERROR(IF('PREENCHER AQUI'!E107="","",'PREENCHER AQUI'!E107),"")</f>
        <v/>
      </c>
      <c r="K107" s="2" t="str">
        <f>IFERROR(IF('PREENCHER AQUI'!F107="","",'PREENCHER AQUI'!F107),"")</f>
        <v/>
      </c>
      <c r="L107" s="2" t="str">
        <f>IF(Tabela1[[#This Row],[IPU_COD]]=9,"91",IF(Tabela1[[#This Row],[ACAO_COD]]="","",VLOOKUP(CONCATENATE("G",J107,"M",K107),qdd!$BC$2:$BD$46,2,FALSE)))</f>
        <v/>
      </c>
      <c r="M107" s="2" t="str">
        <f>TEXT(IFERROR(VLOOKUP(CONCATENATE(C107,D107),qdd!$C$2:$G$1000,5,FALSE),""),0)</f>
        <v/>
      </c>
      <c r="N107" s="2" t="str">
        <f>IFERROR(IF('PREENCHER AQUI'!I107="","",'PREENCHER AQUI'!I107),"")</f>
        <v/>
      </c>
      <c r="O107" s="2" t="str">
        <f>IFERROR(IF('PREENCHER AQUI'!J107="","",'PREENCHER AQUI'!J107),"")</f>
        <v/>
      </c>
      <c r="P107" s="7" t="str">
        <f t="shared" si="5"/>
        <v/>
      </c>
      <c r="Q107" s="8" t="str">
        <f>IFERROR(IF(Tabela4[[#This Row],[VALOR]]="","",IF(Tabela1[[#This Row],[ORIENTACAO]]="Anular",'PREENCHER AQUI'!K107*-1*100,'PREENCHER AQUI'!K107*100)),"")</f>
        <v/>
      </c>
      <c r="T107" s="7" t="str">
        <f>IFERROR(IF('PREENCHER AQUI'!L107="","999",LEFT('PREENCHER AQUI'!L107,1)),"")</f>
        <v>999</v>
      </c>
      <c r="W107" s="1" t="str">
        <f>IFERROR(VLOOKUP(Tabela1[[#This Row],[UO_COD]],qdd!$AT$1:$AU$102,2,FALSE),"")</f>
        <v/>
      </c>
      <c r="X107" s="1" t="str">
        <f>CONCATENATE("F",Tabela1[[#This Row],[FONTE_COD]],Tabela1[[#This Row],[IPU_COD]],"G",Tabela1[[#This Row],[GRUPO_COD]],"T",Tabela1[[#This Row],[TIPO]])</f>
        <v>FGT999</v>
      </c>
      <c r="Y1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7" s="19"/>
      <c r="AA107" s="29" t="str">
        <f>IFERROR(VLOOKUP(CONCATENATE("B",Tabela1[[#This Row],[BLOCO]],Tabela1[[#This Row],[UO_COD]]),qdd!$AW$2:$AX$1000,2,FALSE),"")</f>
        <v/>
      </c>
      <c r="AB107" s="30" t="str">
        <f>IFERROR(Tabela1[[#This Row],[VALOR]]/100,"")</f>
        <v/>
      </c>
      <c r="AC107" s="7" t="str" cm="1">
        <f t="array" aca="1" ref="AC107" ca="1">IF(Tabela1[[#This Row],[VALOR]]&lt;0,"",IFERROR(SUBSTITUTE(Converter_numero(Tabela1[[#This Row],[VALOR INCISO]]),",",""),""))</f>
        <v/>
      </c>
      <c r="AD107" s="7" t="str">
        <f>IF(Tabela1[[#This Row],[TIPO]]=REGRAS!$W$2,REGRAS!$X$2,IF(Tabela1[[#This Row],[TIPO]]=REGRAS!$W$4,REGRAS!$X$4,""))</f>
        <v/>
      </c>
      <c r="AE107" s="29" t="e">
        <f>VLOOKUP(Tabela1[[#This Row],[FONTE_COD]],REGRAS!$O$2:$P$69,2,FALSE)</f>
        <v>#N/A</v>
      </c>
      <c r="AF1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8" spans="1:32" ht="18.75" customHeight="1">
      <c r="A108" s="2" t="str">
        <f>IFERROR(IF('PREENCHER AQUI'!A108="","",'PREENCHER AQUI'!A108),"")</f>
        <v/>
      </c>
      <c r="B108" s="1" t="str">
        <f>IFERROR(IF('PREENCHER AQUI'!B108="","",PROPER('PREENCHER AQUI'!B108)),"")</f>
        <v/>
      </c>
      <c r="C108" s="1" t="str">
        <f>IFERROR(IF('PREENCHER AQUI'!C108="","",'PREENCHER AQUI'!C108),"")</f>
        <v/>
      </c>
      <c r="D108" s="2" t="str">
        <f>IFERROR(IF('PREENCHER AQUI'!D108="","",'PREENCHER AQUI'!D108),"")</f>
        <v/>
      </c>
      <c r="E108" s="2" t="str">
        <f>IFERROR(VLOOKUP(CONCATENATE(C108,D108),qdd!$C$2:$F$1000,2,FALSE),"")</f>
        <v/>
      </c>
      <c r="F108" s="2" t="str">
        <f>IFERROR(VLOOKUP(CONCATENATE(C108,D108),qdd!$C$2:$F$1000,3,FALSE),"")</f>
        <v/>
      </c>
      <c r="G108" s="2" t="str">
        <f>IFERROR(VLOOKUP(CONCATENATE(C108,D108),qdd!$C$2:$F$1000,4,FALSE),"")</f>
        <v/>
      </c>
      <c r="H108" s="6" t="str">
        <f t="shared" si="4"/>
        <v/>
      </c>
      <c r="I1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8" s="2" t="str">
        <f>IFERROR(IF('PREENCHER AQUI'!E108="","",'PREENCHER AQUI'!E108),"")</f>
        <v/>
      </c>
      <c r="K108" s="2" t="str">
        <f>IFERROR(IF('PREENCHER AQUI'!F108="","",'PREENCHER AQUI'!F108),"")</f>
        <v/>
      </c>
      <c r="L108" s="2" t="str">
        <f>IF(Tabela1[[#This Row],[IPU_COD]]=9,"91",IF(Tabela1[[#This Row],[ACAO_COD]]="","",VLOOKUP(CONCATENATE("G",J108,"M",K108),qdd!$BC$2:$BD$46,2,FALSE)))</f>
        <v/>
      </c>
      <c r="M108" s="2" t="str">
        <f>TEXT(IFERROR(VLOOKUP(CONCATENATE(C108,D108),qdd!$C$2:$G$1000,5,FALSE),""),0)</f>
        <v/>
      </c>
      <c r="N108" s="2" t="str">
        <f>IFERROR(IF('PREENCHER AQUI'!I108="","",'PREENCHER AQUI'!I108),"")</f>
        <v/>
      </c>
      <c r="O108" s="2" t="str">
        <f>IFERROR(IF('PREENCHER AQUI'!J108="","",'PREENCHER AQUI'!J108),"")</f>
        <v/>
      </c>
      <c r="P108" s="7" t="str">
        <f t="shared" si="5"/>
        <v/>
      </c>
      <c r="Q108" s="8" t="str">
        <f>IFERROR(IF(Tabela4[[#This Row],[VALOR]]="","",IF(Tabela1[[#This Row],[ORIENTACAO]]="Anular",'PREENCHER AQUI'!K108*-1*100,'PREENCHER AQUI'!K108*100)),"")</f>
        <v/>
      </c>
      <c r="T108" s="7" t="str">
        <f>IFERROR(IF('PREENCHER AQUI'!L108="","999",LEFT('PREENCHER AQUI'!L108,1)),"")</f>
        <v>999</v>
      </c>
      <c r="V108" s="19"/>
      <c r="W108" s="1" t="str">
        <f>IFERROR(VLOOKUP(Tabela1[[#This Row],[UO_COD]],qdd!$AT$1:$AU$102,2,FALSE),"")</f>
        <v/>
      </c>
      <c r="X108" s="1" t="str">
        <f>CONCATENATE("F",Tabela1[[#This Row],[FONTE_COD]],Tabela1[[#This Row],[IPU_COD]],"G",Tabela1[[#This Row],[GRUPO_COD]],"T",Tabela1[[#This Row],[TIPO]])</f>
        <v>FGT999</v>
      </c>
      <c r="Y1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8" s="19"/>
      <c r="AA108" s="29" t="str">
        <f>IFERROR(VLOOKUP(CONCATENATE("B",Tabela1[[#This Row],[BLOCO]],Tabela1[[#This Row],[UO_COD]]),qdd!$AW$2:$AX$1000,2,FALSE),"")</f>
        <v/>
      </c>
      <c r="AB108" s="30" t="str">
        <f>IFERROR(Tabela1[[#This Row],[VALOR]]/100,"")</f>
        <v/>
      </c>
      <c r="AC108" s="7" t="str" cm="1">
        <f t="array" aca="1" ref="AC108" ca="1">IF(Tabela1[[#This Row],[VALOR]]&lt;0,"",IFERROR(SUBSTITUTE(Converter_numero(Tabela1[[#This Row],[VALOR INCISO]]),",",""),""))</f>
        <v/>
      </c>
      <c r="AD108" s="29" t="str">
        <f>IF(Tabela1[[#This Row],[TIPO]]=REGRAS!$W$2,REGRAS!$X$2,IF(Tabela1[[#This Row],[TIPO]]=REGRAS!$W$4,REGRAS!$X$4,""))</f>
        <v/>
      </c>
      <c r="AE108" s="29" t="e">
        <f>VLOOKUP(Tabela1[[#This Row],[FONTE_COD]],REGRAS!$O$2:$P$69,2,FALSE)</f>
        <v>#N/A</v>
      </c>
      <c r="AF1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9" spans="1:32" ht="18.75" customHeight="1">
      <c r="A109" s="2" t="str">
        <f>IFERROR(IF('PREENCHER AQUI'!A109="","",'PREENCHER AQUI'!A109),"")</f>
        <v/>
      </c>
      <c r="B109" s="1" t="str">
        <f>IFERROR(IF('PREENCHER AQUI'!B109="","",PROPER('PREENCHER AQUI'!B109)),"")</f>
        <v/>
      </c>
      <c r="C109" s="1" t="str">
        <f>IFERROR(IF('PREENCHER AQUI'!C109="","",'PREENCHER AQUI'!C109),"")</f>
        <v/>
      </c>
      <c r="D109" s="2" t="str">
        <f>IFERROR(IF('PREENCHER AQUI'!D109="","",'PREENCHER AQUI'!D109),"")</f>
        <v/>
      </c>
      <c r="E109" s="2" t="str">
        <f>IFERROR(VLOOKUP(CONCATENATE(C109,D109),qdd!$C$2:$F$1000,2,FALSE),"")</f>
        <v/>
      </c>
      <c r="F109" s="2" t="str">
        <f>IFERROR(VLOOKUP(CONCATENATE(C109,D109),qdd!$C$2:$F$1000,3,FALSE),"")</f>
        <v/>
      </c>
      <c r="G109" s="2" t="str">
        <f>IFERROR(VLOOKUP(CONCATENATE(C109,D109),qdd!$C$2:$F$1000,4,FALSE),"")</f>
        <v/>
      </c>
      <c r="H109" s="6" t="str">
        <f t="shared" si="4"/>
        <v/>
      </c>
      <c r="I1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9" s="2" t="str">
        <f>IFERROR(IF('PREENCHER AQUI'!E109="","",'PREENCHER AQUI'!E109),"")</f>
        <v/>
      </c>
      <c r="K109" s="2" t="str">
        <f>IFERROR(IF('PREENCHER AQUI'!F109="","",'PREENCHER AQUI'!F109),"")</f>
        <v/>
      </c>
      <c r="L109" s="2" t="str">
        <f>IF(Tabela1[[#This Row],[IPU_COD]]=9,"91",IF(Tabela1[[#This Row],[ACAO_COD]]="","",VLOOKUP(CONCATENATE("G",J109,"M",K109),qdd!$BC$2:$BD$46,2,FALSE)))</f>
        <v/>
      </c>
      <c r="M109" s="2" t="str">
        <f>TEXT(IFERROR(VLOOKUP(CONCATENATE(C109,D109),qdd!$C$2:$G$1000,5,FALSE),""),0)</f>
        <v/>
      </c>
      <c r="N109" s="2" t="str">
        <f>IFERROR(IF('PREENCHER AQUI'!I109="","",'PREENCHER AQUI'!I109),"")</f>
        <v/>
      </c>
      <c r="O109" s="2" t="str">
        <f>IFERROR(IF('PREENCHER AQUI'!J109="","",'PREENCHER AQUI'!J109),"")</f>
        <v/>
      </c>
      <c r="P109" s="7" t="str">
        <f t="shared" si="5"/>
        <v/>
      </c>
      <c r="Q109" s="8" t="str">
        <f>IFERROR(IF(Tabela4[[#This Row],[VALOR]]="","",IF(Tabela1[[#This Row],[ORIENTACAO]]="Anular",'PREENCHER AQUI'!K109*-1*100,'PREENCHER AQUI'!K109*100)),"")</f>
        <v/>
      </c>
      <c r="T109" s="7" t="str">
        <f>IFERROR(IF('PREENCHER AQUI'!L109="","999",LEFT('PREENCHER AQUI'!L109,1)),"")</f>
        <v>999</v>
      </c>
      <c r="V109" s="19"/>
      <c r="W109" s="1" t="str">
        <f>IFERROR(VLOOKUP(Tabela1[[#This Row],[UO_COD]],qdd!$AT$1:$AU$102,2,FALSE),"")</f>
        <v/>
      </c>
      <c r="X109" s="1" t="str">
        <f>CONCATENATE("F",Tabela1[[#This Row],[FONTE_COD]],Tabela1[[#This Row],[IPU_COD]],"G",Tabela1[[#This Row],[GRUPO_COD]],"T",Tabela1[[#This Row],[TIPO]])</f>
        <v>FGT999</v>
      </c>
      <c r="Y1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9" s="19"/>
      <c r="AA109" s="29" t="str">
        <f>IFERROR(VLOOKUP(CONCATENATE("B",Tabela1[[#This Row],[BLOCO]],Tabela1[[#This Row],[UO_COD]]),qdd!$AW$2:$AX$1000,2,FALSE),"")</f>
        <v/>
      </c>
      <c r="AB109" s="30" t="str">
        <f>IFERROR(Tabela1[[#This Row],[VALOR]]/100,"")</f>
        <v/>
      </c>
      <c r="AC109" s="7" t="str" cm="1">
        <f t="array" aca="1" ref="AC109" ca="1">IF(Tabela1[[#This Row],[VALOR]]&lt;0,"",IFERROR(SUBSTITUTE(Converter_numero(Tabela1[[#This Row],[VALOR INCISO]]),",",""),""))</f>
        <v/>
      </c>
      <c r="AD109" s="29" t="str">
        <f>IF(Tabela1[[#This Row],[TIPO]]=REGRAS!$W$2,REGRAS!$X$2,IF(Tabela1[[#This Row],[TIPO]]=REGRAS!$W$4,REGRAS!$X$4,""))</f>
        <v/>
      </c>
      <c r="AE109" s="29" t="e">
        <f>VLOOKUP(Tabela1[[#This Row],[FONTE_COD]],REGRAS!$O$2:$P$69,2,FALSE)</f>
        <v>#N/A</v>
      </c>
      <c r="AF1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0" spans="1:32" ht="18.75" customHeight="1">
      <c r="A110" s="2" t="str">
        <f>IFERROR(IF('PREENCHER AQUI'!A110="","",'PREENCHER AQUI'!A110),"")</f>
        <v/>
      </c>
      <c r="B110" s="1" t="str">
        <f>IFERROR(IF('PREENCHER AQUI'!B110="","",PROPER('PREENCHER AQUI'!B110)),"")</f>
        <v/>
      </c>
      <c r="C110" s="1" t="str">
        <f>IFERROR(IF('PREENCHER AQUI'!C110="","",'PREENCHER AQUI'!C110),"")</f>
        <v/>
      </c>
      <c r="D110" s="2" t="str">
        <f>IFERROR(IF('PREENCHER AQUI'!D110="","",'PREENCHER AQUI'!D110),"")</f>
        <v/>
      </c>
      <c r="E110" s="2" t="str">
        <f>IFERROR(VLOOKUP(CONCATENATE(C110,D110),qdd!$C$2:$F$1000,2,FALSE),"")</f>
        <v/>
      </c>
      <c r="F110" s="2" t="str">
        <f>IFERROR(VLOOKUP(CONCATENATE(C110,D110),qdd!$C$2:$F$1000,3,FALSE),"")</f>
        <v/>
      </c>
      <c r="G110" s="2" t="str">
        <f>IFERROR(VLOOKUP(CONCATENATE(C110,D110),qdd!$C$2:$F$1000,4,FALSE),"")</f>
        <v/>
      </c>
      <c r="H110" s="6" t="str">
        <f t="shared" si="4"/>
        <v/>
      </c>
      <c r="I1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0" s="2" t="str">
        <f>IFERROR(IF('PREENCHER AQUI'!E110="","",'PREENCHER AQUI'!E110),"")</f>
        <v/>
      </c>
      <c r="K110" s="2" t="str">
        <f>IFERROR(IF('PREENCHER AQUI'!F110="","",'PREENCHER AQUI'!F110),"")</f>
        <v/>
      </c>
      <c r="L110" s="2" t="str">
        <f>IF(Tabela1[[#This Row],[IPU_COD]]=9,"91",IF(Tabela1[[#This Row],[ACAO_COD]]="","",VLOOKUP(CONCATENATE("G",J110,"M",K110),qdd!$BC$2:$BD$46,2,FALSE)))</f>
        <v/>
      </c>
      <c r="M110" s="2" t="str">
        <f>TEXT(IFERROR(VLOOKUP(CONCATENATE(C110,D110),qdd!$C$2:$G$1000,5,FALSE),""),0)</f>
        <v/>
      </c>
      <c r="N110" s="2" t="str">
        <f>IFERROR(IF('PREENCHER AQUI'!I110="","",'PREENCHER AQUI'!I110),"")</f>
        <v/>
      </c>
      <c r="O110" s="2" t="str">
        <f>IFERROR(IF('PREENCHER AQUI'!J110="","",'PREENCHER AQUI'!J110),"")</f>
        <v/>
      </c>
      <c r="P110" s="7" t="str">
        <f t="shared" si="5"/>
        <v/>
      </c>
      <c r="Q110" s="8" t="str">
        <f>IFERROR(IF(Tabela4[[#This Row],[VALOR]]="","",IF(Tabela1[[#This Row],[ORIENTACAO]]="Anular",'PREENCHER AQUI'!K110*-1*100,'PREENCHER AQUI'!K110*100)),"")</f>
        <v/>
      </c>
      <c r="T110" s="7" t="str">
        <f>IFERROR(IF('PREENCHER AQUI'!L110="","999",LEFT('PREENCHER AQUI'!L110,1)),"")</f>
        <v>999</v>
      </c>
      <c r="V110" s="19"/>
      <c r="W110" s="20" t="str">
        <f>IFERROR(VLOOKUP(Tabela1[[#This Row],[UO_COD]],qdd!$AT$1:$AU$102,2,FALSE),"")</f>
        <v/>
      </c>
      <c r="X110" s="20" t="str">
        <f>CONCATENATE("F",Tabela1[[#This Row],[FONTE_COD]],Tabela1[[#This Row],[IPU_COD]],"G",Tabela1[[#This Row],[GRUPO_COD]],"T",Tabela1[[#This Row],[TIPO]])</f>
        <v>FGT999</v>
      </c>
      <c r="Y1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0" s="19"/>
      <c r="AA110" s="29" t="str">
        <f>IFERROR(VLOOKUP(CONCATENATE("B",Tabela1[[#This Row],[BLOCO]],Tabela1[[#This Row],[UO_COD]]),qdd!$AW$2:$AX$1000,2,FALSE),"")</f>
        <v/>
      </c>
      <c r="AB110" s="30" t="str">
        <f>IFERROR(Tabela1[[#This Row],[VALOR]]/100,"")</f>
        <v/>
      </c>
      <c r="AC110" s="7" t="str" cm="1">
        <f t="array" aca="1" ref="AC110" ca="1">IF(Tabela1[[#This Row],[VALOR]]&lt;0,"",IFERROR(SUBSTITUTE(Converter_numero(Tabela1[[#This Row],[VALOR INCISO]]),",",""),""))</f>
        <v/>
      </c>
      <c r="AD110" s="29" t="str">
        <f>IF(Tabela1[[#This Row],[TIPO]]=REGRAS!$W$2,REGRAS!$X$2,IF(Tabela1[[#This Row],[TIPO]]=REGRAS!$W$4,REGRAS!$X$4,""))</f>
        <v/>
      </c>
      <c r="AE110" s="29" t="e">
        <f>VLOOKUP(Tabela1[[#This Row],[FONTE_COD]],REGRAS!$O$2:$P$69,2,FALSE)</f>
        <v>#N/A</v>
      </c>
      <c r="AF1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1" spans="1:32" ht="18.75" customHeight="1">
      <c r="A111" s="2" t="str">
        <f>IFERROR(IF('PREENCHER AQUI'!A111="","",'PREENCHER AQUI'!A111),"")</f>
        <v/>
      </c>
      <c r="B111" s="1" t="str">
        <f>IFERROR(IF('PREENCHER AQUI'!B111="","",PROPER('PREENCHER AQUI'!B111)),"")</f>
        <v/>
      </c>
      <c r="C111" s="1" t="str">
        <f>IFERROR(IF('PREENCHER AQUI'!C111="","",'PREENCHER AQUI'!C111),"")</f>
        <v/>
      </c>
      <c r="D111" s="2" t="str">
        <f>IFERROR(IF('PREENCHER AQUI'!D111="","",'PREENCHER AQUI'!D111),"")</f>
        <v/>
      </c>
      <c r="E111" s="2" t="str">
        <f>IFERROR(VLOOKUP(CONCATENATE(C111,D111),qdd!$C$2:$F$1000,2,FALSE),"")</f>
        <v/>
      </c>
      <c r="F111" s="2" t="str">
        <f>IFERROR(VLOOKUP(CONCATENATE(C111,D111),qdd!$C$2:$F$1000,3,FALSE),"")</f>
        <v/>
      </c>
      <c r="G111" s="2" t="str">
        <f>IFERROR(VLOOKUP(CONCATENATE(C111,D111),qdd!$C$2:$F$1000,4,FALSE),"")</f>
        <v/>
      </c>
      <c r="H111" s="6" t="str">
        <f t="shared" si="4"/>
        <v/>
      </c>
      <c r="I1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1" s="2" t="str">
        <f>IFERROR(IF('PREENCHER AQUI'!E111="","",'PREENCHER AQUI'!E111),"")</f>
        <v/>
      </c>
      <c r="K111" s="2" t="str">
        <f>IFERROR(IF('PREENCHER AQUI'!F111="","",'PREENCHER AQUI'!F111),"")</f>
        <v/>
      </c>
      <c r="L111" s="2" t="str">
        <f>IF(Tabela1[[#This Row],[IPU_COD]]=9,"91",IF(Tabela1[[#This Row],[ACAO_COD]]="","",VLOOKUP(CONCATENATE("G",J111,"M",K111),qdd!$BC$2:$BD$46,2,FALSE)))</f>
        <v/>
      </c>
      <c r="M111" s="2" t="str">
        <f>TEXT(IFERROR(VLOOKUP(CONCATENATE(C111,D111),qdd!$C$2:$G$1000,5,FALSE),""),0)</f>
        <v/>
      </c>
      <c r="N111" s="2" t="str">
        <f>IFERROR(IF('PREENCHER AQUI'!I111="","",'PREENCHER AQUI'!I111),"")</f>
        <v/>
      </c>
      <c r="O111" s="2" t="str">
        <f>IFERROR(IF('PREENCHER AQUI'!J111="","",'PREENCHER AQUI'!J111),"")</f>
        <v/>
      </c>
      <c r="P111" s="7" t="str">
        <f t="shared" si="5"/>
        <v/>
      </c>
      <c r="Q111" s="8" t="str">
        <f>IFERROR(IF(Tabela4[[#This Row],[VALOR]]="","",IF(Tabela1[[#This Row],[ORIENTACAO]]="Anular",'PREENCHER AQUI'!K111*-1*100,'PREENCHER AQUI'!K111*100)),"")</f>
        <v/>
      </c>
      <c r="T111" s="7" t="str">
        <f>IFERROR(IF('PREENCHER AQUI'!L111="","999",LEFT('PREENCHER AQUI'!L111,1)),"")</f>
        <v>999</v>
      </c>
      <c r="V111" s="19"/>
      <c r="W111" s="1" t="str">
        <f>IFERROR(VLOOKUP(Tabela1[[#This Row],[UO_COD]],qdd!$AT$1:$AU$102,2,FALSE),"")</f>
        <v/>
      </c>
      <c r="X111" s="1" t="str">
        <f>CONCATENATE("F",Tabela1[[#This Row],[FONTE_COD]],Tabela1[[#This Row],[IPU_COD]],"G",Tabela1[[#This Row],[GRUPO_COD]],"T",Tabela1[[#This Row],[TIPO]])</f>
        <v>FGT999</v>
      </c>
      <c r="Y1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1" s="19"/>
      <c r="AA111" s="29" t="str">
        <f>IFERROR(VLOOKUP(CONCATENATE("B",Tabela1[[#This Row],[BLOCO]],Tabela1[[#This Row],[UO_COD]]),qdd!$AW$2:$AX$1000,2,FALSE),"")</f>
        <v/>
      </c>
      <c r="AB111" s="30" t="str">
        <f>IFERROR(Tabela1[[#This Row],[VALOR]]/100,"")</f>
        <v/>
      </c>
      <c r="AC111" s="7" t="str" cm="1">
        <f t="array" aca="1" ref="AC111" ca="1">IF(Tabela1[[#This Row],[VALOR]]&lt;0,"",IFERROR(SUBSTITUTE(Converter_numero(Tabela1[[#This Row],[VALOR INCISO]]),",",""),""))</f>
        <v/>
      </c>
      <c r="AD111" s="29" t="str">
        <f>IF(Tabela1[[#This Row],[TIPO]]=REGRAS!$W$2,REGRAS!$X$2,IF(Tabela1[[#This Row],[TIPO]]=REGRAS!$W$4,REGRAS!$X$4,""))</f>
        <v/>
      </c>
      <c r="AE111" s="29" t="e">
        <f>VLOOKUP(Tabela1[[#This Row],[FONTE_COD]],REGRAS!$O$2:$P$69,2,FALSE)</f>
        <v>#N/A</v>
      </c>
      <c r="AF1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2" spans="1:32" ht="18.75" customHeight="1">
      <c r="A112" s="2" t="str">
        <f>IFERROR(IF('PREENCHER AQUI'!A112="","",'PREENCHER AQUI'!A112),"")</f>
        <v/>
      </c>
      <c r="B112" s="1" t="str">
        <f>IFERROR(IF('PREENCHER AQUI'!B112="","",PROPER('PREENCHER AQUI'!B112)),"")</f>
        <v/>
      </c>
      <c r="C112" s="1" t="str">
        <f>IFERROR(IF('PREENCHER AQUI'!C112="","",'PREENCHER AQUI'!C112),"")</f>
        <v/>
      </c>
      <c r="D112" s="2" t="str">
        <f>IFERROR(IF('PREENCHER AQUI'!D112="","",'PREENCHER AQUI'!D112),"")</f>
        <v/>
      </c>
      <c r="E112" s="2" t="str">
        <f>IFERROR(VLOOKUP(CONCATENATE(C112,D112),qdd!$C$2:$F$1000,2,FALSE),"")</f>
        <v/>
      </c>
      <c r="F112" s="2" t="str">
        <f>IFERROR(VLOOKUP(CONCATENATE(C112,D112),qdd!$C$2:$F$1000,3,FALSE),"")</f>
        <v/>
      </c>
      <c r="G112" s="2" t="str">
        <f>IFERROR(VLOOKUP(CONCATENATE(C112,D112),qdd!$C$2:$F$1000,4,FALSE),"")</f>
        <v/>
      </c>
      <c r="H112" s="6" t="str">
        <f t="shared" si="4"/>
        <v/>
      </c>
      <c r="I1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2" s="2" t="str">
        <f>IFERROR(IF('PREENCHER AQUI'!E112="","",'PREENCHER AQUI'!E112),"")</f>
        <v/>
      </c>
      <c r="K112" s="2" t="str">
        <f>IFERROR(IF('PREENCHER AQUI'!F112="","",'PREENCHER AQUI'!F112),"")</f>
        <v/>
      </c>
      <c r="L112" s="2" t="str">
        <f>IF(Tabela1[[#This Row],[IPU_COD]]=9,"91",IF(Tabela1[[#This Row],[ACAO_COD]]="","",VLOOKUP(CONCATENATE("G",J112,"M",K112),qdd!$BC$2:$BD$46,2,FALSE)))</f>
        <v/>
      </c>
      <c r="M112" s="2" t="str">
        <f>TEXT(IFERROR(VLOOKUP(CONCATENATE(C112,D112),qdd!$C$2:$G$1000,5,FALSE),""),0)</f>
        <v/>
      </c>
      <c r="N112" s="2" t="str">
        <f>IFERROR(IF('PREENCHER AQUI'!I112="","",'PREENCHER AQUI'!I112),"")</f>
        <v/>
      </c>
      <c r="O112" s="2" t="str">
        <f>IFERROR(IF('PREENCHER AQUI'!J112="","",'PREENCHER AQUI'!J112),"")</f>
        <v/>
      </c>
      <c r="P112" s="7" t="str">
        <f t="shared" si="5"/>
        <v/>
      </c>
      <c r="Q112" s="8" t="str">
        <f>IFERROR(IF(Tabela4[[#This Row],[VALOR]]="","",IF(Tabela1[[#This Row],[ORIENTACAO]]="Anular",'PREENCHER AQUI'!K112*-1*100,'PREENCHER AQUI'!K112*100)),"")</f>
        <v/>
      </c>
      <c r="T112" s="7" t="str">
        <f>IFERROR(IF('PREENCHER AQUI'!L112="","999",LEFT('PREENCHER AQUI'!L112,1)),"")</f>
        <v>999</v>
      </c>
      <c r="W112" s="1" t="str">
        <f>IFERROR(VLOOKUP(Tabela1[[#This Row],[UO_COD]],qdd!$AT$1:$AU$102,2,FALSE),"")</f>
        <v/>
      </c>
      <c r="X112" s="1" t="str">
        <f>CONCATENATE("F",Tabela1[[#This Row],[FONTE_COD]],Tabela1[[#This Row],[IPU_COD]],"G",Tabela1[[#This Row],[GRUPO_COD]],"T",Tabela1[[#This Row],[TIPO]])</f>
        <v>FGT999</v>
      </c>
      <c r="Y1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2" s="19"/>
      <c r="AA112" s="29" t="str">
        <f>IFERROR(VLOOKUP(CONCATENATE("B",Tabela1[[#This Row],[BLOCO]],Tabela1[[#This Row],[UO_COD]]),qdd!$AW$2:$AX$1000,2,FALSE),"")</f>
        <v/>
      </c>
      <c r="AB112" s="30" t="str">
        <f>IFERROR(Tabela1[[#This Row],[VALOR]]/100,"")</f>
        <v/>
      </c>
      <c r="AC112" s="7" t="str" cm="1">
        <f t="array" aca="1" ref="AC112" ca="1">IF(Tabela1[[#This Row],[VALOR]]&lt;0,"",IFERROR(SUBSTITUTE(Converter_numero(Tabela1[[#This Row],[VALOR INCISO]]),",",""),""))</f>
        <v/>
      </c>
      <c r="AD112" s="7" t="str">
        <f>IF(Tabela1[[#This Row],[TIPO]]=REGRAS!$W$2,REGRAS!$X$2,IF(Tabela1[[#This Row],[TIPO]]=REGRAS!$W$4,REGRAS!$X$4,""))</f>
        <v/>
      </c>
      <c r="AE112" s="29" t="e">
        <f>VLOOKUP(Tabela1[[#This Row],[FONTE_COD]],REGRAS!$O$2:$P$69,2,FALSE)</f>
        <v>#N/A</v>
      </c>
      <c r="AF1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3" spans="1:32" ht="18.75" customHeight="1">
      <c r="A113" s="2" t="str">
        <f>IFERROR(IF('PREENCHER AQUI'!A113="","",'PREENCHER AQUI'!A113),"")</f>
        <v/>
      </c>
      <c r="B113" s="1" t="str">
        <f>IFERROR(IF('PREENCHER AQUI'!B113="","",PROPER('PREENCHER AQUI'!B113)),"")</f>
        <v/>
      </c>
      <c r="C113" s="1" t="str">
        <f>IFERROR(IF('PREENCHER AQUI'!C113="","",'PREENCHER AQUI'!C113),"")</f>
        <v/>
      </c>
      <c r="D113" s="2" t="str">
        <f>IFERROR(IF('PREENCHER AQUI'!D113="","",'PREENCHER AQUI'!D113),"")</f>
        <v/>
      </c>
      <c r="E113" s="2" t="str">
        <f>IFERROR(VLOOKUP(CONCATENATE(C113,D113),qdd!$C$2:$F$1000,2,FALSE),"")</f>
        <v/>
      </c>
      <c r="F113" s="2" t="str">
        <f>IFERROR(VLOOKUP(CONCATENATE(C113,D113),qdd!$C$2:$F$1000,3,FALSE),"")</f>
        <v/>
      </c>
      <c r="G113" s="2" t="str">
        <f>IFERROR(VLOOKUP(CONCATENATE(C113,D113),qdd!$C$2:$F$1000,4,FALSE),"")</f>
        <v/>
      </c>
      <c r="H113" s="6" t="str">
        <f t="shared" si="4"/>
        <v/>
      </c>
      <c r="I1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3" s="2" t="str">
        <f>IFERROR(IF('PREENCHER AQUI'!E113="","",'PREENCHER AQUI'!E113),"")</f>
        <v/>
      </c>
      <c r="K113" s="2" t="str">
        <f>IFERROR(IF('PREENCHER AQUI'!F113="","",'PREENCHER AQUI'!F113),"")</f>
        <v/>
      </c>
      <c r="L113" s="2" t="str">
        <f>IF(Tabela1[[#This Row],[IPU_COD]]=9,"91",IF(Tabela1[[#This Row],[ACAO_COD]]="","",VLOOKUP(CONCATENATE("G",J113,"M",K113),qdd!$BC$2:$BD$46,2,FALSE)))</f>
        <v/>
      </c>
      <c r="M113" s="2" t="str">
        <f>TEXT(IFERROR(VLOOKUP(CONCATENATE(C113,D113),qdd!$C$2:$G$1000,5,FALSE),""),0)</f>
        <v/>
      </c>
      <c r="N113" s="2" t="str">
        <f>IFERROR(IF('PREENCHER AQUI'!I113="","",'PREENCHER AQUI'!I113),"")</f>
        <v/>
      </c>
      <c r="O113" s="2" t="str">
        <f>IFERROR(IF('PREENCHER AQUI'!J113="","",'PREENCHER AQUI'!J113),"")</f>
        <v/>
      </c>
      <c r="P113" s="7" t="str">
        <f t="shared" si="5"/>
        <v/>
      </c>
      <c r="Q113" s="8" t="str">
        <f>IFERROR(IF(Tabela4[[#This Row],[VALOR]]="","",IF(Tabela1[[#This Row],[ORIENTACAO]]="Anular",'PREENCHER AQUI'!K113*-1*100,'PREENCHER AQUI'!K113*100)),"")</f>
        <v/>
      </c>
      <c r="T113" s="7" t="str">
        <f>IFERROR(IF('PREENCHER AQUI'!L113="","999",LEFT('PREENCHER AQUI'!L113,1)),"")</f>
        <v>999</v>
      </c>
      <c r="V113" s="19"/>
      <c r="W113" s="1" t="str">
        <f>IFERROR(VLOOKUP(Tabela1[[#This Row],[UO_COD]],qdd!$AT$1:$AU$102,2,FALSE),"")</f>
        <v/>
      </c>
      <c r="X113" s="1" t="str">
        <f>CONCATENATE("F",Tabela1[[#This Row],[FONTE_COD]],Tabela1[[#This Row],[IPU_COD]],"G",Tabela1[[#This Row],[GRUPO_COD]],"T",Tabela1[[#This Row],[TIPO]])</f>
        <v>FGT999</v>
      </c>
      <c r="Y1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3" s="19"/>
      <c r="AA113" s="29" t="str">
        <f>IFERROR(VLOOKUP(CONCATENATE("B",Tabela1[[#This Row],[BLOCO]],Tabela1[[#This Row],[UO_COD]]),qdd!$AW$2:$AX$1000,2,FALSE),"")</f>
        <v/>
      </c>
      <c r="AB113" s="30" t="str">
        <f>IFERROR(Tabela1[[#This Row],[VALOR]]/100,"")</f>
        <v/>
      </c>
      <c r="AC113" s="7" t="str" cm="1">
        <f t="array" aca="1" ref="AC113" ca="1">IF(Tabela1[[#This Row],[VALOR]]&lt;0,"",IFERROR(SUBSTITUTE(Converter_numero(Tabela1[[#This Row],[VALOR INCISO]]),",",""),""))</f>
        <v/>
      </c>
      <c r="AD113" s="29" t="str">
        <f>IF(Tabela1[[#This Row],[TIPO]]=REGRAS!$W$2,REGRAS!$X$2,IF(Tabela1[[#This Row],[TIPO]]=REGRAS!$W$4,REGRAS!$X$4,""))</f>
        <v/>
      </c>
      <c r="AE113" s="29" t="e">
        <f>VLOOKUP(Tabela1[[#This Row],[FONTE_COD]],REGRAS!$O$2:$P$69,2,FALSE)</f>
        <v>#N/A</v>
      </c>
      <c r="AF1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4" spans="1:32" ht="18.75" customHeight="1">
      <c r="A114" s="2" t="str">
        <f>IFERROR(IF('PREENCHER AQUI'!A114="","",'PREENCHER AQUI'!A114),"")</f>
        <v/>
      </c>
      <c r="B114" s="1" t="str">
        <f>IFERROR(IF('PREENCHER AQUI'!B114="","",PROPER('PREENCHER AQUI'!B114)),"")</f>
        <v/>
      </c>
      <c r="C114" s="1" t="str">
        <f>IFERROR(IF('PREENCHER AQUI'!C114="","",'PREENCHER AQUI'!C114),"")</f>
        <v/>
      </c>
      <c r="D114" s="2" t="str">
        <f>IFERROR(IF('PREENCHER AQUI'!D114="","",'PREENCHER AQUI'!D114),"")</f>
        <v/>
      </c>
      <c r="E114" s="2" t="str">
        <f>IFERROR(VLOOKUP(CONCATENATE(C114,D114),qdd!$C$2:$F$1000,2,FALSE),"")</f>
        <v/>
      </c>
      <c r="F114" s="2" t="str">
        <f>IFERROR(VLOOKUP(CONCATENATE(C114,D114),qdd!$C$2:$F$1000,3,FALSE),"")</f>
        <v/>
      </c>
      <c r="G114" s="2" t="str">
        <f>IFERROR(VLOOKUP(CONCATENATE(C114,D114),qdd!$C$2:$F$1000,4,FALSE),"")</f>
        <v/>
      </c>
      <c r="H114" s="6" t="str">
        <f t="shared" si="4"/>
        <v/>
      </c>
      <c r="I1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4" s="2" t="str">
        <f>IFERROR(IF('PREENCHER AQUI'!E114="","",'PREENCHER AQUI'!E114),"")</f>
        <v/>
      </c>
      <c r="K114" s="2" t="str">
        <f>IFERROR(IF('PREENCHER AQUI'!F114="","",'PREENCHER AQUI'!F114),"")</f>
        <v/>
      </c>
      <c r="L114" s="2" t="str">
        <f>IF(Tabela1[[#This Row],[IPU_COD]]=9,"91",IF(Tabela1[[#This Row],[ACAO_COD]]="","",VLOOKUP(CONCATENATE("G",J114,"M",K114),qdd!$BC$2:$BD$46,2,FALSE)))</f>
        <v/>
      </c>
      <c r="M114" s="2" t="str">
        <f>TEXT(IFERROR(VLOOKUP(CONCATENATE(C114,D114),qdd!$C$2:$G$1000,5,FALSE),""),0)</f>
        <v/>
      </c>
      <c r="N114" s="2" t="str">
        <f>IFERROR(IF('PREENCHER AQUI'!I114="","",'PREENCHER AQUI'!I114),"")</f>
        <v/>
      </c>
      <c r="O114" s="2" t="str">
        <f>IFERROR(IF('PREENCHER AQUI'!J114="","",'PREENCHER AQUI'!J114),"")</f>
        <v/>
      </c>
      <c r="P114" s="7" t="str">
        <f t="shared" si="5"/>
        <v/>
      </c>
      <c r="Q114" s="8" t="str">
        <f>IFERROR(IF(Tabela4[[#This Row],[VALOR]]="","",IF(Tabela1[[#This Row],[ORIENTACAO]]="Anular",'PREENCHER AQUI'!K114*-1*100,'PREENCHER AQUI'!K114*100)),"")</f>
        <v/>
      </c>
      <c r="T114" s="7" t="str">
        <f>IFERROR(IF('PREENCHER AQUI'!L114="","999",LEFT('PREENCHER AQUI'!L114,1)),"")</f>
        <v>999</v>
      </c>
      <c r="V114" s="19"/>
      <c r="W114" s="1" t="str">
        <f>IFERROR(VLOOKUP(Tabela1[[#This Row],[UO_COD]],qdd!$AT$1:$AU$102,2,FALSE),"")</f>
        <v/>
      </c>
      <c r="X114" s="1" t="str">
        <f>CONCATENATE("F",Tabela1[[#This Row],[FONTE_COD]],Tabela1[[#This Row],[IPU_COD]],"G",Tabela1[[#This Row],[GRUPO_COD]],"T",Tabela1[[#This Row],[TIPO]])</f>
        <v>FGT999</v>
      </c>
      <c r="Y1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4" s="19"/>
      <c r="AA114" s="29" t="str">
        <f>IFERROR(VLOOKUP(CONCATENATE("B",Tabela1[[#This Row],[BLOCO]],Tabela1[[#This Row],[UO_COD]]),qdd!$AW$2:$AX$1000,2,FALSE),"")</f>
        <v/>
      </c>
      <c r="AB114" s="30" t="str">
        <f>IFERROR(Tabela1[[#This Row],[VALOR]]/100,"")</f>
        <v/>
      </c>
      <c r="AC114" s="7" t="str" cm="1">
        <f t="array" aca="1" ref="AC114" ca="1">IF(Tabela1[[#This Row],[VALOR]]&lt;0,"",IFERROR(SUBSTITUTE(Converter_numero(Tabela1[[#This Row],[VALOR INCISO]]),",",""),""))</f>
        <v/>
      </c>
      <c r="AD114" s="29" t="str">
        <f>IF(Tabela1[[#This Row],[TIPO]]=REGRAS!$W$2,REGRAS!$X$2,IF(Tabela1[[#This Row],[TIPO]]=REGRAS!$W$4,REGRAS!$X$4,""))</f>
        <v/>
      </c>
      <c r="AE114" s="29" t="e">
        <f>VLOOKUP(Tabela1[[#This Row],[FONTE_COD]],REGRAS!$O$2:$P$69,2,FALSE)</f>
        <v>#N/A</v>
      </c>
      <c r="AF1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5" spans="1:32" ht="18.75" customHeight="1">
      <c r="A115" s="2" t="str">
        <f>IFERROR(IF('PREENCHER AQUI'!A115="","",'PREENCHER AQUI'!A115),"")</f>
        <v/>
      </c>
      <c r="B115" s="1" t="str">
        <f>IFERROR(IF('PREENCHER AQUI'!B115="","",PROPER('PREENCHER AQUI'!B115)),"")</f>
        <v/>
      </c>
      <c r="C115" s="1" t="str">
        <f>IFERROR(IF('PREENCHER AQUI'!C115="","",'PREENCHER AQUI'!C115),"")</f>
        <v/>
      </c>
      <c r="D115" s="2" t="str">
        <f>IFERROR(IF('PREENCHER AQUI'!D115="","",'PREENCHER AQUI'!D115),"")</f>
        <v/>
      </c>
      <c r="E115" s="2" t="str">
        <f>IFERROR(VLOOKUP(CONCATENATE(C115,D115),qdd!$C$2:$F$1000,2,FALSE),"")</f>
        <v/>
      </c>
      <c r="F115" s="2" t="str">
        <f>IFERROR(VLOOKUP(CONCATENATE(C115,D115),qdd!$C$2:$F$1000,3,FALSE),"")</f>
        <v/>
      </c>
      <c r="G115" s="2" t="str">
        <f>IFERROR(VLOOKUP(CONCATENATE(C115,D115),qdd!$C$2:$F$1000,4,FALSE),"")</f>
        <v/>
      </c>
      <c r="H115" s="6" t="str">
        <f t="shared" si="4"/>
        <v/>
      </c>
      <c r="I1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5" s="2" t="str">
        <f>IFERROR(IF('PREENCHER AQUI'!E115="","",'PREENCHER AQUI'!E115),"")</f>
        <v/>
      </c>
      <c r="K115" s="2" t="str">
        <f>IFERROR(IF('PREENCHER AQUI'!F115="","",'PREENCHER AQUI'!F115),"")</f>
        <v/>
      </c>
      <c r="L115" s="2" t="str">
        <f>IF(Tabela1[[#This Row],[IPU_COD]]=9,"91",IF(Tabela1[[#This Row],[ACAO_COD]]="","",VLOOKUP(CONCATENATE("G",J115,"M",K115),qdd!$BC$2:$BD$46,2,FALSE)))</f>
        <v/>
      </c>
      <c r="M115" s="2" t="str">
        <f>TEXT(IFERROR(VLOOKUP(CONCATENATE(C115,D115),qdd!$C$2:$G$1000,5,FALSE),""),0)</f>
        <v/>
      </c>
      <c r="N115" s="2" t="str">
        <f>IFERROR(IF('PREENCHER AQUI'!I115="","",'PREENCHER AQUI'!I115),"")</f>
        <v/>
      </c>
      <c r="O115" s="2" t="str">
        <f>IFERROR(IF('PREENCHER AQUI'!J115="","",'PREENCHER AQUI'!J115),"")</f>
        <v/>
      </c>
      <c r="P115" s="7" t="str">
        <f t="shared" si="5"/>
        <v/>
      </c>
      <c r="Q115" s="8" t="str">
        <f>IFERROR(IF(Tabela4[[#This Row],[VALOR]]="","",IF(Tabela1[[#This Row],[ORIENTACAO]]="Anular",'PREENCHER AQUI'!K115*-1*100,'PREENCHER AQUI'!K115*100)),"")</f>
        <v/>
      </c>
      <c r="T115" s="7" t="str">
        <f>IFERROR(IF('PREENCHER AQUI'!L115="","999",LEFT('PREENCHER AQUI'!L115,1)),"")</f>
        <v>999</v>
      </c>
      <c r="V115" s="19"/>
      <c r="W115" s="20" t="str">
        <f>IFERROR(VLOOKUP(Tabela1[[#This Row],[UO_COD]],qdd!$AT$1:$AU$102,2,FALSE),"")</f>
        <v/>
      </c>
      <c r="X115" s="20" t="str">
        <f>CONCATENATE("F",Tabela1[[#This Row],[FONTE_COD]],Tabela1[[#This Row],[IPU_COD]],"G",Tabela1[[#This Row],[GRUPO_COD]],"T",Tabela1[[#This Row],[TIPO]])</f>
        <v>FGT999</v>
      </c>
      <c r="Y1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5" s="19"/>
      <c r="AA115" s="29" t="str">
        <f>IFERROR(VLOOKUP(CONCATENATE("B",Tabela1[[#This Row],[BLOCO]],Tabela1[[#This Row],[UO_COD]]),qdd!$AW$2:$AX$1000,2,FALSE),"")</f>
        <v/>
      </c>
      <c r="AB115" s="30" t="str">
        <f>IFERROR(Tabela1[[#This Row],[VALOR]]/100,"")</f>
        <v/>
      </c>
      <c r="AC115" s="7" t="str" cm="1">
        <f t="array" aca="1" ref="AC115" ca="1">IF(Tabela1[[#This Row],[VALOR]]&lt;0,"",IFERROR(SUBSTITUTE(Converter_numero(Tabela1[[#This Row],[VALOR INCISO]]),",",""),""))</f>
        <v/>
      </c>
      <c r="AD115" s="29" t="str">
        <f>IF(Tabela1[[#This Row],[TIPO]]=REGRAS!$W$2,REGRAS!$X$2,IF(Tabela1[[#This Row],[TIPO]]=REGRAS!$W$4,REGRAS!$X$4,""))</f>
        <v/>
      </c>
      <c r="AE115" s="29" t="e">
        <f>VLOOKUP(Tabela1[[#This Row],[FONTE_COD]],REGRAS!$O$2:$P$69,2,FALSE)</f>
        <v>#N/A</v>
      </c>
      <c r="AF1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6" spans="1:32" ht="18.75" customHeight="1">
      <c r="A116" s="2" t="str">
        <f>IFERROR(IF('PREENCHER AQUI'!A116="","",'PREENCHER AQUI'!A116),"")</f>
        <v/>
      </c>
      <c r="B116" s="1" t="str">
        <f>IFERROR(IF('PREENCHER AQUI'!B116="","",PROPER('PREENCHER AQUI'!B116)),"")</f>
        <v/>
      </c>
      <c r="C116" s="1" t="str">
        <f>IFERROR(IF('PREENCHER AQUI'!C116="","",'PREENCHER AQUI'!C116),"")</f>
        <v/>
      </c>
      <c r="D116" s="2" t="str">
        <f>IFERROR(IF('PREENCHER AQUI'!D116="","",'PREENCHER AQUI'!D116),"")</f>
        <v/>
      </c>
      <c r="E116" s="2" t="str">
        <f>IFERROR(VLOOKUP(CONCATENATE(C116,D116),qdd!$C$2:$F$1000,2,FALSE),"")</f>
        <v/>
      </c>
      <c r="F116" s="2" t="str">
        <f>IFERROR(VLOOKUP(CONCATENATE(C116,D116),qdd!$C$2:$F$1000,3,FALSE),"")</f>
        <v/>
      </c>
      <c r="G116" s="2" t="str">
        <f>IFERROR(VLOOKUP(CONCATENATE(C116,D116),qdd!$C$2:$F$1000,4,FALSE),"")</f>
        <v/>
      </c>
      <c r="H116" s="6" t="str">
        <f t="shared" si="4"/>
        <v/>
      </c>
      <c r="I1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6" s="2" t="str">
        <f>IFERROR(IF('PREENCHER AQUI'!E116="","",'PREENCHER AQUI'!E116),"")</f>
        <v/>
      </c>
      <c r="K116" s="2" t="str">
        <f>IFERROR(IF('PREENCHER AQUI'!F116="","",'PREENCHER AQUI'!F116),"")</f>
        <v/>
      </c>
      <c r="L116" s="2" t="str">
        <f>IF(Tabela1[[#This Row],[IPU_COD]]=9,"91",IF(Tabela1[[#This Row],[ACAO_COD]]="","",VLOOKUP(CONCATENATE("G",J116,"M",K116),qdd!$BC$2:$BD$46,2,FALSE)))</f>
        <v/>
      </c>
      <c r="M116" s="2" t="str">
        <f>TEXT(IFERROR(VLOOKUP(CONCATENATE(C116,D116),qdd!$C$2:$G$1000,5,FALSE),""),0)</f>
        <v/>
      </c>
      <c r="N116" s="2" t="str">
        <f>IFERROR(IF('PREENCHER AQUI'!I116="","",'PREENCHER AQUI'!I116),"")</f>
        <v/>
      </c>
      <c r="O116" s="2" t="str">
        <f>IFERROR(IF('PREENCHER AQUI'!J116="","",'PREENCHER AQUI'!J116),"")</f>
        <v/>
      </c>
      <c r="P116" s="7" t="str">
        <f t="shared" si="5"/>
        <v/>
      </c>
      <c r="Q116" s="8" t="str">
        <f>IFERROR(IF(Tabela4[[#This Row],[VALOR]]="","",IF(Tabela1[[#This Row],[ORIENTACAO]]="Anular",'PREENCHER AQUI'!K116*-1*100,'PREENCHER AQUI'!K116*100)),"")</f>
        <v/>
      </c>
      <c r="T116" s="7" t="str">
        <f>IFERROR(IF('PREENCHER AQUI'!L116="","999",LEFT('PREENCHER AQUI'!L116,1)),"")</f>
        <v>999</v>
      </c>
      <c r="V116" s="19"/>
      <c r="W116" s="1" t="str">
        <f>IFERROR(VLOOKUP(Tabela1[[#This Row],[UO_COD]],qdd!$AT$1:$AU$102,2,FALSE),"")</f>
        <v/>
      </c>
      <c r="X116" s="1" t="str">
        <f>CONCATENATE("F",Tabela1[[#This Row],[FONTE_COD]],Tabela1[[#This Row],[IPU_COD]],"G",Tabela1[[#This Row],[GRUPO_COD]],"T",Tabela1[[#This Row],[TIPO]])</f>
        <v>FGT999</v>
      </c>
      <c r="Y1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6" s="19"/>
      <c r="AA116" s="29" t="str">
        <f>IFERROR(VLOOKUP(CONCATENATE("B",Tabela1[[#This Row],[BLOCO]],Tabela1[[#This Row],[UO_COD]]),qdd!$AW$2:$AX$1000,2,FALSE),"")</f>
        <v/>
      </c>
      <c r="AB116" s="30" t="str">
        <f>IFERROR(Tabela1[[#This Row],[VALOR]]/100,"")</f>
        <v/>
      </c>
      <c r="AC116" s="7" t="str" cm="1">
        <f t="array" aca="1" ref="AC116" ca="1">IF(Tabela1[[#This Row],[VALOR]]&lt;0,"",IFERROR(SUBSTITUTE(Converter_numero(Tabela1[[#This Row],[VALOR INCISO]]),",",""),""))</f>
        <v/>
      </c>
      <c r="AD116" s="29" t="str">
        <f>IF(Tabela1[[#This Row],[TIPO]]=REGRAS!$W$2,REGRAS!$X$2,IF(Tabela1[[#This Row],[TIPO]]=REGRAS!$W$4,REGRAS!$X$4,""))</f>
        <v/>
      </c>
      <c r="AE116" s="29" t="e">
        <f>VLOOKUP(Tabela1[[#This Row],[FONTE_COD]],REGRAS!$O$2:$P$69,2,FALSE)</f>
        <v>#N/A</v>
      </c>
      <c r="AF1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7" spans="1:32" ht="18.75" customHeight="1">
      <c r="A117" s="2" t="str">
        <f>IFERROR(IF('PREENCHER AQUI'!A117="","",'PREENCHER AQUI'!A117),"")</f>
        <v/>
      </c>
      <c r="B117" s="1" t="str">
        <f>IFERROR(IF('PREENCHER AQUI'!B117="","",PROPER('PREENCHER AQUI'!B117)),"")</f>
        <v/>
      </c>
      <c r="C117" s="1" t="str">
        <f>IFERROR(IF('PREENCHER AQUI'!C117="","",'PREENCHER AQUI'!C117),"")</f>
        <v/>
      </c>
      <c r="D117" s="2" t="str">
        <f>IFERROR(IF('PREENCHER AQUI'!D117="","",'PREENCHER AQUI'!D117),"")</f>
        <v/>
      </c>
      <c r="E117" s="2" t="str">
        <f>IFERROR(VLOOKUP(CONCATENATE(C117,D117),qdd!$C$2:$F$1000,2,FALSE),"")</f>
        <v/>
      </c>
      <c r="F117" s="2" t="str">
        <f>IFERROR(VLOOKUP(CONCATENATE(C117,D117),qdd!$C$2:$F$1000,3,FALSE),"")</f>
        <v/>
      </c>
      <c r="G117" s="2" t="str">
        <f>IFERROR(VLOOKUP(CONCATENATE(C117,D117),qdd!$C$2:$F$1000,4,FALSE),"")</f>
        <v/>
      </c>
      <c r="H117" s="6" t="str">
        <f t="shared" si="4"/>
        <v/>
      </c>
      <c r="I1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7" s="2" t="str">
        <f>IFERROR(IF('PREENCHER AQUI'!E117="","",'PREENCHER AQUI'!E117),"")</f>
        <v/>
      </c>
      <c r="K117" s="2" t="str">
        <f>IFERROR(IF('PREENCHER AQUI'!F117="","",'PREENCHER AQUI'!F117),"")</f>
        <v/>
      </c>
      <c r="L117" s="2" t="str">
        <f>IF(Tabela1[[#This Row],[IPU_COD]]=9,"91",IF(Tabela1[[#This Row],[ACAO_COD]]="","",VLOOKUP(CONCATENATE("G",J117,"M",K117),qdd!$BC$2:$BD$46,2,FALSE)))</f>
        <v/>
      </c>
      <c r="M117" s="2" t="str">
        <f>TEXT(IFERROR(VLOOKUP(CONCATENATE(C117,D117),qdd!$C$2:$G$1000,5,FALSE),""),0)</f>
        <v/>
      </c>
      <c r="N117" s="2" t="str">
        <f>IFERROR(IF('PREENCHER AQUI'!I117="","",'PREENCHER AQUI'!I117),"")</f>
        <v/>
      </c>
      <c r="O117" s="2" t="str">
        <f>IFERROR(IF('PREENCHER AQUI'!J117="","",'PREENCHER AQUI'!J117),"")</f>
        <v/>
      </c>
      <c r="P117" s="7" t="str">
        <f t="shared" si="5"/>
        <v/>
      </c>
      <c r="Q117" s="8" t="str">
        <f>IFERROR(IF(Tabela4[[#This Row],[VALOR]]="","",IF(Tabela1[[#This Row],[ORIENTACAO]]="Anular",'PREENCHER AQUI'!K117*-1*100,'PREENCHER AQUI'!K117*100)),"")</f>
        <v/>
      </c>
      <c r="T117" s="7" t="str">
        <f>IFERROR(IF('PREENCHER AQUI'!L117="","999",LEFT('PREENCHER AQUI'!L117,1)),"")</f>
        <v>999</v>
      </c>
      <c r="W117" s="1" t="str">
        <f>IFERROR(VLOOKUP(Tabela1[[#This Row],[UO_COD]],qdd!$AT$1:$AU$102,2,FALSE),"")</f>
        <v/>
      </c>
      <c r="X117" s="1" t="str">
        <f>CONCATENATE("F",Tabela1[[#This Row],[FONTE_COD]],Tabela1[[#This Row],[IPU_COD]],"G",Tabela1[[#This Row],[GRUPO_COD]],"T",Tabela1[[#This Row],[TIPO]])</f>
        <v>FGT999</v>
      </c>
      <c r="Y1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7" s="19"/>
      <c r="AA117" s="29" t="str">
        <f>IFERROR(VLOOKUP(CONCATENATE("B",Tabela1[[#This Row],[BLOCO]],Tabela1[[#This Row],[UO_COD]]),qdd!$AW$2:$AX$1000,2,FALSE),"")</f>
        <v/>
      </c>
      <c r="AB117" s="30" t="str">
        <f>IFERROR(Tabela1[[#This Row],[VALOR]]/100,"")</f>
        <v/>
      </c>
      <c r="AC117" s="7" t="str" cm="1">
        <f t="array" aca="1" ref="AC117" ca="1">IF(Tabela1[[#This Row],[VALOR]]&lt;0,"",IFERROR(SUBSTITUTE(Converter_numero(Tabela1[[#This Row],[VALOR INCISO]]),",",""),""))</f>
        <v/>
      </c>
      <c r="AD117" s="7" t="str">
        <f>IF(Tabela1[[#This Row],[TIPO]]=REGRAS!$W$2,REGRAS!$X$2,IF(Tabela1[[#This Row],[TIPO]]=REGRAS!$W$4,REGRAS!$X$4,""))</f>
        <v/>
      </c>
      <c r="AE117" s="29" t="e">
        <f>VLOOKUP(Tabela1[[#This Row],[FONTE_COD]],REGRAS!$O$2:$P$69,2,FALSE)</f>
        <v>#N/A</v>
      </c>
      <c r="AF1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8" spans="1:32" ht="18.75" customHeight="1">
      <c r="A118" s="2" t="str">
        <f>IFERROR(IF('PREENCHER AQUI'!A118="","",'PREENCHER AQUI'!A118),"")</f>
        <v/>
      </c>
      <c r="B118" s="1" t="str">
        <f>IFERROR(IF('PREENCHER AQUI'!B118="","",PROPER('PREENCHER AQUI'!B118)),"")</f>
        <v/>
      </c>
      <c r="C118" s="1" t="str">
        <f>IFERROR(IF('PREENCHER AQUI'!C118="","",'PREENCHER AQUI'!C118),"")</f>
        <v/>
      </c>
      <c r="D118" s="2" t="str">
        <f>IFERROR(IF('PREENCHER AQUI'!D118="","",'PREENCHER AQUI'!D118),"")</f>
        <v/>
      </c>
      <c r="E118" s="2" t="str">
        <f>IFERROR(VLOOKUP(CONCATENATE(C118,D118),qdd!$C$2:$F$1000,2,FALSE),"")</f>
        <v/>
      </c>
      <c r="F118" s="2" t="str">
        <f>IFERROR(VLOOKUP(CONCATENATE(C118,D118),qdd!$C$2:$F$1000,3,FALSE),"")</f>
        <v/>
      </c>
      <c r="G118" s="2" t="str">
        <f>IFERROR(VLOOKUP(CONCATENATE(C118,D118),qdd!$C$2:$F$1000,4,FALSE),"")</f>
        <v/>
      </c>
      <c r="H118" s="6" t="str">
        <f t="shared" si="4"/>
        <v/>
      </c>
      <c r="I1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8" s="2" t="str">
        <f>IFERROR(IF('PREENCHER AQUI'!E118="","",'PREENCHER AQUI'!E118),"")</f>
        <v/>
      </c>
      <c r="K118" s="2" t="str">
        <f>IFERROR(IF('PREENCHER AQUI'!F118="","",'PREENCHER AQUI'!F118),"")</f>
        <v/>
      </c>
      <c r="L118" s="2" t="str">
        <f>IF(Tabela1[[#This Row],[IPU_COD]]=9,"91",IF(Tabela1[[#This Row],[ACAO_COD]]="","",VLOOKUP(CONCATENATE("G",J118,"M",K118),qdd!$BC$2:$BD$46,2,FALSE)))</f>
        <v/>
      </c>
      <c r="M118" s="2" t="str">
        <f>TEXT(IFERROR(VLOOKUP(CONCATENATE(C118,D118),qdd!$C$2:$G$1000,5,FALSE),""),0)</f>
        <v/>
      </c>
      <c r="N118" s="2" t="str">
        <f>IFERROR(IF('PREENCHER AQUI'!I118="","",'PREENCHER AQUI'!I118),"")</f>
        <v/>
      </c>
      <c r="O118" s="2" t="str">
        <f>IFERROR(IF('PREENCHER AQUI'!J118="","",'PREENCHER AQUI'!J118),"")</f>
        <v/>
      </c>
      <c r="P118" s="7" t="str">
        <f t="shared" si="5"/>
        <v/>
      </c>
      <c r="Q118" s="8" t="str">
        <f>IFERROR(IF(Tabela4[[#This Row],[VALOR]]="","",IF(Tabela1[[#This Row],[ORIENTACAO]]="Anular",'PREENCHER AQUI'!K118*-1*100,'PREENCHER AQUI'!K118*100)),"")</f>
        <v/>
      </c>
      <c r="T118" s="7" t="str">
        <f>IFERROR(IF('PREENCHER AQUI'!L118="","999",LEFT('PREENCHER AQUI'!L118,1)),"")</f>
        <v>999</v>
      </c>
      <c r="V118" s="19"/>
      <c r="W118" s="1" t="str">
        <f>IFERROR(VLOOKUP(Tabela1[[#This Row],[UO_COD]],qdd!$AT$1:$AU$102,2,FALSE),"")</f>
        <v/>
      </c>
      <c r="X118" s="1" t="str">
        <f>CONCATENATE("F",Tabela1[[#This Row],[FONTE_COD]],Tabela1[[#This Row],[IPU_COD]],"G",Tabela1[[#This Row],[GRUPO_COD]],"T",Tabela1[[#This Row],[TIPO]])</f>
        <v>FGT999</v>
      </c>
      <c r="Y1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8" s="19"/>
      <c r="AA118" s="29" t="str">
        <f>IFERROR(VLOOKUP(CONCATENATE("B",Tabela1[[#This Row],[BLOCO]],Tabela1[[#This Row],[UO_COD]]),qdd!$AW$2:$AX$1000,2,FALSE),"")</f>
        <v/>
      </c>
      <c r="AB118" s="30" t="str">
        <f>IFERROR(Tabela1[[#This Row],[VALOR]]/100,"")</f>
        <v/>
      </c>
      <c r="AC118" s="7" t="str" cm="1">
        <f t="array" aca="1" ref="AC118" ca="1">IF(Tabela1[[#This Row],[VALOR]]&lt;0,"",IFERROR(SUBSTITUTE(Converter_numero(Tabela1[[#This Row],[VALOR INCISO]]),",",""),""))</f>
        <v/>
      </c>
      <c r="AD118" s="29" t="str">
        <f>IF(Tabela1[[#This Row],[TIPO]]=REGRAS!$W$2,REGRAS!$X$2,IF(Tabela1[[#This Row],[TIPO]]=REGRAS!$W$4,REGRAS!$X$4,""))</f>
        <v/>
      </c>
      <c r="AE118" s="29" t="e">
        <f>VLOOKUP(Tabela1[[#This Row],[FONTE_COD]],REGRAS!$O$2:$P$69,2,FALSE)</f>
        <v>#N/A</v>
      </c>
      <c r="AF1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9" spans="1:32" ht="18.75" customHeight="1">
      <c r="A119" s="2" t="str">
        <f>IFERROR(IF('PREENCHER AQUI'!A119="","",'PREENCHER AQUI'!A119),"")</f>
        <v/>
      </c>
      <c r="B119" s="1" t="str">
        <f>IFERROR(IF('PREENCHER AQUI'!B119="","",PROPER('PREENCHER AQUI'!B119)),"")</f>
        <v/>
      </c>
      <c r="C119" s="1" t="str">
        <f>IFERROR(IF('PREENCHER AQUI'!C119="","",'PREENCHER AQUI'!C119),"")</f>
        <v/>
      </c>
      <c r="D119" s="2" t="str">
        <f>IFERROR(IF('PREENCHER AQUI'!D119="","",'PREENCHER AQUI'!D119),"")</f>
        <v/>
      </c>
      <c r="E119" s="2" t="str">
        <f>IFERROR(VLOOKUP(CONCATENATE(C119,D119),qdd!$C$2:$F$1000,2,FALSE),"")</f>
        <v/>
      </c>
      <c r="F119" s="2" t="str">
        <f>IFERROR(VLOOKUP(CONCATENATE(C119,D119),qdd!$C$2:$F$1000,3,FALSE),"")</f>
        <v/>
      </c>
      <c r="G119" s="2" t="str">
        <f>IFERROR(VLOOKUP(CONCATENATE(C119,D119),qdd!$C$2:$F$1000,4,FALSE),"")</f>
        <v/>
      </c>
      <c r="H119" s="6" t="str">
        <f t="shared" si="4"/>
        <v/>
      </c>
      <c r="I1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9" s="2" t="str">
        <f>IFERROR(IF('PREENCHER AQUI'!E119="","",'PREENCHER AQUI'!E119),"")</f>
        <v/>
      </c>
      <c r="K119" s="2" t="str">
        <f>IFERROR(IF('PREENCHER AQUI'!F119="","",'PREENCHER AQUI'!F119),"")</f>
        <v/>
      </c>
      <c r="L119" s="2" t="str">
        <f>IF(Tabela1[[#This Row],[IPU_COD]]=9,"91",IF(Tabela1[[#This Row],[ACAO_COD]]="","",VLOOKUP(CONCATENATE("G",J119,"M",K119),qdd!$BC$2:$BD$46,2,FALSE)))</f>
        <v/>
      </c>
      <c r="M119" s="2" t="str">
        <f>TEXT(IFERROR(VLOOKUP(CONCATENATE(C119,D119),qdd!$C$2:$G$1000,5,FALSE),""),0)</f>
        <v/>
      </c>
      <c r="N119" s="2" t="str">
        <f>IFERROR(IF('PREENCHER AQUI'!I119="","",'PREENCHER AQUI'!I119),"")</f>
        <v/>
      </c>
      <c r="O119" s="2" t="str">
        <f>IFERROR(IF('PREENCHER AQUI'!J119="","",'PREENCHER AQUI'!J119),"")</f>
        <v/>
      </c>
      <c r="P119" s="7" t="str">
        <f t="shared" si="5"/>
        <v/>
      </c>
      <c r="Q119" s="8" t="str">
        <f>IFERROR(IF(Tabela4[[#This Row],[VALOR]]="","",IF(Tabela1[[#This Row],[ORIENTACAO]]="Anular",'PREENCHER AQUI'!K119*-1*100,'PREENCHER AQUI'!K119*100)),"")</f>
        <v/>
      </c>
      <c r="T119" s="7" t="str">
        <f>IFERROR(IF('PREENCHER AQUI'!L119="","999",LEFT('PREENCHER AQUI'!L119,1)),"")</f>
        <v>999</v>
      </c>
      <c r="V119" s="19"/>
      <c r="W119" s="1" t="str">
        <f>IFERROR(VLOOKUP(Tabela1[[#This Row],[UO_COD]],qdd!$AT$1:$AU$102,2,FALSE),"")</f>
        <v/>
      </c>
      <c r="X119" s="1" t="str">
        <f>CONCATENATE("F",Tabela1[[#This Row],[FONTE_COD]],Tabela1[[#This Row],[IPU_COD]],"G",Tabela1[[#This Row],[GRUPO_COD]],"T",Tabela1[[#This Row],[TIPO]])</f>
        <v>FGT999</v>
      </c>
      <c r="Y1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9" s="19"/>
      <c r="AA119" s="29" t="str">
        <f>IFERROR(VLOOKUP(CONCATENATE("B",Tabela1[[#This Row],[BLOCO]],Tabela1[[#This Row],[UO_COD]]),qdd!$AW$2:$AX$1000,2,FALSE),"")</f>
        <v/>
      </c>
      <c r="AB119" s="30" t="str">
        <f>IFERROR(Tabela1[[#This Row],[VALOR]]/100,"")</f>
        <v/>
      </c>
      <c r="AC119" s="7" t="str" cm="1">
        <f t="array" aca="1" ref="AC119" ca="1">IF(Tabela1[[#This Row],[VALOR]]&lt;0,"",IFERROR(SUBSTITUTE(Converter_numero(Tabela1[[#This Row],[VALOR INCISO]]),",",""),""))</f>
        <v/>
      </c>
      <c r="AD119" s="29" t="str">
        <f>IF(Tabela1[[#This Row],[TIPO]]=REGRAS!$W$2,REGRAS!$X$2,IF(Tabela1[[#This Row],[TIPO]]=REGRAS!$W$4,REGRAS!$X$4,""))</f>
        <v/>
      </c>
      <c r="AE119" s="29" t="e">
        <f>VLOOKUP(Tabela1[[#This Row],[FONTE_COD]],REGRAS!$O$2:$P$69,2,FALSE)</f>
        <v>#N/A</v>
      </c>
      <c r="AF1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0" spans="1:32" ht="18.75" customHeight="1">
      <c r="A120" s="2" t="str">
        <f>IFERROR(IF('PREENCHER AQUI'!A120="","",'PREENCHER AQUI'!A120),"")</f>
        <v/>
      </c>
      <c r="B120" s="1" t="str">
        <f>IFERROR(IF('PREENCHER AQUI'!B120="","",PROPER('PREENCHER AQUI'!B120)),"")</f>
        <v/>
      </c>
      <c r="C120" s="1" t="str">
        <f>IFERROR(IF('PREENCHER AQUI'!C120="","",'PREENCHER AQUI'!C120),"")</f>
        <v/>
      </c>
      <c r="D120" s="2" t="str">
        <f>IFERROR(IF('PREENCHER AQUI'!D120="","",'PREENCHER AQUI'!D120),"")</f>
        <v/>
      </c>
      <c r="E120" s="2" t="str">
        <f>IFERROR(VLOOKUP(CONCATENATE(C120,D120),qdd!$C$2:$F$1000,2,FALSE),"")</f>
        <v/>
      </c>
      <c r="F120" s="2" t="str">
        <f>IFERROR(VLOOKUP(CONCATENATE(C120,D120),qdd!$C$2:$F$1000,3,FALSE),"")</f>
        <v/>
      </c>
      <c r="G120" s="2" t="str">
        <f>IFERROR(VLOOKUP(CONCATENATE(C120,D120),qdd!$C$2:$F$1000,4,FALSE),"")</f>
        <v/>
      </c>
      <c r="H120" s="6" t="str">
        <f t="shared" si="4"/>
        <v/>
      </c>
      <c r="I1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0" s="2" t="str">
        <f>IFERROR(IF('PREENCHER AQUI'!E120="","",'PREENCHER AQUI'!E120),"")</f>
        <v/>
      </c>
      <c r="K120" s="2" t="str">
        <f>IFERROR(IF('PREENCHER AQUI'!F120="","",'PREENCHER AQUI'!F120),"")</f>
        <v/>
      </c>
      <c r="L120" s="2" t="str">
        <f>IF(Tabela1[[#This Row],[IPU_COD]]=9,"91",IF(Tabela1[[#This Row],[ACAO_COD]]="","",VLOOKUP(CONCATENATE("G",J120,"M",K120),qdd!$BC$2:$BD$46,2,FALSE)))</f>
        <v/>
      </c>
      <c r="M120" s="2" t="str">
        <f>TEXT(IFERROR(VLOOKUP(CONCATENATE(C120,D120),qdd!$C$2:$G$1000,5,FALSE),""),0)</f>
        <v/>
      </c>
      <c r="N120" s="2" t="str">
        <f>IFERROR(IF('PREENCHER AQUI'!I120="","",'PREENCHER AQUI'!I120),"")</f>
        <v/>
      </c>
      <c r="O120" s="2" t="str">
        <f>IFERROR(IF('PREENCHER AQUI'!J120="","",'PREENCHER AQUI'!J120),"")</f>
        <v/>
      </c>
      <c r="P120" s="7" t="str">
        <f t="shared" si="5"/>
        <v/>
      </c>
      <c r="Q120" s="8" t="str">
        <f>IFERROR(IF(Tabela4[[#This Row],[VALOR]]="","",IF(Tabela1[[#This Row],[ORIENTACAO]]="Anular",'PREENCHER AQUI'!K120*-1*100,'PREENCHER AQUI'!K120*100)),"")</f>
        <v/>
      </c>
      <c r="T120" s="7" t="str">
        <f>IFERROR(IF('PREENCHER AQUI'!L120="","999",LEFT('PREENCHER AQUI'!L120,1)),"")</f>
        <v>999</v>
      </c>
      <c r="V120" s="19"/>
      <c r="W120" s="20" t="str">
        <f>IFERROR(VLOOKUP(Tabela1[[#This Row],[UO_COD]],qdd!$AT$1:$AU$102,2,FALSE),"")</f>
        <v/>
      </c>
      <c r="X120" s="20" t="str">
        <f>CONCATENATE("F",Tabela1[[#This Row],[FONTE_COD]],Tabela1[[#This Row],[IPU_COD]],"G",Tabela1[[#This Row],[GRUPO_COD]],"T",Tabela1[[#This Row],[TIPO]])</f>
        <v>FGT999</v>
      </c>
      <c r="Y1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0" s="19"/>
      <c r="AA120" s="29" t="str">
        <f>IFERROR(VLOOKUP(CONCATENATE("B",Tabela1[[#This Row],[BLOCO]],Tabela1[[#This Row],[UO_COD]]),qdd!$AW$2:$AX$1000,2,FALSE),"")</f>
        <v/>
      </c>
      <c r="AB120" s="30" t="str">
        <f>IFERROR(Tabela1[[#This Row],[VALOR]]/100,"")</f>
        <v/>
      </c>
      <c r="AC120" s="7" t="str" cm="1">
        <f t="array" aca="1" ref="AC120" ca="1">IF(Tabela1[[#This Row],[VALOR]]&lt;0,"",IFERROR(SUBSTITUTE(Converter_numero(Tabela1[[#This Row],[VALOR INCISO]]),",",""),""))</f>
        <v/>
      </c>
      <c r="AD120" s="29" t="str">
        <f>IF(Tabela1[[#This Row],[TIPO]]=REGRAS!$W$2,REGRAS!$X$2,IF(Tabela1[[#This Row],[TIPO]]=REGRAS!$W$4,REGRAS!$X$4,""))</f>
        <v/>
      </c>
      <c r="AE120" s="29" t="e">
        <f>VLOOKUP(Tabela1[[#This Row],[FONTE_COD]],REGRAS!$O$2:$P$69,2,FALSE)</f>
        <v>#N/A</v>
      </c>
      <c r="AF1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1" spans="1:32" ht="18.75" customHeight="1">
      <c r="A121" s="2" t="str">
        <f>IFERROR(IF('PREENCHER AQUI'!A121="","",'PREENCHER AQUI'!A121),"")</f>
        <v/>
      </c>
      <c r="B121" s="1" t="str">
        <f>IFERROR(IF('PREENCHER AQUI'!B121="","",PROPER('PREENCHER AQUI'!B121)),"")</f>
        <v/>
      </c>
      <c r="C121" s="1" t="str">
        <f>IFERROR(IF('PREENCHER AQUI'!C121="","",'PREENCHER AQUI'!C121),"")</f>
        <v/>
      </c>
      <c r="D121" s="2" t="str">
        <f>IFERROR(IF('PREENCHER AQUI'!D121="","",'PREENCHER AQUI'!D121),"")</f>
        <v/>
      </c>
      <c r="E121" s="2" t="str">
        <f>IFERROR(VLOOKUP(CONCATENATE(C121,D121),qdd!$C$2:$F$1000,2,FALSE),"")</f>
        <v/>
      </c>
      <c r="F121" s="2" t="str">
        <f>IFERROR(VLOOKUP(CONCATENATE(C121,D121),qdd!$C$2:$F$1000,3,FALSE),"")</f>
        <v/>
      </c>
      <c r="G121" s="2" t="str">
        <f>IFERROR(VLOOKUP(CONCATENATE(C121,D121),qdd!$C$2:$F$1000,4,FALSE),"")</f>
        <v/>
      </c>
      <c r="H121" s="6" t="str">
        <f t="shared" si="4"/>
        <v/>
      </c>
      <c r="I1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1" s="2" t="str">
        <f>IFERROR(IF('PREENCHER AQUI'!E121="","",'PREENCHER AQUI'!E121),"")</f>
        <v/>
      </c>
      <c r="K121" s="2" t="str">
        <f>IFERROR(IF('PREENCHER AQUI'!F121="","",'PREENCHER AQUI'!F121),"")</f>
        <v/>
      </c>
      <c r="L121" s="2" t="str">
        <f>IF(Tabela1[[#This Row],[IPU_COD]]=9,"91",IF(Tabela1[[#This Row],[ACAO_COD]]="","",VLOOKUP(CONCATENATE("G",J121,"M",K121),qdd!$BC$2:$BD$46,2,FALSE)))</f>
        <v/>
      </c>
      <c r="M121" s="2" t="str">
        <f>TEXT(IFERROR(VLOOKUP(CONCATENATE(C121,D121),qdd!$C$2:$G$1000,5,FALSE),""),0)</f>
        <v/>
      </c>
      <c r="N121" s="2" t="str">
        <f>IFERROR(IF('PREENCHER AQUI'!I121="","",'PREENCHER AQUI'!I121),"")</f>
        <v/>
      </c>
      <c r="O121" s="2" t="str">
        <f>IFERROR(IF('PREENCHER AQUI'!J121="","",'PREENCHER AQUI'!J121),"")</f>
        <v/>
      </c>
      <c r="P121" s="7" t="str">
        <f t="shared" si="5"/>
        <v/>
      </c>
      <c r="Q121" s="8" t="str">
        <f>IFERROR(IF(Tabela4[[#This Row],[VALOR]]="","",IF(Tabela1[[#This Row],[ORIENTACAO]]="Anular",'PREENCHER AQUI'!K121*-1*100,'PREENCHER AQUI'!K121*100)),"")</f>
        <v/>
      </c>
      <c r="T121" s="7" t="str">
        <f>IFERROR(IF('PREENCHER AQUI'!L121="","999",LEFT('PREENCHER AQUI'!L121,1)),"")</f>
        <v>999</v>
      </c>
      <c r="V121" s="19"/>
      <c r="W121" s="1" t="str">
        <f>IFERROR(VLOOKUP(Tabela1[[#This Row],[UO_COD]],qdd!$AT$1:$AU$102,2,FALSE),"")</f>
        <v/>
      </c>
      <c r="X121" s="1" t="str">
        <f>CONCATENATE("F",Tabela1[[#This Row],[FONTE_COD]],Tabela1[[#This Row],[IPU_COD]],"G",Tabela1[[#This Row],[GRUPO_COD]],"T",Tabela1[[#This Row],[TIPO]])</f>
        <v>FGT999</v>
      </c>
      <c r="Y1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1" s="19"/>
      <c r="AA121" s="29" t="str">
        <f>IFERROR(VLOOKUP(CONCATENATE("B",Tabela1[[#This Row],[BLOCO]],Tabela1[[#This Row],[UO_COD]]),qdd!$AW$2:$AX$1000,2,FALSE),"")</f>
        <v/>
      </c>
      <c r="AB121" s="30" t="str">
        <f>IFERROR(Tabela1[[#This Row],[VALOR]]/100,"")</f>
        <v/>
      </c>
      <c r="AC121" s="7" t="str" cm="1">
        <f t="array" aca="1" ref="AC121" ca="1">IF(Tabela1[[#This Row],[VALOR]]&lt;0,"",IFERROR(SUBSTITUTE(Converter_numero(Tabela1[[#This Row],[VALOR INCISO]]),",",""),""))</f>
        <v/>
      </c>
      <c r="AD121" s="29" t="str">
        <f>IF(Tabela1[[#This Row],[TIPO]]=REGRAS!$W$2,REGRAS!$X$2,IF(Tabela1[[#This Row],[TIPO]]=REGRAS!$W$4,REGRAS!$X$4,""))</f>
        <v/>
      </c>
      <c r="AE121" s="29" t="e">
        <f>VLOOKUP(Tabela1[[#This Row],[FONTE_COD]],REGRAS!$O$2:$P$69,2,FALSE)</f>
        <v>#N/A</v>
      </c>
      <c r="AF1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2" spans="1:32" ht="18.75" customHeight="1">
      <c r="A122" s="2" t="str">
        <f>IFERROR(IF('PREENCHER AQUI'!A122="","",'PREENCHER AQUI'!A122),"")</f>
        <v/>
      </c>
      <c r="B122" s="1" t="str">
        <f>IFERROR(IF('PREENCHER AQUI'!B122="","",PROPER('PREENCHER AQUI'!B122)),"")</f>
        <v/>
      </c>
      <c r="C122" s="1" t="str">
        <f>IFERROR(IF('PREENCHER AQUI'!C122="","",'PREENCHER AQUI'!C122),"")</f>
        <v/>
      </c>
      <c r="D122" s="2" t="str">
        <f>IFERROR(IF('PREENCHER AQUI'!D122="","",'PREENCHER AQUI'!D122),"")</f>
        <v/>
      </c>
      <c r="E122" s="2" t="str">
        <f>IFERROR(VLOOKUP(CONCATENATE(C122,D122),qdd!$C$2:$F$1000,2,FALSE),"")</f>
        <v/>
      </c>
      <c r="F122" s="2" t="str">
        <f>IFERROR(VLOOKUP(CONCATENATE(C122,D122),qdd!$C$2:$F$1000,3,FALSE),"")</f>
        <v/>
      </c>
      <c r="G122" s="2" t="str">
        <f>IFERROR(VLOOKUP(CONCATENATE(C122,D122),qdd!$C$2:$F$1000,4,FALSE),"")</f>
        <v/>
      </c>
      <c r="H122" s="6" t="str">
        <f t="shared" si="4"/>
        <v/>
      </c>
      <c r="I1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2" s="2" t="str">
        <f>IFERROR(IF('PREENCHER AQUI'!E122="","",'PREENCHER AQUI'!E122),"")</f>
        <v/>
      </c>
      <c r="K122" s="2" t="str">
        <f>IFERROR(IF('PREENCHER AQUI'!F122="","",'PREENCHER AQUI'!F122),"")</f>
        <v/>
      </c>
      <c r="L122" s="2" t="str">
        <f>IF(Tabela1[[#This Row],[IPU_COD]]=9,"91",IF(Tabela1[[#This Row],[ACAO_COD]]="","",VLOOKUP(CONCATENATE("G",J122,"M",K122),qdd!$BC$2:$BD$46,2,FALSE)))</f>
        <v/>
      </c>
      <c r="M122" s="2" t="str">
        <f>TEXT(IFERROR(VLOOKUP(CONCATENATE(C122,D122),qdd!$C$2:$G$1000,5,FALSE),""),0)</f>
        <v/>
      </c>
      <c r="N122" s="2" t="str">
        <f>IFERROR(IF('PREENCHER AQUI'!I122="","",'PREENCHER AQUI'!I122),"")</f>
        <v/>
      </c>
      <c r="O122" s="2" t="str">
        <f>IFERROR(IF('PREENCHER AQUI'!J122="","",'PREENCHER AQUI'!J122),"")</f>
        <v/>
      </c>
      <c r="P122" s="7" t="str">
        <f t="shared" si="5"/>
        <v/>
      </c>
      <c r="Q122" s="8" t="str">
        <f>IFERROR(IF(Tabela4[[#This Row],[VALOR]]="","",IF(Tabela1[[#This Row],[ORIENTACAO]]="Anular",'PREENCHER AQUI'!K122*-1*100,'PREENCHER AQUI'!K122*100)),"")</f>
        <v/>
      </c>
      <c r="T122" s="7" t="str">
        <f>IFERROR(IF('PREENCHER AQUI'!L122="","999",LEFT('PREENCHER AQUI'!L122,1)),"")</f>
        <v>999</v>
      </c>
      <c r="W122" s="1" t="str">
        <f>IFERROR(VLOOKUP(Tabela1[[#This Row],[UO_COD]],qdd!$AT$1:$AU$102,2,FALSE),"")</f>
        <v/>
      </c>
      <c r="X122" s="1" t="str">
        <f>CONCATENATE("F",Tabela1[[#This Row],[FONTE_COD]],Tabela1[[#This Row],[IPU_COD]],"G",Tabela1[[#This Row],[GRUPO_COD]],"T",Tabela1[[#This Row],[TIPO]])</f>
        <v>FGT999</v>
      </c>
      <c r="Y1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2" s="19"/>
      <c r="AA122" s="29" t="str">
        <f>IFERROR(VLOOKUP(CONCATENATE("B",Tabela1[[#This Row],[BLOCO]],Tabela1[[#This Row],[UO_COD]]),qdd!$AW$2:$AX$1000,2,FALSE),"")</f>
        <v/>
      </c>
      <c r="AB122" s="30" t="str">
        <f>IFERROR(Tabela1[[#This Row],[VALOR]]/100,"")</f>
        <v/>
      </c>
      <c r="AC122" s="7" t="str" cm="1">
        <f t="array" aca="1" ref="AC122" ca="1">IF(Tabela1[[#This Row],[VALOR]]&lt;0,"",IFERROR(SUBSTITUTE(Converter_numero(Tabela1[[#This Row],[VALOR INCISO]]),",",""),""))</f>
        <v/>
      </c>
      <c r="AD122" s="7" t="str">
        <f>IF(Tabela1[[#This Row],[TIPO]]=REGRAS!$W$2,REGRAS!$X$2,IF(Tabela1[[#This Row],[TIPO]]=REGRAS!$W$4,REGRAS!$X$4,""))</f>
        <v/>
      </c>
      <c r="AE122" s="29" t="e">
        <f>VLOOKUP(Tabela1[[#This Row],[FONTE_COD]],REGRAS!$O$2:$P$69,2,FALSE)</f>
        <v>#N/A</v>
      </c>
      <c r="AF1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3" spans="1:32" ht="18.75" customHeight="1">
      <c r="A123" s="2" t="str">
        <f>IFERROR(IF('PREENCHER AQUI'!A123="","",'PREENCHER AQUI'!A123),"")</f>
        <v/>
      </c>
      <c r="B123" s="1" t="str">
        <f>IFERROR(IF('PREENCHER AQUI'!B123="","",PROPER('PREENCHER AQUI'!B123)),"")</f>
        <v/>
      </c>
      <c r="C123" s="1" t="str">
        <f>IFERROR(IF('PREENCHER AQUI'!C123="","",'PREENCHER AQUI'!C123),"")</f>
        <v/>
      </c>
      <c r="D123" s="2" t="str">
        <f>IFERROR(IF('PREENCHER AQUI'!D123="","",'PREENCHER AQUI'!D123),"")</f>
        <v/>
      </c>
      <c r="E123" s="2" t="str">
        <f>IFERROR(VLOOKUP(CONCATENATE(C123,D123),qdd!$C$2:$F$1000,2,FALSE),"")</f>
        <v/>
      </c>
      <c r="F123" s="2" t="str">
        <f>IFERROR(VLOOKUP(CONCATENATE(C123,D123),qdd!$C$2:$F$1000,3,FALSE),"")</f>
        <v/>
      </c>
      <c r="G123" s="2" t="str">
        <f>IFERROR(VLOOKUP(CONCATENATE(C123,D123),qdd!$C$2:$F$1000,4,FALSE),"")</f>
        <v/>
      </c>
      <c r="H123" s="6" t="str">
        <f t="shared" si="4"/>
        <v/>
      </c>
      <c r="I1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3" s="2" t="str">
        <f>IFERROR(IF('PREENCHER AQUI'!E123="","",'PREENCHER AQUI'!E123),"")</f>
        <v/>
      </c>
      <c r="K123" s="2" t="str">
        <f>IFERROR(IF('PREENCHER AQUI'!F123="","",'PREENCHER AQUI'!F123),"")</f>
        <v/>
      </c>
      <c r="L123" s="2" t="str">
        <f>IF(Tabela1[[#This Row],[IPU_COD]]=9,"91",IF(Tabela1[[#This Row],[ACAO_COD]]="","",VLOOKUP(CONCATENATE("G",J123,"M",K123),qdd!$BC$2:$BD$46,2,FALSE)))</f>
        <v/>
      </c>
      <c r="M123" s="2" t="str">
        <f>TEXT(IFERROR(VLOOKUP(CONCATENATE(C123,D123),qdd!$C$2:$G$1000,5,FALSE),""),0)</f>
        <v/>
      </c>
      <c r="N123" s="2" t="str">
        <f>IFERROR(IF('PREENCHER AQUI'!I123="","",'PREENCHER AQUI'!I123),"")</f>
        <v/>
      </c>
      <c r="O123" s="2" t="str">
        <f>IFERROR(IF('PREENCHER AQUI'!J123="","",'PREENCHER AQUI'!J123),"")</f>
        <v/>
      </c>
      <c r="P123" s="7" t="str">
        <f t="shared" si="5"/>
        <v/>
      </c>
      <c r="Q123" s="8" t="str">
        <f>IFERROR(IF(Tabela4[[#This Row],[VALOR]]="","",IF(Tabela1[[#This Row],[ORIENTACAO]]="Anular",'PREENCHER AQUI'!K123*-1*100,'PREENCHER AQUI'!K123*100)),"")</f>
        <v/>
      </c>
      <c r="T123" s="7" t="str">
        <f>IFERROR(IF('PREENCHER AQUI'!L123="","999",LEFT('PREENCHER AQUI'!L123,1)),"")</f>
        <v>999</v>
      </c>
      <c r="V123" s="19"/>
      <c r="W123" s="1" t="str">
        <f>IFERROR(VLOOKUP(Tabela1[[#This Row],[UO_COD]],qdd!$AT$1:$AU$102,2,FALSE),"")</f>
        <v/>
      </c>
      <c r="X123" s="1" t="str">
        <f>CONCATENATE("F",Tabela1[[#This Row],[FONTE_COD]],Tabela1[[#This Row],[IPU_COD]],"G",Tabela1[[#This Row],[GRUPO_COD]],"T",Tabela1[[#This Row],[TIPO]])</f>
        <v>FGT999</v>
      </c>
      <c r="Y1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3" s="19"/>
      <c r="AA123" s="29" t="str">
        <f>IFERROR(VLOOKUP(CONCATENATE("B",Tabela1[[#This Row],[BLOCO]],Tabela1[[#This Row],[UO_COD]]),qdd!$AW$2:$AX$1000,2,FALSE),"")</f>
        <v/>
      </c>
      <c r="AB123" s="30" t="str">
        <f>IFERROR(Tabela1[[#This Row],[VALOR]]/100,"")</f>
        <v/>
      </c>
      <c r="AC123" s="7" t="str" cm="1">
        <f t="array" aca="1" ref="AC123" ca="1">IF(Tabela1[[#This Row],[VALOR]]&lt;0,"",IFERROR(SUBSTITUTE(Converter_numero(Tabela1[[#This Row],[VALOR INCISO]]),",",""),""))</f>
        <v/>
      </c>
      <c r="AD123" s="29" t="str">
        <f>IF(Tabela1[[#This Row],[TIPO]]=REGRAS!$W$2,REGRAS!$X$2,IF(Tabela1[[#This Row],[TIPO]]=REGRAS!$W$4,REGRAS!$X$4,""))</f>
        <v/>
      </c>
      <c r="AE123" s="29" t="e">
        <f>VLOOKUP(Tabela1[[#This Row],[FONTE_COD]],REGRAS!$O$2:$P$69,2,FALSE)</f>
        <v>#N/A</v>
      </c>
      <c r="AF1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4" spans="1:32" ht="18.75" customHeight="1">
      <c r="A124" s="2" t="str">
        <f>IFERROR(IF('PREENCHER AQUI'!A124="","",'PREENCHER AQUI'!A124),"")</f>
        <v/>
      </c>
      <c r="B124" s="1" t="str">
        <f>IFERROR(IF('PREENCHER AQUI'!B124="","",PROPER('PREENCHER AQUI'!B124)),"")</f>
        <v/>
      </c>
      <c r="C124" s="1" t="str">
        <f>IFERROR(IF('PREENCHER AQUI'!C124="","",'PREENCHER AQUI'!C124),"")</f>
        <v/>
      </c>
      <c r="D124" s="2" t="str">
        <f>IFERROR(IF('PREENCHER AQUI'!D124="","",'PREENCHER AQUI'!D124),"")</f>
        <v/>
      </c>
      <c r="E124" s="2" t="str">
        <f>IFERROR(VLOOKUP(CONCATENATE(C124,D124),qdd!$C$2:$F$1000,2,FALSE),"")</f>
        <v/>
      </c>
      <c r="F124" s="2" t="str">
        <f>IFERROR(VLOOKUP(CONCATENATE(C124,D124),qdd!$C$2:$F$1000,3,FALSE),"")</f>
        <v/>
      </c>
      <c r="G124" s="2" t="str">
        <f>IFERROR(VLOOKUP(CONCATENATE(C124,D124),qdd!$C$2:$F$1000,4,FALSE),"")</f>
        <v/>
      </c>
      <c r="H124" s="6" t="str">
        <f t="shared" si="4"/>
        <v/>
      </c>
      <c r="I1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4" s="2" t="str">
        <f>IFERROR(IF('PREENCHER AQUI'!E124="","",'PREENCHER AQUI'!E124),"")</f>
        <v/>
      </c>
      <c r="K124" s="2" t="str">
        <f>IFERROR(IF('PREENCHER AQUI'!F124="","",'PREENCHER AQUI'!F124),"")</f>
        <v/>
      </c>
      <c r="L124" s="2" t="str">
        <f>IF(Tabela1[[#This Row],[IPU_COD]]=9,"91",IF(Tabela1[[#This Row],[ACAO_COD]]="","",VLOOKUP(CONCATENATE("G",J124,"M",K124),qdd!$BC$2:$BD$46,2,FALSE)))</f>
        <v/>
      </c>
      <c r="M124" s="2" t="str">
        <f>TEXT(IFERROR(VLOOKUP(CONCATENATE(C124,D124),qdd!$C$2:$G$1000,5,FALSE),""),0)</f>
        <v/>
      </c>
      <c r="N124" s="2" t="str">
        <f>IFERROR(IF('PREENCHER AQUI'!I124="","",'PREENCHER AQUI'!I124),"")</f>
        <v/>
      </c>
      <c r="O124" s="2" t="str">
        <f>IFERROR(IF('PREENCHER AQUI'!J124="","",'PREENCHER AQUI'!J124),"")</f>
        <v/>
      </c>
      <c r="P124" s="7" t="str">
        <f t="shared" si="5"/>
        <v/>
      </c>
      <c r="Q124" s="8" t="str">
        <f>IFERROR(IF(Tabela4[[#This Row],[VALOR]]="","",IF(Tabela1[[#This Row],[ORIENTACAO]]="Anular",'PREENCHER AQUI'!K124*-1*100,'PREENCHER AQUI'!K124*100)),"")</f>
        <v/>
      </c>
      <c r="T124" s="7" t="str">
        <f>IFERROR(IF('PREENCHER AQUI'!L124="","999",LEFT('PREENCHER AQUI'!L124,1)),"")</f>
        <v>999</v>
      </c>
      <c r="V124" s="19"/>
      <c r="W124" s="1" t="str">
        <f>IFERROR(VLOOKUP(Tabela1[[#This Row],[UO_COD]],qdd!$AT$1:$AU$102,2,FALSE),"")</f>
        <v/>
      </c>
      <c r="X124" s="1" t="str">
        <f>CONCATENATE("F",Tabela1[[#This Row],[FONTE_COD]],Tabela1[[#This Row],[IPU_COD]],"G",Tabela1[[#This Row],[GRUPO_COD]],"T",Tabela1[[#This Row],[TIPO]])</f>
        <v>FGT999</v>
      </c>
      <c r="Y1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4" s="19"/>
      <c r="AA124" s="29" t="str">
        <f>IFERROR(VLOOKUP(CONCATENATE("B",Tabela1[[#This Row],[BLOCO]],Tabela1[[#This Row],[UO_COD]]),qdd!$AW$2:$AX$1000,2,FALSE),"")</f>
        <v/>
      </c>
      <c r="AB124" s="30" t="str">
        <f>IFERROR(Tabela1[[#This Row],[VALOR]]/100,"")</f>
        <v/>
      </c>
      <c r="AC124" s="7" t="str" cm="1">
        <f t="array" aca="1" ref="AC124" ca="1">IF(Tabela1[[#This Row],[VALOR]]&lt;0,"",IFERROR(SUBSTITUTE(Converter_numero(Tabela1[[#This Row],[VALOR INCISO]]),",",""),""))</f>
        <v/>
      </c>
      <c r="AD124" s="29" t="str">
        <f>IF(Tabela1[[#This Row],[TIPO]]=REGRAS!$W$2,REGRAS!$X$2,IF(Tabela1[[#This Row],[TIPO]]=REGRAS!$W$4,REGRAS!$X$4,""))</f>
        <v/>
      </c>
      <c r="AE124" s="29" t="e">
        <f>VLOOKUP(Tabela1[[#This Row],[FONTE_COD]],REGRAS!$O$2:$P$69,2,FALSE)</f>
        <v>#N/A</v>
      </c>
      <c r="AF1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5" spans="1:32" ht="18.75" customHeight="1">
      <c r="A125" s="2" t="str">
        <f>IFERROR(IF('PREENCHER AQUI'!A125="","",'PREENCHER AQUI'!A125),"")</f>
        <v/>
      </c>
      <c r="B125" s="1" t="str">
        <f>IFERROR(IF('PREENCHER AQUI'!B125="","",PROPER('PREENCHER AQUI'!B125)),"")</f>
        <v/>
      </c>
      <c r="C125" s="1" t="str">
        <f>IFERROR(IF('PREENCHER AQUI'!C125="","",'PREENCHER AQUI'!C125),"")</f>
        <v/>
      </c>
      <c r="D125" s="2" t="str">
        <f>IFERROR(IF('PREENCHER AQUI'!D125="","",'PREENCHER AQUI'!D125),"")</f>
        <v/>
      </c>
      <c r="E125" s="2" t="str">
        <f>IFERROR(VLOOKUP(CONCATENATE(C125,D125),qdd!$C$2:$F$1000,2,FALSE),"")</f>
        <v/>
      </c>
      <c r="F125" s="2" t="str">
        <f>IFERROR(VLOOKUP(CONCATENATE(C125,D125),qdd!$C$2:$F$1000,3,FALSE),"")</f>
        <v/>
      </c>
      <c r="G125" s="2" t="str">
        <f>IFERROR(VLOOKUP(CONCATENATE(C125,D125),qdd!$C$2:$F$1000,4,FALSE),"")</f>
        <v/>
      </c>
      <c r="H125" s="6" t="str">
        <f t="shared" si="4"/>
        <v/>
      </c>
      <c r="I1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5" s="2" t="str">
        <f>IFERROR(IF('PREENCHER AQUI'!E125="","",'PREENCHER AQUI'!E125),"")</f>
        <v/>
      </c>
      <c r="K125" s="2" t="str">
        <f>IFERROR(IF('PREENCHER AQUI'!F125="","",'PREENCHER AQUI'!F125),"")</f>
        <v/>
      </c>
      <c r="L125" s="2" t="str">
        <f>IF(Tabela1[[#This Row],[IPU_COD]]=9,"91",IF(Tabela1[[#This Row],[ACAO_COD]]="","",VLOOKUP(CONCATENATE("G",J125,"M",K125),qdd!$BC$2:$BD$46,2,FALSE)))</f>
        <v/>
      </c>
      <c r="M125" s="2" t="str">
        <f>TEXT(IFERROR(VLOOKUP(CONCATENATE(C125,D125),qdd!$C$2:$G$1000,5,FALSE),""),0)</f>
        <v/>
      </c>
      <c r="N125" s="2" t="str">
        <f>IFERROR(IF('PREENCHER AQUI'!I125="","",'PREENCHER AQUI'!I125),"")</f>
        <v/>
      </c>
      <c r="O125" s="2" t="str">
        <f>IFERROR(IF('PREENCHER AQUI'!J125="","",'PREENCHER AQUI'!J125),"")</f>
        <v/>
      </c>
      <c r="P125" s="7" t="str">
        <f t="shared" si="5"/>
        <v/>
      </c>
      <c r="Q125" s="8" t="str">
        <f>IFERROR(IF(Tabela4[[#This Row],[VALOR]]="","",IF(Tabela1[[#This Row],[ORIENTACAO]]="Anular",'PREENCHER AQUI'!K125*-1*100,'PREENCHER AQUI'!K125*100)),"")</f>
        <v/>
      </c>
      <c r="T125" s="7" t="str">
        <f>IFERROR(IF('PREENCHER AQUI'!L125="","999",LEFT('PREENCHER AQUI'!L125,1)),"")</f>
        <v>999</v>
      </c>
      <c r="V125" s="19"/>
      <c r="W125" s="20" t="str">
        <f>IFERROR(VLOOKUP(Tabela1[[#This Row],[UO_COD]],qdd!$AT$1:$AU$102,2,FALSE),"")</f>
        <v/>
      </c>
      <c r="X125" s="20" t="str">
        <f>CONCATENATE("F",Tabela1[[#This Row],[FONTE_COD]],Tabela1[[#This Row],[IPU_COD]],"G",Tabela1[[#This Row],[GRUPO_COD]],"T",Tabela1[[#This Row],[TIPO]])</f>
        <v>FGT999</v>
      </c>
      <c r="Y1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5" s="19"/>
      <c r="AA125" s="29" t="str">
        <f>IFERROR(VLOOKUP(CONCATENATE("B",Tabela1[[#This Row],[BLOCO]],Tabela1[[#This Row],[UO_COD]]),qdd!$AW$2:$AX$1000,2,FALSE),"")</f>
        <v/>
      </c>
      <c r="AB125" s="30" t="str">
        <f>IFERROR(Tabela1[[#This Row],[VALOR]]/100,"")</f>
        <v/>
      </c>
      <c r="AC125" s="7" t="str" cm="1">
        <f t="array" aca="1" ref="AC125" ca="1">IF(Tabela1[[#This Row],[VALOR]]&lt;0,"",IFERROR(SUBSTITUTE(Converter_numero(Tabela1[[#This Row],[VALOR INCISO]]),",",""),""))</f>
        <v/>
      </c>
      <c r="AD125" s="29" t="str">
        <f>IF(Tabela1[[#This Row],[TIPO]]=REGRAS!$W$2,REGRAS!$X$2,IF(Tabela1[[#This Row],[TIPO]]=REGRAS!$W$4,REGRAS!$X$4,""))</f>
        <v/>
      </c>
      <c r="AE125" s="29" t="e">
        <f>VLOOKUP(Tabela1[[#This Row],[FONTE_COD]],REGRAS!$O$2:$P$69,2,FALSE)</f>
        <v>#N/A</v>
      </c>
      <c r="AF1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6" spans="1:32" ht="18.75" customHeight="1">
      <c r="A126" s="2" t="str">
        <f>IFERROR(IF('PREENCHER AQUI'!A126="","",'PREENCHER AQUI'!A126),"")</f>
        <v/>
      </c>
      <c r="B126" s="1" t="str">
        <f>IFERROR(IF('PREENCHER AQUI'!B126="","",PROPER('PREENCHER AQUI'!B126)),"")</f>
        <v/>
      </c>
      <c r="C126" s="1" t="str">
        <f>IFERROR(IF('PREENCHER AQUI'!C126="","",'PREENCHER AQUI'!C126),"")</f>
        <v/>
      </c>
      <c r="D126" s="2" t="str">
        <f>IFERROR(IF('PREENCHER AQUI'!D126="","",'PREENCHER AQUI'!D126),"")</f>
        <v/>
      </c>
      <c r="E126" s="2" t="str">
        <f>IFERROR(VLOOKUP(CONCATENATE(C126,D126),qdd!$C$2:$F$1000,2,FALSE),"")</f>
        <v/>
      </c>
      <c r="F126" s="2" t="str">
        <f>IFERROR(VLOOKUP(CONCATENATE(C126,D126),qdd!$C$2:$F$1000,3,FALSE),"")</f>
        <v/>
      </c>
      <c r="G126" s="2" t="str">
        <f>IFERROR(VLOOKUP(CONCATENATE(C126,D126),qdd!$C$2:$F$1000,4,FALSE),"")</f>
        <v/>
      </c>
      <c r="H126" s="6" t="str">
        <f t="shared" si="4"/>
        <v/>
      </c>
      <c r="I1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6" s="2" t="str">
        <f>IFERROR(IF('PREENCHER AQUI'!E126="","",'PREENCHER AQUI'!E126),"")</f>
        <v/>
      </c>
      <c r="K126" s="2" t="str">
        <f>IFERROR(IF('PREENCHER AQUI'!F126="","",'PREENCHER AQUI'!F126),"")</f>
        <v/>
      </c>
      <c r="L126" s="2" t="str">
        <f>IF(Tabela1[[#This Row],[IPU_COD]]=9,"91",IF(Tabela1[[#This Row],[ACAO_COD]]="","",VLOOKUP(CONCATENATE("G",J126,"M",K126),qdd!$BC$2:$BD$46,2,FALSE)))</f>
        <v/>
      </c>
      <c r="M126" s="2" t="str">
        <f>TEXT(IFERROR(VLOOKUP(CONCATENATE(C126,D126),qdd!$C$2:$G$1000,5,FALSE),""),0)</f>
        <v/>
      </c>
      <c r="N126" s="2" t="str">
        <f>IFERROR(IF('PREENCHER AQUI'!I126="","",'PREENCHER AQUI'!I126),"")</f>
        <v/>
      </c>
      <c r="O126" s="2" t="str">
        <f>IFERROR(IF('PREENCHER AQUI'!J126="","",'PREENCHER AQUI'!J126),"")</f>
        <v/>
      </c>
      <c r="P126" s="7" t="str">
        <f t="shared" si="5"/>
        <v/>
      </c>
      <c r="Q126" s="8" t="str">
        <f>IFERROR(IF(Tabela4[[#This Row],[VALOR]]="","",IF(Tabela1[[#This Row],[ORIENTACAO]]="Anular",'PREENCHER AQUI'!K126*-1*100,'PREENCHER AQUI'!K126*100)),"")</f>
        <v/>
      </c>
      <c r="T126" s="7" t="str">
        <f>IFERROR(IF('PREENCHER AQUI'!L126="","999",LEFT('PREENCHER AQUI'!L126,1)),"")</f>
        <v>999</v>
      </c>
      <c r="V126" s="19"/>
      <c r="W126" s="1" t="str">
        <f>IFERROR(VLOOKUP(Tabela1[[#This Row],[UO_COD]],qdd!$AT$1:$AU$102,2,FALSE),"")</f>
        <v/>
      </c>
      <c r="X126" s="1" t="str">
        <f>CONCATENATE("F",Tabela1[[#This Row],[FONTE_COD]],Tabela1[[#This Row],[IPU_COD]],"G",Tabela1[[#This Row],[GRUPO_COD]],"T",Tabela1[[#This Row],[TIPO]])</f>
        <v>FGT999</v>
      </c>
      <c r="Y1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6" s="19"/>
      <c r="AA126" s="29" t="str">
        <f>IFERROR(VLOOKUP(CONCATENATE("B",Tabela1[[#This Row],[BLOCO]],Tabela1[[#This Row],[UO_COD]]),qdd!$AW$2:$AX$1000,2,FALSE),"")</f>
        <v/>
      </c>
      <c r="AB126" s="30" t="str">
        <f>IFERROR(Tabela1[[#This Row],[VALOR]]/100,"")</f>
        <v/>
      </c>
      <c r="AC126" s="7" t="str" cm="1">
        <f t="array" aca="1" ref="AC126" ca="1">IF(Tabela1[[#This Row],[VALOR]]&lt;0,"",IFERROR(SUBSTITUTE(Converter_numero(Tabela1[[#This Row],[VALOR INCISO]]),",",""),""))</f>
        <v/>
      </c>
      <c r="AD126" s="29" t="str">
        <f>IF(Tabela1[[#This Row],[TIPO]]=REGRAS!$W$2,REGRAS!$X$2,IF(Tabela1[[#This Row],[TIPO]]=REGRAS!$W$4,REGRAS!$X$4,""))</f>
        <v/>
      </c>
      <c r="AE126" s="29" t="e">
        <f>VLOOKUP(Tabela1[[#This Row],[FONTE_COD]],REGRAS!$O$2:$P$69,2,FALSE)</f>
        <v>#N/A</v>
      </c>
      <c r="AF1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7" spans="1:32" ht="18.75" customHeight="1">
      <c r="A127" s="2" t="str">
        <f>IFERROR(IF('PREENCHER AQUI'!A127="","",'PREENCHER AQUI'!A127),"")</f>
        <v/>
      </c>
      <c r="B127" s="1" t="str">
        <f>IFERROR(IF('PREENCHER AQUI'!B127="","",PROPER('PREENCHER AQUI'!B127)),"")</f>
        <v/>
      </c>
      <c r="C127" s="1" t="str">
        <f>IFERROR(IF('PREENCHER AQUI'!C127="","",'PREENCHER AQUI'!C127),"")</f>
        <v/>
      </c>
      <c r="D127" s="2" t="str">
        <f>IFERROR(IF('PREENCHER AQUI'!D127="","",'PREENCHER AQUI'!D127),"")</f>
        <v/>
      </c>
      <c r="E127" s="2" t="str">
        <f>IFERROR(VLOOKUP(CONCATENATE(C127,D127),qdd!$C$2:$F$1000,2,FALSE),"")</f>
        <v/>
      </c>
      <c r="F127" s="2" t="str">
        <f>IFERROR(VLOOKUP(CONCATENATE(C127,D127),qdd!$C$2:$F$1000,3,FALSE),"")</f>
        <v/>
      </c>
      <c r="G127" s="2" t="str">
        <f>IFERROR(VLOOKUP(CONCATENATE(C127,D127),qdd!$C$2:$F$1000,4,FALSE),"")</f>
        <v/>
      </c>
      <c r="H127" s="6" t="str">
        <f t="shared" si="4"/>
        <v/>
      </c>
      <c r="I1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7" s="2" t="str">
        <f>IFERROR(IF('PREENCHER AQUI'!E127="","",'PREENCHER AQUI'!E127),"")</f>
        <v/>
      </c>
      <c r="K127" s="2" t="str">
        <f>IFERROR(IF('PREENCHER AQUI'!F127="","",'PREENCHER AQUI'!F127),"")</f>
        <v/>
      </c>
      <c r="L127" s="2" t="str">
        <f>IF(Tabela1[[#This Row],[IPU_COD]]=9,"91",IF(Tabela1[[#This Row],[ACAO_COD]]="","",VLOOKUP(CONCATENATE("G",J127,"M",K127),qdd!$BC$2:$BD$46,2,FALSE)))</f>
        <v/>
      </c>
      <c r="M127" s="2" t="str">
        <f>TEXT(IFERROR(VLOOKUP(CONCATENATE(C127,D127),qdd!$C$2:$G$1000,5,FALSE),""),0)</f>
        <v/>
      </c>
      <c r="N127" s="2" t="str">
        <f>IFERROR(IF('PREENCHER AQUI'!I127="","",'PREENCHER AQUI'!I127),"")</f>
        <v/>
      </c>
      <c r="O127" s="2" t="str">
        <f>IFERROR(IF('PREENCHER AQUI'!J127="","",'PREENCHER AQUI'!J127),"")</f>
        <v/>
      </c>
      <c r="P127" s="7" t="str">
        <f t="shared" si="5"/>
        <v/>
      </c>
      <c r="Q127" s="8" t="str">
        <f>IFERROR(IF(Tabela4[[#This Row],[VALOR]]="","",IF(Tabela1[[#This Row],[ORIENTACAO]]="Anular",'PREENCHER AQUI'!K127*-1*100,'PREENCHER AQUI'!K127*100)),"")</f>
        <v/>
      </c>
      <c r="T127" s="7" t="str">
        <f>IFERROR(IF('PREENCHER AQUI'!L127="","999",LEFT('PREENCHER AQUI'!L127,1)),"")</f>
        <v>999</v>
      </c>
      <c r="W127" s="1" t="str">
        <f>IFERROR(VLOOKUP(Tabela1[[#This Row],[UO_COD]],qdd!$AT$1:$AU$102,2,FALSE),"")</f>
        <v/>
      </c>
      <c r="X127" s="1" t="str">
        <f>CONCATENATE("F",Tabela1[[#This Row],[FONTE_COD]],Tabela1[[#This Row],[IPU_COD]],"G",Tabela1[[#This Row],[GRUPO_COD]],"T",Tabela1[[#This Row],[TIPO]])</f>
        <v>FGT999</v>
      </c>
      <c r="Y1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7" s="19"/>
      <c r="AA127" s="29" t="str">
        <f>IFERROR(VLOOKUP(CONCATENATE("B",Tabela1[[#This Row],[BLOCO]],Tabela1[[#This Row],[UO_COD]]),qdd!$AW$2:$AX$1000,2,FALSE),"")</f>
        <v/>
      </c>
      <c r="AB127" s="30" t="str">
        <f>IFERROR(Tabela1[[#This Row],[VALOR]]/100,"")</f>
        <v/>
      </c>
      <c r="AC127" s="7" t="str" cm="1">
        <f t="array" aca="1" ref="AC127" ca="1">IF(Tabela1[[#This Row],[VALOR]]&lt;0,"",IFERROR(SUBSTITUTE(Converter_numero(Tabela1[[#This Row],[VALOR INCISO]]),",",""),""))</f>
        <v/>
      </c>
      <c r="AD127" s="7" t="str">
        <f>IF(Tabela1[[#This Row],[TIPO]]=REGRAS!$W$2,REGRAS!$X$2,IF(Tabela1[[#This Row],[TIPO]]=REGRAS!$W$4,REGRAS!$X$4,""))</f>
        <v/>
      </c>
      <c r="AE127" s="29" t="e">
        <f>VLOOKUP(Tabela1[[#This Row],[FONTE_COD]],REGRAS!$O$2:$P$69,2,FALSE)</f>
        <v>#N/A</v>
      </c>
      <c r="AF1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8" spans="1:32" ht="18.75" customHeight="1">
      <c r="A128" s="2" t="str">
        <f>IFERROR(IF('PREENCHER AQUI'!A128="","",'PREENCHER AQUI'!A128),"")</f>
        <v/>
      </c>
      <c r="B128" s="1" t="str">
        <f>IFERROR(IF('PREENCHER AQUI'!B128="","",PROPER('PREENCHER AQUI'!B128)),"")</f>
        <v/>
      </c>
      <c r="C128" s="1" t="str">
        <f>IFERROR(IF('PREENCHER AQUI'!C128="","",'PREENCHER AQUI'!C128),"")</f>
        <v/>
      </c>
      <c r="D128" s="2" t="str">
        <f>IFERROR(IF('PREENCHER AQUI'!D128="","",'PREENCHER AQUI'!D128),"")</f>
        <v/>
      </c>
      <c r="E128" s="2" t="str">
        <f>IFERROR(VLOOKUP(CONCATENATE(C128,D128),qdd!$C$2:$F$1000,2,FALSE),"")</f>
        <v/>
      </c>
      <c r="F128" s="2" t="str">
        <f>IFERROR(VLOOKUP(CONCATENATE(C128,D128),qdd!$C$2:$F$1000,3,FALSE),"")</f>
        <v/>
      </c>
      <c r="G128" s="2" t="str">
        <f>IFERROR(VLOOKUP(CONCATENATE(C128,D128),qdd!$C$2:$F$1000,4,FALSE),"")</f>
        <v/>
      </c>
      <c r="H128" s="6" t="str">
        <f t="shared" si="4"/>
        <v/>
      </c>
      <c r="I1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8" s="2" t="str">
        <f>IFERROR(IF('PREENCHER AQUI'!E128="","",'PREENCHER AQUI'!E128),"")</f>
        <v/>
      </c>
      <c r="K128" s="2" t="str">
        <f>IFERROR(IF('PREENCHER AQUI'!F128="","",'PREENCHER AQUI'!F128),"")</f>
        <v/>
      </c>
      <c r="L128" s="2" t="str">
        <f>IF(Tabela1[[#This Row],[IPU_COD]]=9,"91",IF(Tabela1[[#This Row],[ACAO_COD]]="","",VLOOKUP(CONCATENATE("G",J128,"M",K128),qdd!$BC$2:$BD$46,2,FALSE)))</f>
        <v/>
      </c>
      <c r="M128" s="2" t="str">
        <f>TEXT(IFERROR(VLOOKUP(CONCATENATE(C128,D128),qdd!$C$2:$G$1000,5,FALSE),""),0)</f>
        <v/>
      </c>
      <c r="N128" s="2" t="str">
        <f>IFERROR(IF('PREENCHER AQUI'!I128="","",'PREENCHER AQUI'!I128),"")</f>
        <v/>
      </c>
      <c r="O128" s="2" t="str">
        <f>IFERROR(IF('PREENCHER AQUI'!J128="","",'PREENCHER AQUI'!J128),"")</f>
        <v/>
      </c>
      <c r="P128" s="7" t="str">
        <f t="shared" si="5"/>
        <v/>
      </c>
      <c r="Q128" s="8" t="str">
        <f>IFERROR(IF(Tabela4[[#This Row],[VALOR]]="","",IF(Tabela1[[#This Row],[ORIENTACAO]]="Anular",'PREENCHER AQUI'!K128*-1*100,'PREENCHER AQUI'!K128*100)),"")</f>
        <v/>
      </c>
      <c r="T128" s="7" t="str">
        <f>IFERROR(IF('PREENCHER AQUI'!L128="","999",LEFT('PREENCHER AQUI'!L128,1)),"")</f>
        <v>999</v>
      </c>
      <c r="V128" s="19"/>
      <c r="W128" s="1" t="str">
        <f>IFERROR(VLOOKUP(Tabela1[[#This Row],[UO_COD]],qdd!$AT$1:$AU$102,2,FALSE),"")</f>
        <v/>
      </c>
      <c r="X128" s="1" t="str">
        <f>CONCATENATE("F",Tabela1[[#This Row],[FONTE_COD]],Tabela1[[#This Row],[IPU_COD]],"G",Tabela1[[#This Row],[GRUPO_COD]],"T",Tabela1[[#This Row],[TIPO]])</f>
        <v>FGT999</v>
      </c>
      <c r="Y1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8" s="19"/>
      <c r="AA128" s="29" t="str">
        <f>IFERROR(VLOOKUP(CONCATENATE("B",Tabela1[[#This Row],[BLOCO]],Tabela1[[#This Row],[UO_COD]]),qdd!$AW$2:$AX$1000,2,FALSE),"")</f>
        <v/>
      </c>
      <c r="AB128" s="30" t="str">
        <f>IFERROR(Tabela1[[#This Row],[VALOR]]/100,"")</f>
        <v/>
      </c>
      <c r="AC128" s="7" t="str" cm="1">
        <f t="array" aca="1" ref="AC128" ca="1">IF(Tabela1[[#This Row],[VALOR]]&lt;0,"",IFERROR(SUBSTITUTE(Converter_numero(Tabela1[[#This Row],[VALOR INCISO]]),",",""),""))</f>
        <v/>
      </c>
      <c r="AD128" s="29" t="str">
        <f>IF(Tabela1[[#This Row],[TIPO]]=REGRAS!$W$2,REGRAS!$X$2,IF(Tabela1[[#This Row],[TIPO]]=REGRAS!$W$4,REGRAS!$X$4,""))</f>
        <v/>
      </c>
      <c r="AE128" s="29" t="e">
        <f>VLOOKUP(Tabela1[[#This Row],[FONTE_COD]],REGRAS!$O$2:$P$69,2,FALSE)</f>
        <v>#N/A</v>
      </c>
      <c r="AF1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9" spans="1:32" ht="18.75" customHeight="1">
      <c r="A129" s="2" t="str">
        <f>IFERROR(IF('PREENCHER AQUI'!A129="","",'PREENCHER AQUI'!A129),"")</f>
        <v/>
      </c>
      <c r="B129" s="1" t="str">
        <f>IFERROR(IF('PREENCHER AQUI'!B129="","",PROPER('PREENCHER AQUI'!B129)),"")</f>
        <v/>
      </c>
      <c r="C129" s="1" t="str">
        <f>IFERROR(IF('PREENCHER AQUI'!C129="","",'PREENCHER AQUI'!C129),"")</f>
        <v/>
      </c>
      <c r="D129" s="2" t="str">
        <f>IFERROR(IF('PREENCHER AQUI'!D129="","",'PREENCHER AQUI'!D129),"")</f>
        <v/>
      </c>
      <c r="E129" s="2" t="str">
        <f>IFERROR(VLOOKUP(CONCATENATE(C129,D129),qdd!$C$2:$F$1000,2,FALSE),"")</f>
        <v/>
      </c>
      <c r="F129" s="2" t="str">
        <f>IFERROR(VLOOKUP(CONCATENATE(C129,D129),qdd!$C$2:$F$1000,3,FALSE),"")</f>
        <v/>
      </c>
      <c r="G129" s="2" t="str">
        <f>IFERROR(VLOOKUP(CONCATENATE(C129,D129),qdd!$C$2:$F$1000,4,FALSE),"")</f>
        <v/>
      </c>
      <c r="H129" s="6" t="str">
        <f t="shared" si="4"/>
        <v/>
      </c>
      <c r="I1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9" s="2" t="str">
        <f>IFERROR(IF('PREENCHER AQUI'!E129="","",'PREENCHER AQUI'!E129),"")</f>
        <v/>
      </c>
      <c r="K129" s="2" t="str">
        <f>IFERROR(IF('PREENCHER AQUI'!F129="","",'PREENCHER AQUI'!F129),"")</f>
        <v/>
      </c>
      <c r="L129" s="2" t="str">
        <f>IF(Tabela1[[#This Row],[IPU_COD]]=9,"91",IF(Tabela1[[#This Row],[ACAO_COD]]="","",VLOOKUP(CONCATENATE("G",J129,"M",K129),qdd!$BC$2:$BD$46,2,FALSE)))</f>
        <v/>
      </c>
      <c r="M129" s="2" t="str">
        <f>TEXT(IFERROR(VLOOKUP(CONCATENATE(C129,D129),qdd!$C$2:$G$1000,5,FALSE),""),0)</f>
        <v/>
      </c>
      <c r="N129" s="2" t="str">
        <f>IFERROR(IF('PREENCHER AQUI'!I129="","",'PREENCHER AQUI'!I129),"")</f>
        <v/>
      </c>
      <c r="O129" s="2" t="str">
        <f>IFERROR(IF('PREENCHER AQUI'!J129="","",'PREENCHER AQUI'!J129),"")</f>
        <v/>
      </c>
      <c r="P129" s="7" t="str">
        <f t="shared" si="5"/>
        <v/>
      </c>
      <c r="Q129" s="8" t="str">
        <f>IFERROR(IF(Tabela4[[#This Row],[VALOR]]="","",IF(Tabela1[[#This Row],[ORIENTACAO]]="Anular",'PREENCHER AQUI'!K129*-1*100,'PREENCHER AQUI'!K129*100)),"")</f>
        <v/>
      </c>
      <c r="T129" s="7" t="str">
        <f>IFERROR(IF('PREENCHER AQUI'!L129="","999",LEFT('PREENCHER AQUI'!L129,1)),"")</f>
        <v>999</v>
      </c>
      <c r="V129" s="19"/>
      <c r="W129" s="1" t="str">
        <f>IFERROR(VLOOKUP(Tabela1[[#This Row],[UO_COD]],qdd!$AT$1:$AU$102,2,FALSE),"")</f>
        <v/>
      </c>
      <c r="X129" s="1" t="str">
        <f>CONCATENATE("F",Tabela1[[#This Row],[FONTE_COD]],Tabela1[[#This Row],[IPU_COD]],"G",Tabela1[[#This Row],[GRUPO_COD]],"T",Tabela1[[#This Row],[TIPO]])</f>
        <v>FGT999</v>
      </c>
      <c r="Y1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9" s="19"/>
      <c r="AA129" s="29" t="str">
        <f>IFERROR(VLOOKUP(CONCATENATE("B",Tabela1[[#This Row],[BLOCO]],Tabela1[[#This Row],[UO_COD]]),qdd!$AW$2:$AX$1000,2,FALSE),"")</f>
        <v/>
      </c>
      <c r="AB129" s="30" t="str">
        <f>IFERROR(Tabela1[[#This Row],[VALOR]]/100,"")</f>
        <v/>
      </c>
      <c r="AC129" s="7" t="str" cm="1">
        <f t="array" aca="1" ref="AC129" ca="1">IF(Tabela1[[#This Row],[VALOR]]&lt;0,"",IFERROR(SUBSTITUTE(Converter_numero(Tabela1[[#This Row],[VALOR INCISO]]),",",""),""))</f>
        <v/>
      </c>
      <c r="AD129" s="29" t="str">
        <f>IF(Tabela1[[#This Row],[TIPO]]=REGRAS!$W$2,REGRAS!$X$2,IF(Tabela1[[#This Row],[TIPO]]=REGRAS!$W$4,REGRAS!$X$4,""))</f>
        <v/>
      </c>
      <c r="AE129" s="29" t="e">
        <f>VLOOKUP(Tabela1[[#This Row],[FONTE_COD]],REGRAS!$O$2:$P$69,2,FALSE)</f>
        <v>#N/A</v>
      </c>
      <c r="AF1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0" spans="1:32" ht="18.75" customHeight="1">
      <c r="A130" s="2" t="str">
        <f>IFERROR(IF('PREENCHER AQUI'!A130="","",'PREENCHER AQUI'!A130),"")</f>
        <v/>
      </c>
      <c r="B130" s="1" t="str">
        <f>IFERROR(IF('PREENCHER AQUI'!B130="","",PROPER('PREENCHER AQUI'!B130)),"")</f>
        <v/>
      </c>
      <c r="C130" s="1" t="str">
        <f>IFERROR(IF('PREENCHER AQUI'!C130="","",'PREENCHER AQUI'!C130),"")</f>
        <v/>
      </c>
      <c r="D130" s="2" t="str">
        <f>IFERROR(IF('PREENCHER AQUI'!D130="","",'PREENCHER AQUI'!D130),"")</f>
        <v/>
      </c>
      <c r="E130" s="2" t="str">
        <f>IFERROR(VLOOKUP(CONCATENATE(C130,D130),qdd!$C$2:$F$1000,2,FALSE),"")</f>
        <v/>
      </c>
      <c r="F130" s="2" t="str">
        <f>IFERROR(VLOOKUP(CONCATENATE(C130,D130),qdd!$C$2:$F$1000,3,FALSE),"")</f>
        <v/>
      </c>
      <c r="G130" s="2" t="str">
        <f>IFERROR(VLOOKUP(CONCATENATE(C130,D130),qdd!$C$2:$F$1000,4,FALSE),"")</f>
        <v/>
      </c>
      <c r="H130" s="6" t="str">
        <f t="shared" si="4"/>
        <v/>
      </c>
      <c r="I1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0" s="2" t="str">
        <f>IFERROR(IF('PREENCHER AQUI'!E130="","",'PREENCHER AQUI'!E130),"")</f>
        <v/>
      </c>
      <c r="K130" s="2" t="str">
        <f>IFERROR(IF('PREENCHER AQUI'!F130="","",'PREENCHER AQUI'!F130),"")</f>
        <v/>
      </c>
      <c r="L130" s="2" t="str">
        <f>IF(Tabela1[[#This Row],[IPU_COD]]=9,"91",IF(Tabela1[[#This Row],[ACAO_COD]]="","",VLOOKUP(CONCATENATE("G",J130,"M",K130),qdd!$BC$2:$BD$46,2,FALSE)))</f>
        <v/>
      </c>
      <c r="M130" s="2" t="str">
        <f>TEXT(IFERROR(VLOOKUP(CONCATENATE(C130,D130),qdd!$C$2:$G$1000,5,FALSE),""),0)</f>
        <v/>
      </c>
      <c r="N130" s="2" t="str">
        <f>IFERROR(IF('PREENCHER AQUI'!I130="","",'PREENCHER AQUI'!I130),"")</f>
        <v/>
      </c>
      <c r="O130" s="2" t="str">
        <f>IFERROR(IF('PREENCHER AQUI'!J130="","",'PREENCHER AQUI'!J130),"")</f>
        <v/>
      </c>
      <c r="P130" s="7" t="str">
        <f t="shared" si="5"/>
        <v/>
      </c>
      <c r="Q130" s="8" t="str">
        <f>IFERROR(IF(Tabela4[[#This Row],[VALOR]]="","",IF(Tabela1[[#This Row],[ORIENTACAO]]="Anular",'PREENCHER AQUI'!K130*-1*100,'PREENCHER AQUI'!K130*100)),"")</f>
        <v/>
      </c>
      <c r="T130" s="7" t="str">
        <f>IFERROR(IF('PREENCHER AQUI'!L130="","999",LEFT('PREENCHER AQUI'!L130,1)),"")</f>
        <v>999</v>
      </c>
      <c r="V130" s="19"/>
      <c r="W130" s="20" t="str">
        <f>IFERROR(VLOOKUP(Tabela1[[#This Row],[UO_COD]],qdd!$AT$1:$AU$102,2,FALSE),"")</f>
        <v/>
      </c>
      <c r="X130" s="20" t="str">
        <f>CONCATENATE("F",Tabela1[[#This Row],[FONTE_COD]],Tabela1[[#This Row],[IPU_COD]],"G",Tabela1[[#This Row],[GRUPO_COD]],"T",Tabela1[[#This Row],[TIPO]])</f>
        <v>FGT999</v>
      </c>
      <c r="Y1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0" s="19"/>
      <c r="AA130" s="29" t="str">
        <f>IFERROR(VLOOKUP(CONCATENATE("B",Tabela1[[#This Row],[BLOCO]],Tabela1[[#This Row],[UO_COD]]),qdd!$AW$2:$AX$1000,2,FALSE),"")</f>
        <v/>
      </c>
      <c r="AB130" s="30" t="str">
        <f>IFERROR(Tabela1[[#This Row],[VALOR]]/100,"")</f>
        <v/>
      </c>
      <c r="AC130" s="7" t="str" cm="1">
        <f t="array" aca="1" ref="AC130" ca="1">IF(Tabela1[[#This Row],[VALOR]]&lt;0,"",IFERROR(SUBSTITUTE(Converter_numero(Tabela1[[#This Row],[VALOR INCISO]]),",",""),""))</f>
        <v/>
      </c>
      <c r="AD130" s="29" t="str">
        <f>IF(Tabela1[[#This Row],[TIPO]]=REGRAS!$W$2,REGRAS!$X$2,IF(Tabela1[[#This Row],[TIPO]]=REGRAS!$W$4,REGRAS!$X$4,""))</f>
        <v/>
      </c>
      <c r="AE130" s="29" t="e">
        <f>VLOOKUP(Tabela1[[#This Row],[FONTE_COD]],REGRAS!$O$2:$P$69,2,FALSE)</f>
        <v>#N/A</v>
      </c>
      <c r="AF1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1" spans="1:32" ht="18.75" customHeight="1">
      <c r="A131" s="2" t="str">
        <f>IFERROR(IF('PREENCHER AQUI'!A131="","",'PREENCHER AQUI'!A131),"")</f>
        <v/>
      </c>
      <c r="B131" s="1" t="str">
        <f>IFERROR(IF('PREENCHER AQUI'!B131="","",PROPER('PREENCHER AQUI'!B131)),"")</f>
        <v/>
      </c>
      <c r="C131" s="1" t="str">
        <f>IFERROR(IF('PREENCHER AQUI'!C131="","",'PREENCHER AQUI'!C131),"")</f>
        <v/>
      </c>
      <c r="D131" s="2" t="str">
        <f>IFERROR(IF('PREENCHER AQUI'!D131="","",'PREENCHER AQUI'!D131),"")</f>
        <v/>
      </c>
      <c r="E131" s="2" t="str">
        <f>IFERROR(VLOOKUP(CONCATENATE(C131,D131),qdd!$C$2:$F$1000,2,FALSE),"")</f>
        <v/>
      </c>
      <c r="F131" s="2" t="str">
        <f>IFERROR(VLOOKUP(CONCATENATE(C131,D131),qdd!$C$2:$F$1000,3,FALSE),"")</f>
        <v/>
      </c>
      <c r="G131" s="2" t="str">
        <f>IFERROR(VLOOKUP(CONCATENATE(C131,D131),qdd!$C$2:$F$1000,4,FALSE),"")</f>
        <v/>
      </c>
      <c r="H131" s="6" t="str">
        <f t="shared" ref="H131:H194" si="6">IF(E131="","","0001")</f>
        <v/>
      </c>
      <c r="I1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1" s="2" t="str">
        <f>IFERROR(IF('PREENCHER AQUI'!E131="","",'PREENCHER AQUI'!E131),"")</f>
        <v/>
      </c>
      <c r="K131" s="2" t="str">
        <f>IFERROR(IF('PREENCHER AQUI'!F131="","",'PREENCHER AQUI'!F131),"")</f>
        <v/>
      </c>
      <c r="L131" s="2" t="str">
        <f>IF(Tabela1[[#This Row],[IPU_COD]]=9,"91",IF(Tabela1[[#This Row],[ACAO_COD]]="","",VLOOKUP(CONCATENATE("G",J131,"M",K131),qdd!$BC$2:$BD$46,2,FALSE)))</f>
        <v/>
      </c>
      <c r="M131" s="2" t="str">
        <f>TEXT(IFERROR(VLOOKUP(CONCATENATE(C131,D131),qdd!$C$2:$G$1000,5,FALSE),""),0)</f>
        <v/>
      </c>
      <c r="N131" s="2" t="str">
        <f>IFERROR(IF('PREENCHER AQUI'!I131="","",'PREENCHER AQUI'!I131),"")</f>
        <v/>
      </c>
      <c r="O131" s="2" t="str">
        <f>IFERROR(IF('PREENCHER AQUI'!J131="","",'PREENCHER AQUI'!J131),"")</f>
        <v/>
      </c>
      <c r="P131" s="7" t="str">
        <f t="shared" ref="P131:P194" si="7">IFERROR(CONCATENATE(E131,F131,G131,D131,H131,I131,J131,K131,L131,M131,N131,O131),"")</f>
        <v/>
      </c>
      <c r="Q131" s="8" t="str">
        <f>IFERROR(IF(Tabela4[[#This Row],[VALOR]]="","",IF(Tabela1[[#This Row],[ORIENTACAO]]="Anular",'PREENCHER AQUI'!K131*-1*100,'PREENCHER AQUI'!K131*100)),"")</f>
        <v/>
      </c>
      <c r="T131" s="7" t="str">
        <f>IFERROR(IF('PREENCHER AQUI'!L131="","999",LEFT('PREENCHER AQUI'!L131,1)),"")</f>
        <v>999</v>
      </c>
      <c r="V131" s="19"/>
      <c r="W131" s="1" t="str">
        <f>IFERROR(VLOOKUP(Tabela1[[#This Row],[UO_COD]],qdd!$AT$1:$AU$102,2,FALSE),"")</f>
        <v/>
      </c>
      <c r="X131" s="1" t="str">
        <f>CONCATENATE("F",Tabela1[[#This Row],[FONTE_COD]],Tabela1[[#This Row],[IPU_COD]],"G",Tabela1[[#This Row],[GRUPO_COD]],"T",Tabela1[[#This Row],[TIPO]])</f>
        <v>FGT999</v>
      </c>
      <c r="Y1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1" s="19"/>
      <c r="AA131" s="29" t="str">
        <f>IFERROR(VLOOKUP(CONCATENATE("B",Tabela1[[#This Row],[BLOCO]],Tabela1[[#This Row],[UO_COD]]),qdd!$AW$2:$AX$1000,2,FALSE),"")</f>
        <v/>
      </c>
      <c r="AB131" s="30" t="str">
        <f>IFERROR(Tabela1[[#This Row],[VALOR]]/100,"")</f>
        <v/>
      </c>
      <c r="AC131" s="7" t="str" cm="1">
        <f t="array" aca="1" ref="AC131" ca="1">IF(Tabela1[[#This Row],[VALOR]]&lt;0,"",IFERROR(SUBSTITUTE(Converter_numero(Tabela1[[#This Row],[VALOR INCISO]]),",",""),""))</f>
        <v/>
      </c>
      <c r="AD131" s="29" t="str">
        <f>IF(Tabela1[[#This Row],[TIPO]]=REGRAS!$W$2,REGRAS!$X$2,IF(Tabela1[[#This Row],[TIPO]]=REGRAS!$W$4,REGRAS!$X$4,""))</f>
        <v/>
      </c>
      <c r="AE131" s="29" t="e">
        <f>VLOOKUP(Tabela1[[#This Row],[FONTE_COD]],REGRAS!$O$2:$P$69,2,FALSE)</f>
        <v>#N/A</v>
      </c>
      <c r="AF1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2" spans="1:32" ht="18.75" customHeight="1">
      <c r="A132" s="2" t="str">
        <f>IFERROR(IF('PREENCHER AQUI'!A132="","",'PREENCHER AQUI'!A132),"")</f>
        <v/>
      </c>
      <c r="B132" s="1" t="str">
        <f>IFERROR(IF('PREENCHER AQUI'!B132="","",PROPER('PREENCHER AQUI'!B132)),"")</f>
        <v/>
      </c>
      <c r="C132" s="1" t="str">
        <f>IFERROR(IF('PREENCHER AQUI'!C132="","",'PREENCHER AQUI'!C132),"")</f>
        <v/>
      </c>
      <c r="D132" s="2" t="str">
        <f>IFERROR(IF('PREENCHER AQUI'!D132="","",'PREENCHER AQUI'!D132),"")</f>
        <v/>
      </c>
      <c r="E132" s="2" t="str">
        <f>IFERROR(VLOOKUP(CONCATENATE(C132,D132),qdd!$C$2:$F$1000,2,FALSE),"")</f>
        <v/>
      </c>
      <c r="F132" s="2" t="str">
        <f>IFERROR(VLOOKUP(CONCATENATE(C132,D132),qdd!$C$2:$F$1000,3,FALSE),"")</f>
        <v/>
      </c>
      <c r="G132" s="2" t="str">
        <f>IFERROR(VLOOKUP(CONCATENATE(C132,D132),qdd!$C$2:$F$1000,4,FALSE),"")</f>
        <v/>
      </c>
      <c r="H132" s="6" t="str">
        <f t="shared" si="6"/>
        <v/>
      </c>
      <c r="I1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2" s="2" t="str">
        <f>IFERROR(IF('PREENCHER AQUI'!E132="","",'PREENCHER AQUI'!E132),"")</f>
        <v/>
      </c>
      <c r="K132" s="2" t="str">
        <f>IFERROR(IF('PREENCHER AQUI'!F132="","",'PREENCHER AQUI'!F132),"")</f>
        <v/>
      </c>
      <c r="L132" s="2" t="str">
        <f>IF(Tabela1[[#This Row],[IPU_COD]]=9,"91",IF(Tabela1[[#This Row],[ACAO_COD]]="","",VLOOKUP(CONCATENATE("G",J132,"M",K132),qdd!$BC$2:$BD$46,2,FALSE)))</f>
        <v/>
      </c>
      <c r="M132" s="2" t="str">
        <f>TEXT(IFERROR(VLOOKUP(CONCATENATE(C132,D132),qdd!$C$2:$G$1000,5,FALSE),""),0)</f>
        <v/>
      </c>
      <c r="N132" s="2" t="str">
        <f>IFERROR(IF('PREENCHER AQUI'!I132="","",'PREENCHER AQUI'!I132),"")</f>
        <v/>
      </c>
      <c r="O132" s="2" t="str">
        <f>IFERROR(IF('PREENCHER AQUI'!J132="","",'PREENCHER AQUI'!J132),"")</f>
        <v/>
      </c>
      <c r="P132" s="7" t="str">
        <f t="shared" si="7"/>
        <v/>
      </c>
      <c r="Q132" s="8" t="str">
        <f>IFERROR(IF(Tabela4[[#This Row],[VALOR]]="","",IF(Tabela1[[#This Row],[ORIENTACAO]]="Anular",'PREENCHER AQUI'!K132*-1*100,'PREENCHER AQUI'!K132*100)),"")</f>
        <v/>
      </c>
      <c r="T132" s="7" t="str">
        <f>IFERROR(IF('PREENCHER AQUI'!L132="","999",LEFT('PREENCHER AQUI'!L132,1)),"")</f>
        <v>999</v>
      </c>
      <c r="W132" s="1" t="str">
        <f>IFERROR(VLOOKUP(Tabela1[[#This Row],[UO_COD]],qdd!$AT$1:$AU$102,2,FALSE),"")</f>
        <v/>
      </c>
      <c r="X132" s="1" t="str">
        <f>CONCATENATE("F",Tabela1[[#This Row],[FONTE_COD]],Tabela1[[#This Row],[IPU_COD]],"G",Tabela1[[#This Row],[GRUPO_COD]],"T",Tabela1[[#This Row],[TIPO]])</f>
        <v>FGT999</v>
      </c>
      <c r="Y1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2" s="19"/>
      <c r="AA132" s="29" t="str">
        <f>IFERROR(VLOOKUP(CONCATENATE("B",Tabela1[[#This Row],[BLOCO]],Tabela1[[#This Row],[UO_COD]]),qdd!$AW$2:$AX$1000,2,FALSE),"")</f>
        <v/>
      </c>
      <c r="AB132" s="30" t="str">
        <f>IFERROR(Tabela1[[#This Row],[VALOR]]/100,"")</f>
        <v/>
      </c>
      <c r="AC132" s="7" t="str" cm="1">
        <f t="array" aca="1" ref="AC132" ca="1">IF(Tabela1[[#This Row],[VALOR]]&lt;0,"",IFERROR(SUBSTITUTE(Converter_numero(Tabela1[[#This Row],[VALOR INCISO]]),",",""),""))</f>
        <v/>
      </c>
      <c r="AD132" s="7" t="str">
        <f>IF(Tabela1[[#This Row],[TIPO]]=REGRAS!$W$2,REGRAS!$X$2,IF(Tabela1[[#This Row],[TIPO]]=REGRAS!$W$4,REGRAS!$X$4,""))</f>
        <v/>
      </c>
      <c r="AE132" s="29" t="e">
        <f>VLOOKUP(Tabela1[[#This Row],[FONTE_COD]],REGRAS!$O$2:$P$69,2,FALSE)</f>
        <v>#N/A</v>
      </c>
      <c r="AF1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3" spans="1:32" ht="18.75" customHeight="1">
      <c r="A133" s="2" t="str">
        <f>IFERROR(IF('PREENCHER AQUI'!A133="","",'PREENCHER AQUI'!A133),"")</f>
        <v/>
      </c>
      <c r="B133" s="1" t="str">
        <f>IFERROR(IF('PREENCHER AQUI'!B133="","",PROPER('PREENCHER AQUI'!B133)),"")</f>
        <v/>
      </c>
      <c r="C133" s="1" t="str">
        <f>IFERROR(IF('PREENCHER AQUI'!C133="","",'PREENCHER AQUI'!C133),"")</f>
        <v/>
      </c>
      <c r="D133" s="2" t="str">
        <f>IFERROR(IF('PREENCHER AQUI'!D133="","",'PREENCHER AQUI'!D133),"")</f>
        <v/>
      </c>
      <c r="E133" s="2" t="str">
        <f>IFERROR(VLOOKUP(CONCATENATE(C133,D133),qdd!$C$2:$F$1000,2,FALSE),"")</f>
        <v/>
      </c>
      <c r="F133" s="2" t="str">
        <f>IFERROR(VLOOKUP(CONCATENATE(C133,D133),qdd!$C$2:$F$1000,3,FALSE),"")</f>
        <v/>
      </c>
      <c r="G133" s="2" t="str">
        <f>IFERROR(VLOOKUP(CONCATENATE(C133,D133),qdd!$C$2:$F$1000,4,FALSE),"")</f>
        <v/>
      </c>
      <c r="H133" s="6" t="str">
        <f t="shared" si="6"/>
        <v/>
      </c>
      <c r="I1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3" s="2" t="str">
        <f>IFERROR(IF('PREENCHER AQUI'!E133="","",'PREENCHER AQUI'!E133),"")</f>
        <v/>
      </c>
      <c r="K133" s="2" t="str">
        <f>IFERROR(IF('PREENCHER AQUI'!F133="","",'PREENCHER AQUI'!F133),"")</f>
        <v/>
      </c>
      <c r="L133" s="2" t="str">
        <f>IF(Tabela1[[#This Row],[IPU_COD]]=9,"91",IF(Tabela1[[#This Row],[ACAO_COD]]="","",VLOOKUP(CONCATENATE("G",J133,"M",K133),qdd!$BC$2:$BD$46,2,FALSE)))</f>
        <v/>
      </c>
      <c r="M133" s="2" t="str">
        <f>TEXT(IFERROR(VLOOKUP(CONCATENATE(C133,D133),qdd!$C$2:$G$1000,5,FALSE),""),0)</f>
        <v/>
      </c>
      <c r="N133" s="2" t="str">
        <f>IFERROR(IF('PREENCHER AQUI'!I133="","",'PREENCHER AQUI'!I133),"")</f>
        <v/>
      </c>
      <c r="O133" s="2" t="str">
        <f>IFERROR(IF('PREENCHER AQUI'!J133="","",'PREENCHER AQUI'!J133),"")</f>
        <v/>
      </c>
      <c r="P133" s="7" t="str">
        <f t="shared" si="7"/>
        <v/>
      </c>
      <c r="Q133" s="8" t="str">
        <f>IFERROR(IF(Tabela4[[#This Row],[VALOR]]="","",IF(Tabela1[[#This Row],[ORIENTACAO]]="Anular",'PREENCHER AQUI'!K133*-1*100,'PREENCHER AQUI'!K133*100)),"")</f>
        <v/>
      </c>
      <c r="T133" s="7" t="str">
        <f>IFERROR(IF('PREENCHER AQUI'!L133="","999",LEFT('PREENCHER AQUI'!L133,1)),"")</f>
        <v>999</v>
      </c>
      <c r="V133" s="19"/>
      <c r="W133" s="1" t="str">
        <f>IFERROR(VLOOKUP(Tabela1[[#This Row],[UO_COD]],qdd!$AT$1:$AU$102,2,FALSE),"")</f>
        <v/>
      </c>
      <c r="X133" s="1" t="str">
        <f>CONCATENATE("F",Tabela1[[#This Row],[FONTE_COD]],Tabela1[[#This Row],[IPU_COD]],"G",Tabela1[[#This Row],[GRUPO_COD]],"T",Tabela1[[#This Row],[TIPO]])</f>
        <v>FGT999</v>
      </c>
      <c r="Y1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3" s="19"/>
      <c r="AA133" s="29" t="str">
        <f>IFERROR(VLOOKUP(CONCATENATE("B",Tabela1[[#This Row],[BLOCO]],Tabela1[[#This Row],[UO_COD]]),qdd!$AW$2:$AX$1000,2,FALSE),"")</f>
        <v/>
      </c>
      <c r="AB133" s="30" t="str">
        <f>IFERROR(Tabela1[[#This Row],[VALOR]]/100,"")</f>
        <v/>
      </c>
      <c r="AC133" s="7" t="str" cm="1">
        <f t="array" aca="1" ref="AC133" ca="1">IF(Tabela1[[#This Row],[VALOR]]&lt;0,"",IFERROR(SUBSTITUTE(Converter_numero(Tabela1[[#This Row],[VALOR INCISO]]),",",""),""))</f>
        <v/>
      </c>
      <c r="AD133" s="29" t="str">
        <f>IF(Tabela1[[#This Row],[TIPO]]=REGRAS!$W$2,REGRAS!$X$2,IF(Tabela1[[#This Row],[TIPO]]=REGRAS!$W$4,REGRAS!$X$4,""))</f>
        <v/>
      </c>
      <c r="AE133" s="29" t="e">
        <f>VLOOKUP(Tabela1[[#This Row],[FONTE_COD]],REGRAS!$O$2:$P$69,2,FALSE)</f>
        <v>#N/A</v>
      </c>
      <c r="AF1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4" spans="1:32" ht="18.75" customHeight="1">
      <c r="A134" s="2" t="str">
        <f>IFERROR(IF('PREENCHER AQUI'!A134="","",'PREENCHER AQUI'!A134),"")</f>
        <v/>
      </c>
      <c r="B134" s="1" t="str">
        <f>IFERROR(IF('PREENCHER AQUI'!B134="","",PROPER('PREENCHER AQUI'!B134)),"")</f>
        <v/>
      </c>
      <c r="C134" s="1" t="str">
        <f>IFERROR(IF('PREENCHER AQUI'!C134="","",'PREENCHER AQUI'!C134),"")</f>
        <v/>
      </c>
      <c r="D134" s="2" t="str">
        <f>IFERROR(IF('PREENCHER AQUI'!D134="","",'PREENCHER AQUI'!D134),"")</f>
        <v/>
      </c>
      <c r="E134" s="2" t="str">
        <f>IFERROR(VLOOKUP(CONCATENATE(C134,D134),qdd!$C$2:$F$1000,2,FALSE),"")</f>
        <v/>
      </c>
      <c r="F134" s="2" t="str">
        <f>IFERROR(VLOOKUP(CONCATENATE(C134,D134),qdd!$C$2:$F$1000,3,FALSE),"")</f>
        <v/>
      </c>
      <c r="G134" s="2" t="str">
        <f>IFERROR(VLOOKUP(CONCATENATE(C134,D134),qdd!$C$2:$F$1000,4,FALSE),"")</f>
        <v/>
      </c>
      <c r="H134" s="6" t="str">
        <f t="shared" si="6"/>
        <v/>
      </c>
      <c r="I1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4" s="2" t="str">
        <f>IFERROR(IF('PREENCHER AQUI'!E134="","",'PREENCHER AQUI'!E134),"")</f>
        <v/>
      </c>
      <c r="K134" s="2" t="str">
        <f>IFERROR(IF('PREENCHER AQUI'!F134="","",'PREENCHER AQUI'!F134),"")</f>
        <v/>
      </c>
      <c r="L134" s="2" t="str">
        <f>IF(Tabela1[[#This Row],[IPU_COD]]=9,"91",IF(Tabela1[[#This Row],[ACAO_COD]]="","",VLOOKUP(CONCATENATE("G",J134,"M",K134),qdd!$BC$2:$BD$46,2,FALSE)))</f>
        <v/>
      </c>
      <c r="M134" s="2" t="str">
        <f>TEXT(IFERROR(VLOOKUP(CONCATENATE(C134,D134),qdd!$C$2:$G$1000,5,FALSE),""),0)</f>
        <v/>
      </c>
      <c r="N134" s="2" t="str">
        <f>IFERROR(IF('PREENCHER AQUI'!I134="","",'PREENCHER AQUI'!I134),"")</f>
        <v/>
      </c>
      <c r="O134" s="2" t="str">
        <f>IFERROR(IF('PREENCHER AQUI'!J134="","",'PREENCHER AQUI'!J134),"")</f>
        <v/>
      </c>
      <c r="P134" s="7" t="str">
        <f t="shared" si="7"/>
        <v/>
      </c>
      <c r="Q134" s="8" t="str">
        <f>IFERROR(IF(Tabela4[[#This Row],[VALOR]]="","",IF(Tabela1[[#This Row],[ORIENTACAO]]="Anular",'PREENCHER AQUI'!K134*-1*100,'PREENCHER AQUI'!K134*100)),"")</f>
        <v/>
      </c>
      <c r="T134" s="7" t="str">
        <f>IFERROR(IF('PREENCHER AQUI'!L134="","999",LEFT('PREENCHER AQUI'!L134,1)),"")</f>
        <v>999</v>
      </c>
      <c r="V134" s="19"/>
      <c r="W134" s="1" t="str">
        <f>IFERROR(VLOOKUP(Tabela1[[#This Row],[UO_COD]],qdd!$AT$1:$AU$102,2,FALSE),"")</f>
        <v/>
      </c>
      <c r="X134" s="1" t="str">
        <f>CONCATENATE("F",Tabela1[[#This Row],[FONTE_COD]],Tabela1[[#This Row],[IPU_COD]],"G",Tabela1[[#This Row],[GRUPO_COD]],"T",Tabela1[[#This Row],[TIPO]])</f>
        <v>FGT999</v>
      </c>
      <c r="Y1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4" s="19"/>
      <c r="AA134" s="29" t="str">
        <f>IFERROR(VLOOKUP(CONCATENATE("B",Tabela1[[#This Row],[BLOCO]],Tabela1[[#This Row],[UO_COD]]),qdd!$AW$2:$AX$1000,2,FALSE),"")</f>
        <v/>
      </c>
      <c r="AB134" s="30" t="str">
        <f>IFERROR(Tabela1[[#This Row],[VALOR]]/100,"")</f>
        <v/>
      </c>
      <c r="AC134" s="7" t="str" cm="1">
        <f t="array" aca="1" ref="AC134" ca="1">IF(Tabela1[[#This Row],[VALOR]]&lt;0,"",IFERROR(SUBSTITUTE(Converter_numero(Tabela1[[#This Row],[VALOR INCISO]]),",",""),""))</f>
        <v/>
      </c>
      <c r="AD134" s="29" t="str">
        <f>IF(Tabela1[[#This Row],[TIPO]]=REGRAS!$W$2,REGRAS!$X$2,IF(Tabela1[[#This Row],[TIPO]]=REGRAS!$W$4,REGRAS!$X$4,""))</f>
        <v/>
      </c>
      <c r="AE134" s="29" t="e">
        <f>VLOOKUP(Tabela1[[#This Row],[FONTE_COD]],REGRAS!$O$2:$P$69,2,FALSE)</f>
        <v>#N/A</v>
      </c>
      <c r="AF1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5" spans="1:32" ht="18.75" customHeight="1">
      <c r="A135" s="2" t="str">
        <f>IFERROR(IF('PREENCHER AQUI'!A135="","",'PREENCHER AQUI'!A135),"")</f>
        <v/>
      </c>
      <c r="B135" s="1" t="str">
        <f>IFERROR(IF('PREENCHER AQUI'!B135="","",PROPER('PREENCHER AQUI'!B135)),"")</f>
        <v/>
      </c>
      <c r="C135" s="1" t="str">
        <f>IFERROR(IF('PREENCHER AQUI'!C135="","",'PREENCHER AQUI'!C135),"")</f>
        <v/>
      </c>
      <c r="D135" s="2" t="str">
        <f>IFERROR(IF('PREENCHER AQUI'!D135="","",'PREENCHER AQUI'!D135),"")</f>
        <v/>
      </c>
      <c r="E135" s="2" t="str">
        <f>IFERROR(VLOOKUP(CONCATENATE(C135,D135),qdd!$C$2:$F$1000,2,FALSE),"")</f>
        <v/>
      </c>
      <c r="F135" s="2" t="str">
        <f>IFERROR(VLOOKUP(CONCATENATE(C135,D135),qdd!$C$2:$F$1000,3,FALSE),"")</f>
        <v/>
      </c>
      <c r="G135" s="2" t="str">
        <f>IFERROR(VLOOKUP(CONCATENATE(C135,D135),qdd!$C$2:$F$1000,4,FALSE),"")</f>
        <v/>
      </c>
      <c r="H135" s="6" t="str">
        <f t="shared" si="6"/>
        <v/>
      </c>
      <c r="I1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5" s="2" t="str">
        <f>IFERROR(IF('PREENCHER AQUI'!E135="","",'PREENCHER AQUI'!E135),"")</f>
        <v/>
      </c>
      <c r="K135" s="2" t="str">
        <f>IFERROR(IF('PREENCHER AQUI'!F135="","",'PREENCHER AQUI'!F135),"")</f>
        <v/>
      </c>
      <c r="L135" s="2" t="str">
        <f>IF(Tabela1[[#This Row],[IPU_COD]]=9,"91",IF(Tabela1[[#This Row],[ACAO_COD]]="","",VLOOKUP(CONCATENATE("G",J135,"M",K135),qdd!$BC$2:$BD$46,2,FALSE)))</f>
        <v/>
      </c>
      <c r="M135" s="2" t="str">
        <f>TEXT(IFERROR(VLOOKUP(CONCATENATE(C135,D135),qdd!$C$2:$G$1000,5,FALSE),""),0)</f>
        <v/>
      </c>
      <c r="N135" s="2" t="str">
        <f>IFERROR(IF('PREENCHER AQUI'!I135="","",'PREENCHER AQUI'!I135),"")</f>
        <v/>
      </c>
      <c r="O135" s="2" t="str">
        <f>IFERROR(IF('PREENCHER AQUI'!J135="","",'PREENCHER AQUI'!J135),"")</f>
        <v/>
      </c>
      <c r="P135" s="7" t="str">
        <f t="shared" si="7"/>
        <v/>
      </c>
      <c r="Q135" s="8" t="str">
        <f>IFERROR(IF(Tabela4[[#This Row],[VALOR]]="","",IF(Tabela1[[#This Row],[ORIENTACAO]]="Anular",'PREENCHER AQUI'!K135*-1*100,'PREENCHER AQUI'!K135*100)),"")</f>
        <v/>
      </c>
      <c r="T135" s="7" t="str">
        <f>IFERROR(IF('PREENCHER AQUI'!L135="","999",LEFT('PREENCHER AQUI'!L135,1)),"")</f>
        <v>999</v>
      </c>
      <c r="V135" s="19"/>
      <c r="W135" s="20" t="str">
        <f>IFERROR(VLOOKUP(Tabela1[[#This Row],[UO_COD]],qdd!$AT$1:$AU$102,2,FALSE),"")</f>
        <v/>
      </c>
      <c r="X135" s="20" t="str">
        <f>CONCATENATE("F",Tabela1[[#This Row],[FONTE_COD]],Tabela1[[#This Row],[IPU_COD]],"G",Tabela1[[#This Row],[GRUPO_COD]],"T",Tabela1[[#This Row],[TIPO]])</f>
        <v>FGT999</v>
      </c>
      <c r="Y1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5" s="19"/>
      <c r="AA135" s="29" t="str">
        <f>IFERROR(VLOOKUP(CONCATENATE("B",Tabela1[[#This Row],[BLOCO]],Tabela1[[#This Row],[UO_COD]]),qdd!$AW$2:$AX$1000,2,FALSE),"")</f>
        <v/>
      </c>
      <c r="AB135" s="30" t="str">
        <f>IFERROR(Tabela1[[#This Row],[VALOR]]/100,"")</f>
        <v/>
      </c>
      <c r="AC135" s="7" t="str" cm="1">
        <f t="array" aca="1" ref="AC135" ca="1">IF(Tabela1[[#This Row],[VALOR]]&lt;0,"",IFERROR(SUBSTITUTE(Converter_numero(Tabela1[[#This Row],[VALOR INCISO]]),",",""),""))</f>
        <v/>
      </c>
      <c r="AD135" s="29" t="str">
        <f>IF(Tabela1[[#This Row],[TIPO]]=REGRAS!$W$2,REGRAS!$X$2,IF(Tabela1[[#This Row],[TIPO]]=REGRAS!$W$4,REGRAS!$X$4,""))</f>
        <v/>
      </c>
      <c r="AE135" s="29" t="e">
        <f>VLOOKUP(Tabela1[[#This Row],[FONTE_COD]],REGRAS!$O$2:$P$69,2,FALSE)</f>
        <v>#N/A</v>
      </c>
      <c r="AF1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6" spans="1:32" ht="18.75" customHeight="1">
      <c r="A136" s="2" t="str">
        <f>IFERROR(IF('PREENCHER AQUI'!A136="","",'PREENCHER AQUI'!A136),"")</f>
        <v/>
      </c>
      <c r="B136" s="1" t="str">
        <f>IFERROR(IF('PREENCHER AQUI'!B136="","",PROPER('PREENCHER AQUI'!B136)),"")</f>
        <v/>
      </c>
      <c r="C136" s="1" t="str">
        <f>IFERROR(IF('PREENCHER AQUI'!C136="","",'PREENCHER AQUI'!C136),"")</f>
        <v/>
      </c>
      <c r="D136" s="2" t="str">
        <f>IFERROR(IF('PREENCHER AQUI'!D136="","",'PREENCHER AQUI'!D136),"")</f>
        <v/>
      </c>
      <c r="E136" s="2" t="str">
        <f>IFERROR(VLOOKUP(CONCATENATE(C136,D136),qdd!$C$2:$F$1000,2,FALSE),"")</f>
        <v/>
      </c>
      <c r="F136" s="2" t="str">
        <f>IFERROR(VLOOKUP(CONCATENATE(C136,D136),qdd!$C$2:$F$1000,3,FALSE),"")</f>
        <v/>
      </c>
      <c r="G136" s="2" t="str">
        <f>IFERROR(VLOOKUP(CONCATENATE(C136,D136),qdd!$C$2:$F$1000,4,FALSE),"")</f>
        <v/>
      </c>
      <c r="H136" s="6" t="str">
        <f t="shared" si="6"/>
        <v/>
      </c>
      <c r="I1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6" s="2" t="str">
        <f>IFERROR(IF('PREENCHER AQUI'!E136="","",'PREENCHER AQUI'!E136),"")</f>
        <v/>
      </c>
      <c r="K136" s="2" t="str">
        <f>IFERROR(IF('PREENCHER AQUI'!F136="","",'PREENCHER AQUI'!F136),"")</f>
        <v/>
      </c>
      <c r="L136" s="2" t="str">
        <f>IF(Tabela1[[#This Row],[IPU_COD]]=9,"91",IF(Tabela1[[#This Row],[ACAO_COD]]="","",VLOOKUP(CONCATENATE("G",J136,"M",K136),qdd!$BC$2:$BD$46,2,FALSE)))</f>
        <v/>
      </c>
      <c r="M136" s="2" t="str">
        <f>TEXT(IFERROR(VLOOKUP(CONCATENATE(C136,D136),qdd!$C$2:$G$1000,5,FALSE),""),0)</f>
        <v/>
      </c>
      <c r="N136" s="2" t="str">
        <f>IFERROR(IF('PREENCHER AQUI'!I136="","",'PREENCHER AQUI'!I136),"")</f>
        <v/>
      </c>
      <c r="O136" s="2" t="str">
        <f>IFERROR(IF('PREENCHER AQUI'!J136="","",'PREENCHER AQUI'!J136),"")</f>
        <v/>
      </c>
      <c r="P136" s="7" t="str">
        <f t="shared" si="7"/>
        <v/>
      </c>
      <c r="Q136" s="8" t="str">
        <f>IFERROR(IF(Tabela4[[#This Row],[VALOR]]="","",IF(Tabela1[[#This Row],[ORIENTACAO]]="Anular",'PREENCHER AQUI'!K136*-1*100,'PREENCHER AQUI'!K136*100)),"")</f>
        <v/>
      </c>
      <c r="T136" s="7" t="str">
        <f>IFERROR(IF('PREENCHER AQUI'!L136="","999",LEFT('PREENCHER AQUI'!L136,1)),"")</f>
        <v>999</v>
      </c>
      <c r="V136" s="19"/>
      <c r="W136" s="1" t="str">
        <f>IFERROR(VLOOKUP(Tabela1[[#This Row],[UO_COD]],qdd!$AT$1:$AU$102,2,FALSE),"")</f>
        <v/>
      </c>
      <c r="X136" s="1" t="str">
        <f>CONCATENATE("F",Tabela1[[#This Row],[FONTE_COD]],Tabela1[[#This Row],[IPU_COD]],"G",Tabela1[[#This Row],[GRUPO_COD]],"T",Tabela1[[#This Row],[TIPO]])</f>
        <v>FGT999</v>
      </c>
      <c r="Y1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6" s="19"/>
      <c r="AA136" s="29" t="str">
        <f>IFERROR(VLOOKUP(CONCATENATE("B",Tabela1[[#This Row],[BLOCO]],Tabela1[[#This Row],[UO_COD]]),qdd!$AW$2:$AX$1000,2,FALSE),"")</f>
        <v/>
      </c>
      <c r="AB136" s="30" t="str">
        <f>IFERROR(Tabela1[[#This Row],[VALOR]]/100,"")</f>
        <v/>
      </c>
      <c r="AC136" s="7" t="str" cm="1">
        <f t="array" aca="1" ref="AC136" ca="1">IF(Tabela1[[#This Row],[VALOR]]&lt;0,"",IFERROR(SUBSTITUTE(Converter_numero(Tabela1[[#This Row],[VALOR INCISO]]),",",""),""))</f>
        <v/>
      </c>
      <c r="AD136" s="29" t="str">
        <f>IF(Tabela1[[#This Row],[TIPO]]=REGRAS!$W$2,REGRAS!$X$2,IF(Tabela1[[#This Row],[TIPO]]=REGRAS!$W$4,REGRAS!$X$4,""))</f>
        <v/>
      </c>
      <c r="AE136" s="29" t="e">
        <f>VLOOKUP(Tabela1[[#This Row],[FONTE_COD]],REGRAS!$O$2:$P$69,2,FALSE)</f>
        <v>#N/A</v>
      </c>
      <c r="AF1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7" spans="1:32" ht="18.75" customHeight="1">
      <c r="A137" s="2" t="str">
        <f>IFERROR(IF('PREENCHER AQUI'!A137="","",'PREENCHER AQUI'!A137),"")</f>
        <v/>
      </c>
      <c r="B137" s="1" t="str">
        <f>IFERROR(IF('PREENCHER AQUI'!B137="","",PROPER('PREENCHER AQUI'!B137)),"")</f>
        <v/>
      </c>
      <c r="C137" s="1" t="str">
        <f>IFERROR(IF('PREENCHER AQUI'!C137="","",'PREENCHER AQUI'!C137),"")</f>
        <v/>
      </c>
      <c r="D137" s="2" t="str">
        <f>IFERROR(IF('PREENCHER AQUI'!D137="","",'PREENCHER AQUI'!D137),"")</f>
        <v/>
      </c>
      <c r="E137" s="2" t="str">
        <f>IFERROR(VLOOKUP(CONCATENATE(C137,D137),qdd!$C$2:$F$1000,2,FALSE),"")</f>
        <v/>
      </c>
      <c r="F137" s="2" t="str">
        <f>IFERROR(VLOOKUP(CONCATENATE(C137,D137),qdd!$C$2:$F$1000,3,FALSE),"")</f>
        <v/>
      </c>
      <c r="G137" s="2" t="str">
        <f>IFERROR(VLOOKUP(CONCATENATE(C137,D137),qdd!$C$2:$F$1000,4,FALSE),"")</f>
        <v/>
      </c>
      <c r="H137" s="6" t="str">
        <f t="shared" si="6"/>
        <v/>
      </c>
      <c r="I1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7" s="2" t="str">
        <f>IFERROR(IF('PREENCHER AQUI'!E137="","",'PREENCHER AQUI'!E137),"")</f>
        <v/>
      </c>
      <c r="K137" s="2" t="str">
        <f>IFERROR(IF('PREENCHER AQUI'!F137="","",'PREENCHER AQUI'!F137),"")</f>
        <v/>
      </c>
      <c r="L137" s="2" t="str">
        <f>IF(Tabela1[[#This Row],[IPU_COD]]=9,"91",IF(Tabela1[[#This Row],[ACAO_COD]]="","",VLOOKUP(CONCATENATE("G",J137,"M",K137),qdd!$BC$2:$BD$46,2,FALSE)))</f>
        <v/>
      </c>
      <c r="M137" s="2" t="str">
        <f>TEXT(IFERROR(VLOOKUP(CONCATENATE(C137,D137),qdd!$C$2:$G$1000,5,FALSE),""),0)</f>
        <v/>
      </c>
      <c r="N137" s="2" t="str">
        <f>IFERROR(IF('PREENCHER AQUI'!I137="","",'PREENCHER AQUI'!I137),"")</f>
        <v/>
      </c>
      <c r="O137" s="2" t="str">
        <f>IFERROR(IF('PREENCHER AQUI'!J137="","",'PREENCHER AQUI'!J137),"")</f>
        <v/>
      </c>
      <c r="P137" s="7" t="str">
        <f t="shared" si="7"/>
        <v/>
      </c>
      <c r="Q137" s="8" t="str">
        <f>IFERROR(IF(Tabela4[[#This Row],[VALOR]]="","",IF(Tabela1[[#This Row],[ORIENTACAO]]="Anular",'PREENCHER AQUI'!K137*-1*100,'PREENCHER AQUI'!K137*100)),"")</f>
        <v/>
      </c>
      <c r="T137" s="7" t="str">
        <f>IFERROR(IF('PREENCHER AQUI'!L137="","999",LEFT('PREENCHER AQUI'!L137,1)),"")</f>
        <v>999</v>
      </c>
      <c r="W137" s="1" t="str">
        <f>IFERROR(VLOOKUP(Tabela1[[#This Row],[UO_COD]],qdd!$AT$1:$AU$102,2,FALSE),"")</f>
        <v/>
      </c>
      <c r="X137" s="1" t="str">
        <f>CONCATENATE("F",Tabela1[[#This Row],[FONTE_COD]],Tabela1[[#This Row],[IPU_COD]],"G",Tabela1[[#This Row],[GRUPO_COD]],"T",Tabela1[[#This Row],[TIPO]])</f>
        <v>FGT999</v>
      </c>
      <c r="Y1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7" s="19"/>
      <c r="AA137" s="29" t="str">
        <f>IFERROR(VLOOKUP(CONCATENATE("B",Tabela1[[#This Row],[BLOCO]],Tabela1[[#This Row],[UO_COD]]),qdd!$AW$2:$AX$1000,2,FALSE),"")</f>
        <v/>
      </c>
      <c r="AB137" s="30" t="str">
        <f>IFERROR(Tabela1[[#This Row],[VALOR]]/100,"")</f>
        <v/>
      </c>
      <c r="AC137" s="7" t="str" cm="1">
        <f t="array" aca="1" ref="AC137" ca="1">IF(Tabela1[[#This Row],[VALOR]]&lt;0,"",IFERROR(SUBSTITUTE(Converter_numero(Tabela1[[#This Row],[VALOR INCISO]]),",",""),""))</f>
        <v/>
      </c>
      <c r="AD137" s="7" t="str">
        <f>IF(Tabela1[[#This Row],[TIPO]]=REGRAS!$W$2,REGRAS!$X$2,IF(Tabela1[[#This Row],[TIPO]]=REGRAS!$W$4,REGRAS!$X$4,""))</f>
        <v/>
      </c>
      <c r="AE137" s="29" t="e">
        <f>VLOOKUP(Tabela1[[#This Row],[FONTE_COD]],REGRAS!$O$2:$P$69,2,FALSE)</f>
        <v>#N/A</v>
      </c>
      <c r="AF1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8" spans="1:32" ht="18.75" customHeight="1">
      <c r="A138" s="2" t="str">
        <f>IFERROR(IF('PREENCHER AQUI'!A138="","",'PREENCHER AQUI'!A138),"")</f>
        <v/>
      </c>
      <c r="B138" s="1" t="str">
        <f>IFERROR(IF('PREENCHER AQUI'!B138="","",PROPER('PREENCHER AQUI'!B138)),"")</f>
        <v/>
      </c>
      <c r="C138" s="1" t="str">
        <f>IFERROR(IF('PREENCHER AQUI'!C138="","",'PREENCHER AQUI'!C138),"")</f>
        <v/>
      </c>
      <c r="D138" s="2" t="str">
        <f>IFERROR(IF('PREENCHER AQUI'!D138="","",'PREENCHER AQUI'!D138),"")</f>
        <v/>
      </c>
      <c r="E138" s="2" t="str">
        <f>IFERROR(VLOOKUP(CONCATENATE(C138,D138),qdd!$C$2:$F$1000,2,FALSE),"")</f>
        <v/>
      </c>
      <c r="F138" s="2" t="str">
        <f>IFERROR(VLOOKUP(CONCATENATE(C138,D138),qdd!$C$2:$F$1000,3,FALSE),"")</f>
        <v/>
      </c>
      <c r="G138" s="2" t="str">
        <f>IFERROR(VLOOKUP(CONCATENATE(C138,D138),qdd!$C$2:$F$1000,4,FALSE),"")</f>
        <v/>
      </c>
      <c r="H138" s="6" t="str">
        <f t="shared" si="6"/>
        <v/>
      </c>
      <c r="I1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8" s="2" t="str">
        <f>IFERROR(IF('PREENCHER AQUI'!E138="","",'PREENCHER AQUI'!E138),"")</f>
        <v/>
      </c>
      <c r="K138" s="2" t="str">
        <f>IFERROR(IF('PREENCHER AQUI'!F138="","",'PREENCHER AQUI'!F138),"")</f>
        <v/>
      </c>
      <c r="L138" s="2" t="str">
        <f>IF(Tabela1[[#This Row],[IPU_COD]]=9,"91",IF(Tabela1[[#This Row],[ACAO_COD]]="","",VLOOKUP(CONCATENATE("G",J138,"M",K138),qdd!$BC$2:$BD$46,2,FALSE)))</f>
        <v/>
      </c>
      <c r="M138" s="2" t="str">
        <f>TEXT(IFERROR(VLOOKUP(CONCATENATE(C138,D138),qdd!$C$2:$G$1000,5,FALSE),""),0)</f>
        <v/>
      </c>
      <c r="N138" s="2" t="str">
        <f>IFERROR(IF('PREENCHER AQUI'!I138="","",'PREENCHER AQUI'!I138),"")</f>
        <v/>
      </c>
      <c r="O138" s="2" t="str">
        <f>IFERROR(IF('PREENCHER AQUI'!J138="","",'PREENCHER AQUI'!J138),"")</f>
        <v/>
      </c>
      <c r="P138" s="7" t="str">
        <f t="shared" si="7"/>
        <v/>
      </c>
      <c r="Q138" s="8" t="str">
        <f>IFERROR(IF(Tabela4[[#This Row],[VALOR]]="","",IF(Tabela1[[#This Row],[ORIENTACAO]]="Anular",'PREENCHER AQUI'!K138*-1*100,'PREENCHER AQUI'!K138*100)),"")</f>
        <v/>
      </c>
      <c r="T138" s="7" t="str">
        <f>IFERROR(IF('PREENCHER AQUI'!L138="","999",LEFT('PREENCHER AQUI'!L138,1)),"")</f>
        <v>999</v>
      </c>
      <c r="V138" s="19"/>
      <c r="W138" s="1" t="str">
        <f>IFERROR(VLOOKUP(Tabela1[[#This Row],[UO_COD]],qdd!$AT$1:$AU$102,2,FALSE),"")</f>
        <v/>
      </c>
      <c r="X138" s="1" t="str">
        <f>CONCATENATE("F",Tabela1[[#This Row],[FONTE_COD]],Tabela1[[#This Row],[IPU_COD]],"G",Tabela1[[#This Row],[GRUPO_COD]],"T",Tabela1[[#This Row],[TIPO]])</f>
        <v>FGT999</v>
      </c>
      <c r="Y1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8" s="19"/>
      <c r="AA138" s="29" t="str">
        <f>IFERROR(VLOOKUP(CONCATENATE("B",Tabela1[[#This Row],[BLOCO]],Tabela1[[#This Row],[UO_COD]]),qdd!$AW$2:$AX$1000,2,FALSE),"")</f>
        <v/>
      </c>
      <c r="AB138" s="30" t="str">
        <f>IFERROR(Tabela1[[#This Row],[VALOR]]/100,"")</f>
        <v/>
      </c>
      <c r="AC138" s="7" t="str" cm="1">
        <f t="array" aca="1" ref="AC138" ca="1">IF(Tabela1[[#This Row],[VALOR]]&lt;0,"",IFERROR(SUBSTITUTE(Converter_numero(Tabela1[[#This Row],[VALOR INCISO]]),",",""),""))</f>
        <v/>
      </c>
      <c r="AD138" s="29" t="str">
        <f>IF(Tabela1[[#This Row],[TIPO]]=REGRAS!$W$2,REGRAS!$X$2,IF(Tabela1[[#This Row],[TIPO]]=REGRAS!$W$4,REGRAS!$X$4,""))</f>
        <v/>
      </c>
      <c r="AE138" s="29" t="e">
        <f>VLOOKUP(Tabela1[[#This Row],[FONTE_COD]],REGRAS!$O$2:$P$69,2,FALSE)</f>
        <v>#N/A</v>
      </c>
      <c r="AF1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9" spans="1:32" ht="18.75" customHeight="1">
      <c r="A139" s="2" t="str">
        <f>IFERROR(IF('PREENCHER AQUI'!A139="","",'PREENCHER AQUI'!A139),"")</f>
        <v/>
      </c>
      <c r="B139" s="1" t="str">
        <f>IFERROR(IF('PREENCHER AQUI'!B139="","",PROPER('PREENCHER AQUI'!B139)),"")</f>
        <v/>
      </c>
      <c r="C139" s="1" t="str">
        <f>IFERROR(IF('PREENCHER AQUI'!C139="","",'PREENCHER AQUI'!C139),"")</f>
        <v/>
      </c>
      <c r="D139" s="2" t="str">
        <f>IFERROR(IF('PREENCHER AQUI'!D139="","",'PREENCHER AQUI'!D139),"")</f>
        <v/>
      </c>
      <c r="E139" s="2" t="str">
        <f>IFERROR(VLOOKUP(CONCATENATE(C139,D139),qdd!$C$2:$F$1000,2,FALSE),"")</f>
        <v/>
      </c>
      <c r="F139" s="2" t="str">
        <f>IFERROR(VLOOKUP(CONCATENATE(C139,D139),qdd!$C$2:$F$1000,3,FALSE),"")</f>
        <v/>
      </c>
      <c r="G139" s="2" t="str">
        <f>IFERROR(VLOOKUP(CONCATENATE(C139,D139),qdd!$C$2:$F$1000,4,FALSE),"")</f>
        <v/>
      </c>
      <c r="H139" s="6" t="str">
        <f t="shared" si="6"/>
        <v/>
      </c>
      <c r="I1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9" s="2" t="str">
        <f>IFERROR(IF('PREENCHER AQUI'!E139="","",'PREENCHER AQUI'!E139),"")</f>
        <v/>
      </c>
      <c r="K139" s="2" t="str">
        <f>IFERROR(IF('PREENCHER AQUI'!F139="","",'PREENCHER AQUI'!F139),"")</f>
        <v/>
      </c>
      <c r="L139" s="2" t="str">
        <f>IF(Tabela1[[#This Row],[IPU_COD]]=9,"91",IF(Tabela1[[#This Row],[ACAO_COD]]="","",VLOOKUP(CONCATENATE("G",J139,"M",K139),qdd!$BC$2:$BD$46,2,FALSE)))</f>
        <v/>
      </c>
      <c r="M139" s="2" t="str">
        <f>TEXT(IFERROR(VLOOKUP(CONCATENATE(C139,D139),qdd!$C$2:$G$1000,5,FALSE),""),0)</f>
        <v/>
      </c>
      <c r="N139" s="2" t="str">
        <f>IFERROR(IF('PREENCHER AQUI'!I139="","",'PREENCHER AQUI'!I139),"")</f>
        <v/>
      </c>
      <c r="O139" s="2" t="str">
        <f>IFERROR(IF('PREENCHER AQUI'!J139="","",'PREENCHER AQUI'!J139),"")</f>
        <v/>
      </c>
      <c r="P139" s="7" t="str">
        <f t="shared" si="7"/>
        <v/>
      </c>
      <c r="Q139" s="8" t="str">
        <f>IFERROR(IF(Tabela4[[#This Row],[VALOR]]="","",IF(Tabela1[[#This Row],[ORIENTACAO]]="Anular",'PREENCHER AQUI'!K139*-1*100,'PREENCHER AQUI'!K139*100)),"")</f>
        <v/>
      </c>
      <c r="T139" s="7" t="str">
        <f>IFERROR(IF('PREENCHER AQUI'!L139="","999",LEFT('PREENCHER AQUI'!L139,1)),"")</f>
        <v>999</v>
      </c>
      <c r="V139" s="19"/>
      <c r="W139" s="1" t="str">
        <f>IFERROR(VLOOKUP(Tabela1[[#This Row],[UO_COD]],qdd!$AT$1:$AU$102,2,FALSE),"")</f>
        <v/>
      </c>
      <c r="X139" s="1" t="str">
        <f>CONCATENATE("F",Tabela1[[#This Row],[FONTE_COD]],Tabela1[[#This Row],[IPU_COD]],"G",Tabela1[[#This Row],[GRUPO_COD]],"T",Tabela1[[#This Row],[TIPO]])</f>
        <v>FGT999</v>
      </c>
      <c r="Y1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9" s="19"/>
      <c r="AA139" s="29" t="str">
        <f>IFERROR(VLOOKUP(CONCATENATE("B",Tabela1[[#This Row],[BLOCO]],Tabela1[[#This Row],[UO_COD]]),qdd!$AW$2:$AX$1000,2,FALSE),"")</f>
        <v/>
      </c>
      <c r="AB139" s="30" t="str">
        <f>IFERROR(Tabela1[[#This Row],[VALOR]]/100,"")</f>
        <v/>
      </c>
      <c r="AC139" s="7" t="str" cm="1">
        <f t="array" aca="1" ref="AC139" ca="1">IF(Tabela1[[#This Row],[VALOR]]&lt;0,"",IFERROR(SUBSTITUTE(Converter_numero(Tabela1[[#This Row],[VALOR INCISO]]),",",""),""))</f>
        <v/>
      </c>
      <c r="AD139" s="29" t="str">
        <f>IF(Tabela1[[#This Row],[TIPO]]=REGRAS!$W$2,REGRAS!$X$2,IF(Tabela1[[#This Row],[TIPO]]=REGRAS!$W$4,REGRAS!$X$4,""))</f>
        <v/>
      </c>
      <c r="AE139" s="29" t="e">
        <f>VLOOKUP(Tabela1[[#This Row],[FONTE_COD]],REGRAS!$O$2:$P$69,2,FALSE)</f>
        <v>#N/A</v>
      </c>
      <c r="AF1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0" spans="1:32" ht="18.75" customHeight="1">
      <c r="A140" s="2" t="str">
        <f>IFERROR(IF('PREENCHER AQUI'!A140="","",'PREENCHER AQUI'!A140),"")</f>
        <v/>
      </c>
      <c r="B140" s="1" t="str">
        <f>IFERROR(IF('PREENCHER AQUI'!B140="","",PROPER('PREENCHER AQUI'!B140)),"")</f>
        <v/>
      </c>
      <c r="C140" s="1" t="str">
        <f>IFERROR(IF('PREENCHER AQUI'!C140="","",'PREENCHER AQUI'!C140),"")</f>
        <v/>
      </c>
      <c r="D140" s="2" t="str">
        <f>IFERROR(IF('PREENCHER AQUI'!D140="","",'PREENCHER AQUI'!D140),"")</f>
        <v/>
      </c>
      <c r="E140" s="2" t="str">
        <f>IFERROR(VLOOKUP(CONCATENATE(C140,D140),qdd!$C$2:$F$1000,2,FALSE),"")</f>
        <v/>
      </c>
      <c r="F140" s="2" t="str">
        <f>IFERROR(VLOOKUP(CONCATENATE(C140,D140),qdd!$C$2:$F$1000,3,FALSE),"")</f>
        <v/>
      </c>
      <c r="G140" s="2" t="str">
        <f>IFERROR(VLOOKUP(CONCATENATE(C140,D140),qdd!$C$2:$F$1000,4,FALSE),"")</f>
        <v/>
      </c>
      <c r="H140" s="6" t="str">
        <f t="shared" si="6"/>
        <v/>
      </c>
      <c r="I1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0" s="2" t="str">
        <f>IFERROR(IF('PREENCHER AQUI'!E140="","",'PREENCHER AQUI'!E140),"")</f>
        <v/>
      </c>
      <c r="K140" s="2" t="str">
        <f>IFERROR(IF('PREENCHER AQUI'!F140="","",'PREENCHER AQUI'!F140),"")</f>
        <v/>
      </c>
      <c r="L140" s="2" t="str">
        <f>IF(Tabela1[[#This Row],[IPU_COD]]=9,"91",IF(Tabela1[[#This Row],[ACAO_COD]]="","",VLOOKUP(CONCATENATE("G",J140,"M",K140),qdd!$BC$2:$BD$46,2,FALSE)))</f>
        <v/>
      </c>
      <c r="M140" s="2" t="str">
        <f>TEXT(IFERROR(VLOOKUP(CONCATENATE(C140,D140),qdd!$C$2:$G$1000,5,FALSE),""),0)</f>
        <v/>
      </c>
      <c r="N140" s="2" t="str">
        <f>IFERROR(IF('PREENCHER AQUI'!I140="","",'PREENCHER AQUI'!I140),"")</f>
        <v/>
      </c>
      <c r="O140" s="2" t="str">
        <f>IFERROR(IF('PREENCHER AQUI'!J140="","",'PREENCHER AQUI'!J140),"")</f>
        <v/>
      </c>
      <c r="P140" s="7" t="str">
        <f t="shared" si="7"/>
        <v/>
      </c>
      <c r="Q140" s="8" t="str">
        <f>IFERROR(IF(Tabela4[[#This Row],[VALOR]]="","",IF(Tabela1[[#This Row],[ORIENTACAO]]="Anular",'PREENCHER AQUI'!K140*-1*100,'PREENCHER AQUI'!K140*100)),"")</f>
        <v/>
      </c>
      <c r="T140" s="7" t="str">
        <f>IFERROR(IF('PREENCHER AQUI'!L140="","999",LEFT('PREENCHER AQUI'!L140,1)),"")</f>
        <v>999</v>
      </c>
      <c r="V140" s="19"/>
      <c r="W140" s="20" t="str">
        <f>IFERROR(VLOOKUP(Tabela1[[#This Row],[UO_COD]],qdd!$AT$1:$AU$102,2,FALSE),"")</f>
        <v/>
      </c>
      <c r="X140" s="20" t="str">
        <f>CONCATENATE("F",Tabela1[[#This Row],[FONTE_COD]],Tabela1[[#This Row],[IPU_COD]],"G",Tabela1[[#This Row],[GRUPO_COD]],"T",Tabela1[[#This Row],[TIPO]])</f>
        <v>FGT999</v>
      </c>
      <c r="Y1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0" s="19"/>
      <c r="AA140" s="29" t="str">
        <f>IFERROR(VLOOKUP(CONCATENATE("B",Tabela1[[#This Row],[BLOCO]],Tabela1[[#This Row],[UO_COD]]),qdd!$AW$2:$AX$1000,2,FALSE),"")</f>
        <v/>
      </c>
      <c r="AB140" s="30" t="str">
        <f>IFERROR(Tabela1[[#This Row],[VALOR]]/100,"")</f>
        <v/>
      </c>
      <c r="AC140" s="7" t="str" cm="1">
        <f t="array" aca="1" ref="AC140" ca="1">IF(Tabela1[[#This Row],[VALOR]]&lt;0,"",IFERROR(SUBSTITUTE(Converter_numero(Tabela1[[#This Row],[VALOR INCISO]]),",",""),""))</f>
        <v/>
      </c>
      <c r="AD140" s="29" t="str">
        <f>IF(Tabela1[[#This Row],[TIPO]]=REGRAS!$W$2,REGRAS!$X$2,IF(Tabela1[[#This Row],[TIPO]]=REGRAS!$W$4,REGRAS!$X$4,""))</f>
        <v/>
      </c>
      <c r="AE140" s="29" t="e">
        <f>VLOOKUP(Tabela1[[#This Row],[FONTE_COD]],REGRAS!$O$2:$P$69,2,FALSE)</f>
        <v>#N/A</v>
      </c>
      <c r="AF1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1" spans="1:32" ht="18.75" customHeight="1">
      <c r="A141" s="2" t="str">
        <f>IFERROR(IF('PREENCHER AQUI'!A141="","",'PREENCHER AQUI'!A141),"")</f>
        <v/>
      </c>
      <c r="B141" s="1" t="str">
        <f>IFERROR(IF('PREENCHER AQUI'!B141="","",PROPER('PREENCHER AQUI'!B141)),"")</f>
        <v/>
      </c>
      <c r="C141" s="1" t="str">
        <f>IFERROR(IF('PREENCHER AQUI'!C141="","",'PREENCHER AQUI'!C141),"")</f>
        <v/>
      </c>
      <c r="D141" s="2" t="str">
        <f>IFERROR(IF('PREENCHER AQUI'!D141="","",'PREENCHER AQUI'!D141),"")</f>
        <v/>
      </c>
      <c r="E141" s="2" t="str">
        <f>IFERROR(VLOOKUP(CONCATENATE(C141,D141),qdd!$C$2:$F$1000,2,FALSE),"")</f>
        <v/>
      </c>
      <c r="F141" s="2" t="str">
        <f>IFERROR(VLOOKUP(CONCATENATE(C141,D141),qdd!$C$2:$F$1000,3,FALSE),"")</f>
        <v/>
      </c>
      <c r="G141" s="2" t="str">
        <f>IFERROR(VLOOKUP(CONCATENATE(C141,D141),qdd!$C$2:$F$1000,4,FALSE),"")</f>
        <v/>
      </c>
      <c r="H141" s="6" t="str">
        <f t="shared" si="6"/>
        <v/>
      </c>
      <c r="I1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1" s="2" t="str">
        <f>IFERROR(IF('PREENCHER AQUI'!E141="","",'PREENCHER AQUI'!E141),"")</f>
        <v/>
      </c>
      <c r="K141" s="2" t="str">
        <f>IFERROR(IF('PREENCHER AQUI'!F141="","",'PREENCHER AQUI'!F141),"")</f>
        <v/>
      </c>
      <c r="L141" s="2" t="str">
        <f>IF(Tabela1[[#This Row],[IPU_COD]]=9,"91",IF(Tabela1[[#This Row],[ACAO_COD]]="","",VLOOKUP(CONCATENATE("G",J141,"M",K141),qdd!$BC$2:$BD$46,2,FALSE)))</f>
        <v/>
      </c>
      <c r="M141" s="2" t="str">
        <f>TEXT(IFERROR(VLOOKUP(CONCATENATE(C141,D141),qdd!$C$2:$G$1000,5,FALSE),""),0)</f>
        <v/>
      </c>
      <c r="N141" s="2" t="str">
        <f>IFERROR(IF('PREENCHER AQUI'!I141="","",'PREENCHER AQUI'!I141),"")</f>
        <v/>
      </c>
      <c r="O141" s="2" t="str">
        <f>IFERROR(IF('PREENCHER AQUI'!J141="","",'PREENCHER AQUI'!J141),"")</f>
        <v/>
      </c>
      <c r="P141" s="7" t="str">
        <f t="shared" si="7"/>
        <v/>
      </c>
      <c r="Q141" s="8" t="str">
        <f>IFERROR(IF(Tabela4[[#This Row],[VALOR]]="","",IF(Tabela1[[#This Row],[ORIENTACAO]]="Anular",'PREENCHER AQUI'!K141*-1*100,'PREENCHER AQUI'!K141*100)),"")</f>
        <v/>
      </c>
      <c r="T141" s="7" t="str">
        <f>IFERROR(IF('PREENCHER AQUI'!L141="","999",LEFT('PREENCHER AQUI'!L141,1)),"")</f>
        <v>999</v>
      </c>
      <c r="V141" s="19"/>
      <c r="W141" s="1" t="str">
        <f>IFERROR(VLOOKUP(Tabela1[[#This Row],[UO_COD]],qdd!$AT$1:$AU$102,2,FALSE),"")</f>
        <v/>
      </c>
      <c r="X141" s="1" t="str">
        <f>CONCATENATE("F",Tabela1[[#This Row],[FONTE_COD]],Tabela1[[#This Row],[IPU_COD]],"G",Tabela1[[#This Row],[GRUPO_COD]],"T",Tabela1[[#This Row],[TIPO]])</f>
        <v>FGT999</v>
      </c>
      <c r="Y1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1" s="19"/>
      <c r="AA141" s="29" t="str">
        <f>IFERROR(VLOOKUP(CONCATENATE("B",Tabela1[[#This Row],[BLOCO]],Tabela1[[#This Row],[UO_COD]]),qdd!$AW$2:$AX$1000,2,FALSE),"")</f>
        <v/>
      </c>
      <c r="AB141" s="30" t="str">
        <f>IFERROR(Tabela1[[#This Row],[VALOR]]/100,"")</f>
        <v/>
      </c>
      <c r="AC141" s="7" t="str" cm="1">
        <f t="array" aca="1" ref="AC141" ca="1">IF(Tabela1[[#This Row],[VALOR]]&lt;0,"",IFERROR(SUBSTITUTE(Converter_numero(Tabela1[[#This Row],[VALOR INCISO]]),",",""),""))</f>
        <v/>
      </c>
      <c r="AD141" s="29" t="str">
        <f>IF(Tabela1[[#This Row],[TIPO]]=REGRAS!$W$2,REGRAS!$X$2,IF(Tabela1[[#This Row],[TIPO]]=REGRAS!$W$4,REGRAS!$X$4,""))</f>
        <v/>
      </c>
      <c r="AE141" s="29" t="e">
        <f>VLOOKUP(Tabela1[[#This Row],[FONTE_COD]],REGRAS!$O$2:$P$69,2,FALSE)</f>
        <v>#N/A</v>
      </c>
      <c r="AF1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2" spans="1:32" ht="18.75" customHeight="1">
      <c r="A142" s="2" t="str">
        <f>IFERROR(IF('PREENCHER AQUI'!A142="","",'PREENCHER AQUI'!A142),"")</f>
        <v/>
      </c>
      <c r="B142" s="1" t="str">
        <f>IFERROR(IF('PREENCHER AQUI'!B142="","",PROPER('PREENCHER AQUI'!B142)),"")</f>
        <v/>
      </c>
      <c r="C142" s="1" t="str">
        <f>IFERROR(IF('PREENCHER AQUI'!C142="","",'PREENCHER AQUI'!C142),"")</f>
        <v/>
      </c>
      <c r="D142" s="2" t="str">
        <f>IFERROR(IF('PREENCHER AQUI'!D142="","",'PREENCHER AQUI'!D142),"")</f>
        <v/>
      </c>
      <c r="E142" s="2" t="str">
        <f>IFERROR(VLOOKUP(CONCATENATE(C142,D142),qdd!$C$2:$F$1000,2,FALSE),"")</f>
        <v/>
      </c>
      <c r="F142" s="2" t="str">
        <f>IFERROR(VLOOKUP(CONCATENATE(C142,D142),qdd!$C$2:$F$1000,3,FALSE),"")</f>
        <v/>
      </c>
      <c r="G142" s="2" t="str">
        <f>IFERROR(VLOOKUP(CONCATENATE(C142,D142),qdd!$C$2:$F$1000,4,FALSE),"")</f>
        <v/>
      </c>
      <c r="H142" s="6" t="str">
        <f t="shared" si="6"/>
        <v/>
      </c>
      <c r="I1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2" s="2" t="str">
        <f>IFERROR(IF('PREENCHER AQUI'!E142="","",'PREENCHER AQUI'!E142),"")</f>
        <v/>
      </c>
      <c r="K142" s="2" t="str">
        <f>IFERROR(IF('PREENCHER AQUI'!F142="","",'PREENCHER AQUI'!F142),"")</f>
        <v/>
      </c>
      <c r="L142" s="2" t="str">
        <f>IF(Tabela1[[#This Row],[IPU_COD]]=9,"91",IF(Tabela1[[#This Row],[ACAO_COD]]="","",VLOOKUP(CONCATENATE("G",J142,"M",K142),qdd!$BC$2:$BD$46,2,FALSE)))</f>
        <v/>
      </c>
      <c r="M142" s="2" t="str">
        <f>TEXT(IFERROR(VLOOKUP(CONCATENATE(C142,D142),qdd!$C$2:$G$1000,5,FALSE),""),0)</f>
        <v/>
      </c>
      <c r="N142" s="2" t="str">
        <f>IFERROR(IF('PREENCHER AQUI'!I142="","",'PREENCHER AQUI'!I142),"")</f>
        <v/>
      </c>
      <c r="O142" s="2" t="str">
        <f>IFERROR(IF('PREENCHER AQUI'!J142="","",'PREENCHER AQUI'!J142),"")</f>
        <v/>
      </c>
      <c r="P142" s="7" t="str">
        <f t="shared" si="7"/>
        <v/>
      </c>
      <c r="Q142" s="8" t="str">
        <f>IFERROR(IF(Tabela4[[#This Row],[VALOR]]="","",IF(Tabela1[[#This Row],[ORIENTACAO]]="Anular",'PREENCHER AQUI'!K142*-1*100,'PREENCHER AQUI'!K142*100)),"")</f>
        <v/>
      </c>
      <c r="T142" s="7" t="str">
        <f>IFERROR(IF('PREENCHER AQUI'!L142="","999",LEFT('PREENCHER AQUI'!L142,1)),"")</f>
        <v>999</v>
      </c>
      <c r="W142" s="1" t="str">
        <f>IFERROR(VLOOKUP(Tabela1[[#This Row],[UO_COD]],qdd!$AT$1:$AU$102,2,FALSE),"")</f>
        <v/>
      </c>
      <c r="X142" s="1" t="str">
        <f>CONCATENATE("F",Tabela1[[#This Row],[FONTE_COD]],Tabela1[[#This Row],[IPU_COD]],"G",Tabela1[[#This Row],[GRUPO_COD]],"T",Tabela1[[#This Row],[TIPO]])</f>
        <v>FGT999</v>
      </c>
      <c r="Y1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2" s="19"/>
      <c r="AA142" s="29" t="str">
        <f>IFERROR(VLOOKUP(CONCATENATE("B",Tabela1[[#This Row],[BLOCO]],Tabela1[[#This Row],[UO_COD]]),qdd!$AW$2:$AX$1000,2,FALSE),"")</f>
        <v/>
      </c>
      <c r="AB142" s="30" t="str">
        <f>IFERROR(Tabela1[[#This Row],[VALOR]]/100,"")</f>
        <v/>
      </c>
      <c r="AC142" s="7" t="str" cm="1">
        <f t="array" aca="1" ref="AC142" ca="1">IF(Tabela1[[#This Row],[VALOR]]&lt;0,"",IFERROR(SUBSTITUTE(Converter_numero(Tabela1[[#This Row],[VALOR INCISO]]),",",""),""))</f>
        <v/>
      </c>
      <c r="AD142" s="7" t="str">
        <f>IF(Tabela1[[#This Row],[TIPO]]=REGRAS!$W$2,REGRAS!$X$2,IF(Tabela1[[#This Row],[TIPO]]=REGRAS!$W$4,REGRAS!$X$4,""))</f>
        <v/>
      </c>
      <c r="AE142" s="29" t="e">
        <f>VLOOKUP(Tabela1[[#This Row],[FONTE_COD]],REGRAS!$O$2:$P$69,2,FALSE)</f>
        <v>#N/A</v>
      </c>
      <c r="AF1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3" spans="1:32" ht="18.75" customHeight="1">
      <c r="A143" s="2" t="str">
        <f>IFERROR(IF('PREENCHER AQUI'!A143="","",'PREENCHER AQUI'!A143),"")</f>
        <v/>
      </c>
      <c r="B143" s="1" t="str">
        <f>IFERROR(IF('PREENCHER AQUI'!B143="","",PROPER('PREENCHER AQUI'!B143)),"")</f>
        <v/>
      </c>
      <c r="C143" s="1" t="str">
        <f>IFERROR(IF('PREENCHER AQUI'!C143="","",'PREENCHER AQUI'!C143),"")</f>
        <v/>
      </c>
      <c r="D143" s="2" t="str">
        <f>IFERROR(IF('PREENCHER AQUI'!D143="","",'PREENCHER AQUI'!D143),"")</f>
        <v/>
      </c>
      <c r="E143" s="2" t="str">
        <f>IFERROR(VLOOKUP(CONCATENATE(C143,D143),qdd!$C$2:$F$1000,2,FALSE),"")</f>
        <v/>
      </c>
      <c r="F143" s="2" t="str">
        <f>IFERROR(VLOOKUP(CONCATENATE(C143,D143),qdd!$C$2:$F$1000,3,FALSE),"")</f>
        <v/>
      </c>
      <c r="G143" s="2" t="str">
        <f>IFERROR(VLOOKUP(CONCATENATE(C143,D143),qdd!$C$2:$F$1000,4,FALSE),"")</f>
        <v/>
      </c>
      <c r="H143" s="6" t="str">
        <f t="shared" si="6"/>
        <v/>
      </c>
      <c r="I1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3" s="2" t="str">
        <f>IFERROR(IF('PREENCHER AQUI'!E143="","",'PREENCHER AQUI'!E143),"")</f>
        <v/>
      </c>
      <c r="K143" s="2" t="str">
        <f>IFERROR(IF('PREENCHER AQUI'!F143="","",'PREENCHER AQUI'!F143),"")</f>
        <v/>
      </c>
      <c r="L143" s="2" t="str">
        <f>IF(Tabela1[[#This Row],[IPU_COD]]=9,"91",IF(Tabela1[[#This Row],[ACAO_COD]]="","",VLOOKUP(CONCATENATE("G",J143,"M",K143),qdd!$BC$2:$BD$46,2,FALSE)))</f>
        <v/>
      </c>
      <c r="M143" s="2" t="str">
        <f>TEXT(IFERROR(VLOOKUP(CONCATENATE(C143,D143),qdd!$C$2:$G$1000,5,FALSE),""),0)</f>
        <v/>
      </c>
      <c r="N143" s="2" t="str">
        <f>IFERROR(IF('PREENCHER AQUI'!I143="","",'PREENCHER AQUI'!I143),"")</f>
        <v/>
      </c>
      <c r="O143" s="2" t="str">
        <f>IFERROR(IF('PREENCHER AQUI'!J143="","",'PREENCHER AQUI'!J143),"")</f>
        <v/>
      </c>
      <c r="P143" s="7" t="str">
        <f t="shared" si="7"/>
        <v/>
      </c>
      <c r="Q143" s="8" t="str">
        <f>IFERROR(IF(Tabela4[[#This Row],[VALOR]]="","",IF(Tabela1[[#This Row],[ORIENTACAO]]="Anular",'PREENCHER AQUI'!K143*-1*100,'PREENCHER AQUI'!K143*100)),"")</f>
        <v/>
      </c>
      <c r="T143" s="7" t="str">
        <f>IFERROR(IF('PREENCHER AQUI'!L143="","999",LEFT('PREENCHER AQUI'!L143,1)),"")</f>
        <v>999</v>
      </c>
      <c r="V143" s="19"/>
      <c r="W143" s="1" t="str">
        <f>IFERROR(VLOOKUP(Tabela1[[#This Row],[UO_COD]],qdd!$AT$1:$AU$102,2,FALSE),"")</f>
        <v/>
      </c>
      <c r="X143" s="1" t="str">
        <f>CONCATENATE("F",Tabela1[[#This Row],[FONTE_COD]],Tabela1[[#This Row],[IPU_COD]],"G",Tabela1[[#This Row],[GRUPO_COD]],"T",Tabela1[[#This Row],[TIPO]])</f>
        <v>FGT999</v>
      </c>
      <c r="Y1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3" s="19"/>
      <c r="AA143" s="29" t="str">
        <f>IFERROR(VLOOKUP(CONCATENATE("B",Tabela1[[#This Row],[BLOCO]],Tabela1[[#This Row],[UO_COD]]),qdd!$AW$2:$AX$1000,2,FALSE),"")</f>
        <v/>
      </c>
      <c r="AB143" s="30" t="str">
        <f>IFERROR(Tabela1[[#This Row],[VALOR]]/100,"")</f>
        <v/>
      </c>
      <c r="AC143" s="7" t="str" cm="1">
        <f t="array" aca="1" ref="AC143" ca="1">IF(Tabela1[[#This Row],[VALOR]]&lt;0,"",IFERROR(SUBSTITUTE(Converter_numero(Tabela1[[#This Row],[VALOR INCISO]]),",",""),""))</f>
        <v/>
      </c>
      <c r="AD143" s="29" t="str">
        <f>IF(Tabela1[[#This Row],[TIPO]]=REGRAS!$W$2,REGRAS!$X$2,IF(Tabela1[[#This Row],[TIPO]]=REGRAS!$W$4,REGRAS!$X$4,""))</f>
        <v/>
      </c>
      <c r="AE143" s="29" t="e">
        <f>VLOOKUP(Tabela1[[#This Row],[FONTE_COD]],REGRAS!$O$2:$P$69,2,FALSE)</f>
        <v>#N/A</v>
      </c>
      <c r="AF1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4" spans="1:32" ht="18.75" customHeight="1">
      <c r="A144" s="2" t="str">
        <f>IFERROR(IF('PREENCHER AQUI'!A144="","",'PREENCHER AQUI'!A144),"")</f>
        <v/>
      </c>
      <c r="B144" s="1" t="str">
        <f>IFERROR(IF('PREENCHER AQUI'!B144="","",PROPER('PREENCHER AQUI'!B144)),"")</f>
        <v/>
      </c>
      <c r="C144" s="1" t="str">
        <f>IFERROR(IF('PREENCHER AQUI'!C144="","",'PREENCHER AQUI'!C144),"")</f>
        <v/>
      </c>
      <c r="D144" s="2" t="str">
        <f>IFERROR(IF('PREENCHER AQUI'!D144="","",'PREENCHER AQUI'!D144),"")</f>
        <v/>
      </c>
      <c r="E144" s="2" t="str">
        <f>IFERROR(VLOOKUP(CONCATENATE(C144,D144),qdd!$C$2:$F$1000,2,FALSE),"")</f>
        <v/>
      </c>
      <c r="F144" s="2" t="str">
        <f>IFERROR(VLOOKUP(CONCATENATE(C144,D144),qdd!$C$2:$F$1000,3,FALSE),"")</f>
        <v/>
      </c>
      <c r="G144" s="2" t="str">
        <f>IFERROR(VLOOKUP(CONCATENATE(C144,D144),qdd!$C$2:$F$1000,4,FALSE),"")</f>
        <v/>
      </c>
      <c r="H144" s="6" t="str">
        <f t="shared" si="6"/>
        <v/>
      </c>
      <c r="I1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4" s="2" t="str">
        <f>IFERROR(IF('PREENCHER AQUI'!E144="","",'PREENCHER AQUI'!E144),"")</f>
        <v/>
      </c>
      <c r="K144" s="2" t="str">
        <f>IFERROR(IF('PREENCHER AQUI'!F144="","",'PREENCHER AQUI'!F144),"")</f>
        <v/>
      </c>
      <c r="L144" s="2" t="str">
        <f>IF(Tabela1[[#This Row],[IPU_COD]]=9,"91",IF(Tabela1[[#This Row],[ACAO_COD]]="","",VLOOKUP(CONCATENATE("G",J144,"M",K144),qdd!$BC$2:$BD$46,2,FALSE)))</f>
        <v/>
      </c>
      <c r="M144" s="2" t="str">
        <f>TEXT(IFERROR(VLOOKUP(CONCATENATE(C144,D144),qdd!$C$2:$G$1000,5,FALSE),""),0)</f>
        <v/>
      </c>
      <c r="N144" s="2" t="str">
        <f>IFERROR(IF('PREENCHER AQUI'!I144="","",'PREENCHER AQUI'!I144),"")</f>
        <v/>
      </c>
      <c r="O144" s="2" t="str">
        <f>IFERROR(IF('PREENCHER AQUI'!J144="","",'PREENCHER AQUI'!J144),"")</f>
        <v/>
      </c>
      <c r="P144" s="7" t="str">
        <f t="shared" si="7"/>
        <v/>
      </c>
      <c r="Q144" s="8" t="str">
        <f>IFERROR(IF(Tabela4[[#This Row],[VALOR]]="","",IF(Tabela1[[#This Row],[ORIENTACAO]]="Anular",'PREENCHER AQUI'!K144*-1*100,'PREENCHER AQUI'!K144*100)),"")</f>
        <v/>
      </c>
      <c r="T144" s="7" t="str">
        <f>IFERROR(IF('PREENCHER AQUI'!L144="","999",LEFT('PREENCHER AQUI'!L144,1)),"")</f>
        <v>999</v>
      </c>
      <c r="V144" s="19"/>
      <c r="W144" s="1" t="str">
        <f>IFERROR(VLOOKUP(Tabela1[[#This Row],[UO_COD]],qdd!$AT$1:$AU$102,2,FALSE),"")</f>
        <v/>
      </c>
      <c r="X144" s="1" t="str">
        <f>CONCATENATE("F",Tabela1[[#This Row],[FONTE_COD]],Tabela1[[#This Row],[IPU_COD]],"G",Tabela1[[#This Row],[GRUPO_COD]],"T",Tabela1[[#This Row],[TIPO]])</f>
        <v>FGT999</v>
      </c>
      <c r="Y1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4" s="19"/>
      <c r="AA144" s="29" t="str">
        <f>IFERROR(VLOOKUP(CONCATENATE("B",Tabela1[[#This Row],[BLOCO]],Tabela1[[#This Row],[UO_COD]]),qdd!$AW$2:$AX$1000,2,FALSE),"")</f>
        <v/>
      </c>
      <c r="AB144" s="30" t="str">
        <f>IFERROR(Tabela1[[#This Row],[VALOR]]/100,"")</f>
        <v/>
      </c>
      <c r="AC144" s="7" t="str" cm="1">
        <f t="array" aca="1" ref="AC144" ca="1">IF(Tabela1[[#This Row],[VALOR]]&lt;0,"",IFERROR(SUBSTITUTE(Converter_numero(Tabela1[[#This Row],[VALOR INCISO]]),",",""),""))</f>
        <v/>
      </c>
      <c r="AD144" s="29" t="str">
        <f>IF(Tabela1[[#This Row],[TIPO]]=REGRAS!$W$2,REGRAS!$X$2,IF(Tabela1[[#This Row],[TIPO]]=REGRAS!$W$4,REGRAS!$X$4,""))</f>
        <v/>
      </c>
      <c r="AE144" s="29" t="e">
        <f>VLOOKUP(Tabela1[[#This Row],[FONTE_COD]],REGRAS!$O$2:$P$69,2,FALSE)</f>
        <v>#N/A</v>
      </c>
      <c r="AF1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5" spans="1:32" ht="18.75" customHeight="1">
      <c r="A145" s="2" t="str">
        <f>IFERROR(IF('PREENCHER AQUI'!A145="","",'PREENCHER AQUI'!A145),"")</f>
        <v/>
      </c>
      <c r="B145" s="1" t="str">
        <f>IFERROR(IF('PREENCHER AQUI'!B145="","",PROPER('PREENCHER AQUI'!B145)),"")</f>
        <v/>
      </c>
      <c r="C145" s="1" t="str">
        <f>IFERROR(IF('PREENCHER AQUI'!C145="","",'PREENCHER AQUI'!C145),"")</f>
        <v/>
      </c>
      <c r="D145" s="2" t="str">
        <f>IFERROR(IF('PREENCHER AQUI'!D145="","",'PREENCHER AQUI'!D145),"")</f>
        <v/>
      </c>
      <c r="E145" s="2" t="str">
        <f>IFERROR(VLOOKUP(CONCATENATE(C145,D145),qdd!$C$2:$F$1000,2,FALSE),"")</f>
        <v/>
      </c>
      <c r="F145" s="2" t="str">
        <f>IFERROR(VLOOKUP(CONCATENATE(C145,D145),qdd!$C$2:$F$1000,3,FALSE),"")</f>
        <v/>
      </c>
      <c r="G145" s="2" t="str">
        <f>IFERROR(VLOOKUP(CONCATENATE(C145,D145),qdd!$C$2:$F$1000,4,FALSE),"")</f>
        <v/>
      </c>
      <c r="H145" s="6" t="str">
        <f t="shared" si="6"/>
        <v/>
      </c>
      <c r="I1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5" s="2" t="str">
        <f>IFERROR(IF('PREENCHER AQUI'!E145="","",'PREENCHER AQUI'!E145),"")</f>
        <v/>
      </c>
      <c r="K145" s="2" t="str">
        <f>IFERROR(IF('PREENCHER AQUI'!F145="","",'PREENCHER AQUI'!F145),"")</f>
        <v/>
      </c>
      <c r="L145" s="2" t="str">
        <f>IF(Tabela1[[#This Row],[IPU_COD]]=9,"91",IF(Tabela1[[#This Row],[ACAO_COD]]="","",VLOOKUP(CONCATENATE("G",J145,"M",K145),qdd!$BC$2:$BD$46,2,FALSE)))</f>
        <v/>
      </c>
      <c r="M145" s="2" t="str">
        <f>TEXT(IFERROR(VLOOKUP(CONCATENATE(C145,D145),qdd!$C$2:$G$1000,5,FALSE),""),0)</f>
        <v/>
      </c>
      <c r="N145" s="2" t="str">
        <f>IFERROR(IF('PREENCHER AQUI'!I145="","",'PREENCHER AQUI'!I145),"")</f>
        <v/>
      </c>
      <c r="O145" s="2" t="str">
        <f>IFERROR(IF('PREENCHER AQUI'!J145="","",'PREENCHER AQUI'!J145),"")</f>
        <v/>
      </c>
      <c r="P145" s="7" t="str">
        <f t="shared" si="7"/>
        <v/>
      </c>
      <c r="Q145" s="8" t="str">
        <f>IFERROR(IF(Tabela4[[#This Row],[VALOR]]="","",IF(Tabela1[[#This Row],[ORIENTACAO]]="Anular",'PREENCHER AQUI'!K145*-1*100,'PREENCHER AQUI'!K145*100)),"")</f>
        <v/>
      </c>
      <c r="T145" s="7" t="str">
        <f>IFERROR(IF('PREENCHER AQUI'!L145="","999",LEFT('PREENCHER AQUI'!L145,1)),"")</f>
        <v>999</v>
      </c>
      <c r="V145" s="19"/>
      <c r="W145" s="20" t="str">
        <f>IFERROR(VLOOKUP(Tabela1[[#This Row],[UO_COD]],qdd!$AT$1:$AU$102,2,FALSE),"")</f>
        <v/>
      </c>
      <c r="X145" s="20" t="str">
        <f>CONCATENATE("F",Tabela1[[#This Row],[FONTE_COD]],Tabela1[[#This Row],[IPU_COD]],"G",Tabela1[[#This Row],[GRUPO_COD]],"T",Tabela1[[#This Row],[TIPO]])</f>
        <v>FGT999</v>
      </c>
      <c r="Y1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5" s="19"/>
      <c r="AA145" s="29" t="str">
        <f>IFERROR(VLOOKUP(CONCATENATE("B",Tabela1[[#This Row],[BLOCO]],Tabela1[[#This Row],[UO_COD]]),qdd!$AW$2:$AX$1000,2,FALSE),"")</f>
        <v/>
      </c>
      <c r="AB145" s="30" t="str">
        <f>IFERROR(Tabela1[[#This Row],[VALOR]]/100,"")</f>
        <v/>
      </c>
      <c r="AC145" s="7" t="str" cm="1">
        <f t="array" aca="1" ref="AC145" ca="1">IF(Tabela1[[#This Row],[VALOR]]&lt;0,"",IFERROR(SUBSTITUTE(Converter_numero(Tabela1[[#This Row],[VALOR INCISO]]),",",""),""))</f>
        <v/>
      </c>
      <c r="AD145" s="29" t="str">
        <f>IF(Tabela1[[#This Row],[TIPO]]=REGRAS!$W$2,REGRAS!$X$2,IF(Tabela1[[#This Row],[TIPO]]=REGRAS!$W$4,REGRAS!$X$4,""))</f>
        <v/>
      </c>
      <c r="AE145" s="29" t="e">
        <f>VLOOKUP(Tabela1[[#This Row],[FONTE_COD]],REGRAS!$O$2:$P$69,2,FALSE)</f>
        <v>#N/A</v>
      </c>
      <c r="AF1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6" spans="1:32" ht="18.75" customHeight="1">
      <c r="A146" s="2" t="str">
        <f>IFERROR(IF('PREENCHER AQUI'!A146="","",'PREENCHER AQUI'!A146),"")</f>
        <v/>
      </c>
      <c r="B146" s="1" t="str">
        <f>IFERROR(IF('PREENCHER AQUI'!B146="","",PROPER('PREENCHER AQUI'!B146)),"")</f>
        <v/>
      </c>
      <c r="C146" s="1" t="str">
        <f>IFERROR(IF('PREENCHER AQUI'!C146="","",'PREENCHER AQUI'!C146),"")</f>
        <v/>
      </c>
      <c r="D146" s="2" t="str">
        <f>IFERROR(IF('PREENCHER AQUI'!D146="","",'PREENCHER AQUI'!D146),"")</f>
        <v/>
      </c>
      <c r="E146" s="2" t="str">
        <f>IFERROR(VLOOKUP(CONCATENATE(C146,D146),qdd!$C$2:$F$1000,2,FALSE),"")</f>
        <v/>
      </c>
      <c r="F146" s="2" t="str">
        <f>IFERROR(VLOOKUP(CONCATENATE(C146,D146),qdd!$C$2:$F$1000,3,FALSE),"")</f>
        <v/>
      </c>
      <c r="G146" s="2" t="str">
        <f>IFERROR(VLOOKUP(CONCATENATE(C146,D146),qdd!$C$2:$F$1000,4,FALSE),"")</f>
        <v/>
      </c>
      <c r="H146" s="6" t="str">
        <f t="shared" si="6"/>
        <v/>
      </c>
      <c r="I1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6" s="2" t="str">
        <f>IFERROR(IF('PREENCHER AQUI'!E146="","",'PREENCHER AQUI'!E146),"")</f>
        <v/>
      </c>
      <c r="K146" s="2" t="str">
        <f>IFERROR(IF('PREENCHER AQUI'!F146="","",'PREENCHER AQUI'!F146),"")</f>
        <v/>
      </c>
      <c r="L146" s="2" t="str">
        <f>IF(Tabela1[[#This Row],[IPU_COD]]=9,"91",IF(Tabela1[[#This Row],[ACAO_COD]]="","",VLOOKUP(CONCATENATE("G",J146,"M",K146),qdd!$BC$2:$BD$46,2,FALSE)))</f>
        <v/>
      </c>
      <c r="M146" s="2" t="str">
        <f>TEXT(IFERROR(VLOOKUP(CONCATENATE(C146,D146),qdd!$C$2:$G$1000,5,FALSE),""),0)</f>
        <v/>
      </c>
      <c r="N146" s="2" t="str">
        <f>IFERROR(IF('PREENCHER AQUI'!I146="","",'PREENCHER AQUI'!I146),"")</f>
        <v/>
      </c>
      <c r="O146" s="2" t="str">
        <f>IFERROR(IF('PREENCHER AQUI'!J146="","",'PREENCHER AQUI'!J146),"")</f>
        <v/>
      </c>
      <c r="P146" s="7" t="str">
        <f t="shared" si="7"/>
        <v/>
      </c>
      <c r="Q146" s="8" t="str">
        <f>IFERROR(IF(Tabela4[[#This Row],[VALOR]]="","",IF(Tabela1[[#This Row],[ORIENTACAO]]="Anular",'PREENCHER AQUI'!K146*-1*100,'PREENCHER AQUI'!K146*100)),"")</f>
        <v/>
      </c>
      <c r="T146" s="7" t="str">
        <f>IFERROR(IF('PREENCHER AQUI'!L146="","999",LEFT('PREENCHER AQUI'!L146,1)),"")</f>
        <v>999</v>
      </c>
      <c r="V146" s="19"/>
      <c r="W146" s="1" t="str">
        <f>IFERROR(VLOOKUP(Tabela1[[#This Row],[UO_COD]],qdd!$AT$1:$AU$102,2,FALSE),"")</f>
        <v/>
      </c>
      <c r="X146" s="1" t="str">
        <f>CONCATENATE("F",Tabela1[[#This Row],[FONTE_COD]],Tabela1[[#This Row],[IPU_COD]],"G",Tabela1[[#This Row],[GRUPO_COD]],"T",Tabela1[[#This Row],[TIPO]])</f>
        <v>FGT999</v>
      </c>
      <c r="Y1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6" s="19"/>
      <c r="AA146" s="29" t="str">
        <f>IFERROR(VLOOKUP(CONCATENATE("B",Tabela1[[#This Row],[BLOCO]],Tabela1[[#This Row],[UO_COD]]),qdd!$AW$2:$AX$1000,2,FALSE),"")</f>
        <v/>
      </c>
      <c r="AB146" s="30" t="str">
        <f>IFERROR(Tabela1[[#This Row],[VALOR]]/100,"")</f>
        <v/>
      </c>
      <c r="AC146" s="7" t="str" cm="1">
        <f t="array" aca="1" ref="AC146" ca="1">IF(Tabela1[[#This Row],[VALOR]]&lt;0,"",IFERROR(SUBSTITUTE(Converter_numero(Tabela1[[#This Row],[VALOR INCISO]]),",",""),""))</f>
        <v/>
      </c>
      <c r="AD146" s="29" t="str">
        <f>IF(Tabela1[[#This Row],[TIPO]]=REGRAS!$W$2,REGRAS!$X$2,IF(Tabela1[[#This Row],[TIPO]]=REGRAS!$W$4,REGRAS!$X$4,""))</f>
        <v/>
      </c>
      <c r="AE146" s="29" t="e">
        <f>VLOOKUP(Tabela1[[#This Row],[FONTE_COD]],REGRAS!$O$2:$P$69,2,FALSE)</f>
        <v>#N/A</v>
      </c>
      <c r="AF1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7" spans="1:32" ht="18.75" customHeight="1">
      <c r="A147" s="2" t="str">
        <f>IFERROR(IF('PREENCHER AQUI'!A147="","",'PREENCHER AQUI'!A147),"")</f>
        <v/>
      </c>
      <c r="B147" s="1" t="str">
        <f>IFERROR(IF('PREENCHER AQUI'!B147="","",PROPER('PREENCHER AQUI'!B147)),"")</f>
        <v/>
      </c>
      <c r="C147" s="1" t="str">
        <f>IFERROR(IF('PREENCHER AQUI'!C147="","",'PREENCHER AQUI'!C147),"")</f>
        <v/>
      </c>
      <c r="D147" s="2" t="str">
        <f>IFERROR(IF('PREENCHER AQUI'!D147="","",'PREENCHER AQUI'!D147),"")</f>
        <v/>
      </c>
      <c r="E147" s="2" t="str">
        <f>IFERROR(VLOOKUP(CONCATENATE(C147,D147),qdd!$C$2:$F$1000,2,FALSE),"")</f>
        <v/>
      </c>
      <c r="F147" s="2" t="str">
        <f>IFERROR(VLOOKUP(CONCATENATE(C147,D147),qdd!$C$2:$F$1000,3,FALSE),"")</f>
        <v/>
      </c>
      <c r="G147" s="2" t="str">
        <f>IFERROR(VLOOKUP(CONCATENATE(C147,D147),qdd!$C$2:$F$1000,4,FALSE),"")</f>
        <v/>
      </c>
      <c r="H147" s="6" t="str">
        <f t="shared" si="6"/>
        <v/>
      </c>
      <c r="I1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7" s="2" t="str">
        <f>IFERROR(IF('PREENCHER AQUI'!E147="","",'PREENCHER AQUI'!E147),"")</f>
        <v/>
      </c>
      <c r="K147" s="2" t="str">
        <f>IFERROR(IF('PREENCHER AQUI'!F147="","",'PREENCHER AQUI'!F147),"")</f>
        <v/>
      </c>
      <c r="L147" s="2" t="str">
        <f>IF(Tabela1[[#This Row],[IPU_COD]]=9,"91",IF(Tabela1[[#This Row],[ACAO_COD]]="","",VLOOKUP(CONCATENATE("G",J147,"M",K147),qdd!$BC$2:$BD$46,2,FALSE)))</f>
        <v/>
      </c>
      <c r="M147" s="2" t="str">
        <f>TEXT(IFERROR(VLOOKUP(CONCATENATE(C147,D147),qdd!$C$2:$G$1000,5,FALSE),""),0)</f>
        <v/>
      </c>
      <c r="N147" s="2" t="str">
        <f>IFERROR(IF('PREENCHER AQUI'!I147="","",'PREENCHER AQUI'!I147),"")</f>
        <v/>
      </c>
      <c r="O147" s="2" t="str">
        <f>IFERROR(IF('PREENCHER AQUI'!J147="","",'PREENCHER AQUI'!J147),"")</f>
        <v/>
      </c>
      <c r="P147" s="7" t="str">
        <f t="shared" si="7"/>
        <v/>
      </c>
      <c r="Q147" s="8" t="str">
        <f>IFERROR(IF(Tabela4[[#This Row],[VALOR]]="","",IF(Tabela1[[#This Row],[ORIENTACAO]]="Anular",'PREENCHER AQUI'!K147*-1*100,'PREENCHER AQUI'!K147*100)),"")</f>
        <v/>
      </c>
      <c r="T147" s="7" t="str">
        <f>IFERROR(IF('PREENCHER AQUI'!L147="","999",LEFT('PREENCHER AQUI'!L147,1)),"")</f>
        <v>999</v>
      </c>
      <c r="W147" s="1" t="str">
        <f>IFERROR(VLOOKUP(Tabela1[[#This Row],[UO_COD]],qdd!$AT$1:$AU$102,2,FALSE),"")</f>
        <v/>
      </c>
      <c r="X147" s="1" t="str">
        <f>CONCATENATE("F",Tabela1[[#This Row],[FONTE_COD]],Tabela1[[#This Row],[IPU_COD]],"G",Tabela1[[#This Row],[GRUPO_COD]],"T",Tabela1[[#This Row],[TIPO]])</f>
        <v>FGT999</v>
      </c>
      <c r="Y1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7" s="19"/>
      <c r="AA147" s="29" t="str">
        <f>IFERROR(VLOOKUP(CONCATENATE("B",Tabela1[[#This Row],[BLOCO]],Tabela1[[#This Row],[UO_COD]]),qdd!$AW$2:$AX$1000,2,FALSE),"")</f>
        <v/>
      </c>
      <c r="AB147" s="30" t="str">
        <f>IFERROR(Tabela1[[#This Row],[VALOR]]/100,"")</f>
        <v/>
      </c>
      <c r="AC147" s="7" t="str" cm="1">
        <f t="array" aca="1" ref="AC147" ca="1">IF(Tabela1[[#This Row],[VALOR]]&lt;0,"",IFERROR(SUBSTITUTE(Converter_numero(Tabela1[[#This Row],[VALOR INCISO]]),",",""),""))</f>
        <v/>
      </c>
      <c r="AD147" s="7" t="str">
        <f>IF(Tabela1[[#This Row],[TIPO]]=REGRAS!$W$2,REGRAS!$X$2,IF(Tabela1[[#This Row],[TIPO]]=REGRAS!$W$4,REGRAS!$X$4,""))</f>
        <v/>
      </c>
      <c r="AE147" s="29" t="e">
        <f>VLOOKUP(Tabela1[[#This Row],[FONTE_COD]],REGRAS!$O$2:$P$69,2,FALSE)</f>
        <v>#N/A</v>
      </c>
      <c r="AF1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8" spans="1:32" ht="18.75" customHeight="1">
      <c r="A148" s="2" t="str">
        <f>IFERROR(IF('PREENCHER AQUI'!A148="","",'PREENCHER AQUI'!A148),"")</f>
        <v/>
      </c>
      <c r="B148" s="1" t="str">
        <f>IFERROR(IF('PREENCHER AQUI'!B148="","",PROPER('PREENCHER AQUI'!B148)),"")</f>
        <v/>
      </c>
      <c r="C148" s="1" t="str">
        <f>IFERROR(IF('PREENCHER AQUI'!C148="","",'PREENCHER AQUI'!C148),"")</f>
        <v/>
      </c>
      <c r="D148" s="2" t="str">
        <f>IFERROR(IF('PREENCHER AQUI'!D148="","",'PREENCHER AQUI'!D148),"")</f>
        <v/>
      </c>
      <c r="E148" s="2" t="str">
        <f>IFERROR(VLOOKUP(CONCATENATE(C148,D148),qdd!$C$2:$F$1000,2,FALSE),"")</f>
        <v/>
      </c>
      <c r="F148" s="2" t="str">
        <f>IFERROR(VLOOKUP(CONCATENATE(C148,D148),qdd!$C$2:$F$1000,3,FALSE),"")</f>
        <v/>
      </c>
      <c r="G148" s="2" t="str">
        <f>IFERROR(VLOOKUP(CONCATENATE(C148,D148),qdd!$C$2:$F$1000,4,FALSE),"")</f>
        <v/>
      </c>
      <c r="H148" s="6" t="str">
        <f t="shared" si="6"/>
        <v/>
      </c>
      <c r="I1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8" s="2" t="str">
        <f>IFERROR(IF('PREENCHER AQUI'!E148="","",'PREENCHER AQUI'!E148),"")</f>
        <v/>
      </c>
      <c r="K148" s="2" t="str">
        <f>IFERROR(IF('PREENCHER AQUI'!F148="","",'PREENCHER AQUI'!F148),"")</f>
        <v/>
      </c>
      <c r="L148" s="2" t="str">
        <f>IF(Tabela1[[#This Row],[IPU_COD]]=9,"91",IF(Tabela1[[#This Row],[ACAO_COD]]="","",VLOOKUP(CONCATENATE("G",J148,"M",K148),qdd!$BC$2:$BD$46,2,FALSE)))</f>
        <v/>
      </c>
      <c r="M148" s="2" t="str">
        <f>TEXT(IFERROR(VLOOKUP(CONCATENATE(C148,D148),qdd!$C$2:$G$1000,5,FALSE),""),0)</f>
        <v/>
      </c>
      <c r="N148" s="2" t="str">
        <f>IFERROR(IF('PREENCHER AQUI'!I148="","",'PREENCHER AQUI'!I148),"")</f>
        <v/>
      </c>
      <c r="O148" s="2" t="str">
        <f>IFERROR(IF('PREENCHER AQUI'!J148="","",'PREENCHER AQUI'!J148),"")</f>
        <v/>
      </c>
      <c r="P148" s="7" t="str">
        <f t="shared" si="7"/>
        <v/>
      </c>
      <c r="Q148" s="8" t="str">
        <f>IFERROR(IF(Tabela4[[#This Row],[VALOR]]="","",IF(Tabela1[[#This Row],[ORIENTACAO]]="Anular",'PREENCHER AQUI'!K148*-1*100,'PREENCHER AQUI'!K148*100)),"")</f>
        <v/>
      </c>
      <c r="T148" s="7" t="str">
        <f>IFERROR(IF('PREENCHER AQUI'!L148="","999",LEFT('PREENCHER AQUI'!L148,1)),"")</f>
        <v>999</v>
      </c>
      <c r="V148" s="19"/>
      <c r="W148" s="1" t="str">
        <f>IFERROR(VLOOKUP(Tabela1[[#This Row],[UO_COD]],qdd!$AT$1:$AU$102,2,FALSE),"")</f>
        <v/>
      </c>
      <c r="X148" s="1" t="str">
        <f>CONCATENATE("F",Tabela1[[#This Row],[FONTE_COD]],Tabela1[[#This Row],[IPU_COD]],"G",Tabela1[[#This Row],[GRUPO_COD]],"T",Tabela1[[#This Row],[TIPO]])</f>
        <v>FGT999</v>
      </c>
      <c r="Y1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8" s="19"/>
      <c r="AA148" s="29" t="str">
        <f>IFERROR(VLOOKUP(CONCATENATE("B",Tabela1[[#This Row],[BLOCO]],Tabela1[[#This Row],[UO_COD]]),qdd!$AW$2:$AX$1000,2,FALSE),"")</f>
        <v/>
      </c>
      <c r="AB148" s="30" t="str">
        <f>IFERROR(Tabela1[[#This Row],[VALOR]]/100,"")</f>
        <v/>
      </c>
      <c r="AC148" s="7" t="str" cm="1">
        <f t="array" aca="1" ref="AC148" ca="1">IF(Tabela1[[#This Row],[VALOR]]&lt;0,"",IFERROR(SUBSTITUTE(Converter_numero(Tabela1[[#This Row],[VALOR INCISO]]),",",""),""))</f>
        <v/>
      </c>
      <c r="AD148" s="29" t="str">
        <f>IF(Tabela1[[#This Row],[TIPO]]=REGRAS!$W$2,REGRAS!$X$2,IF(Tabela1[[#This Row],[TIPO]]=REGRAS!$W$4,REGRAS!$X$4,""))</f>
        <v/>
      </c>
      <c r="AE148" s="29" t="e">
        <f>VLOOKUP(Tabela1[[#This Row],[FONTE_COD]],REGRAS!$O$2:$P$69,2,FALSE)</f>
        <v>#N/A</v>
      </c>
      <c r="AF1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9" spans="1:32" ht="18.75" customHeight="1">
      <c r="A149" s="2" t="str">
        <f>IFERROR(IF('PREENCHER AQUI'!A149="","",'PREENCHER AQUI'!A149),"")</f>
        <v/>
      </c>
      <c r="B149" s="1" t="str">
        <f>IFERROR(IF('PREENCHER AQUI'!B149="","",PROPER('PREENCHER AQUI'!B149)),"")</f>
        <v/>
      </c>
      <c r="C149" s="1" t="str">
        <f>IFERROR(IF('PREENCHER AQUI'!C149="","",'PREENCHER AQUI'!C149),"")</f>
        <v/>
      </c>
      <c r="D149" s="2" t="str">
        <f>IFERROR(IF('PREENCHER AQUI'!D149="","",'PREENCHER AQUI'!D149),"")</f>
        <v/>
      </c>
      <c r="E149" s="2" t="str">
        <f>IFERROR(VLOOKUP(CONCATENATE(C149,D149),qdd!$C$2:$F$1000,2,FALSE),"")</f>
        <v/>
      </c>
      <c r="F149" s="2" t="str">
        <f>IFERROR(VLOOKUP(CONCATENATE(C149,D149),qdd!$C$2:$F$1000,3,FALSE),"")</f>
        <v/>
      </c>
      <c r="G149" s="2" t="str">
        <f>IFERROR(VLOOKUP(CONCATENATE(C149,D149),qdd!$C$2:$F$1000,4,FALSE),"")</f>
        <v/>
      </c>
      <c r="H149" s="6" t="str">
        <f t="shared" si="6"/>
        <v/>
      </c>
      <c r="I1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9" s="2" t="str">
        <f>IFERROR(IF('PREENCHER AQUI'!E149="","",'PREENCHER AQUI'!E149),"")</f>
        <v/>
      </c>
      <c r="K149" s="2" t="str">
        <f>IFERROR(IF('PREENCHER AQUI'!F149="","",'PREENCHER AQUI'!F149),"")</f>
        <v/>
      </c>
      <c r="L149" s="2" t="str">
        <f>IF(Tabela1[[#This Row],[IPU_COD]]=9,"91",IF(Tabela1[[#This Row],[ACAO_COD]]="","",VLOOKUP(CONCATENATE("G",J149,"M",K149),qdd!$BC$2:$BD$46,2,FALSE)))</f>
        <v/>
      </c>
      <c r="M149" s="2" t="str">
        <f>TEXT(IFERROR(VLOOKUP(CONCATENATE(C149,D149),qdd!$C$2:$G$1000,5,FALSE),""),0)</f>
        <v/>
      </c>
      <c r="N149" s="2" t="str">
        <f>IFERROR(IF('PREENCHER AQUI'!I149="","",'PREENCHER AQUI'!I149),"")</f>
        <v/>
      </c>
      <c r="O149" s="2" t="str">
        <f>IFERROR(IF('PREENCHER AQUI'!J149="","",'PREENCHER AQUI'!J149),"")</f>
        <v/>
      </c>
      <c r="P149" s="7" t="str">
        <f t="shared" si="7"/>
        <v/>
      </c>
      <c r="Q149" s="8" t="str">
        <f>IFERROR(IF(Tabela4[[#This Row],[VALOR]]="","",IF(Tabela1[[#This Row],[ORIENTACAO]]="Anular",'PREENCHER AQUI'!K149*-1*100,'PREENCHER AQUI'!K149*100)),"")</f>
        <v/>
      </c>
      <c r="T149" s="7" t="str">
        <f>IFERROR(IF('PREENCHER AQUI'!L149="","999",LEFT('PREENCHER AQUI'!L149,1)),"")</f>
        <v>999</v>
      </c>
      <c r="V149" s="19"/>
      <c r="W149" s="1" t="str">
        <f>IFERROR(VLOOKUP(Tabela1[[#This Row],[UO_COD]],qdd!$AT$1:$AU$102,2,FALSE),"")</f>
        <v/>
      </c>
      <c r="X149" s="1" t="str">
        <f>CONCATENATE("F",Tabela1[[#This Row],[FONTE_COD]],Tabela1[[#This Row],[IPU_COD]],"G",Tabela1[[#This Row],[GRUPO_COD]],"T",Tabela1[[#This Row],[TIPO]])</f>
        <v>FGT999</v>
      </c>
      <c r="Y1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9" s="19"/>
      <c r="AA149" s="29" t="str">
        <f>IFERROR(VLOOKUP(CONCATENATE("B",Tabela1[[#This Row],[BLOCO]],Tabela1[[#This Row],[UO_COD]]),qdd!$AW$2:$AX$1000,2,FALSE),"")</f>
        <v/>
      </c>
      <c r="AB149" s="30" t="str">
        <f>IFERROR(Tabela1[[#This Row],[VALOR]]/100,"")</f>
        <v/>
      </c>
      <c r="AC149" s="7" t="str" cm="1">
        <f t="array" aca="1" ref="AC149" ca="1">IF(Tabela1[[#This Row],[VALOR]]&lt;0,"",IFERROR(SUBSTITUTE(Converter_numero(Tabela1[[#This Row],[VALOR INCISO]]),",",""),""))</f>
        <v/>
      </c>
      <c r="AD149" s="29" t="str">
        <f>IF(Tabela1[[#This Row],[TIPO]]=REGRAS!$W$2,REGRAS!$X$2,IF(Tabela1[[#This Row],[TIPO]]=REGRAS!$W$4,REGRAS!$X$4,""))</f>
        <v/>
      </c>
      <c r="AE149" s="29" t="e">
        <f>VLOOKUP(Tabela1[[#This Row],[FONTE_COD]],REGRAS!$O$2:$P$69,2,FALSE)</f>
        <v>#N/A</v>
      </c>
      <c r="AF1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0" spans="1:32" ht="18.75" customHeight="1">
      <c r="A150" s="2" t="str">
        <f>IFERROR(IF('PREENCHER AQUI'!A150="","",'PREENCHER AQUI'!A150),"")</f>
        <v/>
      </c>
      <c r="B150" s="1" t="str">
        <f>IFERROR(IF('PREENCHER AQUI'!B150="","",PROPER('PREENCHER AQUI'!B150)),"")</f>
        <v/>
      </c>
      <c r="C150" s="1" t="str">
        <f>IFERROR(IF('PREENCHER AQUI'!C150="","",'PREENCHER AQUI'!C150),"")</f>
        <v/>
      </c>
      <c r="D150" s="2" t="str">
        <f>IFERROR(IF('PREENCHER AQUI'!D150="","",'PREENCHER AQUI'!D150),"")</f>
        <v/>
      </c>
      <c r="E150" s="2" t="str">
        <f>IFERROR(VLOOKUP(CONCATENATE(C150,D150),qdd!$C$2:$F$1000,2,FALSE),"")</f>
        <v/>
      </c>
      <c r="F150" s="2" t="str">
        <f>IFERROR(VLOOKUP(CONCATENATE(C150,D150),qdd!$C$2:$F$1000,3,FALSE),"")</f>
        <v/>
      </c>
      <c r="G150" s="2" t="str">
        <f>IFERROR(VLOOKUP(CONCATENATE(C150,D150),qdd!$C$2:$F$1000,4,FALSE),"")</f>
        <v/>
      </c>
      <c r="H150" s="6" t="str">
        <f t="shared" si="6"/>
        <v/>
      </c>
      <c r="I1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0" s="2" t="str">
        <f>IFERROR(IF('PREENCHER AQUI'!E150="","",'PREENCHER AQUI'!E150),"")</f>
        <v/>
      </c>
      <c r="K150" s="2" t="str">
        <f>IFERROR(IF('PREENCHER AQUI'!F150="","",'PREENCHER AQUI'!F150),"")</f>
        <v/>
      </c>
      <c r="L150" s="2" t="str">
        <f>IF(Tabela1[[#This Row],[IPU_COD]]=9,"91",IF(Tabela1[[#This Row],[ACAO_COD]]="","",VLOOKUP(CONCATENATE("G",J150,"M",K150),qdd!$BC$2:$BD$46,2,FALSE)))</f>
        <v/>
      </c>
      <c r="M150" s="2" t="str">
        <f>TEXT(IFERROR(VLOOKUP(CONCATENATE(C150,D150),qdd!$C$2:$G$1000,5,FALSE),""),0)</f>
        <v/>
      </c>
      <c r="N150" s="2" t="str">
        <f>IFERROR(IF('PREENCHER AQUI'!I150="","",'PREENCHER AQUI'!I150),"")</f>
        <v/>
      </c>
      <c r="O150" s="2" t="str">
        <f>IFERROR(IF('PREENCHER AQUI'!J150="","",'PREENCHER AQUI'!J150),"")</f>
        <v/>
      </c>
      <c r="P150" s="7" t="str">
        <f t="shared" si="7"/>
        <v/>
      </c>
      <c r="Q150" s="8" t="str">
        <f>IFERROR(IF(Tabela4[[#This Row],[VALOR]]="","",IF(Tabela1[[#This Row],[ORIENTACAO]]="Anular",'PREENCHER AQUI'!K150*-1*100,'PREENCHER AQUI'!K150*100)),"")</f>
        <v/>
      </c>
      <c r="T150" s="7" t="str">
        <f>IFERROR(IF('PREENCHER AQUI'!L150="","999",LEFT('PREENCHER AQUI'!L150,1)),"")</f>
        <v>999</v>
      </c>
      <c r="V150" s="19"/>
      <c r="W150" s="20" t="str">
        <f>IFERROR(VLOOKUP(Tabela1[[#This Row],[UO_COD]],qdd!$AT$1:$AU$102,2,FALSE),"")</f>
        <v/>
      </c>
      <c r="X150" s="20" t="str">
        <f>CONCATENATE("F",Tabela1[[#This Row],[FONTE_COD]],Tabela1[[#This Row],[IPU_COD]],"G",Tabela1[[#This Row],[GRUPO_COD]],"T",Tabela1[[#This Row],[TIPO]])</f>
        <v>FGT999</v>
      </c>
      <c r="Y1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0" s="19"/>
      <c r="AA150" s="29" t="str">
        <f>IFERROR(VLOOKUP(CONCATENATE("B",Tabela1[[#This Row],[BLOCO]],Tabela1[[#This Row],[UO_COD]]),qdd!$AW$2:$AX$1000,2,FALSE),"")</f>
        <v/>
      </c>
      <c r="AB150" s="30" t="str">
        <f>IFERROR(Tabela1[[#This Row],[VALOR]]/100,"")</f>
        <v/>
      </c>
      <c r="AC150" s="7" t="str" cm="1">
        <f t="array" aca="1" ref="AC150" ca="1">IF(Tabela1[[#This Row],[VALOR]]&lt;0,"",IFERROR(SUBSTITUTE(Converter_numero(Tabela1[[#This Row],[VALOR INCISO]]),",",""),""))</f>
        <v/>
      </c>
      <c r="AD150" s="29" t="str">
        <f>IF(Tabela1[[#This Row],[TIPO]]=REGRAS!$W$2,REGRAS!$X$2,IF(Tabela1[[#This Row],[TIPO]]=REGRAS!$W$4,REGRAS!$X$4,""))</f>
        <v/>
      </c>
      <c r="AE150" s="29" t="e">
        <f>VLOOKUP(Tabela1[[#This Row],[FONTE_COD]],REGRAS!$O$2:$P$69,2,FALSE)</f>
        <v>#N/A</v>
      </c>
      <c r="AF1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1" spans="1:32" ht="18.75" customHeight="1">
      <c r="A151" s="2" t="str">
        <f>IFERROR(IF('PREENCHER AQUI'!A151="","",'PREENCHER AQUI'!A151),"")</f>
        <v/>
      </c>
      <c r="B151" s="1" t="str">
        <f>IFERROR(IF('PREENCHER AQUI'!B151="","",PROPER('PREENCHER AQUI'!B151)),"")</f>
        <v/>
      </c>
      <c r="C151" s="1" t="str">
        <f>IFERROR(IF('PREENCHER AQUI'!C151="","",'PREENCHER AQUI'!C151),"")</f>
        <v/>
      </c>
      <c r="D151" s="2" t="str">
        <f>IFERROR(IF('PREENCHER AQUI'!D151="","",'PREENCHER AQUI'!D151),"")</f>
        <v/>
      </c>
      <c r="E151" s="2" t="str">
        <f>IFERROR(VLOOKUP(CONCATENATE(C151,D151),qdd!$C$2:$F$1000,2,FALSE),"")</f>
        <v/>
      </c>
      <c r="F151" s="2" t="str">
        <f>IFERROR(VLOOKUP(CONCATENATE(C151,D151),qdd!$C$2:$F$1000,3,FALSE),"")</f>
        <v/>
      </c>
      <c r="G151" s="2" t="str">
        <f>IFERROR(VLOOKUP(CONCATENATE(C151,D151),qdd!$C$2:$F$1000,4,FALSE),"")</f>
        <v/>
      </c>
      <c r="H151" s="6" t="str">
        <f t="shared" si="6"/>
        <v/>
      </c>
      <c r="I1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1" s="2" t="str">
        <f>IFERROR(IF('PREENCHER AQUI'!E151="","",'PREENCHER AQUI'!E151),"")</f>
        <v/>
      </c>
      <c r="K151" s="2" t="str">
        <f>IFERROR(IF('PREENCHER AQUI'!F151="","",'PREENCHER AQUI'!F151),"")</f>
        <v/>
      </c>
      <c r="L151" s="2" t="str">
        <f>IF(Tabela1[[#This Row],[IPU_COD]]=9,"91",IF(Tabela1[[#This Row],[ACAO_COD]]="","",VLOOKUP(CONCATENATE("G",J151,"M",K151),qdd!$BC$2:$BD$46,2,FALSE)))</f>
        <v/>
      </c>
      <c r="M151" s="2" t="str">
        <f>TEXT(IFERROR(VLOOKUP(CONCATENATE(C151,D151),qdd!$C$2:$G$1000,5,FALSE),""),0)</f>
        <v/>
      </c>
      <c r="N151" s="2" t="str">
        <f>IFERROR(IF('PREENCHER AQUI'!I151="","",'PREENCHER AQUI'!I151),"")</f>
        <v/>
      </c>
      <c r="O151" s="2" t="str">
        <f>IFERROR(IF('PREENCHER AQUI'!J151="","",'PREENCHER AQUI'!J151),"")</f>
        <v/>
      </c>
      <c r="P151" s="7" t="str">
        <f t="shared" si="7"/>
        <v/>
      </c>
      <c r="Q151" s="8" t="str">
        <f>IFERROR(IF(Tabela4[[#This Row],[VALOR]]="","",IF(Tabela1[[#This Row],[ORIENTACAO]]="Anular",'PREENCHER AQUI'!K151*-1*100,'PREENCHER AQUI'!K151*100)),"")</f>
        <v/>
      </c>
      <c r="T151" s="7" t="str">
        <f>IFERROR(IF('PREENCHER AQUI'!L151="","999",LEFT('PREENCHER AQUI'!L151,1)),"")</f>
        <v>999</v>
      </c>
      <c r="V151" s="19"/>
      <c r="W151" s="1" t="str">
        <f>IFERROR(VLOOKUP(Tabela1[[#This Row],[UO_COD]],qdd!$AT$1:$AU$102,2,FALSE),"")</f>
        <v/>
      </c>
      <c r="X151" s="1" t="str">
        <f>CONCATENATE("F",Tabela1[[#This Row],[FONTE_COD]],Tabela1[[#This Row],[IPU_COD]],"G",Tabela1[[#This Row],[GRUPO_COD]],"T",Tabela1[[#This Row],[TIPO]])</f>
        <v>FGT999</v>
      </c>
      <c r="Y1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1" s="19"/>
      <c r="AA151" s="29" t="str">
        <f>IFERROR(VLOOKUP(CONCATENATE("B",Tabela1[[#This Row],[BLOCO]],Tabela1[[#This Row],[UO_COD]]),qdd!$AW$2:$AX$1000,2,FALSE),"")</f>
        <v/>
      </c>
      <c r="AB151" s="30" t="str">
        <f>IFERROR(Tabela1[[#This Row],[VALOR]]/100,"")</f>
        <v/>
      </c>
      <c r="AC151" s="7" t="str" cm="1">
        <f t="array" aca="1" ref="AC151" ca="1">IF(Tabela1[[#This Row],[VALOR]]&lt;0,"",IFERROR(SUBSTITUTE(Converter_numero(Tabela1[[#This Row],[VALOR INCISO]]),",",""),""))</f>
        <v/>
      </c>
      <c r="AD151" s="29" t="str">
        <f>IF(Tabela1[[#This Row],[TIPO]]=REGRAS!$W$2,REGRAS!$X$2,IF(Tabela1[[#This Row],[TIPO]]=REGRAS!$W$4,REGRAS!$X$4,""))</f>
        <v/>
      </c>
      <c r="AE151" s="29" t="e">
        <f>VLOOKUP(Tabela1[[#This Row],[FONTE_COD]],REGRAS!$O$2:$P$69,2,FALSE)</f>
        <v>#N/A</v>
      </c>
      <c r="AF1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2" spans="1:32" ht="18.75" customHeight="1">
      <c r="A152" s="2" t="str">
        <f>IFERROR(IF('PREENCHER AQUI'!A152="","",'PREENCHER AQUI'!A152),"")</f>
        <v/>
      </c>
      <c r="B152" s="1" t="str">
        <f>IFERROR(IF('PREENCHER AQUI'!B152="","",PROPER('PREENCHER AQUI'!B152)),"")</f>
        <v/>
      </c>
      <c r="C152" s="1" t="str">
        <f>IFERROR(IF('PREENCHER AQUI'!C152="","",'PREENCHER AQUI'!C152),"")</f>
        <v/>
      </c>
      <c r="D152" s="2" t="str">
        <f>IFERROR(IF('PREENCHER AQUI'!D152="","",'PREENCHER AQUI'!D152),"")</f>
        <v/>
      </c>
      <c r="E152" s="2" t="str">
        <f>IFERROR(VLOOKUP(CONCATENATE(C152,D152),qdd!$C$2:$F$1000,2,FALSE),"")</f>
        <v/>
      </c>
      <c r="F152" s="2" t="str">
        <f>IFERROR(VLOOKUP(CONCATENATE(C152,D152),qdd!$C$2:$F$1000,3,FALSE),"")</f>
        <v/>
      </c>
      <c r="G152" s="2" t="str">
        <f>IFERROR(VLOOKUP(CONCATENATE(C152,D152),qdd!$C$2:$F$1000,4,FALSE),"")</f>
        <v/>
      </c>
      <c r="H152" s="6" t="str">
        <f t="shared" si="6"/>
        <v/>
      </c>
      <c r="I1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2" s="2" t="str">
        <f>IFERROR(IF('PREENCHER AQUI'!E152="","",'PREENCHER AQUI'!E152),"")</f>
        <v/>
      </c>
      <c r="K152" s="2" t="str">
        <f>IFERROR(IF('PREENCHER AQUI'!F152="","",'PREENCHER AQUI'!F152),"")</f>
        <v/>
      </c>
      <c r="L152" s="2" t="str">
        <f>IF(Tabela1[[#This Row],[IPU_COD]]=9,"91",IF(Tabela1[[#This Row],[ACAO_COD]]="","",VLOOKUP(CONCATENATE("G",J152,"M",K152),qdd!$BC$2:$BD$46,2,FALSE)))</f>
        <v/>
      </c>
      <c r="M152" s="2" t="str">
        <f>TEXT(IFERROR(VLOOKUP(CONCATENATE(C152,D152),qdd!$C$2:$G$1000,5,FALSE),""),0)</f>
        <v/>
      </c>
      <c r="N152" s="2" t="str">
        <f>IFERROR(IF('PREENCHER AQUI'!I152="","",'PREENCHER AQUI'!I152),"")</f>
        <v/>
      </c>
      <c r="O152" s="2" t="str">
        <f>IFERROR(IF('PREENCHER AQUI'!J152="","",'PREENCHER AQUI'!J152),"")</f>
        <v/>
      </c>
      <c r="P152" s="7" t="str">
        <f t="shared" si="7"/>
        <v/>
      </c>
      <c r="Q152" s="8" t="str">
        <f>IFERROR(IF(Tabela4[[#This Row],[VALOR]]="","",IF(Tabela1[[#This Row],[ORIENTACAO]]="Anular",'PREENCHER AQUI'!K152*-1*100,'PREENCHER AQUI'!K152*100)),"")</f>
        <v/>
      </c>
      <c r="T152" s="7" t="str">
        <f>IFERROR(IF('PREENCHER AQUI'!L152="","999",LEFT('PREENCHER AQUI'!L152,1)),"")</f>
        <v>999</v>
      </c>
      <c r="W152" s="1" t="str">
        <f>IFERROR(VLOOKUP(Tabela1[[#This Row],[UO_COD]],qdd!$AT$1:$AU$102,2,FALSE),"")</f>
        <v/>
      </c>
      <c r="X152" s="1" t="str">
        <f>CONCATENATE("F",Tabela1[[#This Row],[FONTE_COD]],Tabela1[[#This Row],[IPU_COD]],"G",Tabela1[[#This Row],[GRUPO_COD]],"T",Tabela1[[#This Row],[TIPO]])</f>
        <v>FGT999</v>
      </c>
      <c r="Y1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2" s="19"/>
      <c r="AA152" s="29" t="str">
        <f>IFERROR(VLOOKUP(CONCATENATE("B",Tabela1[[#This Row],[BLOCO]],Tabela1[[#This Row],[UO_COD]]),qdd!$AW$2:$AX$1000,2,FALSE),"")</f>
        <v/>
      </c>
      <c r="AB152" s="30" t="str">
        <f>IFERROR(Tabela1[[#This Row],[VALOR]]/100,"")</f>
        <v/>
      </c>
      <c r="AC152" s="7" t="str" cm="1">
        <f t="array" aca="1" ref="AC152" ca="1">IF(Tabela1[[#This Row],[VALOR]]&lt;0,"",IFERROR(SUBSTITUTE(Converter_numero(Tabela1[[#This Row],[VALOR INCISO]]),",",""),""))</f>
        <v/>
      </c>
      <c r="AD152" s="7" t="str">
        <f>IF(Tabela1[[#This Row],[TIPO]]=REGRAS!$W$2,REGRAS!$X$2,IF(Tabela1[[#This Row],[TIPO]]=REGRAS!$W$4,REGRAS!$X$4,""))</f>
        <v/>
      </c>
      <c r="AE152" s="29" t="e">
        <f>VLOOKUP(Tabela1[[#This Row],[FONTE_COD]],REGRAS!$O$2:$P$69,2,FALSE)</f>
        <v>#N/A</v>
      </c>
      <c r="AF1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3" spans="1:32" ht="18.75" customHeight="1">
      <c r="A153" s="2" t="str">
        <f>IFERROR(IF('PREENCHER AQUI'!A153="","",'PREENCHER AQUI'!A153),"")</f>
        <v/>
      </c>
      <c r="B153" s="1" t="str">
        <f>IFERROR(IF('PREENCHER AQUI'!B153="","",PROPER('PREENCHER AQUI'!B153)),"")</f>
        <v/>
      </c>
      <c r="C153" s="1" t="str">
        <f>IFERROR(IF('PREENCHER AQUI'!C153="","",'PREENCHER AQUI'!C153),"")</f>
        <v/>
      </c>
      <c r="D153" s="2" t="str">
        <f>IFERROR(IF('PREENCHER AQUI'!D153="","",'PREENCHER AQUI'!D153),"")</f>
        <v/>
      </c>
      <c r="E153" s="2" t="str">
        <f>IFERROR(VLOOKUP(CONCATENATE(C153,D153),qdd!$C$2:$F$1000,2,FALSE),"")</f>
        <v/>
      </c>
      <c r="F153" s="2" t="str">
        <f>IFERROR(VLOOKUP(CONCATENATE(C153,D153),qdd!$C$2:$F$1000,3,FALSE),"")</f>
        <v/>
      </c>
      <c r="G153" s="2" t="str">
        <f>IFERROR(VLOOKUP(CONCATENATE(C153,D153),qdd!$C$2:$F$1000,4,FALSE),"")</f>
        <v/>
      </c>
      <c r="H153" s="6" t="str">
        <f t="shared" si="6"/>
        <v/>
      </c>
      <c r="I1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3" s="2" t="str">
        <f>IFERROR(IF('PREENCHER AQUI'!E153="","",'PREENCHER AQUI'!E153),"")</f>
        <v/>
      </c>
      <c r="K153" s="2" t="str">
        <f>IFERROR(IF('PREENCHER AQUI'!F153="","",'PREENCHER AQUI'!F153),"")</f>
        <v/>
      </c>
      <c r="L153" s="2" t="str">
        <f>IF(Tabela1[[#This Row],[IPU_COD]]=9,"91",IF(Tabela1[[#This Row],[ACAO_COD]]="","",VLOOKUP(CONCATENATE("G",J153,"M",K153),qdd!$BC$2:$BD$46,2,FALSE)))</f>
        <v/>
      </c>
      <c r="M153" s="2" t="str">
        <f>TEXT(IFERROR(VLOOKUP(CONCATENATE(C153,D153),qdd!$C$2:$G$1000,5,FALSE),""),0)</f>
        <v/>
      </c>
      <c r="N153" s="2" t="str">
        <f>IFERROR(IF('PREENCHER AQUI'!I153="","",'PREENCHER AQUI'!I153),"")</f>
        <v/>
      </c>
      <c r="O153" s="2" t="str">
        <f>IFERROR(IF('PREENCHER AQUI'!J153="","",'PREENCHER AQUI'!J153),"")</f>
        <v/>
      </c>
      <c r="P153" s="7" t="str">
        <f t="shared" si="7"/>
        <v/>
      </c>
      <c r="Q153" s="8" t="str">
        <f>IFERROR(IF(Tabela4[[#This Row],[VALOR]]="","",IF(Tabela1[[#This Row],[ORIENTACAO]]="Anular",'PREENCHER AQUI'!K153*-1*100,'PREENCHER AQUI'!K153*100)),"")</f>
        <v/>
      </c>
      <c r="T153" s="7" t="str">
        <f>IFERROR(IF('PREENCHER AQUI'!L153="","999",LEFT('PREENCHER AQUI'!L153,1)),"")</f>
        <v>999</v>
      </c>
      <c r="V153" s="19"/>
      <c r="W153" s="1" t="str">
        <f>IFERROR(VLOOKUP(Tabela1[[#This Row],[UO_COD]],qdd!$AT$1:$AU$102,2,FALSE),"")</f>
        <v/>
      </c>
      <c r="X153" s="1" t="str">
        <f>CONCATENATE("F",Tabela1[[#This Row],[FONTE_COD]],Tabela1[[#This Row],[IPU_COD]],"G",Tabela1[[#This Row],[GRUPO_COD]],"T",Tabela1[[#This Row],[TIPO]])</f>
        <v>FGT999</v>
      </c>
      <c r="Y1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3" s="19"/>
      <c r="AA153" s="29" t="str">
        <f>IFERROR(VLOOKUP(CONCATENATE("B",Tabela1[[#This Row],[BLOCO]],Tabela1[[#This Row],[UO_COD]]),qdd!$AW$2:$AX$1000,2,FALSE),"")</f>
        <v/>
      </c>
      <c r="AB153" s="30" t="str">
        <f>IFERROR(Tabela1[[#This Row],[VALOR]]/100,"")</f>
        <v/>
      </c>
      <c r="AC153" s="7" t="str" cm="1">
        <f t="array" aca="1" ref="AC153" ca="1">IF(Tabela1[[#This Row],[VALOR]]&lt;0,"",IFERROR(SUBSTITUTE(Converter_numero(Tabela1[[#This Row],[VALOR INCISO]]),",",""),""))</f>
        <v/>
      </c>
      <c r="AD153" s="29" t="str">
        <f>IF(Tabela1[[#This Row],[TIPO]]=REGRAS!$W$2,REGRAS!$X$2,IF(Tabela1[[#This Row],[TIPO]]=REGRAS!$W$4,REGRAS!$X$4,""))</f>
        <v/>
      </c>
      <c r="AE153" s="29" t="e">
        <f>VLOOKUP(Tabela1[[#This Row],[FONTE_COD]],REGRAS!$O$2:$P$69,2,FALSE)</f>
        <v>#N/A</v>
      </c>
      <c r="AF1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4" spans="1:32" ht="18.75" customHeight="1">
      <c r="A154" s="2" t="str">
        <f>IFERROR(IF('PREENCHER AQUI'!A154="","",'PREENCHER AQUI'!A154),"")</f>
        <v/>
      </c>
      <c r="B154" s="1" t="str">
        <f>IFERROR(IF('PREENCHER AQUI'!B154="","",PROPER('PREENCHER AQUI'!B154)),"")</f>
        <v/>
      </c>
      <c r="C154" s="1" t="str">
        <f>IFERROR(IF('PREENCHER AQUI'!C154="","",'PREENCHER AQUI'!C154),"")</f>
        <v/>
      </c>
      <c r="D154" s="2" t="str">
        <f>IFERROR(IF('PREENCHER AQUI'!D154="","",'PREENCHER AQUI'!D154),"")</f>
        <v/>
      </c>
      <c r="E154" s="2" t="str">
        <f>IFERROR(VLOOKUP(CONCATENATE(C154,D154),qdd!$C$2:$F$1000,2,FALSE),"")</f>
        <v/>
      </c>
      <c r="F154" s="2" t="str">
        <f>IFERROR(VLOOKUP(CONCATENATE(C154,D154),qdd!$C$2:$F$1000,3,FALSE),"")</f>
        <v/>
      </c>
      <c r="G154" s="2" t="str">
        <f>IFERROR(VLOOKUP(CONCATENATE(C154,D154),qdd!$C$2:$F$1000,4,FALSE),"")</f>
        <v/>
      </c>
      <c r="H154" s="6" t="str">
        <f t="shared" si="6"/>
        <v/>
      </c>
      <c r="I1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4" s="2" t="str">
        <f>IFERROR(IF('PREENCHER AQUI'!E154="","",'PREENCHER AQUI'!E154),"")</f>
        <v/>
      </c>
      <c r="K154" s="2" t="str">
        <f>IFERROR(IF('PREENCHER AQUI'!F154="","",'PREENCHER AQUI'!F154),"")</f>
        <v/>
      </c>
      <c r="L154" s="2" t="str">
        <f>IF(Tabela1[[#This Row],[IPU_COD]]=9,"91",IF(Tabela1[[#This Row],[ACAO_COD]]="","",VLOOKUP(CONCATENATE("G",J154,"M",K154),qdd!$BC$2:$BD$46,2,FALSE)))</f>
        <v/>
      </c>
      <c r="M154" s="2" t="str">
        <f>TEXT(IFERROR(VLOOKUP(CONCATENATE(C154,D154),qdd!$C$2:$G$1000,5,FALSE),""),0)</f>
        <v/>
      </c>
      <c r="N154" s="2" t="str">
        <f>IFERROR(IF('PREENCHER AQUI'!I154="","",'PREENCHER AQUI'!I154),"")</f>
        <v/>
      </c>
      <c r="O154" s="2" t="str">
        <f>IFERROR(IF('PREENCHER AQUI'!J154="","",'PREENCHER AQUI'!J154),"")</f>
        <v/>
      </c>
      <c r="P154" s="7" t="str">
        <f t="shared" si="7"/>
        <v/>
      </c>
      <c r="Q154" s="8" t="str">
        <f>IFERROR(IF(Tabela4[[#This Row],[VALOR]]="","",IF(Tabela1[[#This Row],[ORIENTACAO]]="Anular",'PREENCHER AQUI'!K154*-1*100,'PREENCHER AQUI'!K154*100)),"")</f>
        <v/>
      </c>
      <c r="T154" s="7" t="str">
        <f>IFERROR(IF('PREENCHER AQUI'!L154="","999",LEFT('PREENCHER AQUI'!L154,1)),"")</f>
        <v>999</v>
      </c>
      <c r="V154" s="19"/>
      <c r="W154" s="1" t="str">
        <f>IFERROR(VLOOKUP(Tabela1[[#This Row],[UO_COD]],qdd!$AT$1:$AU$102,2,FALSE),"")</f>
        <v/>
      </c>
      <c r="X154" s="1" t="str">
        <f>CONCATENATE("F",Tabela1[[#This Row],[FONTE_COD]],Tabela1[[#This Row],[IPU_COD]],"G",Tabela1[[#This Row],[GRUPO_COD]],"T",Tabela1[[#This Row],[TIPO]])</f>
        <v>FGT999</v>
      </c>
      <c r="Y1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4" s="19"/>
      <c r="AA154" s="29" t="str">
        <f>IFERROR(VLOOKUP(CONCATENATE("B",Tabela1[[#This Row],[BLOCO]],Tabela1[[#This Row],[UO_COD]]),qdd!$AW$2:$AX$1000,2,FALSE),"")</f>
        <v/>
      </c>
      <c r="AB154" s="30" t="str">
        <f>IFERROR(Tabela1[[#This Row],[VALOR]]/100,"")</f>
        <v/>
      </c>
      <c r="AC154" s="7" t="str" cm="1">
        <f t="array" aca="1" ref="AC154" ca="1">IF(Tabela1[[#This Row],[VALOR]]&lt;0,"",IFERROR(SUBSTITUTE(Converter_numero(Tabela1[[#This Row],[VALOR INCISO]]),",",""),""))</f>
        <v/>
      </c>
      <c r="AD154" s="29" t="str">
        <f>IF(Tabela1[[#This Row],[TIPO]]=REGRAS!$W$2,REGRAS!$X$2,IF(Tabela1[[#This Row],[TIPO]]=REGRAS!$W$4,REGRAS!$X$4,""))</f>
        <v/>
      </c>
      <c r="AE154" s="29" t="e">
        <f>VLOOKUP(Tabela1[[#This Row],[FONTE_COD]],REGRAS!$O$2:$P$69,2,FALSE)</f>
        <v>#N/A</v>
      </c>
      <c r="AF1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5" spans="1:32" ht="18.75" customHeight="1">
      <c r="A155" s="2" t="str">
        <f>IFERROR(IF('PREENCHER AQUI'!A155="","",'PREENCHER AQUI'!A155),"")</f>
        <v/>
      </c>
      <c r="B155" s="1" t="str">
        <f>IFERROR(IF('PREENCHER AQUI'!B155="","",PROPER('PREENCHER AQUI'!B155)),"")</f>
        <v/>
      </c>
      <c r="C155" s="1" t="str">
        <f>IFERROR(IF('PREENCHER AQUI'!C155="","",'PREENCHER AQUI'!C155),"")</f>
        <v/>
      </c>
      <c r="D155" s="2" t="str">
        <f>IFERROR(IF('PREENCHER AQUI'!D155="","",'PREENCHER AQUI'!D155),"")</f>
        <v/>
      </c>
      <c r="E155" s="2" t="str">
        <f>IFERROR(VLOOKUP(CONCATENATE(C155,D155),qdd!$C$2:$F$1000,2,FALSE),"")</f>
        <v/>
      </c>
      <c r="F155" s="2" t="str">
        <f>IFERROR(VLOOKUP(CONCATENATE(C155,D155),qdd!$C$2:$F$1000,3,FALSE),"")</f>
        <v/>
      </c>
      <c r="G155" s="2" t="str">
        <f>IFERROR(VLOOKUP(CONCATENATE(C155,D155),qdd!$C$2:$F$1000,4,FALSE),"")</f>
        <v/>
      </c>
      <c r="H155" s="6" t="str">
        <f t="shared" si="6"/>
        <v/>
      </c>
      <c r="I1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5" s="2" t="str">
        <f>IFERROR(IF('PREENCHER AQUI'!E155="","",'PREENCHER AQUI'!E155),"")</f>
        <v/>
      </c>
      <c r="K155" s="2" t="str">
        <f>IFERROR(IF('PREENCHER AQUI'!F155="","",'PREENCHER AQUI'!F155),"")</f>
        <v/>
      </c>
      <c r="L155" s="2" t="str">
        <f>IF(Tabela1[[#This Row],[IPU_COD]]=9,"91",IF(Tabela1[[#This Row],[ACAO_COD]]="","",VLOOKUP(CONCATENATE("G",J155,"M",K155),qdd!$BC$2:$BD$46,2,FALSE)))</f>
        <v/>
      </c>
      <c r="M155" s="2" t="str">
        <f>TEXT(IFERROR(VLOOKUP(CONCATENATE(C155,D155),qdd!$C$2:$G$1000,5,FALSE),""),0)</f>
        <v/>
      </c>
      <c r="N155" s="2" t="str">
        <f>IFERROR(IF('PREENCHER AQUI'!I155="","",'PREENCHER AQUI'!I155),"")</f>
        <v/>
      </c>
      <c r="O155" s="2" t="str">
        <f>IFERROR(IF('PREENCHER AQUI'!J155="","",'PREENCHER AQUI'!J155),"")</f>
        <v/>
      </c>
      <c r="P155" s="7" t="str">
        <f t="shared" si="7"/>
        <v/>
      </c>
      <c r="Q155" s="8" t="str">
        <f>IFERROR(IF(Tabela4[[#This Row],[VALOR]]="","",IF(Tabela1[[#This Row],[ORIENTACAO]]="Anular",'PREENCHER AQUI'!K155*-1*100,'PREENCHER AQUI'!K155*100)),"")</f>
        <v/>
      </c>
      <c r="T155" s="7" t="str">
        <f>IFERROR(IF('PREENCHER AQUI'!L155="","999",LEFT('PREENCHER AQUI'!L155,1)),"")</f>
        <v>999</v>
      </c>
      <c r="V155" s="19"/>
      <c r="W155" s="20" t="str">
        <f>IFERROR(VLOOKUP(Tabela1[[#This Row],[UO_COD]],qdd!$AT$1:$AU$102,2,FALSE),"")</f>
        <v/>
      </c>
      <c r="X155" s="20" t="str">
        <f>CONCATENATE("F",Tabela1[[#This Row],[FONTE_COD]],Tabela1[[#This Row],[IPU_COD]],"G",Tabela1[[#This Row],[GRUPO_COD]],"T",Tabela1[[#This Row],[TIPO]])</f>
        <v>FGT999</v>
      </c>
      <c r="Y1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5" s="19"/>
      <c r="AA155" s="29" t="str">
        <f>IFERROR(VLOOKUP(CONCATENATE("B",Tabela1[[#This Row],[BLOCO]],Tabela1[[#This Row],[UO_COD]]),qdd!$AW$2:$AX$1000,2,FALSE),"")</f>
        <v/>
      </c>
      <c r="AB155" s="30" t="str">
        <f>IFERROR(Tabela1[[#This Row],[VALOR]]/100,"")</f>
        <v/>
      </c>
      <c r="AC155" s="7" t="str" cm="1">
        <f t="array" aca="1" ref="AC155" ca="1">IF(Tabela1[[#This Row],[VALOR]]&lt;0,"",IFERROR(SUBSTITUTE(Converter_numero(Tabela1[[#This Row],[VALOR INCISO]]),",",""),""))</f>
        <v/>
      </c>
      <c r="AD155" s="29" t="str">
        <f>IF(Tabela1[[#This Row],[TIPO]]=REGRAS!$W$2,REGRAS!$X$2,IF(Tabela1[[#This Row],[TIPO]]=REGRAS!$W$4,REGRAS!$X$4,""))</f>
        <v/>
      </c>
      <c r="AE155" s="29" t="e">
        <f>VLOOKUP(Tabela1[[#This Row],[FONTE_COD]],REGRAS!$O$2:$P$69,2,FALSE)</f>
        <v>#N/A</v>
      </c>
      <c r="AF1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6" spans="1:32" ht="18.75" customHeight="1">
      <c r="A156" s="2" t="str">
        <f>IFERROR(IF('PREENCHER AQUI'!A156="","",'PREENCHER AQUI'!A156),"")</f>
        <v/>
      </c>
      <c r="B156" s="1" t="str">
        <f>IFERROR(IF('PREENCHER AQUI'!B156="","",PROPER('PREENCHER AQUI'!B156)),"")</f>
        <v/>
      </c>
      <c r="C156" s="1" t="str">
        <f>IFERROR(IF('PREENCHER AQUI'!C156="","",'PREENCHER AQUI'!C156),"")</f>
        <v/>
      </c>
      <c r="D156" s="2" t="str">
        <f>IFERROR(IF('PREENCHER AQUI'!D156="","",'PREENCHER AQUI'!D156),"")</f>
        <v/>
      </c>
      <c r="E156" s="2" t="str">
        <f>IFERROR(VLOOKUP(CONCATENATE(C156,D156),qdd!$C$2:$F$1000,2,FALSE),"")</f>
        <v/>
      </c>
      <c r="F156" s="2" t="str">
        <f>IFERROR(VLOOKUP(CONCATENATE(C156,D156),qdd!$C$2:$F$1000,3,FALSE),"")</f>
        <v/>
      </c>
      <c r="G156" s="2" t="str">
        <f>IFERROR(VLOOKUP(CONCATENATE(C156,D156),qdd!$C$2:$F$1000,4,FALSE),"")</f>
        <v/>
      </c>
      <c r="H156" s="6" t="str">
        <f t="shared" si="6"/>
        <v/>
      </c>
      <c r="I1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6" s="2" t="str">
        <f>IFERROR(IF('PREENCHER AQUI'!E156="","",'PREENCHER AQUI'!E156),"")</f>
        <v/>
      </c>
      <c r="K156" s="2" t="str">
        <f>IFERROR(IF('PREENCHER AQUI'!F156="","",'PREENCHER AQUI'!F156),"")</f>
        <v/>
      </c>
      <c r="L156" s="2" t="str">
        <f>IF(Tabela1[[#This Row],[IPU_COD]]=9,"91",IF(Tabela1[[#This Row],[ACAO_COD]]="","",VLOOKUP(CONCATENATE("G",J156,"M",K156),qdd!$BC$2:$BD$46,2,FALSE)))</f>
        <v/>
      </c>
      <c r="M156" s="2" t="str">
        <f>TEXT(IFERROR(VLOOKUP(CONCATENATE(C156,D156),qdd!$C$2:$G$1000,5,FALSE),""),0)</f>
        <v/>
      </c>
      <c r="N156" s="2" t="str">
        <f>IFERROR(IF('PREENCHER AQUI'!I156="","",'PREENCHER AQUI'!I156),"")</f>
        <v/>
      </c>
      <c r="O156" s="2" t="str">
        <f>IFERROR(IF('PREENCHER AQUI'!J156="","",'PREENCHER AQUI'!J156),"")</f>
        <v/>
      </c>
      <c r="P156" s="7" t="str">
        <f t="shared" si="7"/>
        <v/>
      </c>
      <c r="Q156" s="8" t="str">
        <f>IFERROR(IF(Tabela4[[#This Row],[VALOR]]="","",IF(Tabela1[[#This Row],[ORIENTACAO]]="Anular",'PREENCHER AQUI'!K156*-1*100,'PREENCHER AQUI'!K156*100)),"")</f>
        <v/>
      </c>
      <c r="T156" s="7" t="str">
        <f>IFERROR(IF('PREENCHER AQUI'!L156="","999",LEFT('PREENCHER AQUI'!L156,1)),"")</f>
        <v>999</v>
      </c>
      <c r="V156" s="19"/>
      <c r="W156" s="1" t="str">
        <f>IFERROR(VLOOKUP(Tabela1[[#This Row],[UO_COD]],qdd!$AT$1:$AU$102,2,FALSE),"")</f>
        <v/>
      </c>
      <c r="X156" s="1" t="str">
        <f>CONCATENATE("F",Tabela1[[#This Row],[FONTE_COD]],Tabela1[[#This Row],[IPU_COD]],"G",Tabela1[[#This Row],[GRUPO_COD]],"T",Tabela1[[#This Row],[TIPO]])</f>
        <v>FGT999</v>
      </c>
      <c r="Y1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6" s="19"/>
      <c r="AA156" s="29" t="str">
        <f>IFERROR(VLOOKUP(CONCATENATE("B",Tabela1[[#This Row],[BLOCO]],Tabela1[[#This Row],[UO_COD]]),qdd!$AW$2:$AX$1000,2,FALSE),"")</f>
        <v/>
      </c>
      <c r="AB156" s="30" t="str">
        <f>IFERROR(Tabela1[[#This Row],[VALOR]]/100,"")</f>
        <v/>
      </c>
      <c r="AC156" s="7" t="str" cm="1">
        <f t="array" aca="1" ref="AC156" ca="1">IF(Tabela1[[#This Row],[VALOR]]&lt;0,"",IFERROR(SUBSTITUTE(Converter_numero(Tabela1[[#This Row],[VALOR INCISO]]),",",""),""))</f>
        <v/>
      </c>
      <c r="AD156" s="29" t="str">
        <f>IF(Tabela1[[#This Row],[TIPO]]=REGRAS!$W$2,REGRAS!$X$2,IF(Tabela1[[#This Row],[TIPO]]=REGRAS!$W$4,REGRAS!$X$4,""))</f>
        <v/>
      </c>
      <c r="AE156" s="29" t="e">
        <f>VLOOKUP(Tabela1[[#This Row],[FONTE_COD]],REGRAS!$O$2:$P$69,2,FALSE)</f>
        <v>#N/A</v>
      </c>
      <c r="AF1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7" spans="1:32" ht="18.75" customHeight="1">
      <c r="A157" s="2" t="str">
        <f>IFERROR(IF('PREENCHER AQUI'!A157="","",'PREENCHER AQUI'!A157),"")</f>
        <v/>
      </c>
      <c r="B157" s="1" t="str">
        <f>IFERROR(IF('PREENCHER AQUI'!B157="","",PROPER('PREENCHER AQUI'!B157)),"")</f>
        <v/>
      </c>
      <c r="C157" s="1" t="str">
        <f>IFERROR(IF('PREENCHER AQUI'!C157="","",'PREENCHER AQUI'!C157),"")</f>
        <v/>
      </c>
      <c r="D157" s="2" t="str">
        <f>IFERROR(IF('PREENCHER AQUI'!D157="","",'PREENCHER AQUI'!D157),"")</f>
        <v/>
      </c>
      <c r="E157" s="2" t="str">
        <f>IFERROR(VLOOKUP(CONCATENATE(C157,D157),qdd!$C$2:$F$1000,2,FALSE),"")</f>
        <v/>
      </c>
      <c r="F157" s="2" t="str">
        <f>IFERROR(VLOOKUP(CONCATENATE(C157,D157),qdd!$C$2:$F$1000,3,FALSE),"")</f>
        <v/>
      </c>
      <c r="G157" s="2" t="str">
        <f>IFERROR(VLOOKUP(CONCATENATE(C157,D157),qdd!$C$2:$F$1000,4,FALSE),"")</f>
        <v/>
      </c>
      <c r="H157" s="6" t="str">
        <f t="shared" si="6"/>
        <v/>
      </c>
      <c r="I1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7" s="2" t="str">
        <f>IFERROR(IF('PREENCHER AQUI'!E157="","",'PREENCHER AQUI'!E157),"")</f>
        <v/>
      </c>
      <c r="K157" s="2" t="str">
        <f>IFERROR(IF('PREENCHER AQUI'!F157="","",'PREENCHER AQUI'!F157),"")</f>
        <v/>
      </c>
      <c r="L157" s="2" t="str">
        <f>IF(Tabela1[[#This Row],[IPU_COD]]=9,"91",IF(Tabela1[[#This Row],[ACAO_COD]]="","",VLOOKUP(CONCATENATE("G",J157,"M",K157),qdd!$BC$2:$BD$46,2,FALSE)))</f>
        <v/>
      </c>
      <c r="M157" s="2" t="str">
        <f>TEXT(IFERROR(VLOOKUP(CONCATENATE(C157,D157),qdd!$C$2:$G$1000,5,FALSE),""),0)</f>
        <v/>
      </c>
      <c r="N157" s="2" t="str">
        <f>IFERROR(IF('PREENCHER AQUI'!I157="","",'PREENCHER AQUI'!I157),"")</f>
        <v/>
      </c>
      <c r="O157" s="2" t="str">
        <f>IFERROR(IF('PREENCHER AQUI'!J157="","",'PREENCHER AQUI'!J157),"")</f>
        <v/>
      </c>
      <c r="P157" s="7" t="str">
        <f t="shared" si="7"/>
        <v/>
      </c>
      <c r="Q157" s="8" t="str">
        <f>IFERROR(IF(Tabela4[[#This Row],[VALOR]]="","",IF(Tabela1[[#This Row],[ORIENTACAO]]="Anular",'PREENCHER AQUI'!K157*-1*100,'PREENCHER AQUI'!K157*100)),"")</f>
        <v/>
      </c>
      <c r="T157" s="7" t="str">
        <f>IFERROR(IF('PREENCHER AQUI'!L157="","999",LEFT('PREENCHER AQUI'!L157,1)),"")</f>
        <v>999</v>
      </c>
      <c r="W157" s="1" t="str">
        <f>IFERROR(VLOOKUP(Tabela1[[#This Row],[UO_COD]],qdd!$AT$1:$AU$102,2,FALSE),"")</f>
        <v/>
      </c>
      <c r="X157" s="1" t="str">
        <f>CONCATENATE("F",Tabela1[[#This Row],[FONTE_COD]],Tabela1[[#This Row],[IPU_COD]],"G",Tabela1[[#This Row],[GRUPO_COD]],"T",Tabela1[[#This Row],[TIPO]])</f>
        <v>FGT999</v>
      </c>
      <c r="Y1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7" s="19"/>
      <c r="AA157" s="29" t="str">
        <f>IFERROR(VLOOKUP(CONCATENATE("B",Tabela1[[#This Row],[BLOCO]],Tabela1[[#This Row],[UO_COD]]),qdd!$AW$2:$AX$1000,2,FALSE),"")</f>
        <v/>
      </c>
      <c r="AB157" s="30" t="str">
        <f>IFERROR(Tabela1[[#This Row],[VALOR]]/100,"")</f>
        <v/>
      </c>
      <c r="AC157" s="7" t="str" cm="1">
        <f t="array" aca="1" ref="AC157" ca="1">IF(Tabela1[[#This Row],[VALOR]]&lt;0,"",IFERROR(SUBSTITUTE(Converter_numero(Tabela1[[#This Row],[VALOR INCISO]]),",",""),""))</f>
        <v/>
      </c>
      <c r="AD157" s="7" t="str">
        <f>IF(Tabela1[[#This Row],[TIPO]]=REGRAS!$W$2,REGRAS!$X$2,IF(Tabela1[[#This Row],[TIPO]]=REGRAS!$W$4,REGRAS!$X$4,""))</f>
        <v/>
      </c>
      <c r="AE157" s="29" t="e">
        <f>VLOOKUP(Tabela1[[#This Row],[FONTE_COD]],REGRAS!$O$2:$P$69,2,FALSE)</f>
        <v>#N/A</v>
      </c>
      <c r="AF1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8" spans="1:32" ht="18.75" customHeight="1">
      <c r="A158" s="2" t="str">
        <f>IFERROR(IF('PREENCHER AQUI'!A158="","",'PREENCHER AQUI'!A158),"")</f>
        <v/>
      </c>
      <c r="B158" s="1" t="str">
        <f>IFERROR(IF('PREENCHER AQUI'!B158="","",PROPER('PREENCHER AQUI'!B158)),"")</f>
        <v/>
      </c>
      <c r="C158" s="1" t="str">
        <f>IFERROR(IF('PREENCHER AQUI'!C158="","",'PREENCHER AQUI'!C158),"")</f>
        <v/>
      </c>
      <c r="D158" s="2" t="str">
        <f>IFERROR(IF('PREENCHER AQUI'!D158="","",'PREENCHER AQUI'!D158),"")</f>
        <v/>
      </c>
      <c r="E158" s="2" t="str">
        <f>IFERROR(VLOOKUP(CONCATENATE(C158,D158),qdd!$C$2:$F$1000,2,FALSE),"")</f>
        <v/>
      </c>
      <c r="F158" s="2" t="str">
        <f>IFERROR(VLOOKUP(CONCATENATE(C158,D158),qdd!$C$2:$F$1000,3,FALSE),"")</f>
        <v/>
      </c>
      <c r="G158" s="2" t="str">
        <f>IFERROR(VLOOKUP(CONCATENATE(C158,D158),qdd!$C$2:$F$1000,4,FALSE),"")</f>
        <v/>
      </c>
      <c r="H158" s="6" t="str">
        <f t="shared" si="6"/>
        <v/>
      </c>
      <c r="I1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8" s="2" t="str">
        <f>IFERROR(IF('PREENCHER AQUI'!E158="","",'PREENCHER AQUI'!E158),"")</f>
        <v/>
      </c>
      <c r="K158" s="2" t="str">
        <f>IFERROR(IF('PREENCHER AQUI'!F158="","",'PREENCHER AQUI'!F158),"")</f>
        <v/>
      </c>
      <c r="L158" s="2" t="str">
        <f>IF(Tabela1[[#This Row],[IPU_COD]]=9,"91",IF(Tabela1[[#This Row],[ACAO_COD]]="","",VLOOKUP(CONCATENATE("G",J158,"M",K158),qdd!$BC$2:$BD$46,2,FALSE)))</f>
        <v/>
      </c>
      <c r="M158" s="2" t="str">
        <f>TEXT(IFERROR(VLOOKUP(CONCATENATE(C158,D158),qdd!$C$2:$G$1000,5,FALSE),""),0)</f>
        <v/>
      </c>
      <c r="N158" s="2" t="str">
        <f>IFERROR(IF('PREENCHER AQUI'!I158="","",'PREENCHER AQUI'!I158),"")</f>
        <v/>
      </c>
      <c r="O158" s="2" t="str">
        <f>IFERROR(IF('PREENCHER AQUI'!J158="","",'PREENCHER AQUI'!J158),"")</f>
        <v/>
      </c>
      <c r="P158" s="7" t="str">
        <f t="shared" si="7"/>
        <v/>
      </c>
      <c r="Q158" s="8" t="str">
        <f>IFERROR(IF(Tabela4[[#This Row],[VALOR]]="","",IF(Tabela1[[#This Row],[ORIENTACAO]]="Anular",'PREENCHER AQUI'!K158*-1*100,'PREENCHER AQUI'!K158*100)),"")</f>
        <v/>
      </c>
      <c r="T158" s="7" t="str">
        <f>IFERROR(IF('PREENCHER AQUI'!L158="","999",LEFT('PREENCHER AQUI'!L158,1)),"")</f>
        <v>999</v>
      </c>
      <c r="V158" s="19"/>
      <c r="W158" s="1" t="str">
        <f>IFERROR(VLOOKUP(Tabela1[[#This Row],[UO_COD]],qdd!$AT$1:$AU$102,2,FALSE),"")</f>
        <v/>
      </c>
      <c r="X158" s="1" t="str">
        <f>CONCATENATE("F",Tabela1[[#This Row],[FONTE_COD]],Tabela1[[#This Row],[IPU_COD]],"G",Tabela1[[#This Row],[GRUPO_COD]],"T",Tabela1[[#This Row],[TIPO]])</f>
        <v>FGT999</v>
      </c>
      <c r="Y1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8" s="19"/>
      <c r="AA158" s="29" t="str">
        <f>IFERROR(VLOOKUP(CONCATENATE("B",Tabela1[[#This Row],[BLOCO]],Tabela1[[#This Row],[UO_COD]]),qdd!$AW$2:$AX$1000,2,FALSE),"")</f>
        <v/>
      </c>
      <c r="AB158" s="30" t="str">
        <f>IFERROR(Tabela1[[#This Row],[VALOR]]/100,"")</f>
        <v/>
      </c>
      <c r="AC158" s="7" t="str" cm="1">
        <f t="array" aca="1" ref="AC158" ca="1">IF(Tabela1[[#This Row],[VALOR]]&lt;0,"",IFERROR(SUBSTITUTE(Converter_numero(Tabela1[[#This Row],[VALOR INCISO]]),",",""),""))</f>
        <v/>
      </c>
      <c r="AD158" s="29" t="str">
        <f>IF(Tabela1[[#This Row],[TIPO]]=REGRAS!$W$2,REGRAS!$X$2,IF(Tabela1[[#This Row],[TIPO]]=REGRAS!$W$4,REGRAS!$X$4,""))</f>
        <v/>
      </c>
      <c r="AE158" s="29" t="e">
        <f>VLOOKUP(Tabela1[[#This Row],[FONTE_COD]],REGRAS!$O$2:$P$69,2,FALSE)</f>
        <v>#N/A</v>
      </c>
      <c r="AF1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9" spans="1:32" ht="18.75" customHeight="1">
      <c r="A159" s="2" t="str">
        <f>IFERROR(IF('PREENCHER AQUI'!A159="","",'PREENCHER AQUI'!A159),"")</f>
        <v/>
      </c>
      <c r="B159" s="1" t="str">
        <f>IFERROR(IF('PREENCHER AQUI'!B159="","",PROPER('PREENCHER AQUI'!B159)),"")</f>
        <v/>
      </c>
      <c r="C159" s="1" t="str">
        <f>IFERROR(IF('PREENCHER AQUI'!C159="","",'PREENCHER AQUI'!C159),"")</f>
        <v/>
      </c>
      <c r="D159" s="2" t="str">
        <f>IFERROR(IF('PREENCHER AQUI'!D159="","",'PREENCHER AQUI'!D159),"")</f>
        <v/>
      </c>
      <c r="E159" s="2" t="str">
        <f>IFERROR(VLOOKUP(CONCATENATE(C159,D159),qdd!$C$2:$F$1000,2,FALSE),"")</f>
        <v/>
      </c>
      <c r="F159" s="2" t="str">
        <f>IFERROR(VLOOKUP(CONCATENATE(C159,D159),qdd!$C$2:$F$1000,3,FALSE),"")</f>
        <v/>
      </c>
      <c r="G159" s="2" t="str">
        <f>IFERROR(VLOOKUP(CONCATENATE(C159,D159),qdd!$C$2:$F$1000,4,FALSE),"")</f>
        <v/>
      </c>
      <c r="H159" s="6" t="str">
        <f t="shared" si="6"/>
        <v/>
      </c>
      <c r="I1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9" s="2" t="str">
        <f>IFERROR(IF('PREENCHER AQUI'!E159="","",'PREENCHER AQUI'!E159),"")</f>
        <v/>
      </c>
      <c r="K159" s="2" t="str">
        <f>IFERROR(IF('PREENCHER AQUI'!F159="","",'PREENCHER AQUI'!F159),"")</f>
        <v/>
      </c>
      <c r="L159" s="2" t="str">
        <f>IF(Tabela1[[#This Row],[IPU_COD]]=9,"91",IF(Tabela1[[#This Row],[ACAO_COD]]="","",VLOOKUP(CONCATENATE("G",J159,"M",K159),qdd!$BC$2:$BD$46,2,FALSE)))</f>
        <v/>
      </c>
      <c r="M159" s="2" t="str">
        <f>TEXT(IFERROR(VLOOKUP(CONCATENATE(C159,D159),qdd!$C$2:$G$1000,5,FALSE),""),0)</f>
        <v/>
      </c>
      <c r="N159" s="2" t="str">
        <f>IFERROR(IF('PREENCHER AQUI'!I159="","",'PREENCHER AQUI'!I159),"")</f>
        <v/>
      </c>
      <c r="O159" s="2" t="str">
        <f>IFERROR(IF('PREENCHER AQUI'!J159="","",'PREENCHER AQUI'!J159),"")</f>
        <v/>
      </c>
      <c r="P159" s="7" t="str">
        <f t="shared" si="7"/>
        <v/>
      </c>
      <c r="Q159" s="8" t="str">
        <f>IFERROR(IF(Tabela4[[#This Row],[VALOR]]="","",IF(Tabela1[[#This Row],[ORIENTACAO]]="Anular",'PREENCHER AQUI'!K159*-1*100,'PREENCHER AQUI'!K159*100)),"")</f>
        <v/>
      </c>
      <c r="T159" s="7" t="str">
        <f>IFERROR(IF('PREENCHER AQUI'!L159="","999",LEFT('PREENCHER AQUI'!L159,1)),"")</f>
        <v>999</v>
      </c>
      <c r="V159" s="19"/>
      <c r="W159" s="1" t="str">
        <f>IFERROR(VLOOKUP(Tabela1[[#This Row],[UO_COD]],qdd!$AT$1:$AU$102,2,FALSE),"")</f>
        <v/>
      </c>
      <c r="X159" s="1" t="str">
        <f>CONCATENATE("F",Tabela1[[#This Row],[FONTE_COD]],Tabela1[[#This Row],[IPU_COD]],"G",Tabela1[[#This Row],[GRUPO_COD]],"T",Tabela1[[#This Row],[TIPO]])</f>
        <v>FGT999</v>
      </c>
      <c r="Y1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9" s="19"/>
      <c r="AA159" s="29" t="str">
        <f>IFERROR(VLOOKUP(CONCATENATE("B",Tabela1[[#This Row],[BLOCO]],Tabela1[[#This Row],[UO_COD]]),qdd!$AW$2:$AX$1000,2,FALSE),"")</f>
        <v/>
      </c>
      <c r="AB159" s="30" t="str">
        <f>IFERROR(Tabela1[[#This Row],[VALOR]]/100,"")</f>
        <v/>
      </c>
      <c r="AC159" s="7" t="str" cm="1">
        <f t="array" aca="1" ref="AC159" ca="1">IF(Tabela1[[#This Row],[VALOR]]&lt;0,"",IFERROR(SUBSTITUTE(Converter_numero(Tabela1[[#This Row],[VALOR INCISO]]),",",""),""))</f>
        <v/>
      </c>
      <c r="AD159" s="29" t="str">
        <f>IF(Tabela1[[#This Row],[TIPO]]=REGRAS!$W$2,REGRAS!$X$2,IF(Tabela1[[#This Row],[TIPO]]=REGRAS!$W$4,REGRAS!$X$4,""))</f>
        <v/>
      </c>
      <c r="AE159" s="29" t="e">
        <f>VLOOKUP(Tabela1[[#This Row],[FONTE_COD]],REGRAS!$O$2:$P$69,2,FALSE)</f>
        <v>#N/A</v>
      </c>
      <c r="AF1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0" spans="1:32" ht="18.75" customHeight="1">
      <c r="A160" s="2" t="str">
        <f>IFERROR(IF('PREENCHER AQUI'!A160="","",'PREENCHER AQUI'!A160),"")</f>
        <v/>
      </c>
      <c r="B160" s="1" t="str">
        <f>IFERROR(IF('PREENCHER AQUI'!B160="","",PROPER('PREENCHER AQUI'!B160)),"")</f>
        <v/>
      </c>
      <c r="C160" s="1" t="str">
        <f>IFERROR(IF('PREENCHER AQUI'!C160="","",'PREENCHER AQUI'!C160),"")</f>
        <v/>
      </c>
      <c r="D160" s="2" t="str">
        <f>IFERROR(IF('PREENCHER AQUI'!D160="","",'PREENCHER AQUI'!D160),"")</f>
        <v/>
      </c>
      <c r="E160" s="2" t="str">
        <f>IFERROR(VLOOKUP(CONCATENATE(C160,D160),qdd!$C$2:$F$1000,2,FALSE),"")</f>
        <v/>
      </c>
      <c r="F160" s="2" t="str">
        <f>IFERROR(VLOOKUP(CONCATENATE(C160,D160),qdd!$C$2:$F$1000,3,FALSE),"")</f>
        <v/>
      </c>
      <c r="G160" s="2" t="str">
        <f>IFERROR(VLOOKUP(CONCATENATE(C160,D160),qdd!$C$2:$F$1000,4,FALSE),"")</f>
        <v/>
      </c>
      <c r="H160" s="6" t="str">
        <f t="shared" si="6"/>
        <v/>
      </c>
      <c r="I1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0" s="2" t="str">
        <f>IFERROR(IF('PREENCHER AQUI'!E160="","",'PREENCHER AQUI'!E160),"")</f>
        <v/>
      </c>
      <c r="K160" s="2" t="str">
        <f>IFERROR(IF('PREENCHER AQUI'!F160="","",'PREENCHER AQUI'!F160),"")</f>
        <v/>
      </c>
      <c r="L160" s="2" t="str">
        <f>IF(Tabela1[[#This Row],[IPU_COD]]=9,"91",IF(Tabela1[[#This Row],[ACAO_COD]]="","",VLOOKUP(CONCATENATE("G",J160,"M",K160),qdd!$BC$2:$BD$46,2,FALSE)))</f>
        <v/>
      </c>
      <c r="M160" s="2" t="str">
        <f>TEXT(IFERROR(VLOOKUP(CONCATENATE(C160,D160),qdd!$C$2:$G$1000,5,FALSE),""),0)</f>
        <v/>
      </c>
      <c r="N160" s="2" t="str">
        <f>IFERROR(IF('PREENCHER AQUI'!I160="","",'PREENCHER AQUI'!I160),"")</f>
        <v/>
      </c>
      <c r="O160" s="2" t="str">
        <f>IFERROR(IF('PREENCHER AQUI'!J160="","",'PREENCHER AQUI'!J160),"")</f>
        <v/>
      </c>
      <c r="P160" s="7" t="str">
        <f t="shared" si="7"/>
        <v/>
      </c>
      <c r="Q160" s="8" t="str">
        <f>IFERROR(IF(Tabela4[[#This Row],[VALOR]]="","",IF(Tabela1[[#This Row],[ORIENTACAO]]="Anular",'PREENCHER AQUI'!K160*-1*100,'PREENCHER AQUI'!K160*100)),"")</f>
        <v/>
      </c>
      <c r="T160" s="7" t="str">
        <f>IFERROR(IF('PREENCHER AQUI'!L160="","999",LEFT('PREENCHER AQUI'!L160,1)),"")</f>
        <v>999</v>
      </c>
      <c r="V160" s="19"/>
      <c r="W160" s="20" t="str">
        <f>IFERROR(VLOOKUP(Tabela1[[#This Row],[UO_COD]],qdd!$AT$1:$AU$102,2,FALSE),"")</f>
        <v/>
      </c>
      <c r="X160" s="20" t="str">
        <f>CONCATENATE("F",Tabela1[[#This Row],[FONTE_COD]],Tabela1[[#This Row],[IPU_COD]],"G",Tabela1[[#This Row],[GRUPO_COD]],"T",Tabela1[[#This Row],[TIPO]])</f>
        <v>FGT999</v>
      </c>
      <c r="Y1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0" s="19"/>
      <c r="AA160" s="29" t="str">
        <f>IFERROR(VLOOKUP(CONCATENATE("B",Tabela1[[#This Row],[BLOCO]],Tabela1[[#This Row],[UO_COD]]),qdd!$AW$2:$AX$1000,2,FALSE),"")</f>
        <v/>
      </c>
      <c r="AB160" s="30" t="str">
        <f>IFERROR(Tabela1[[#This Row],[VALOR]]/100,"")</f>
        <v/>
      </c>
      <c r="AC160" s="7" t="str" cm="1">
        <f t="array" aca="1" ref="AC160" ca="1">IF(Tabela1[[#This Row],[VALOR]]&lt;0,"",IFERROR(SUBSTITUTE(Converter_numero(Tabela1[[#This Row],[VALOR INCISO]]),",",""),""))</f>
        <v/>
      </c>
      <c r="AD160" s="29" t="str">
        <f>IF(Tabela1[[#This Row],[TIPO]]=REGRAS!$W$2,REGRAS!$X$2,IF(Tabela1[[#This Row],[TIPO]]=REGRAS!$W$4,REGRAS!$X$4,""))</f>
        <v/>
      </c>
      <c r="AE160" s="29" t="e">
        <f>VLOOKUP(Tabela1[[#This Row],[FONTE_COD]],REGRAS!$O$2:$P$69,2,FALSE)</f>
        <v>#N/A</v>
      </c>
      <c r="AF1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1" spans="1:32" ht="18.75" customHeight="1">
      <c r="A161" s="2" t="str">
        <f>IFERROR(IF('PREENCHER AQUI'!A161="","",'PREENCHER AQUI'!A161),"")</f>
        <v/>
      </c>
      <c r="B161" s="1" t="str">
        <f>IFERROR(IF('PREENCHER AQUI'!B161="","",PROPER('PREENCHER AQUI'!B161)),"")</f>
        <v/>
      </c>
      <c r="C161" s="1" t="str">
        <f>IFERROR(IF('PREENCHER AQUI'!C161="","",'PREENCHER AQUI'!C161),"")</f>
        <v/>
      </c>
      <c r="D161" s="2" t="str">
        <f>IFERROR(IF('PREENCHER AQUI'!D161="","",'PREENCHER AQUI'!D161),"")</f>
        <v/>
      </c>
      <c r="E161" s="2" t="str">
        <f>IFERROR(VLOOKUP(CONCATENATE(C161,D161),qdd!$C$2:$F$1000,2,FALSE),"")</f>
        <v/>
      </c>
      <c r="F161" s="2" t="str">
        <f>IFERROR(VLOOKUP(CONCATENATE(C161,D161),qdd!$C$2:$F$1000,3,FALSE),"")</f>
        <v/>
      </c>
      <c r="G161" s="2" t="str">
        <f>IFERROR(VLOOKUP(CONCATENATE(C161,D161),qdd!$C$2:$F$1000,4,FALSE),"")</f>
        <v/>
      </c>
      <c r="H161" s="6" t="str">
        <f t="shared" si="6"/>
        <v/>
      </c>
      <c r="I1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1" s="2" t="str">
        <f>IFERROR(IF('PREENCHER AQUI'!E161="","",'PREENCHER AQUI'!E161),"")</f>
        <v/>
      </c>
      <c r="K161" s="2" t="str">
        <f>IFERROR(IF('PREENCHER AQUI'!F161="","",'PREENCHER AQUI'!F161),"")</f>
        <v/>
      </c>
      <c r="L161" s="2" t="str">
        <f>IF(Tabela1[[#This Row],[IPU_COD]]=9,"91",IF(Tabela1[[#This Row],[ACAO_COD]]="","",VLOOKUP(CONCATENATE("G",J161,"M",K161),qdd!$BC$2:$BD$46,2,FALSE)))</f>
        <v/>
      </c>
      <c r="M161" s="2" t="str">
        <f>TEXT(IFERROR(VLOOKUP(CONCATENATE(C161,D161),qdd!$C$2:$G$1000,5,FALSE),""),0)</f>
        <v/>
      </c>
      <c r="N161" s="2" t="str">
        <f>IFERROR(IF('PREENCHER AQUI'!I161="","",'PREENCHER AQUI'!I161),"")</f>
        <v/>
      </c>
      <c r="O161" s="2" t="str">
        <f>IFERROR(IF('PREENCHER AQUI'!J161="","",'PREENCHER AQUI'!J161),"")</f>
        <v/>
      </c>
      <c r="P161" s="7" t="str">
        <f t="shared" si="7"/>
        <v/>
      </c>
      <c r="Q161" s="8" t="str">
        <f>IFERROR(IF(Tabela4[[#This Row],[VALOR]]="","",IF(Tabela1[[#This Row],[ORIENTACAO]]="Anular",'PREENCHER AQUI'!K161*-1*100,'PREENCHER AQUI'!K161*100)),"")</f>
        <v/>
      </c>
      <c r="T161" s="7" t="str">
        <f>IFERROR(IF('PREENCHER AQUI'!L161="","999",LEFT('PREENCHER AQUI'!L161,1)),"")</f>
        <v>999</v>
      </c>
      <c r="V161" s="19"/>
      <c r="W161" s="1" t="str">
        <f>IFERROR(VLOOKUP(Tabela1[[#This Row],[UO_COD]],qdd!$AT$1:$AU$102,2,FALSE),"")</f>
        <v/>
      </c>
      <c r="X161" s="1" t="str">
        <f>CONCATENATE("F",Tabela1[[#This Row],[FONTE_COD]],Tabela1[[#This Row],[IPU_COD]],"G",Tabela1[[#This Row],[GRUPO_COD]],"T",Tabela1[[#This Row],[TIPO]])</f>
        <v>FGT999</v>
      </c>
      <c r="Y1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1" s="19"/>
      <c r="AA161" s="29" t="str">
        <f>IFERROR(VLOOKUP(CONCATENATE("B",Tabela1[[#This Row],[BLOCO]],Tabela1[[#This Row],[UO_COD]]),qdd!$AW$2:$AX$1000,2,FALSE),"")</f>
        <v/>
      </c>
      <c r="AB161" s="30" t="str">
        <f>IFERROR(Tabela1[[#This Row],[VALOR]]/100,"")</f>
        <v/>
      </c>
      <c r="AC161" s="7" t="str" cm="1">
        <f t="array" aca="1" ref="AC161" ca="1">IF(Tabela1[[#This Row],[VALOR]]&lt;0,"",IFERROR(SUBSTITUTE(Converter_numero(Tabela1[[#This Row],[VALOR INCISO]]),",",""),""))</f>
        <v/>
      </c>
      <c r="AD161" s="29" t="str">
        <f>IF(Tabela1[[#This Row],[TIPO]]=REGRAS!$W$2,REGRAS!$X$2,IF(Tabela1[[#This Row],[TIPO]]=REGRAS!$W$4,REGRAS!$X$4,""))</f>
        <v/>
      </c>
      <c r="AE161" s="29" t="e">
        <f>VLOOKUP(Tabela1[[#This Row],[FONTE_COD]],REGRAS!$O$2:$P$69,2,FALSE)</f>
        <v>#N/A</v>
      </c>
      <c r="AF1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2" spans="1:32" ht="18.75" customHeight="1">
      <c r="A162" s="2" t="str">
        <f>IFERROR(IF('PREENCHER AQUI'!A162="","",'PREENCHER AQUI'!A162),"")</f>
        <v/>
      </c>
      <c r="B162" s="1" t="str">
        <f>IFERROR(IF('PREENCHER AQUI'!B162="","",PROPER('PREENCHER AQUI'!B162)),"")</f>
        <v/>
      </c>
      <c r="C162" s="1" t="str">
        <f>IFERROR(IF('PREENCHER AQUI'!C162="","",'PREENCHER AQUI'!C162),"")</f>
        <v/>
      </c>
      <c r="D162" s="2" t="str">
        <f>IFERROR(IF('PREENCHER AQUI'!D162="","",'PREENCHER AQUI'!D162),"")</f>
        <v/>
      </c>
      <c r="E162" s="2" t="str">
        <f>IFERROR(VLOOKUP(CONCATENATE(C162,D162),qdd!$C$2:$F$1000,2,FALSE),"")</f>
        <v/>
      </c>
      <c r="F162" s="2" t="str">
        <f>IFERROR(VLOOKUP(CONCATENATE(C162,D162),qdd!$C$2:$F$1000,3,FALSE),"")</f>
        <v/>
      </c>
      <c r="G162" s="2" t="str">
        <f>IFERROR(VLOOKUP(CONCATENATE(C162,D162),qdd!$C$2:$F$1000,4,FALSE),"")</f>
        <v/>
      </c>
      <c r="H162" s="6" t="str">
        <f t="shared" si="6"/>
        <v/>
      </c>
      <c r="I1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2" s="2" t="str">
        <f>IFERROR(IF('PREENCHER AQUI'!E162="","",'PREENCHER AQUI'!E162),"")</f>
        <v/>
      </c>
      <c r="K162" s="2" t="str">
        <f>IFERROR(IF('PREENCHER AQUI'!F162="","",'PREENCHER AQUI'!F162),"")</f>
        <v/>
      </c>
      <c r="L162" s="2" t="str">
        <f>IF(Tabela1[[#This Row],[IPU_COD]]=9,"91",IF(Tabela1[[#This Row],[ACAO_COD]]="","",VLOOKUP(CONCATENATE("G",J162,"M",K162),qdd!$BC$2:$BD$46,2,FALSE)))</f>
        <v/>
      </c>
      <c r="M162" s="2" t="str">
        <f>TEXT(IFERROR(VLOOKUP(CONCATENATE(C162,D162),qdd!$C$2:$G$1000,5,FALSE),""),0)</f>
        <v/>
      </c>
      <c r="N162" s="2" t="str">
        <f>IFERROR(IF('PREENCHER AQUI'!I162="","",'PREENCHER AQUI'!I162),"")</f>
        <v/>
      </c>
      <c r="O162" s="2" t="str">
        <f>IFERROR(IF('PREENCHER AQUI'!J162="","",'PREENCHER AQUI'!J162),"")</f>
        <v/>
      </c>
      <c r="P162" s="7" t="str">
        <f t="shared" si="7"/>
        <v/>
      </c>
      <c r="Q162" s="8" t="str">
        <f>IFERROR(IF(Tabela4[[#This Row],[VALOR]]="","",IF(Tabela1[[#This Row],[ORIENTACAO]]="Anular",'PREENCHER AQUI'!K162*-1*100,'PREENCHER AQUI'!K162*100)),"")</f>
        <v/>
      </c>
      <c r="T162" s="7" t="str">
        <f>IFERROR(IF('PREENCHER AQUI'!L162="","999",LEFT('PREENCHER AQUI'!L162,1)),"")</f>
        <v>999</v>
      </c>
      <c r="W162" s="1" t="str">
        <f>IFERROR(VLOOKUP(Tabela1[[#This Row],[UO_COD]],qdd!$AT$1:$AU$102,2,FALSE),"")</f>
        <v/>
      </c>
      <c r="X162" s="1" t="str">
        <f>CONCATENATE("F",Tabela1[[#This Row],[FONTE_COD]],Tabela1[[#This Row],[IPU_COD]],"G",Tabela1[[#This Row],[GRUPO_COD]],"T",Tabela1[[#This Row],[TIPO]])</f>
        <v>FGT999</v>
      </c>
      <c r="Y1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2" s="19"/>
      <c r="AA162" s="29" t="str">
        <f>IFERROR(VLOOKUP(CONCATENATE("B",Tabela1[[#This Row],[BLOCO]],Tabela1[[#This Row],[UO_COD]]),qdd!$AW$2:$AX$1000,2,FALSE),"")</f>
        <v/>
      </c>
      <c r="AB162" s="30" t="str">
        <f>IFERROR(Tabela1[[#This Row],[VALOR]]/100,"")</f>
        <v/>
      </c>
      <c r="AC162" s="7" t="str" cm="1">
        <f t="array" aca="1" ref="AC162" ca="1">IF(Tabela1[[#This Row],[VALOR]]&lt;0,"",IFERROR(SUBSTITUTE(Converter_numero(Tabela1[[#This Row],[VALOR INCISO]]),",",""),""))</f>
        <v/>
      </c>
      <c r="AD162" s="7" t="str">
        <f>IF(Tabela1[[#This Row],[TIPO]]=REGRAS!$W$2,REGRAS!$X$2,IF(Tabela1[[#This Row],[TIPO]]=REGRAS!$W$4,REGRAS!$X$4,""))</f>
        <v/>
      </c>
      <c r="AE162" s="29" t="e">
        <f>VLOOKUP(Tabela1[[#This Row],[FONTE_COD]],REGRAS!$O$2:$P$69,2,FALSE)</f>
        <v>#N/A</v>
      </c>
      <c r="AF1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3" spans="1:32" ht="18.75" customHeight="1">
      <c r="A163" s="2" t="str">
        <f>IFERROR(IF('PREENCHER AQUI'!A163="","",'PREENCHER AQUI'!A163),"")</f>
        <v/>
      </c>
      <c r="B163" s="1" t="str">
        <f>IFERROR(IF('PREENCHER AQUI'!B163="","",PROPER('PREENCHER AQUI'!B163)),"")</f>
        <v/>
      </c>
      <c r="C163" s="1" t="str">
        <f>IFERROR(IF('PREENCHER AQUI'!C163="","",'PREENCHER AQUI'!C163),"")</f>
        <v/>
      </c>
      <c r="D163" s="2" t="str">
        <f>IFERROR(IF('PREENCHER AQUI'!D163="","",'PREENCHER AQUI'!D163),"")</f>
        <v/>
      </c>
      <c r="E163" s="2" t="str">
        <f>IFERROR(VLOOKUP(CONCATENATE(C163,D163),qdd!$C$2:$F$1000,2,FALSE),"")</f>
        <v/>
      </c>
      <c r="F163" s="2" t="str">
        <f>IFERROR(VLOOKUP(CONCATENATE(C163,D163),qdd!$C$2:$F$1000,3,FALSE),"")</f>
        <v/>
      </c>
      <c r="G163" s="2" t="str">
        <f>IFERROR(VLOOKUP(CONCATENATE(C163,D163),qdd!$C$2:$F$1000,4,FALSE),"")</f>
        <v/>
      </c>
      <c r="H163" s="6" t="str">
        <f t="shared" si="6"/>
        <v/>
      </c>
      <c r="I1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3" s="2" t="str">
        <f>IFERROR(IF('PREENCHER AQUI'!E163="","",'PREENCHER AQUI'!E163),"")</f>
        <v/>
      </c>
      <c r="K163" s="2" t="str">
        <f>IFERROR(IF('PREENCHER AQUI'!F163="","",'PREENCHER AQUI'!F163),"")</f>
        <v/>
      </c>
      <c r="L163" s="2" t="str">
        <f>IF(Tabela1[[#This Row],[IPU_COD]]=9,"91",IF(Tabela1[[#This Row],[ACAO_COD]]="","",VLOOKUP(CONCATENATE("G",J163,"M",K163),qdd!$BC$2:$BD$46,2,FALSE)))</f>
        <v/>
      </c>
      <c r="M163" s="2" t="str">
        <f>TEXT(IFERROR(VLOOKUP(CONCATENATE(C163,D163),qdd!$C$2:$G$1000,5,FALSE),""),0)</f>
        <v/>
      </c>
      <c r="N163" s="2" t="str">
        <f>IFERROR(IF('PREENCHER AQUI'!I163="","",'PREENCHER AQUI'!I163),"")</f>
        <v/>
      </c>
      <c r="O163" s="2" t="str">
        <f>IFERROR(IF('PREENCHER AQUI'!J163="","",'PREENCHER AQUI'!J163),"")</f>
        <v/>
      </c>
      <c r="P163" s="7" t="str">
        <f t="shared" si="7"/>
        <v/>
      </c>
      <c r="Q163" s="8" t="str">
        <f>IFERROR(IF(Tabela4[[#This Row],[VALOR]]="","",IF(Tabela1[[#This Row],[ORIENTACAO]]="Anular",'PREENCHER AQUI'!K163*-1*100,'PREENCHER AQUI'!K163*100)),"")</f>
        <v/>
      </c>
      <c r="T163" s="7" t="str">
        <f>IFERROR(IF('PREENCHER AQUI'!L163="","999",LEFT('PREENCHER AQUI'!L163,1)),"")</f>
        <v>999</v>
      </c>
      <c r="V163" s="19"/>
      <c r="W163" s="1" t="str">
        <f>IFERROR(VLOOKUP(Tabela1[[#This Row],[UO_COD]],qdd!$AT$1:$AU$102,2,FALSE),"")</f>
        <v/>
      </c>
      <c r="X163" s="1" t="str">
        <f>CONCATENATE("F",Tabela1[[#This Row],[FONTE_COD]],Tabela1[[#This Row],[IPU_COD]],"G",Tabela1[[#This Row],[GRUPO_COD]],"T",Tabela1[[#This Row],[TIPO]])</f>
        <v>FGT999</v>
      </c>
      <c r="Y1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3" s="19"/>
      <c r="AA163" s="29" t="str">
        <f>IFERROR(VLOOKUP(CONCATENATE("B",Tabela1[[#This Row],[BLOCO]],Tabela1[[#This Row],[UO_COD]]),qdd!$AW$2:$AX$1000,2,FALSE),"")</f>
        <v/>
      </c>
      <c r="AB163" s="30" t="str">
        <f>IFERROR(Tabela1[[#This Row],[VALOR]]/100,"")</f>
        <v/>
      </c>
      <c r="AC163" s="7" t="str" cm="1">
        <f t="array" aca="1" ref="AC163" ca="1">IF(Tabela1[[#This Row],[VALOR]]&lt;0,"",IFERROR(SUBSTITUTE(Converter_numero(Tabela1[[#This Row],[VALOR INCISO]]),",",""),""))</f>
        <v/>
      </c>
      <c r="AD163" s="29" t="str">
        <f>IF(Tabela1[[#This Row],[TIPO]]=REGRAS!$W$2,REGRAS!$X$2,IF(Tabela1[[#This Row],[TIPO]]=REGRAS!$W$4,REGRAS!$X$4,""))</f>
        <v/>
      </c>
      <c r="AE163" s="29" t="e">
        <f>VLOOKUP(Tabela1[[#This Row],[FONTE_COD]],REGRAS!$O$2:$P$69,2,FALSE)</f>
        <v>#N/A</v>
      </c>
      <c r="AF1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4" spans="1:32" ht="18.75" customHeight="1">
      <c r="A164" s="2" t="str">
        <f>IFERROR(IF('PREENCHER AQUI'!A164="","",'PREENCHER AQUI'!A164),"")</f>
        <v/>
      </c>
      <c r="B164" s="1" t="str">
        <f>IFERROR(IF('PREENCHER AQUI'!B164="","",PROPER('PREENCHER AQUI'!B164)),"")</f>
        <v/>
      </c>
      <c r="C164" s="1" t="str">
        <f>IFERROR(IF('PREENCHER AQUI'!C164="","",'PREENCHER AQUI'!C164),"")</f>
        <v/>
      </c>
      <c r="D164" s="2" t="str">
        <f>IFERROR(IF('PREENCHER AQUI'!D164="","",'PREENCHER AQUI'!D164),"")</f>
        <v/>
      </c>
      <c r="E164" s="2" t="str">
        <f>IFERROR(VLOOKUP(CONCATENATE(C164,D164),qdd!$C$2:$F$1000,2,FALSE),"")</f>
        <v/>
      </c>
      <c r="F164" s="2" t="str">
        <f>IFERROR(VLOOKUP(CONCATENATE(C164,D164),qdd!$C$2:$F$1000,3,FALSE),"")</f>
        <v/>
      </c>
      <c r="G164" s="2" t="str">
        <f>IFERROR(VLOOKUP(CONCATENATE(C164,D164),qdd!$C$2:$F$1000,4,FALSE),"")</f>
        <v/>
      </c>
      <c r="H164" s="6" t="str">
        <f t="shared" si="6"/>
        <v/>
      </c>
      <c r="I1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4" s="2" t="str">
        <f>IFERROR(IF('PREENCHER AQUI'!E164="","",'PREENCHER AQUI'!E164),"")</f>
        <v/>
      </c>
      <c r="K164" s="2" t="str">
        <f>IFERROR(IF('PREENCHER AQUI'!F164="","",'PREENCHER AQUI'!F164),"")</f>
        <v/>
      </c>
      <c r="L164" s="2" t="str">
        <f>IF(Tabela1[[#This Row],[IPU_COD]]=9,"91",IF(Tabela1[[#This Row],[ACAO_COD]]="","",VLOOKUP(CONCATENATE("G",J164,"M",K164),qdd!$BC$2:$BD$46,2,FALSE)))</f>
        <v/>
      </c>
      <c r="M164" s="2" t="str">
        <f>TEXT(IFERROR(VLOOKUP(CONCATENATE(C164,D164),qdd!$C$2:$G$1000,5,FALSE),""),0)</f>
        <v/>
      </c>
      <c r="N164" s="2" t="str">
        <f>IFERROR(IF('PREENCHER AQUI'!I164="","",'PREENCHER AQUI'!I164),"")</f>
        <v/>
      </c>
      <c r="O164" s="2" t="str">
        <f>IFERROR(IF('PREENCHER AQUI'!J164="","",'PREENCHER AQUI'!J164),"")</f>
        <v/>
      </c>
      <c r="P164" s="7" t="str">
        <f t="shared" si="7"/>
        <v/>
      </c>
      <c r="Q164" s="8" t="str">
        <f>IFERROR(IF(Tabela4[[#This Row],[VALOR]]="","",IF(Tabela1[[#This Row],[ORIENTACAO]]="Anular",'PREENCHER AQUI'!K164*-1*100,'PREENCHER AQUI'!K164*100)),"")</f>
        <v/>
      </c>
      <c r="T164" s="7" t="str">
        <f>IFERROR(IF('PREENCHER AQUI'!L164="","999",LEFT('PREENCHER AQUI'!L164,1)),"")</f>
        <v>999</v>
      </c>
      <c r="V164" s="19"/>
      <c r="W164" s="1" t="str">
        <f>IFERROR(VLOOKUP(Tabela1[[#This Row],[UO_COD]],qdd!$AT$1:$AU$102,2,FALSE),"")</f>
        <v/>
      </c>
      <c r="X164" s="1" t="str">
        <f>CONCATENATE("F",Tabela1[[#This Row],[FONTE_COD]],Tabela1[[#This Row],[IPU_COD]],"G",Tabela1[[#This Row],[GRUPO_COD]],"T",Tabela1[[#This Row],[TIPO]])</f>
        <v>FGT999</v>
      </c>
      <c r="Y1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4" s="19"/>
      <c r="AA164" s="29" t="str">
        <f>IFERROR(VLOOKUP(CONCATENATE("B",Tabela1[[#This Row],[BLOCO]],Tabela1[[#This Row],[UO_COD]]),qdd!$AW$2:$AX$1000,2,FALSE),"")</f>
        <v/>
      </c>
      <c r="AB164" s="30" t="str">
        <f>IFERROR(Tabela1[[#This Row],[VALOR]]/100,"")</f>
        <v/>
      </c>
      <c r="AC164" s="7" t="str" cm="1">
        <f t="array" aca="1" ref="AC164" ca="1">IF(Tabela1[[#This Row],[VALOR]]&lt;0,"",IFERROR(SUBSTITUTE(Converter_numero(Tabela1[[#This Row],[VALOR INCISO]]),",",""),""))</f>
        <v/>
      </c>
      <c r="AD164" s="29" t="str">
        <f>IF(Tabela1[[#This Row],[TIPO]]=REGRAS!$W$2,REGRAS!$X$2,IF(Tabela1[[#This Row],[TIPO]]=REGRAS!$W$4,REGRAS!$X$4,""))</f>
        <v/>
      </c>
      <c r="AE164" s="29" t="e">
        <f>VLOOKUP(Tabela1[[#This Row],[FONTE_COD]],REGRAS!$O$2:$P$69,2,FALSE)</f>
        <v>#N/A</v>
      </c>
      <c r="AF1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5" spans="1:32" ht="18.75" customHeight="1">
      <c r="A165" s="2" t="str">
        <f>IFERROR(IF('PREENCHER AQUI'!A165="","",'PREENCHER AQUI'!A165),"")</f>
        <v/>
      </c>
      <c r="B165" s="1" t="str">
        <f>IFERROR(IF('PREENCHER AQUI'!B165="","",PROPER('PREENCHER AQUI'!B165)),"")</f>
        <v/>
      </c>
      <c r="C165" s="1" t="str">
        <f>IFERROR(IF('PREENCHER AQUI'!C165="","",'PREENCHER AQUI'!C165),"")</f>
        <v/>
      </c>
      <c r="D165" s="2" t="str">
        <f>IFERROR(IF('PREENCHER AQUI'!D165="","",'PREENCHER AQUI'!D165),"")</f>
        <v/>
      </c>
      <c r="E165" s="2" t="str">
        <f>IFERROR(VLOOKUP(CONCATENATE(C165,D165),qdd!$C$2:$F$1000,2,FALSE),"")</f>
        <v/>
      </c>
      <c r="F165" s="2" t="str">
        <f>IFERROR(VLOOKUP(CONCATENATE(C165,D165),qdd!$C$2:$F$1000,3,FALSE),"")</f>
        <v/>
      </c>
      <c r="G165" s="2" t="str">
        <f>IFERROR(VLOOKUP(CONCATENATE(C165,D165),qdd!$C$2:$F$1000,4,FALSE),"")</f>
        <v/>
      </c>
      <c r="H165" s="6" t="str">
        <f t="shared" si="6"/>
        <v/>
      </c>
      <c r="I1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5" s="2" t="str">
        <f>IFERROR(IF('PREENCHER AQUI'!E165="","",'PREENCHER AQUI'!E165),"")</f>
        <v/>
      </c>
      <c r="K165" s="2" t="str">
        <f>IFERROR(IF('PREENCHER AQUI'!F165="","",'PREENCHER AQUI'!F165),"")</f>
        <v/>
      </c>
      <c r="L165" s="2" t="str">
        <f>IF(Tabela1[[#This Row],[IPU_COD]]=9,"91",IF(Tabela1[[#This Row],[ACAO_COD]]="","",VLOOKUP(CONCATENATE("G",J165,"M",K165),qdd!$BC$2:$BD$46,2,FALSE)))</f>
        <v/>
      </c>
      <c r="M165" s="2" t="str">
        <f>TEXT(IFERROR(VLOOKUP(CONCATENATE(C165,D165),qdd!$C$2:$G$1000,5,FALSE),""),0)</f>
        <v/>
      </c>
      <c r="N165" s="2" t="str">
        <f>IFERROR(IF('PREENCHER AQUI'!I165="","",'PREENCHER AQUI'!I165),"")</f>
        <v/>
      </c>
      <c r="O165" s="2" t="str">
        <f>IFERROR(IF('PREENCHER AQUI'!J165="","",'PREENCHER AQUI'!J165),"")</f>
        <v/>
      </c>
      <c r="P165" s="7" t="str">
        <f t="shared" si="7"/>
        <v/>
      </c>
      <c r="Q165" s="8" t="str">
        <f>IFERROR(IF(Tabela4[[#This Row],[VALOR]]="","",IF(Tabela1[[#This Row],[ORIENTACAO]]="Anular",'PREENCHER AQUI'!K165*-1*100,'PREENCHER AQUI'!K165*100)),"")</f>
        <v/>
      </c>
      <c r="T165" s="7" t="str">
        <f>IFERROR(IF('PREENCHER AQUI'!L165="","999",LEFT('PREENCHER AQUI'!L165,1)),"")</f>
        <v>999</v>
      </c>
      <c r="V165" s="19"/>
      <c r="W165" s="20" t="str">
        <f>IFERROR(VLOOKUP(Tabela1[[#This Row],[UO_COD]],qdd!$AT$1:$AU$102,2,FALSE),"")</f>
        <v/>
      </c>
      <c r="X165" s="20" t="str">
        <f>CONCATENATE("F",Tabela1[[#This Row],[FONTE_COD]],Tabela1[[#This Row],[IPU_COD]],"G",Tabela1[[#This Row],[GRUPO_COD]],"T",Tabela1[[#This Row],[TIPO]])</f>
        <v>FGT999</v>
      </c>
      <c r="Y1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5" s="19"/>
      <c r="AA165" s="29" t="str">
        <f>IFERROR(VLOOKUP(CONCATENATE("B",Tabela1[[#This Row],[BLOCO]],Tabela1[[#This Row],[UO_COD]]),qdd!$AW$2:$AX$1000,2,FALSE),"")</f>
        <v/>
      </c>
      <c r="AB165" s="30" t="str">
        <f>IFERROR(Tabela1[[#This Row],[VALOR]]/100,"")</f>
        <v/>
      </c>
      <c r="AC165" s="7" t="str" cm="1">
        <f t="array" aca="1" ref="AC165" ca="1">IF(Tabela1[[#This Row],[VALOR]]&lt;0,"",IFERROR(SUBSTITUTE(Converter_numero(Tabela1[[#This Row],[VALOR INCISO]]),",",""),""))</f>
        <v/>
      </c>
      <c r="AD165" s="29" t="str">
        <f>IF(Tabela1[[#This Row],[TIPO]]=REGRAS!$W$2,REGRAS!$X$2,IF(Tabela1[[#This Row],[TIPO]]=REGRAS!$W$4,REGRAS!$X$4,""))</f>
        <v/>
      </c>
      <c r="AE165" s="29" t="e">
        <f>VLOOKUP(Tabela1[[#This Row],[FONTE_COD]],REGRAS!$O$2:$P$69,2,FALSE)</f>
        <v>#N/A</v>
      </c>
      <c r="AF1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6" spans="1:32" ht="18.75" customHeight="1">
      <c r="A166" s="2" t="str">
        <f>IFERROR(IF('PREENCHER AQUI'!A166="","",'PREENCHER AQUI'!A166),"")</f>
        <v/>
      </c>
      <c r="B166" s="1" t="str">
        <f>IFERROR(IF('PREENCHER AQUI'!B166="","",PROPER('PREENCHER AQUI'!B166)),"")</f>
        <v/>
      </c>
      <c r="C166" s="1" t="str">
        <f>IFERROR(IF('PREENCHER AQUI'!C166="","",'PREENCHER AQUI'!C166),"")</f>
        <v/>
      </c>
      <c r="D166" s="2" t="str">
        <f>IFERROR(IF('PREENCHER AQUI'!D166="","",'PREENCHER AQUI'!D166),"")</f>
        <v/>
      </c>
      <c r="E166" s="2" t="str">
        <f>IFERROR(VLOOKUP(CONCATENATE(C166,D166),qdd!$C$2:$F$1000,2,FALSE),"")</f>
        <v/>
      </c>
      <c r="F166" s="2" t="str">
        <f>IFERROR(VLOOKUP(CONCATENATE(C166,D166),qdd!$C$2:$F$1000,3,FALSE),"")</f>
        <v/>
      </c>
      <c r="G166" s="2" t="str">
        <f>IFERROR(VLOOKUP(CONCATENATE(C166,D166),qdd!$C$2:$F$1000,4,FALSE),"")</f>
        <v/>
      </c>
      <c r="H166" s="6" t="str">
        <f t="shared" si="6"/>
        <v/>
      </c>
      <c r="I1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6" s="2" t="str">
        <f>IFERROR(IF('PREENCHER AQUI'!E166="","",'PREENCHER AQUI'!E166),"")</f>
        <v/>
      </c>
      <c r="K166" s="2" t="str">
        <f>IFERROR(IF('PREENCHER AQUI'!F166="","",'PREENCHER AQUI'!F166),"")</f>
        <v/>
      </c>
      <c r="L166" s="2" t="str">
        <f>IF(Tabela1[[#This Row],[IPU_COD]]=9,"91",IF(Tabela1[[#This Row],[ACAO_COD]]="","",VLOOKUP(CONCATENATE("G",J166,"M",K166),qdd!$BC$2:$BD$46,2,FALSE)))</f>
        <v/>
      </c>
      <c r="M166" s="2" t="str">
        <f>TEXT(IFERROR(VLOOKUP(CONCATENATE(C166,D166),qdd!$C$2:$G$1000,5,FALSE),""),0)</f>
        <v/>
      </c>
      <c r="N166" s="2" t="str">
        <f>IFERROR(IF('PREENCHER AQUI'!I166="","",'PREENCHER AQUI'!I166),"")</f>
        <v/>
      </c>
      <c r="O166" s="2" t="str">
        <f>IFERROR(IF('PREENCHER AQUI'!J166="","",'PREENCHER AQUI'!J166),"")</f>
        <v/>
      </c>
      <c r="P166" s="7" t="str">
        <f t="shared" si="7"/>
        <v/>
      </c>
      <c r="Q166" s="8" t="str">
        <f>IFERROR(IF(Tabela4[[#This Row],[VALOR]]="","",IF(Tabela1[[#This Row],[ORIENTACAO]]="Anular",'PREENCHER AQUI'!K166*-1*100,'PREENCHER AQUI'!K166*100)),"")</f>
        <v/>
      </c>
      <c r="T166" s="7" t="str">
        <f>IFERROR(IF('PREENCHER AQUI'!L166="","999",LEFT('PREENCHER AQUI'!L166,1)),"")</f>
        <v>999</v>
      </c>
      <c r="V166" s="19"/>
      <c r="W166" s="1" t="str">
        <f>IFERROR(VLOOKUP(Tabela1[[#This Row],[UO_COD]],qdd!$AT$1:$AU$102,2,FALSE),"")</f>
        <v/>
      </c>
      <c r="X166" s="1" t="str">
        <f>CONCATENATE("F",Tabela1[[#This Row],[FONTE_COD]],Tabela1[[#This Row],[IPU_COD]],"G",Tabela1[[#This Row],[GRUPO_COD]],"T",Tabela1[[#This Row],[TIPO]])</f>
        <v>FGT999</v>
      </c>
      <c r="Y1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6" s="19"/>
      <c r="AA166" s="29" t="str">
        <f>IFERROR(VLOOKUP(CONCATENATE("B",Tabela1[[#This Row],[BLOCO]],Tabela1[[#This Row],[UO_COD]]),qdd!$AW$2:$AX$1000,2,FALSE),"")</f>
        <v/>
      </c>
      <c r="AB166" s="30" t="str">
        <f>IFERROR(Tabela1[[#This Row],[VALOR]]/100,"")</f>
        <v/>
      </c>
      <c r="AC166" s="7" t="str" cm="1">
        <f t="array" aca="1" ref="AC166" ca="1">IF(Tabela1[[#This Row],[VALOR]]&lt;0,"",IFERROR(SUBSTITUTE(Converter_numero(Tabela1[[#This Row],[VALOR INCISO]]),",",""),""))</f>
        <v/>
      </c>
      <c r="AD166" s="29" t="str">
        <f>IF(Tabela1[[#This Row],[TIPO]]=REGRAS!$W$2,REGRAS!$X$2,IF(Tabela1[[#This Row],[TIPO]]=REGRAS!$W$4,REGRAS!$X$4,""))</f>
        <v/>
      </c>
      <c r="AE166" s="29" t="e">
        <f>VLOOKUP(Tabela1[[#This Row],[FONTE_COD]],REGRAS!$O$2:$P$69,2,FALSE)</f>
        <v>#N/A</v>
      </c>
      <c r="AF1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7" spans="1:32" ht="18.75" customHeight="1">
      <c r="A167" s="2" t="str">
        <f>IFERROR(IF('PREENCHER AQUI'!A167="","",'PREENCHER AQUI'!A167),"")</f>
        <v/>
      </c>
      <c r="B167" s="1" t="str">
        <f>IFERROR(IF('PREENCHER AQUI'!B167="","",PROPER('PREENCHER AQUI'!B167)),"")</f>
        <v/>
      </c>
      <c r="C167" s="1" t="str">
        <f>IFERROR(IF('PREENCHER AQUI'!C167="","",'PREENCHER AQUI'!C167),"")</f>
        <v/>
      </c>
      <c r="D167" s="2" t="str">
        <f>IFERROR(IF('PREENCHER AQUI'!D167="","",'PREENCHER AQUI'!D167),"")</f>
        <v/>
      </c>
      <c r="E167" s="2" t="str">
        <f>IFERROR(VLOOKUP(CONCATENATE(C167,D167),qdd!$C$2:$F$1000,2,FALSE),"")</f>
        <v/>
      </c>
      <c r="F167" s="2" t="str">
        <f>IFERROR(VLOOKUP(CONCATENATE(C167,D167),qdd!$C$2:$F$1000,3,FALSE),"")</f>
        <v/>
      </c>
      <c r="G167" s="2" t="str">
        <f>IFERROR(VLOOKUP(CONCATENATE(C167,D167),qdd!$C$2:$F$1000,4,FALSE),"")</f>
        <v/>
      </c>
      <c r="H167" s="6" t="str">
        <f t="shared" si="6"/>
        <v/>
      </c>
      <c r="I1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7" s="2" t="str">
        <f>IFERROR(IF('PREENCHER AQUI'!E167="","",'PREENCHER AQUI'!E167),"")</f>
        <v/>
      </c>
      <c r="K167" s="2" t="str">
        <f>IFERROR(IF('PREENCHER AQUI'!F167="","",'PREENCHER AQUI'!F167),"")</f>
        <v/>
      </c>
      <c r="L167" s="2" t="str">
        <f>IF(Tabela1[[#This Row],[IPU_COD]]=9,"91",IF(Tabela1[[#This Row],[ACAO_COD]]="","",VLOOKUP(CONCATENATE("G",J167,"M",K167),qdd!$BC$2:$BD$46,2,FALSE)))</f>
        <v/>
      </c>
      <c r="M167" s="2" t="str">
        <f>TEXT(IFERROR(VLOOKUP(CONCATENATE(C167,D167),qdd!$C$2:$G$1000,5,FALSE),""),0)</f>
        <v/>
      </c>
      <c r="N167" s="2" t="str">
        <f>IFERROR(IF('PREENCHER AQUI'!I167="","",'PREENCHER AQUI'!I167),"")</f>
        <v/>
      </c>
      <c r="O167" s="2" t="str">
        <f>IFERROR(IF('PREENCHER AQUI'!J167="","",'PREENCHER AQUI'!J167),"")</f>
        <v/>
      </c>
      <c r="P167" s="7" t="str">
        <f t="shared" si="7"/>
        <v/>
      </c>
      <c r="Q167" s="8" t="str">
        <f>IFERROR(IF(Tabela4[[#This Row],[VALOR]]="","",IF(Tabela1[[#This Row],[ORIENTACAO]]="Anular",'PREENCHER AQUI'!K167*-1*100,'PREENCHER AQUI'!K167*100)),"")</f>
        <v/>
      </c>
      <c r="T167" s="7" t="str">
        <f>IFERROR(IF('PREENCHER AQUI'!L167="","999",LEFT('PREENCHER AQUI'!L167,1)),"")</f>
        <v>999</v>
      </c>
      <c r="W167" s="1" t="str">
        <f>IFERROR(VLOOKUP(Tabela1[[#This Row],[UO_COD]],qdd!$AT$1:$AU$102,2,FALSE),"")</f>
        <v/>
      </c>
      <c r="X167" s="1" t="str">
        <f>CONCATENATE("F",Tabela1[[#This Row],[FONTE_COD]],Tabela1[[#This Row],[IPU_COD]],"G",Tabela1[[#This Row],[GRUPO_COD]],"T",Tabela1[[#This Row],[TIPO]])</f>
        <v>FGT999</v>
      </c>
      <c r="Y1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7" s="19"/>
      <c r="AA167" s="29" t="str">
        <f>IFERROR(VLOOKUP(CONCATENATE("B",Tabela1[[#This Row],[BLOCO]],Tabela1[[#This Row],[UO_COD]]),qdd!$AW$2:$AX$1000,2,FALSE),"")</f>
        <v/>
      </c>
      <c r="AB167" s="30" t="str">
        <f>IFERROR(Tabela1[[#This Row],[VALOR]]/100,"")</f>
        <v/>
      </c>
      <c r="AC167" s="7" t="str" cm="1">
        <f t="array" aca="1" ref="AC167" ca="1">IF(Tabela1[[#This Row],[VALOR]]&lt;0,"",IFERROR(SUBSTITUTE(Converter_numero(Tabela1[[#This Row],[VALOR INCISO]]),",",""),""))</f>
        <v/>
      </c>
      <c r="AD167" s="7" t="str">
        <f>IF(Tabela1[[#This Row],[TIPO]]=REGRAS!$W$2,REGRAS!$X$2,IF(Tabela1[[#This Row],[TIPO]]=REGRAS!$W$4,REGRAS!$X$4,""))</f>
        <v/>
      </c>
      <c r="AE167" s="29" t="e">
        <f>VLOOKUP(Tabela1[[#This Row],[FONTE_COD]],REGRAS!$O$2:$P$69,2,FALSE)</f>
        <v>#N/A</v>
      </c>
      <c r="AF1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8" spans="1:32" ht="18.75" customHeight="1">
      <c r="A168" s="2" t="str">
        <f>IFERROR(IF('PREENCHER AQUI'!A168="","",'PREENCHER AQUI'!A168),"")</f>
        <v/>
      </c>
      <c r="B168" s="1" t="str">
        <f>IFERROR(IF('PREENCHER AQUI'!B168="","",PROPER('PREENCHER AQUI'!B168)),"")</f>
        <v/>
      </c>
      <c r="C168" s="1" t="str">
        <f>IFERROR(IF('PREENCHER AQUI'!C168="","",'PREENCHER AQUI'!C168),"")</f>
        <v/>
      </c>
      <c r="D168" s="2" t="str">
        <f>IFERROR(IF('PREENCHER AQUI'!D168="","",'PREENCHER AQUI'!D168),"")</f>
        <v/>
      </c>
      <c r="E168" s="2" t="str">
        <f>IFERROR(VLOOKUP(CONCATENATE(C168,D168),qdd!$C$2:$F$1000,2,FALSE),"")</f>
        <v/>
      </c>
      <c r="F168" s="2" t="str">
        <f>IFERROR(VLOOKUP(CONCATENATE(C168,D168),qdd!$C$2:$F$1000,3,FALSE),"")</f>
        <v/>
      </c>
      <c r="G168" s="2" t="str">
        <f>IFERROR(VLOOKUP(CONCATENATE(C168,D168),qdd!$C$2:$F$1000,4,FALSE),"")</f>
        <v/>
      </c>
      <c r="H168" s="6" t="str">
        <f t="shared" si="6"/>
        <v/>
      </c>
      <c r="I1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8" s="2" t="str">
        <f>IFERROR(IF('PREENCHER AQUI'!E168="","",'PREENCHER AQUI'!E168),"")</f>
        <v/>
      </c>
      <c r="K168" s="2" t="str">
        <f>IFERROR(IF('PREENCHER AQUI'!F168="","",'PREENCHER AQUI'!F168),"")</f>
        <v/>
      </c>
      <c r="L168" s="2" t="str">
        <f>IF(Tabela1[[#This Row],[IPU_COD]]=9,"91",IF(Tabela1[[#This Row],[ACAO_COD]]="","",VLOOKUP(CONCATENATE("G",J168,"M",K168),qdd!$BC$2:$BD$46,2,FALSE)))</f>
        <v/>
      </c>
      <c r="M168" s="2" t="str">
        <f>TEXT(IFERROR(VLOOKUP(CONCATENATE(C168,D168),qdd!$C$2:$G$1000,5,FALSE),""),0)</f>
        <v/>
      </c>
      <c r="N168" s="2" t="str">
        <f>IFERROR(IF('PREENCHER AQUI'!I168="","",'PREENCHER AQUI'!I168),"")</f>
        <v/>
      </c>
      <c r="O168" s="2" t="str">
        <f>IFERROR(IF('PREENCHER AQUI'!J168="","",'PREENCHER AQUI'!J168),"")</f>
        <v/>
      </c>
      <c r="P168" s="7" t="str">
        <f t="shared" si="7"/>
        <v/>
      </c>
      <c r="Q168" s="8" t="str">
        <f>IFERROR(IF(Tabela4[[#This Row],[VALOR]]="","",IF(Tabela1[[#This Row],[ORIENTACAO]]="Anular",'PREENCHER AQUI'!K168*-1*100,'PREENCHER AQUI'!K168*100)),"")</f>
        <v/>
      </c>
      <c r="T168" s="7" t="str">
        <f>IFERROR(IF('PREENCHER AQUI'!L168="","999",LEFT('PREENCHER AQUI'!L168,1)),"")</f>
        <v>999</v>
      </c>
      <c r="V168" s="19"/>
      <c r="W168" s="1" t="str">
        <f>IFERROR(VLOOKUP(Tabela1[[#This Row],[UO_COD]],qdd!$AT$1:$AU$102,2,FALSE),"")</f>
        <v/>
      </c>
      <c r="X168" s="1" t="str">
        <f>CONCATENATE("F",Tabela1[[#This Row],[FONTE_COD]],Tabela1[[#This Row],[IPU_COD]],"G",Tabela1[[#This Row],[GRUPO_COD]],"T",Tabela1[[#This Row],[TIPO]])</f>
        <v>FGT999</v>
      </c>
      <c r="Y1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8" s="19"/>
      <c r="AA168" s="29" t="str">
        <f>IFERROR(VLOOKUP(CONCATENATE("B",Tabela1[[#This Row],[BLOCO]],Tabela1[[#This Row],[UO_COD]]),qdd!$AW$2:$AX$1000,2,FALSE),"")</f>
        <v/>
      </c>
      <c r="AB168" s="30" t="str">
        <f>IFERROR(Tabela1[[#This Row],[VALOR]]/100,"")</f>
        <v/>
      </c>
      <c r="AC168" s="7" t="str" cm="1">
        <f t="array" aca="1" ref="AC168" ca="1">IF(Tabela1[[#This Row],[VALOR]]&lt;0,"",IFERROR(SUBSTITUTE(Converter_numero(Tabela1[[#This Row],[VALOR INCISO]]),",",""),""))</f>
        <v/>
      </c>
      <c r="AD168" s="29" t="str">
        <f>IF(Tabela1[[#This Row],[TIPO]]=REGRAS!$W$2,REGRAS!$X$2,IF(Tabela1[[#This Row],[TIPO]]=REGRAS!$W$4,REGRAS!$X$4,""))</f>
        <v/>
      </c>
      <c r="AE168" s="29" t="e">
        <f>VLOOKUP(Tabela1[[#This Row],[FONTE_COD]],REGRAS!$O$2:$P$69,2,FALSE)</f>
        <v>#N/A</v>
      </c>
      <c r="AF1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9" spans="1:32" ht="18.75" customHeight="1">
      <c r="A169" s="2" t="str">
        <f>IFERROR(IF('PREENCHER AQUI'!A169="","",'PREENCHER AQUI'!A169),"")</f>
        <v/>
      </c>
      <c r="B169" s="1" t="str">
        <f>IFERROR(IF('PREENCHER AQUI'!B169="","",PROPER('PREENCHER AQUI'!B169)),"")</f>
        <v/>
      </c>
      <c r="C169" s="1" t="str">
        <f>IFERROR(IF('PREENCHER AQUI'!C169="","",'PREENCHER AQUI'!C169),"")</f>
        <v/>
      </c>
      <c r="D169" s="2" t="str">
        <f>IFERROR(IF('PREENCHER AQUI'!D169="","",'PREENCHER AQUI'!D169),"")</f>
        <v/>
      </c>
      <c r="E169" s="2" t="str">
        <f>IFERROR(VLOOKUP(CONCATENATE(C169,D169),qdd!$C$2:$F$1000,2,FALSE),"")</f>
        <v/>
      </c>
      <c r="F169" s="2" t="str">
        <f>IFERROR(VLOOKUP(CONCATENATE(C169,D169),qdd!$C$2:$F$1000,3,FALSE),"")</f>
        <v/>
      </c>
      <c r="G169" s="2" t="str">
        <f>IFERROR(VLOOKUP(CONCATENATE(C169,D169),qdd!$C$2:$F$1000,4,FALSE),"")</f>
        <v/>
      </c>
      <c r="H169" s="6" t="str">
        <f t="shared" si="6"/>
        <v/>
      </c>
      <c r="I1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9" s="2" t="str">
        <f>IFERROR(IF('PREENCHER AQUI'!E169="","",'PREENCHER AQUI'!E169),"")</f>
        <v/>
      </c>
      <c r="K169" s="2" t="str">
        <f>IFERROR(IF('PREENCHER AQUI'!F169="","",'PREENCHER AQUI'!F169),"")</f>
        <v/>
      </c>
      <c r="L169" s="2" t="str">
        <f>IF(Tabela1[[#This Row],[IPU_COD]]=9,"91",IF(Tabela1[[#This Row],[ACAO_COD]]="","",VLOOKUP(CONCATENATE("G",J169,"M",K169),qdd!$BC$2:$BD$46,2,FALSE)))</f>
        <v/>
      </c>
      <c r="M169" s="2" t="str">
        <f>TEXT(IFERROR(VLOOKUP(CONCATENATE(C169,D169),qdd!$C$2:$G$1000,5,FALSE),""),0)</f>
        <v/>
      </c>
      <c r="N169" s="2" t="str">
        <f>IFERROR(IF('PREENCHER AQUI'!I169="","",'PREENCHER AQUI'!I169),"")</f>
        <v/>
      </c>
      <c r="O169" s="2" t="str">
        <f>IFERROR(IF('PREENCHER AQUI'!J169="","",'PREENCHER AQUI'!J169),"")</f>
        <v/>
      </c>
      <c r="P169" s="7" t="str">
        <f t="shared" si="7"/>
        <v/>
      </c>
      <c r="Q169" s="8" t="str">
        <f>IFERROR(IF(Tabela4[[#This Row],[VALOR]]="","",IF(Tabela1[[#This Row],[ORIENTACAO]]="Anular",'PREENCHER AQUI'!K169*-1*100,'PREENCHER AQUI'!K169*100)),"")</f>
        <v/>
      </c>
      <c r="T169" s="7" t="str">
        <f>IFERROR(IF('PREENCHER AQUI'!L169="","999",LEFT('PREENCHER AQUI'!L169,1)),"")</f>
        <v>999</v>
      </c>
      <c r="V169" s="19"/>
      <c r="W169" s="1" t="str">
        <f>IFERROR(VLOOKUP(Tabela1[[#This Row],[UO_COD]],qdd!$AT$1:$AU$102,2,FALSE),"")</f>
        <v/>
      </c>
      <c r="X169" s="1" t="str">
        <f>CONCATENATE("F",Tabela1[[#This Row],[FONTE_COD]],Tabela1[[#This Row],[IPU_COD]],"G",Tabela1[[#This Row],[GRUPO_COD]],"T",Tabela1[[#This Row],[TIPO]])</f>
        <v>FGT999</v>
      </c>
      <c r="Y1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9" s="19"/>
      <c r="AA169" s="29" t="str">
        <f>IFERROR(VLOOKUP(CONCATENATE("B",Tabela1[[#This Row],[BLOCO]],Tabela1[[#This Row],[UO_COD]]),qdd!$AW$2:$AX$1000,2,FALSE),"")</f>
        <v/>
      </c>
      <c r="AB169" s="30" t="str">
        <f>IFERROR(Tabela1[[#This Row],[VALOR]]/100,"")</f>
        <v/>
      </c>
      <c r="AC169" s="7" t="str" cm="1">
        <f t="array" aca="1" ref="AC169" ca="1">IF(Tabela1[[#This Row],[VALOR]]&lt;0,"",IFERROR(SUBSTITUTE(Converter_numero(Tabela1[[#This Row],[VALOR INCISO]]),",",""),""))</f>
        <v/>
      </c>
      <c r="AD169" s="29" t="str">
        <f>IF(Tabela1[[#This Row],[TIPO]]=REGRAS!$W$2,REGRAS!$X$2,IF(Tabela1[[#This Row],[TIPO]]=REGRAS!$W$4,REGRAS!$X$4,""))</f>
        <v/>
      </c>
      <c r="AE169" s="29" t="e">
        <f>VLOOKUP(Tabela1[[#This Row],[FONTE_COD]],REGRAS!$O$2:$P$69,2,FALSE)</f>
        <v>#N/A</v>
      </c>
      <c r="AF1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0" spans="1:32" ht="18.75" customHeight="1">
      <c r="A170" s="2" t="str">
        <f>IFERROR(IF('PREENCHER AQUI'!A170="","",'PREENCHER AQUI'!A170),"")</f>
        <v/>
      </c>
      <c r="B170" s="1" t="str">
        <f>IFERROR(IF('PREENCHER AQUI'!B170="","",PROPER('PREENCHER AQUI'!B170)),"")</f>
        <v/>
      </c>
      <c r="C170" s="1" t="str">
        <f>IFERROR(IF('PREENCHER AQUI'!C170="","",'PREENCHER AQUI'!C170),"")</f>
        <v/>
      </c>
      <c r="D170" s="2" t="str">
        <f>IFERROR(IF('PREENCHER AQUI'!D170="","",'PREENCHER AQUI'!D170),"")</f>
        <v/>
      </c>
      <c r="E170" s="2" t="str">
        <f>IFERROR(VLOOKUP(CONCATENATE(C170,D170),qdd!$C$2:$F$1000,2,FALSE),"")</f>
        <v/>
      </c>
      <c r="F170" s="2" t="str">
        <f>IFERROR(VLOOKUP(CONCATENATE(C170,D170),qdd!$C$2:$F$1000,3,FALSE),"")</f>
        <v/>
      </c>
      <c r="G170" s="2" t="str">
        <f>IFERROR(VLOOKUP(CONCATENATE(C170,D170),qdd!$C$2:$F$1000,4,FALSE),"")</f>
        <v/>
      </c>
      <c r="H170" s="6" t="str">
        <f t="shared" si="6"/>
        <v/>
      </c>
      <c r="I1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0" s="2" t="str">
        <f>IFERROR(IF('PREENCHER AQUI'!E170="","",'PREENCHER AQUI'!E170),"")</f>
        <v/>
      </c>
      <c r="K170" s="2" t="str">
        <f>IFERROR(IF('PREENCHER AQUI'!F170="","",'PREENCHER AQUI'!F170),"")</f>
        <v/>
      </c>
      <c r="L170" s="2" t="str">
        <f>IF(Tabela1[[#This Row],[IPU_COD]]=9,"91",IF(Tabela1[[#This Row],[ACAO_COD]]="","",VLOOKUP(CONCATENATE("G",J170,"M",K170),qdd!$BC$2:$BD$46,2,FALSE)))</f>
        <v/>
      </c>
      <c r="M170" s="2" t="str">
        <f>TEXT(IFERROR(VLOOKUP(CONCATENATE(C170,D170),qdd!$C$2:$G$1000,5,FALSE),""),0)</f>
        <v/>
      </c>
      <c r="N170" s="2" t="str">
        <f>IFERROR(IF('PREENCHER AQUI'!I170="","",'PREENCHER AQUI'!I170),"")</f>
        <v/>
      </c>
      <c r="O170" s="2" t="str">
        <f>IFERROR(IF('PREENCHER AQUI'!J170="","",'PREENCHER AQUI'!J170),"")</f>
        <v/>
      </c>
      <c r="P170" s="7" t="str">
        <f t="shared" si="7"/>
        <v/>
      </c>
      <c r="Q170" s="8" t="str">
        <f>IFERROR(IF(Tabela4[[#This Row],[VALOR]]="","",IF(Tabela1[[#This Row],[ORIENTACAO]]="Anular",'PREENCHER AQUI'!K170*-1*100,'PREENCHER AQUI'!K170*100)),"")</f>
        <v/>
      </c>
      <c r="T170" s="7" t="str">
        <f>IFERROR(IF('PREENCHER AQUI'!L170="","999",LEFT('PREENCHER AQUI'!L170,1)),"")</f>
        <v>999</v>
      </c>
      <c r="V170" s="19"/>
      <c r="W170" s="20" t="str">
        <f>IFERROR(VLOOKUP(Tabela1[[#This Row],[UO_COD]],qdd!$AT$1:$AU$102,2,FALSE),"")</f>
        <v/>
      </c>
      <c r="X170" s="20" t="str">
        <f>CONCATENATE("F",Tabela1[[#This Row],[FONTE_COD]],Tabela1[[#This Row],[IPU_COD]],"G",Tabela1[[#This Row],[GRUPO_COD]],"T",Tabela1[[#This Row],[TIPO]])</f>
        <v>FGT999</v>
      </c>
      <c r="Y1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0" s="19"/>
      <c r="AA170" s="29" t="str">
        <f>IFERROR(VLOOKUP(CONCATENATE("B",Tabela1[[#This Row],[BLOCO]],Tabela1[[#This Row],[UO_COD]]),qdd!$AW$2:$AX$1000,2,FALSE),"")</f>
        <v/>
      </c>
      <c r="AB170" s="30" t="str">
        <f>IFERROR(Tabela1[[#This Row],[VALOR]]/100,"")</f>
        <v/>
      </c>
      <c r="AC170" s="7" t="str" cm="1">
        <f t="array" aca="1" ref="AC170" ca="1">IF(Tabela1[[#This Row],[VALOR]]&lt;0,"",IFERROR(SUBSTITUTE(Converter_numero(Tabela1[[#This Row],[VALOR INCISO]]),",",""),""))</f>
        <v/>
      </c>
      <c r="AD170" s="29" t="str">
        <f>IF(Tabela1[[#This Row],[TIPO]]=REGRAS!$W$2,REGRAS!$X$2,IF(Tabela1[[#This Row],[TIPO]]=REGRAS!$W$4,REGRAS!$X$4,""))</f>
        <v/>
      </c>
      <c r="AE170" s="29" t="e">
        <f>VLOOKUP(Tabela1[[#This Row],[FONTE_COD]],REGRAS!$O$2:$P$69,2,FALSE)</f>
        <v>#N/A</v>
      </c>
      <c r="AF1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1" spans="1:32" ht="18.75" customHeight="1">
      <c r="A171" s="2" t="str">
        <f>IFERROR(IF('PREENCHER AQUI'!A171="","",'PREENCHER AQUI'!A171),"")</f>
        <v/>
      </c>
      <c r="B171" s="1" t="str">
        <f>IFERROR(IF('PREENCHER AQUI'!B171="","",PROPER('PREENCHER AQUI'!B171)),"")</f>
        <v/>
      </c>
      <c r="C171" s="1" t="str">
        <f>IFERROR(IF('PREENCHER AQUI'!C171="","",'PREENCHER AQUI'!C171),"")</f>
        <v/>
      </c>
      <c r="D171" s="2" t="str">
        <f>IFERROR(IF('PREENCHER AQUI'!D171="","",'PREENCHER AQUI'!D171),"")</f>
        <v/>
      </c>
      <c r="E171" s="2" t="str">
        <f>IFERROR(VLOOKUP(CONCATENATE(C171,D171),qdd!$C$2:$F$1000,2,FALSE),"")</f>
        <v/>
      </c>
      <c r="F171" s="2" t="str">
        <f>IFERROR(VLOOKUP(CONCATENATE(C171,D171),qdd!$C$2:$F$1000,3,FALSE),"")</f>
        <v/>
      </c>
      <c r="G171" s="2" t="str">
        <f>IFERROR(VLOOKUP(CONCATENATE(C171,D171),qdd!$C$2:$F$1000,4,FALSE),"")</f>
        <v/>
      </c>
      <c r="H171" s="6" t="str">
        <f t="shared" si="6"/>
        <v/>
      </c>
      <c r="I1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1" s="2" t="str">
        <f>IFERROR(IF('PREENCHER AQUI'!E171="","",'PREENCHER AQUI'!E171),"")</f>
        <v/>
      </c>
      <c r="K171" s="2" t="str">
        <f>IFERROR(IF('PREENCHER AQUI'!F171="","",'PREENCHER AQUI'!F171),"")</f>
        <v/>
      </c>
      <c r="L171" s="2" t="str">
        <f>IF(Tabela1[[#This Row],[IPU_COD]]=9,"91",IF(Tabela1[[#This Row],[ACAO_COD]]="","",VLOOKUP(CONCATENATE("G",J171,"M",K171),qdd!$BC$2:$BD$46,2,FALSE)))</f>
        <v/>
      </c>
      <c r="M171" s="2" t="str">
        <f>TEXT(IFERROR(VLOOKUP(CONCATENATE(C171,D171),qdd!$C$2:$G$1000,5,FALSE),""),0)</f>
        <v/>
      </c>
      <c r="N171" s="2" t="str">
        <f>IFERROR(IF('PREENCHER AQUI'!I171="","",'PREENCHER AQUI'!I171),"")</f>
        <v/>
      </c>
      <c r="O171" s="2" t="str">
        <f>IFERROR(IF('PREENCHER AQUI'!J171="","",'PREENCHER AQUI'!J171),"")</f>
        <v/>
      </c>
      <c r="P171" s="7" t="str">
        <f t="shared" si="7"/>
        <v/>
      </c>
      <c r="Q171" s="8" t="str">
        <f>IFERROR(IF(Tabela4[[#This Row],[VALOR]]="","",IF(Tabela1[[#This Row],[ORIENTACAO]]="Anular",'PREENCHER AQUI'!K171*-1*100,'PREENCHER AQUI'!K171*100)),"")</f>
        <v/>
      </c>
      <c r="T171" s="7" t="str">
        <f>IFERROR(IF('PREENCHER AQUI'!L171="","999",LEFT('PREENCHER AQUI'!L171,1)),"")</f>
        <v>999</v>
      </c>
      <c r="V171" s="19"/>
      <c r="W171" s="1" t="str">
        <f>IFERROR(VLOOKUP(Tabela1[[#This Row],[UO_COD]],qdd!$AT$1:$AU$102,2,FALSE),"")</f>
        <v/>
      </c>
      <c r="X171" s="1" t="str">
        <f>CONCATENATE("F",Tabela1[[#This Row],[FONTE_COD]],Tabela1[[#This Row],[IPU_COD]],"G",Tabela1[[#This Row],[GRUPO_COD]],"T",Tabela1[[#This Row],[TIPO]])</f>
        <v>FGT999</v>
      </c>
      <c r="Y1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1" s="19"/>
      <c r="AA171" s="29" t="str">
        <f>IFERROR(VLOOKUP(CONCATENATE("B",Tabela1[[#This Row],[BLOCO]],Tabela1[[#This Row],[UO_COD]]),qdd!$AW$2:$AX$1000,2,FALSE),"")</f>
        <v/>
      </c>
      <c r="AB171" s="30" t="str">
        <f>IFERROR(Tabela1[[#This Row],[VALOR]]/100,"")</f>
        <v/>
      </c>
      <c r="AC171" s="7" t="str" cm="1">
        <f t="array" aca="1" ref="AC171" ca="1">IF(Tabela1[[#This Row],[VALOR]]&lt;0,"",IFERROR(SUBSTITUTE(Converter_numero(Tabela1[[#This Row],[VALOR INCISO]]),",",""),""))</f>
        <v/>
      </c>
      <c r="AD171" s="29" t="str">
        <f>IF(Tabela1[[#This Row],[TIPO]]=REGRAS!$W$2,REGRAS!$X$2,IF(Tabela1[[#This Row],[TIPO]]=REGRAS!$W$4,REGRAS!$X$4,""))</f>
        <v/>
      </c>
      <c r="AE171" s="29" t="e">
        <f>VLOOKUP(Tabela1[[#This Row],[FONTE_COD]],REGRAS!$O$2:$P$69,2,FALSE)</f>
        <v>#N/A</v>
      </c>
      <c r="AF1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2" spans="1:32" ht="18.75" customHeight="1">
      <c r="A172" s="2" t="str">
        <f>IFERROR(IF('PREENCHER AQUI'!A172="","",'PREENCHER AQUI'!A172),"")</f>
        <v/>
      </c>
      <c r="B172" s="1" t="str">
        <f>IFERROR(IF('PREENCHER AQUI'!B172="","",PROPER('PREENCHER AQUI'!B172)),"")</f>
        <v/>
      </c>
      <c r="C172" s="1" t="str">
        <f>IFERROR(IF('PREENCHER AQUI'!C172="","",'PREENCHER AQUI'!C172),"")</f>
        <v/>
      </c>
      <c r="D172" s="2" t="str">
        <f>IFERROR(IF('PREENCHER AQUI'!D172="","",'PREENCHER AQUI'!D172),"")</f>
        <v/>
      </c>
      <c r="E172" s="2" t="str">
        <f>IFERROR(VLOOKUP(CONCATENATE(C172,D172),qdd!$C$2:$F$1000,2,FALSE),"")</f>
        <v/>
      </c>
      <c r="F172" s="2" t="str">
        <f>IFERROR(VLOOKUP(CONCATENATE(C172,D172),qdd!$C$2:$F$1000,3,FALSE),"")</f>
        <v/>
      </c>
      <c r="G172" s="2" t="str">
        <f>IFERROR(VLOOKUP(CONCATENATE(C172,D172),qdd!$C$2:$F$1000,4,FALSE),"")</f>
        <v/>
      </c>
      <c r="H172" s="6" t="str">
        <f t="shared" si="6"/>
        <v/>
      </c>
      <c r="I1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2" s="2" t="str">
        <f>IFERROR(IF('PREENCHER AQUI'!E172="","",'PREENCHER AQUI'!E172),"")</f>
        <v/>
      </c>
      <c r="K172" s="2" t="str">
        <f>IFERROR(IF('PREENCHER AQUI'!F172="","",'PREENCHER AQUI'!F172),"")</f>
        <v/>
      </c>
      <c r="L172" s="2" t="str">
        <f>IF(Tabela1[[#This Row],[IPU_COD]]=9,"91",IF(Tabela1[[#This Row],[ACAO_COD]]="","",VLOOKUP(CONCATENATE("G",J172,"M",K172),qdd!$BC$2:$BD$46,2,FALSE)))</f>
        <v/>
      </c>
      <c r="M172" s="2" t="str">
        <f>TEXT(IFERROR(VLOOKUP(CONCATENATE(C172,D172),qdd!$C$2:$G$1000,5,FALSE),""),0)</f>
        <v/>
      </c>
      <c r="N172" s="2" t="str">
        <f>IFERROR(IF('PREENCHER AQUI'!I172="","",'PREENCHER AQUI'!I172),"")</f>
        <v/>
      </c>
      <c r="O172" s="2" t="str">
        <f>IFERROR(IF('PREENCHER AQUI'!J172="","",'PREENCHER AQUI'!J172),"")</f>
        <v/>
      </c>
      <c r="P172" s="7" t="str">
        <f t="shared" si="7"/>
        <v/>
      </c>
      <c r="Q172" s="8" t="str">
        <f>IFERROR(IF(Tabela4[[#This Row],[VALOR]]="","",IF(Tabela1[[#This Row],[ORIENTACAO]]="Anular",'PREENCHER AQUI'!K172*-1*100,'PREENCHER AQUI'!K172*100)),"")</f>
        <v/>
      </c>
      <c r="T172" s="7" t="str">
        <f>IFERROR(IF('PREENCHER AQUI'!L172="","999",LEFT('PREENCHER AQUI'!L172,1)),"")</f>
        <v>999</v>
      </c>
      <c r="W172" s="1" t="str">
        <f>IFERROR(VLOOKUP(Tabela1[[#This Row],[UO_COD]],qdd!$AT$1:$AU$102,2,FALSE),"")</f>
        <v/>
      </c>
      <c r="X172" s="1" t="str">
        <f>CONCATENATE("F",Tabela1[[#This Row],[FONTE_COD]],Tabela1[[#This Row],[IPU_COD]],"G",Tabela1[[#This Row],[GRUPO_COD]],"T",Tabela1[[#This Row],[TIPO]])</f>
        <v>FGT999</v>
      </c>
      <c r="Y1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2" s="19"/>
      <c r="AA172" s="29" t="str">
        <f>IFERROR(VLOOKUP(CONCATENATE("B",Tabela1[[#This Row],[BLOCO]],Tabela1[[#This Row],[UO_COD]]),qdd!$AW$2:$AX$1000,2,FALSE),"")</f>
        <v/>
      </c>
      <c r="AB172" s="30" t="str">
        <f>IFERROR(Tabela1[[#This Row],[VALOR]]/100,"")</f>
        <v/>
      </c>
      <c r="AC172" s="7" t="str" cm="1">
        <f t="array" aca="1" ref="AC172" ca="1">IF(Tabela1[[#This Row],[VALOR]]&lt;0,"",IFERROR(SUBSTITUTE(Converter_numero(Tabela1[[#This Row],[VALOR INCISO]]),",",""),""))</f>
        <v/>
      </c>
      <c r="AD172" s="7" t="str">
        <f>IF(Tabela1[[#This Row],[TIPO]]=REGRAS!$W$2,REGRAS!$X$2,IF(Tabela1[[#This Row],[TIPO]]=REGRAS!$W$4,REGRAS!$X$4,""))</f>
        <v/>
      </c>
      <c r="AE172" s="29" t="e">
        <f>VLOOKUP(Tabela1[[#This Row],[FONTE_COD]],REGRAS!$O$2:$P$69,2,FALSE)</f>
        <v>#N/A</v>
      </c>
      <c r="AF1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3" spans="1:32" ht="18.75" customHeight="1">
      <c r="A173" s="2" t="str">
        <f>IFERROR(IF('PREENCHER AQUI'!A173="","",'PREENCHER AQUI'!A173),"")</f>
        <v/>
      </c>
      <c r="B173" s="1" t="str">
        <f>IFERROR(IF('PREENCHER AQUI'!B173="","",PROPER('PREENCHER AQUI'!B173)),"")</f>
        <v/>
      </c>
      <c r="C173" s="1" t="str">
        <f>IFERROR(IF('PREENCHER AQUI'!C173="","",'PREENCHER AQUI'!C173),"")</f>
        <v/>
      </c>
      <c r="D173" s="2" t="str">
        <f>IFERROR(IF('PREENCHER AQUI'!D173="","",'PREENCHER AQUI'!D173),"")</f>
        <v/>
      </c>
      <c r="E173" s="2" t="str">
        <f>IFERROR(VLOOKUP(CONCATENATE(C173,D173),qdd!$C$2:$F$1000,2,FALSE),"")</f>
        <v/>
      </c>
      <c r="F173" s="2" t="str">
        <f>IFERROR(VLOOKUP(CONCATENATE(C173,D173),qdd!$C$2:$F$1000,3,FALSE),"")</f>
        <v/>
      </c>
      <c r="G173" s="2" t="str">
        <f>IFERROR(VLOOKUP(CONCATENATE(C173,D173),qdd!$C$2:$F$1000,4,FALSE),"")</f>
        <v/>
      </c>
      <c r="H173" s="6" t="str">
        <f t="shared" si="6"/>
        <v/>
      </c>
      <c r="I1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3" s="2" t="str">
        <f>IFERROR(IF('PREENCHER AQUI'!E173="","",'PREENCHER AQUI'!E173),"")</f>
        <v/>
      </c>
      <c r="K173" s="2" t="str">
        <f>IFERROR(IF('PREENCHER AQUI'!F173="","",'PREENCHER AQUI'!F173),"")</f>
        <v/>
      </c>
      <c r="L173" s="2" t="str">
        <f>IF(Tabela1[[#This Row],[IPU_COD]]=9,"91",IF(Tabela1[[#This Row],[ACAO_COD]]="","",VLOOKUP(CONCATENATE("G",J173,"M",K173),qdd!$BC$2:$BD$46,2,FALSE)))</f>
        <v/>
      </c>
      <c r="M173" s="2" t="str">
        <f>TEXT(IFERROR(VLOOKUP(CONCATENATE(C173,D173),qdd!$C$2:$G$1000,5,FALSE),""),0)</f>
        <v/>
      </c>
      <c r="N173" s="2" t="str">
        <f>IFERROR(IF('PREENCHER AQUI'!I173="","",'PREENCHER AQUI'!I173),"")</f>
        <v/>
      </c>
      <c r="O173" s="2" t="str">
        <f>IFERROR(IF('PREENCHER AQUI'!J173="","",'PREENCHER AQUI'!J173),"")</f>
        <v/>
      </c>
      <c r="P173" s="7" t="str">
        <f t="shared" si="7"/>
        <v/>
      </c>
      <c r="Q173" s="8" t="str">
        <f>IFERROR(IF(Tabela4[[#This Row],[VALOR]]="","",IF(Tabela1[[#This Row],[ORIENTACAO]]="Anular",'PREENCHER AQUI'!K173*-1*100,'PREENCHER AQUI'!K173*100)),"")</f>
        <v/>
      </c>
      <c r="T173" s="7" t="str">
        <f>IFERROR(IF('PREENCHER AQUI'!L173="","999",LEFT('PREENCHER AQUI'!L173,1)),"")</f>
        <v>999</v>
      </c>
      <c r="V173" s="19"/>
      <c r="W173" s="1" t="str">
        <f>IFERROR(VLOOKUP(Tabela1[[#This Row],[UO_COD]],qdd!$AT$1:$AU$102,2,FALSE),"")</f>
        <v/>
      </c>
      <c r="X173" s="1" t="str">
        <f>CONCATENATE("F",Tabela1[[#This Row],[FONTE_COD]],Tabela1[[#This Row],[IPU_COD]],"G",Tabela1[[#This Row],[GRUPO_COD]],"T",Tabela1[[#This Row],[TIPO]])</f>
        <v>FGT999</v>
      </c>
      <c r="Y1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3" s="19"/>
      <c r="AA173" s="29" t="str">
        <f>IFERROR(VLOOKUP(CONCATENATE("B",Tabela1[[#This Row],[BLOCO]],Tabela1[[#This Row],[UO_COD]]),qdd!$AW$2:$AX$1000,2,FALSE),"")</f>
        <v/>
      </c>
      <c r="AB173" s="30" t="str">
        <f>IFERROR(Tabela1[[#This Row],[VALOR]]/100,"")</f>
        <v/>
      </c>
      <c r="AC173" s="7" t="str" cm="1">
        <f t="array" aca="1" ref="AC173" ca="1">IF(Tabela1[[#This Row],[VALOR]]&lt;0,"",IFERROR(SUBSTITUTE(Converter_numero(Tabela1[[#This Row],[VALOR INCISO]]),",",""),""))</f>
        <v/>
      </c>
      <c r="AD173" s="29" t="str">
        <f>IF(Tabela1[[#This Row],[TIPO]]=REGRAS!$W$2,REGRAS!$X$2,IF(Tabela1[[#This Row],[TIPO]]=REGRAS!$W$4,REGRAS!$X$4,""))</f>
        <v/>
      </c>
      <c r="AE173" s="29" t="e">
        <f>VLOOKUP(Tabela1[[#This Row],[FONTE_COD]],REGRAS!$O$2:$P$69,2,FALSE)</f>
        <v>#N/A</v>
      </c>
      <c r="AF1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4" spans="1:32" ht="18.75" customHeight="1">
      <c r="A174" s="2" t="str">
        <f>IFERROR(IF('PREENCHER AQUI'!A174="","",'PREENCHER AQUI'!A174),"")</f>
        <v/>
      </c>
      <c r="B174" s="1" t="str">
        <f>IFERROR(IF('PREENCHER AQUI'!B174="","",PROPER('PREENCHER AQUI'!B174)),"")</f>
        <v/>
      </c>
      <c r="C174" s="1" t="str">
        <f>IFERROR(IF('PREENCHER AQUI'!C174="","",'PREENCHER AQUI'!C174),"")</f>
        <v/>
      </c>
      <c r="D174" s="2" t="str">
        <f>IFERROR(IF('PREENCHER AQUI'!D174="","",'PREENCHER AQUI'!D174),"")</f>
        <v/>
      </c>
      <c r="E174" s="2" t="str">
        <f>IFERROR(VLOOKUP(CONCATENATE(C174,D174),qdd!$C$2:$F$1000,2,FALSE),"")</f>
        <v/>
      </c>
      <c r="F174" s="2" t="str">
        <f>IFERROR(VLOOKUP(CONCATENATE(C174,D174),qdd!$C$2:$F$1000,3,FALSE),"")</f>
        <v/>
      </c>
      <c r="G174" s="2" t="str">
        <f>IFERROR(VLOOKUP(CONCATENATE(C174,D174),qdd!$C$2:$F$1000,4,FALSE),"")</f>
        <v/>
      </c>
      <c r="H174" s="6" t="str">
        <f t="shared" si="6"/>
        <v/>
      </c>
      <c r="I1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4" s="2" t="str">
        <f>IFERROR(IF('PREENCHER AQUI'!E174="","",'PREENCHER AQUI'!E174),"")</f>
        <v/>
      </c>
      <c r="K174" s="2" t="str">
        <f>IFERROR(IF('PREENCHER AQUI'!F174="","",'PREENCHER AQUI'!F174),"")</f>
        <v/>
      </c>
      <c r="L174" s="2" t="str">
        <f>IF(Tabela1[[#This Row],[IPU_COD]]=9,"91",IF(Tabela1[[#This Row],[ACAO_COD]]="","",VLOOKUP(CONCATENATE("G",J174,"M",K174),qdd!$BC$2:$BD$46,2,FALSE)))</f>
        <v/>
      </c>
      <c r="M174" s="2" t="str">
        <f>TEXT(IFERROR(VLOOKUP(CONCATENATE(C174,D174),qdd!$C$2:$G$1000,5,FALSE),""),0)</f>
        <v/>
      </c>
      <c r="N174" s="2" t="str">
        <f>IFERROR(IF('PREENCHER AQUI'!I174="","",'PREENCHER AQUI'!I174),"")</f>
        <v/>
      </c>
      <c r="O174" s="2" t="str">
        <f>IFERROR(IF('PREENCHER AQUI'!J174="","",'PREENCHER AQUI'!J174),"")</f>
        <v/>
      </c>
      <c r="P174" s="7" t="str">
        <f t="shared" si="7"/>
        <v/>
      </c>
      <c r="Q174" s="8" t="str">
        <f>IFERROR(IF(Tabela4[[#This Row],[VALOR]]="","",IF(Tabela1[[#This Row],[ORIENTACAO]]="Anular",'PREENCHER AQUI'!K174*-1*100,'PREENCHER AQUI'!K174*100)),"")</f>
        <v/>
      </c>
      <c r="T174" s="7" t="str">
        <f>IFERROR(IF('PREENCHER AQUI'!L174="","999",LEFT('PREENCHER AQUI'!L174,1)),"")</f>
        <v>999</v>
      </c>
      <c r="V174" s="19"/>
      <c r="W174" s="1" t="str">
        <f>IFERROR(VLOOKUP(Tabela1[[#This Row],[UO_COD]],qdd!$AT$1:$AU$102,2,FALSE),"")</f>
        <v/>
      </c>
      <c r="X174" s="1" t="str">
        <f>CONCATENATE("F",Tabela1[[#This Row],[FONTE_COD]],Tabela1[[#This Row],[IPU_COD]],"G",Tabela1[[#This Row],[GRUPO_COD]],"T",Tabela1[[#This Row],[TIPO]])</f>
        <v>FGT999</v>
      </c>
      <c r="Y1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4" s="19"/>
      <c r="AA174" s="29" t="str">
        <f>IFERROR(VLOOKUP(CONCATENATE("B",Tabela1[[#This Row],[BLOCO]],Tabela1[[#This Row],[UO_COD]]),qdd!$AW$2:$AX$1000,2,FALSE),"")</f>
        <v/>
      </c>
      <c r="AB174" s="30" t="str">
        <f>IFERROR(Tabela1[[#This Row],[VALOR]]/100,"")</f>
        <v/>
      </c>
      <c r="AC174" s="7" t="str" cm="1">
        <f t="array" aca="1" ref="AC174" ca="1">IF(Tabela1[[#This Row],[VALOR]]&lt;0,"",IFERROR(SUBSTITUTE(Converter_numero(Tabela1[[#This Row],[VALOR INCISO]]),",",""),""))</f>
        <v/>
      </c>
      <c r="AD174" s="29" t="str">
        <f>IF(Tabela1[[#This Row],[TIPO]]=REGRAS!$W$2,REGRAS!$X$2,IF(Tabela1[[#This Row],[TIPO]]=REGRAS!$W$4,REGRAS!$X$4,""))</f>
        <v/>
      </c>
      <c r="AE174" s="29" t="e">
        <f>VLOOKUP(Tabela1[[#This Row],[FONTE_COD]],REGRAS!$O$2:$P$69,2,FALSE)</f>
        <v>#N/A</v>
      </c>
      <c r="AF1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5" spans="1:32" ht="18.75" customHeight="1">
      <c r="A175" s="2" t="str">
        <f>IFERROR(IF('PREENCHER AQUI'!A175="","",'PREENCHER AQUI'!A175),"")</f>
        <v/>
      </c>
      <c r="B175" s="1" t="str">
        <f>IFERROR(IF('PREENCHER AQUI'!B175="","",PROPER('PREENCHER AQUI'!B175)),"")</f>
        <v/>
      </c>
      <c r="C175" s="1" t="str">
        <f>IFERROR(IF('PREENCHER AQUI'!C175="","",'PREENCHER AQUI'!C175),"")</f>
        <v/>
      </c>
      <c r="D175" s="2" t="str">
        <f>IFERROR(IF('PREENCHER AQUI'!D175="","",'PREENCHER AQUI'!D175),"")</f>
        <v/>
      </c>
      <c r="E175" s="2" t="str">
        <f>IFERROR(VLOOKUP(CONCATENATE(C175,D175),qdd!$C$2:$F$1000,2,FALSE),"")</f>
        <v/>
      </c>
      <c r="F175" s="2" t="str">
        <f>IFERROR(VLOOKUP(CONCATENATE(C175,D175),qdd!$C$2:$F$1000,3,FALSE),"")</f>
        <v/>
      </c>
      <c r="G175" s="2" t="str">
        <f>IFERROR(VLOOKUP(CONCATENATE(C175,D175),qdd!$C$2:$F$1000,4,FALSE),"")</f>
        <v/>
      </c>
      <c r="H175" s="6" t="str">
        <f t="shared" si="6"/>
        <v/>
      </c>
      <c r="I1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5" s="2" t="str">
        <f>IFERROR(IF('PREENCHER AQUI'!E175="","",'PREENCHER AQUI'!E175),"")</f>
        <v/>
      </c>
      <c r="K175" s="2" t="str">
        <f>IFERROR(IF('PREENCHER AQUI'!F175="","",'PREENCHER AQUI'!F175),"")</f>
        <v/>
      </c>
      <c r="L175" s="2" t="str">
        <f>IF(Tabela1[[#This Row],[IPU_COD]]=9,"91",IF(Tabela1[[#This Row],[ACAO_COD]]="","",VLOOKUP(CONCATENATE("G",J175,"M",K175),qdd!$BC$2:$BD$46,2,FALSE)))</f>
        <v/>
      </c>
      <c r="M175" s="2" t="str">
        <f>TEXT(IFERROR(VLOOKUP(CONCATENATE(C175,D175),qdd!$C$2:$G$1000,5,FALSE),""),0)</f>
        <v/>
      </c>
      <c r="N175" s="2" t="str">
        <f>IFERROR(IF('PREENCHER AQUI'!I175="","",'PREENCHER AQUI'!I175),"")</f>
        <v/>
      </c>
      <c r="O175" s="2" t="str">
        <f>IFERROR(IF('PREENCHER AQUI'!J175="","",'PREENCHER AQUI'!J175),"")</f>
        <v/>
      </c>
      <c r="P175" s="7" t="str">
        <f t="shared" si="7"/>
        <v/>
      </c>
      <c r="Q175" s="8" t="str">
        <f>IFERROR(IF(Tabela4[[#This Row],[VALOR]]="","",IF(Tabela1[[#This Row],[ORIENTACAO]]="Anular",'PREENCHER AQUI'!K175*-1*100,'PREENCHER AQUI'!K175*100)),"")</f>
        <v/>
      </c>
      <c r="T175" s="7" t="str">
        <f>IFERROR(IF('PREENCHER AQUI'!L175="","999",LEFT('PREENCHER AQUI'!L175,1)),"")</f>
        <v>999</v>
      </c>
      <c r="V175" s="19"/>
      <c r="W175" s="20" t="str">
        <f>IFERROR(VLOOKUP(Tabela1[[#This Row],[UO_COD]],qdd!$AT$1:$AU$102,2,FALSE),"")</f>
        <v/>
      </c>
      <c r="X175" s="20" t="str">
        <f>CONCATENATE("F",Tabela1[[#This Row],[FONTE_COD]],Tabela1[[#This Row],[IPU_COD]],"G",Tabela1[[#This Row],[GRUPO_COD]],"T",Tabela1[[#This Row],[TIPO]])</f>
        <v>FGT999</v>
      </c>
      <c r="Y1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5" s="19"/>
      <c r="AA175" s="29" t="str">
        <f>IFERROR(VLOOKUP(CONCATENATE("B",Tabela1[[#This Row],[BLOCO]],Tabela1[[#This Row],[UO_COD]]),qdd!$AW$2:$AX$1000,2,FALSE),"")</f>
        <v/>
      </c>
      <c r="AB175" s="30" t="str">
        <f>IFERROR(Tabela1[[#This Row],[VALOR]]/100,"")</f>
        <v/>
      </c>
      <c r="AC175" s="7" t="str" cm="1">
        <f t="array" aca="1" ref="AC175" ca="1">IF(Tabela1[[#This Row],[VALOR]]&lt;0,"",IFERROR(SUBSTITUTE(Converter_numero(Tabela1[[#This Row],[VALOR INCISO]]),",",""),""))</f>
        <v/>
      </c>
      <c r="AD175" s="29" t="str">
        <f>IF(Tabela1[[#This Row],[TIPO]]=REGRAS!$W$2,REGRAS!$X$2,IF(Tabela1[[#This Row],[TIPO]]=REGRAS!$W$4,REGRAS!$X$4,""))</f>
        <v/>
      </c>
      <c r="AE175" s="29" t="e">
        <f>VLOOKUP(Tabela1[[#This Row],[FONTE_COD]],REGRAS!$O$2:$P$69,2,FALSE)</f>
        <v>#N/A</v>
      </c>
      <c r="AF1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6" spans="1:32" ht="18.75" customHeight="1">
      <c r="A176" s="2" t="str">
        <f>IFERROR(IF('PREENCHER AQUI'!A176="","",'PREENCHER AQUI'!A176),"")</f>
        <v/>
      </c>
      <c r="B176" s="1" t="str">
        <f>IFERROR(IF('PREENCHER AQUI'!B176="","",PROPER('PREENCHER AQUI'!B176)),"")</f>
        <v/>
      </c>
      <c r="C176" s="1" t="str">
        <f>IFERROR(IF('PREENCHER AQUI'!C176="","",'PREENCHER AQUI'!C176),"")</f>
        <v/>
      </c>
      <c r="D176" s="2" t="str">
        <f>IFERROR(IF('PREENCHER AQUI'!D176="","",'PREENCHER AQUI'!D176),"")</f>
        <v/>
      </c>
      <c r="E176" s="2" t="str">
        <f>IFERROR(VLOOKUP(CONCATENATE(C176,D176),qdd!$C$2:$F$1000,2,FALSE),"")</f>
        <v/>
      </c>
      <c r="F176" s="2" t="str">
        <f>IFERROR(VLOOKUP(CONCATENATE(C176,D176),qdd!$C$2:$F$1000,3,FALSE),"")</f>
        <v/>
      </c>
      <c r="G176" s="2" t="str">
        <f>IFERROR(VLOOKUP(CONCATENATE(C176,D176),qdd!$C$2:$F$1000,4,FALSE),"")</f>
        <v/>
      </c>
      <c r="H176" s="6" t="str">
        <f t="shared" si="6"/>
        <v/>
      </c>
      <c r="I1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6" s="2" t="str">
        <f>IFERROR(IF('PREENCHER AQUI'!E176="","",'PREENCHER AQUI'!E176),"")</f>
        <v/>
      </c>
      <c r="K176" s="2" t="str">
        <f>IFERROR(IF('PREENCHER AQUI'!F176="","",'PREENCHER AQUI'!F176),"")</f>
        <v/>
      </c>
      <c r="L176" s="2" t="str">
        <f>IF(Tabela1[[#This Row],[IPU_COD]]=9,"91",IF(Tabela1[[#This Row],[ACAO_COD]]="","",VLOOKUP(CONCATENATE("G",J176,"M",K176),qdd!$BC$2:$BD$46,2,FALSE)))</f>
        <v/>
      </c>
      <c r="M176" s="2" t="str">
        <f>TEXT(IFERROR(VLOOKUP(CONCATENATE(C176,D176),qdd!$C$2:$G$1000,5,FALSE),""),0)</f>
        <v/>
      </c>
      <c r="N176" s="2" t="str">
        <f>IFERROR(IF('PREENCHER AQUI'!I176="","",'PREENCHER AQUI'!I176),"")</f>
        <v/>
      </c>
      <c r="O176" s="2" t="str">
        <f>IFERROR(IF('PREENCHER AQUI'!J176="","",'PREENCHER AQUI'!J176),"")</f>
        <v/>
      </c>
      <c r="P176" s="7" t="str">
        <f t="shared" si="7"/>
        <v/>
      </c>
      <c r="Q176" s="8" t="str">
        <f>IFERROR(IF(Tabela4[[#This Row],[VALOR]]="","",IF(Tabela1[[#This Row],[ORIENTACAO]]="Anular",'PREENCHER AQUI'!K176*-1*100,'PREENCHER AQUI'!K176*100)),"")</f>
        <v/>
      </c>
      <c r="T176" s="7" t="str">
        <f>IFERROR(IF('PREENCHER AQUI'!L176="","999",LEFT('PREENCHER AQUI'!L176,1)),"")</f>
        <v>999</v>
      </c>
      <c r="V176" s="19"/>
      <c r="W176" s="1" t="str">
        <f>IFERROR(VLOOKUP(Tabela1[[#This Row],[UO_COD]],qdd!$AT$1:$AU$102,2,FALSE),"")</f>
        <v/>
      </c>
      <c r="X176" s="1" t="str">
        <f>CONCATENATE("F",Tabela1[[#This Row],[FONTE_COD]],Tabela1[[#This Row],[IPU_COD]],"G",Tabela1[[#This Row],[GRUPO_COD]],"T",Tabela1[[#This Row],[TIPO]])</f>
        <v>FGT999</v>
      </c>
      <c r="Y1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6" s="19"/>
      <c r="AA176" s="29" t="str">
        <f>IFERROR(VLOOKUP(CONCATENATE("B",Tabela1[[#This Row],[BLOCO]],Tabela1[[#This Row],[UO_COD]]),qdd!$AW$2:$AX$1000,2,FALSE),"")</f>
        <v/>
      </c>
      <c r="AB176" s="30" t="str">
        <f>IFERROR(Tabela1[[#This Row],[VALOR]]/100,"")</f>
        <v/>
      </c>
      <c r="AC176" s="7" t="str" cm="1">
        <f t="array" aca="1" ref="AC176" ca="1">IF(Tabela1[[#This Row],[VALOR]]&lt;0,"",IFERROR(SUBSTITUTE(Converter_numero(Tabela1[[#This Row],[VALOR INCISO]]),",",""),""))</f>
        <v/>
      </c>
      <c r="AD176" s="29" t="str">
        <f>IF(Tabela1[[#This Row],[TIPO]]=REGRAS!$W$2,REGRAS!$X$2,IF(Tabela1[[#This Row],[TIPO]]=REGRAS!$W$4,REGRAS!$X$4,""))</f>
        <v/>
      </c>
      <c r="AE176" s="29" t="e">
        <f>VLOOKUP(Tabela1[[#This Row],[FONTE_COD]],REGRAS!$O$2:$P$69,2,FALSE)</f>
        <v>#N/A</v>
      </c>
      <c r="AF1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7" spans="1:32" ht="18.75" customHeight="1">
      <c r="A177" s="2" t="str">
        <f>IFERROR(IF('PREENCHER AQUI'!A177="","",'PREENCHER AQUI'!A177),"")</f>
        <v/>
      </c>
      <c r="B177" s="1" t="str">
        <f>IFERROR(IF('PREENCHER AQUI'!B177="","",PROPER('PREENCHER AQUI'!B177)),"")</f>
        <v/>
      </c>
      <c r="C177" s="1" t="str">
        <f>IFERROR(IF('PREENCHER AQUI'!C177="","",'PREENCHER AQUI'!C177),"")</f>
        <v/>
      </c>
      <c r="D177" s="2" t="str">
        <f>IFERROR(IF('PREENCHER AQUI'!D177="","",'PREENCHER AQUI'!D177),"")</f>
        <v/>
      </c>
      <c r="E177" s="2" t="str">
        <f>IFERROR(VLOOKUP(CONCATENATE(C177,D177),qdd!$C$2:$F$1000,2,FALSE),"")</f>
        <v/>
      </c>
      <c r="F177" s="2" t="str">
        <f>IFERROR(VLOOKUP(CONCATENATE(C177,D177),qdd!$C$2:$F$1000,3,FALSE),"")</f>
        <v/>
      </c>
      <c r="G177" s="2" t="str">
        <f>IFERROR(VLOOKUP(CONCATENATE(C177,D177),qdd!$C$2:$F$1000,4,FALSE),"")</f>
        <v/>
      </c>
      <c r="H177" s="6" t="str">
        <f t="shared" si="6"/>
        <v/>
      </c>
      <c r="I1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7" s="2" t="str">
        <f>IFERROR(IF('PREENCHER AQUI'!E177="","",'PREENCHER AQUI'!E177),"")</f>
        <v/>
      </c>
      <c r="K177" s="2" t="str">
        <f>IFERROR(IF('PREENCHER AQUI'!F177="","",'PREENCHER AQUI'!F177),"")</f>
        <v/>
      </c>
      <c r="L177" s="2" t="str">
        <f>IF(Tabela1[[#This Row],[IPU_COD]]=9,"91",IF(Tabela1[[#This Row],[ACAO_COD]]="","",VLOOKUP(CONCATENATE("G",J177,"M",K177),qdd!$BC$2:$BD$46,2,FALSE)))</f>
        <v/>
      </c>
      <c r="M177" s="2" t="str">
        <f>TEXT(IFERROR(VLOOKUP(CONCATENATE(C177,D177),qdd!$C$2:$G$1000,5,FALSE),""),0)</f>
        <v/>
      </c>
      <c r="N177" s="2" t="str">
        <f>IFERROR(IF('PREENCHER AQUI'!I177="","",'PREENCHER AQUI'!I177),"")</f>
        <v/>
      </c>
      <c r="O177" s="2" t="str">
        <f>IFERROR(IF('PREENCHER AQUI'!J177="","",'PREENCHER AQUI'!J177),"")</f>
        <v/>
      </c>
      <c r="P177" s="7" t="str">
        <f t="shared" si="7"/>
        <v/>
      </c>
      <c r="Q177" s="8" t="str">
        <f>IFERROR(IF(Tabela4[[#This Row],[VALOR]]="","",IF(Tabela1[[#This Row],[ORIENTACAO]]="Anular",'PREENCHER AQUI'!K177*-1*100,'PREENCHER AQUI'!K177*100)),"")</f>
        <v/>
      </c>
      <c r="T177" s="7" t="str">
        <f>IFERROR(IF('PREENCHER AQUI'!L177="","999",LEFT('PREENCHER AQUI'!L177,1)),"")</f>
        <v>999</v>
      </c>
      <c r="W177" s="1" t="str">
        <f>IFERROR(VLOOKUP(Tabela1[[#This Row],[UO_COD]],qdd!$AT$1:$AU$102,2,FALSE),"")</f>
        <v/>
      </c>
      <c r="X177" s="1" t="str">
        <f>CONCATENATE("F",Tabela1[[#This Row],[FONTE_COD]],Tabela1[[#This Row],[IPU_COD]],"G",Tabela1[[#This Row],[GRUPO_COD]],"T",Tabela1[[#This Row],[TIPO]])</f>
        <v>FGT999</v>
      </c>
      <c r="Y1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7" s="19"/>
      <c r="AA177" s="29" t="str">
        <f>IFERROR(VLOOKUP(CONCATENATE("B",Tabela1[[#This Row],[BLOCO]],Tabela1[[#This Row],[UO_COD]]),qdd!$AW$2:$AX$1000,2,FALSE),"")</f>
        <v/>
      </c>
      <c r="AB177" s="30" t="str">
        <f>IFERROR(Tabela1[[#This Row],[VALOR]]/100,"")</f>
        <v/>
      </c>
      <c r="AC177" s="7" t="str" cm="1">
        <f t="array" aca="1" ref="AC177" ca="1">IF(Tabela1[[#This Row],[VALOR]]&lt;0,"",IFERROR(SUBSTITUTE(Converter_numero(Tabela1[[#This Row],[VALOR INCISO]]),",",""),""))</f>
        <v/>
      </c>
      <c r="AD177" s="7" t="str">
        <f>IF(Tabela1[[#This Row],[TIPO]]=REGRAS!$W$2,REGRAS!$X$2,IF(Tabela1[[#This Row],[TIPO]]=REGRAS!$W$4,REGRAS!$X$4,""))</f>
        <v/>
      </c>
      <c r="AE177" s="29" t="e">
        <f>VLOOKUP(Tabela1[[#This Row],[FONTE_COD]],REGRAS!$O$2:$P$69,2,FALSE)</f>
        <v>#N/A</v>
      </c>
      <c r="AF1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8" spans="1:32" ht="18.75" customHeight="1">
      <c r="A178" s="2" t="str">
        <f>IFERROR(IF('PREENCHER AQUI'!A178="","",'PREENCHER AQUI'!A178),"")</f>
        <v/>
      </c>
      <c r="B178" s="1" t="str">
        <f>IFERROR(IF('PREENCHER AQUI'!B178="","",PROPER('PREENCHER AQUI'!B178)),"")</f>
        <v/>
      </c>
      <c r="C178" s="1" t="str">
        <f>IFERROR(IF('PREENCHER AQUI'!C178="","",'PREENCHER AQUI'!C178),"")</f>
        <v/>
      </c>
      <c r="D178" s="2" t="str">
        <f>IFERROR(IF('PREENCHER AQUI'!D178="","",'PREENCHER AQUI'!D178),"")</f>
        <v/>
      </c>
      <c r="E178" s="2" t="str">
        <f>IFERROR(VLOOKUP(CONCATENATE(C178,D178),qdd!$C$2:$F$1000,2,FALSE),"")</f>
        <v/>
      </c>
      <c r="F178" s="2" t="str">
        <f>IFERROR(VLOOKUP(CONCATENATE(C178,D178),qdd!$C$2:$F$1000,3,FALSE),"")</f>
        <v/>
      </c>
      <c r="G178" s="2" t="str">
        <f>IFERROR(VLOOKUP(CONCATENATE(C178,D178),qdd!$C$2:$F$1000,4,FALSE),"")</f>
        <v/>
      </c>
      <c r="H178" s="6" t="str">
        <f t="shared" si="6"/>
        <v/>
      </c>
      <c r="I1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8" s="2" t="str">
        <f>IFERROR(IF('PREENCHER AQUI'!E178="","",'PREENCHER AQUI'!E178),"")</f>
        <v/>
      </c>
      <c r="K178" s="2" t="str">
        <f>IFERROR(IF('PREENCHER AQUI'!F178="","",'PREENCHER AQUI'!F178),"")</f>
        <v/>
      </c>
      <c r="L178" s="2" t="str">
        <f>IF(Tabela1[[#This Row],[IPU_COD]]=9,"91",IF(Tabela1[[#This Row],[ACAO_COD]]="","",VLOOKUP(CONCATENATE("G",J178,"M",K178),qdd!$BC$2:$BD$46,2,FALSE)))</f>
        <v/>
      </c>
      <c r="M178" s="2" t="str">
        <f>TEXT(IFERROR(VLOOKUP(CONCATENATE(C178,D178),qdd!$C$2:$G$1000,5,FALSE),""),0)</f>
        <v/>
      </c>
      <c r="N178" s="2" t="str">
        <f>IFERROR(IF('PREENCHER AQUI'!I178="","",'PREENCHER AQUI'!I178),"")</f>
        <v/>
      </c>
      <c r="O178" s="2" t="str">
        <f>IFERROR(IF('PREENCHER AQUI'!J178="","",'PREENCHER AQUI'!J178),"")</f>
        <v/>
      </c>
      <c r="P178" s="7" t="str">
        <f t="shared" si="7"/>
        <v/>
      </c>
      <c r="Q178" s="8" t="str">
        <f>IFERROR(IF(Tabela4[[#This Row],[VALOR]]="","",IF(Tabela1[[#This Row],[ORIENTACAO]]="Anular",'PREENCHER AQUI'!K178*-1*100,'PREENCHER AQUI'!K178*100)),"")</f>
        <v/>
      </c>
      <c r="T178" s="7" t="str">
        <f>IFERROR(IF('PREENCHER AQUI'!L178="","999",LEFT('PREENCHER AQUI'!L178,1)),"")</f>
        <v>999</v>
      </c>
      <c r="V178" s="19"/>
      <c r="W178" s="1" t="str">
        <f>IFERROR(VLOOKUP(Tabela1[[#This Row],[UO_COD]],qdd!$AT$1:$AU$102,2,FALSE),"")</f>
        <v/>
      </c>
      <c r="X178" s="1" t="str">
        <f>CONCATENATE("F",Tabela1[[#This Row],[FONTE_COD]],Tabela1[[#This Row],[IPU_COD]],"G",Tabela1[[#This Row],[GRUPO_COD]],"T",Tabela1[[#This Row],[TIPO]])</f>
        <v>FGT999</v>
      </c>
      <c r="Y1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8" s="19"/>
      <c r="AA178" s="29" t="str">
        <f>IFERROR(VLOOKUP(CONCATENATE("B",Tabela1[[#This Row],[BLOCO]],Tabela1[[#This Row],[UO_COD]]),qdd!$AW$2:$AX$1000,2,FALSE),"")</f>
        <v/>
      </c>
      <c r="AB178" s="30" t="str">
        <f>IFERROR(Tabela1[[#This Row],[VALOR]]/100,"")</f>
        <v/>
      </c>
      <c r="AC178" s="7" t="str" cm="1">
        <f t="array" aca="1" ref="AC178" ca="1">IF(Tabela1[[#This Row],[VALOR]]&lt;0,"",IFERROR(SUBSTITUTE(Converter_numero(Tabela1[[#This Row],[VALOR INCISO]]),",",""),""))</f>
        <v/>
      </c>
      <c r="AD178" s="29" t="str">
        <f>IF(Tabela1[[#This Row],[TIPO]]=REGRAS!$W$2,REGRAS!$X$2,IF(Tabela1[[#This Row],[TIPO]]=REGRAS!$W$4,REGRAS!$X$4,""))</f>
        <v/>
      </c>
      <c r="AE178" s="29" t="e">
        <f>VLOOKUP(Tabela1[[#This Row],[FONTE_COD]],REGRAS!$O$2:$P$69,2,FALSE)</f>
        <v>#N/A</v>
      </c>
      <c r="AF1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9" spans="1:32" ht="18.75" customHeight="1">
      <c r="A179" s="2" t="str">
        <f>IFERROR(IF('PREENCHER AQUI'!A179="","",'PREENCHER AQUI'!A179),"")</f>
        <v/>
      </c>
      <c r="B179" s="1" t="str">
        <f>IFERROR(IF('PREENCHER AQUI'!B179="","",PROPER('PREENCHER AQUI'!B179)),"")</f>
        <v/>
      </c>
      <c r="C179" s="1" t="str">
        <f>IFERROR(IF('PREENCHER AQUI'!C179="","",'PREENCHER AQUI'!C179),"")</f>
        <v/>
      </c>
      <c r="D179" s="2" t="str">
        <f>IFERROR(IF('PREENCHER AQUI'!D179="","",'PREENCHER AQUI'!D179),"")</f>
        <v/>
      </c>
      <c r="E179" s="2" t="str">
        <f>IFERROR(VLOOKUP(CONCATENATE(C179,D179),qdd!$C$2:$F$1000,2,FALSE),"")</f>
        <v/>
      </c>
      <c r="F179" s="2" t="str">
        <f>IFERROR(VLOOKUP(CONCATENATE(C179,D179),qdd!$C$2:$F$1000,3,FALSE),"")</f>
        <v/>
      </c>
      <c r="G179" s="2" t="str">
        <f>IFERROR(VLOOKUP(CONCATENATE(C179,D179),qdd!$C$2:$F$1000,4,FALSE),"")</f>
        <v/>
      </c>
      <c r="H179" s="6" t="str">
        <f t="shared" si="6"/>
        <v/>
      </c>
      <c r="I1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9" s="2" t="str">
        <f>IFERROR(IF('PREENCHER AQUI'!E179="","",'PREENCHER AQUI'!E179),"")</f>
        <v/>
      </c>
      <c r="K179" s="2" t="str">
        <f>IFERROR(IF('PREENCHER AQUI'!F179="","",'PREENCHER AQUI'!F179),"")</f>
        <v/>
      </c>
      <c r="L179" s="2" t="str">
        <f>IF(Tabela1[[#This Row],[IPU_COD]]=9,"91",IF(Tabela1[[#This Row],[ACAO_COD]]="","",VLOOKUP(CONCATENATE("G",J179,"M",K179),qdd!$BC$2:$BD$46,2,FALSE)))</f>
        <v/>
      </c>
      <c r="M179" s="2" t="str">
        <f>TEXT(IFERROR(VLOOKUP(CONCATENATE(C179,D179),qdd!$C$2:$G$1000,5,FALSE),""),0)</f>
        <v/>
      </c>
      <c r="N179" s="2" t="str">
        <f>IFERROR(IF('PREENCHER AQUI'!I179="","",'PREENCHER AQUI'!I179),"")</f>
        <v/>
      </c>
      <c r="O179" s="2" t="str">
        <f>IFERROR(IF('PREENCHER AQUI'!J179="","",'PREENCHER AQUI'!J179),"")</f>
        <v/>
      </c>
      <c r="P179" s="7" t="str">
        <f t="shared" si="7"/>
        <v/>
      </c>
      <c r="Q179" s="8" t="str">
        <f>IFERROR(IF(Tabela4[[#This Row],[VALOR]]="","",IF(Tabela1[[#This Row],[ORIENTACAO]]="Anular",'PREENCHER AQUI'!K179*-1*100,'PREENCHER AQUI'!K179*100)),"")</f>
        <v/>
      </c>
      <c r="T179" s="7" t="str">
        <f>IFERROR(IF('PREENCHER AQUI'!L179="","999",LEFT('PREENCHER AQUI'!L179,1)),"")</f>
        <v>999</v>
      </c>
      <c r="V179" s="19"/>
      <c r="W179" s="1" t="str">
        <f>IFERROR(VLOOKUP(Tabela1[[#This Row],[UO_COD]],qdd!$AT$1:$AU$102,2,FALSE),"")</f>
        <v/>
      </c>
      <c r="X179" s="1" t="str">
        <f>CONCATENATE("F",Tabela1[[#This Row],[FONTE_COD]],Tabela1[[#This Row],[IPU_COD]],"G",Tabela1[[#This Row],[GRUPO_COD]],"T",Tabela1[[#This Row],[TIPO]])</f>
        <v>FGT999</v>
      </c>
      <c r="Y1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9" s="19"/>
      <c r="AA179" s="29" t="str">
        <f>IFERROR(VLOOKUP(CONCATENATE("B",Tabela1[[#This Row],[BLOCO]],Tabela1[[#This Row],[UO_COD]]),qdd!$AW$2:$AX$1000,2,FALSE),"")</f>
        <v/>
      </c>
      <c r="AB179" s="30" t="str">
        <f>IFERROR(Tabela1[[#This Row],[VALOR]]/100,"")</f>
        <v/>
      </c>
      <c r="AC179" s="7" t="str" cm="1">
        <f t="array" aca="1" ref="AC179" ca="1">IF(Tabela1[[#This Row],[VALOR]]&lt;0,"",IFERROR(SUBSTITUTE(Converter_numero(Tabela1[[#This Row],[VALOR INCISO]]),",",""),""))</f>
        <v/>
      </c>
      <c r="AD179" s="29" t="str">
        <f>IF(Tabela1[[#This Row],[TIPO]]=REGRAS!$W$2,REGRAS!$X$2,IF(Tabela1[[#This Row],[TIPO]]=REGRAS!$W$4,REGRAS!$X$4,""))</f>
        <v/>
      </c>
      <c r="AE179" s="29" t="e">
        <f>VLOOKUP(Tabela1[[#This Row],[FONTE_COD]],REGRAS!$O$2:$P$69,2,FALSE)</f>
        <v>#N/A</v>
      </c>
      <c r="AF1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0" spans="1:32" ht="18.75" customHeight="1">
      <c r="A180" s="2" t="str">
        <f>IFERROR(IF('PREENCHER AQUI'!A180="","",'PREENCHER AQUI'!A180),"")</f>
        <v/>
      </c>
      <c r="B180" s="1" t="str">
        <f>IFERROR(IF('PREENCHER AQUI'!B180="","",PROPER('PREENCHER AQUI'!B180)),"")</f>
        <v/>
      </c>
      <c r="C180" s="1" t="str">
        <f>IFERROR(IF('PREENCHER AQUI'!C180="","",'PREENCHER AQUI'!C180),"")</f>
        <v/>
      </c>
      <c r="D180" s="2" t="str">
        <f>IFERROR(IF('PREENCHER AQUI'!D180="","",'PREENCHER AQUI'!D180),"")</f>
        <v/>
      </c>
      <c r="E180" s="2" t="str">
        <f>IFERROR(VLOOKUP(CONCATENATE(C180,D180),qdd!$C$2:$F$1000,2,FALSE),"")</f>
        <v/>
      </c>
      <c r="F180" s="2" t="str">
        <f>IFERROR(VLOOKUP(CONCATENATE(C180,D180),qdd!$C$2:$F$1000,3,FALSE),"")</f>
        <v/>
      </c>
      <c r="G180" s="2" t="str">
        <f>IFERROR(VLOOKUP(CONCATENATE(C180,D180),qdd!$C$2:$F$1000,4,FALSE),"")</f>
        <v/>
      </c>
      <c r="H180" s="6" t="str">
        <f t="shared" si="6"/>
        <v/>
      </c>
      <c r="I1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0" s="2" t="str">
        <f>IFERROR(IF('PREENCHER AQUI'!E180="","",'PREENCHER AQUI'!E180),"")</f>
        <v/>
      </c>
      <c r="K180" s="2" t="str">
        <f>IFERROR(IF('PREENCHER AQUI'!F180="","",'PREENCHER AQUI'!F180),"")</f>
        <v/>
      </c>
      <c r="L180" s="2" t="str">
        <f>IF(Tabela1[[#This Row],[IPU_COD]]=9,"91",IF(Tabela1[[#This Row],[ACAO_COD]]="","",VLOOKUP(CONCATENATE("G",J180,"M",K180),qdd!$BC$2:$BD$46,2,FALSE)))</f>
        <v/>
      </c>
      <c r="M180" s="2" t="str">
        <f>TEXT(IFERROR(VLOOKUP(CONCATENATE(C180,D180),qdd!$C$2:$G$1000,5,FALSE),""),0)</f>
        <v/>
      </c>
      <c r="N180" s="2" t="str">
        <f>IFERROR(IF('PREENCHER AQUI'!I180="","",'PREENCHER AQUI'!I180),"")</f>
        <v/>
      </c>
      <c r="O180" s="2" t="str">
        <f>IFERROR(IF('PREENCHER AQUI'!J180="","",'PREENCHER AQUI'!J180),"")</f>
        <v/>
      </c>
      <c r="P180" s="7" t="str">
        <f t="shared" si="7"/>
        <v/>
      </c>
      <c r="Q180" s="8" t="str">
        <f>IFERROR(IF(Tabela4[[#This Row],[VALOR]]="","",IF(Tabela1[[#This Row],[ORIENTACAO]]="Anular",'PREENCHER AQUI'!K180*-1*100,'PREENCHER AQUI'!K180*100)),"")</f>
        <v/>
      </c>
      <c r="T180" s="7" t="str">
        <f>IFERROR(IF('PREENCHER AQUI'!L180="","999",LEFT('PREENCHER AQUI'!L180,1)),"")</f>
        <v>999</v>
      </c>
      <c r="V180" s="19"/>
      <c r="W180" s="20" t="str">
        <f>IFERROR(VLOOKUP(Tabela1[[#This Row],[UO_COD]],qdd!$AT$1:$AU$102,2,FALSE),"")</f>
        <v/>
      </c>
      <c r="X180" s="20" t="str">
        <f>CONCATENATE("F",Tabela1[[#This Row],[FONTE_COD]],Tabela1[[#This Row],[IPU_COD]],"G",Tabela1[[#This Row],[GRUPO_COD]],"T",Tabela1[[#This Row],[TIPO]])</f>
        <v>FGT999</v>
      </c>
      <c r="Y1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0" s="19"/>
      <c r="AA180" s="29" t="str">
        <f>IFERROR(VLOOKUP(CONCATENATE("B",Tabela1[[#This Row],[BLOCO]],Tabela1[[#This Row],[UO_COD]]),qdd!$AW$2:$AX$1000,2,FALSE),"")</f>
        <v/>
      </c>
      <c r="AB180" s="30" t="str">
        <f>IFERROR(Tabela1[[#This Row],[VALOR]]/100,"")</f>
        <v/>
      </c>
      <c r="AC180" s="7" t="str" cm="1">
        <f t="array" aca="1" ref="AC180" ca="1">IF(Tabela1[[#This Row],[VALOR]]&lt;0,"",IFERROR(SUBSTITUTE(Converter_numero(Tabela1[[#This Row],[VALOR INCISO]]),",",""),""))</f>
        <v/>
      </c>
      <c r="AD180" s="29" t="str">
        <f>IF(Tabela1[[#This Row],[TIPO]]=REGRAS!$W$2,REGRAS!$X$2,IF(Tabela1[[#This Row],[TIPO]]=REGRAS!$W$4,REGRAS!$X$4,""))</f>
        <v/>
      </c>
      <c r="AE180" s="29" t="e">
        <f>VLOOKUP(Tabela1[[#This Row],[FONTE_COD]],REGRAS!$O$2:$P$69,2,FALSE)</f>
        <v>#N/A</v>
      </c>
      <c r="AF1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1" spans="1:32" ht="18.75" customHeight="1">
      <c r="A181" s="2" t="str">
        <f>IFERROR(IF('PREENCHER AQUI'!A181="","",'PREENCHER AQUI'!A181),"")</f>
        <v/>
      </c>
      <c r="B181" s="1" t="str">
        <f>IFERROR(IF('PREENCHER AQUI'!B181="","",PROPER('PREENCHER AQUI'!B181)),"")</f>
        <v/>
      </c>
      <c r="C181" s="1" t="str">
        <f>IFERROR(IF('PREENCHER AQUI'!C181="","",'PREENCHER AQUI'!C181),"")</f>
        <v/>
      </c>
      <c r="D181" s="2" t="str">
        <f>IFERROR(IF('PREENCHER AQUI'!D181="","",'PREENCHER AQUI'!D181),"")</f>
        <v/>
      </c>
      <c r="E181" s="2" t="str">
        <f>IFERROR(VLOOKUP(CONCATENATE(C181,D181),qdd!$C$2:$F$1000,2,FALSE),"")</f>
        <v/>
      </c>
      <c r="F181" s="2" t="str">
        <f>IFERROR(VLOOKUP(CONCATENATE(C181,D181),qdd!$C$2:$F$1000,3,FALSE),"")</f>
        <v/>
      </c>
      <c r="G181" s="2" t="str">
        <f>IFERROR(VLOOKUP(CONCATENATE(C181,D181),qdd!$C$2:$F$1000,4,FALSE),"")</f>
        <v/>
      </c>
      <c r="H181" s="6" t="str">
        <f t="shared" si="6"/>
        <v/>
      </c>
      <c r="I1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1" s="2" t="str">
        <f>IFERROR(IF('PREENCHER AQUI'!E181="","",'PREENCHER AQUI'!E181),"")</f>
        <v/>
      </c>
      <c r="K181" s="2" t="str">
        <f>IFERROR(IF('PREENCHER AQUI'!F181="","",'PREENCHER AQUI'!F181),"")</f>
        <v/>
      </c>
      <c r="L181" s="2" t="str">
        <f>IF(Tabela1[[#This Row],[IPU_COD]]=9,"91",IF(Tabela1[[#This Row],[ACAO_COD]]="","",VLOOKUP(CONCATENATE("G",J181,"M",K181),qdd!$BC$2:$BD$46,2,FALSE)))</f>
        <v/>
      </c>
      <c r="M181" s="2" t="str">
        <f>TEXT(IFERROR(VLOOKUP(CONCATENATE(C181,D181),qdd!$C$2:$G$1000,5,FALSE),""),0)</f>
        <v/>
      </c>
      <c r="N181" s="2" t="str">
        <f>IFERROR(IF('PREENCHER AQUI'!I181="","",'PREENCHER AQUI'!I181),"")</f>
        <v/>
      </c>
      <c r="O181" s="2" t="str">
        <f>IFERROR(IF('PREENCHER AQUI'!J181="","",'PREENCHER AQUI'!J181),"")</f>
        <v/>
      </c>
      <c r="P181" s="7" t="str">
        <f t="shared" si="7"/>
        <v/>
      </c>
      <c r="Q181" s="8" t="str">
        <f>IFERROR(IF(Tabela4[[#This Row],[VALOR]]="","",IF(Tabela1[[#This Row],[ORIENTACAO]]="Anular",'PREENCHER AQUI'!K181*-1*100,'PREENCHER AQUI'!K181*100)),"")</f>
        <v/>
      </c>
      <c r="T181" s="7" t="str">
        <f>IFERROR(IF('PREENCHER AQUI'!L181="","999",LEFT('PREENCHER AQUI'!L181,1)),"")</f>
        <v>999</v>
      </c>
      <c r="V181" s="19"/>
      <c r="W181" s="1" t="str">
        <f>IFERROR(VLOOKUP(Tabela1[[#This Row],[UO_COD]],qdd!$AT$1:$AU$102,2,FALSE),"")</f>
        <v/>
      </c>
      <c r="X181" s="1" t="str">
        <f>CONCATENATE("F",Tabela1[[#This Row],[FONTE_COD]],Tabela1[[#This Row],[IPU_COD]],"G",Tabela1[[#This Row],[GRUPO_COD]],"T",Tabela1[[#This Row],[TIPO]])</f>
        <v>FGT999</v>
      </c>
      <c r="Y1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1" s="19"/>
      <c r="AA181" s="29" t="str">
        <f>IFERROR(VLOOKUP(CONCATENATE("B",Tabela1[[#This Row],[BLOCO]],Tabela1[[#This Row],[UO_COD]]),qdd!$AW$2:$AX$1000,2,FALSE),"")</f>
        <v/>
      </c>
      <c r="AB181" s="30" t="str">
        <f>IFERROR(Tabela1[[#This Row],[VALOR]]/100,"")</f>
        <v/>
      </c>
      <c r="AC181" s="7" t="str" cm="1">
        <f t="array" aca="1" ref="AC181" ca="1">IF(Tabela1[[#This Row],[VALOR]]&lt;0,"",IFERROR(SUBSTITUTE(Converter_numero(Tabela1[[#This Row],[VALOR INCISO]]),",",""),""))</f>
        <v/>
      </c>
      <c r="AD181" s="29" t="str">
        <f>IF(Tabela1[[#This Row],[TIPO]]=REGRAS!$W$2,REGRAS!$X$2,IF(Tabela1[[#This Row],[TIPO]]=REGRAS!$W$4,REGRAS!$X$4,""))</f>
        <v/>
      </c>
      <c r="AE181" s="29" t="e">
        <f>VLOOKUP(Tabela1[[#This Row],[FONTE_COD]],REGRAS!$O$2:$P$69,2,FALSE)</f>
        <v>#N/A</v>
      </c>
      <c r="AF1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2" spans="1:32" ht="18.75" customHeight="1">
      <c r="A182" s="2" t="str">
        <f>IFERROR(IF('PREENCHER AQUI'!A182="","",'PREENCHER AQUI'!A182),"")</f>
        <v/>
      </c>
      <c r="B182" s="1" t="str">
        <f>IFERROR(IF('PREENCHER AQUI'!B182="","",PROPER('PREENCHER AQUI'!B182)),"")</f>
        <v/>
      </c>
      <c r="C182" s="1" t="str">
        <f>IFERROR(IF('PREENCHER AQUI'!C182="","",'PREENCHER AQUI'!C182),"")</f>
        <v/>
      </c>
      <c r="D182" s="2" t="str">
        <f>IFERROR(IF('PREENCHER AQUI'!D182="","",'PREENCHER AQUI'!D182),"")</f>
        <v/>
      </c>
      <c r="E182" s="2" t="str">
        <f>IFERROR(VLOOKUP(CONCATENATE(C182,D182),qdd!$C$2:$F$1000,2,FALSE),"")</f>
        <v/>
      </c>
      <c r="F182" s="2" t="str">
        <f>IFERROR(VLOOKUP(CONCATENATE(C182,D182),qdd!$C$2:$F$1000,3,FALSE),"")</f>
        <v/>
      </c>
      <c r="G182" s="2" t="str">
        <f>IFERROR(VLOOKUP(CONCATENATE(C182,D182),qdd!$C$2:$F$1000,4,FALSE),"")</f>
        <v/>
      </c>
      <c r="H182" s="6" t="str">
        <f t="shared" si="6"/>
        <v/>
      </c>
      <c r="I1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2" s="2" t="str">
        <f>IFERROR(IF('PREENCHER AQUI'!E182="","",'PREENCHER AQUI'!E182),"")</f>
        <v/>
      </c>
      <c r="K182" s="2" t="str">
        <f>IFERROR(IF('PREENCHER AQUI'!F182="","",'PREENCHER AQUI'!F182),"")</f>
        <v/>
      </c>
      <c r="L182" s="2" t="str">
        <f>IF(Tabela1[[#This Row],[IPU_COD]]=9,"91",IF(Tabela1[[#This Row],[ACAO_COD]]="","",VLOOKUP(CONCATENATE("G",J182,"M",K182),qdd!$BC$2:$BD$46,2,FALSE)))</f>
        <v/>
      </c>
      <c r="M182" s="2" t="str">
        <f>TEXT(IFERROR(VLOOKUP(CONCATENATE(C182,D182),qdd!$C$2:$G$1000,5,FALSE),""),0)</f>
        <v/>
      </c>
      <c r="N182" s="2" t="str">
        <f>IFERROR(IF('PREENCHER AQUI'!I182="","",'PREENCHER AQUI'!I182),"")</f>
        <v/>
      </c>
      <c r="O182" s="2" t="str">
        <f>IFERROR(IF('PREENCHER AQUI'!J182="","",'PREENCHER AQUI'!J182),"")</f>
        <v/>
      </c>
      <c r="P182" s="7" t="str">
        <f t="shared" si="7"/>
        <v/>
      </c>
      <c r="Q182" s="8" t="str">
        <f>IFERROR(IF(Tabela4[[#This Row],[VALOR]]="","",IF(Tabela1[[#This Row],[ORIENTACAO]]="Anular",'PREENCHER AQUI'!K182*-1*100,'PREENCHER AQUI'!K182*100)),"")</f>
        <v/>
      </c>
      <c r="T182" s="7" t="str">
        <f>IFERROR(IF('PREENCHER AQUI'!L182="","999",LEFT('PREENCHER AQUI'!L182,1)),"")</f>
        <v>999</v>
      </c>
      <c r="W182" s="1" t="str">
        <f>IFERROR(VLOOKUP(Tabela1[[#This Row],[UO_COD]],qdd!$AT$1:$AU$102,2,FALSE),"")</f>
        <v/>
      </c>
      <c r="X182" s="1" t="str">
        <f>CONCATENATE("F",Tabela1[[#This Row],[FONTE_COD]],Tabela1[[#This Row],[IPU_COD]],"G",Tabela1[[#This Row],[GRUPO_COD]],"T",Tabela1[[#This Row],[TIPO]])</f>
        <v>FGT999</v>
      </c>
      <c r="Y1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2" s="19"/>
      <c r="AA182" s="29" t="str">
        <f>IFERROR(VLOOKUP(CONCATENATE("B",Tabela1[[#This Row],[BLOCO]],Tabela1[[#This Row],[UO_COD]]),qdd!$AW$2:$AX$1000,2,FALSE),"")</f>
        <v/>
      </c>
      <c r="AB182" s="30" t="str">
        <f>IFERROR(Tabela1[[#This Row],[VALOR]]/100,"")</f>
        <v/>
      </c>
      <c r="AC182" s="7" t="str" cm="1">
        <f t="array" aca="1" ref="AC182" ca="1">IF(Tabela1[[#This Row],[VALOR]]&lt;0,"",IFERROR(SUBSTITUTE(Converter_numero(Tabela1[[#This Row],[VALOR INCISO]]),",",""),""))</f>
        <v/>
      </c>
      <c r="AD182" s="7" t="str">
        <f>IF(Tabela1[[#This Row],[TIPO]]=REGRAS!$W$2,REGRAS!$X$2,IF(Tabela1[[#This Row],[TIPO]]=REGRAS!$W$4,REGRAS!$X$4,""))</f>
        <v/>
      </c>
      <c r="AE182" s="29" t="e">
        <f>VLOOKUP(Tabela1[[#This Row],[FONTE_COD]],REGRAS!$O$2:$P$69,2,FALSE)</f>
        <v>#N/A</v>
      </c>
      <c r="AF1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3" spans="1:32" ht="18.75" customHeight="1">
      <c r="A183" s="2" t="str">
        <f>IFERROR(IF('PREENCHER AQUI'!A183="","",'PREENCHER AQUI'!A183),"")</f>
        <v/>
      </c>
      <c r="B183" s="1" t="str">
        <f>IFERROR(IF('PREENCHER AQUI'!B183="","",PROPER('PREENCHER AQUI'!B183)),"")</f>
        <v/>
      </c>
      <c r="C183" s="1" t="str">
        <f>IFERROR(IF('PREENCHER AQUI'!C183="","",'PREENCHER AQUI'!C183),"")</f>
        <v/>
      </c>
      <c r="D183" s="2" t="str">
        <f>IFERROR(IF('PREENCHER AQUI'!D183="","",'PREENCHER AQUI'!D183),"")</f>
        <v/>
      </c>
      <c r="E183" s="2" t="str">
        <f>IFERROR(VLOOKUP(CONCATENATE(C183,D183),qdd!$C$2:$F$1000,2,FALSE),"")</f>
        <v/>
      </c>
      <c r="F183" s="2" t="str">
        <f>IFERROR(VLOOKUP(CONCATENATE(C183,D183),qdd!$C$2:$F$1000,3,FALSE),"")</f>
        <v/>
      </c>
      <c r="G183" s="2" t="str">
        <f>IFERROR(VLOOKUP(CONCATENATE(C183,D183),qdd!$C$2:$F$1000,4,FALSE),"")</f>
        <v/>
      </c>
      <c r="H183" s="6" t="str">
        <f t="shared" si="6"/>
        <v/>
      </c>
      <c r="I1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3" s="2" t="str">
        <f>IFERROR(IF('PREENCHER AQUI'!E183="","",'PREENCHER AQUI'!E183),"")</f>
        <v/>
      </c>
      <c r="K183" s="2" t="str">
        <f>IFERROR(IF('PREENCHER AQUI'!F183="","",'PREENCHER AQUI'!F183),"")</f>
        <v/>
      </c>
      <c r="L183" s="2" t="str">
        <f>IF(Tabela1[[#This Row],[IPU_COD]]=9,"91",IF(Tabela1[[#This Row],[ACAO_COD]]="","",VLOOKUP(CONCATENATE("G",J183,"M",K183),qdd!$BC$2:$BD$46,2,FALSE)))</f>
        <v/>
      </c>
      <c r="M183" s="2" t="str">
        <f>TEXT(IFERROR(VLOOKUP(CONCATENATE(C183,D183),qdd!$C$2:$G$1000,5,FALSE),""),0)</f>
        <v/>
      </c>
      <c r="N183" s="2" t="str">
        <f>IFERROR(IF('PREENCHER AQUI'!I183="","",'PREENCHER AQUI'!I183),"")</f>
        <v/>
      </c>
      <c r="O183" s="2" t="str">
        <f>IFERROR(IF('PREENCHER AQUI'!J183="","",'PREENCHER AQUI'!J183),"")</f>
        <v/>
      </c>
      <c r="P183" s="7" t="str">
        <f t="shared" si="7"/>
        <v/>
      </c>
      <c r="Q183" s="8" t="str">
        <f>IFERROR(IF(Tabela4[[#This Row],[VALOR]]="","",IF(Tabela1[[#This Row],[ORIENTACAO]]="Anular",'PREENCHER AQUI'!K183*-1*100,'PREENCHER AQUI'!K183*100)),"")</f>
        <v/>
      </c>
      <c r="T183" s="7" t="str">
        <f>IFERROR(IF('PREENCHER AQUI'!L183="","999",LEFT('PREENCHER AQUI'!L183,1)),"")</f>
        <v>999</v>
      </c>
      <c r="V183" s="19"/>
      <c r="W183" s="1" t="str">
        <f>IFERROR(VLOOKUP(Tabela1[[#This Row],[UO_COD]],qdd!$AT$1:$AU$102,2,FALSE),"")</f>
        <v/>
      </c>
      <c r="X183" s="1" t="str">
        <f>CONCATENATE("F",Tabela1[[#This Row],[FONTE_COD]],Tabela1[[#This Row],[IPU_COD]],"G",Tabela1[[#This Row],[GRUPO_COD]],"T",Tabela1[[#This Row],[TIPO]])</f>
        <v>FGT999</v>
      </c>
      <c r="Y1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3" s="19"/>
      <c r="AA183" s="29" t="str">
        <f>IFERROR(VLOOKUP(CONCATENATE("B",Tabela1[[#This Row],[BLOCO]],Tabela1[[#This Row],[UO_COD]]),qdd!$AW$2:$AX$1000,2,FALSE),"")</f>
        <v/>
      </c>
      <c r="AB183" s="30" t="str">
        <f>IFERROR(Tabela1[[#This Row],[VALOR]]/100,"")</f>
        <v/>
      </c>
      <c r="AC183" s="7" t="str" cm="1">
        <f t="array" aca="1" ref="AC183" ca="1">IF(Tabela1[[#This Row],[VALOR]]&lt;0,"",IFERROR(SUBSTITUTE(Converter_numero(Tabela1[[#This Row],[VALOR INCISO]]),",",""),""))</f>
        <v/>
      </c>
      <c r="AD183" s="29" t="str">
        <f>IF(Tabela1[[#This Row],[TIPO]]=REGRAS!$W$2,REGRAS!$X$2,IF(Tabela1[[#This Row],[TIPO]]=REGRAS!$W$4,REGRAS!$X$4,""))</f>
        <v/>
      </c>
      <c r="AE183" s="29" t="e">
        <f>VLOOKUP(Tabela1[[#This Row],[FONTE_COD]],REGRAS!$O$2:$P$69,2,FALSE)</f>
        <v>#N/A</v>
      </c>
      <c r="AF1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4" spans="1:32" ht="18.75" customHeight="1">
      <c r="A184" s="2" t="str">
        <f>IFERROR(IF('PREENCHER AQUI'!A184="","",'PREENCHER AQUI'!A184),"")</f>
        <v/>
      </c>
      <c r="B184" s="1" t="str">
        <f>IFERROR(IF('PREENCHER AQUI'!B184="","",PROPER('PREENCHER AQUI'!B184)),"")</f>
        <v/>
      </c>
      <c r="C184" s="1" t="str">
        <f>IFERROR(IF('PREENCHER AQUI'!C184="","",'PREENCHER AQUI'!C184),"")</f>
        <v/>
      </c>
      <c r="D184" s="2" t="str">
        <f>IFERROR(IF('PREENCHER AQUI'!D184="","",'PREENCHER AQUI'!D184),"")</f>
        <v/>
      </c>
      <c r="E184" s="2" t="str">
        <f>IFERROR(VLOOKUP(CONCATENATE(C184,D184),qdd!$C$2:$F$1000,2,FALSE),"")</f>
        <v/>
      </c>
      <c r="F184" s="2" t="str">
        <f>IFERROR(VLOOKUP(CONCATENATE(C184,D184),qdd!$C$2:$F$1000,3,FALSE),"")</f>
        <v/>
      </c>
      <c r="G184" s="2" t="str">
        <f>IFERROR(VLOOKUP(CONCATENATE(C184,D184),qdd!$C$2:$F$1000,4,FALSE),"")</f>
        <v/>
      </c>
      <c r="H184" s="6" t="str">
        <f t="shared" si="6"/>
        <v/>
      </c>
      <c r="I1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4" s="2" t="str">
        <f>IFERROR(IF('PREENCHER AQUI'!E184="","",'PREENCHER AQUI'!E184),"")</f>
        <v/>
      </c>
      <c r="K184" s="2" t="str">
        <f>IFERROR(IF('PREENCHER AQUI'!F184="","",'PREENCHER AQUI'!F184),"")</f>
        <v/>
      </c>
      <c r="L184" s="2" t="str">
        <f>IF(Tabela1[[#This Row],[IPU_COD]]=9,"91",IF(Tabela1[[#This Row],[ACAO_COD]]="","",VLOOKUP(CONCATENATE("G",J184,"M",K184),qdd!$BC$2:$BD$46,2,FALSE)))</f>
        <v/>
      </c>
      <c r="M184" s="2" t="str">
        <f>TEXT(IFERROR(VLOOKUP(CONCATENATE(C184,D184),qdd!$C$2:$G$1000,5,FALSE),""),0)</f>
        <v/>
      </c>
      <c r="N184" s="2" t="str">
        <f>IFERROR(IF('PREENCHER AQUI'!I184="","",'PREENCHER AQUI'!I184),"")</f>
        <v/>
      </c>
      <c r="O184" s="2" t="str">
        <f>IFERROR(IF('PREENCHER AQUI'!J184="","",'PREENCHER AQUI'!J184),"")</f>
        <v/>
      </c>
      <c r="P184" s="7" t="str">
        <f t="shared" si="7"/>
        <v/>
      </c>
      <c r="Q184" s="8" t="str">
        <f>IFERROR(IF(Tabela4[[#This Row],[VALOR]]="","",IF(Tabela1[[#This Row],[ORIENTACAO]]="Anular",'PREENCHER AQUI'!K184*-1*100,'PREENCHER AQUI'!K184*100)),"")</f>
        <v/>
      </c>
      <c r="T184" s="7" t="str">
        <f>IFERROR(IF('PREENCHER AQUI'!L184="","999",LEFT('PREENCHER AQUI'!L184,1)),"")</f>
        <v>999</v>
      </c>
      <c r="V184" s="19"/>
      <c r="W184" s="1" t="str">
        <f>IFERROR(VLOOKUP(Tabela1[[#This Row],[UO_COD]],qdd!$AT$1:$AU$102,2,FALSE),"")</f>
        <v/>
      </c>
      <c r="X184" s="1" t="str">
        <f>CONCATENATE("F",Tabela1[[#This Row],[FONTE_COD]],Tabela1[[#This Row],[IPU_COD]],"G",Tabela1[[#This Row],[GRUPO_COD]],"T",Tabela1[[#This Row],[TIPO]])</f>
        <v>FGT999</v>
      </c>
      <c r="Y1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4" s="19"/>
      <c r="AA184" s="29" t="str">
        <f>IFERROR(VLOOKUP(CONCATENATE("B",Tabela1[[#This Row],[BLOCO]],Tabela1[[#This Row],[UO_COD]]),qdd!$AW$2:$AX$1000,2,FALSE),"")</f>
        <v/>
      </c>
      <c r="AB184" s="30" t="str">
        <f>IFERROR(Tabela1[[#This Row],[VALOR]]/100,"")</f>
        <v/>
      </c>
      <c r="AC184" s="7" t="str" cm="1">
        <f t="array" aca="1" ref="AC184" ca="1">IF(Tabela1[[#This Row],[VALOR]]&lt;0,"",IFERROR(SUBSTITUTE(Converter_numero(Tabela1[[#This Row],[VALOR INCISO]]),",",""),""))</f>
        <v/>
      </c>
      <c r="AD184" s="29" t="str">
        <f>IF(Tabela1[[#This Row],[TIPO]]=REGRAS!$W$2,REGRAS!$X$2,IF(Tabela1[[#This Row],[TIPO]]=REGRAS!$W$4,REGRAS!$X$4,""))</f>
        <v/>
      </c>
      <c r="AE184" s="29" t="e">
        <f>VLOOKUP(Tabela1[[#This Row],[FONTE_COD]],REGRAS!$O$2:$P$69,2,FALSE)</f>
        <v>#N/A</v>
      </c>
      <c r="AF1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5" spans="1:32" ht="18.75" customHeight="1">
      <c r="A185" s="2" t="str">
        <f>IFERROR(IF('PREENCHER AQUI'!A185="","",'PREENCHER AQUI'!A185),"")</f>
        <v/>
      </c>
      <c r="B185" s="1" t="str">
        <f>IFERROR(IF('PREENCHER AQUI'!B185="","",PROPER('PREENCHER AQUI'!B185)),"")</f>
        <v/>
      </c>
      <c r="C185" s="1" t="str">
        <f>IFERROR(IF('PREENCHER AQUI'!C185="","",'PREENCHER AQUI'!C185),"")</f>
        <v/>
      </c>
      <c r="D185" s="2" t="str">
        <f>IFERROR(IF('PREENCHER AQUI'!D185="","",'PREENCHER AQUI'!D185),"")</f>
        <v/>
      </c>
      <c r="E185" s="2" t="str">
        <f>IFERROR(VLOOKUP(CONCATENATE(C185,D185),qdd!$C$2:$F$1000,2,FALSE),"")</f>
        <v/>
      </c>
      <c r="F185" s="2" t="str">
        <f>IFERROR(VLOOKUP(CONCATENATE(C185,D185),qdd!$C$2:$F$1000,3,FALSE),"")</f>
        <v/>
      </c>
      <c r="G185" s="2" t="str">
        <f>IFERROR(VLOOKUP(CONCATENATE(C185,D185),qdd!$C$2:$F$1000,4,FALSE),"")</f>
        <v/>
      </c>
      <c r="H185" s="6" t="str">
        <f t="shared" si="6"/>
        <v/>
      </c>
      <c r="I1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5" s="2" t="str">
        <f>IFERROR(IF('PREENCHER AQUI'!E185="","",'PREENCHER AQUI'!E185),"")</f>
        <v/>
      </c>
      <c r="K185" s="2" t="str">
        <f>IFERROR(IF('PREENCHER AQUI'!F185="","",'PREENCHER AQUI'!F185),"")</f>
        <v/>
      </c>
      <c r="L185" s="2" t="str">
        <f>IF(Tabela1[[#This Row],[IPU_COD]]=9,"91",IF(Tabela1[[#This Row],[ACAO_COD]]="","",VLOOKUP(CONCATENATE("G",J185,"M",K185),qdd!$BC$2:$BD$46,2,FALSE)))</f>
        <v/>
      </c>
      <c r="M185" s="2" t="str">
        <f>TEXT(IFERROR(VLOOKUP(CONCATENATE(C185,D185),qdd!$C$2:$G$1000,5,FALSE),""),0)</f>
        <v/>
      </c>
      <c r="N185" s="2" t="str">
        <f>IFERROR(IF('PREENCHER AQUI'!I185="","",'PREENCHER AQUI'!I185),"")</f>
        <v/>
      </c>
      <c r="O185" s="2" t="str">
        <f>IFERROR(IF('PREENCHER AQUI'!J185="","",'PREENCHER AQUI'!J185),"")</f>
        <v/>
      </c>
      <c r="P185" s="7" t="str">
        <f t="shared" si="7"/>
        <v/>
      </c>
      <c r="Q185" s="8" t="str">
        <f>IFERROR(IF(Tabela4[[#This Row],[VALOR]]="","",IF(Tabela1[[#This Row],[ORIENTACAO]]="Anular",'PREENCHER AQUI'!K185*-1*100,'PREENCHER AQUI'!K185*100)),"")</f>
        <v/>
      </c>
      <c r="T185" s="7" t="str">
        <f>IFERROR(IF('PREENCHER AQUI'!L185="","999",LEFT('PREENCHER AQUI'!L185,1)),"")</f>
        <v>999</v>
      </c>
      <c r="V185" s="19"/>
      <c r="W185" s="20" t="str">
        <f>IFERROR(VLOOKUP(Tabela1[[#This Row],[UO_COD]],qdd!$AT$1:$AU$102,2,FALSE),"")</f>
        <v/>
      </c>
      <c r="X185" s="20" t="str">
        <f>CONCATENATE("F",Tabela1[[#This Row],[FONTE_COD]],Tabela1[[#This Row],[IPU_COD]],"G",Tabela1[[#This Row],[GRUPO_COD]],"T",Tabela1[[#This Row],[TIPO]])</f>
        <v>FGT999</v>
      </c>
      <c r="Y1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5" s="19"/>
      <c r="AA185" s="29" t="str">
        <f>IFERROR(VLOOKUP(CONCATENATE("B",Tabela1[[#This Row],[BLOCO]],Tabela1[[#This Row],[UO_COD]]),qdd!$AW$2:$AX$1000,2,FALSE),"")</f>
        <v/>
      </c>
      <c r="AB185" s="30" t="str">
        <f>IFERROR(Tabela1[[#This Row],[VALOR]]/100,"")</f>
        <v/>
      </c>
      <c r="AC185" s="7" t="str" cm="1">
        <f t="array" aca="1" ref="AC185" ca="1">IF(Tabela1[[#This Row],[VALOR]]&lt;0,"",IFERROR(SUBSTITUTE(Converter_numero(Tabela1[[#This Row],[VALOR INCISO]]),",",""),""))</f>
        <v/>
      </c>
      <c r="AD185" s="29" t="str">
        <f>IF(Tabela1[[#This Row],[TIPO]]=REGRAS!$W$2,REGRAS!$X$2,IF(Tabela1[[#This Row],[TIPO]]=REGRAS!$W$4,REGRAS!$X$4,""))</f>
        <v/>
      </c>
      <c r="AE185" s="29" t="e">
        <f>VLOOKUP(Tabela1[[#This Row],[FONTE_COD]],REGRAS!$O$2:$P$69,2,FALSE)</f>
        <v>#N/A</v>
      </c>
      <c r="AF1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6" spans="1:32" ht="18.75" customHeight="1">
      <c r="A186" s="2" t="str">
        <f>IFERROR(IF('PREENCHER AQUI'!A186="","",'PREENCHER AQUI'!A186),"")</f>
        <v/>
      </c>
      <c r="B186" s="1" t="str">
        <f>IFERROR(IF('PREENCHER AQUI'!B186="","",PROPER('PREENCHER AQUI'!B186)),"")</f>
        <v/>
      </c>
      <c r="C186" s="1" t="str">
        <f>IFERROR(IF('PREENCHER AQUI'!C186="","",'PREENCHER AQUI'!C186),"")</f>
        <v/>
      </c>
      <c r="D186" s="2" t="str">
        <f>IFERROR(IF('PREENCHER AQUI'!D186="","",'PREENCHER AQUI'!D186),"")</f>
        <v/>
      </c>
      <c r="E186" s="2" t="str">
        <f>IFERROR(VLOOKUP(CONCATENATE(C186,D186),qdd!$C$2:$F$1000,2,FALSE),"")</f>
        <v/>
      </c>
      <c r="F186" s="2" t="str">
        <f>IFERROR(VLOOKUP(CONCATENATE(C186,D186),qdd!$C$2:$F$1000,3,FALSE),"")</f>
        <v/>
      </c>
      <c r="G186" s="2" t="str">
        <f>IFERROR(VLOOKUP(CONCATENATE(C186,D186),qdd!$C$2:$F$1000,4,FALSE),"")</f>
        <v/>
      </c>
      <c r="H186" s="6" t="str">
        <f t="shared" si="6"/>
        <v/>
      </c>
      <c r="I1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6" s="2" t="str">
        <f>IFERROR(IF('PREENCHER AQUI'!E186="","",'PREENCHER AQUI'!E186),"")</f>
        <v/>
      </c>
      <c r="K186" s="2" t="str">
        <f>IFERROR(IF('PREENCHER AQUI'!F186="","",'PREENCHER AQUI'!F186),"")</f>
        <v/>
      </c>
      <c r="L186" s="2" t="str">
        <f>IF(Tabela1[[#This Row],[IPU_COD]]=9,"91",IF(Tabela1[[#This Row],[ACAO_COD]]="","",VLOOKUP(CONCATENATE("G",J186,"M",K186),qdd!$BC$2:$BD$46,2,FALSE)))</f>
        <v/>
      </c>
      <c r="M186" s="2" t="str">
        <f>TEXT(IFERROR(VLOOKUP(CONCATENATE(C186,D186),qdd!$C$2:$G$1000,5,FALSE),""),0)</f>
        <v/>
      </c>
      <c r="N186" s="2" t="str">
        <f>IFERROR(IF('PREENCHER AQUI'!I186="","",'PREENCHER AQUI'!I186),"")</f>
        <v/>
      </c>
      <c r="O186" s="2" t="str">
        <f>IFERROR(IF('PREENCHER AQUI'!J186="","",'PREENCHER AQUI'!J186),"")</f>
        <v/>
      </c>
      <c r="P186" s="7" t="str">
        <f t="shared" si="7"/>
        <v/>
      </c>
      <c r="Q186" s="8" t="str">
        <f>IFERROR(IF(Tabela4[[#This Row],[VALOR]]="","",IF(Tabela1[[#This Row],[ORIENTACAO]]="Anular",'PREENCHER AQUI'!K186*-1*100,'PREENCHER AQUI'!K186*100)),"")</f>
        <v/>
      </c>
      <c r="T186" s="7" t="str">
        <f>IFERROR(IF('PREENCHER AQUI'!L186="","999",LEFT('PREENCHER AQUI'!L186,1)),"")</f>
        <v>999</v>
      </c>
      <c r="V186" s="19"/>
      <c r="W186" s="1" t="str">
        <f>IFERROR(VLOOKUP(Tabela1[[#This Row],[UO_COD]],qdd!$AT$1:$AU$102,2,FALSE),"")</f>
        <v/>
      </c>
      <c r="X186" s="1" t="str">
        <f>CONCATENATE("F",Tabela1[[#This Row],[FONTE_COD]],Tabela1[[#This Row],[IPU_COD]],"G",Tabela1[[#This Row],[GRUPO_COD]],"T",Tabela1[[#This Row],[TIPO]])</f>
        <v>FGT999</v>
      </c>
      <c r="Y1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6" s="19"/>
      <c r="AA186" s="29" t="str">
        <f>IFERROR(VLOOKUP(CONCATENATE("B",Tabela1[[#This Row],[BLOCO]],Tabela1[[#This Row],[UO_COD]]),qdd!$AW$2:$AX$1000,2,FALSE),"")</f>
        <v/>
      </c>
      <c r="AB186" s="30" t="str">
        <f>IFERROR(Tabela1[[#This Row],[VALOR]]/100,"")</f>
        <v/>
      </c>
      <c r="AC186" s="7" t="str" cm="1">
        <f t="array" aca="1" ref="AC186" ca="1">IF(Tabela1[[#This Row],[VALOR]]&lt;0,"",IFERROR(SUBSTITUTE(Converter_numero(Tabela1[[#This Row],[VALOR INCISO]]),",",""),""))</f>
        <v/>
      </c>
      <c r="AD186" s="29" t="str">
        <f>IF(Tabela1[[#This Row],[TIPO]]=REGRAS!$W$2,REGRAS!$X$2,IF(Tabela1[[#This Row],[TIPO]]=REGRAS!$W$4,REGRAS!$X$4,""))</f>
        <v/>
      </c>
      <c r="AE186" s="29" t="e">
        <f>VLOOKUP(Tabela1[[#This Row],[FONTE_COD]],REGRAS!$O$2:$P$69,2,FALSE)</f>
        <v>#N/A</v>
      </c>
      <c r="AF1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7" spans="1:32" ht="18.75" customHeight="1">
      <c r="A187" s="2" t="str">
        <f>IFERROR(IF('PREENCHER AQUI'!A187="","",'PREENCHER AQUI'!A187),"")</f>
        <v/>
      </c>
      <c r="B187" s="1" t="str">
        <f>IFERROR(IF('PREENCHER AQUI'!B187="","",PROPER('PREENCHER AQUI'!B187)),"")</f>
        <v/>
      </c>
      <c r="C187" s="1" t="str">
        <f>IFERROR(IF('PREENCHER AQUI'!C187="","",'PREENCHER AQUI'!C187),"")</f>
        <v/>
      </c>
      <c r="D187" s="2" t="str">
        <f>IFERROR(IF('PREENCHER AQUI'!D187="","",'PREENCHER AQUI'!D187),"")</f>
        <v/>
      </c>
      <c r="E187" s="2" t="str">
        <f>IFERROR(VLOOKUP(CONCATENATE(C187,D187),qdd!$C$2:$F$1000,2,FALSE),"")</f>
        <v/>
      </c>
      <c r="F187" s="2" t="str">
        <f>IFERROR(VLOOKUP(CONCATENATE(C187,D187),qdd!$C$2:$F$1000,3,FALSE),"")</f>
        <v/>
      </c>
      <c r="G187" s="2" t="str">
        <f>IFERROR(VLOOKUP(CONCATENATE(C187,D187),qdd!$C$2:$F$1000,4,FALSE),"")</f>
        <v/>
      </c>
      <c r="H187" s="6" t="str">
        <f t="shared" si="6"/>
        <v/>
      </c>
      <c r="I1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7" s="2" t="str">
        <f>IFERROR(IF('PREENCHER AQUI'!E187="","",'PREENCHER AQUI'!E187),"")</f>
        <v/>
      </c>
      <c r="K187" s="2" t="str">
        <f>IFERROR(IF('PREENCHER AQUI'!F187="","",'PREENCHER AQUI'!F187),"")</f>
        <v/>
      </c>
      <c r="L187" s="2" t="str">
        <f>IF(Tabela1[[#This Row],[IPU_COD]]=9,"91",IF(Tabela1[[#This Row],[ACAO_COD]]="","",VLOOKUP(CONCATENATE("G",J187,"M",K187),qdd!$BC$2:$BD$46,2,FALSE)))</f>
        <v/>
      </c>
      <c r="M187" s="2" t="str">
        <f>TEXT(IFERROR(VLOOKUP(CONCATENATE(C187,D187),qdd!$C$2:$G$1000,5,FALSE),""),0)</f>
        <v/>
      </c>
      <c r="N187" s="2" t="str">
        <f>IFERROR(IF('PREENCHER AQUI'!I187="","",'PREENCHER AQUI'!I187),"")</f>
        <v/>
      </c>
      <c r="O187" s="2" t="str">
        <f>IFERROR(IF('PREENCHER AQUI'!J187="","",'PREENCHER AQUI'!J187),"")</f>
        <v/>
      </c>
      <c r="P187" s="7" t="str">
        <f t="shared" si="7"/>
        <v/>
      </c>
      <c r="Q187" s="8" t="str">
        <f>IFERROR(IF(Tabela4[[#This Row],[VALOR]]="","",IF(Tabela1[[#This Row],[ORIENTACAO]]="Anular",'PREENCHER AQUI'!K187*-1*100,'PREENCHER AQUI'!K187*100)),"")</f>
        <v/>
      </c>
      <c r="T187" s="7" t="str">
        <f>IFERROR(IF('PREENCHER AQUI'!L187="","999",LEFT('PREENCHER AQUI'!L187,1)),"")</f>
        <v>999</v>
      </c>
      <c r="W187" s="1" t="str">
        <f>IFERROR(VLOOKUP(Tabela1[[#This Row],[UO_COD]],qdd!$AT$1:$AU$102,2,FALSE),"")</f>
        <v/>
      </c>
      <c r="X187" s="1" t="str">
        <f>CONCATENATE("F",Tabela1[[#This Row],[FONTE_COD]],Tabela1[[#This Row],[IPU_COD]],"G",Tabela1[[#This Row],[GRUPO_COD]],"T",Tabela1[[#This Row],[TIPO]])</f>
        <v>FGT999</v>
      </c>
      <c r="Y1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7" s="19"/>
      <c r="AA187" s="29" t="str">
        <f>IFERROR(VLOOKUP(CONCATENATE("B",Tabela1[[#This Row],[BLOCO]],Tabela1[[#This Row],[UO_COD]]),qdd!$AW$2:$AX$1000,2,FALSE),"")</f>
        <v/>
      </c>
      <c r="AB187" s="30" t="str">
        <f>IFERROR(Tabela1[[#This Row],[VALOR]]/100,"")</f>
        <v/>
      </c>
      <c r="AC187" s="7" t="str" cm="1">
        <f t="array" aca="1" ref="AC187" ca="1">IF(Tabela1[[#This Row],[VALOR]]&lt;0,"",IFERROR(SUBSTITUTE(Converter_numero(Tabela1[[#This Row],[VALOR INCISO]]),",",""),""))</f>
        <v/>
      </c>
      <c r="AD187" s="7" t="str">
        <f>IF(Tabela1[[#This Row],[TIPO]]=REGRAS!$W$2,REGRAS!$X$2,IF(Tabela1[[#This Row],[TIPO]]=REGRAS!$W$4,REGRAS!$X$4,""))</f>
        <v/>
      </c>
      <c r="AE187" s="29" t="e">
        <f>VLOOKUP(Tabela1[[#This Row],[FONTE_COD]],REGRAS!$O$2:$P$69,2,FALSE)</f>
        <v>#N/A</v>
      </c>
      <c r="AF1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8" spans="1:32" ht="18.75" customHeight="1">
      <c r="A188" s="2" t="str">
        <f>IFERROR(IF('PREENCHER AQUI'!A188="","",'PREENCHER AQUI'!A188),"")</f>
        <v/>
      </c>
      <c r="B188" s="1" t="str">
        <f>IFERROR(IF('PREENCHER AQUI'!B188="","",PROPER('PREENCHER AQUI'!B188)),"")</f>
        <v/>
      </c>
      <c r="C188" s="1" t="str">
        <f>IFERROR(IF('PREENCHER AQUI'!C188="","",'PREENCHER AQUI'!C188),"")</f>
        <v/>
      </c>
      <c r="D188" s="2" t="str">
        <f>IFERROR(IF('PREENCHER AQUI'!D188="","",'PREENCHER AQUI'!D188),"")</f>
        <v/>
      </c>
      <c r="E188" s="2" t="str">
        <f>IFERROR(VLOOKUP(CONCATENATE(C188,D188),qdd!$C$2:$F$1000,2,FALSE),"")</f>
        <v/>
      </c>
      <c r="F188" s="2" t="str">
        <f>IFERROR(VLOOKUP(CONCATENATE(C188,D188),qdd!$C$2:$F$1000,3,FALSE),"")</f>
        <v/>
      </c>
      <c r="G188" s="2" t="str">
        <f>IFERROR(VLOOKUP(CONCATENATE(C188,D188),qdd!$C$2:$F$1000,4,FALSE),"")</f>
        <v/>
      </c>
      <c r="H188" s="6" t="str">
        <f t="shared" si="6"/>
        <v/>
      </c>
      <c r="I1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8" s="2" t="str">
        <f>IFERROR(IF('PREENCHER AQUI'!E188="","",'PREENCHER AQUI'!E188),"")</f>
        <v/>
      </c>
      <c r="K188" s="2" t="str">
        <f>IFERROR(IF('PREENCHER AQUI'!F188="","",'PREENCHER AQUI'!F188),"")</f>
        <v/>
      </c>
      <c r="L188" s="2" t="str">
        <f>IF(Tabela1[[#This Row],[IPU_COD]]=9,"91",IF(Tabela1[[#This Row],[ACAO_COD]]="","",VLOOKUP(CONCATENATE("G",J188,"M",K188),qdd!$BC$2:$BD$46,2,FALSE)))</f>
        <v/>
      </c>
      <c r="M188" s="2" t="str">
        <f>TEXT(IFERROR(VLOOKUP(CONCATENATE(C188,D188),qdd!$C$2:$G$1000,5,FALSE),""),0)</f>
        <v/>
      </c>
      <c r="N188" s="2" t="str">
        <f>IFERROR(IF('PREENCHER AQUI'!I188="","",'PREENCHER AQUI'!I188),"")</f>
        <v/>
      </c>
      <c r="O188" s="2" t="str">
        <f>IFERROR(IF('PREENCHER AQUI'!J188="","",'PREENCHER AQUI'!J188),"")</f>
        <v/>
      </c>
      <c r="P188" s="7" t="str">
        <f t="shared" si="7"/>
        <v/>
      </c>
      <c r="Q188" s="8" t="str">
        <f>IFERROR(IF(Tabela4[[#This Row],[VALOR]]="","",IF(Tabela1[[#This Row],[ORIENTACAO]]="Anular",'PREENCHER AQUI'!K188*-1*100,'PREENCHER AQUI'!K188*100)),"")</f>
        <v/>
      </c>
      <c r="T188" s="7" t="str">
        <f>IFERROR(IF('PREENCHER AQUI'!L188="","999",LEFT('PREENCHER AQUI'!L188,1)),"")</f>
        <v>999</v>
      </c>
      <c r="V188" s="19"/>
      <c r="W188" s="1" t="str">
        <f>IFERROR(VLOOKUP(Tabela1[[#This Row],[UO_COD]],qdd!$AT$1:$AU$102,2,FALSE),"")</f>
        <v/>
      </c>
      <c r="X188" s="1" t="str">
        <f>CONCATENATE("F",Tabela1[[#This Row],[FONTE_COD]],Tabela1[[#This Row],[IPU_COD]],"G",Tabela1[[#This Row],[GRUPO_COD]],"T",Tabela1[[#This Row],[TIPO]])</f>
        <v>FGT999</v>
      </c>
      <c r="Y1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8" s="19"/>
      <c r="AA188" s="29" t="str">
        <f>IFERROR(VLOOKUP(CONCATENATE("B",Tabela1[[#This Row],[BLOCO]],Tabela1[[#This Row],[UO_COD]]),qdd!$AW$2:$AX$1000,2,FALSE),"")</f>
        <v/>
      </c>
      <c r="AB188" s="30" t="str">
        <f>IFERROR(Tabela1[[#This Row],[VALOR]]/100,"")</f>
        <v/>
      </c>
      <c r="AC188" s="7" t="str" cm="1">
        <f t="array" aca="1" ref="AC188" ca="1">IF(Tabela1[[#This Row],[VALOR]]&lt;0,"",IFERROR(SUBSTITUTE(Converter_numero(Tabela1[[#This Row],[VALOR INCISO]]),",",""),""))</f>
        <v/>
      </c>
      <c r="AD188" s="29" t="str">
        <f>IF(Tabela1[[#This Row],[TIPO]]=REGRAS!$W$2,REGRAS!$X$2,IF(Tabela1[[#This Row],[TIPO]]=REGRAS!$W$4,REGRAS!$X$4,""))</f>
        <v/>
      </c>
      <c r="AE188" s="29" t="e">
        <f>VLOOKUP(Tabela1[[#This Row],[FONTE_COD]],REGRAS!$O$2:$P$69,2,FALSE)</f>
        <v>#N/A</v>
      </c>
      <c r="AF1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9" spans="1:32" ht="18.75" customHeight="1">
      <c r="A189" s="2" t="str">
        <f>IFERROR(IF('PREENCHER AQUI'!A189="","",'PREENCHER AQUI'!A189),"")</f>
        <v/>
      </c>
      <c r="B189" s="1" t="str">
        <f>IFERROR(IF('PREENCHER AQUI'!B189="","",PROPER('PREENCHER AQUI'!B189)),"")</f>
        <v/>
      </c>
      <c r="C189" s="1" t="str">
        <f>IFERROR(IF('PREENCHER AQUI'!C189="","",'PREENCHER AQUI'!C189),"")</f>
        <v/>
      </c>
      <c r="D189" s="2" t="str">
        <f>IFERROR(IF('PREENCHER AQUI'!D189="","",'PREENCHER AQUI'!D189),"")</f>
        <v/>
      </c>
      <c r="E189" s="2" t="str">
        <f>IFERROR(VLOOKUP(CONCATENATE(C189,D189),qdd!$C$2:$F$1000,2,FALSE),"")</f>
        <v/>
      </c>
      <c r="F189" s="2" t="str">
        <f>IFERROR(VLOOKUP(CONCATENATE(C189,D189),qdd!$C$2:$F$1000,3,FALSE),"")</f>
        <v/>
      </c>
      <c r="G189" s="2" t="str">
        <f>IFERROR(VLOOKUP(CONCATENATE(C189,D189),qdd!$C$2:$F$1000,4,FALSE),"")</f>
        <v/>
      </c>
      <c r="H189" s="6" t="str">
        <f t="shared" si="6"/>
        <v/>
      </c>
      <c r="I1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9" s="2" t="str">
        <f>IFERROR(IF('PREENCHER AQUI'!E189="","",'PREENCHER AQUI'!E189),"")</f>
        <v/>
      </c>
      <c r="K189" s="2" t="str">
        <f>IFERROR(IF('PREENCHER AQUI'!F189="","",'PREENCHER AQUI'!F189),"")</f>
        <v/>
      </c>
      <c r="L189" s="2" t="str">
        <f>IF(Tabela1[[#This Row],[IPU_COD]]=9,"91",IF(Tabela1[[#This Row],[ACAO_COD]]="","",VLOOKUP(CONCATENATE("G",J189,"M",K189),qdd!$BC$2:$BD$46,2,FALSE)))</f>
        <v/>
      </c>
      <c r="M189" s="2" t="str">
        <f>TEXT(IFERROR(VLOOKUP(CONCATENATE(C189,D189),qdd!$C$2:$G$1000,5,FALSE),""),0)</f>
        <v/>
      </c>
      <c r="N189" s="2" t="str">
        <f>IFERROR(IF('PREENCHER AQUI'!I189="","",'PREENCHER AQUI'!I189),"")</f>
        <v/>
      </c>
      <c r="O189" s="2" t="str">
        <f>IFERROR(IF('PREENCHER AQUI'!J189="","",'PREENCHER AQUI'!J189),"")</f>
        <v/>
      </c>
      <c r="P189" s="7" t="str">
        <f t="shared" si="7"/>
        <v/>
      </c>
      <c r="Q189" s="8" t="str">
        <f>IFERROR(IF(Tabela4[[#This Row],[VALOR]]="","",IF(Tabela1[[#This Row],[ORIENTACAO]]="Anular",'PREENCHER AQUI'!K189*-1*100,'PREENCHER AQUI'!K189*100)),"")</f>
        <v/>
      </c>
      <c r="T189" s="7" t="str">
        <f>IFERROR(IF('PREENCHER AQUI'!L189="","999",LEFT('PREENCHER AQUI'!L189,1)),"")</f>
        <v>999</v>
      </c>
      <c r="V189" s="19"/>
      <c r="W189" s="1" t="str">
        <f>IFERROR(VLOOKUP(Tabela1[[#This Row],[UO_COD]],qdd!$AT$1:$AU$102,2,FALSE),"")</f>
        <v/>
      </c>
      <c r="X189" s="1" t="str">
        <f>CONCATENATE("F",Tabela1[[#This Row],[FONTE_COD]],Tabela1[[#This Row],[IPU_COD]],"G",Tabela1[[#This Row],[GRUPO_COD]],"T",Tabela1[[#This Row],[TIPO]])</f>
        <v>FGT999</v>
      </c>
      <c r="Y1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9" s="19"/>
      <c r="AA189" s="29" t="str">
        <f>IFERROR(VLOOKUP(CONCATENATE("B",Tabela1[[#This Row],[BLOCO]],Tabela1[[#This Row],[UO_COD]]),qdd!$AW$2:$AX$1000,2,FALSE),"")</f>
        <v/>
      </c>
      <c r="AB189" s="30" t="str">
        <f>IFERROR(Tabela1[[#This Row],[VALOR]]/100,"")</f>
        <v/>
      </c>
      <c r="AC189" s="7" t="str" cm="1">
        <f t="array" aca="1" ref="AC189" ca="1">IF(Tabela1[[#This Row],[VALOR]]&lt;0,"",IFERROR(SUBSTITUTE(Converter_numero(Tabela1[[#This Row],[VALOR INCISO]]),",",""),""))</f>
        <v/>
      </c>
      <c r="AD189" s="29" t="str">
        <f>IF(Tabela1[[#This Row],[TIPO]]=REGRAS!$W$2,REGRAS!$X$2,IF(Tabela1[[#This Row],[TIPO]]=REGRAS!$W$4,REGRAS!$X$4,""))</f>
        <v/>
      </c>
      <c r="AE189" s="29" t="e">
        <f>VLOOKUP(Tabela1[[#This Row],[FONTE_COD]],REGRAS!$O$2:$P$69,2,FALSE)</f>
        <v>#N/A</v>
      </c>
      <c r="AF1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0" spans="1:32" ht="18.75" customHeight="1">
      <c r="A190" s="2" t="str">
        <f>IFERROR(IF('PREENCHER AQUI'!A190="","",'PREENCHER AQUI'!A190),"")</f>
        <v/>
      </c>
      <c r="B190" s="1" t="str">
        <f>IFERROR(IF('PREENCHER AQUI'!B190="","",PROPER('PREENCHER AQUI'!B190)),"")</f>
        <v/>
      </c>
      <c r="C190" s="1" t="str">
        <f>IFERROR(IF('PREENCHER AQUI'!C190="","",'PREENCHER AQUI'!C190),"")</f>
        <v/>
      </c>
      <c r="D190" s="2" t="str">
        <f>IFERROR(IF('PREENCHER AQUI'!D190="","",'PREENCHER AQUI'!D190),"")</f>
        <v/>
      </c>
      <c r="E190" s="2" t="str">
        <f>IFERROR(VLOOKUP(CONCATENATE(C190,D190),qdd!$C$2:$F$1000,2,FALSE),"")</f>
        <v/>
      </c>
      <c r="F190" s="2" t="str">
        <f>IFERROR(VLOOKUP(CONCATENATE(C190,D190),qdd!$C$2:$F$1000,3,FALSE),"")</f>
        <v/>
      </c>
      <c r="G190" s="2" t="str">
        <f>IFERROR(VLOOKUP(CONCATENATE(C190,D190),qdd!$C$2:$F$1000,4,FALSE),"")</f>
        <v/>
      </c>
      <c r="H190" s="6" t="str">
        <f t="shared" si="6"/>
        <v/>
      </c>
      <c r="I1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0" s="2" t="str">
        <f>IFERROR(IF('PREENCHER AQUI'!E190="","",'PREENCHER AQUI'!E190),"")</f>
        <v/>
      </c>
      <c r="K190" s="2" t="str">
        <f>IFERROR(IF('PREENCHER AQUI'!F190="","",'PREENCHER AQUI'!F190),"")</f>
        <v/>
      </c>
      <c r="L190" s="2" t="str">
        <f>IF(Tabela1[[#This Row],[IPU_COD]]=9,"91",IF(Tabela1[[#This Row],[ACAO_COD]]="","",VLOOKUP(CONCATENATE("G",J190,"M",K190),qdd!$BC$2:$BD$46,2,FALSE)))</f>
        <v/>
      </c>
      <c r="M190" s="2" t="str">
        <f>TEXT(IFERROR(VLOOKUP(CONCATENATE(C190,D190),qdd!$C$2:$G$1000,5,FALSE),""),0)</f>
        <v/>
      </c>
      <c r="N190" s="2" t="str">
        <f>IFERROR(IF('PREENCHER AQUI'!I190="","",'PREENCHER AQUI'!I190),"")</f>
        <v/>
      </c>
      <c r="O190" s="2" t="str">
        <f>IFERROR(IF('PREENCHER AQUI'!J190="","",'PREENCHER AQUI'!J190),"")</f>
        <v/>
      </c>
      <c r="P190" s="7" t="str">
        <f t="shared" si="7"/>
        <v/>
      </c>
      <c r="Q190" s="8" t="str">
        <f>IFERROR(IF(Tabela4[[#This Row],[VALOR]]="","",IF(Tabela1[[#This Row],[ORIENTACAO]]="Anular",'PREENCHER AQUI'!K190*-1*100,'PREENCHER AQUI'!K190*100)),"")</f>
        <v/>
      </c>
      <c r="T190" s="7" t="str">
        <f>IFERROR(IF('PREENCHER AQUI'!L190="","999",LEFT('PREENCHER AQUI'!L190,1)),"")</f>
        <v>999</v>
      </c>
      <c r="V190" s="19"/>
      <c r="W190" s="20" t="str">
        <f>IFERROR(VLOOKUP(Tabela1[[#This Row],[UO_COD]],qdd!$AT$1:$AU$102,2,FALSE),"")</f>
        <v/>
      </c>
      <c r="X190" s="20" t="str">
        <f>CONCATENATE("F",Tabela1[[#This Row],[FONTE_COD]],Tabela1[[#This Row],[IPU_COD]],"G",Tabela1[[#This Row],[GRUPO_COD]],"T",Tabela1[[#This Row],[TIPO]])</f>
        <v>FGT999</v>
      </c>
      <c r="Y1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0" s="19"/>
      <c r="AA190" s="29" t="str">
        <f>IFERROR(VLOOKUP(CONCATENATE("B",Tabela1[[#This Row],[BLOCO]],Tabela1[[#This Row],[UO_COD]]),qdd!$AW$2:$AX$1000,2,FALSE),"")</f>
        <v/>
      </c>
      <c r="AB190" s="30" t="str">
        <f>IFERROR(Tabela1[[#This Row],[VALOR]]/100,"")</f>
        <v/>
      </c>
      <c r="AC190" s="7" t="str" cm="1">
        <f t="array" aca="1" ref="AC190" ca="1">IF(Tabela1[[#This Row],[VALOR]]&lt;0,"",IFERROR(SUBSTITUTE(Converter_numero(Tabela1[[#This Row],[VALOR INCISO]]),",",""),""))</f>
        <v/>
      </c>
      <c r="AD190" s="29" t="str">
        <f>IF(Tabela1[[#This Row],[TIPO]]=REGRAS!$W$2,REGRAS!$X$2,IF(Tabela1[[#This Row],[TIPO]]=REGRAS!$W$4,REGRAS!$X$4,""))</f>
        <v/>
      </c>
      <c r="AE190" s="29" t="e">
        <f>VLOOKUP(Tabela1[[#This Row],[FONTE_COD]],REGRAS!$O$2:$P$69,2,FALSE)</f>
        <v>#N/A</v>
      </c>
      <c r="AF1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1" spans="1:32" ht="18.75" customHeight="1">
      <c r="A191" s="2" t="str">
        <f>IFERROR(IF('PREENCHER AQUI'!A191="","",'PREENCHER AQUI'!A191),"")</f>
        <v/>
      </c>
      <c r="B191" s="1" t="str">
        <f>IFERROR(IF('PREENCHER AQUI'!B191="","",PROPER('PREENCHER AQUI'!B191)),"")</f>
        <v/>
      </c>
      <c r="C191" s="1" t="str">
        <f>IFERROR(IF('PREENCHER AQUI'!C191="","",'PREENCHER AQUI'!C191),"")</f>
        <v/>
      </c>
      <c r="D191" s="2" t="str">
        <f>IFERROR(IF('PREENCHER AQUI'!D191="","",'PREENCHER AQUI'!D191),"")</f>
        <v/>
      </c>
      <c r="E191" s="2" t="str">
        <f>IFERROR(VLOOKUP(CONCATENATE(C191,D191),qdd!$C$2:$F$1000,2,FALSE),"")</f>
        <v/>
      </c>
      <c r="F191" s="2" t="str">
        <f>IFERROR(VLOOKUP(CONCATENATE(C191,D191),qdd!$C$2:$F$1000,3,FALSE),"")</f>
        <v/>
      </c>
      <c r="G191" s="2" t="str">
        <f>IFERROR(VLOOKUP(CONCATENATE(C191,D191),qdd!$C$2:$F$1000,4,FALSE),"")</f>
        <v/>
      </c>
      <c r="H191" s="6" t="str">
        <f t="shared" si="6"/>
        <v/>
      </c>
      <c r="I1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1" s="2" t="str">
        <f>IFERROR(IF('PREENCHER AQUI'!E191="","",'PREENCHER AQUI'!E191),"")</f>
        <v/>
      </c>
      <c r="K191" s="2" t="str">
        <f>IFERROR(IF('PREENCHER AQUI'!F191="","",'PREENCHER AQUI'!F191),"")</f>
        <v/>
      </c>
      <c r="L191" s="2" t="str">
        <f>IF(Tabela1[[#This Row],[IPU_COD]]=9,"91",IF(Tabela1[[#This Row],[ACAO_COD]]="","",VLOOKUP(CONCATENATE("G",J191,"M",K191),qdd!$BC$2:$BD$46,2,FALSE)))</f>
        <v/>
      </c>
      <c r="M191" s="2" t="str">
        <f>TEXT(IFERROR(VLOOKUP(CONCATENATE(C191,D191),qdd!$C$2:$G$1000,5,FALSE),""),0)</f>
        <v/>
      </c>
      <c r="N191" s="2" t="str">
        <f>IFERROR(IF('PREENCHER AQUI'!I191="","",'PREENCHER AQUI'!I191),"")</f>
        <v/>
      </c>
      <c r="O191" s="2" t="str">
        <f>IFERROR(IF('PREENCHER AQUI'!J191="","",'PREENCHER AQUI'!J191),"")</f>
        <v/>
      </c>
      <c r="P191" s="7" t="str">
        <f t="shared" si="7"/>
        <v/>
      </c>
      <c r="Q191" s="8" t="str">
        <f>IFERROR(IF(Tabela4[[#This Row],[VALOR]]="","",IF(Tabela1[[#This Row],[ORIENTACAO]]="Anular",'PREENCHER AQUI'!K191*-1*100,'PREENCHER AQUI'!K191*100)),"")</f>
        <v/>
      </c>
      <c r="T191" s="7" t="str">
        <f>IFERROR(IF('PREENCHER AQUI'!L191="","999",LEFT('PREENCHER AQUI'!L191,1)),"")</f>
        <v>999</v>
      </c>
      <c r="V191" s="19"/>
      <c r="W191" s="1" t="str">
        <f>IFERROR(VLOOKUP(Tabela1[[#This Row],[UO_COD]],qdd!$AT$1:$AU$102,2,FALSE),"")</f>
        <v/>
      </c>
      <c r="X191" s="1" t="str">
        <f>CONCATENATE("F",Tabela1[[#This Row],[FONTE_COD]],Tabela1[[#This Row],[IPU_COD]],"G",Tabela1[[#This Row],[GRUPO_COD]],"T",Tabela1[[#This Row],[TIPO]])</f>
        <v>FGT999</v>
      </c>
      <c r="Y1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1" s="19"/>
      <c r="AA191" s="29" t="str">
        <f>IFERROR(VLOOKUP(CONCATENATE("B",Tabela1[[#This Row],[BLOCO]],Tabela1[[#This Row],[UO_COD]]),qdd!$AW$2:$AX$1000,2,FALSE),"")</f>
        <v/>
      </c>
      <c r="AB191" s="30" t="str">
        <f>IFERROR(Tabela1[[#This Row],[VALOR]]/100,"")</f>
        <v/>
      </c>
      <c r="AC191" s="7" t="str" cm="1">
        <f t="array" aca="1" ref="AC191" ca="1">IF(Tabela1[[#This Row],[VALOR]]&lt;0,"",IFERROR(SUBSTITUTE(Converter_numero(Tabela1[[#This Row],[VALOR INCISO]]),",",""),""))</f>
        <v/>
      </c>
      <c r="AD191" s="29" t="str">
        <f>IF(Tabela1[[#This Row],[TIPO]]=REGRAS!$W$2,REGRAS!$X$2,IF(Tabela1[[#This Row],[TIPO]]=REGRAS!$W$4,REGRAS!$X$4,""))</f>
        <v/>
      </c>
      <c r="AE191" s="29" t="e">
        <f>VLOOKUP(Tabela1[[#This Row],[FONTE_COD]],REGRAS!$O$2:$P$69,2,FALSE)</f>
        <v>#N/A</v>
      </c>
      <c r="AF1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2" spans="1:32" ht="18.75" customHeight="1">
      <c r="A192" s="2" t="str">
        <f>IFERROR(IF('PREENCHER AQUI'!A192="","",'PREENCHER AQUI'!A192),"")</f>
        <v/>
      </c>
      <c r="B192" s="1" t="str">
        <f>IFERROR(IF('PREENCHER AQUI'!B192="","",PROPER('PREENCHER AQUI'!B192)),"")</f>
        <v/>
      </c>
      <c r="C192" s="1" t="str">
        <f>IFERROR(IF('PREENCHER AQUI'!C192="","",'PREENCHER AQUI'!C192),"")</f>
        <v/>
      </c>
      <c r="D192" s="2" t="str">
        <f>IFERROR(IF('PREENCHER AQUI'!D192="","",'PREENCHER AQUI'!D192),"")</f>
        <v/>
      </c>
      <c r="E192" s="2" t="str">
        <f>IFERROR(VLOOKUP(CONCATENATE(C192,D192),qdd!$C$2:$F$1000,2,FALSE),"")</f>
        <v/>
      </c>
      <c r="F192" s="2" t="str">
        <f>IFERROR(VLOOKUP(CONCATENATE(C192,D192),qdd!$C$2:$F$1000,3,FALSE),"")</f>
        <v/>
      </c>
      <c r="G192" s="2" t="str">
        <f>IFERROR(VLOOKUP(CONCATENATE(C192,D192),qdd!$C$2:$F$1000,4,FALSE),"")</f>
        <v/>
      </c>
      <c r="H192" s="6" t="str">
        <f t="shared" si="6"/>
        <v/>
      </c>
      <c r="I1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2" s="2" t="str">
        <f>IFERROR(IF('PREENCHER AQUI'!E192="","",'PREENCHER AQUI'!E192),"")</f>
        <v/>
      </c>
      <c r="K192" s="2" t="str">
        <f>IFERROR(IF('PREENCHER AQUI'!F192="","",'PREENCHER AQUI'!F192),"")</f>
        <v/>
      </c>
      <c r="L192" s="2" t="str">
        <f>IF(Tabela1[[#This Row],[IPU_COD]]=9,"91",IF(Tabela1[[#This Row],[ACAO_COD]]="","",VLOOKUP(CONCATENATE("G",J192,"M",K192),qdd!$BC$2:$BD$46,2,FALSE)))</f>
        <v/>
      </c>
      <c r="M192" s="2" t="str">
        <f>TEXT(IFERROR(VLOOKUP(CONCATENATE(C192,D192),qdd!$C$2:$G$1000,5,FALSE),""),0)</f>
        <v/>
      </c>
      <c r="N192" s="2" t="str">
        <f>IFERROR(IF('PREENCHER AQUI'!I192="","",'PREENCHER AQUI'!I192),"")</f>
        <v/>
      </c>
      <c r="O192" s="2" t="str">
        <f>IFERROR(IF('PREENCHER AQUI'!J192="","",'PREENCHER AQUI'!J192),"")</f>
        <v/>
      </c>
      <c r="P192" s="7" t="str">
        <f t="shared" si="7"/>
        <v/>
      </c>
      <c r="Q192" s="8" t="str">
        <f>IFERROR(IF(Tabela4[[#This Row],[VALOR]]="","",IF(Tabela1[[#This Row],[ORIENTACAO]]="Anular",'PREENCHER AQUI'!K192*-1*100,'PREENCHER AQUI'!K192*100)),"")</f>
        <v/>
      </c>
      <c r="T192" s="7" t="str">
        <f>IFERROR(IF('PREENCHER AQUI'!L192="","999",LEFT('PREENCHER AQUI'!L192,1)),"")</f>
        <v>999</v>
      </c>
      <c r="W192" s="1" t="str">
        <f>IFERROR(VLOOKUP(Tabela1[[#This Row],[UO_COD]],qdd!$AT$1:$AU$102,2,FALSE),"")</f>
        <v/>
      </c>
      <c r="X192" s="1" t="str">
        <f>CONCATENATE("F",Tabela1[[#This Row],[FONTE_COD]],Tabela1[[#This Row],[IPU_COD]],"G",Tabela1[[#This Row],[GRUPO_COD]],"T",Tabela1[[#This Row],[TIPO]])</f>
        <v>FGT999</v>
      </c>
      <c r="Y1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2" s="19"/>
      <c r="AA192" s="29" t="str">
        <f>IFERROR(VLOOKUP(CONCATENATE("B",Tabela1[[#This Row],[BLOCO]],Tabela1[[#This Row],[UO_COD]]),qdd!$AW$2:$AX$1000,2,FALSE),"")</f>
        <v/>
      </c>
      <c r="AB192" s="30" t="str">
        <f>IFERROR(Tabela1[[#This Row],[VALOR]]/100,"")</f>
        <v/>
      </c>
      <c r="AC192" s="7" t="str" cm="1">
        <f t="array" aca="1" ref="AC192" ca="1">IF(Tabela1[[#This Row],[VALOR]]&lt;0,"",IFERROR(SUBSTITUTE(Converter_numero(Tabela1[[#This Row],[VALOR INCISO]]),",",""),""))</f>
        <v/>
      </c>
      <c r="AD192" s="7" t="str">
        <f>IF(Tabela1[[#This Row],[TIPO]]=REGRAS!$W$2,REGRAS!$X$2,IF(Tabela1[[#This Row],[TIPO]]=REGRAS!$W$4,REGRAS!$X$4,""))</f>
        <v/>
      </c>
      <c r="AE192" s="29" t="e">
        <f>VLOOKUP(Tabela1[[#This Row],[FONTE_COD]],REGRAS!$O$2:$P$69,2,FALSE)</f>
        <v>#N/A</v>
      </c>
      <c r="AF1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3" spans="1:32" ht="18.75" customHeight="1">
      <c r="A193" s="2" t="str">
        <f>IFERROR(IF('PREENCHER AQUI'!A193="","",'PREENCHER AQUI'!A193),"")</f>
        <v/>
      </c>
      <c r="B193" s="1" t="str">
        <f>IFERROR(IF('PREENCHER AQUI'!B193="","",PROPER('PREENCHER AQUI'!B193)),"")</f>
        <v/>
      </c>
      <c r="C193" s="1" t="str">
        <f>IFERROR(IF('PREENCHER AQUI'!C193="","",'PREENCHER AQUI'!C193),"")</f>
        <v/>
      </c>
      <c r="D193" s="2" t="str">
        <f>IFERROR(IF('PREENCHER AQUI'!D193="","",'PREENCHER AQUI'!D193),"")</f>
        <v/>
      </c>
      <c r="E193" s="2" t="str">
        <f>IFERROR(VLOOKUP(CONCATENATE(C193,D193),qdd!$C$2:$F$1000,2,FALSE),"")</f>
        <v/>
      </c>
      <c r="F193" s="2" t="str">
        <f>IFERROR(VLOOKUP(CONCATENATE(C193,D193),qdd!$C$2:$F$1000,3,FALSE),"")</f>
        <v/>
      </c>
      <c r="G193" s="2" t="str">
        <f>IFERROR(VLOOKUP(CONCATENATE(C193,D193),qdd!$C$2:$F$1000,4,FALSE),"")</f>
        <v/>
      </c>
      <c r="H193" s="6" t="str">
        <f t="shared" si="6"/>
        <v/>
      </c>
      <c r="I1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3" s="2" t="str">
        <f>IFERROR(IF('PREENCHER AQUI'!E193="","",'PREENCHER AQUI'!E193),"")</f>
        <v/>
      </c>
      <c r="K193" s="2" t="str">
        <f>IFERROR(IF('PREENCHER AQUI'!F193="","",'PREENCHER AQUI'!F193),"")</f>
        <v/>
      </c>
      <c r="L193" s="2" t="str">
        <f>IF(Tabela1[[#This Row],[IPU_COD]]=9,"91",IF(Tabela1[[#This Row],[ACAO_COD]]="","",VLOOKUP(CONCATENATE("G",J193,"M",K193),qdd!$BC$2:$BD$46,2,FALSE)))</f>
        <v/>
      </c>
      <c r="M193" s="2" t="str">
        <f>TEXT(IFERROR(VLOOKUP(CONCATENATE(C193,D193),qdd!$C$2:$G$1000,5,FALSE),""),0)</f>
        <v/>
      </c>
      <c r="N193" s="2" t="str">
        <f>IFERROR(IF('PREENCHER AQUI'!I193="","",'PREENCHER AQUI'!I193),"")</f>
        <v/>
      </c>
      <c r="O193" s="2" t="str">
        <f>IFERROR(IF('PREENCHER AQUI'!J193="","",'PREENCHER AQUI'!J193),"")</f>
        <v/>
      </c>
      <c r="P193" s="7" t="str">
        <f t="shared" si="7"/>
        <v/>
      </c>
      <c r="Q193" s="8" t="str">
        <f>IFERROR(IF(Tabela4[[#This Row],[VALOR]]="","",IF(Tabela1[[#This Row],[ORIENTACAO]]="Anular",'PREENCHER AQUI'!K193*-1*100,'PREENCHER AQUI'!K193*100)),"")</f>
        <v/>
      </c>
      <c r="T193" s="7" t="str">
        <f>IFERROR(IF('PREENCHER AQUI'!L193="","999",LEFT('PREENCHER AQUI'!L193,1)),"")</f>
        <v>999</v>
      </c>
      <c r="V193" s="19"/>
      <c r="W193" s="1" t="str">
        <f>IFERROR(VLOOKUP(Tabela1[[#This Row],[UO_COD]],qdd!$AT$1:$AU$102,2,FALSE),"")</f>
        <v/>
      </c>
      <c r="X193" s="1" t="str">
        <f>CONCATENATE("F",Tabela1[[#This Row],[FONTE_COD]],Tabela1[[#This Row],[IPU_COD]],"G",Tabela1[[#This Row],[GRUPO_COD]],"T",Tabela1[[#This Row],[TIPO]])</f>
        <v>FGT999</v>
      </c>
      <c r="Y1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3" s="19"/>
      <c r="AA193" s="29" t="str">
        <f>IFERROR(VLOOKUP(CONCATENATE("B",Tabela1[[#This Row],[BLOCO]],Tabela1[[#This Row],[UO_COD]]),qdd!$AW$2:$AX$1000,2,FALSE),"")</f>
        <v/>
      </c>
      <c r="AB193" s="30" t="str">
        <f>IFERROR(Tabela1[[#This Row],[VALOR]]/100,"")</f>
        <v/>
      </c>
      <c r="AC193" s="7" t="str" cm="1">
        <f t="array" aca="1" ref="AC193" ca="1">IF(Tabela1[[#This Row],[VALOR]]&lt;0,"",IFERROR(SUBSTITUTE(Converter_numero(Tabela1[[#This Row],[VALOR INCISO]]),",",""),""))</f>
        <v/>
      </c>
      <c r="AD193" s="29" t="str">
        <f>IF(Tabela1[[#This Row],[TIPO]]=REGRAS!$W$2,REGRAS!$X$2,IF(Tabela1[[#This Row],[TIPO]]=REGRAS!$W$4,REGRAS!$X$4,""))</f>
        <v/>
      </c>
      <c r="AE193" s="29" t="e">
        <f>VLOOKUP(Tabela1[[#This Row],[FONTE_COD]],REGRAS!$O$2:$P$69,2,FALSE)</f>
        <v>#N/A</v>
      </c>
      <c r="AF1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4" spans="1:32" ht="18.75" customHeight="1">
      <c r="A194" s="2" t="str">
        <f>IFERROR(IF('PREENCHER AQUI'!A194="","",'PREENCHER AQUI'!A194),"")</f>
        <v/>
      </c>
      <c r="B194" s="1" t="str">
        <f>IFERROR(IF('PREENCHER AQUI'!B194="","",PROPER('PREENCHER AQUI'!B194)),"")</f>
        <v/>
      </c>
      <c r="C194" s="1" t="str">
        <f>IFERROR(IF('PREENCHER AQUI'!C194="","",'PREENCHER AQUI'!C194),"")</f>
        <v/>
      </c>
      <c r="D194" s="2" t="str">
        <f>IFERROR(IF('PREENCHER AQUI'!D194="","",'PREENCHER AQUI'!D194),"")</f>
        <v/>
      </c>
      <c r="E194" s="2" t="str">
        <f>IFERROR(VLOOKUP(CONCATENATE(C194,D194),qdd!$C$2:$F$1000,2,FALSE),"")</f>
        <v/>
      </c>
      <c r="F194" s="2" t="str">
        <f>IFERROR(VLOOKUP(CONCATENATE(C194,D194),qdd!$C$2:$F$1000,3,FALSE),"")</f>
        <v/>
      </c>
      <c r="G194" s="2" t="str">
        <f>IFERROR(VLOOKUP(CONCATENATE(C194,D194),qdd!$C$2:$F$1000,4,FALSE),"")</f>
        <v/>
      </c>
      <c r="H194" s="6" t="str">
        <f t="shared" si="6"/>
        <v/>
      </c>
      <c r="I1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4" s="2" t="str">
        <f>IFERROR(IF('PREENCHER AQUI'!E194="","",'PREENCHER AQUI'!E194),"")</f>
        <v/>
      </c>
      <c r="K194" s="2" t="str">
        <f>IFERROR(IF('PREENCHER AQUI'!F194="","",'PREENCHER AQUI'!F194),"")</f>
        <v/>
      </c>
      <c r="L194" s="2" t="str">
        <f>IF(Tabela1[[#This Row],[IPU_COD]]=9,"91",IF(Tabela1[[#This Row],[ACAO_COD]]="","",VLOOKUP(CONCATENATE("G",J194,"M",K194),qdd!$BC$2:$BD$46,2,FALSE)))</f>
        <v/>
      </c>
      <c r="M194" s="2" t="str">
        <f>TEXT(IFERROR(VLOOKUP(CONCATENATE(C194,D194),qdd!$C$2:$G$1000,5,FALSE),""),0)</f>
        <v/>
      </c>
      <c r="N194" s="2" t="str">
        <f>IFERROR(IF('PREENCHER AQUI'!I194="","",'PREENCHER AQUI'!I194),"")</f>
        <v/>
      </c>
      <c r="O194" s="2" t="str">
        <f>IFERROR(IF('PREENCHER AQUI'!J194="","",'PREENCHER AQUI'!J194),"")</f>
        <v/>
      </c>
      <c r="P194" s="7" t="str">
        <f t="shared" si="7"/>
        <v/>
      </c>
      <c r="Q194" s="8" t="str">
        <f>IFERROR(IF(Tabela4[[#This Row],[VALOR]]="","",IF(Tabela1[[#This Row],[ORIENTACAO]]="Anular",'PREENCHER AQUI'!K194*-1*100,'PREENCHER AQUI'!K194*100)),"")</f>
        <v/>
      </c>
      <c r="T194" s="7" t="str">
        <f>IFERROR(IF('PREENCHER AQUI'!L194="","999",LEFT('PREENCHER AQUI'!L194,1)),"")</f>
        <v>999</v>
      </c>
      <c r="V194" s="19"/>
      <c r="W194" s="1" t="str">
        <f>IFERROR(VLOOKUP(Tabela1[[#This Row],[UO_COD]],qdd!$AT$1:$AU$102,2,FALSE),"")</f>
        <v/>
      </c>
      <c r="X194" s="1" t="str">
        <f>CONCATENATE("F",Tabela1[[#This Row],[FONTE_COD]],Tabela1[[#This Row],[IPU_COD]],"G",Tabela1[[#This Row],[GRUPO_COD]],"T",Tabela1[[#This Row],[TIPO]])</f>
        <v>FGT999</v>
      </c>
      <c r="Y1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4" s="19"/>
      <c r="AA194" s="29" t="str">
        <f>IFERROR(VLOOKUP(CONCATENATE("B",Tabela1[[#This Row],[BLOCO]],Tabela1[[#This Row],[UO_COD]]),qdd!$AW$2:$AX$1000,2,FALSE),"")</f>
        <v/>
      </c>
      <c r="AB194" s="30" t="str">
        <f>IFERROR(Tabela1[[#This Row],[VALOR]]/100,"")</f>
        <v/>
      </c>
      <c r="AC194" s="7" t="str" cm="1">
        <f t="array" aca="1" ref="AC194" ca="1">IF(Tabela1[[#This Row],[VALOR]]&lt;0,"",IFERROR(SUBSTITUTE(Converter_numero(Tabela1[[#This Row],[VALOR INCISO]]),",",""),""))</f>
        <v/>
      </c>
      <c r="AD194" s="29" t="str">
        <f>IF(Tabela1[[#This Row],[TIPO]]=REGRAS!$W$2,REGRAS!$X$2,IF(Tabela1[[#This Row],[TIPO]]=REGRAS!$W$4,REGRAS!$X$4,""))</f>
        <v/>
      </c>
      <c r="AE194" s="29" t="e">
        <f>VLOOKUP(Tabela1[[#This Row],[FONTE_COD]],REGRAS!$O$2:$P$69,2,FALSE)</f>
        <v>#N/A</v>
      </c>
      <c r="AF1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5" spans="1:32" ht="18.75" customHeight="1">
      <c r="A195" s="2" t="str">
        <f>IFERROR(IF('PREENCHER AQUI'!A195="","",'PREENCHER AQUI'!A195),"")</f>
        <v/>
      </c>
      <c r="B195" s="1" t="str">
        <f>IFERROR(IF('PREENCHER AQUI'!B195="","",PROPER('PREENCHER AQUI'!B195)),"")</f>
        <v/>
      </c>
      <c r="C195" s="1" t="str">
        <f>IFERROR(IF('PREENCHER AQUI'!C195="","",'PREENCHER AQUI'!C195),"")</f>
        <v/>
      </c>
      <c r="D195" s="2" t="str">
        <f>IFERROR(IF('PREENCHER AQUI'!D195="","",'PREENCHER AQUI'!D195),"")</f>
        <v/>
      </c>
      <c r="E195" s="2" t="str">
        <f>IFERROR(VLOOKUP(CONCATENATE(C195,D195),qdd!$C$2:$F$1000,2,FALSE),"")</f>
        <v/>
      </c>
      <c r="F195" s="2" t="str">
        <f>IFERROR(VLOOKUP(CONCATENATE(C195,D195),qdd!$C$2:$F$1000,3,FALSE),"")</f>
        <v/>
      </c>
      <c r="G195" s="2" t="str">
        <f>IFERROR(VLOOKUP(CONCATENATE(C195,D195),qdd!$C$2:$F$1000,4,FALSE),"")</f>
        <v/>
      </c>
      <c r="H195" s="6" t="str">
        <f t="shared" ref="H195:H258" si="8">IF(E195="","","0001")</f>
        <v/>
      </c>
      <c r="I1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5" s="2" t="str">
        <f>IFERROR(IF('PREENCHER AQUI'!E195="","",'PREENCHER AQUI'!E195),"")</f>
        <v/>
      </c>
      <c r="K195" s="2" t="str">
        <f>IFERROR(IF('PREENCHER AQUI'!F195="","",'PREENCHER AQUI'!F195),"")</f>
        <v/>
      </c>
      <c r="L195" s="2" t="str">
        <f>IF(Tabela1[[#This Row],[IPU_COD]]=9,"91",IF(Tabela1[[#This Row],[ACAO_COD]]="","",VLOOKUP(CONCATENATE("G",J195,"M",K195),qdd!$BC$2:$BD$46,2,FALSE)))</f>
        <v/>
      </c>
      <c r="M195" s="2" t="str">
        <f>TEXT(IFERROR(VLOOKUP(CONCATENATE(C195,D195),qdd!$C$2:$G$1000,5,FALSE),""),0)</f>
        <v/>
      </c>
      <c r="N195" s="2" t="str">
        <f>IFERROR(IF('PREENCHER AQUI'!I195="","",'PREENCHER AQUI'!I195),"")</f>
        <v/>
      </c>
      <c r="O195" s="2" t="str">
        <f>IFERROR(IF('PREENCHER AQUI'!J195="","",'PREENCHER AQUI'!J195),"")</f>
        <v/>
      </c>
      <c r="P195" s="7" t="str">
        <f t="shared" ref="P195:P258" si="9">IFERROR(CONCATENATE(E195,F195,G195,D195,H195,I195,J195,K195,L195,M195,N195,O195),"")</f>
        <v/>
      </c>
      <c r="Q195" s="8" t="str">
        <f>IFERROR(IF(Tabela4[[#This Row],[VALOR]]="","",IF(Tabela1[[#This Row],[ORIENTACAO]]="Anular",'PREENCHER AQUI'!K195*-1*100,'PREENCHER AQUI'!K195*100)),"")</f>
        <v/>
      </c>
      <c r="T195" s="7" t="str">
        <f>IFERROR(IF('PREENCHER AQUI'!L195="","999",LEFT('PREENCHER AQUI'!L195,1)),"")</f>
        <v>999</v>
      </c>
      <c r="V195" s="19"/>
      <c r="W195" s="20" t="str">
        <f>IFERROR(VLOOKUP(Tabela1[[#This Row],[UO_COD]],qdd!$AT$1:$AU$102,2,FALSE),"")</f>
        <v/>
      </c>
      <c r="X195" s="20" t="str">
        <f>CONCATENATE("F",Tabela1[[#This Row],[FONTE_COD]],Tabela1[[#This Row],[IPU_COD]],"G",Tabela1[[#This Row],[GRUPO_COD]],"T",Tabela1[[#This Row],[TIPO]])</f>
        <v>FGT999</v>
      </c>
      <c r="Y1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5" s="19"/>
      <c r="AA195" s="29" t="str">
        <f>IFERROR(VLOOKUP(CONCATENATE("B",Tabela1[[#This Row],[BLOCO]],Tabela1[[#This Row],[UO_COD]]),qdd!$AW$2:$AX$1000,2,FALSE),"")</f>
        <v/>
      </c>
      <c r="AB195" s="30" t="str">
        <f>IFERROR(Tabela1[[#This Row],[VALOR]]/100,"")</f>
        <v/>
      </c>
      <c r="AC195" s="7" t="str" cm="1">
        <f t="array" aca="1" ref="AC195" ca="1">IF(Tabela1[[#This Row],[VALOR]]&lt;0,"",IFERROR(SUBSTITUTE(Converter_numero(Tabela1[[#This Row],[VALOR INCISO]]),",",""),""))</f>
        <v/>
      </c>
      <c r="AD195" s="29" t="str">
        <f>IF(Tabela1[[#This Row],[TIPO]]=REGRAS!$W$2,REGRAS!$X$2,IF(Tabela1[[#This Row],[TIPO]]=REGRAS!$W$4,REGRAS!$X$4,""))</f>
        <v/>
      </c>
      <c r="AE195" s="29" t="e">
        <f>VLOOKUP(Tabela1[[#This Row],[FONTE_COD]],REGRAS!$O$2:$P$69,2,FALSE)</f>
        <v>#N/A</v>
      </c>
      <c r="AF1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6" spans="1:32" ht="18.75" customHeight="1">
      <c r="A196" s="2" t="str">
        <f>IFERROR(IF('PREENCHER AQUI'!A196="","",'PREENCHER AQUI'!A196),"")</f>
        <v/>
      </c>
      <c r="B196" s="1" t="str">
        <f>IFERROR(IF('PREENCHER AQUI'!B196="","",PROPER('PREENCHER AQUI'!B196)),"")</f>
        <v/>
      </c>
      <c r="C196" s="1" t="str">
        <f>IFERROR(IF('PREENCHER AQUI'!C196="","",'PREENCHER AQUI'!C196),"")</f>
        <v/>
      </c>
      <c r="D196" s="2" t="str">
        <f>IFERROR(IF('PREENCHER AQUI'!D196="","",'PREENCHER AQUI'!D196),"")</f>
        <v/>
      </c>
      <c r="E196" s="2" t="str">
        <f>IFERROR(VLOOKUP(CONCATENATE(C196,D196),qdd!$C$2:$F$1000,2,FALSE),"")</f>
        <v/>
      </c>
      <c r="F196" s="2" t="str">
        <f>IFERROR(VLOOKUP(CONCATENATE(C196,D196),qdd!$C$2:$F$1000,3,FALSE),"")</f>
        <v/>
      </c>
      <c r="G196" s="2" t="str">
        <f>IFERROR(VLOOKUP(CONCATENATE(C196,D196),qdd!$C$2:$F$1000,4,FALSE),"")</f>
        <v/>
      </c>
      <c r="H196" s="6" t="str">
        <f t="shared" si="8"/>
        <v/>
      </c>
      <c r="I1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6" s="2" t="str">
        <f>IFERROR(IF('PREENCHER AQUI'!E196="","",'PREENCHER AQUI'!E196),"")</f>
        <v/>
      </c>
      <c r="K196" s="2" t="str">
        <f>IFERROR(IF('PREENCHER AQUI'!F196="","",'PREENCHER AQUI'!F196),"")</f>
        <v/>
      </c>
      <c r="L196" s="2" t="str">
        <f>IF(Tabela1[[#This Row],[IPU_COD]]=9,"91",IF(Tabela1[[#This Row],[ACAO_COD]]="","",VLOOKUP(CONCATENATE("G",J196,"M",K196),qdd!$BC$2:$BD$46,2,FALSE)))</f>
        <v/>
      </c>
      <c r="M196" s="2" t="str">
        <f>TEXT(IFERROR(VLOOKUP(CONCATENATE(C196,D196),qdd!$C$2:$G$1000,5,FALSE),""),0)</f>
        <v/>
      </c>
      <c r="N196" s="2" t="str">
        <f>IFERROR(IF('PREENCHER AQUI'!I196="","",'PREENCHER AQUI'!I196),"")</f>
        <v/>
      </c>
      <c r="O196" s="2" t="str">
        <f>IFERROR(IF('PREENCHER AQUI'!J196="","",'PREENCHER AQUI'!J196),"")</f>
        <v/>
      </c>
      <c r="P196" s="7" t="str">
        <f t="shared" si="9"/>
        <v/>
      </c>
      <c r="Q196" s="8" t="str">
        <f>IFERROR(IF(Tabela4[[#This Row],[VALOR]]="","",IF(Tabela1[[#This Row],[ORIENTACAO]]="Anular",'PREENCHER AQUI'!K196*-1*100,'PREENCHER AQUI'!K196*100)),"")</f>
        <v/>
      </c>
      <c r="T196" s="7" t="str">
        <f>IFERROR(IF('PREENCHER AQUI'!L196="","999",LEFT('PREENCHER AQUI'!L196,1)),"")</f>
        <v>999</v>
      </c>
      <c r="V196" s="19"/>
      <c r="W196" s="1" t="str">
        <f>IFERROR(VLOOKUP(Tabela1[[#This Row],[UO_COD]],qdd!$AT$1:$AU$102,2,FALSE),"")</f>
        <v/>
      </c>
      <c r="X196" s="1" t="str">
        <f>CONCATENATE("F",Tabela1[[#This Row],[FONTE_COD]],Tabela1[[#This Row],[IPU_COD]],"G",Tabela1[[#This Row],[GRUPO_COD]],"T",Tabela1[[#This Row],[TIPO]])</f>
        <v>FGT999</v>
      </c>
      <c r="Y1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6" s="19"/>
      <c r="AA196" s="29" t="str">
        <f>IFERROR(VLOOKUP(CONCATENATE("B",Tabela1[[#This Row],[BLOCO]],Tabela1[[#This Row],[UO_COD]]),qdd!$AW$2:$AX$1000,2,FALSE),"")</f>
        <v/>
      </c>
      <c r="AB196" s="30" t="str">
        <f>IFERROR(Tabela1[[#This Row],[VALOR]]/100,"")</f>
        <v/>
      </c>
      <c r="AC196" s="7" t="str" cm="1">
        <f t="array" aca="1" ref="AC196" ca="1">IF(Tabela1[[#This Row],[VALOR]]&lt;0,"",IFERROR(SUBSTITUTE(Converter_numero(Tabela1[[#This Row],[VALOR INCISO]]),",",""),""))</f>
        <v/>
      </c>
      <c r="AD196" s="29" t="str">
        <f>IF(Tabela1[[#This Row],[TIPO]]=REGRAS!$W$2,REGRAS!$X$2,IF(Tabela1[[#This Row],[TIPO]]=REGRAS!$W$4,REGRAS!$X$4,""))</f>
        <v/>
      </c>
      <c r="AE196" s="29" t="e">
        <f>VLOOKUP(Tabela1[[#This Row],[FONTE_COD]],REGRAS!$O$2:$P$69,2,FALSE)</f>
        <v>#N/A</v>
      </c>
      <c r="AF1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7" spans="1:32" ht="18.75" customHeight="1">
      <c r="A197" s="2" t="str">
        <f>IFERROR(IF('PREENCHER AQUI'!A197="","",'PREENCHER AQUI'!A197),"")</f>
        <v/>
      </c>
      <c r="B197" s="1" t="str">
        <f>IFERROR(IF('PREENCHER AQUI'!B197="","",PROPER('PREENCHER AQUI'!B197)),"")</f>
        <v/>
      </c>
      <c r="C197" s="1" t="str">
        <f>IFERROR(IF('PREENCHER AQUI'!C197="","",'PREENCHER AQUI'!C197),"")</f>
        <v/>
      </c>
      <c r="D197" s="2" t="str">
        <f>IFERROR(IF('PREENCHER AQUI'!D197="","",'PREENCHER AQUI'!D197),"")</f>
        <v/>
      </c>
      <c r="E197" s="2" t="str">
        <f>IFERROR(VLOOKUP(CONCATENATE(C197,D197),qdd!$C$2:$F$1000,2,FALSE),"")</f>
        <v/>
      </c>
      <c r="F197" s="2" t="str">
        <f>IFERROR(VLOOKUP(CONCATENATE(C197,D197),qdd!$C$2:$F$1000,3,FALSE),"")</f>
        <v/>
      </c>
      <c r="G197" s="2" t="str">
        <f>IFERROR(VLOOKUP(CONCATENATE(C197,D197),qdd!$C$2:$F$1000,4,FALSE),"")</f>
        <v/>
      </c>
      <c r="H197" s="6" t="str">
        <f t="shared" si="8"/>
        <v/>
      </c>
      <c r="I1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7" s="2" t="str">
        <f>IFERROR(IF('PREENCHER AQUI'!E197="","",'PREENCHER AQUI'!E197),"")</f>
        <v/>
      </c>
      <c r="K197" s="2" t="str">
        <f>IFERROR(IF('PREENCHER AQUI'!F197="","",'PREENCHER AQUI'!F197),"")</f>
        <v/>
      </c>
      <c r="L197" s="2" t="str">
        <f>IF(Tabela1[[#This Row],[IPU_COD]]=9,"91",IF(Tabela1[[#This Row],[ACAO_COD]]="","",VLOOKUP(CONCATENATE("G",J197,"M",K197),qdd!$BC$2:$BD$46,2,FALSE)))</f>
        <v/>
      </c>
      <c r="M197" s="2" t="str">
        <f>TEXT(IFERROR(VLOOKUP(CONCATENATE(C197,D197),qdd!$C$2:$G$1000,5,FALSE),""),0)</f>
        <v/>
      </c>
      <c r="N197" s="2" t="str">
        <f>IFERROR(IF('PREENCHER AQUI'!I197="","",'PREENCHER AQUI'!I197),"")</f>
        <v/>
      </c>
      <c r="O197" s="2" t="str">
        <f>IFERROR(IF('PREENCHER AQUI'!J197="","",'PREENCHER AQUI'!J197),"")</f>
        <v/>
      </c>
      <c r="P197" s="7" t="str">
        <f t="shared" si="9"/>
        <v/>
      </c>
      <c r="Q197" s="8" t="str">
        <f>IFERROR(IF(Tabela4[[#This Row],[VALOR]]="","",IF(Tabela1[[#This Row],[ORIENTACAO]]="Anular",'PREENCHER AQUI'!K197*-1*100,'PREENCHER AQUI'!K197*100)),"")</f>
        <v/>
      </c>
      <c r="T197" s="7" t="str">
        <f>IFERROR(IF('PREENCHER AQUI'!L197="","999",LEFT('PREENCHER AQUI'!L197,1)),"")</f>
        <v>999</v>
      </c>
      <c r="W197" s="1" t="str">
        <f>IFERROR(VLOOKUP(Tabela1[[#This Row],[UO_COD]],qdd!$AT$1:$AU$102,2,FALSE),"")</f>
        <v/>
      </c>
      <c r="X197" s="1" t="str">
        <f>CONCATENATE("F",Tabela1[[#This Row],[FONTE_COD]],Tabela1[[#This Row],[IPU_COD]],"G",Tabela1[[#This Row],[GRUPO_COD]],"T",Tabela1[[#This Row],[TIPO]])</f>
        <v>FGT999</v>
      </c>
      <c r="Y1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7" s="19"/>
      <c r="AA197" s="29" t="str">
        <f>IFERROR(VLOOKUP(CONCATENATE("B",Tabela1[[#This Row],[BLOCO]],Tabela1[[#This Row],[UO_COD]]),qdd!$AW$2:$AX$1000,2,FALSE),"")</f>
        <v/>
      </c>
      <c r="AB197" s="30" t="str">
        <f>IFERROR(Tabela1[[#This Row],[VALOR]]/100,"")</f>
        <v/>
      </c>
      <c r="AC197" s="7" t="str" cm="1">
        <f t="array" aca="1" ref="AC197" ca="1">IF(Tabela1[[#This Row],[VALOR]]&lt;0,"",IFERROR(SUBSTITUTE(Converter_numero(Tabela1[[#This Row],[VALOR INCISO]]),",",""),""))</f>
        <v/>
      </c>
      <c r="AD197" s="7" t="str">
        <f>IF(Tabela1[[#This Row],[TIPO]]=REGRAS!$W$2,REGRAS!$X$2,IF(Tabela1[[#This Row],[TIPO]]=REGRAS!$W$4,REGRAS!$X$4,""))</f>
        <v/>
      </c>
      <c r="AE197" s="29" t="e">
        <f>VLOOKUP(Tabela1[[#This Row],[FONTE_COD]],REGRAS!$O$2:$P$69,2,FALSE)</f>
        <v>#N/A</v>
      </c>
      <c r="AF1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8" spans="1:32" ht="18.75" customHeight="1">
      <c r="A198" s="2" t="str">
        <f>IFERROR(IF('PREENCHER AQUI'!A198="","",'PREENCHER AQUI'!A198),"")</f>
        <v/>
      </c>
      <c r="B198" s="1" t="str">
        <f>IFERROR(IF('PREENCHER AQUI'!B198="","",PROPER('PREENCHER AQUI'!B198)),"")</f>
        <v/>
      </c>
      <c r="C198" s="1" t="str">
        <f>IFERROR(IF('PREENCHER AQUI'!C198="","",'PREENCHER AQUI'!C198),"")</f>
        <v/>
      </c>
      <c r="D198" s="2" t="str">
        <f>IFERROR(IF('PREENCHER AQUI'!D198="","",'PREENCHER AQUI'!D198),"")</f>
        <v/>
      </c>
      <c r="E198" s="2" t="str">
        <f>IFERROR(VLOOKUP(CONCATENATE(C198,D198),qdd!$C$2:$F$1000,2,FALSE),"")</f>
        <v/>
      </c>
      <c r="F198" s="2" t="str">
        <f>IFERROR(VLOOKUP(CONCATENATE(C198,D198),qdd!$C$2:$F$1000,3,FALSE),"")</f>
        <v/>
      </c>
      <c r="G198" s="2" t="str">
        <f>IFERROR(VLOOKUP(CONCATENATE(C198,D198),qdd!$C$2:$F$1000,4,FALSE),"")</f>
        <v/>
      </c>
      <c r="H198" s="6" t="str">
        <f t="shared" si="8"/>
        <v/>
      </c>
      <c r="I1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8" s="2" t="str">
        <f>IFERROR(IF('PREENCHER AQUI'!E198="","",'PREENCHER AQUI'!E198),"")</f>
        <v/>
      </c>
      <c r="K198" s="2" t="str">
        <f>IFERROR(IF('PREENCHER AQUI'!F198="","",'PREENCHER AQUI'!F198),"")</f>
        <v/>
      </c>
      <c r="L198" s="2" t="str">
        <f>IF(Tabela1[[#This Row],[IPU_COD]]=9,"91",IF(Tabela1[[#This Row],[ACAO_COD]]="","",VLOOKUP(CONCATENATE("G",J198,"M",K198),qdd!$BC$2:$BD$46,2,FALSE)))</f>
        <v/>
      </c>
      <c r="M198" s="2" t="str">
        <f>TEXT(IFERROR(VLOOKUP(CONCATENATE(C198,D198),qdd!$C$2:$G$1000,5,FALSE),""),0)</f>
        <v/>
      </c>
      <c r="N198" s="2" t="str">
        <f>IFERROR(IF('PREENCHER AQUI'!I198="","",'PREENCHER AQUI'!I198),"")</f>
        <v/>
      </c>
      <c r="O198" s="2" t="str">
        <f>IFERROR(IF('PREENCHER AQUI'!J198="","",'PREENCHER AQUI'!J198),"")</f>
        <v/>
      </c>
      <c r="P198" s="7" t="str">
        <f t="shared" si="9"/>
        <v/>
      </c>
      <c r="Q198" s="8" t="str">
        <f>IFERROR(IF(Tabela4[[#This Row],[VALOR]]="","",IF(Tabela1[[#This Row],[ORIENTACAO]]="Anular",'PREENCHER AQUI'!K198*-1*100,'PREENCHER AQUI'!K198*100)),"")</f>
        <v/>
      </c>
      <c r="T198" s="7" t="str">
        <f>IFERROR(IF('PREENCHER AQUI'!L198="","999",LEFT('PREENCHER AQUI'!L198,1)),"")</f>
        <v>999</v>
      </c>
      <c r="V198" s="19"/>
      <c r="W198" s="1" t="str">
        <f>IFERROR(VLOOKUP(Tabela1[[#This Row],[UO_COD]],qdd!$AT$1:$AU$102,2,FALSE),"")</f>
        <v/>
      </c>
      <c r="X198" s="1" t="str">
        <f>CONCATENATE("F",Tabela1[[#This Row],[FONTE_COD]],Tabela1[[#This Row],[IPU_COD]],"G",Tabela1[[#This Row],[GRUPO_COD]],"T",Tabela1[[#This Row],[TIPO]])</f>
        <v>FGT999</v>
      </c>
      <c r="Y1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8" s="19"/>
      <c r="AA198" s="29" t="str">
        <f>IFERROR(VLOOKUP(CONCATENATE("B",Tabela1[[#This Row],[BLOCO]],Tabela1[[#This Row],[UO_COD]]),qdd!$AW$2:$AX$1000,2,FALSE),"")</f>
        <v/>
      </c>
      <c r="AB198" s="30" t="str">
        <f>IFERROR(Tabela1[[#This Row],[VALOR]]/100,"")</f>
        <v/>
      </c>
      <c r="AC198" s="7" t="str" cm="1">
        <f t="array" aca="1" ref="AC198" ca="1">IF(Tabela1[[#This Row],[VALOR]]&lt;0,"",IFERROR(SUBSTITUTE(Converter_numero(Tabela1[[#This Row],[VALOR INCISO]]),",",""),""))</f>
        <v/>
      </c>
      <c r="AD198" s="29" t="str">
        <f>IF(Tabela1[[#This Row],[TIPO]]=REGRAS!$W$2,REGRAS!$X$2,IF(Tabela1[[#This Row],[TIPO]]=REGRAS!$W$4,REGRAS!$X$4,""))</f>
        <v/>
      </c>
      <c r="AE198" s="29" t="e">
        <f>VLOOKUP(Tabela1[[#This Row],[FONTE_COD]],REGRAS!$O$2:$P$69,2,FALSE)</f>
        <v>#N/A</v>
      </c>
      <c r="AF1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9" spans="1:32" ht="18.75" customHeight="1">
      <c r="A199" s="2" t="str">
        <f>IFERROR(IF('PREENCHER AQUI'!A199="","",'PREENCHER AQUI'!A199),"")</f>
        <v/>
      </c>
      <c r="B199" s="1" t="str">
        <f>IFERROR(IF('PREENCHER AQUI'!B199="","",PROPER('PREENCHER AQUI'!B199)),"")</f>
        <v/>
      </c>
      <c r="C199" s="1" t="str">
        <f>IFERROR(IF('PREENCHER AQUI'!C199="","",'PREENCHER AQUI'!C199),"")</f>
        <v/>
      </c>
      <c r="D199" s="2" t="str">
        <f>IFERROR(IF('PREENCHER AQUI'!D199="","",'PREENCHER AQUI'!D199),"")</f>
        <v/>
      </c>
      <c r="E199" s="2" t="str">
        <f>IFERROR(VLOOKUP(CONCATENATE(C199,D199),qdd!$C$2:$F$1000,2,FALSE),"")</f>
        <v/>
      </c>
      <c r="F199" s="2" t="str">
        <f>IFERROR(VLOOKUP(CONCATENATE(C199,D199),qdd!$C$2:$F$1000,3,FALSE),"")</f>
        <v/>
      </c>
      <c r="G199" s="2" t="str">
        <f>IFERROR(VLOOKUP(CONCATENATE(C199,D199),qdd!$C$2:$F$1000,4,FALSE),"")</f>
        <v/>
      </c>
      <c r="H199" s="6" t="str">
        <f t="shared" si="8"/>
        <v/>
      </c>
      <c r="I1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9" s="2" t="str">
        <f>IFERROR(IF('PREENCHER AQUI'!E199="","",'PREENCHER AQUI'!E199),"")</f>
        <v/>
      </c>
      <c r="K199" s="2" t="str">
        <f>IFERROR(IF('PREENCHER AQUI'!F199="","",'PREENCHER AQUI'!F199),"")</f>
        <v/>
      </c>
      <c r="L199" s="2" t="str">
        <f>IF(Tabela1[[#This Row],[IPU_COD]]=9,"91",IF(Tabela1[[#This Row],[ACAO_COD]]="","",VLOOKUP(CONCATENATE("G",J199,"M",K199),qdd!$BC$2:$BD$46,2,FALSE)))</f>
        <v/>
      </c>
      <c r="M199" s="2" t="str">
        <f>TEXT(IFERROR(VLOOKUP(CONCATENATE(C199,D199),qdd!$C$2:$G$1000,5,FALSE),""),0)</f>
        <v/>
      </c>
      <c r="N199" s="2" t="str">
        <f>IFERROR(IF('PREENCHER AQUI'!I199="","",'PREENCHER AQUI'!I199),"")</f>
        <v/>
      </c>
      <c r="O199" s="2" t="str">
        <f>IFERROR(IF('PREENCHER AQUI'!J199="","",'PREENCHER AQUI'!J199),"")</f>
        <v/>
      </c>
      <c r="P199" s="7" t="str">
        <f t="shared" si="9"/>
        <v/>
      </c>
      <c r="Q199" s="8" t="str">
        <f>IFERROR(IF(Tabela4[[#This Row],[VALOR]]="","",IF(Tabela1[[#This Row],[ORIENTACAO]]="Anular",'PREENCHER AQUI'!K199*-1*100,'PREENCHER AQUI'!K199*100)),"")</f>
        <v/>
      </c>
      <c r="T199" s="7" t="str">
        <f>IFERROR(IF('PREENCHER AQUI'!L199="","999",LEFT('PREENCHER AQUI'!L199,1)),"")</f>
        <v>999</v>
      </c>
      <c r="V199" s="19"/>
      <c r="W199" s="1" t="str">
        <f>IFERROR(VLOOKUP(Tabela1[[#This Row],[UO_COD]],qdd!$AT$1:$AU$102,2,FALSE),"")</f>
        <v/>
      </c>
      <c r="X199" s="1" t="str">
        <f>CONCATENATE("F",Tabela1[[#This Row],[FONTE_COD]],Tabela1[[#This Row],[IPU_COD]],"G",Tabela1[[#This Row],[GRUPO_COD]],"T",Tabela1[[#This Row],[TIPO]])</f>
        <v>FGT999</v>
      </c>
      <c r="Y1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9" s="19"/>
      <c r="AA199" s="29" t="str">
        <f>IFERROR(VLOOKUP(CONCATENATE("B",Tabela1[[#This Row],[BLOCO]],Tabela1[[#This Row],[UO_COD]]),qdd!$AW$2:$AX$1000,2,FALSE),"")</f>
        <v/>
      </c>
      <c r="AB199" s="30" t="str">
        <f>IFERROR(Tabela1[[#This Row],[VALOR]]/100,"")</f>
        <v/>
      </c>
      <c r="AC199" s="7" t="str" cm="1">
        <f t="array" aca="1" ref="AC199" ca="1">IF(Tabela1[[#This Row],[VALOR]]&lt;0,"",IFERROR(SUBSTITUTE(Converter_numero(Tabela1[[#This Row],[VALOR INCISO]]),",",""),""))</f>
        <v/>
      </c>
      <c r="AD199" s="29" t="str">
        <f>IF(Tabela1[[#This Row],[TIPO]]=REGRAS!$W$2,REGRAS!$X$2,IF(Tabela1[[#This Row],[TIPO]]=REGRAS!$W$4,REGRAS!$X$4,""))</f>
        <v/>
      </c>
      <c r="AE199" s="29" t="e">
        <f>VLOOKUP(Tabela1[[#This Row],[FONTE_COD]],REGRAS!$O$2:$P$69,2,FALSE)</f>
        <v>#N/A</v>
      </c>
      <c r="AF1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0" spans="1:32" ht="18.75" customHeight="1">
      <c r="A200" s="2" t="str">
        <f>IFERROR(IF('PREENCHER AQUI'!A200="","",'PREENCHER AQUI'!A200),"")</f>
        <v/>
      </c>
      <c r="B200" s="1" t="str">
        <f>IFERROR(IF('PREENCHER AQUI'!B200="","",PROPER('PREENCHER AQUI'!B200)),"")</f>
        <v/>
      </c>
      <c r="C200" s="1" t="str">
        <f>IFERROR(IF('PREENCHER AQUI'!C200="","",'PREENCHER AQUI'!C200),"")</f>
        <v/>
      </c>
      <c r="D200" s="2" t="str">
        <f>IFERROR(IF('PREENCHER AQUI'!D200="","",'PREENCHER AQUI'!D200),"")</f>
        <v/>
      </c>
      <c r="E200" s="2" t="str">
        <f>IFERROR(VLOOKUP(CONCATENATE(C200,D200),qdd!$C$2:$F$1000,2,FALSE),"")</f>
        <v/>
      </c>
      <c r="F200" s="2" t="str">
        <f>IFERROR(VLOOKUP(CONCATENATE(C200,D200),qdd!$C$2:$F$1000,3,FALSE),"")</f>
        <v/>
      </c>
      <c r="G200" s="2" t="str">
        <f>IFERROR(VLOOKUP(CONCATENATE(C200,D200),qdd!$C$2:$F$1000,4,FALSE),"")</f>
        <v/>
      </c>
      <c r="H200" s="6" t="str">
        <f t="shared" si="8"/>
        <v/>
      </c>
      <c r="I2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0" s="2" t="str">
        <f>IFERROR(IF('PREENCHER AQUI'!E200="","",'PREENCHER AQUI'!E200),"")</f>
        <v/>
      </c>
      <c r="K200" s="2" t="str">
        <f>IFERROR(IF('PREENCHER AQUI'!F200="","",'PREENCHER AQUI'!F200),"")</f>
        <v/>
      </c>
      <c r="L200" s="2" t="str">
        <f>IF(Tabela1[[#This Row],[IPU_COD]]=9,"91",IF(Tabela1[[#This Row],[ACAO_COD]]="","",VLOOKUP(CONCATENATE("G",J200,"M",K200),qdd!$BC$2:$BD$46,2,FALSE)))</f>
        <v/>
      </c>
      <c r="M200" s="2" t="str">
        <f>TEXT(IFERROR(VLOOKUP(CONCATENATE(C200,D200),qdd!$C$2:$G$1000,5,FALSE),""),0)</f>
        <v/>
      </c>
      <c r="N200" s="2" t="str">
        <f>IFERROR(IF('PREENCHER AQUI'!I200="","",'PREENCHER AQUI'!I200),"")</f>
        <v/>
      </c>
      <c r="O200" s="2" t="str">
        <f>IFERROR(IF('PREENCHER AQUI'!J200="","",'PREENCHER AQUI'!J200),"")</f>
        <v/>
      </c>
      <c r="P200" s="7" t="str">
        <f t="shared" si="9"/>
        <v/>
      </c>
      <c r="Q200" s="8" t="str">
        <f>IFERROR(IF(Tabela4[[#This Row],[VALOR]]="","",IF(Tabela1[[#This Row],[ORIENTACAO]]="Anular",'PREENCHER AQUI'!K200*-1*100,'PREENCHER AQUI'!K200*100)),"")</f>
        <v/>
      </c>
      <c r="T200" s="7" t="str">
        <f>IFERROR(IF('PREENCHER AQUI'!L200="","999",LEFT('PREENCHER AQUI'!L200,1)),"")</f>
        <v>999</v>
      </c>
      <c r="V200" s="19"/>
      <c r="W200" s="20" t="str">
        <f>IFERROR(VLOOKUP(Tabela1[[#This Row],[UO_COD]],qdd!$AT$1:$AU$102,2,FALSE),"")</f>
        <v/>
      </c>
      <c r="X200" s="20" t="str">
        <f>CONCATENATE("F",Tabela1[[#This Row],[FONTE_COD]],Tabela1[[#This Row],[IPU_COD]],"G",Tabela1[[#This Row],[GRUPO_COD]],"T",Tabela1[[#This Row],[TIPO]])</f>
        <v>FGT999</v>
      </c>
      <c r="Y2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0" s="19"/>
      <c r="AA200" s="29" t="str">
        <f>IFERROR(VLOOKUP(CONCATENATE("B",Tabela1[[#This Row],[BLOCO]],Tabela1[[#This Row],[UO_COD]]),qdd!$AW$2:$AX$1000,2,FALSE),"")</f>
        <v/>
      </c>
      <c r="AB200" s="30" t="str">
        <f>IFERROR(Tabela1[[#This Row],[VALOR]]/100,"")</f>
        <v/>
      </c>
      <c r="AC200" s="7" t="str" cm="1">
        <f t="array" aca="1" ref="AC200" ca="1">IF(Tabela1[[#This Row],[VALOR]]&lt;0,"",IFERROR(SUBSTITUTE(Converter_numero(Tabela1[[#This Row],[VALOR INCISO]]),",",""),""))</f>
        <v/>
      </c>
      <c r="AD200" s="29" t="str">
        <f>IF(Tabela1[[#This Row],[TIPO]]=REGRAS!$W$2,REGRAS!$X$2,IF(Tabela1[[#This Row],[TIPO]]=REGRAS!$W$4,REGRAS!$X$4,""))</f>
        <v/>
      </c>
      <c r="AE200" s="29" t="e">
        <f>VLOOKUP(Tabela1[[#This Row],[FONTE_COD]],REGRAS!$O$2:$P$69,2,FALSE)</f>
        <v>#N/A</v>
      </c>
      <c r="AF2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1" spans="1:32" ht="18.75" customHeight="1">
      <c r="A201" s="2" t="str">
        <f>IFERROR(IF('PREENCHER AQUI'!A201="","",'PREENCHER AQUI'!A201),"")</f>
        <v/>
      </c>
      <c r="B201" s="1" t="str">
        <f>IFERROR(IF('PREENCHER AQUI'!B201="","",PROPER('PREENCHER AQUI'!B201)),"")</f>
        <v/>
      </c>
      <c r="C201" s="1" t="str">
        <f>IFERROR(IF('PREENCHER AQUI'!C201="","",'PREENCHER AQUI'!C201),"")</f>
        <v/>
      </c>
      <c r="D201" s="2" t="str">
        <f>IFERROR(IF('PREENCHER AQUI'!D201="","",'PREENCHER AQUI'!D201),"")</f>
        <v/>
      </c>
      <c r="E201" s="2" t="str">
        <f>IFERROR(VLOOKUP(CONCATENATE(C201,D201),qdd!$C$2:$F$1000,2,FALSE),"")</f>
        <v/>
      </c>
      <c r="F201" s="2" t="str">
        <f>IFERROR(VLOOKUP(CONCATENATE(C201,D201),qdd!$C$2:$F$1000,3,FALSE),"")</f>
        <v/>
      </c>
      <c r="G201" s="2" t="str">
        <f>IFERROR(VLOOKUP(CONCATENATE(C201,D201),qdd!$C$2:$F$1000,4,FALSE),"")</f>
        <v/>
      </c>
      <c r="H201" s="6" t="str">
        <f t="shared" si="8"/>
        <v/>
      </c>
      <c r="I2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1" s="2" t="str">
        <f>IFERROR(IF('PREENCHER AQUI'!E201="","",'PREENCHER AQUI'!E201),"")</f>
        <v/>
      </c>
      <c r="K201" s="2" t="str">
        <f>IFERROR(IF('PREENCHER AQUI'!F201="","",'PREENCHER AQUI'!F201),"")</f>
        <v/>
      </c>
      <c r="L201" s="2" t="str">
        <f>IF(Tabela1[[#This Row],[IPU_COD]]=9,"91",IF(Tabela1[[#This Row],[ACAO_COD]]="","",VLOOKUP(CONCATENATE("G",J201,"M",K201),qdd!$BC$2:$BD$46,2,FALSE)))</f>
        <v/>
      </c>
      <c r="M201" s="2" t="str">
        <f>TEXT(IFERROR(VLOOKUP(CONCATENATE(C201,D201),qdd!$C$2:$G$1000,5,FALSE),""),0)</f>
        <v/>
      </c>
      <c r="N201" s="2" t="str">
        <f>IFERROR(IF('PREENCHER AQUI'!I201="","",'PREENCHER AQUI'!I201),"")</f>
        <v/>
      </c>
      <c r="O201" s="2" t="str">
        <f>IFERROR(IF('PREENCHER AQUI'!J201="","",'PREENCHER AQUI'!J201),"")</f>
        <v/>
      </c>
      <c r="P201" s="7" t="str">
        <f t="shared" si="9"/>
        <v/>
      </c>
      <c r="Q201" s="8" t="str">
        <f>IFERROR(IF(Tabela4[[#This Row],[VALOR]]="","",IF(Tabela1[[#This Row],[ORIENTACAO]]="Anular",'PREENCHER AQUI'!K201*-1*100,'PREENCHER AQUI'!K201*100)),"")</f>
        <v/>
      </c>
      <c r="T201" s="7" t="str">
        <f>IFERROR(IF('PREENCHER AQUI'!L201="","999",LEFT('PREENCHER AQUI'!L201,1)),"")</f>
        <v>999</v>
      </c>
      <c r="V201" s="19"/>
      <c r="W201" s="1" t="str">
        <f>IFERROR(VLOOKUP(Tabela1[[#This Row],[UO_COD]],qdd!$AT$1:$AU$102,2,FALSE),"")</f>
        <v/>
      </c>
      <c r="X201" s="1" t="str">
        <f>CONCATENATE("F",Tabela1[[#This Row],[FONTE_COD]],Tabela1[[#This Row],[IPU_COD]],"G",Tabela1[[#This Row],[GRUPO_COD]],"T",Tabela1[[#This Row],[TIPO]])</f>
        <v>FGT999</v>
      </c>
      <c r="Y2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1" s="19"/>
      <c r="AA201" s="29" t="str">
        <f>IFERROR(VLOOKUP(CONCATENATE("B",Tabela1[[#This Row],[BLOCO]],Tabela1[[#This Row],[UO_COD]]),qdd!$AW$2:$AX$1000,2,FALSE),"")</f>
        <v/>
      </c>
      <c r="AB201" s="30" t="str">
        <f>IFERROR(Tabela1[[#This Row],[VALOR]]/100,"")</f>
        <v/>
      </c>
      <c r="AC201" s="7" t="str" cm="1">
        <f t="array" aca="1" ref="AC201" ca="1">IF(Tabela1[[#This Row],[VALOR]]&lt;0,"",IFERROR(SUBSTITUTE(Converter_numero(Tabela1[[#This Row],[VALOR INCISO]]),",",""),""))</f>
        <v/>
      </c>
      <c r="AD201" s="29" t="str">
        <f>IF(Tabela1[[#This Row],[TIPO]]=REGRAS!$W$2,REGRAS!$X$2,IF(Tabela1[[#This Row],[TIPO]]=REGRAS!$W$4,REGRAS!$X$4,""))</f>
        <v/>
      </c>
      <c r="AE201" s="29" t="e">
        <f>VLOOKUP(Tabela1[[#This Row],[FONTE_COD]],REGRAS!$O$2:$P$69,2,FALSE)</f>
        <v>#N/A</v>
      </c>
      <c r="AF2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2" spans="1:32" ht="18.75" customHeight="1">
      <c r="A202" s="2" t="str">
        <f>IFERROR(IF('PREENCHER AQUI'!A202="","",'PREENCHER AQUI'!A202),"")</f>
        <v/>
      </c>
      <c r="B202" s="1" t="str">
        <f>IFERROR(IF('PREENCHER AQUI'!B202="","",PROPER('PREENCHER AQUI'!B202)),"")</f>
        <v/>
      </c>
      <c r="C202" s="1" t="str">
        <f>IFERROR(IF('PREENCHER AQUI'!C202="","",'PREENCHER AQUI'!C202),"")</f>
        <v/>
      </c>
      <c r="D202" s="2" t="str">
        <f>IFERROR(IF('PREENCHER AQUI'!D202="","",'PREENCHER AQUI'!D202),"")</f>
        <v/>
      </c>
      <c r="E202" s="2" t="str">
        <f>IFERROR(VLOOKUP(CONCATENATE(C202,D202),qdd!$C$2:$F$1000,2,FALSE),"")</f>
        <v/>
      </c>
      <c r="F202" s="2" t="str">
        <f>IFERROR(VLOOKUP(CONCATENATE(C202,D202),qdd!$C$2:$F$1000,3,FALSE),"")</f>
        <v/>
      </c>
      <c r="G202" s="2" t="str">
        <f>IFERROR(VLOOKUP(CONCATENATE(C202,D202),qdd!$C$2:$F$1000,4,FALSE),"")</f>
        <v/>
      </c>
      <c r="H202" s="6" t="str">
        <f t="shared" si="8"/>
        <v/>
      </c>
      <c r="I2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2" s="2" t="str">
        <f>IFERROR(IF('PREENCHER AQUI'!E202="","",'PREENCHER AQUI'!E202),"")</f>
        <v/>
      </c>
      <c r="K202" s="2" t="str">
        <f>IFERROR(IF('PREENCHER AQUI'!F202="","",'PREENCHER AQUI'!F202),"")</f>
        <v/>
      </c>
      <c r="L202" s="2" t="str">
        <f>IF(Tabela1[[#This Row],[IPU_COD]]=9,"91",IF(Tabela1[[#This Row],[ACAO_COD]]="","",VLOOKUP(CONCATENATE("G",J202,"M",K202),qdd!$BC$2:$BD$46,2,FALSE)))</f>
        <v/>
      </c>
      <c r="M202" s="2" t="str">
        <f>TEXT(IFERROR(VLOOKUP(CONCATENATE(C202,D202),qdd!$C$2:$G$1000,5,FALSE),""),0)</f>
        <v/>
      </c>
      <c r="N202" s="2" t="str">
        <f>IFERROR(IF('PREENCHER AQUI'!I202="","",'PREENCHER AQUI'!I202),"")</f>
        <v/>
      </c>
      <c r="O202" s="2" t="str">
        <f>IFERROR(IF('PREENCHER AQUI'!J202="","",'PREENCHER AQUI'!J202),"")</f>
        <v/>
      </c>
      <c r="P202" s="7" t="str">
        <f t="shared" si="9"/>
        <v/>
      </c>
      <c r="Q202" s="8" t="str">
        <f>IFERROR(IF(Tabela4[[#This Row],[VALOR]]="","",IF(Tabela1[[#This Row],[ORIENTACAO]]="Anular",'PREENCHER AQUI'!K202*-1*100,'PREENCHER AQUI'!K202*100)),"")</f>
        <v/>
      </c>
      <c r="T202" s="7" t="str">
        <f>IFERROR(IF('PREENCHER AQUI'!L202="","999",LEFT('PREENCHER AQUI'!L202,1)),"")</f>
        <v>999</v>
      </c>
      <c r="W202" s="1" t="str">
        <f>IFERROR(VLOOKUP(Tabela1[[#This Row],[UO_COD]],qdd!$AT$1:$AU$102,2,FALSE),"")</f>
        <v/>
      </c>
      <c r="X202" s="1" t="str">
        <f>CONCATENATE("F",Tabela1[[#This Row],[FONTE_COD]],Tabela1[[#This Row],[IPU_COD]],"G",Tabela1[[#This Row],[GRUPO_COD]],"T",Tabela1[[#This Row],[TIPO]])</f>
        <v>FGT999</v>
      </c>
      <c r="Y2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2" s="19"/>
      <c r="AA202" s="29" t="str">
        <f>IFERROR(VLOOKUP(CONCATENATE("B",Tabela1[[#This Row],[BLOCO]],Tabela1[[#This Row],[UO_COD]]),qdd!$AW$2:$AX$1000,2,FALSE),"")</f>
        <v/>
      </c>
      <c r="AB202" s="30" t="str">
        <f>IFERROR(Tabela1[[#This Row],[VALOR]]/100,"")</f>
        <v/>
      </c>
      <c r="AC202" s="7" t="str" cm="1">
        <f t="array" aca="1" ref="AC202" ca="1">IF(Tabela1[[#This Row],[VALOR]]&lt;0,"",IFERROR(SUBSTITUTE(Converter_numero(Tabela1[[#This Row],[VALOR INCISO]]),",",""),""))</f>
        <v/>
      </c>
      <c r="AD202" s="7" t="str">
        <f>IF(Tabela1[[#This Row],[TIPO]]=REGRAS!$W$2,REGRAS!$X$2,IF(Tabela1[[#This Row],[TIPO]]=REGRAS!$W$4,REGRAS!$X$4,""))</f>
        <v/>
      </c>
      <c r="AE202" s="29" t="e">
        <f>VLOOKUP(Tabela1[[#This Row],[FONTE_COD]],REGRAS!$O$2:$P$69,2,FALSE)</f>
        <v>#N/A</v>
      </c>
      <c r="AF2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3" spans="1:32" ht="18.75" customHeight="1">
      <c r="A203" s="2" t="str">
        <f>IFERROR(IF('PREENCHER AQUI'!A203="","",'PREENCHER AQUI'!A203),"")</f>
        <v/>
      </c>
      <c r="B203" s="1" t="str">
        <f>IFERROR(IF('PREENCHER AQUI'!B203="","",PROPER('PREENCHER AQUI'!B203)),"")</f>
        <v/>
      </c>
      <c r="C203" s="1" t="str">
        <f>IFERROR(IF('PREENCHER AQUI'!C203="","",'PREENCHER AQUI'!C203),"")</f>
        <v/>
      </c>
      <c r="D203" s="2" t="str">
        <f>IFERROR(IF('PREENCHER AQUI'!D203="","",'PREENCHER AQUI'!D203),"")</f>
        <v/>
      </c>
      <c r="E203" s="2" t="str">
        <f>IFERROR(VLOOKUP(CONCATENATE(C203,D203),qdd!$C$2:$F$1000,2,FALSE),"")</f>
        <v/>
      </c>
      <c r="F203" s="2" t="str">
        <f>IFERROR(VLOOKUP(CONCATENATE(C203,D203),qdd!$C$2:$F$1000,3,FALSE),"")</f>
        <v/>
      </c>
      <c r="G203" s="2" t="str">
        <f>IFERROR(VLOOKUP(CONCATENATE(C203,D203),qdd!$C$2:$F$1000,4,FALSE),"")</f>
        <v/>
      </c>
      <c r="H203" s="6" t="str">
        <f t="shared" si="8"/>
        <v/>
      </c>
      <c r="I2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3" s="2" t="str">
        <f>IFERROR(IF('PREENCHER AQUI'!E203="","",'PREENCHER AQUI'!E203),"")</f>
        <v/>
      </c>
      <c r="K203" s="2" t="str">
        <f>IFERROR(IF('PREENCHER AQUI'!F203="","",'PREENCHER AQUI'!F203),"")</f>
        <v/>
      </c>
      <c r="L203" s="2" t="str">
        <f>IF(Tabela1[[#This Row],[IPU_COD]]=9,"91",IF(Tabela1[[#This Row],[ACAO_COD]]="","",VLOOKUP(CONCATENATE("G",J203,"M",K203),qdd!$BC$2:$BD$46,2,FALSE)))</f>
        <v/>
      </c>
      <c r="M203" s="2" t="str">
        <f>TEXT(IFERROR(VLOOKUP(CONCATENATE(C203,D203),qdd!$C$2:$G$1000,5,FALSE),""),0)</f>
        <v/>
      </c>
      <c r="N203" s="2" t="str">
        <f>IFERROR(IF('PREENCHER AQUI'!I203="","",'PREENCHER AQUI'!I203),"")</f>
        <v/>
      </c>
      <c r="O203" s="2" t="str">
        <f>IFERROR(IF('PREENCHER AQUI'!J203="","",'PREENCHER AQUI'!J203),"")</f>
        <v/>
      </c>
      <c r="P203" s="7" t="str">
        <f t="shared" si="9"/>
        <v/>
      </c>
      <c r="Q203" s="8" t="str">
        <f>IFERROR(IF(Tabela4[[#This Row],[VALOR]]="","",IF(Tabela1[[#This Row],[ORIENTACAO]]="Anular",'PREENCHER AQUI'!K203*-1*100,'PREENCHER AQUI'!K203*100)),"")</f>
        <v/>
      </c>
      <c r="T203" s="7" t="str">
        <f>IFERROR(IF('PREENCHER AQUI'!L203="","999",LEFT('PREENCHER AQUI'!L203,1)),"")</f>
        <v>999</v>
      </c>
      <c r="V203" s="19"/>
      <c r="W203" s="1" t="str">
        <f>IFERROR(VLOOKUP(Tabela1[[#This Row],[UO_COD]],qdd!$AT$1:$AU$102,2,FALSE),"")</f>
        <v/>
      </c>
      <c r="X203" s="1" t="str">
        <f>CONCATENATE("F",Tabela1[[#This Row],[FONTE_COD]],Tabela1[[#This Row],[IPU_COD]],"G",Tabela1[[#This Row],[GRUPO_COD]],"T",Tabela1[[#This Row],[TIPO]])</f>
        <v>FGT999</v>
      </c>
      <c r="Y2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3" s="19"/>
      <c r="AA203" s="29" t="str">
        <f>IFERROR(VLOOKUP(CONCATENATE("B",Tabela1[[#This Row],[BLOCO]],Tabela1[[#This Row],[UO_COD]]),qdd!$AW$2:$AX$1000,2,FALSE),"")</f>
        <v/>
      </c>
      <c r="AB203" s="30" t="str">
        <f>IFERROR(Tabela1[[#This Row],[VALOR]]/100,"")</f>
        <v/>
      </c>
      <c r="AC203" s="7" t="str" cm="1">
        <f t="array" aca="1" ref="AC203" ca="1">IF(Tabela1[[#This Row],[VALOR]]&lt;0,"",IFERROR(SUBSTITUTE(Converter_numero(Tabela1[[#This Row],[VALOR INCISO]]),",",""),""))</f>
        <v/>
      </c>
      <c r="AD203" s="29" t="str">
        <f>IF(Tabela1[[#This Row],[TIPO]]=REGRAS!$W$2,REGRAS!$X$2,IF(Tabela1[[#This Row],[TIPO]]=REGRAS!$W$4,REGRAS!$X$4,""))</f>
        <v/>
      </c>
      <c r="AE203" s="29" t="e">
        <f>VLOOKUP(Tabela1[[#This Row],[FONTE_COD]],REGRAS!$O$2:$P$69,2,FALSE)</f>
        <v>#N/A</v>
      </c>
      <c r="AF2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4" spans="1:32" ht="18.75" customHeight="1">
      <c r="A204" s="2" t="str">
        <f>IFERROR(IF('PREENCHER AQUI'!A204="","",'PREENCHER AQUI'!A204),"")</f>
        <v/>
      </c>
      <c r="B204" s="1" t="str">
        <f>IFERROR(IF('PREENCHER AQUI'!B204="","",PROPER('PREENCHER AQUI'!B204)),"")</f>
        <v/>
      </c>
      <c r="C204" s="1" t="str">
        <f>IFERROR(IF('PREENCHER AQUI'!C204="","",'PREENCHER AQUI'!C204),"")</f>
        <v/>
      </c>
      <c r="D204" s="2" t="str">
        <f>IFERROR(IF('PREENCHER AQUI'!D204="","",'PREENCHER AQUI'!D204),"")</f>
        <v/>
      </c>
      <c r="E204" s="2" t="str">
        <f>IFERROR(VLOOKUP(CONCATENATE(C204,D204),qdd!$C$2:$F$1000,2,FALSE),"")</f>
        <v/>
      </c>
      <c r="F204" s="2" t="str">
        <f>IFERROR(VLOOKUP(CONCATENATE(C204,D204),qdd!$C$2:$F$1000,3,FALSE),"")</f>
        <v/>
      </c>
      <c r="G204" s="2" t="str">
        <f>IFERROR(VLOOKUP(CONCATENATE(C204,D204),qdd!$C$2:$F$1000,4,FALSE),"")</f>
        <v/>
      </c>
      <c r="H204" s="6" t="str">
        <f t="shared" si="8"/>
        <v/>
      </c>
      <c r="I2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4" s="2" t="str">
        <f>IFERROR(IF('PREENCHER AQUI'!E204="","",'PREENCHER AQUI'!E204),"")</f>
        <v/>
      </c>
      <c r="K204" s="2" t="str">
        <f>IFERROR(IF('PREENCHER AQUI'!F204="","",'PREENCHER AQUI'!F204),"")</f>
        <v/>
      </c>
      <c r="L204" s="2" t="str">
        <f>IF(Tabela1[[#This Row],[IPU_COD]]=9,"91",IF(Tabela1[[#This Row],[ACAO_COD]]="","",VLOOKUP(CONCATENATE("G",J204,"M",K204),qdd!$BC$2:$BD$46,2,FALSE)))</f>
        <v/>
      </c>
      <c r="M204" s="2" t="str">
        <f>TEXT(IFERROR(VLOOKUP(CONCATENATE(C204,D204),qdd!$C$2:$G$1000,5,FALSE),""),0)</f>
        <v/>
      </c>
      <c r="N204" s="2" t="str">
        <f>IFERROR(IF('PREENCHER AQUI'!I204="","",'PREENCHER AQUI'!I204),"")</f>
        <v/>
      </c>
      <c r="O204" s="2" t="str">
        <f>IFERROR(IF('PREENCHER AQUI'!J204="","",'PREENCHER AQUI'!J204),"")</f>
        <v/>
      </c>
      <c r="P204" s="7" t="str">
        <f t="shared" si="9"/>
        <v/>
      </c>
      <c r="Q204" s="8" t="str">
        <f>IFERROR(IF(Tabela4[[#This Row],[VALOR]]="","",IF(Tabela1[[#This Row],[ORIENTACAO]]="Anular",'PREENCHER AQUI'!K204*-1*100,'PREENCHER AQUI'!K204*100)),"")</f>
        <v/>
      </c>
      <c r="T204" s="7" t="str">
        <f>IFERROR(IF('PREENCHER AQUI'!L204="","999",LEFT('PREENCHER AQUI'!L204,1)),"")</f>
        <v>999</v>
      </c>
      <c r="V204" s="19"/>
      <c r="W204" s="1" t="str">
        <f>IFERROR(VLOOKUP(Tabela1[[#This Row],[UO_COD]],qdd!$AT$1:$AU$102,2,FALSE),"")</f>
        <v/>
      </c>
      <c r="X204" s="1" t="str">
        <f>CONCATENATE("F",Tabela1[[#This Row],[FONTE_COD]],Tabela1[[#This Row],[IPU_COD]],"G",Tabela1[[#This Row],[GRUPO_COD]],"T",Tabela1[[#This Row],[TIPO]])</f>
        <v>FGT999</v>
      </c>
      <c r="Y2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4" s="19"/>
      <c r="AA204" s="29" t="str">
        <f>IFERROR(VLOOKUP(CONCATENATE("B",Tabela1[[#This Row],[BLOCO]],Tabela1[[#This Row],[UO_COD]]),qdd!$AW$2:$AX$1000,2,FALSE),"")</f>
        <v/>
      </c>
      <c r="AB204" s="30" t="str">
        <f>IFERROR(Tabela1[[#This Row],[VALOR]]/100,"")</f>
        <v/>
      </c>
      <c r="AC204" s="7" t="str" cm="1">
        <f t="array" aca="1" ref="AC204" ca="1">IF(Tabela1[[#This Row],[VALOR]]&lt;0,"",IFERROR(SUBSTITUTE(Converter_numero(Tabela1[[#This Row],[VALOR INCISO]]),",",""),""))</f>
        <v/>
      </c>
      <c r="AD204" s="29" t="str">
        <f>IF(Tabela1[[#This Row],[TIPO]]=REGRAS!$W$2,REGRAS!$X$2,IF(Tabela1[[#This Row],[TIPO]]=REGRAS!$W$4,REGRAS!$X$4,""))</f>
        <v/>
      </c>
      <c r="AE204" s="29" t="e">
        <f>VLOOKUP(Tabela1[[#This Row],[FONTE_COD]],REGRAS!$O$2:$P$69,2,FALSE)</f>
        <v>#N/A</v>
      </c>
      <c r="AF2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5" spans="1:32" ht="18.75" customHeight="1">
      <c r="A205" s="2" t="str">
        <f>IFERROR(IF('PREENCHER AQUI'!A205="","",'PREENCHER AQUI'!A205),"")</f>
        <v/>
      </c>
      <c r="B205" s="1" t="str">
        <f>IFERROR(IF('PREENCHER AQUI'!B205="","",PROPER('PREENCHER AQUI'!B205)),"")</f>
        <v/>
      </c>
      <c r="C205" s="1" t="str">
        <f>IFERROR(IF('PREENCHER AQUI'!C205="","",'PREENCHER AQUI'!C205),"")</f>
        <v/>
      </c>
      <c r="D205" s="2" t="str">
        <f>IFERROR(IF('PREENCHER AQUI'!D205="","",'PREENCHER AQUI'!D205),"")</f>
        <v/>
      </c>
      <c r="E205" s="2" t="str">
        <f>IFERROR(VLOOKUP(CONCATENATE(C205,D205),qdd!$C$2:$F$1000,2,FALSE),"")</f>
        <v/>
      </c>
      <c r="F205" s="2" t="str">
        <f>IFERROR(VLOOKUP(CONCATENATE(C205,D205),qdd!$C$2:$F$1000,3,FALSE),"")</f>
        <v/>
      </c>
      <c r="G205" s="2" t="str">
        <f>IFERROR(VLOOKUP(CONCATENATE(C205,D205),qdd!$C$2:$F$1000,4,FALSE),"")</f>
        <v/>
      </c>
      <c r="H205" s="6" t="str">
        <f t="shared" si="8"/>
        <v/>
      </c>
      <c r="I2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5" s="2" t="str">
        <f>IFERROR(IF('PREENCHER AQUI'!E205="","",'PREENCHER AQUI'!E205),"")</f>
        <v/>
      </c>
      <c r="K205" s="2" t="str">
        <f>IFERROR(IF('PREENCHER AQUI'!F205="","",'PREENCHER AQUI'!F205),"")</f>
        <v/>
      </c>
      <c r="L205" s="2" t="str">
        <f>IF(Tabela1[[#This Row],[IPU_COD]]=9,"91",IF(Tabela1[[#This Row],[ACAO_COD]]="","",VLOOKUP(CONCATENATE("G",J205,"M",K205),qdd!$BC$2:$BD$46,2,FALSE)))</f>
        <v/>
      </c>
      <c r="M205" s="2" t="str">
        <f>TEXT(IFERROR(VLOOKUP(CONCATENATE(C205,D205),qdd!$C$2:$G$1000,5,FALSE),""),0)</f>
        <v/>
      </c>
      <c r="N205" s="2" t="str">
        <f>IFERROR(IF('PREENCHER AQUI'!I205="","",'PREENCHER AQUI'!I205),"")</f>
        <v/>
      </c>
      <c r="O205" s="2" t="str">
        <f>IFERROR(IF('PREENCHER AQUI'!J205="","",'PREENCHER AQUI'!J205),"")</f>
        <v/>
      </c>
      <c r="P205" s="7" t="str">
        <f t="shared" si="9"/>
        <v/>
      </c>
      <c r="Q205" s="8" t="str">
        <f>IFERROR(IF(Tabela4[[#This Row],[VALOR]]="","",IF(Tabela1[[#This Row],[ORIENTACAO]]="Anular",'PREENCHER AQUI'!K205*-1*100,'PREENCHER AQUI'!K205*100)),"")</f>
        <v/>
      </c>
      <c r="T205" s="7" t="str">
        <f>IFERROR(IF('PREENCHER AQUI'!L205="","999",LEFT('PREENCHER AQUI'!L205,1)),"")</f>
        <v>999</v>
      </c>
      <c r="V205" s="19"/>
      <c r="W205" s="20" t="str">
        <f>IFERROR(VLOOKUP(Tabela1[[#This Row],[UO_COD]],qdd!$AT$1:$AU$102,2,FALSE),"")</f>
        <v/>
      </c>
      <c r="X205" s="20" t="str">
        <f>CONCATENATE("F",Tabela1[[#This Row],[FONTE_COD]],Tabela1[[#This Row],[IPU_COD]],"G",Tabela1[[#This Row],[GRUPO_COD]],"T",Tabela1[[#This Row],[TIPO]])</f>
        <v>FGT999</v>
      </c>
      <c r="Y2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5" s="19"/>
      <c r="AA205" s="29" t="str">
        <f>IFERROR(VLOOKUP(CONCATENATE("B",Tabela1[[#This Row],[BLOCO]],Tabela1[[#This Row],[UO_COD]]),qdd!$AW$2:$AX$1000,2,FALSE),"")</f>
        <v/>
      </c>
      <c r="AB205" s="30" t="str">
        <f>IFERROR(Tabela1[[#This Row],[VALOR]]/100,"")</f>
        <v/>
      </c>
      <c r="AC205" s="7" t="str" cm="1">
        <f t="array" aca="1" ref="AC205" ca="1">IF(Tabela1[[#This Row],[VALOR]]&lt;0,"",IFERROR(SUBSTITUTE(Converter_numero(Tabela1[[#This Row],[VALOR INCISO]]),",",""),""))</f>
        <v/>
      </c>
      <c r="AD205" s="29" t="str">
        <f>IF(Tabela1[[#This Row],[TIPO]]=REGRAS!$W$2,REGRAS!$X$2,IF(Tabela1[[#This Row],[TIPO]]=REGRAS!$W$4,REGRAS!$X$4,""))</f>
        <v/>
      </c>
      <c r="AE205" s="29" t="e">
        <f>VLOOKUP(Tabela1[[#This Row],[FONTE_COD]],REGRAS!$O$2:$P$69,2,FALSE)</f>
        <v>#N/A</v>
      </c>
      <c r="AF2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6" spans="1:32" ht="18.75" customHeight="1">
      <c r="A206" s="2" t="str">
        <f>IFERROR(IF('PREENCHER AQUI'!A206="","",'PREENCHER AQUI'!A206),"")</f>
        <v/>
      </c>
      <c r="B206" s="1" t="str">
        <f>IFERROR(IF('PREENCHER AQUI'!B206="","",PROPER('PREENCHER AQUI'!B206)),"")</f>
        <v/>
      </c>
      <c r="C206" s="1" t="str">
        <f>IFERROR(IF('PREENCHER AQUI'!C206="","",'PREENCHER AQUI'!C206),"")</f>
        <v/>
      </c>
      <c r="D206" s="2" t="str">
        <f>IFERROR(IF('PREENCHER AQUI'!D206="","",'PREENCHER AQUI'!D206),"")</f>
        <v/>
      </c>
      <c r="E206" s="2" t="str">
        <f>IFERROR(VLOOKUP(CONCATENATE(C206,D206),qdd!$C$2:$F$1000,2,FALSE),"")</f>
        <v/>
      </c>
      <c r="F206" s="2" t="str">
        <f>IFERROR(VLOOKUP(CONCATENATE(C206,D206),qdd!$C$2:$F$1000,3,FALSE),"")</f>
        <v/>
      </c>
      <c r="G206" s="2" t="str">
        <f>IFERROR(VLOOKUP(CONCATENATE(C206,D206),qdd!$C$2:$F$1000,4,FALSE),"")</f>
        <v/>
      </c>
      <c r="H206" s="6" t="str">
        <f t="shared" si="8"/>
        <v/>
      </c>
      <c r="I2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6" s="2" t="str">
        <f>IFERROR(IF('PREENCHER AQUI'!E206="","",'PREENCHER AQUI'!E206),"")</f>
        <v/>
      </c>
      <c r="K206" s="2" t="str">
        <f>IFERROR(IF('PREENCHER AQUI'!F206="","",'PREENCHER AQUI'!F206),"")</f>
        <v/>
      </c>
      <c r="L206" s="2" t="str">
        <f>IF(Tabela1[[#This Row],[IPU_COD]]=9,"91",IF(Tabela1[[#This Row],[ACAO_COD]]="","",VLOOKUP(CONCATENATE("G",J206,"M",K206),qdd!$BC$2:$BD$46,2,FALSE)))</f>
        <v/>
      </c>
      <c r="M206" s="2" t="str">
        <f>TEXT(IFERROR(VLOOKUP(CONCATENATE(C206,D206),qdd!$C$2:$G$1000,5,FALSE),""),0)</f>
        <v/>
      </c>
      <c r="N206" s="2" t="str">
        <f>IFERROR(IF('PREENCHER AQUI'!I206="","",'PREENCHER AQUI'!I206),"")</f>
        <v/>
      </c>
      <c r="O206" s="2" t="str">
        <f>IFERROR(IF('PREENCHER AQUI'!J206="","",'PREENCHER AQUI'!J206),"")</f>
        <v/>
      </c>
      <c r="P206" s="7" t="str">
        <f t="shared" si="9"/>
        <v/>
      </c>
      <c r="Q206" s="8" t="str">
        <f>IFERROR(IF(Tabela4[[#This Row],[VALOR]]="","",IF(Tabela1[[#This Row],[ORIENTACAO]]="Anular",'PREENCHER AQUI'!K206*-1*100,'PREENCHER AQUI'!K206*100)),"")</f>
        <v/>
      </c>
      <c r="T206" s="7" t="str">
        <f>IFERROR(IF('PREENCHER AQUI'!L206="","999",LEFT('PREENCHER AQUI'!L206,1)),"")</f>
        <v>999</v>
      </c>
      <c r="V206" s="19"/>
      <c r="W206" s="1" t="str">
        <f>IFERROR(VLOOKUP(Tabela1[[#This Row],[UO_COD]],qdd!$AT$1:$AU$102,2,FALSE),"")</f>
        <v/>
      </c>
      <c r="X206" s="1" t="str">
        <f>CONCATENATE("F",Tabela1[[#This Row],[FONTE_COD]],Tabela1[[#This Row],[IPU_COD]],"G",Tabela1[[#This Row],[GRUPO_COD]],"T",Tabela1[[#This Row],[TIPO]])</f>
        <v>FGT999</v>
      </c>
      <c r="Y2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6" s="19"/>
      <c r="AA206" s="29" t="str">
        <f>IFERROR(VLOOKUP(CONCATENATE("B",Tabela1[[#This Row],[BLOCO]],Tabela1[[#This Row],[UO_COD]]),qdd!$AW$2:$AX$1000,2,FALSE),"")</f>
        <v/>
      </c>
      <c r="AB206" s="30" t="str">
        <f>IFERROR(Tabela1[[#This Row],[VALOR]]/100,"")</f>
        <v/>
      </c>
      <c r="AC206" s="7" t="str" cm="1">
        <f t="array" aca="1" ref="AC206" ca="1">IF(Tabela1[[#This Row],[VALOR]]&lt;0,"",IFERROR(SUBSTITUTE(Converter_numero(Tabela1[[#This Row],[VALOR INCISO]]),",",""),""))</f>
        <v/>
      </c>
      <c r="AD206" s="29" t="str">
        <f>IF(Tabela1[[#This Row],[TIPO]]=REGRAS!$W$2,REGRAS!$X$2,IF(Tabela1[[#This Row],[TIPO]]=REGRAS!$W$4,REGRAS!$X$4,""))</f>
        <v/>
      </c>
      <c r="AE206" s="29" t="e">
        <f>VLOOKUP(Tabela1[[#This Row],[FONTE_COD]],REGRAS!$O$2:$P$69,2,FALSE)</f>
        <v>#N/A</v>
      </c>
      <c r="AF2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7" spans="1:32" ht="18.75" customHeight="1">
      <c r="A207" s="2" t="str">
        <f>IFERROR(IF('PREENCHER AQUI'!A207="","",'PREENCHER AQUI'!A207),"")</f>
        <v/>
      </c>
      <c r="B207" s="1" t="str">
        <f>IFERROR(IF('PREENCHER AQUI'!B207="","",PROPER('PREENCHER AQUI'!B207)),"")</f>
        <v/>
      </c>
      <c r="C207" s="1" t="str">
        <f>IFERROR(IF('PREENCHER AQUI'!C207="","",'PREENCHER AQUI'!C207),"")</f>
        <v/>
      </c>
      <c r="D207" s="2" t="str">
        <f>IFERROR(IF('PREENCHER AQUI'!D207="","",'PREENCHER AQUI'!D207),"")</f>
        <v/>
      </c>
      <c r="E207" s="2" t="str">
        <f>IFERROR(VLOOKUP(CONCATENATE(C207,D207),qdd!$C$2:$F$1000,2,FALSE),"")</f>
        <v/>
      </c>
      <c r="F207" s="2" t="str">
        <f>IFERROR(VLOOKUP(CONCATENATE(C207,D207),qdd!$C$2:$F$1000,3,FALSE),"")</f>
        <v/>
      </c>
      <c r="G207" s="2" t="str">
        <f>IFERROR(VLOOKUP(CONCATENATE(C207,D207),qdd!$C$2:$F$1000,4,FALSE),"")</f>
        <v/>
      </c>
      <c r="H207" s="6" t="str">
        <f t="shared" si="8"/>
        <v/>
      </c>
      <c r="I2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7" s="2" t="str">
        <f>IFERROR(IF('PREENCHER AQUI'!E207="","",'PREENCHER AQUI'!E207),"")</f>
        <v/>
      </c>
      <c r="K207" s="2" t="str">
        <f>IFERROR(IF('PREENCHER AQUI'!F207="","",'PREENCHER AQUI'!F207),"")</f>
        <v/>
      </c>
      <c r="L207" s="2" t="str">
        <f>IF(Tabela1[[#This Row],[IPU_COD]]=9,"91",IF(Tabela1[[#This Row],[ACAO_COD]]="","",VLOOKUP(CONCATENATE("G",J207,"M",K207),qdd!$BC$2:$BD$46,2,FALSE)))</f>
        <v/>
      </c>
      <c r="M207" s="2" t="str">
        <f>TEXT(IFERROR(VLOOKUP(CONCATENATE(C207,D207),qdd!$C$2:$G$1000,5,FALSE),""),0)</f>
        <v/>
      </c>
      <c r="N207" s="2" t="str">
        <f>IFERROR(IF('PREENCHER AQUI'!I207="","",'PREENCHER AQUI'!I207),"")</f>
        <v/>
      </c>
      <c r="O207" s="2" t="str">
        <f>IFERROR(IF('PREENCHER AQUI'!J207="","",'PREENCHER AQUI'!J207),"")</f>
        <v/>
      </c>
      <c r="P207" s="7" t="str">
        <f t="shared" si="9"/>
        <v/>
      </c>
      <c r="Q207" s="8" t="str">
        <f>IFERROR(IF(Tabela4[[#This Row],[VALOR]]="","",IF(Tabela1[[#This Row],[ORIENTACAO]]="Anular",'PREENCHER AQUI'!K207*-1*100,'PREENCHER AQUI'!K207*100)),"")</f>
        <v/>
      </c>
      <c r="T207" s="7" t="str">
        <f>IFERROR(IF('PREENCHER AQUI'!L207="","999",LEFT('PREENCHER AQUI'!L207,1)),"")</f>
        <v>999</v>
      </c>
      <c r="W207" s="1" t="str">
        <f>IFERROR(VLOOKUP(Tabela1[[#This Row],[UO_COD]],qdd!$AT$1:$AU$102,2,FALSE),"")</f>
        <v/>
      </c>
      <c r="X207" s="1" t="str">
        <f>CONCATENATE("F",Tabela1[[#This Row],[FONTE_COD]],Tabela1[[#This Row],[IPU_COD]],"G",Tabela1[[#This Row],[GRUPO_COD]],"T",Tabela1[[#This Row],[TIPO]])</f>
        <v>FGT999</v>
      </c>
      <c r="Y2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7" s="19"/>
      <c r="AA207" s="29" t="str">
        <f>IFERROR(VLOOKUP(CONCATENATE("B",Tabela1[[#This Row],[BLOCO]],Tabela1[[#This Row],[UO_COD]]),qdd!$AW$2:$AX$1000,2,FALSE),"")</f>
        <v/>
      </c>
      <c r="AB207" s="30" t="str">
        <f>IFERROR(Tabela1[[#This Row],[VALOR]]/100,"")</f>
        <v/>
      </c>
      <c r="AC207" s="7" t="str" cm="1">
        <f t="array" aca="1" ref="AC207" ca="1">IF(Tabela1[[#This Row],[VALOR]]&lt;0,"",IFERROR(SUBSTITUTE(Converter_numero(Tabela1[[#This Row],[VALOR INCISO]]),",",""),""))</f>
        <v/>
      </c>
      <c r="AD207" s="7" t="str">
        <f>IF(Tabela1[[#This Row],[TIPO]]=REGRAS!$W$2,REGRAS!$X$2,IF(Tabela1[[#This Row],[TIPO]]=REGRAS!$W$4,REGRAS!$X$4,""))</f>
        <v/>
      </c>
      <c r="AE207" s="29" t="e">
        <f>VLOOKUP(Tabela1[[#This Row],[FONTE_COD]],REGRAS!$O$2:$P$69,2,FALSE)</f>
        <v>#N/A</v>
      </c>
      <c r="AF2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8" spans="1:32" ht="18.75" customHeight="1">
      <c r="A208" s="2" t="str">
        <f>IFERROR(IF('PREENCHER AQUI'!A208="","",'PREENCHER AQUI'!A208),"")</f>
        <v/>
      </c>
      <c r="B208" s="1" t="str">
        <f>IFERROR(IF('PREENCHER AQUI'!B208="","",PROPER('PREENCHER AQUI'!B208)),"")</f>
        <v/>
      </c>
      <c r="C208" s="1" t="str">
        <f>IFERROR(IF('PREENCHER AQUI'!C208="","",'PREENCHER AQUI'!C208),"")</f>
        <v/>
      </c>
      <c r="D208" s="2" t="str">
        <f>IFERROR(IF('PREENCHER AQUI'!D208="","",'PREENCHER AQUI'!D208),"")</f>
        <v/>
      </c>
      <c r="E208" s="2" t="str">
        <f>IFERROR(VLOOKUP(CONCATENATE(C208,D208),qdd!$C$2:$F$1000,2,FALSE),"")</f>
        <v/>
      </c>
      <c r="F208" s="2" t="str">
        <f>IFERROR(VLOOKUP(CONCATENATE(C208,D208),qdd!$C$2:$F$1000,3,FALSE),"")</f>
        <v/>
      </c>
      <c r="G208" s="2" t="str">
        <f>IFERROR(VLOOKUP(CONCATENATE(C208,D208),qdd!$C$2:$F$1000,4,FALSE),"")</f>
        <v/>
      </c>
      <c r="H208" s="6" t="str">
        <f t="shared" si="8"/>
        <v/>
      </c>
      <c r="I2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8" s="2" t="str">
        <f>IFERROR(IF('PREENCHER AQUI'!E208="","",'PREENCHER AQUI'!E208),"")</f>
        <v/>
      </c>
      <c r="K208" s="2" t="str">
        <f>IFERROR(IF('PREENCHER AQUI'!F208="","",'PREENCHER AQUI'!F208),"")</f>
        <v/>
      </c>
      <c r="L208" s="2" t="str">
        <f>IF(Tabela1[[#This Row],[IPU_COD]]=9,"91",IF(Tabela1[[#This Row],[ACAO_COD]]="","",VLOOKUP(CONCATENATE("G",J208,"M",K208),qdd!$BC$2:$BD$46,2,FALSE)))</f>
        <v/>
      </c>
      <c r="M208" s="2" t="str">
        <f>TEXT(IFERROR(VLOOKUP(CONCATENATE(C208,D208),qdd!$C$2:$G$1000,5,FALSE),""),0)</f>
        <v/>
      </c>
      <c r="N208" s="2" t="str">
        <f>IFERROR(IF('PREENCHER AQUI'!I208="","",'PREENCHER AQUI'!I208),"")</f>
        <v/>
      </c>
      <c r="O208" s="2" t="str">
        <f>IFERROR(IF('PREENCHER AQUI'!J208="","",'PREENCHER AQUI'!J208),"")</f>
        <v/>
      </c>
      <c r="P208" s="7" t="str">
        <f t="shared" si="9"/>
        <v/>
      </c>
      <c r="Q208" s="8" t="str">
        <f>IFERROR(IF(Tabela4[[#This Row],[VALOR]]="","",IF(Tabela1[[#This Row],[ORIENTACAO]]="Anular",'PREENCHER AQUI'!K208*-1*100,'PREENCHER AQUI'!K208*100)),"")</f>
        <v/>
      </c>
      <c r="T208" s="7" t="str">
        <f>IFERROR(IF('PREENCHER AQUI'!L208="","999",LEFT('PREENCHER AQUI'!L208,1)),"")</f>
        <v>999</v>
      </c>
      <c r="V208" s="19"/>
      <c r="W208" s="1" t="str">
        <f>IFERROR(VLOOKUP(Tabela1[[#This Row],[UO_COD]],qdd!$AT$1:$AU$102,2,FALSE),"")</f>
        <v/>
      </c>
      <c r="X208" s="1" t="str">
        <f>CONCATENATE("F",Tabela1[[#This Row],[FONTE_COD]],Tabela1[[#This Row],[IPU_COD]],"G",Tabela1[[#This Row],[GRUPO_COD]],"T",Tabela1[[#This Row],[TIPO]])</f>
        <v>FGT999</v>
      </c>
      <c r="Y2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8" s="19"/>
      <c r="AA208" s="29" t="str">
        <f>IFERROR(VLOOKUP(CONCATENATE("B",Tabela1[[#This Row],[BLOCO]],Tabela1[[#This Row],[UO_COD]]),qdd!$AW$2:$AX$1000,2,FALSE),"")</f>
        <v/>
      </c>
      <c r="AB208" s="30" t="str">
        <f>IFERROR(Tabela1[[#This Row],[VALOR]]/100,"")</f>
        <v/>
      </c>
      <c r="AC208" s="7" t="str" cm="1">
        <f t="array" aca="1" ref="AC208" ca="1">IF(Tabela1[[#This Row],[VALOR]]&lt;0,"",IFERROR(SUBSTITUTE(Converter_numero(Tabela1[[#This Row],[VALOR INCISO]]),",",""),""))</f>
        <v/>
      </c>
      <c r="AD208" s="29" t="str">
        <f>IF(Tabela1[[#This Row],[TIPO]]=REGRAS!$W$2,REGRAS!$X$2,IF(Tabela1[[#This Row],[TIPO]]=REGRAS!$W$4,REGRAS!$X$4,""))</f>
        <v/>
      </c>
      <c r="AE208" s="29" t="e">
        <f>VLOOKUP(Tabela1[[#This Row],[FONTE_COD]],REGRAS!$O$2:$P$69,2,FALSE)</f>
        <v>#N/A</v>
      </c>
      <c r="AF2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9" spans="1:32" ht="18.75" customHeight="1">
      <c r="A209" s="2" t="str">
        <f>IFERROR(IF('PREENCHER AQUI'!A209="","",'PREENCHER AQUI'!A209),"")</f>
        <v/>
      </c>
      <c r="B209" s="1" t="str">
        <f>IFERROR(IF('PREENCHER AQUI'!B209="","",PROPER('PREENCHER AQUI'!B209)),"")</f>
        <v/>
      </c>
      <c r="C209" s="1" t="str">
        <f>IFERROR(IF('PREENCHER AQUI'!C209="","",'PREENCHER AQUI'!C209),"")</f>
        <v/>
      </c>
      <c r="D209" s="2" t="str">
        <f>IFERROR(IF('PREENCHER AQUI'!D209="","",'PREENCHER AQUI'!D209),"")</f>
        <v/>
      </c>
      <c r="E209" s="2" t="str">
        <f>IFERROR(VLOOKUP(CONCATENATE(C209,D209),qdd!$C$2:$F$1000,2,FALSE),"")</f>
        <v/>
      </c>
      <c r="F209" s="2" t="str">
        <f>IFERROR(VLOOKUP(CONCATENATE(C209,D209),qdd!$C$2:$F$1000,3,FALSE),"")</f>
        <v/>
      </c>
      <c r="G209" s="2" t="str">
        <f>IFERROR(VLOOKUP(CONCATENATE(C209,D209),qdd!$C$2:$F$1000,4,FALSE),"")</f>
        <v/>
      </c>
      <c r="H209" s="6" t="str">
        <f t="shared" si="8"/>
        <v/>
      </c>
      <c r="I2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9" s="2" t="str">
        <f>IFERROR(IF('PREENCHER AQUI'!E209="","",'PREENCHER AQUI'!E209),"")</f>
        <v/>
      </c>
      <c r="K209" s="2" t="str">
        <f>IFERROR(IF('PREENCHER AQUI'!F209="","",'PREENCHER AQUI'!F209),"")</f>
        <v/>
      </c>
      <c r="L209" s="2" t="str">
        <f>IF(Tabela1[[#This Row],[IPU_COD]]=9,"91",IF(Tabela1[[#This Row],[ACAO_COD]]="","",VLOOKUP(CONCATENATE("G",J209,"M",K209),qdd!$BC$2:$BD$46,2,FALSE)))</f>
        <v/>
      </c>
      <c r="M209" s="2" t="str">
        <f>TEXT(IFERROR(VLOOKUP(CONCATENATE(C209,D209),qdd!$C$2:$G$1000,5,FALSE),""),0)</f>
        <v/>
      </c>
      <c r="N209" s="2" t="str">
        <f>IFERROR(IF('PREENCHER AQUI'!I209="","",'PREENCHER AQUI'!I209),"")</f>
        <v/>
      </c>
      <c r="O209" s="2" t="str">
        <f>IFERROR(IF('PREENCHER AQUI'!J209="","",'PREENCHER AQUI'!J209),"")</f>
        <v/>
      </c>
      <c r="P209" s="7" t="str">
        <f t="shared" si="9"/>
        <v/>
      </c>
      <c r="Q209" s="8" t="str">
        <f>IFERROR(IF(Tabela4[[#This Row],[VALOR]]="","",IF(Tabela1[[#This Row],[ORIENTACAO]]="Anular",'PREENCHER AQUI'!K209*-1*100,'PREENCHER AQUI'!K209*100)),"")</f>
        <v/>
      </c>
      <c r="T209" s="7" t="str">
        <f>IFERROR(IF('PREENCHER AQUI'!L209="","999",LEFT('PREENCHER AQUI'!L209,1)),"")</f>
        <v>999</v>
      </c>
      <c r="V209" s="19"/>
      <c r="W209" s="1" t="str">
        <f>IFERROR(VLOOKUP(Tabela1[[#This Row],[UO_COD]],qdd!$AT$1:$AU$102,2,FALSE),"")</f>
        <v/>
      </c>
      <c r="X209" s="1" t="str">
        <f>CONCATENATE("F",Tabela1[[#This Row],[FONTE_COD]],Tabela1[[#This Row],[IPU_COD]],"G",Tabela1[[#This Row],[GRUPO_COD]],"T",Tabela1[[#This Row],[TIPO]])</f>
        <v>FGT999</v>
      </c>
      <c r="Y2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9" s="19"/>
      <c r="AA209" s="29" t="str">
        <f>IFERROR(VLOOKUP(CONCATENATE("B",Tabela1[[#This Row],[BLOCO]],Tabela1[[#This Row],[UO_COD]]),qdd!$AW$2:$AX$1000,2,FALSE),"")</f>
        <v/>
      </c>
      <c r="AB209" s="30" t="str">
        <f>IFERROR(Tabela1[[#This Row],[VALOR]]/100,"")</f>
        <v/>
      </c>
      <c r="AC209" s="7" t="str" cm="1">
        <f t="array" aca="1" ref="AC209" ca="1">IF(Tabela1[[#This Row],[VALOR]]&lt;0,"",IFERROR(SUBSTITUTE(Converter_numero(Tabela1[[#This Row],[VALOR INCISO]]),",",""),""))</f>
        <v/>
      </c>
      <c r="AD209" s="29" t="str">
        <f>IF(Tabela1[[#This Row],[TIPO]]=REGRAS!$W$2,REGRAS!$X$2,IF(Tabela1[[#This Row],[TIPO]]=REGRAS!$W$4,REGRAS!$X$4,""))</f>
        <v/>
      </c>
      <c r="AE209" s="29" t="e">
        <f>VLOOKUP(Tabela1[[#This Row],[FONTE_COD]],REGRAS!$O$2:$P$69,2,FALSE)</f>
        <v>#N/A</v>
      </c>
      <c r="AF2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0" spans="1:32" ht="18.75" customHeight="1">
      <c r="A210" s="2" t="str">
        <f>IFERROR(IF('PREENCHER AQUI'!A210="","",'PREENCHER AQUI'!A210),"")</f>
        <v/>
      </c>
      <c r="B210" s="1" t="str">
        <f>IFERROR(IF('PREENCHER AQUI'!B210="","",PROPER('PREENCHER AQUI'!B210)),"")</f>
        <v/>
      </c>
      <c r="C210" s="1" t="str">
        <f>IFERROR(IF('PREENCHER AQUI'!C210="","",'PREENCHER AQUI'!C210),"")</f>
        <v/>
      </c>
      <c r="D210" s="2" t="str">
        <f>IFERROR(IF('PREENCHER AQUI'!D210="","",'PREENCHER AQUI'!D210),"")</f>
        <v/>
      </c>
      <c r="E210" s="2" t="str">
        <f>IFERROR(VLOOKUP(CONCATENATE(C210,D210),qdd!$C$2:$F$1000,2,FALSE),"")</f>
        <v/>
      </c>
      <c r="F210" s="2" t="str">
        <f>IFERROR(VLOOKUP(CONCATENATE(C210,D210),qdd!$C$2:$F$1000,3,FALSE),"")</f>
        <v/>
      </c>
      <c r="G210" s="2" t="str">
        <f>IFERROR(VLOOKUP(CONCATENATE(C210,D210),qdd!$C$2:$F$1000,4,FALSE),"")</f>
        <v/>
      </c>
      <c r="H210" s="6" t="str">
        <f t="shared" si="8"/>
        <v/>
      </c>
      <c r="I2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0" s="2" t="str">
        <f>IFERROR(IF('PREENCHER AQUI'!E210="","",'PREENCHER AQUI'!E210),"")</f>
        <v/>
      </c>
      <c r="K210" s="2" t="str">
        <f>IFERROR(IF('PREENCHER AQUI'!F210="","",'PREENCHER AQUI'!F210),"")</f>
        <v/>
      </c>
      <c r="L210" s="2" t="str">
        <f>IF(Tabela1[[#This Row],[IPU_COD]]=9,"91",IF(Tabela1[[#This Row],[ACAO_COD]]="","",VLOOKUP(CONCATENATE("G",J210,"M",K210),qdd!$BC$2:$BD$46,2,FALSE)))</f>
        <v/>
      </c>
      <c r="M210" s="2" t="str">
        <f>TEXT(IFERROR(VLOOKUP(CONCATENATE(C210,D210),qdd!$C$2:$G$1000,5,FALSE),""),0)</f>
        <v/>
      </c>
      <c r="N210" s="2" t="str">
        <f>IFERROR(IF('PREENCHER AQUI'!I210="","",'PREENCHER AQUI'!I210),"")</f>
        <v/>
      </c>
      <c r="O210" s="2" t="str">
        <f>IFERROR(IF('PREENCHER AQUI'!J210="","",'PREENCHER AQUI'!J210),"")</f>
        <v/>
      </c>
      <c r="P210" s="7" t="str">
        <f t="shared" si="9"/>
        <v/>
      </c>
      <c r="Q210" s="8" t="str">
        <f>IFERROR(IF(Tabela4[[#This Row],[VALOR]]="","",IF(Tabela1[[#This Row],[ORIENTACAO]]="Anular",'PREENCHER AQUI'!K210*-1*100,'PREENCHER AQUI'!K210*100)),"")</f>
        <v/>
      </c>
      <c r="T210" s="7" t="str">
        <f>IFERROR(IF('PREENCHER AQUI'!L210="","999",LEFT('PREENCHER AQUI'!L210,1)),"")</f>
        <v>999</v>
      </c>
      <c r="V210" s="19"/>
      <c r="W210" s="20" t="str">
        <f>IFERROR(VLOOKUP(Tabela1[[#This Row],[UO_COD]],qdd!$AT$1:$AU$102,2,FALSE),"")</f>
        <v/>
      </c>
      <c r="X210" s="20" t="str">
        <f>CONCATENATE("F",Tabela1[[#This Row],[FONTE_COD]],Tabela1[[#This Row],[IPU_COD]],"G",Tabela1[[#This Row],[GRUPO_COD]],"T",Tabela1[[#This Row],[TIPO]])</f>
        <v>FGT999</v>
      </c>
      <c r="Y2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0" s="19"/>
      <c r="AA210" s="29" t="str">
        <f>IFERROR(VLOOKUP(CONCATENATE("B",Tabela1[[#This Row],[BLOCO]],Tabela1[[#This Row],[UO_COD]]),qdd!$AW$2:$AX$1000,2,FALSE),"")</f>
        <v/>
      </c>
      <c r="AB210" s="30" t="str">
        <f>IFERROR(Tabela1[[#This Row],[VALOR]]/100,"")</f>
        <v/>
      </c>
      <c r="AC210" s="7" t="str" cm="1">
        <f t="array" aca="1" ref="AC210" ca="1">IF(Tabela1[[#This Row],[VALOR]]&lt;0,"",IFERROR(SUBSTITUTE(Converter_numero(Tabela1[[#This Row],[VALOR INCISO]]),",",""),""))</f>
        <v/>
      </c>
      <c r="AD210" s="29" t="str">
        <f>IF(Tabela1[[#This Row],[TIPO]]=REGRAS!$W$2,REGRAS!$X$2,IF(Tabela1[[#This Row],[TIPO]]=REGRAS!$W$4,REGRAS!$X$4,""))</f>
        <v/>
      </c>
      <c r="AE210" s="29" t="e">
        <f>VLOOKUP(Tabela1[[#This Row],[FONTE_COD]],REGRAS!$O$2:$P$69,2,FALSE)</f>
        <v>#N/A</v>
      </c>
      <c r="AF2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1" spans="1:32" ht="18.75" customHeight="1">
      <c r="A211" s="2" t="str">
        <f>IFERROR(IF('PREENCHER AQUI'!A211="","",'PREENCHER AQUI'!A211),"")</f>
        <v/>
      </c>
      <c r="B211" s="1" t="str">
        <f>IFERROR(IF('PREENCHER AQUI'!B211="","",PROPER('PREENCHER AQUI'!B211)),"")</f>
        <v/>
      </c>
      <c r="C211" s="1" t="str">
        <f>IFERROR(IF('PREENCHER AQUI'!C211="","",'PREENCHER AQUI'!C211),"")</f>
        <v/>
      </c>
      <c r="D211" s="2" t="str">
        <f>IFERROR(IF('PREENCHER AQUI'!D211="","",'PREENCHER AQUI'!D211),"")</f>
        <v/>
      </c>
      <c r="E211" s="2" t="str">
        <f>IFERROR(VLOOKUP(CONCATENATE(C211,D211),qdd!$C$2:$F$1000,2,FALSE),"")</f>
        <v/>
      </c>
      <c r="F211" s="2" t="str">
        <f>IFERROR(VLOOKUP(CONCATENATE(C211,D211),qdd!$C$2:$F$1000,3,FALSE),"")</f>
        <v/>
      </c>
      <c r="G211" s="2" t="str">
        <f>IFERROR(VLOOKUP(CONCATENATE(C211,D211),qdd!$C$2:$F$1000,4,FALSE),"")</f>
        <v/>
      </c>
      <c r="H211" s="6" t="str">
        <f t="shared" si="8"/>
        <v/>
      </c>
      <c r="I2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1" s="2" t="str">
        <f>IFERROR(IF('PREENCHER AQUI'!E211="","",'PREENCHER AQUI'!E211),"")</f>
        <v/>
      </c>
      <c r="K211" s="2" t="str">
        <f>IFERROR(IF('PREENCHER AQUI'!F211="","",'PREENCHER AQUI'!F211),"")</f>
        <v/>
      </c>
      <c r="L211" s="2" t="str">
        <f>IF(Tabela1[[#This Row],[IPU_COD]]=9,"91",IF(Tabela1[[#This Row],[ACAO_COD]]="","",VLOOKUP(CONCATENATE("G",J211,"M",K211),qdd!$BC$2:$BD$46,2,FALSE)))</f>
        <v/>
      </c>
      <c r="M211" s="2" t="str">
        <f>TEXT(IFERROR(VLOOKUP(CONCATENATE(C211,D211),qdd!$C$2:$G$1000,5,FALSE),""),0)</f>
        <v/>
      </c>
      <c r="N211" s="2" t="str">
        <f>IFERROR(IF('PREENCHER AQUI'!I211="","",'PREENCHER AQUI'!I211),"")</f>
        <v/>
      </c>
      <c r="O211" s="2" t="str">
        <f>IFERROR(IF('PREENCHER AQUI'!J211="","",'PREENCHER AQUI'!J211),"")</f>
        <v/>
      </c>
      <c r="P211" s="7" t="str">
        <f t="shared" si="9"/>
        <v/>
      </c>
      <c r="Q211" s="8" t="str">
        <f>IFERROR(IF(Tabela4[[#This Row],[VALOR]]="","",IF(Tabela1[[#This Row],[ORIENTACAO]]="Anular",'PREENCHER AQUI'!K211*-1*100,'PREENCHER AQUI'!K211*100)),"")</f>
        <v/>
      </c>
      <c r="T211" s="7" t="str">
        <f>IFERROR(IF('PREENCHER AQUI'!L211="","999",LEFT('PREENCHER AQUI'!L211,1)),"")</f>
        <v>999</v>
      </c>
      <c r="V211" s="19"/>
      <c r="W211" s="1" t="str">
        <f>IFERROR(VLOOKUP(Tabela1[[#This Row],[UO_COD]],qdd!$AT$1:$AU$102,2,FALSE),"")</f>
        <v/>
      </c>
      <c r="X211" s="1" t="str">
        <f>CONCATENATE("F",Tabela1[[#This Row],[FONTE_COD]],Tabela1[[#This Row],[IPU_COD]],"G",Tabela1[[#This Row],[GRUPO_COD]],"T",Tabela1[[#This Row],[TIPO]])</f>
        <v>FGT999</v>
      </c>
      <c r="Y2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1" s="19"/>
      <c r="AA211" s="29" t="str">
        <f>IFERROR(VLOOKUP(CONCATENATE("B",Tabela1[[#This Row],[BLOCO]],Tabela1[[#This Row],[UO_COD]]),qdd!$AW$2:$AX$1000,2,FALSE),"")</f>
        <v/>
      </c>
      <c r="AB211" s="30" t="str">
        <f>IFERROR(Tabela1[[#This Row],[VALOR]]/100,"")</f>
        <v/>
      </c>
      <c r="AC211" s="7" t="str" cm="1">
        <f t="array" aca="1" ref="AC211" ca="1">IF(Tabela1[[#This Row],[VALOR]]&lt;0,"",IFERROR(SUBSTITUTE(Converter_numero(Tabela1[[#This Row],[VALOR INCISO]]),",",""),""))</f>
        <v/>
      </c>
      <c r="AD211" s="29" t="str">
        <f>IF(Tabela1[[#This Row],[TIPO]]=REGRAS!$W$2,REGRAS!$X$2,IF(Tabela1[[#This Row],[TIPO]]=REGRAS!$W$4,REGRAS!$X$4,""))</f>
        <v/>
      </c>
      <c r="AE211" s="29" t="e">
        <f>VLOOKUP(Tabela1[[#This Row],[FONTE_COD]],REGRAS!$O$2:$P$69,2,FALSE)</f>
        <v>#N/A</v>
      </c>
      <c r="AF2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2" spans="1:32" ht="18.75" customHeight="1">
      <c r="A212" s="2" t="str">
        <f>IFERROR(IF('PREENCHER AQUI'!A212="","",'PREENCHER AQUI'!A212),"")</f>
        <v/>
      </c>
      <c r="B212" s="1" t="str">
        <f>IFERROR(IF('PREENCHER AQUI'!B212="","",PROPER('PREENCHER AQUI'!B212)),"")</f>
        <v/>
      </c>
      <c r="C212" s="1" t="str">
        <f>IFERROR(IF('PREENCHER AQUI'!C212="","",'PREENCHER AQUI'!C212),"")</f>
        <v/>
      </c>
      <c r="D212" s="2" t="str">
        <f>IFERROR(IF('PREENCHER AQUI'!D212="","",'PREENCHER AQUI'!D212),"")</f>
        <v/>
      </c>
      <c r="E212" s="2" t="str">
        <f>IFERROR(VLOOKUP(CONCATENATE(C212,D212),qdd!$C$2:$F$1000,2,FALSE),"")</f>
        <v/>
      </c>
      <c r="F212" s="2" t="str">
        <f>IFERROR(VLOOKUP(CONCATENATE(C212,D212),qdd!$C$2:$F$1000,3,FALSE),"")</f>
        <v/>
      </c>
      <c r="G212" s="2" t="str">
        <f>IFERROR(VLOOKUP(CONCATENATE(C212,D212),qdd!$C$2:$F$1000,4,FALSE),"")</f>
        <v/>
      </c>
      <c r="H212" s="6" t="str">
        <f t="shared" si="8"/>
        <v/>
      </c>
      <c r="I2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2" s="2" t="str">
        <f>IFERROR(IF('PREENCHER AQUI'!E212="","",'PREENCHER AQUI'!E212),"")</f>
        <v/>
      </c>
      <c r="K212" s="2" t="str">
        <f>IFERROR(IF('PREENCHER AQUI'!F212="","",'PREENCHER AQUI'!F212),"")</f>
        <v/>
      </c>
      <c r="L212" s="2" t="str">
        <f>IF(Tabela1[[#This Row],[IPU_COD]]=9,"91",IF(Tabela1[[#This Row],[ACAO_COD]]="","",VLOOKUP(CONCATENATE("G",J212,"M",K212),qdd!$BC$2:$BD$46,2,FALSE)))</f>
        <v/>
      </c>
      <c r="M212" s="2" t="str">
        <f>TEXT(IFERROR(VLOOKUP(CONCATENATE(C212,D212),qdd!$C$2:$G$1000,5,FALSE),""),0)</f>
        <v/>
      </c>
      <c r="N212" s="2" t="str">
        <f>IFERROR(IF('PREENCHER AQUI'!I212="","",'PREENCHER AQUI'!I212),"")</f>
        <v/>
      </c>
      <c r="O212" s="2" t="str">
        <f>IFERROR(IF('PREENCHER AQUI'!J212="","",'PREENCHER AQUI'!J212),"")</f>
        <v/>
      </c>
      <c r="P212" s="7" t="str">
        <f t="shared" si="9"/>
        <v/>
      </c>
      <c r="Q212" s="8" t="str">
        <f>IFERROR(IF(Tabela4[[#This Row],[VALOR]]="","",IF(Tabela1[[#This Row],[ORIENTACAO]]="Anular",'PREENCHER AQUI'!K212*-1*100,'PREENCHER AQUI'!K212*100)),"")</f>
        <v/>
      </c>
      <c r="T212" s="7" t="str">
        <f>IFERROR(IF('PREENCHER AQUI'!L212="","999",LEFT('PREENCHER AQUI'!L212,1)),"")</f>
        <v>999</v>
      </c>
      <c r="W212" s="1" t="str">
        <f>IFERROR(VLOOKUP(Tabela1[[#This Row],[UO_COD]],qdd!$AT$1:$AU$102,2,FALSE),"")</f>
        <v/>
      </c>
      <c r="X212" s="1" t="str">
        <f>CONCATENATE("F",Tabela1[[#This Row],[FONTE_COD]],Tabela1[[#This Row],[IPU_COD]],"G",Tabela1[[#This Row],[GRUPO_COD]],"T",Tabela1[[#This Row],[TIPO]])</f>
        <v>FGT999</v>
      </c>
      <c r="Y2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2" s="19"/>
      <c r="AA212" s="29" t="str">
        <f>IFERROR(VLOOKUP(CONCATENATE("B",Tabela1[[#This Row],[BLOCO]],Tabela1[[#This Row],[UO_COD]]),qdd!$AW$2:$AX$1000,2,FALSE),"")</f>
        <v/>
      </c>
      <c r="AB212" s="30" t="str">
        <f>IFERROR(Tabela1[[#This Row],[VALOR]]/100,"")</f>
        <v/>
      </c>
      <c r="AC212" s="7" t="str" cm="1">
        <f t="array" aca="1" ref="AC212" ca="1">IF(Tabela1[[#This Row],[VALOR]]&lt;0,"",IFERROR(SUBSTITUTE(Converter_numero(Tabela1[[#This Row],[VALOR INCISO]]),",",""),""))</f>
        <v/>
      </c>
      <c r="AD212" s="7" t="str">
        <f>IF(Tabela1[[#This Row],[TIPO]]=REGRAS!$W$2,REGRAS!$X$2,IF(Tabela1[[#This Row],[TIPO]]=REGRAS!$W$4,REGRAS!$X$4,""))</f>
        <v/>
      </c>
      <c r="AE212" s="29" t="e">
        <f>VLOOKUP(Tabela1[[#This Row],[FONTE_COD]],REGRAS!$O$2:$P$69,2,FALSE)</f>
        <v>#N/A</v>
      </c>
      <c r="AF2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3" spans="1:32" ht="18.75" customHeight="1">
      <c r="A213" s="2" t="str">
        <f>IFERROR(IF('PREENCHER AQUI'!A213="","",'PREENCHER AQUI'!A213),"")</f>
        <v/>
      </c>
      <c r="B213" s="1" t="str">
        <f>IFERROR(IF('PREENCHER AQUI'!B213="","",PROPER('PREENCHER AQUI'!B213)),"")</f>
        <v/>
      </c>
      <c r="C213" s="1" t="str">
        <f>IFERROR(IF('PREENCHER AQUI'!C213="","",'PREENCHER AQUI'!C213),"")</f>
        <v/>
      </c>
      <c r="D213" s="2" t="str">
        <f>IFERROR(IF('PREENCHER AQUI'!D213="","",'PREENCHER AQUI'!D213),"")</f>
        <v/>
      </c>
      <c r="E213" s="2" t="str">
        <f>IFERROR(VLOOKUP(CONCATENATE(C213,D213),qdd!$C$2:$F$1000,2,FALSE),"")</f>
        <v/>
      </c>
      <c r="F213" s="2" t="str">
        <f>IFERROR(VLOOKUP(CONCATENATE(C213,D213),qdd!$C$2:$F$1000,3,FALSE),"")</f>
        <v/>
      </c>
      <c r="G213" s="2" t="str">
        <f>IFERROR(VLOOKUP(CONCATENATE(C213,D213),qdd!$C$2:$F$1000,4,FALSE),"")</f>
        <v/>
      </c>
      <c r="H213" s="6" t="str">
        <f t="shared" si="8"/>
        <v/>
      </c>
      <c r="I2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3" s="2" t="str">
        <f>IFERROR(IF('PREENCHER AQUI'!E213="","",'PREENCHER AQUI'!E213),"")</f>
        <v/>
      </c>
      <c r="K213" s="2" t="str">
        <f>IFERROR(IF('PREENCHER AQUI'!F213="","",'PREENCHER AQUI'!F213),"")</f>
        <v/>
      </c>
      <c r="L213" s="2" t="str">
        <f>IF(Tabela1[[#This Row],[IPU_COD]]=9,"91",IF(Tabela1[[#This Row],[ACAO_COD]]="","",VLOOKUP(CONCATENATE("G",J213,"M",K213),qdd!$BC$2:$BD$46,2,FALSE)))</f>
        <v/>
      </c>
      <c r="M213" s="2" t="str">
        <f>TEXT(IFERROR(VLOOKUP(CONCATENATE(C213,D213),qdd!$C$2:$G$1000,5,FALSE),""),0)</f>
        <v/>
      </c>
      <c r="N213" s="2" t="str">
        <f>IFERROR(IF('PREENCHER AQUI'!I213="","",'PREENCHER AQUI'!I213),"")</f>
        <v/>
      </c>
      <c r="O213" s="2" t="str">
        <f>IFERROR(IF('PREENCHER AQUI'!J213="","",'PREENCHER AQUI'!J213),"")</f>
        <v/>
      </c>
      <c r="P213" s="7" t="str">
        <f t="shared" si="9"/>
        <v/>
      </c>
      <c r="Q213" s="8" t="str">
        <f>IFERROR(IF(Tabela4[[#This Row],[VALOR]]="","",IF(Tabela1[[#This Row],[ORIENTACAO]]="Anular",'PREENCHER AQUI'!K213*-1*100,'PREENCHER AQUI'!K213*100)),"")</f>
        <v/>
      </c>
      <c r="T213" s="7" t="str">
        <f>IFERROR(IF('PREENCHER AQUI'!L213="","999",LEFT('PREENCHER AQUI'!L213,1)),"")</f>
        <v>999</v>
      </c>
      <c r="V213" s="19"/>
      <c r="W213" s="1" t="str">
        <f>IFERROR(VLOOKUP(Tabela1[[#This Row],[UO_COD]],qdd!$AT$1:$AU$102,2,FALSE),"")</f>
        <v/>
      </c>
      <c r="X213" s="1" t="str">
        <f>CONCATENATE("F",Tabela1[[#This Row],[FONTE_COD]],Tabela1[[#This Row],[IPU_COD]],"G",Tabela1[[#This Row],[GRUPO_COD]],"T",Tabela1[[#This Row],[TIPO]])</f>
        <v>FGT999</v>
      </c>
      <c r="Y2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3" s="19"/>
      <c r="AA213" s="29" t="str">
        <f>IFERROR(VLOOKUP(CONCATENATE("B",Tabela1[[#This Row],[BLOCO]],Tabela1[[#This Row],[UO_COD]]),qdd!$AW$2:$AX$1000,2,FALSE),"")</f>
        <v/>
      </c>
      <c r="AB213" s="30" t="str">
        <f>IFERROR(Tabela1[[#This Row],[VALOR]]/100,"")</f>
        <v/>
      </c>
      <c r="AC213" s="7" t="str" cm="1">
        <f t="array" aca="1" ref="AC213" ca="1">IF(Tabela1[[#This Row],[VALOR]]&lt;0,"",IFERROR(SUBSTITUTE(Converter_numero(Tabela1[[#This Row],[VALOR INCISO]]),",",""),""))</f>
        <v/>
      </c>
      <c r="AD213" s="29" t="str">
        <f>IF(Tabela1[[#This Row],[TIPO]]=REGRAS!$W$2,REGRAS!$X$2,IF(Tabela1[[#This Row],[TIPO]]=REGRAS!$W$4,REGRAS!$X$4,""))</f>
        <v/>
      </c>
      <c r="AE213" s="29" t="e">
        <f>VLOOKUP(Tabela1[[#This Row],[FONTE_COD]],REGRAS!$O$2:$P$69,2,FALSE)</f>
        <v>#N/A</v>
      </c>
      <c r="AF2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4" spans="1:32" ht="18.75" customHeight="1">
      <c r="A214" s="2" t="str">
        <f>IFERROR(IF('PREENCHER AQUI'!A214="","",'PREENCHER AQUI'!A214),"")</f>
        <v/>
      </c>
      <c r="B214" s="1" t="str">
        <f>IFERROR(IF('PREENCHER AQUI'!B214="","",PROPER('PREENCHER AQUI'!B214)),"")</f>
        <v/>
      </c>
      <c r="C214" s="1" t="str">
        <f>IFERROR(IF('PREENCHER AQUI'!C214="","",'PREENCHER AQUI'!C214),"")</f>
        <v/>
      </c>
      <c r="D214" s="2" t="str">
        <f>IFERROR(IF('PREENCHER AQUI'!D214="","",'PREENCHER AQUI'!D214),"")</f>
        <v/>
      </c>
      <c r="E214" s="2" t="str">
        <f>IFERROR(VLOOKUP(CONCATENATE(C214,D214),qdd!$C$2:$F$1000,2,FALSE),"")</f>
        <v/>
      </c>
      <c r="F214" s="2" t="str">
        <f>IFERROR(VLOOKUP(CONCATENATE(C214,D214),qdd!$C$2:$F$1000,3,FALSE),"")</f>
        <v/>
      </c>
      <c r="G214" s="2" t="str">
        <f>IFERROR(VLOOKUP(CONCATENATE(C214,D214),qdd!$C$2:$F$1000,4,FALSE),"")</f>
        <v/>
      </c>
      <c r="H214" s="6" t="str">
        <f t="shared" si="8"/>
        <v/>
      </c>
      <c r="I2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4" s="2" t="str">
        <f>IFERROR(IF('PREENCHER AQUI'!E214="","",'PREENCHER AQUI'!E214),"")</f>
        <v/>
      </c>
      <c r="K214" s="2" t="str">
        <f>IFERROR(IF('PREENCHER AQUI'!F214="","",'PREENCHER AQUI'!F214),"")</f>
        <v/>
      </c>
      <c r="L214" s="2" t="str">
        <f>IF(Tabela1[[#This Row],[IPU_COD]]=9,"91",IF(Tabela1[[#This Row],[ACAO_COD]]="","",VLOOKUP(CONCATENATE("G",J214,"M",K214),qdd!$BC$2:$BD$46,2,FALSE)))</f>
        <v/>
      </c>
      <c r="M214" s="2" t="str">
        <f>TEXT(IFERROR(VLOOKUP(CONCATENATE(C214,D214),qdd!$C$2:$G$1000,5,FALSE),""),0)</f>
        <v/>
      </c>
      <c r="N214" s="2" t="str">
        <f>IFERROR(IF('PREENCHER AQUI'!I214="","",'PREENCHER AQUI'!I214),"")</f>
        <v/>
      </c>
      <c r="O214" s="2" t="str">
        <f>IFERROR(IF('PREENCHER AQUI'!J214="","",'PREENCHER AQUI'!J214),"")</f>
        <v/>
      </c>
      <c r="P214" s="7" t="str">
        <f t="shared" si="9"/>
        <v/>
      </c>
      <c r="Q214" s="8" t="str">
        <f>IFERROR(IF(Tabela4[[#This Row],[VALOR]]="","",IF(Tabela1[[#This Row],[ORIENTACAO]]="Anular",'PREENCHER AQUI'!K214*-1*100,'PREENCHER AQUI'!K214*100)),"")</f>
        <v/>
      </c>
      <c r="T214" s="7" t="str">
        <f>IFERROR(IF('PREENCHER AQUI'!L214="","999",LEFT('PREENCHER AQUI'!L214,1)),"")</f>
        <v>999</v>
      </c>
      <c r="V214" s="19"/>
      <c r="W214" s="1" t="str">
        <f>IFERROR(VLOOKUP(Tabela1[[#This Row],[UO_COD]],qdd!$AT$1:$AU$102,2,FALSE),"")</f>
        <v/>
      </c>
      <c r="X214" s="1" t="str">
        <f>CONCATENATE("F",Tabela1[[#This Row],[FONTE_COD]],Tabela1[[#This Row],[IPU_COD]],"G",Tabela1[[#This Row],[GRUPO_COD]],"T",Tabela1[[#This Row],[TIPO]])</f>
        <v>FGT999</v>
      </c>
      <c r="Y2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4" s="19"/>
      <c r="AA214" s="29" t="str">
        <f>IFERROR(VLOOKUP(CONCATENATE("B",Tabela1[[#This Row],[BLOCO]],Tabela1[[#This Row],[UO_COD]]),qdd!$AW$2:$AX$1000,2,FALSE),"")</f>
        <v/>
      </c>
      <c r="AB214" s="30" t="str">
        <f>IFERROR(Tabela1[[#This Row],[VALOR]]/100,"")</f>
        <v/>
      </c>
      <c r="AC214" s="7" t="str" cm="1">
        <f t="array" aca="1" ref="AC214" ca="1">IF(Tabela1[[#This Row],[VALOR]]&lt;0,"",IFERROR(SUBSTITUTE(Converter_numero(Tabela1[[#This Row],[VALOR INCISO]]),",",""),""))</f>
        <v/>
      </c>
      <c r="AD214" s="29" t="str">
        <f>IF(Tabela1[[#This Row],[TIPO]]=REGRAS!$W$2,REGRAS!$X$2,IF(Tabela1[[#This Row],[TIPO]]=REGRAS!$W$4,REGRAS!$X$4,""))</f>
        <v/>
      </c>
      <c r="AE214" s="29" t="e">
        <f>VLOOKUP(Tabela1[[#This Row],[FONTE_COD]],REGRAS!$O$2:$P$69,2,FALSE)</f>
        <v>#N/A</v>
      </c>
      <c r="AF2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5" spans="1:32" ht="18.75" customHeight="1">
      <c r="A215" s="2" t="str">
        <f>IFERROR(IF('PREENCHER AQUI'!A215="","",'PREENCHER AQUI'!A215),"")</f>
        <v/>
      </c>
      <c r="B215" s="1" t="str">
        <f>IFERROR(IF('PREENCHER AQUI'!B215="","",PROPER('PREENCHER AQUI'!B215)),"")</f>
        <v/>
      </c>
      <c r="C215" s="1" t="str">
        <f>IFERROR(IF('PREENCHER AQUI'!C215="","",'PREENCHER AQUI'!C215),"")</f>
        <v/>
      </c>
      <c r="D215" s="2" t="str">
        <f>IFERROR(IF('PREENCHER AQUI'!D215="","",'PREENCHER AQUI'!D215),"")</f>
        <v/>
      </c>
      <c r="E215" s="2" t="str">
        <f>IFERROR(VLOOKUP(CONCATENATE(C215,D215),qdd!$C$2:$F$1000,2,FALSE),"")</f>
        <v/>
      </c>
      <c r="F215" s="2" t="str">
        <f>IFERROR(VLOOKUP(CONCATENATE(C215,D215),qdd!$C$2:$F$1000,3,FALSE),"")</f>
        <v/>
      </c>
      <c r="G215" s="2" t="str">
        <f>IFERROR(VLOOKUP(CONCATENATE(C215,D215),qdd!$C$2:$F$1000,4,FALSE),"")</f>
        <v/>
      </c>
      <c r="H215" s="6" t="str">
        <f t="shared" si="8"/>
        <v/>
      </c>
      <c r="I2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5" s="2" t="str">
        <f>IFERROR(IF('PREENCHER AQUI'!E215="","",'PREENCHER AQUI'!E215),"")</f>
        <v/>
      </c>
      <c r="K215" s="2" t="str">
        <f>IFERROR(IF('PREENCHER AQUI'!F215="","",'PREENCHER AQUI'!F215),"")</f>
        <v/>
      </c>
      <c r="L215" s="2" t="str">
        <f>IF(Tabela1[[#This Row],[IPU_COD]]=9,"91",IF(Tabela1[[#This Row],[ACAO_COD]]="","",VLOOKUP(CONCATENATE("G",J215,"M",K215),qdd!$BC$2:$BD$46,2,FALSE)))</f>
        <v/>
      </c>
      <c r="M215" s="2" t="str">
        <f>TEXT(IFERROR(VLOOKUP(CONCATENATE(C215,D215),qdd!$C$2:$G$1000,5,FALSE),""),0)</f>
        <v/>
      </c>
      <c r="N215" s="2" t="str">
        <f>IFERROR(IF('PREENCHER AQUI'!I215="","",'PREENCHER AQUI'!I215),"")</f>
        <v/>
      </c>
      <c r="O215" s="2" t="str">
        <f>IFERROR(IF('PREENCHER AQUI'!J215="","",'PREENCHER AQUI'!J215),"")</f>
        <v/>
      </c>
      <c r="P215" s="7" t="str">
        <f t="shared" si="9"/>
        <v/>
      </c>
      <c r="Q215" s="8" t="str">
        <f>IFERROR(IF(Tabela4[[#This Row],[VALOR]]="","",IF(Tabela1[[#This Row],[ORIENTACAO]]="Anular",'PREENCHER AQUI'!K215*-1*100,'PREENCHER AQUI'!K215*100)),"")</f>
        <v/>
      </c>
      <c r="T215" s="7" t="str">
        <f>IFERROR(IF('PREENCHER AQUI'!L215="","999",LEFT('PREENCHER AQUI'!L215,1)),"")</f>
        <v>999</v>
      </c>
      <c r="V215" s="19"/>
      <c r="W215" s="20" t="str">
        <f>IFERROR(VLOOKUP(Tabela1[[#This Row],[UO_COD]],qdd!$AT$1:$AU$102,2,FALSE),"")</f>
        <v/>
      </c>
      <c r="X215" s="20" t="str">
        <f>CONCATENATE("F",Tabela1[[#This Row],[FONTE_COD]],Tabela1[[#This Row],[IPU_COD]],"G",Tabela1[[#This Row],[GRUPO_COD]],"T",Tabela1[[#This Row],[TIPO]])</f>
        <v>FGT999</v>
      </c>
      <c r="Y2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5" s="19"/>
      <c r="AA215" s="29" t="str">
        <f>IFERROR(VLOOKUP(CONCATENATE("B",Tabela1[[#This Row],[BLOCO]],Tabela1[[#This Row],[UO_COD]]),qdd!$AW$2:$AX$1000,2,FALSE),"")</f>
        <v/>
      </c>
      <c r="AB215" s="30" t="str">
        <f>IFERROR(Tabela1[[#This Row],[VALOR]]/100,"")</f>
        <v/>
      </c>
      <c r="AC215" s="7" t="str" cm="1">
        <f t="array" aca="1" ref="AC215" ca="1">IF(Tabela1[[#This Row],[VALOR]]&lt;0,"",IFERROR(SUBSTITUTE(Converter_numero(Tabela1[[#This Row],[VALOR INCISO]]),",",""),""))</f>
        <v/>
      </c>
      <c r="AD215" s="29" t="str">
        <f>IF(Tabela1[[#This Row],[TIPO]]=REGRAS!$W$2,REGRAS!$X$2,IF(Tabela1[[#This Row],[TIPO]]=REGRAS!$W$4,REGRAS!$X$4,""))</f>
        <v/>
      </c>
      <c r="AE215" s="29" t="e">
        <f>VLOOKUP(Tabela1[[#This Row],[FONTE_COD]],REGRAS!$O$2:$P$69,2,FALSE)</f>
        <v>#N/A</v>
      </c>
      <c r="AF2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6" spans="1:32" ht="18.75" customHeight="1">
      <c r="A216" s="2" t="str">
        <f>IFERROR(IF('PREENCHER AQUI'!A216="","",'PREENCHER AQUI'!A216),"")</f>
        <v/>
      </c>
      <c r="B216" s="1" t="str">
        <f>IFERROR(IF('PREENCHER AQUI'!B216="","",PROPER('PREENCHER AQUI'!B216)),"")</f>
        <v/>
      </c>
      <c r="C216" s="1" t="str">
        <f>IFERROR(IF('PREENCHER AQUI'!C216="","",'PREENCHER AQUI'!C216),"")</f>
        <v/>
      </c>
      <c r="D216" s="2" t="str">
        <f>IFERROR(IF('PREENCHER AQUI'!D216="","",'PREENCHER AQUI'!D216),"")</f>
        <v/>
      </c>
      <c r="E216" s="2" t="str">
        <f>IFERROR(VLOOKUP(CONCATENATE(C216,D216),qdd!$C$2:$F$1000,2,FALSE),"")</f>
        <v/>
      </c>
      <c r="F216" s="2" t="str">
        <f>IFERROR(VLOOKUP(CONCATENATE(C216,D216),qdd!$C$2:$F$1000,3,FALSE),"")</f>
        <v/>
      </c>
      <c r="G216" s="2" t="str">
        <f>IFERROR(VLOOKUP(CONCATENATE(C216,D216),qdd!$C$2:$F$1000,4,FALSE),"")</f>
        <v/>
      </c>
      <c r="H216" s="6" t="str">
        <f t="shared" si="8"/>
        <v/>
      </c>
      <c r="I2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6" s="2" t="str">
        <f>IFERROR(IF('PREENCHER AQUI'!E216="","",'PREENCHER AQUI'!E216),"")</f>
        <v/>
      </c>
      <c r="K216" s="2" t="str">
        <f>IFERROR(IF('PREENCHER AQUI'!F216="","",'PREENCHER AQUI'!F216),"")</f>
        <v/>
      </c>
      <c r="L216" s="2" t="str">
        <f>IF(Tabela1[[#This Row],[IPU_COD]]=9,"91",IF(Tabela1[[#This Row],[ACAO_COD]]="","",VLOOKUP(CONCATENATE("G",J216,"M",K216),qdd!$BC$2:$BD$46,2,FALSE)))</f>
        <v/>
      </c>
      <c r="M216" s="2" t="str">
        <f>TEXT(IFERROR(VLOOKUP(CONCATENATE(C216,D216),qdd!$C$2:$G$1000,5,FALSE),""),0)</f>
        <v/>
      </c>
      <c r="N216" s="2" t="str">
        <f>IFERROR(IF('PREENCHER AQUI'!I216="","",'PREENCHER AQUI'!I216),"")</f>
        <v/>
      </c>
      <c r="O216" s="2" t="str">
        <f>IFERROR(IF('PREENCHER AQUI'!J216="","",'PREENCHER AQUI'!J216),"")</f>
        <v/>
      </c>
      <c r="P216" s="7" t="str">
        <f t="shared" si="9"/>
        <v/>
      </c>
      <c r="Q216" s="8" t="str">
        <f>IFERROR(IF(Tabela4[[#This Row],[VALOR]]="","",IF(Tabela1[[#This Row],[ORIENTACAO]]="Anular",'PREENCHER AQUI'!K216*-1*100,'PREENCHER AQUI'!K216*100)),"")</f>
        <v/>
      </c>
      <c r="T216" s="7" t="str">
        <f>IFERROR(IF('PREENCHER AQUI'!L216="","999",LEFT('PREENCHER AQUI'!L216,1)),"")</f>
        <v>999</v>
      </c>
      <c r="V216" s="19"/>
      <c r="W216" s="1" t="str">
        <f>IFERROR(VLOOKUP(Tabela1[[#This Row],[UO_COD]],qdd!$AT$1:$AU$102,2,FALSE),"")</f>
        <v/>
      </c>
      <c r="X216" s="1" t="str">
        <f>CONCATENATE("F",Tabela1[[#This Row],[FONTE_COD]],Tabela1[[#This Row],[IPU_COD]],"G",Tabela1[[#This Row],[GRUPO_COD]],"T",Tabela1[[#This Row],[TIPO]])</f>
        <v>FGT999</v>
      </c>
      <c r="Y2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6" s="19"/>
      <c r="AA216" s="29" t="str">
        <f>IFERROR(VLOOKUP(CONCATENATE("B",Tabela1[[#This Row],[BLOCO]],Tabela1[[#This Row],[UO_COD]]),qdd!$AW$2:$AX$1000,2,FALSE),"")</f>
        <v/>
      </c>
      <c r="AB216" s="30" t="str">
        <f>IFERROR(Tabela1[[#This Row],[VALOR]]/100,"")</f>
        <v/>
      </c>
      <c r="AC216" s="7" t="str" cm="1">
        <f t="array" aca="1" ref="AC216" ca="1">IF(Tabela1[[#This Row],[VALOR]]&lt;0,"",IFERROR(SUBSTITUTE(Converter_numero(Tabela1[[#This Row],[VALOR INCISO]]),",",""),""))</f>
        <v/>
      </c>
      <c r="AD216" s="29" t="str">
        <f>IF(Tabela1[[#This Row],[TIPO]]=REGRAS!$W$2,REGRAS!$X$2,IF(Tabela1[[#This Row],[TIPO]]=REGRAS!$W$4,REGRAS!$X$4,""))</f>
        <v/>
      </c>
      <c r="AE216" s="29" t="e">
        <f>VLOOKUP(Tabela1[[#This Row],[FONTE_COD]],REGRAS!$O$2:$P$69,2,FALSE)</f>
        <v>#N/A</v>
      </c>
      <c r="AF2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7" spans="1:32" ht="18.75" customHeight="1">
      <c r="A217" s="2" t="str">
        <f>IFERROR(IF('PREENCHER AQUI'!A217="","",'PREENCHER AQUI'!A217),"")</f>
        <v/>
      </c>
      <c r="B217" s="1" t="str">
        <f>IFERROR(IF('PREENCHER AQUI'!B217="","",PROPER('PREENCHER AQUI'!B217)),"")</f>
        <v/>
      </c>
      <c r="C217" s="1" t="str">
        <f>IFERROR(IF('PREENCHER AQUI'!C217="","",'PREENCHER AQUI'!C217),"")</f>
        <v/>
      </c>
      <c r="D217" s="2" t="str">
        <f>IFERROR(IF('PREENCHER AQUI'!D217="","",'PREENCHER AQUI'!D217),"")</f>
        <v/>
      </c>
      <c r="E217" s="2" t="str">
        <f>IFERROR(VLOOKUP(CONCATENATE(C217,D217),qdd!$C$2:$F$1000,2,FALSE),"")</f>
        <v/>
      </c>
      <c r="F217" s="2" t="str">
        <f>IFERROR(VLOOKUP(CONCATENATE(C217,D217),qdd!$C$2:$F$1000,3,FALSE),"")</f>
        <v/>
      </c>
      <c r="G217" s="2" t="str">
        <f>IFERROR(VLOOKUP(CONCATENATE(C217,D217),qdd!$C$2:$F$1000,4,FALSE),"")</f>
        <v/>
      </c>
      <c r="H217" s="6" t="str">
        <f t="shared" si="8"/>
        <v/>
      </c>
      <c r="I2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7" s="2" t="str">
        <f>IFERROR(IF('PREENCHER AQUI'!E217="","",'PREENCHER AQUI'!E217),"")</f>
        <v/>
      </c>
      <c r="K217" s="2" t="str">
        <f>IFERROR(IF('PREENCHER AQUI'!F217="","",'PREENCHER AQUI'!F217),"")</f>
        <v/>
      </c>
      <c r="L217" s="2" t="str">
        <f>IF(Tabela1[[#This Row],[IPU_COD]]=9,"91",IF(Tabela1[[#This Row],[ACAO_COD]]="","",VLOOKUP(CONCATENATE("G",J217,"M",K217),qdd!$BC$2:$BD$46,2,FALSE)))</f>
        <v/>
      </c>
      <c r="M217" s="2" t="str">
        <f>TEXT(IFERROR(VLOOKUP(CONCATENATE(C217,D217),qdd!$C$2:$G$1000,5,FALSE),""),0)</f>
        <v/>
      </c>
      <c r="N217" s="2" t="str">
        <f>IFERROR(IF('PREENCHER AQUI'!I217="","",'PREENCHER AQUI'!I217),"")</f>
        <v/>
      </c>
      <c r="O217" s="2" t="str">
        <f>IFERROR(IF('PREENCHER AQUI'!J217="","",'PREENCHER AQUI'!J217),"")</f>
        <v/>
      </c>
      <c r="P217" s="7" t="str">
        <f t="shared" si="9"/>
        <v/>
      </c>
      <c r="Q217" s="8" t="str">
        <f>IFERROR(IF(Tabela4[[#This Row],[VALOR]]="","",IF(Tabela1[[#This Row],[ORIENTACAO]]="Anular",'PREENCHER AQUI'!K217*-1*100,'PREENCHER AQUI'!K217*100)),"")</f>
        <v/>
      </c>
      <c r="T217" s="7" t="str">
        <f>IFERROR(IF('PREENCHER AQUI'!L217="","999",LEFT('PREENCHER AQUI'!L217,1)),"")</f>
        <v>999</v>
      </c>
      <c r="W217" s="1" t="str">
        <f>IFERROR(VLOOKUP(Tabela1[[#This Row],[UO_COD]],qdd!$AT$1:$AU$102,2,FALSE),"")</f>
        <v/>
      </c>
      <c r="X217" s="1" t="str">
        <f>CONCATENATE("F",Tabela1[[#This Row],[FONTE_COD]],Tabela1[[#This Row],[IPU_COD]],"G",Tabela1[[#This Row],[GRUPO_COD]],"T",Tabela1[[#This Row],[TIPO]])</f>
        <v>FGT999</v>
      </c>
      <c r="Y2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7" s="19"/>
      <c r="AA217" s="29" t="str">
        <f>IFERROR(VLOOKUP(CONCATENATE("B",Tabela1[[#This Row],[BLOCO]],Tabela1[[#This Row],[UO_COD]]),qdd!$AW$2:$AX$1000,2,FALSE),"")</f>
        <v/>
      </c>
      <c r="AB217" s="30" t="str">
        <f>IFERROR(Tabela1[[#This Row],[VALOR]]/100,"")</f>
        <v/>
      </c>
      <c r="AC217" s="7" t="str" cm="1">
        <f t="array" aca="1" ref="AC217" ca="1">IF(Tabela1[[#This Row],[VALOR]]&lt;0,"",IFERROR(SUBSTITUTE(Converter_numero(Tabela1[[#This Row],[VALOR INCISO]]),",",""),""))</f>
        <v/>
      </c>
      <c r="AD217" s="7" t="str">
        <f>IF(Tabela1[[#This Row],[TIPO]]=REGRAS!$W$2,REGRAS!$X$2,IF(Tabela1[[#This Row],[TIPO]]=REGRAS!$W$4,REGRAS!$X$4,""))</f>
        <v/>
      </c>
      <c r="AE217" s="29" t="e">
        <f>VLOOKUP(Tabela1[[#This Row],[FONTE_COD]],REGRAS!$O$2:$P$69,2,FALSE)</f>
        <v>#N/A</v>
      </c>
      <c r="AF2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8" spans="1:32" ht="18.75" customHeight="1">
      <c r="A218" s="2" t="str">
        <f>IFERROR(IF('PREENCHER AQUI'!A218="","",'PREENCHER AQUI'!A218),"")</f>
        <v/>
      </c>
      <c r="B218" s="1" t="str">
        <f>IFERROR(IF('PREENCHER AQUI'!B218="","",PROPER('PREENCHER AQUI'!B218)),"")</f>
        <v/>
      </c>
      <c r="C218" s="1" t="str">
        <f>IFERROR(IF('PREENCHER AQUI'!C218="","",'PREENCHER AQUI'!C218),"")</f>
        <v/>
      </c>
      <c r="D218" s="2" t="str">
        <f>IFERROR(IF('PREENCHER AQUI'!D218="","",'PREENCHER AQUI'!D218),"")</f>
        <v/>
      </c>
      <c r="E218" s="2" t="str">
        <f>IFERROR(VLOOKUP(CONCATENATE(C218,D218),qdd!$C$2:$F$1000,2,FALSE),"")</f>
        <v/>
      </c>
      <c r="F218" s="2" t="str">
        <f>IFERROR(VLOOKUP(CONCATENATE(C218,D218),qdd!$C$2:$F$1000,3,FALSE),"")</f>
        <v/>
      </c>
      <c r="G218" s="2" t="str">
        <f>IFERROR(VLOOKUP(CONCATENATE(C218,D218),qdd!$C$2:$F$1000,4,FALSE),"")</f>
        <v/>
      </c>
      <c r="H218" s="6" t="str">
        <f t="shared" si="8"/>
        <v/>
      </c>
      <c r="I2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8" s="2" t="str">
        <f>IFERROR(IF('PREENCHER AQUI'!E218="","",'PREENCHER AQUI'!E218),"")</f>
        <v/>
      </c>
      <c r="K218" s="2" t="str">
        <f>IFERROR(IF('PREENCHER AQUI'!F218="","",'PREENCHER AQUI'!F218),"")</f>
        <v/>
      </c>
      <c r="L218" s="2" t="str">
        <f>IF(Tabela1[[#This Row],[IPU_COD]]=9,"91",IF(Tabela1[[#This Row],[ACAO_COD]]="","",VLOOKUP(CONCATENATE("G",J218,"M",K218),qdd!$BC$2:$BD$46,2,FALSE)))</f>
        <v/>
      </c>
      <c r="M218" s="2" t="str">
        <f>TEXT(IFERROR(VLOOKUP(CONCATENATE(C218,D218),qdd!$C$2:$G$1000,5,FALSE),""),0)</f>
        <v/>
      </c>
      <c r="N218" s="2" t="str">
        <f>IFERROR(IF('PREENCHER AQUI'!I218="","",'PREENCHER AQUI'!I218),"")</f>
        <v/>
      </c>
      <c r="O218" s="2" t="str">
        <f>IFERROR(IF('PREENCHER AQUI'!J218="","",'PREENCHER AQUI'!J218),"")</f>
        <v/>
      </c>
      <c r="P218" s="7" t="str">
        <f t="shared" si="9"/>
        <v/>
      </c>
      <c r="Q218" s="8" t="str">
        <f>IFERROR(IF(Tabela4[[#This Row],[VALOR]]="","",IF(Tabela1[[#This Row],[ORIENTACAO]]="Anular",'PREENCHER AQUI'!K218*-1*100,'PREENCHER AQUI'!K218*100)),"")</f>
        <v/>
      </c>
      <c r="T218" s="7" t="str">
        <f>IFERROR(IF('PREENCHER AQUI'!L218="","999",LEFT('PREENCHER AQUI'!L218,1)),"")</f>
        <v>999</v>
      </c>
      <c r="V218" s="19"/>
      <c r="W218" s="1" t="str">
        <f>IFERROR(VLOOKUP(Tabela1[[#This Row],[UO_COD]],qdd!$AT$1:$AU$102,2,FALSE),"")</f>
        <v/>
      </c>
      <c r="X218" s="1" t="str">
        <f>CONCATENATE("F",Tabela1[[#This Row],[FONTE_COD]],Tabela1[[#This Row],[IPU_COD]],"G",Tabela1[[#This Row],[GRUPO_COD]],"T",Tabela1[[#This Row],[TIPO]])</f>
        <v>FGT999</v>
      </c>
      <c r="Y2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8" s="19"/>
      <c r="AA218" s="29" t="str">
        <f>IFERROR(VLOOKUP(CONCATENATE("B",Tabela1[[#This Row],[BLOCO]],Tabela1[[#This Row],[UO_COD]]),qdd!$AW$2:$AX$1000,2,FALSE),"")</f>
        <v/>
      </c>
      <c r="AB218" s="30" t="str">
        <f>IFERROR(Tabela1[[#This Row],[VALOR]]/100,"")</f>
        <v/>
      </c>
      <c r="AC218" s="7" t="str" cm="1">
        <f t="array" aca="1" ref="AC218" ca="1">IF(Tabela1[[#This Row],[VALOR]]&lt;0,"",IFERROR(SUBSTITUTE(Converter_numero(Tabela1[[#This Row],[VALOR INCISO]]),",",""),""))</f>
        <v/>
      </c>
      <c r="AD218" s="29" t="str">
        <f>IF(Tabela1[[#This Row],[TIPO]]=REGRAS!$W$2,REGRAS!$X$2,IF(Tabela1[[#This Row],[TIPO]]=REGRAS!$W$4,REGRAS!$X$4,""))</f>
        <v/>
      </c>
      <c r="AE218" s="29" t="e">
        <f>VLOOKUP(Tabela1[[#This Row],[FONTE_COD]],REGRAS!$O$2:$P$69,2,FALSE)</f>
        <v>#N/A</v>
      </c>
      <c r="AF2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9" spans="1:32" ht="18.75" customHeight="1">
      <c r="A219" s="2" t="str">
        <f>IFERROR(IF('PREENCHER AQUI'!A219="","",'PREENCHER AQUI'!A219),"")</f>
        <v/>
      </c>
      <c r="B219" s="1" t="str">
        <f>IFERROR(IF('PREENCHER AQUI'!B219="","",PROPER('PREENCHER AQUI'!B219)),"")</f>
        <v/>
      </c>
      <c r="C219" s="1" t="str">
        <f>IFERROR(IF('PREENCHER AQUI'!C219="","",'PREENCHER AQUI'!C219),"")</f>
        <v/>
      </c>
      <c r="D219" s="2" t="str">
        <f>IFERROR(IF('PREENCHER AQUI'!D219="","",'PREENCHER AQUI'!D219),"")</f>
        <v/>
      </c>
      <c r="E219" s="2" t="str">
        <f>IFERROR(VLOOKUP(CONCATENATE(C219,D219),qdd!$C$2:$F$1000,2,FALSE),"")</f>
        <v/>
      </c>
      <c r="F219" s="2" t="str">
        <f>IFERROR(VLOOKUP(CONCATENATE(C219,D219),qdd!$C$2:$F$1000,3,FALSE),"")</f>
        <v/>
      </c>
      <c r="G219" s="2" t="str">
        <f>IFERROR(VLOOKUP(CONCATENATE(C219,D219),qdd!$C$2:$F$1000,4,FALSE),"")</f>
        <v/>
      </c>
      <c r="H219" s="6" t="str">
        <f t="shared" si="8"/>
        <v/>
      </c>
      <c r="I2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9" s="2" t="str">
        <f>IFERROR(IF('PREENCHER AQUI'!E219="","",'PREENCHER AQUI'!E219),"")</f>
        <v/>
      </c>
      <c r="K219" s="2" t="str">
        <f>IFERROR(IF('PREENCHER AQUI'!F219="","",'PREENCHER AQUI'!F219),"")</f>
        <v/>
      </c>
      <c r="L219" s="2" t="str">
        <f>IF(Tabela1[[#This Row],[IPU_COD]]=9,"91",IF(Tabela1[[#This Row],[ACAO_COD]]="","",VLOOKUP(CONCATENATE("G",J219,"M",K219),qdd!$BC$2:$BD$46,2,FALSE)))</f>
        <v/>
      </c>
      <c r="M219" s="2" t="str">
        <f>TEXT(IFERROR(VLOOKUP(CONCATENATE(C219,D219),qdd!$C$2:$G$1000,5,FALSE),""),0)</f>
        <v/>
      </c>
      <c r="N219" s="2" t="str">
        <f>IFERROR(IF('PREENCHER AQUI'!I219="","",'PREENCHER AQUI'!I219),"")</f>
        <v/>
      </c>
      <c r="O219" s="2" t="str">
        <f>IFERROR(IF('PREENCHER AQUI'!J219="","",'PREENCHER AQUI'!J219),"")</f>
        <v/>
      </c>
      <c r="P219" s="7" t="str">
        <f t="shared" si="9"/>
        <v/>
      </c>
      <c r="Q219" s="8" t="str">
        <f>IFERROR(IF(Tabela4[[#This Row],[VALOR]]="","",IF(Tabela1[[#This Row],[ORIENTACAO]]="Anular",'PREENCHER AQUI'!K219*-1*100,'PREENCHER AQUI'!K219*100)),"")</f>
        <v/>
      </c>
      <c r="T219" s="7" t="str">
        <f>IFERROR(IF('PREENCHER AQUI'!L219="","999",LEFT('PREENCHER AQUI'!L219,1)),"")</f>
        <v>999</v>
      </c>
      <c r="V219" s="19"/>
      <c r="W219" s="1" t="str">
        <f>IFERROR(VLOOKUP(Tabela1[[#This Row],[UO_COD]],qdd!$AT$1:$AU$102,2,FALSE),"")</f>
        <v/>
      </c>
      <c r="X219" s="1" t="str">
        <f>CONCATENATE("F",Tabela1[[#This Row],[FONTE_COD]],Tabela1[[#This Row],[IPU_COD]],"G",Tabela1[[#This Row],[GRUPO_COD]],"T",Tabela1[[#This Row],[TIPO]])</f>
        <v>FGT999</v>
      </c>
      <c r="Y2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9" s="19"/>
      <c r="AA219" s="29" t="str">
        <f>IFERROR(VLOOKUP(CONCATENATE("B",Tabela1[[#This Row],[BLOCO]],Tabela1[[#This Row],[UO_COD]]),qdd!$AW$2:$AX$1000,2,FALSE),"")</f>
        <v/>
      </c>
      <c r="AB219" s="30" t="str">
        <f>IFERROR(Tabela1[[#This Row],[VALOR]]/100,"")</f>
        <v/>
      </c>
      <c r="AC219" s="7" t="str" cm="1">
        <f t="array" aca="1" ref="AC219" ca="1">IF(Tabela1[[#This Row],[VALOR]]&lt;0,"",IFERROR(SUBSTITUTE(Converter_numero(Tabela1[[#This Row],[VALOR INCISO]]),",",""),""))</f>
        <v/>
      </c>
      <c r="AD219" s="29" t="str">
        <f>IF(Tabela1[[#This Row],[TIPO]]=REGRAS!$W$2,REGRAS!$X$2,IF(Tabela1[[#This Row],[TIPO]]=REGRAS!$W$4,REGRAS!$X$4,""))</f>
        <v/>
      </c>
      <c r="AE219" s="29" t="e">
        <f>VLOOKUP(Tabela1[[#This Row],[FONTE_COD]],REGRAS!$O$2:$P$69,2,FALSE)</f>
        <v>#N/A</v>
      </c>
      <c r="AF2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0" spans="1:32" ht="18.75" customHeight="1">
      <c r="A220" s="2" t="str">
        <f>IFERROR(IF('PREENCHER AQUI'!A220="","",'PREENCHER AQUI'!A220),"")</f>
        <v/>
      </c>
      <c r="B220" s="1" t="str">
        <f>IFERROR(IF('PREENCHER AQUI'!B220="","",PROPER('PREENCHER AQUI'!B220)),"")</f>
        <v/>
      </c>
      <c r="C220" s="1" t="str">
        <f>IFERROR(IF('PREENCHER AQUI'!C220="","",'PREENCHER AQUI'!C220),"")</f>
        <v/>
      </c>
      <c r="D220" s="2" t="str">
        <f>IFERROR(IF('PREENCHER AQUI'!D220="","",'PREENCHER AQUI'!D220),"")</f>
        <v/>
      </c>
      <c r="E220" s="2" t="str">
        <f>IFERROR(VLOOKUP(CONCATENATE(C220,D220),qdd!$C$2:$F$1000,2,FALSE),"")</f>
        <v/>
      </c>
      <c r="F220" s="2" t="str">
        <f>IFERROR(VLOOKUP(CONCATENATE(C220,D220),qdd!$C$2:$F$1000,3,FALSE),"")</f>
        <v/>
      </c>
      <c r="G220" s="2" t="str">
        <f>IFERROR(VLOOKUP(CONCATENATE(C220,D220),qdd!$C$2:$F$1000,4,FALSE),"")</f>
        <v/>
      </c>
      <c r="H220" s="6" t="str">
        <f t="shared" si="8"/>
        <v/>
      </c>
      <c r="I2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0" s="2" t="str">
        <f>IFERROR(IF('PREENCHER AQUI'!E220="","",'PREENCHER AQUI'!E220),"")</f>
        <v/>
      </c>
      <c r="K220" s="2" t="str">
        <f>IFERROR(IF('PREENCHER AQUI'!F220="","",'PREENCHER AQUI'!F220),"")</f>
        <v/>
      </c>
      <c r="L220" s="2" t="str">
        <f>IF(Tabela1[[#This Row],[IPU_COD]]=9,"91",IF(Tabela1[[#This Row],[ACAO_COD]]="","",VLOOKUP(CONCATENATE("G",J220,"M",K220),qdd!$BC$2:$BD$46,2,FALSE)))</f>
        <v/>
      </c>
      <c r="M220" s="2" t="str">
        <f>TEXT(IFERROR(VLOOKUP(CONCATENATE(C220,D220),qdd!$C$2:$G$1000,5,FALSE),""),0)</f>
        <v/>
      </c>
      <c r="N220" s="2" t="str">
        <f>IFERROR(IF('PREENCHER AQUI'!I220="","",'PREENCHER AQUI'!I220),"")</f>
        <v/>
      </c>
      <c r="O220" s="2" t="str">
        <f>IFERROR(IF('PREENCHER AQUI'!J220="","",'PREENCHER AQUI'!J220),"")</f>
        <v/>
      </c>
      <c r="P220" s="7" t="str">
        <f t="shared" si="9"/>
        <v/>
      </c>
      <c r="Q220" s="8" t="str">
        <f>IFERROR(IF(Tabela4[[#This Row],[VALOR]]="","",IF(Tabela1[[#This Row],[ORIENTACAO]]="Anular",'PREENCHER AQUI'!K220*-1*100,'PREENCHER AQUI'!K220*100)),"")</f>
        <v/>
      </c>
      <c r="T220" s="7" t="str">
        <f>IFERROR(IF('PREENCHER AQUI'!L220="","999",LEFT('PREENCHER AQUI'!L220,1)),"")</f>
        <v>999</v>
      </c>
      <c r="V220" s="19"/>
      <c r="W220" s="20" t="str">
        <f>IFERROR(VLOOKUP(Tabela1[[#This Row],[UO_COD]],qdd!$AT$1:$AU$102,2,FALSE),"")</f>
        <v/>
      </c>
      <c r="X220" s="20" t="str">
        <f>CONCATENATE("F",Tabela1[[#This Row],[FONTE_COD]],Tabela1[[#This Row],[IPU_COD]],"G",Tabela1[[#This Row],[GRUPO_COD]],"T",Tabela1[[#This Row],[TIPO]])</f>
        <v>FGT999</v>
      </c>
      <c r="Y2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0" s="19"/>
      <c r="AA220" s="29" t="str">
        <f>IFERROR(VLOOKUP(CONCATENATE("B",Tabela1[[#This Row],[BLOCO]],Tabela1[[#This Row],[UO_COD]]),qdd!$AW$2:$AX$1000,2,FALSE),"")</f>
        <v/>
      </c>
      <c r="AB220" s="30" t="str">
        <f>IFERROR(Tabela1[[#This Row],[VALOR]]/100,"")</f>
        <v/>
      </c>
      <c r="AC220" s="7" t="str" cm="1">
        <f t="array" aca="1" ref="AC220" ca="1">IF(Tabela1[[#This Row],[VALOR]]&lt;0,"",IFERROR(SUBSTITUTE(Converter_numero(Tabela1[[#This Row],[VALOR INCISO]]),",",""),""))</f>
        <v/>
      </c>
      <c r="AD220" s="29" t="str">
        <f>IF(Tabela1[[#This Row],[TIPO]]=REGRAS!$W$2,REGRAS!$X$2,IF(Tabela1[[#This Row],[TIPO]]=REGRAS!$W$4,REGRAS!$X$4,""))</f>
        <v/>
      </c>
      <c r="AE220" s="29" t="e">
        <f>VLOOKUP(Tabela1[[#This Row],[FONTE_COD]],REGRAS!$O$2:$P$69,2,FALSE)</f>
        <v>#N/A</v>
      </c>
      <c r="AF2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1" spans="1:32" ht="18.75" customHeight="1">
      <c r="A221" s="2" t="str">
        <f>IFERROR(IF('PREENCHER AQUI'!A221="","",'PREENCHER AQUI'!A221),"")</f>
        <v/>
      </c>
      <c r="B221" s="1" t="str">
        <f>IFERROR(IF('PREENCHER AQUI'!B221="","",PROPER('PREENCHER AQUI'!B221)),"")</f>
        <v/>
      </c>
      <c r="C221" s="1" t="str">
        <f>IFERROR(IF('PREENCHER AQUI'!C221="","",'PREENCHER AQUI'!C221),"")</f>
        <v/>
      </c>
      <c r="D221" s="2" t="str">
        <f>IFERROR(IF('PREENCHER AQUI'!D221="","",'PREENCHER AQUI'!D221),"")</f>
        <v/>
      </c>
      <c r="E221" s="2" t="str">
        <f>IFERROR(VLOOKUP(CONCATENATE(C221,D221),qdd!$C$2:$F$1000,2,FALSE),"")</f>
        <v/>
      </c>
      <c r="F221" s="2" t="str">
        <f>IFERROR(VLOOKUP(CONCATENATE(C221,D221),qdd!$C$2:$F$1000,3,FALSE),"")</f>
        <v/>
      </c>
      <c r="G221" s="2" t="str">
        <f>IFERROR(VLOOKUP(CONCATENATE(C221,D221),qdd!$C$2:$F$1000,4,FALSE),"")</f>
        <v/>
      </c>
      <c r="H221" s="6" t="str">
        <f t="shared" si="8"/>
        <v/>
      </c>
      <c r="I2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1" s="2" t="str">
        <f>IFERROR(IF('PREENCHER AQUI'!E221="","",'PREENCHER AQUI'!E221),"")</f>
        <v/>
      </c>
      <c r="K221" s="2" t="str">
        <f>IFERROR(IF('PREENCHER AQUI'!F221="","",'PREENCHER AQUI'!F221),"")</f>
        <v/>
      </c>
      <c r="L221" s="2" t="str">
        <f>IF(Tabela1[[#This Row],[IPU_COD]]=9,"91",IF(Tabela1[[#This Row],[ACAO_COD]]="","",VLOOKUP(CONCATENATE("G",J221,"M",K221),qdd!$BC$2:$BD$46,2,FALSE)))</f>
        <v/>
      </c>
      <c r="M221" s="2" t="str">
        <f>TEXT(IFERROR(VLOOKUP(CONCATENATE(C221,D221),qdd!$C$2:$G$1000,5,FALSE),""),0)</f>
        <v/>
      </c>
      <c r="N221" s="2" t="str">
        <f>IFERROR(IF('PREENCHER AQUI'!I221="","",'PREENCHER AQUI'!I221),"")</f>
        <v/>
      </c>
      <c r="O221" s="2" t="str">
        <f>IFERROR(IF('PREENCHER AQUI'!J221="","",'PREENCHER AQUI'!J221),"")</f>
        <v/>
      </c>
      <c r="P221" s="7" t="str">
        <f t="shared" si="9"/>
        <v/>
      </c>
      <c r="Q221" s="8" t="str">
        <f>IFERROR(IF(Tabela4[[#This Row],[VALOR]]="","",IF(Tabela1[[#This Row],[ORIENTACAO]]="Anular",'PREENCHER AQUI'!K221*-1*100,'PREENCHER AQUI'!K221*100)),"")</f>
        <v/>
      </c>
      <c r="T221" s="7" t="str">
        <f>IFERROR(IF('PREENCHER AQUI'!L221="","999",LEFT('PREENCHER AQUI'!L221,1)),"")</f>
        <v>999</v>
      </c>
      <c r="V221" s="19"/>
      <c r="W221" s="1" t="str">
        <f>IFERROR(VLOOKUP(Tabela1[[#This Row],[UO_COD]],qdd!$AT$1:$AU$102,2,FALSE),"")</f>
        <v/>
      </c>
      <c r="X221" s="1" t="str">
        <f>CONCATENATE("F",Tabela1[[#This Row],[FONTE_COD]],Tabela1[[#This Row],[IPU_COD]],"G",Tabela1[[#This Row],[GRUPO_COD]],"T",Tabela1[[#This Row],[TIPO]])</f>
        <v>FGT999</v>
      </c>
      <c r="Y2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1" s="19"/>
      <c r="AA221" s="29" t="str">
        <f>IFERROR(VLOOKUP(CONCATENATE("B",Tabela1[[#This Row],[BLOCO]],Tabela1[[#This Row],[UO_COD]]),qdd!$AW$2:$AX$1000,2,FALSE),"")</f>
        <v/>
      </c>
      <c r="AB221" s="30" t="str">
        <f>IFERROR(Tabela1[[#This Row],[VALOR]]/100,"")</f>
        <v/>
      </c>
      <c r="AC221" s="7" t="str" cm="1">
        <f t="array" aca="1" ref="AC221" ca="1">IF(Tabela1[[#This Row],[VALOR]]&lt;0,"",IFERROR(SUBSTITUTE(Converter_numero(Tabela1[[#This Row],[VALOR INCISO]]),",",""),""))</f>
        <v/>
      </c>
      <c r="AD221" s="29" t="str">
        <f>IF(Tabela1[[#This Row],[TIPO]]=REGRAS!$W$2,REGRAS!$X$2,IF(Tabela1[[#This Row],[TIPO]]=REGRAS!$W$4,REGRAS!$X$4,""))</f>
        <v/>
      </c>
      <c r="AE221" s="29" t="e">
        <f>VLOOKUP(Tabela1[[#This Row],[FONTE_COD]],REGRAS!$O$2:$P$69,2,FALSE)</f>
        <v>#N/A</v>
      </c>
      <c r="AF2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2" spans="1:32" ht="18.75" customHeight="1">
      <c r="A222" s="2" t="str">
        <f>IFERROR(IF('PREENCHER AQUI'!A222="","",'PREENCHER AQUI'!A222),"")</f>
        <v/>
      </c>
      <c r="B222" s="1" t="str">
        <f>IFERROR(IF('PREENCHER AQUI'!B222="","",PROPER('PREENCHER AQUI'!B222)),"")</f>
        <v/>
      </c>
      <c r="C222" s="1" t="str">
        <f>IFERROR(IF('PREENCHER AQUI'!C222="","",'PREENCHER AQUI'!C222),"")</f>
        <v/>
      </c>
      <c r="D222" s="2" t="str">
        <f>IFERROR(IF('PREENCHER AQUI'!D222="","",'PREENCHER AQUI'!D222),"")</f>
        <v/>
      </c>
      <c r="E222" s="2" t="str">
        <f>IFERROR(VLOOKUP(CONCATENATE(C222,D222),qdd!$C$2:$F$1000,2,FALSE),"")</f>
        <v/>
      </c>
      <c r="F222" s="2" t="str">
        <f>IFERROR(VLOOKUP(CONCATENATE(C222,D222),qdd!$C$2:$F$1000,3,FALSE),"")</f>
        <v/>
      </c>
      <c r="G222" s="2" t="str">
        <f>IFERROR(VLOOKUP(CONCATENATE(C222,D222),qdd!$C$2:$F$1000,4,FALSE),"")</f>
        <v/>
      </c>
      <c r="H222" s="6" t="str">
        <f t="shared" si="8"/>
        <v/>
      </c>
      <c r="I2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2" s="2" t="str">
        <f>IFERROR(IF('PREENCHER AQUI'!E222="","",'PREENCHER AQUI'!E222),"")</f>
        <v/>
      </c>
      <c r="K222" s="2" t="str">
        <f>IFERROR(IF('PREENCHER AQUI'!F222="","",'PREENCHER AQUI'!F222),"")</f>
        <v/>
      </c>
      <c r="L222" s="2" t="str">
        <f>IF(Tabela1[[#This Row],[IPU_COD]]=9,"91",IF(Tabela1[[#This Row],[ACAO_COD]]="","",VLOOKUP(CONCATENATE("G",J222,"M",K222),qdd!$BC$2:$BD$46,2,FALSE)))</f>
        <v/>
      </c>
      <c r="M222" s="2" t="str">
        <f>TEXT(IFERROR(VLOOKUP(CONCATENATE(C222,D222),qdd!$C$2:$G$1000,5,FALSE),""),0)</f>
        <v/>
      </c>
      <c r="N222" s="2" t="str">
        <f>IFERROR(IF('PREENCHER AQUI'!I222="","",'PREENCHER AQUI'!I222),"")</f>
        <v/>
      </c>
      <c r="O222" s="2" t="str">
        <f>IFERROR(IF('PREENCHER AQUI'!J222="","",'PREENCHER AQUI'!J222),"")</f>
        <v/>
      </c>
      <c r="P222" s="7" t="str">
        <f t="shared" si="9"/>
        <v/>
      </c>
      <c r="Q222" s="8" t="str">
        <f>IFERROR(IF(Tabela4[[#This Row],[VALOR]]="","",IF(Tabela1[[#This Row],[ORIENTACAO]]="Anular",'PREENCHER AQUI'!K222*-1*100,'PREENCHER AQUI'!K222*100)),"")</f>
        <v/>
      </c>
      <c r="T222" s="7" t="str">
        <f>IFERROR(IF('PREENCHER AQUI'!L222="","999",LEFT('PREENCHER AQUI'!L222,1)),"")</f>
        <v>999</v>
      </c>
      <c r="W222" s="1" t="str">
        <f>IFERROR(VLOOKUP(Tabela1[[#This Row],[UO_COD]],qdd!$AT$1:$AU$102,2,FALSE),"")</f>
        <v/>
      </c>
      <c r="X222" s="1" t="str">
        <f>CONCATENATE("F",Tabela1[[#This Row],[FONTE_COD]],Tabela1[[#This Row],[IPU_COD]],"G",Tabela1[[#This Row],[GRUPO_COD]],"T",Tabela1[[#This Row],[TIPO]])</f>
        <v>FGT999</v>
      </c>
      <c r="Y2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2" s="19"/>
      <c r="AA222" s="29" t="str">
        <f>IFERROR(VLOOKUP(CONCATENATE("B",Tabela1[[#This Row],[BLOCO]],Tabela1[[#This Row],[UO_COD]]),qdd!$AW$2:$AX$1000,2,FALSE),"")</f>
        <v/>
      </c>
      <c r="AB222" s="30" t="str">
        <f>IFERROR(Tabela1[[#This Row],[VALOR]]/100,"")</f>
        <v/>
      </c>
      <c r="AC222" s="7" t="str" cm="1">
        <f t="array" aca="1" ref="AC222" ca="1">IF(Tabela1[[#This Row],[VALOR]]&lt;0,"",IFERROR(SUBSTITUTE(Converter_numero(Tabela1[[#This Row],[VALOR INCISO]]),",",""),""))</f>
        <v/>
      </c>
      <c r="AD222" s="7" t="str">
        <f>IF(Tabela1[[#This Row],[TIPO]]=REGRAS!$W$2,REGRAS!$X$2,IF(Tabela1[[#This Row],[TIPO]]=REGRAS!$W$4,REGRAS!$X$4,""))</f>
        <v/>
      </c>
      <c r="AE222" s="29" t="e">
        <f>VLOOKUP(Tabela1[[#This Row],[FONTE_COD]],REGRAS!$O$2:$P$69,2,FALSE)</f>
        <v>#N/A</v>
      </c>
      <c r="AF2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3" spans="1:32" ht="18.75" customHeight="1">
      <c r="A223" s="2" t="str">
        <f>IFERROR(IF('PREENCHER AQUI'!A223="","",'PREENCHER AQUI'!A223),"")</f>
        <v/>
      </c>
      <c r="B223" s="1" t="str">
        <f>IFERROR(IF('PREENCHER AQUI'!B223="","",PROPER('PREENCHER AQUI'!B223)),"")</f>
        <v/>
      </c>
      <c r="C223" s="1" t="str">
        <f>IFERROR(IF('PREENCHER AQUI'!C223="","",'PREENCHER AQUI'!C223),"")</f>
        <v/>
      </c>
      <c r="D223" s="2" t="str">
        <f>IFERROR(IF('PREENCHER AQUI'!D223="","",'PREENCHER AQUI'!D223),"")</f>
        <v/>
      </c>
      <c r="E223" s="2" t="str">
        <f>IFERROR(VLOOKUP(CONCATENATE(C223,D223),qdd!$C$2:$F$1000,2,FALSE),"")</f>
        <v/>
      </c>
      <c r="F223" s="2" t="str">
        <f>IFERROR(VLOOKUP(CONCATENATE(C223,D223),qdd!$C$2:$F$1000,3,FALSE),"")</f>
        <v/>
      </c>
      <c r="G223" s="2" t="str">
        <f>IFERROR(VLOOKUP(CONCATENATE(C223,D223),qdd!$C$2:$F$1000,4,FALSE),"")</f>
        <v/>
      </c>
      <c r="H223" s="6" t="str">
        <f t="shared" si="8"/>
        <v/>
      </c>
      <c r="I2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3" s="2" t="str">
        <f>IFERROR(IF('PREENCHER AQUI'!E223="","",'PREENCHER AQUI'!E223),"")</f>
        <v/>
      </c>
      <c r="K223" s="2" t="str">
        <f>IFERROR(IF('PREENCHER AQUI'!F223="","",'PREENCHER AQUI'!F223),"")</f>
        <v/>
      </c>
      <c r="L223" s="2" t="str">
        <f>IF(Tabela1[[#This Row],[IPU_COD]]=9,"91",IF(Tabela1[[#This Row],[ACAO_COD]]="","",VLOOKUP(CONCATENATE("G",J223,"M",K223),qdd!$BC$2:$BD$46,2,FALSE)))</f>
        <v/>
      </c>
      <c r="M223" s="2" t="str">
        <f>TEXT(IFERROR(VLOOKUP(CONCATENATE(C223,D223),qdd!$C$2:$G$1000,5,FALSE),""),0)</f>
        <v/>
      </c>
      <c r="N223" s="2" t="str">
        <f>IFERROR(IF('PREENCHER AQUI'!I223="","",'PREENCHER AQUI'!I223),"")</f>
        <v/>
      </c>
      <c r="O223" s="2" t="str">
        <f>IFERROR(IF('PREENCHER AQUI'!J223="","",'PREENCHER AQUI'!J223),"")</f>
        <v/>
      </c>
      <c r="P223" s="7" t="str">
        <f t="shared" si="9"/>
        <v/>
      </c>
      <c r="Q223" s="8" t="str">
        <f>IFERROR(IF(Tabela4[[#This Row],[VALOR]]="","",IF(Tabela1[[#This Row],[ORIENTACAO]]="Anular",'PREENCHER AQUI'!K223*-1*100,'PREENCHER AQUI'!K223*100)),"")</f>
        <v/>
      </c>
      <c r="T223" s="7" t="str">
        <f>IFERROR(IF('PREENCHER AQUI'!L223="","999",LEFT('PREENCHER AQUI'!L223,1)),"")</f>
        <v>999</v>
      </c>
      <c r="V223" s="19"/>
      <c r="W223" s="1" t="str">
        <f>IFERROR(VLOOKUP(Tabela1[[#This Row],[UO_COD]],qdd!$AT$1:$AU$102,2,FALSE),"")</f>
        <v/>
      </c>
      <c r="X223" s="1" t="str">
        <f>CONCATENATE("F",Tabela1[[#This Row],[FONTE_COD]],Tabela1[[#This Row],[IPU_COD]],"G",Tabela1[[#This Row],[GRUPO_COD]],"T",Tabela1[[#This Row],[TIPO]])</f>
        <v>FGT999</v>
      </c>
      <c r="Y2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3" s="19"/>
      <c r="AA223" s="29" t="str">
        <f>IFERROR(VLOOKUP(CONCATENATE("B",Tabela1[[#This Row],[BLOCO]],Tabela1[[#This Row],[UO_COD]]),qdd!$AW$2:$AX$1000,2,FALSE),"")</f>
        <v/>
      </c>
      <c r="AB223" s="30" t="str">
        <f>IFERROR(Tabela1[[#This Row],[VALOR]]/100,"")</f>
        <v/>
      </c>
      <c r="AC223" s="7" t="str" cm="1">
        <f t="array" aca="1" ref="AC223" ca="1">IF(Tabela1[[#This Row],[VALOR]]&lt;0,"",IFERROR(SUBSTITUTE(Converter_numero(Tabela1[[#This Row],[VALOR INCISO]]),",",""),""))</f>
        <v/>
      </c>
      <c r="AD223" s="29" t="str">
        <f>IF(Tabela1[[#This Row],[TIPO]]=REGRAS!$W$2,REGRAS!$X$2,IF(Tabela1[[#This Row],[TIPO]]=REGRAS!$W$4,REGRAS!$X$4,""))</f>
        <v/>
      </c>
      <c r="AE223" s="29" t="e">
        <f>VLOOKUP(Tabela1[[#This Row],[FONTE_COD]],REGRAS!$O$2:$P$69,2,FALSE)</f>
        <v>#N/A</v>
      </c>
      <c r="AF2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4" spans="1:32" ht="18.75" customHeight="1">
      <c r="A224" s="2" t="str">
        <f>IFERROR(IF('PREENCHER AQUI'!A224="","",'PREENCHER AQUI'!A224),"")</f>
        <v/>
      </c>
      <c r="B224" s="1" t="str">
        <f>IFERROR(IF('PREENCHER AQUI'!B224="","",PROPER('PREENCHER AQUI'!B224)),"")</f>
        <v/>
      </c>
      <c r="C224" s="1" t="str">
        <f>IFERROR(IF('PREENCHER AQUI'!C224="","",'PREENCHER AQUI'!C224),"")</f>
        <v/>
      </c>
      <c r="D224" s="2" t="str">
        <f>IFERROR(IF('PREENCHER AQUI'!D224="","",'PREENCHER AQUI'!D224),"")</f>
        <v/>
      </c>
      <c r="E224" s="2" t="str">
        <f>IFERROR(VLOOKUP(CONCATENATE(C224,D224),qdd!$C$2:$F$1000,2,FALSE),"")</f>
        <v/>
      </c>
      <c r="F224" s="2" t="str">
        <f>IFERROR(VLOOKUP(CONCATENATE(C224,D224),qdd!$C$2:$F$1000,3,FALSE),"")</f>
        <v/>
      </c>
      <c r="G224" s="2" t="str">
        <f>IFERROR(VLOOKUP(CONCATENATE(C224,D224),qdd!$C$2:$F$1000,4,FALSE),"")</f>
        <v/>
      </c>
      <c r="H224" s="6" t="str">
        <f t="shared" si="8"/>
        <v/>
      </c>
      <c r="I2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4" s="2" t="str">
        <f>IFERROR(IF('PREENCHER AQUI'!E224="","",'PREENCHER AQUI'!E224),"")</f>
        <v/>
      </c>
      <c r="K224" s="2" t="str">
        <f>IFERROR(IF('PREENCHER AQUI'!F224="","",'PREENCHER AQUI'!F224),"")</f>
        <v/>
      </c>
      <c r="L224" s="2" t="str">
        <f>IF(Tabela1[[#This Row],[IPU_COD]]=9,"91",IF(Tabela1[[#This Row],[ACAO_COD]]="","",VLOOKUP(CONCATENATE("G",J224,"M",K224),qdd!$BC$2:$BD$46,2,FALSE)))</f>
        <v/>
      </c>
      <c r="M224" s="2" t="str">
        <f>TEXT(IFERROR(VLOOKUP(CONCATENATE(C224,D224),qdd!$C$2:$G$1000,5,FALSE),""),0)</f>
        <v/>
      </c>
      <c r="N224" s="2" t="str">
        <f>IFERROR(IF('PREENCHER AQUI'!I224="","",'PREENCHER AQUI'!I224),"")</f>
        <v/>
      </c>
      <c r="O224" s="2" t="str">
        <f>IFERROR(IF('PREENCHER AQUI'!J224="","",'PREENCHER AQUI'!J224),"")</f>
        <v/>
      </c>
      <c r="P224" s="7" t="str">
        <f t="shared" si="9"/>
        <v/>
      </c>
      <c r="Q224" s="8" t="str">
        <f>IFERROR(IF(Tabela4[[#This Row],[VALOR]]="","",IF(Tabela1[[#This Row],[ORIENTACAO]]="Anular",'PREENCHER AQUI'!K224*-1*100,'PREENCHER AQUI'!K224*100)),"")</f>
        <v/>
      </c>
      <c r="T224" s="7" t="str">
        <f>IFERROR(IF('PREENCHER AQUI'!L224="","999",LEFT('PREENCHER AQUI'!L224,1)),"")</f>
        <v>999</v>
      </c>
      <c r="V224" s="19"/>
      <c r="W224" s="1" t="str">
        <f>IFERROR(VLOOKUP(Tabela1[[#This Row],[UO_COD]],qdd!$AT$1:$AU$102,2,FALSE),"")</f>
        <v/>
      </c>
      <c r="X224" s="1" t="str">
        <f>CONCATENATE("F",Tabela1[[#This Row],[FONTE_COD]],Tabela1[[#This Row],[IPU_COD]],"G",Tabela1[[#This Row],[GRUPO_COD]],"T",Tabela1[[#This Row],[TIPO]])</f>
        <v>FGT999</v>
      </c>
      <c r="Y2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4" s="19"/>
      <c r="AA224" s="29" t="str">
        <f>IFERROR(VLOOKUP(CONCATENATE("B",Tabela1[[#This Row],[BLOCO]],Tabela1[[#This Row],[UO_COD]]),qdd!$AW$2:$AX$1000,2,FALSE),"")</f>
        <v/>
      </c>
      <c r="AB224" s="30" t="str">
        <f>IFERROR(Tabela1[[#This Row],[VALOR]]/100,"")</f>
        <v/>
      </c>
      <c r="AC224" s="7" t="str" cm="1">
        <f t="array" aca="1" ref="AC224" ca="1">IF(Tabela1[[#This Row],[VALOR]]&lt;0,"",IFERROR(SUBSTITUTE(Converter_numero(Tabela1[[#This Row],[VALOR INCISO]]),",",""),""))</f>
        <v/>
      </c>
      <c r="AD224" s="29" t="str">
        <f>IF(Tabela1[[#This Row],[TIPO]]=REGRAS!$W$2,REGRAS!$X$2,IF(Tabela1[[#This Row],[TIPO]]=REGRAS!$W$4,REGRAS!$X$4,""))</f>
        <v/>
      </c>
      <c r="AE224" s="29" t="e">
        <f>VLOOKUP(Tabela1[[#This Row],[FONTE_COD]],REGRAS!$O$2:$P$69,2,FALSE)</f>
        <v>#N/A</v>
      </c>
      <c r="AF2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5" spans="1:32" ht="18.75" customHeight="1">
      <c r="A225" s="2" t="str">
        <f>IFERROR(IF('PREENCHER AQUI'!A225="","",'PREENCHER AQUI'!A225),"")</f>
        <v/>
      </c>
      <c r="B225" s="1" t="str">
        <f>IFERROR(IF('PREENCHER AQUI'!B225="","",PROPER('PREENCHER AQUI'!B225)),"")</f>
        <v/>
      </c>
      <c r="C225" s="1" t="str">
        <f>IFERROR(IF('PREENCHER AQUI'!C225="","",'PREENCHER AQUI'!C225),"")</f>
        <v/>
      </c>
      <c r="D225" s="2" t="str">
        <f>IFERROR(IF('PREENCHER AQUI'!D225="","",'PREENCHER AQUI'!D225),"")</f>
        <v/>
      </c>
      <c r="E225" s="2" t="str">
        <f>IFERROR(VLOOKUP(CONCATENATE(C225,D225),qdd!$C$2:$F$1000,2,FALSE),"")</f>
        <v/>
      </c>
      <c r="F225" s="2" t="str">
        <f>IFERROR(VLOOKUP(CONCATENATE(C225,D225),qdd!$C$2:$F$1000,3,FALSE),"")</f>
        <v/>
      </c>
      <c r="G225" s="2" t="str">
        <f>IFERROR(VLOOKUP(CONCATENATE(C225,D225),qdd!$C$2:$F$1000,4,FALSE),"")</f>
        <v/>
      </c>
      <c r="H225" s="6" t="str">
        <f t="shared" si="8"/>
        <v/>
      </c>
      <c r="I2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5" s="2" t="str">
        <f>IFERROR(IF('PREENCHER AQUI'!E225="","",'PREENCHER AQUI'!E225),"")</f>
        <v/>
      </c>
      <c r="K225" s="2" t="str">
        <f>IFERROR(IF('PREENCHER AQUI'!F225="","",'PREENCHER AQUI'!F225),"")</f>
        <v/>
      </c>
      <c r="L225" s="2" t="str">
        <f>IF(Tabela1[[#This Row],[IPU_COD]]=9,"91",IF(Tabela1[[#This Row],[ACAO_COD]]="","",VLOOKUP(CONCATENATE("G",J225,"M",K225),qdd!$BC$2:$BD$46,2,FALSE)))</f>
        <v/>
      </c>
      <c r="M225" s="2" t="str">
        <f>TEXT(IFERROR(VLOOKUP(CONCATENATE(C225,D225),qdd!$C$2:$G$1000,5,FALSE),""),0)</f>
        <v/>
      </c>
      <c r="N225" s="2" t="str">
        <f>IFERROR(IF('PREENCHER AQUI'!I225="","",'PREENCHER AQUI'!I225),"")</f>
        <v/>
      </c>
      <c r="O225" s="2" t="str">
        <f>IFERROR(IF('PREENCHER AQUI'!J225="","",'PREENCHER AQUI'!J225),"")</f>
        <v/>
      </c>
      <c r="P225" s="7" t="str">
        <f t="shared" si="9"/>
        <v/>
      </c>
      <c r="Q225" s="8" t="str">
        <f>IFERROR(IF(Tabela4[[#This Row],[VALOR]]="","",IF(Tabela1[[#This Row],[ORIENTACAO]]="Anular",'PREENCHER AQUI'!K225*-1*100,'PREENCHER AQUI'!K225*100)),"")</f>
        <v/>
      </c>
      <c r="T225" s="7" t="str">
        <f>IFERROR(IF('PREENCHER AQUI'!L225="","999",LEFT('PREENCHER AQUI'!L225,1)),"")</f>
        <v>999</v>
      </c>
      <c r="V225" s="19"/>
      <c r="W225" s="20" t="str">
        <f>IFERROR(VLOOKUP(Tabela1[[#This Row],[UO_COD]],qdd!$AT$1:$AU$102,2,FALSE),"")</f>
        <v/>
      </c>
      <c r="X225" s="20" t="str">
        <f>CONCATENATE("F",Tabela1[[#This Row],[FONTE_COD]],Tabela1[[#This Row],[IPU_COD]],"G",Tabela1[[#This Row],[GRUPO_COD]],"T",Tabela1[[#This Row],[TIPO]])</f>
        <v>FGT999</v>
      </c>
      <c r="Y2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5" s="19"/>
      <c r="AA225" s="29" t="str">
        <f>IFERROR(VLOOKUP(CONCATENATE("B",Tabela1[[#This Row],[BLOCO]],Tabela1[[#This Row],[UO_COD]]),qdd!$AW$2:$AX$1000,2,FALSE),"")</f>
        <v/>
      </c>
      <c r="AB225" s="30" t="str">
        <f>IFERROR(Tabela1[[#This Row],[VALOR]]/100,"")</f>
        <v/>
      </c>
      <c r="AC225" s="7" t="str" cm="1">
        <f t="array" aca="1" ref="AC225" ca="1">IF(Tabela1[[#This Row],[VALOR]]&lt;0,"",IFERROR(SUBSTITUTE(Converter_numero(Tabela1[[#This Row],[VALOR INCISO]]),",",""),""))</f>
        <v/>
      </c>
      <c r="AD225" s="29" t="str">
        <f>IF(Tabela1[[#This Row],[TIPO]]=REGRAS!$W$2,REGRAS!$X$2,IF(Tabela1[[#This Row],[TIPO]]=REGRAS!$W$4,REGRAS!$X$4,""))</f>
        <v/>
      </c>
      <c r="AE225" s="29" t="e">
        <f>VLOOKUP(Tabela1[[#This Row],[FONTE_COD]],REGRAS!$O$2:$P$69,2,FALSE)</f>
        <v>#N/A</v>
      </c>
      <c r="AF2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6" spans="1:32" ht="18.75" customHeight="1">
      <c r="A226" s="2" t="str">
        <f>IFERROR(IF('PREENCHER AQUI'!A226="","",'PREENCHER AQUI'!A226),"")</f>
        <v/>
      </c>
      <c r="B226" s="1" t="str">
        <f>IFERROR(IF('PREENCHER AQUI'!B226="","",PROPER('PREENCHER AQUI'!B226)),"")</f>
        <v/>
      </c>
      <c r="C226" s="1" t="str">
        <f>IFERROR(IF('PREENCHER AQUI'!C226="","",'PREENCHER AQUI'!C226),"")</f>
        <v/>
      </c>
      <c r="D226" s="2" t="str">
        <f>IFERROR(IF('PREENCHER AQUI'!D226="","",'PREENCHER AQUI'!D226),"")</f>
        <v/>
      </c>
      <c r="E226" s="2" t="str">
        <f>IFERROR(VLOOKUP(CONCATENATE(C226,D226),qdd!$C$2:$F$1000,2,FALSE),"")</f>
        <v/>
      </c>
      <c r="F226" s="2" t="str">
        <f>IFERROR(VLOOKUP(CONCATENATE(C226,D226),qdd!$C$2:$F$1000,3,FALSE),"")</f>
        <v/>
      </c>
      <c r="G226" s="2" t="str">
        <f>IFERROR(VLOOKUP(CONCATENATE(C226,D226),qdd!$C$2:$F$1000,4,FALSE),"")</f>
        <v/>
      </c>
      <c r="H226" s="6" t="str">
        <f t="shared" si="8"/>
        <v/>
      </c>
      <c r="I2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6" s="2" t="str">
        <f>IFERROR(IF('PREENCHER AQUI'!E226="","",'PREENCHER AQUI'!E226),"")</f>
        <v/>
      </c>
      <c r="K226" s="2" t="str">
        <f>IFERROR(IF('PREENCHER AQUI'!F226="","",'PREENCHER AQUI'!F226),"")</f>
        <v/>
      </c>
      <c r="L226" s="2" t="str">
        <f>IF(Tabela1[[#This Row],[IPU_COD]]=9,"91",IF(Tabela1[[#This Row],[ACAO_COD]]="","",VLOOKUP(CONCATENATE("G",J226,"M",K226),qdd!$BC$2:$BD$46,2,FALSE)))</f>
        <v/>
      </c>
      <c r="M226" s="2" t="str">
        <f>TEXT(IFERROR(VLOOKUP(CONCATENATE(C226,D226),qdd!$C$2:$G$1000,5,FALSE),""),0)</f>
        <v/>
      </c>
      <c r="N226" s="2" t="str">
        <f>IFERROR(IF('PREENCHER AQUI'!I226="","",'PREENCHER AQUI'!I226),"")</f>
        <v/>
      </c>
      <c r="O226" s="2" t="str">
        <f>IFERROR(IF('PREENCHER AQUI'!J226="","",'PREENCHER AQUI'!J226),"")</f>
        <v/>
      </c>
      <c r="P226" s="7" t="str">
        <f t="shared" si="9"/>
        <v/>
      </c>
      <c r="Q226" s="8" t="str">
        <f>IFERROR(IF(Tabela4[[#This Row],[VALOR]]="","",IF(Tabela1[[#This Row],[ORIENTACAO]]="Anular",'PREENCHER AQUI'!K226*-1*100,'PREENCHER AQUI'!K226*100)),"")</f>
        <v/>
      </c>
      <c r="T226" s="7" t="str">
        <f>IFERROR(IF('PREENCHER AQUI'!L226="","999",LEFT('PREENCHER AQUI'!L226,1)),"")</f>
        <v>999</v>
      </c>
      <c r="V226" s="19"/>
      <c r="W226" s="1" t="str">
        <f>IFERROR(VLOOKUP(Tabela1[[#This Row],[UO_COD]],qdd!$AT$1:$AU$102,2,FALSE),"")</f>
        <v/>
      </c>
      <c r="X226" s="1" t="str">
        <f>CONCATENATE("F",Tabela1[[#This Row],[FONTE_COD]],Tabela1[[#This Row],[IPU_COD]],"G",Tabela1[[#This Row],[GRUPO_COD]],"T",Tabela1[[#This Row],[TIPO]])</f>
        <v>FGT999</v>
      </c>
      <c r="Y2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6" s="19"/>
      <c r="AA226" s="29" t="str">
        <f>IFERROR(VLOOKUP(CONCATENATE("B",Tabela1[[#This Row],[BLOCO]],Tabela1[[#This Row],[UO_COD]]),qdd!$AW$2:$AX$1000,2,FALSE),"")</f>
        <v/>
      </c>
      <c r="AB226" s="30" t="str">
        <f>IFERROR(Tabela1[[#This Row],[VALOR]]/100,"")</f>
        <v/>
      </c>
      <c r="AC226" s="7" t="str" cm="1">
        <f t="array" aca="1" ref="AC226" ca="1">IF(Tabela1[[#This Row],[VALOR]]&lt;0,"",IFERROR(SUBSTITUTE(Converter_numero(Tabela1[[#This Row],[VALOR INCISO]]),",",""),""))</f>
        <v/>
      </c>
      <c r="AD226" s="29" t="str">
        <f>IF(Tabela1[[#This Row],[TIPO]]=REGRAS!$W$2,REGRAS!$X$2,IF(Tabela1[[#This Row],[TIPO]]=REGRAS!$W$4,REGRAS!$X$4,""))</f>
        <v/>
      </c>
      <c r="AE226" s="29" t="e">
        <f>VLOOKUP(Tabela1[[#This Row],[FONTE_COD]],REGRAS!$O$2:$P$69,2,FALSE)</f>
        <v>#N/A</v>
      </c>
      <c r="AF2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7" spans="1:32" ht="18.75" customHeight="1">
      <c r="A227" s="2" t="str">
        <f>IFERROR(IF('PREENCHER AQUI'!A227="","",'PREENCHER AQUI'!A227),"")</f>
        <v/>
      </c>
      <c r="B227" s="1" t="str">
        <f>IFERROR(IF('PREENCHER AQUI'!B227="","",PROPER('PREENCHER AQUI'!B227)),"")</f>
        <v/>
      </c>
      <c r="C227" s="1" t="str">
        <f>IFERROR(IF('PREENCHER AQUI'!C227="","",'PREENCHER AQUI'!C227),"")</f>
        <v/>
      </c>
      <c r="D227" s="2" t="str">
        <f>IFERROR(IF('PREENCHER AQUI'!D227="","",'PREENCHER AQUI'!D227),"")</f>
        <v/>
      </c>
      <c r="E227" s="2" t="str">
        <f>IFERROR(VLOOKUP(CONCATENATE(C227,D227),qdd!$C$2:$F$1000,2,FALSE),"")</f>
        <v/>
      </c>
      <c r="F227" s="2" t="str">
        <f>IFERROR(VLOOKUP(CONCATENATE(C227,D227),qdd!$C$2:$F$1000,3,FALSE),"")</f>
        <v/>
      </c>
      <c r="G227" s="2" t="str">
        <f>IFERROR(VLOOKUP(CONCATENATE(C227,D227),qdd!$C$2:$F$1000,4,FALSE),"")</f>
        <v/>
      </c>
      <c r="H227" s="6" t="str">
        <f t="shared" si="8"/>
        <v/>
      </c>
      <c r="I2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7" s="2" t="str">
        <f>IFERROR(IF('PREENCHER AQUI'!E227="","",'PREENCHER AQUI'!E227),"")</f>
        <v/>
      </c>
      <c r="K227" s="2" t="str">
        <f>IFERROR(IF('PREENCHER AQUI'!F227="","",'PREENCHER AQUI'!F227),"")</f>
        <v/>
      </c>
      <c r="L227" s="2" t="str">
        <f>IF(Tabela1[[#This Row],[IPU_COD]]=9,"91",IF(Tabela1[[#This Row],[ACAO_COD]]="","",VLOOKUP(CONCATENATE("G",J227,"M",K227),qdd!$BC$2:$BD$46,2,FALSE)))</f>
        <v/>
      </c>
      <c r="M227" s="2" t="str">
        <f>TEXT(IFERROR(VLOOKUP(CONCATENATE(C227,D227),qdd!$C$2:$G$1000,5,FALSE),""),0)</f>
        <v/>
      </c>
      <c r="N227" s="2" t="str">
        <f>IFERROR(IF('PREENCHER AQUI'!I227="","",'PREENCHER AQUI'!I227),"")</f>
        <v/>
      </c>
      <c r="O227" s="2" t="str">
        <f>IFERROR(IF('PREENCHER AQUI'!J227="","",'PREENCHER AQUI'!J227),"")</f>
        <v/>
      </c>
      <c r="P227" s="7" t="str">
        <f t="shared" si="9"/>
        <v/>
      </c>
      <c r="Q227" s="8" t="str">
        <f>IFERROR(IF(Tabela4[[#This Row],[VALOR]]="","",IF(Tabela1[[#This Row],[ORIENTACAO]]="Anular",'PREENCHER AQUI'!K227*-1*100,'PREENCHER AQUI'!K227*100)),"")</f>
        <v/>
      </c>
      <c r="T227" s="7" t="str">
        <f>IFERROR(IF('PREENCHER AQUI'!L227="","999",LEFT('PREENCHER AQUI'!L227,1)),"")</f>
        <v>999</v>
      </c>
      <c r="W227" s="1" t="str">
        <f>IFERROR(VLOOKUP(Tabela1[[#This Row],[UO_COD]],qdd!$AT$1:$AU$102,2,FALSE),"")</f>
        <v/>
      </c>
      <c r="X227" s="1" t="str">
        <f>CONCATENATE("F",Tabela1[[#This Row],[FONTE_COD]],Tabela1[[#This Row],[IPU_COD]],"G",Tabela1[[#This Row],[GRUPO_COD]],"T",Tabela1[[#This Row],[TIPO]])</f>
        <v>FGT999</v>
      </c>
      <c r="Y2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7" s="19"/>
      <c r="AA227" s="29" t="str">
        <f>IFERROR(VLOOKUP(CONCATENATE("B",Tabela1[[#This Row],[BLOCO]],Tabela1[[#This Row],[UO_COD]]),qdd!$AW$2:$AX$1000,2,FALSE),"")</f>
        <v/>
      </c>
      <c r="AB227" s="30" t="str">
        <f>IFERROR(Tabela1[[#This Row],[VALOR]]/100,"")</f>
        <v/>
      </c>
      <c r="AC227" s="7" t="str" cm="1">
        <f t="array" aca="1" ref="AC227" ca="1">IF(Tabela1[[#This Row],[VALOR]]&lt;0,"",IFERROR(SUBSTITUTE(Converter_numero(Tabela1[[#This Row],[VALOR INCISO]]),",",""),""))</f>
        <v/>
      </c>
      <c r="AD227" s="7" t="str">
        <f>IF(Tabela1[[#This Row],[TIPO]]=REGRAS!$W$2,REGRAS!$X$2,IF(Tabela1[[#This Row],[TIPO]]=REGRAS!$W$4,REGRAS!$X$4,""))</f>
        <v/>
      </c>
      <c r="AE227" s="29" t="e">
        <f>VLOOKUP(Tabela1[[#This Row],[FONTE_COD]],REGRAS!$O$2:$P$69,2,FALSE)</f>
        <v>#N/A</v>
      </c>
      <c r="AF2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8" spans="1:32" ht="18.75" customHeight="1">
      <c r="A228" s="2" t="str">
        <f>IFERROR(IF('PREENCHER AQUI'!A228="","",'PREENCHER AQUI'!A228),"")</f>
        <v/>
      </c>
      <c r="B228" s="1" t="str">
        <f>IFERROR(IF('PREENCHER AQUI'!B228="","",PROPER('PREENCHER AQUI'!B228)),"")</f>
        <v/>
      </c>
      <c r="C228" s="1" t="str">
        <f>IFERROR(IF('PREENCHER AQUI'!C228="","",'PREENCHER AQUI'!C228),"")</f>
        <v/>
      </c>
      <c r="D228" s="2" t="str">
        <f>IFERROR(IF('PREENCHER AQUI'!D228="","",'PREENCHER AQUI'!D228),"")</f>
        <v/>
      </c>
      <c r="E228" s="2" t="str">
        <f>IFERROR(VLOOKUP(CONCATENATE(C228,D228),qdd!$C$2:$F$1000,2,FALSE),"")</f>
        <v/>
      </c>
      <c r="F228" s="2" t="str">
        <f>IFERROR(VLOOKUP(CONCATENATE(C228,D228),qdd!$C$2:$F$1000,3,FALSE),"")</f>
        <v/>
      </c>
      <c r="G228" s="2" t="str">
        <f>IFERROR(VLOOKUP(CONCATENATE(C228,D228),qdd!$C$2:$F$1000,4,FALSE),"")</f>
        <v/>
      </c>
      <c r="H228" s="6" t="str">
        <f t="shared" si="8"/>
        <v/>
      </c>
      <c r="I2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8" s="2" t="str">
        <f>IFERROR(IF('PREENCHER AQUI'!E228="","",'PREENCHER AQUI'!E228),"")</f>
        <v/>
      </c>
      <c r="K228" s="2" t="str">
        <f>IFERROR(IF('PREENCHER AQUI'!F228="","",'PREENCHER AQUI'!F228),"")</f>
        <v/>
      </c>
      <c r="L228" s="2" t="str">
        <f>IF(Tabela1[[#This Row],[IPU_COD]]=9,"91",IF(Tabela1[[#This Row],[ACAO_COD]]="","",VLOOKUP(CONCATENATE("G",J228,"M",K228),qdd!$BC$2:$BD$46,2,FALSE)))</f>
        <v/>
      </c>
      <c r="M228" s="2" t="str">
        <f>TEXT(IFERROR(VLOOKUP(CONCATENATE(C228,D228),qdd!$C$2:$G$1000,5,FALSE),""),0)</f>
        <v/>
      </c>
      <c r="N228" s="2" t="str">
        <f>IFERROR(IF('PREENCHER AQUI'!I228="","",'PREENCHER AQUI'!I228),"")</f>
        <v/>
      </c>
      <c r="O228" s="2" t="str">
        <f>IFERROR(IF('PREENCHER AQUI'!J228="","",'PREENCHER AQUI'!J228),"")</f>
        <v/>
      </c>
      <c r="P228" s="7" t="str">
        <f t="shared" si="9"/>
        <v/>
      </c>
      <c r="Q228" s="8" t="str">
        <f>IFERROR(IF(Tabela4[[#This Row],[VALOR]]="","",IF(Tabela1[[#This Row],[ORIENTACAO]]="Anular",'PREENCHER AQUI'!K228*-1*100,'PREENCHER AQUI'!K228*100)),"")</f>
        <v/>
      </c>
      <c r="T228" s="7" t="str">
        <f>IFERROR(IF('PREENCHER AQUI'!L228="","999",LEFT('PREENCHER AQUI'!L228,1)),"")</f>
        <v>999</v>
      </c>
      <c r="V228" s="19"/>
      <c r="W228" s="1" t="str">
        <f>IFERROR(VLOOKUP(Tabela1[[#This Row],[UO_COD]],qdd!$AT$1:$AU$102,2,FALSE),"")</f>
        <v/>
      </c>
      <c r="X228" s="1" t="str">
        <f>CONCATENATE("F",Tabela1[[#This Row],[FONTE_COD]],Tabela1[[#This Row],[IPU_COD]],"G",Tabela1[[#This Row],[GRUPO_COD]],"T",Tabela1[[#This Row],[TIPO]])</f>
        <v>FGT999</v>
      </c>
      <c r="Y2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8" s="19"/>
      <c r="AA228" s="29" t="str">
        <f>IFERROR(VLOOKUP(CONCATENATE("B",Tabela1[[#This Row],[BLOCO]],Tabela1[[#This Row],[UO_COD]]),qdd!$AW$2:$AX$1000,2,FALSE),"")</f>
        <v/>
      </c>
      <c r="AB228" s="30" t="str">
        <f>IFERROR(Tabela1[[#This Row],[VALOR]]/100,"")</f>
        <v/>
      </c>
      <c r="AC228" s="7" t="str" cm="1">
        <f t="array" aca="1" ref="AC228" ca="1">IF(Tabela1[[#This Row],[VALOR]]&lt;0,"",IFERROR(SUBSTITUTE(Converter_numero(Tabela1[[#This Row],[VALOR INCISO]]),",",""),""))</f>
        <v/>
      </c>
      <c r="AD228" s="29" t="str">
        <f>IF(Tabela1[[#This Row],[TIPO]]=REGRAS!$W$2,REGRAS!$X$2,IF(Tabela1[[#This Row],[TIPO]]=REGRAS!$W$4,REGRAS!$X$4,""))</f>
        <v/>
      </c>
      <c r="AE228" s="29" t="e">
        <f>VLOOKUP(Tabela1[[#This Row],[FONTE_COD]],REGRAS!$O$2:$P$69,2,FALSE)</f>
        <v>#N/A</v>
      </c>
      <c r="AF2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9" spans="1:32" ht="18.75" customHeight="1">
      <c r="A229" s="2" t="str">
        <f>IFERROR(IF('PREENCHER AQUI'!A229="","",'PREENCHER AQUI'!A229),"")</f>
        <v/>
      </c>
      <c r="B229" s="1" t="str">
        <f>IFERROR(IF('PREENCHER AQUI'!B229="","",PROPER('PREENCHER AQUI'!B229)),"")</f>
        <v/>
      </c>
      <c r="C229" s="1" t="str">
        <f>IFERROR(IF('PREENCHER AQUI'!C229="","",'PREENCHER AQUI'!C229),"")</f>
        <v/>
      </c>
      <c r="D229" s="2" t="str">
        <f>IFERROR(IF('PREENCHER AQUI'!D229="","",'PREENCHER AQUI'!D229),"")</f>
        <v/>
      </c>
      <c r="E229" s="2" t="str">
        <f>IFERROR(VLOOKUP(CONCATENATE(C229,D229),qdd!$C$2:$F$1000,2,FALSE),"")</f>
        <v/>
      </c>
      <c r="F229" s="2" t="str">
        <f>IFERROR(VLOOKUP(CONCATENATE(C229,D229),qdd!$C$2:$F$1000,3,FALSE),"")</f>
        <v/>
      </c>
      <c r="G229" s="2" t="str">
        <f>IFERROR(VLOOKUP(CONCATENATE(C229,D229),qdd!$C$2:$F$1000,4,FALSE),"")</f>
        <v/>
      </c>
      <c r="H229" s="6" t="str">
        <f t="shared" si="8"/>
        <v/>
      </c>
      <c r="I2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9" s="2" t="str">
        <f>IFERROR(IF('PREENCHER AQUI'!E229="","",'PREENCHER AQUI'!E229),"")</f>
        <v/>
      </c>
      <c r="K229" s="2" t="str">
        <f>IFERROR(IF('PREENCHER AQUI'!F229="","",'PREENCHER AQUI'!F229),"")</f>
        <v/>
      </c>
      <c r="L229" s="2" t="str">
        <f>IF(Tabela1[[#This Row],[IPU_COD]]=9,"91",IF(Tabela1[[#This Row],[ACAO_COD]]="","",VLOOKUP(CONCATENATE("G",J229,"M",K229),qdd!$BC$2:$BD$46,2,FALSE)))</f>
        <v/>
      </c>
      <c r="M229" s="2" t="str">
        <f>TEXT(IFERROR(VLOOKUP(CONCATENATE(C229,D229),qdd!$C$2:$G$1000,5,FALSE),""),0)</f>
        <v/>
      </c>
      <c r="N229" s="2" t="str">
        <f>IFERROR(IF('PREENCHER AQUI'!I229="","",'PREENCHER AQUI'!I229),"")</f>
        <v/>
      </c>
      <c r="O229" s="2" t="str">
        <f>IFERROR(IF('PREENCHER AQUI'!J229="","",'PREENCHER AQUI'!J229),"")</f>
        <v/>
      </c>
      <c r="P229" s="7" t="str">
        <f t="shared" si="9"/>
        <v/>
      </c>
      <c r="Q229" s="8" t="str">
        <f>IFERROR(IF(Tabela4[[#This Row],[VALOR]]="","",IF(Tabela1[[#This Row],[ORIENTACAO]]="Anular",'PREENCHER AQUI'!K229*-1*100,'PREENCHER AQUI'!K229*100)),"")</f>
        <v/>
      </c>
      <c r="T229" s="7" t="str">
        <f>IFERROR(IF('PREENCHER AQUI'!L229="","999",LEFT('PREENCHER AQUI'!L229,1)),"")</f>
        <v>999</v>
      </c>
      <c r="V229" s="19"/>
      <c r="W229" s="1" t="str">
        <f>IFERROR(VLOOKUP(Tabela1[[#This Row],[UO_COD]],qdd!$AT$1:$AU$102,2,FALSE),"")</f>
        <v/>
      </c>
      <c r="X229" s="1" t="str">
        <f>CONCATENATE("F",Tabela1[[#This Row],[FONTE_COD]],Tabela1[[#This Row],[IPU_COD]],"G",Tabela1[[#This Row],[GRUPO_COD]],"T",Tabela1[[#This Row],[TIPO]])</f>
        <v>FGT999</v>
      </c>
      <c r="Y2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9" s="19"/>
      <c r="AA229" s="29" t="str">
        <f>IFERROR(VLOOKUP(CONCATENATE("B",Tabela1[[#This Row],[BLOCO]],Tabela1[[#This Row],[UO_COD]]),qdd!$AW$2:$AX$1000,2,FALSE),"")</f>
        <v/>
      </c>
      <c r="AB229" s="30" t="str">
        <f>IFERROR(Tabela1[[#This Row],[VALOR]]/100,"")</f>
        <v/>
      </c>
      <c r="AC229" s="7" t="str" cm="1">
        <f t="array" aca="1" ref="AC229" ca="1">IF(Tabela1[[#This Row],[VALOR]]&lt;0,"",IFERROR(SUBSTITUTE(Converter_numero(Tabela1[[#This Row],[VALOR INCISO]]),",",""),""))</f>
        <v/>
      </c>
      <c r="AD229" s="29" t="str">
        <f>IF(Tabela1[[#This Row],[TIPO]]=REGRAS!$W$2,REGRAS!$X$2,IF(Tabela1[[#This Row],[TIPO]]=REGRAS!$W$4,REGRAS!$X$4,""))</f>
        <v/>
      </c>
      <c r="AE229" s="29" t="e">
        <f>VLOOKUP(Tabela1[[#This Row],[FONTE_COD]],REGRAS!$O$2:$P$69,2,FALSE)</f>
        <v>#N/A</v>
      </c>
      <c r="AF2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0" spans="1:32" ht="18.75" customHeight="1">
      <c r="A230" s="2" t="str">
        <f>IFERROR(IF('PREENCHER AQUI'!A230="","",'PREENCHER AQUI'!A230),"")</f>
        <v/>
      </c>
      <c r="B230" s="1" t="str">
        <f>IFERROR(IF('PREENCHER AQUI'!B230="","",PROPER('PREENCHER AQUI'!B230)),"")</f>
        <v/>
      </c>
      <c r="C230" s="1" t="str">
        <f>IFERROR(IF('PREENCHER AQUI'!C230="","",'PREENCHER AQUI'!C230),"")</f>
        <v/>
      </c>
      <c r="D230" s="2" t="str">
        <f>IFERROR(IF('PREENCHER AQUI'!D230="","",'PREENCHER AQUI'!D230),"")</f>
        <v/>
      </c>
      <c r="E230" s="2" t="str">
        <f>IFERROR(VLOOKUP(CONCATENATE(C230,D230),qdd!$C$2:$F$1000,2,FALSE),"")</f>
        <v/>
      </c>
      <c r="F230" s="2" t="str">
        <f>IFERROR(VLOOKUP(CONCATENATE(C230,D230),qdd!$C$2:$F$1000,3,FALSE),"")</f>
        <v/>
      </c>
      <c r="G230" s="2" t="str">
        <f>IFERROR(VLOOKUP(CONCATENATE(C230,D230),qdd!$C$2:$F$1000,4,FALSE),"")</f>
        <v/>
      </c>
      <c r="H230" s="6" t="str">
        <f t="shared" si="8"/>
        <v/>
      </c>
      <c r="I2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0" s="2" t="str">
        <f>IFERROR(IF('PREENCHER AQUI'!E230="","",'PREENCHER AQUI'!E230),"")</f>
        <v/>
      </c>
      <c r="K230" s="2" t="str">
        <f>IFERROR(IF('PREENCHER AQUI'!F230="","",'PREENCHER AQUI'!F230),"")</f>
        <v/>
      </c>
      <c r="L230" s="2" t="str">
        <f>IF(Tabela1[[#This Row],[IPU_COD]]=9,"91",IF(Tabela1[[#This Row],[ACAO_COD]]="","",VLOOKUP(CONCATENATE("G",J230,"M",K230),qdd!$BC$2:$BD$46,2,FALSE)))</f>
        <v/>
      </c>
      <c r="M230" s="2" t="str">
        <f>TEXT(IFERROR(VLOOKUP(CONCATENATE(C230,D230),qdd!$C$2:$G$1000,5,FALSE),""),0)</f>
        <v/>
      </c>
      <c r="N230" s="2" t="str">
        <f>IFERROR(IF('PREENCHER AQUI'!I230="","",'PREENCHER AQUI'!I230),"")</f>
        <v/>
      </c>
      <c r="O230" s="2" t="str">
        <f>IFERROR(IF('PREENCHER AQUI'!J230="","",'PREENCHER AQUI'!J230),"")</f>
        <v/>
      </c>
      <c r="P230" s="7" t="str">
        <f t="shared" si="9"/>
        <v/>
      </c>
      <c r="Q230" s="8" t="str">
        <f>IFERROR(IF(Tabela4[[#This Row],[VALOR]]="","",IF(Tabela1[[#This Row],[ORIENTACAO]]="Anular",'PREENCHER AQUI'!K230*-1*100,'PREENCHER AQUI'!K230*100)),"")</f>
        <v/>
      </c>
      <c r="T230" s="7" t="str">
        <f>IFERROR(IF('PREENCHER AQUI'!L230="","999",LEFT('PREENCHER AQUI'!L230,1)),"")</f>
        <v>999</v>
      </c>
      <c r="V230" s="19"/>
      <c r="W230" s="20" t="str">
        <f>IFERROR(VLOOKUP(Tabela1[[#This Row],[UO_COD]],qdd!$AT$1:$AU$102,2,FALSE),"")</f>
        <v/>
      </c>
      <c r="X230" s="20" t="str">
        <f>CONCATENATE("F",Tabela1[[#This Row],[FONTE_COD]],Tabela1[[#This Row],[IPU_COD]],"G",Tabela1[[#This Row],[GRUPO_COD]],"T",Tabela1[[#This Row],[TIPO]])</f>
        <v>FGT999</v>
      </c>
      <c r="Y2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0" s="19"/>
      <c r="AA230" s="29" t="str">
        <f>IFERROR(VLOOKUP(CONCATENATE("B",Tabela1[[#This Row],[BLOCO]],Tabela1[[#This Row],[UO_COD]]),qdd!$AW$2:$AX$1000,2,FALSE),"")</f>
        <v/>
      </c>
      <c r="AB230" s="30" t="str">
        <f>IFERROR(Tabela1[[#This Row],[VALOR]]/100,"")</f>
        <v/>
      </c>
      <c r="AC230" s="7" t="str" cm="1">
        <f t="array" aca="1" ref="AC230" ca="1">IF(Tabela1[[#This Row],[VALOR]]&lt;0,"",IFERROR(SUBSTITUTE(Converter_numero(Tabela1[[#This Row],[VALOR INCISO]]),",",""),""))</f>
        <v/>
      </c>
      <c r="AD230" s="29" t="str">
        <f>IF(Tabela1[[#This Row],[TIPO]]=REGRAS!$W$2,REGRAS!$X$2,IF(Tabela1[[#This Row],[TIPO]]=REGRAS!$W$4,REGRAS!$X$4,""))</f>
        <v/>
      </c>
      <c r="AE230" s="29" t="e">
        <f>VLOOKUP(Tabela1[[#This Row],[FONTE_COD]],REGRAS!$O$2:$P$69,2,FALSE)</f>
        <v>#N/A</v>
      </c>
      <c r="AF2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1" spans="1:32" ht="18.75" customHeight="1">
      <c r="A231" s="2" t="str">
        <f>IFERROR(IF('PREENCHER AQUI'!A231="","",'PREENCHER AQUI'!A231),"")</f>
        <v/>
      </c>
      <c r="B231" s="1" t="str">
        <f>IFERROR(IF('PREENCHER AQUI'!B231="","",PROPER('PREENCHER AQUI'!B231)),"")</f>
        <v/>
      </c>
      <c r="C231" s="1" t="str">
        <f>IFERROR(IF('PREENCHER AQUI'!C231="","",'PREENCHER AQUI'!C231),"")</f>
        <v/>
      </c>
      <c r="D231" s="2" t="str">
        <f>IFERROR(IF('PREENCHER AQUI'!D231="","",'PREENCHER AQUI'!D231),"")</f>
        <v/>
      </c>
      <c r="E231" s="2" t="str">
        <f>IFERROR(VLOOKUP(CONCATENATE(C231,D231),qdd!$C$2:$F$1000,2,FALSE),"")</f>
        <v/>
      </c>
      <c r="F231" s="2" t="str">
        <f>IFERROR(VLOOKUP(CONCATENATE(C231,D231),qdd!$C$2:$F$1000,3,FALSE),"")</f>
        <v/>
      </c>
      <c r="G231" s="2" t="str">
        <f>IFERROR(VLOOKUP(CONCATENATE(C231,D231),qdd!$C$2:$F$1000,4,FALSE),"")</f>
        <v/>
      </c>
      <c r="H231" s="6" t="str">
        <f t="shared" si="8"/>
        <v/>
      </c>
      <c r="I2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1" s="2" t="str">
        <f>IFERROR(IF('PREENCHER AQUI'!E231="","",'PREENCHER AQUI'!E231),"")</f>
        <v/>
      </c>
      <c r="K231" s="2" t="str">
        <f>IFERROR(IF('PREENCHER AQUI'!F231="","",'PREENCHER AQUI'!F231),"")</f>
        <v/>
      </c>
      <c r="L231" s="2" t="str">
        <f>IF(Tabela1[[#This Row],[IPU_COD]]=9,"91",IF(Tabela1[[#This Row],[ACAO_COD]]="","",VLOOKUP(CONCATENATE("G",J231,"M",K231),qdd!$BC$2:$BD$46,2,FALSE)))</f>
        <v/>
      </c>
      <c r="M231" s="2" t="str">
        <f>TEXT(IFERROR(VLOOKUP(CONCATENATE(C231,D231),qdd!$C$2:$G$1000,5,FALSE),""),0)</f>
        <v/>
      </c>
      <c r="N231" s="2" t="str">
        <f>IFERROR(IF('PREENCHER AQUI'!I231="","",'PREENCHER AQUI'!I231),"")</f>
        <v/>
      </c>
      <c r="O231" s="2" t="str">
        <f>IFERROR(IF('PREENCHER AQUI'!J231="","",'PREENCHER AQUI'!J231),"")</f>
        <v/>
      </c>
      <c r="P231" s="7" t="str">
        <f t="shared" si="9"/>
        <v/>
      </c>
      <c r="Q231" s="8" t="str">
        <f>IFERROR(IF(Tabela4[[#This Row],[VALOR]]="","",IF(Tabela1[[#This Row],[ORIENTACAO]]="Anular",'PREENCHER AQUI'!K231*-1*100,'PREENCHER AQUI'!K231*100)),"")</f>
        <v/>
      </c>
      <c r="T231" s="7" t="str">
        <f>IFERROR(IF('PREENCHER AQUI'!L231="","999",LEFT('PREENCHER AQUI'!L231,1)),"")</f>
        <v>999</v>
      </c>
      <c r="V231" s="19"/>
      <c r="W231" s="1" t="str">
        <f>IFERROR(VLOOKUP(Tabela1[[#This Row],[UO_COD]],qdd!$AT$1:$AU$102,2,FALSE),"")</f>
        <v/>
      </c>
      <c r="X231" s="1" t="str">
        <f>CONCATENATE("F",Tabela1[[#This Row],[FONTE_COD]],Tabela1[[#This Row],[IPU_COD]],"G",Tabela1[[#This Row],[GRUPO_COD]],"T",Tabela1[[#This Row],[TIPO]])</f>
        <v>FGT999</v>
      </c>
      <c r="Y2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1" s="19"/>
      <c r="AA231" s="29" t="str">
        <f>IFERROR(VLOOKUP(CONCATENATE("B",Tabela1[[#This Row],[BLOCO]],Tabela1[[#This Row],[UO_COD]]),qdd!$AW$2:$AX$1000,2,FALSE),"")</f>
        <v/>
      </c>
      <c r="AB231" s="30" t="str">
        <f>IFERROR(Tabela1[[#This Row],[VALOR]]/100,"")</f>
        <v/>
      </c>
      <c r="AC231" s="7" t="str" cm="1">
        <f t="array" aca="1" ref="AC231" ca="1">IF(Tabela1[[#This Row],[VALOR]]&lt;0,"",IFERROR(SUBSTITUTE(Converter_numero(Tabela1[[#This Row],[VALOR INCISO]]),",",""),""))</f>
        <v/>
      </c>
      <c r="AD231" s="29" t="str">
        <f>IF(Tabela1[[#This Row],[TIPO]]=REGRAS!$W$2,REGRAS!$X$2,IF(Tabela1[[#This Row],[TIPO]]=REGRAS!$W$4,REGRAS!$X$4,""))</f>
        <v/>
      </c>
      <c r="AE231" s="29" t="e">
        <f>VLOOKUP(Tabela1[[#This Row],[FONTE_COD]],REGRAS!$O$2:$P$69,2,FALSE)</f>
        <v>#N/A</v>
      </c>
      <c r="AF2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2" spans="1:32" ht="18.75" customHeight="1">
      <c r="A232" s="2" t="str">
        <f>IFERROR(IF('PREENCHER AQUI'!A232="","",'PREENCHER AQUI'!A232),"")</f>
        <v/>
      </c>
      <c r="B232" s="1" t="str">
        <f>IFERROR(IF('PREENCHER AQUI'!B232="","",PROPER('PREENCHER AQUI'!B232)),"")</f>
        <v/>
      </c>
      <c r="C232" s="1" t="str">
        <f>IFERROR(IF('PREENCHER AQUI'!C232="","",'PREENCHER AQUI'!C232),"")</f>
        <v/>
      </c>
      <c r="D232" s="2" t="str">
        <f>IFERROR(IF('PREENCHER AQUI'!D232="","",'PREENCHER AQUI'!D232),"")</f>
        <v/>
      </c>
      <c r="E232" s="2" t="str">
        <f>IFERROR(VLOOKUP(CONCATENATE(C232,D232),qdd!$C$2:$F$1000,2,FALSE),"")</f>
        <v/>
      </c>
      <c r="F232" s="2" t="str">
        <f>IFERROR(VLOOKUP(CONCATENATE(C232,D232),qdd!$C$2:$F$1000,3,FALSE),"")</f>
        <v/>
      </c>
      <c r="G232" s="2" t="str">
        <f>IFERROR(VLOOKUP(CONCATENATE(C232,D232),qdd!$C$2:$F$1000,4,FALSE),"")</f>
        <v/>
      </c>
      <c r="H232" s="6" t="str">
        <f t="shared" si="8"/>
        <v/>
      </c>
      <c r="I2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2" s="2" t="str">
        <f>IFERROR(IF('PREENCHER AQUI'!E232="","",'PREENCHER AQUI'!E232),"")</f>
        <v/>
      </c>
      <c r="K232" s="2" t="str">
        <f>IFERROR(IF('PREENCHER AQUI'!F232="","",'PREENCHER AQUI'!F232),"")</f>
        <v/>
      </c>
      <c r="L232" s="2" t="str">
        <f>IF(Tabela1[[#This Row],[IPU_COD]]=9,"91",IF(Tabela1[[#This Row],[ACAO_COD]]="","",VLOOKUP(CONCATENATE("G",J232,"M",K232),qdd!$BC$2:$BD$46,2,FALSE)))</f>
        <v/>
      </c>
      <c r="M232" s="2" t="str">
        <f>TEXT(IFERROR(VLOOKUP(CONCATENATE(C232,D232),qdd!$C$2:$G$1000,5,FALSE),""),0)</f>
        <v/>
      </c>
      <c r="N232" s="2" t="str">
        <f>IFERROR(IF('PREENCHER AQUI'!I232="","",'PREENCHER AQUI'!I232),"")</f>
        <v/>
      </c>
      <c r="O232" s="2" t="str">
        <f>IFERROR(IF('PREENCHER AQUI'!J232="","",'PREENCHER AQUI'!J232),"")</f>
        <v/>
      </c>
      <c r="P232" s="7" t="str">
        <f t="shared" si="9"/>
        <v/>
      </c>
      <c r="Q232" s="8" t="str">
        <f>IFERROR(IF(Tabela4[[#This Row],[VALOR]]="","",IF(Tabela1[[#This Row],[ORIENTACAO]]="Anular",'PREENCHER AQUI'!K232*-1*100,'PREENCHER AQUI'!K232*100)),"")</f>
        <v/>
      </c>
      <c r="T232" s="7" t="str">
        <f>IFERROR(IF('PREENCHER AQUI'!L232="","999",LEFT('PREENCHER AQUI'!L232,1)),"")</f>
        <v>999</v>
      </c>
      <c r="W232" s="1" t="str">
        <f>IFERROR(VLOOKUP(Tabela1[[#This Row],[UO_COD]],qdd!$AT$1:$AU$102,2,FALSE),"")</f>
        <v/>
      </c>
      <c r="X232" s="1" t="str">
        <f>CONCATENATE("F",Tabela1[[#This Row],[FONTE_COD]],Tabela1[[#This Row],[IPU_COD]],"G",Tabela1[[#This Row],[GRUPO_COD]],"T",Tabela1[[#This Row],[TIPO]])</f>
        <v>FGT999</v>
      </c>
      <c r="Y2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2" s="19"/>
      <c r="AA232" s="29" t="str">
        <f>IFERROR(VLOOKUP(CONCATENATE("B",Tabela1[[#This Row],[BLOCO]],Tabela1[[#This Row],[UO_COD]]),qdd!$AW$2:$AX$1000,2,FALSE),"")</f>
        <v/>
      </c>
      <c r="AB232" s="30" t="str">
        <f>IFERROR(Tabela1[[#This Row],[VALOR]]/100,"")</f>
        <v/>
      </c>
      <c r="AC232" s="7" t="str" cm="1">
        <f t="array" aca="1" ref="AC232" ca="1">IF(Tabela1[[#This Row],[VALOR]]&lt;0,"",IFERROR(SUBSTITUTE(Converter_numero(Tabela1[[#This Row],[VALOR INCISO]]),",",""),""))</f>
        <v/>
      </c>
      <c r="AD232" s="7" t="str">
        <f>IF(Tabela1[[#This Row],[TIPO]]=REGRAS!$W$2,REGRAS!$X$2,IF(Tabela1[[#This Row],[TIPO]]=REGRAS!$W$4,REGRAS!$X$4,""))</f>
        <v/>
      </c>
      <c r="AE232" s="29" t="e">
        <f>VLOOKUP(Tabela1[[#This Row],[FONTE_COD]],REGRAS!$O$2:$P$69,2,FALSE)</f>
        <v>#N/A</v>
      </c>
      <c r="AF2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3" spans="1:32" ht="18.75" customHeight="1">
      <c r="A233" s="2" t="str">
        <f>IFERROR(IF('PREENCHER AQUI'!A233="","",'PREENCHER AQUI'!A233),"")</f>
        <v/>
      </c>
      <c r="B233" s="1" t="str">
        <f>IFERROR(IF('PREENCHER AQUI'!B233="","",PROPER('PREENCHER AQUI'!B233)),"")</f>
        <v/>
      </c>
      <c r="C233" s="1" t="str">
        <f>IFERROR(IF('PREENCHER AQUI'!C233="","",'PREENCHER AQUI'!C233),"")</f>
        <v/>
      </c>
      <c r="D233" s="2" t="str">
        <f>IFERROR(IF('PREENCHER AQUI'!D233="","",'PREENCHER AQUI'!D233),"")</f>
        <v/>
      </c>
      <c r="E233" s="2" t="str">
        <f>IFERROR(VLOOKUP(CONCATENATE(C233,D233),qdd!$C$2:$F$1000,2,FALSE),"")</f>
        <v/>
      </c>
      <c r="F233" s="2" t="str">
        <f>IFERROR(VLOOKUP(CONCATENATE(C233,D233),qdd!$C$2:$F$1000,3,FALSE),"")</f>
        <v/>
      </c>
      <c r="G233" s="2" t="str">
        <f>IFERROR(VLOOKUP(CONCATENATE(C233,D233),qdd!$C$2:$F$1000,4,FALSE),"")</f>
        <v/>
      </c>
      <c r="H233" s="6" t="str">
        <f t="shared" si="8"/>
        <v/>
      </c>
      <c r="I2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3" s="2" t="str">
        <f>IFERROR(IF('PREENCHER AQUI'!E233="","",'PREENCHER AQUI'!E233),"")</f>
        <v/>
      </c>
      <c r="K233" s="2" t="str">
        <f>IFERROR(IF('PREENCHER AQUI'!F233="","",'PREENCHER AQUI'!F233),"")</f>
        <v/>
      </c>
      <c r="L233" s="2" t="str">
        <f>IF(Tabela1[[#This Row],[IPU_COD]]=9,"91",IF(Tabela1[[#This Row],[ACAO_COD]]="","",VLOOKUP(CONCATENATE("G",J233,"M",K233),qdd!$BC$2:$BD$46,2,FALSE)))</f>
        <v/>
      </c>
      <c r="M233" s="2" t="str">
        <f>TEXT(IFERROR(VLOOKUP(CONCATENATE(C233,D233),qdd!$C$2:$G$1000,5,FALSE),""),0)</f>
        <v/>
      </c>
      <c r="N233" s="2" t="str">
        <f>IFERROR(IF('PREENCHER AQUI'!I233="","",'PREENCHER AQUI'!I233),"")</f>
        <v/>
      </c>
      <c r="O233" s="2" t="str">
        <f>IFERROR(IF('PREENCHER AQUI'!J233="","",'PREENCHER AQUI'!J233),"")</f>
        <v/>
      </c>
      <c r="P233" s="7" t="str">
        <f t="shared" si="9"/>
        <v/>
      </c>
      <c r="Q233" s="8" t="str">
        <f>IFERROR(IF(Tabela4[[#This Row],[VALOR]]="","",IF(Tabela1[[#This Row],[ORIENTACAO]]="Anular",'PREENCHER AQUI'!K233*-1*100,'PREENCHER AQUI'!K233*100)),"")</f>
        <v/>
      </c>
      <c r="T233" s="7" t="str">
        <f>IFERROR(IF('PREENCHER AQUI'!L233="","999",LEFT('PREENCHER AQUI'!L233,1)),"")</f>
        <v>999</v>
      </c>
      <c r="V233" s="19"/>
      <c r="W233" s="1" t="str">
        <f>IFERROR(VLOOKUP(Tabela1[[#This Row],[UO_COD]],qdd!$AT$1:$AU$102,2,FALSE),"")</f>
        <v/>
      </c>
      <c r="X233" s="1" t="str">
        <f>CONCATENATE("F",Tabela1[[#This Row],[FONTE_COD]],Tabela1[[#This Row],[IPU_COD]],"G",Tabela1[[#This Row],[GRUPO_COD]],"T",Tabela1[[#This Row],[TIPO]])</f>
        <v>FGT999</v>
      </c>
      <c r="Y2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3" s="19"/>
      <c r="AA233" s="29" t="str">
        <f>IFERROR(VLOOKUP(CONCATENATE("B",Tabela1[[#This Row],[BLOCO]],Tabela1[[#This Row],[UO_COD]]),qdd!$AW$2:$AX$1000,2,FALSE),"")</f>
        <v/>
      </c>
      <c r="AB233" s="30" t="str">
        <f>IFERROR(Tabela1[[#This Row],[VALOR]]/100,"")</f>
        <v/>
      </c>
      <c r="AC233" s="7" t="str" cm="1">
        <f t="array" aca="1" ref="AC233" ca="1">IF(Tabela1[[#This Row],[VALOR]]&lt;0,"",IFERROR(SUBSTITUTE(Converter_numero(Tabela1[[#This Row],[VALOR INCISO]]),",",""),""))</f>
        <v/>
      </c>
      <c r="AD233" s="29" t="str">
        <f>IF(Tabela1[[#This Row],[TIPO]]=REGRAS!$W$2,REGRAS!$X$2,IF(Tabela1[[#This Row],[TIPO]]=REGRAS!$W$4,REGRAS!$X$4,""))</f>
        <v/>
      </c>
      <c r="AE233" s="29" t="e">
        <f>VLOOKUP(Tabela1[[#This Row],[FONTE_COD]],REGRAS!$O$2:$P$69,2,FALSE)</f>
        <v>#N/A</v>
      </c>
      <c r="AF2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4" spans="1:32" ht="18.75" customHeight="1">
      <c r="A234" s="2" t="str">
        <f>IFERROR(IF('PREENCHER AQUI'!A234="","",'PREENCHER AQUI'!A234),"")</f>
        <v/>
      </c>
      <c r="B234" s="1" t="str">
        <f>IFERROR(IF('PREENCHER AQUI'!B234="","",PROPER('PREENCHER AQUI'!B234)),"")</f>
        <v/>
      </c>
      <c r="C234" s="1" t="str">
        <f>IFERROR(IF('PREENCHER AQUI'!C234="","",'PREENCHER AQUI'!C234),"")</f>
        <v/>
      </c>
      <c r="D234" s="2" t="str">
        <f>IFERROR(IF('PREENCHER AQUI'!D234="","",'PREENCHER AQUI'!D234),"")</f>
        <v/>
      </c>
      <c r="E234" s="2" t="str">
        <f>IFERROR(VLOOKUP(CONCATENATE(C234,D234),qdd!$C$2:$F$1000,2,FALSE),"")</f>
        <v/>
      </c>
      <c r="F234" s="2" t="str">
        <f>IFERROR(VLOOKUP(CONCATENATE(C234,D234),qdd!$C$2:$F$1000,3,FALSE),"")</f>
        <v/>
      </c>
      <c r="G234" s="2" t="str">
        <f>IFERROR(VLOOKUP(CONCATENATE(C234,D234),qdd!$C$2:$F$1000,4,FALSE),"")</f>
        <v/>
      </c>
      <c r="H234" s="6" t="str">
        <f t="shared" si="8"/>
        <v/>
      </c>
      <c r="I2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4" s="2" t="str">
        <f>IFERROR(IF('PREENCHER AQUI'!E234="","",'PREENCHER AQUI'!E234),"")</f>
        <v/>
      </c>
      <c r="K234" s="2" t="str">
        <f>IFERROR(IF('PREENCHER AQUI'!F234="","",'PREENCHER AQUI'!F234),"")</f>
        <v/>
      </c>
      <c r="L234" s="2" t="str">
        <f>IF(Tabela1[[#This Row],[IPU_COD]]=9,"91",IF(Tabela1[[#This Row],[ACAO_COD]]="","",VLOOKUP(CONCATENATE("G",J234,"M",K234),qdd!$BC$2:$BD$46,2,FALSE)))</f>
        <v/>
      </c>
      <c r="M234" s="2" t="str">
        <f>TEXT(IFERROR(VLOOKUP(CONCATENATE(C234,D234),qdd!$C$2:$G$1000,5,FALSE),""),0)</f>
        <v/>
      </c>
      <c r="N234" s="2" t="str">
        <f>IFERROR(IF('PREENCHER AQUI'!I234="","",'PREENCHER AQUI'!I234),"")</f>
        <v/>
      </c>
      <c r="O234" s="2" t="str">
        <f>IFERROR(IF('PREENCHER AQUI'!J234="","",'PREENCHER AQUI'!J234),"")</f>
        <v/>
      </c>
      <c r="P234" s="7" t="str">
        <f t="shared" si="9"/>
        <v/>
      </c>
      <c r="Q234" s="8" t="str">
        <f>IFERROR(IF(Tabela4[[#This Row],[VALOR]]="","",IF(Tabela1[[#This Row],[ORIENTACAO]]="Anular",'PREENCHER AQUI'!K234*-1*100,'PREENCHER AQUI'!K234*100)),"")</f>
        <v/>
      </c>
      <c r="T234" s="7" t="str">
        <f>IFERROR(IF('PREENCHER AQUI'!L234="","999",LEFT('PREENCHER AQUI'!L234,1)),"")</f>
        <v>999</v>
      </c>
      <c r="V234" s="19"/>
      <c r="W234" s="1" t="str">
        <f>IFERROR(VLOOKUP(Tabela1[[#This Row],[UO_COD]],qdd!$AT$1:$AU$102,2,FALSE),"")</f>
        <v/>
      </c>
      <c r="X234" s="1" t="str">
        <f>CONCATENATE("F",Tabela1[[#This Row],[FONTE_COD]],Tabela1[[#This Row],[IPU_COD]],"G",Tabela1[[#This Row],[GRUPO_COD]],"T",Tabela1[[#This Row],[TIPO]])</f>
        <v>FGT999</v>
      </c>
      <c r="Y2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4" s="19"/>
      <c r="AA234" s="29" t="str">
        <f>IFERROR(VLOOKUP(CONCATENATE("B",Tabela1[[#This Row],[BLOCO]],Tabela1[[#This Row],[UO_COD]]),qdd!$AW$2:$AX$1000,2,FALSE),"")</f>
        <v/>
      </c>
      <c r="AB234" s="30" t="str">
        <f>IFERROR(Tabela1[[#This Row],[VALOR]]/100,"")</f>
        <v/>
      </c>
      <c r="AC234" s="7" t="str" cm="1">
        <f t="array" aca="1" ref="AC234" ca="1">IF(Tabela1[[#This Row],[VALOR]]&lt;0,"",IFERROR(SUBSTITUTE(Converter_numero(Tabela1[[#This Row],[VALOR INCISO]]),",",""),""))</f>
        <v/>
      </c>
      <c r="AD234" s="29" t="str">
        <f>IF(Tabela1[[#This Row],[TIPO]]=REGRAS!$W$2,REGRAS!$X$2,IF(Tabela1[[#This Row],[TIPO]]=REGRAS!$W$4,REGRAS!$X$4,""))</f>
        <v/>
      </c>
      <c r="AE234" s="29" t="e">
        <f>VLOOKUP(Tabela1[[#This Row],[FONTE_COD]],REGRAS!$O$2:$P$69,2,FALSE)</f>
        <v>#N/A</v>
      </c>
      <c r="AF2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5" spans="1:32" ht="18.75" customHeight="1">
      <c r="A235" s="2" t="str">
        <f>IFERROR(IF('PREENCHER AQUI'!A235="","",'PREENCHER AQUI'!A235),"")</f>
        <v/>
      </c>
      <c r="B235" s="1" t="str">
        <f>IFERROR(IF('PREENCHER AQUI'!B235="","",PROPER('PREENCHER AQUI'!B235)),"")</f>
        <v/>
      </c>
      <c r="C235" s="1" t="str">
        <f>IFERROR(IF('PREENCHER AQUI'!C235="","",'PREENCHER AQUI'!C235),"")</f>
        <v/>
      </c>
      <c r="D235" s="2" t="str">
        <f>IFERROR(IF('PREENCHER AQUI'!D235="","",'PREENCHER AQUI'!D235),"")</f>
        <v/>
      </c>
      <c r="E235" s="2" t="str">
        <f>IFERROR(VLOOKUP(CONCATENATE(C235,D235),qdd!$C$2:$F$1000,2,FALSE),"")</f>
        <v/>
      </c>
      <c r="F235" s="2" t="str">
        <f>IFERROR(VLOOKUP(CONCATENATE(C235,D235),qdd!$C$2:$F$1000,3,FALSE),"")</f>
        <v/>
      </c>
      <c r="G235" s="2" t="str">
        <f>IFERROR(VLOOKUP(CONCATENATE(C235,D235),qdd!$C$2:$F$1000,4,FALSE),"")</f>
        <v/>
      </c>
      <c r="H235" s="6" t="str">
        <f t="shared" si="8"/>
        <v/>
      </c>
      <c r="I2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5" s="2" t="str">
        <f>IFERROR(IF('PREENCHER AQUI'!E235="","",'PREENCHER AQUI'!E235),"")</f>
        <v/>
      </c>
      <c r="K235" s="2" t="str">
        <f>IFERROR(IF('PREENCHER AQUI'!F235="","",'PREENCHER AQUI'!F235),"")</f>
        <v/>
      </c>
      <c r="L235" s="2" t="str">
        <f>IF(Tabela1[[#This Row],[IPU_COD]]=9,"91",IF(Tabela1[[#This Row],[ACAO_COD]]="","",VLOOKUP(CONCATENATE("G",J235,"M",K235),qdd!$BC$2:$BD$46,2,FALSE)))</f>
        <v/>
      </c>
      <c r="M235" s="2" t="str">
        <f>TEXT(IFERROR(VLOOKUP(CONCATENATE(C235,D235),qdd!$C$2:$G$1000,5,FALSE),""),0)</f>
        <v/>
      </c>
      <c r="N235" s="2" t="str">
        <f>IFERROR(IF('PREENCHER AQUI'!I235="","",'PREENCHER AQUI'!I235),"")</f>
        <v/>
      </c>
      <c r="O235" s="2" t="str">
        <f>IFERROR(IF('PREENCHER AQUI'!J235="","",'PREENCHER AQUI'!J235),"")</f>
        <v/>
      </c>
      <c r="P235" s="7" t="str">
        <f t="shared" si="9"/>
        <v/>
      </c>
      <c r="Q235" s="8" t="str">
        <f>IFERROR(IF(Tabela4[[#This Row],[VALOR]]="","",IF(Tabela1[[#This Row],[ORIENTACAO]]="Anular",'PREENCHER AQUI'!K235*-1*100,'PREENCHER AQUI'!K235*100)),"")</f>
        <v/>
      </c>
      <c r="T235" s="7" t="str">
        <f>IFERROR(IF('PREENCHER AQUI'!L235="","999",LEFT('PREENCHER AQUI'!L235,1)),"")</f>
        <v>999</v>
      </c>
      <c r="V235" s="19"/>
      <c r="W235" s="20" t="str">
        <f>IFERROR(VLOOKUP(Tabela1[[#This Row],[UO_COD]],qdd!$AT$1:$AU$102,2,FALSE),"")</f>
        <v/>
      </c>
      <c r="X235" s="20" t="str">
        <f>CONCATENATE("F",Tabela1[[#This Row],[FONTE_COD]],Tabela1[[#This Row],[IPU_COD]],"G",Tabela1[[#This Row],[GRUPO_COD]],"T",Tabela1[[#This Row],[TIPO]])</f>
        <v>FGT999</v>
      </c>
      <c r="Y2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5" s="19"/>
      <c r="AA235" s="29" t="str">
        <f>IFERROR(VLOOKUP(CONCATENATE("B",Tabela1[[#This Row],[BLOCO]],Tabela1[[#This Row],[UO_COD]]),qdd!$AW$2:$AX$1000,2,FALSE),"")</f>
        <v/>
      </c>
      <c r="AB235" s="30" t="str">
        <f>IFERROR(Tabela1[[#This Row],[VALOR]]/100,"")</f>
        <v/>
      </c>
      <c r="AC235" s="7" t="str" cm="1">
        <f t="array" aca="1" ref="AC235" ca="1">IF(Tabela1[[#This Row],[VALOR]]&lt;0,"",IFERROR(SUBSTITUTE(Converter_numero(Tabela1[[#This Row],[VALOR INCISO]]),",",""),""))</f>
        <v/>
      </c>
      <c r="AD235" s="29" t="str">
        <f>IF(Tabela1[[#This Row],[TIPO]]=REGRAS!$W$2,REGRAS!$X$2,IF(Tabela1[[#This Row],[TIPO]]=REGRAS!$W$4,REGRAS!$X$4,""))</f>
        <v/>
      </c>
      <c r="AE235" s="29" t="e">
        <f>VLOOKUP(Tabela1[[#This Row],[FONTE_COD]],REGRAS!$O$2:$P$69,2,FALSE)</f>
        <v>#N/A</v>
      </c>
      <c r="AF2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6" spans="1:32" ht="18.75" customHeight="1">
      <c r="A236" s="2" t="str">
        <f>IFERROR(IF('PREENCHER AQUI'!A236="","",'PREENCHER AQUI'!A236),"")</f>
        <v/>
      </c>
      <c r="B236" s="1" t="str">
        <f>IFERROR(IF('PREENCHER AQUI'!B236="","",PROPER('PREENCHER AQUI'!B236)),"")</f>
        <v/>
      </c>
      <c r="C236" s="1" t="str">
        <f>IFERROR(IF('PREENCHER AQUI'!C236="","",'PREENCHER AQUI'!C236),"")</f>
        <v/>
      </c>
      <c r="D236" s="2" t="str">
        <f>IFERROR(IF('PREENCHER AQUI'!D236="","",'PREENCHER AQUI'!D236),"")</f>
        <v/>
      </c>
      <c r="E236" s="2" t="str">
        <f>IFERROR(VLOOKUP(CONCATENATE(C236,D236),qdd!$C$2:$F$1000,2,FALSE),"")</f>
        <v/>
      </c>
      <c r="F236" s="2" t="str">
        <f>IFERROR(VLOOKUP(CONCATENATE(C236,D236),qdd!$C$2:$F$1000,3,FALSE),"")</f>
        <v/>
      </c>
      <c r="G236" s="2" t="str">
        <f>IFERROR(VLOOKUP(CONCATENATE(C236,D236),qdd!$C$2:$F$1000,4,FALSE),"")</f>
        <v/>
      </c>
      <c r="H236" s="6" t="str">
        <f t="shared" si="8"/>
        <v/>
      </c>
      <c r="I2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6" s="2" t="str">
        <f>IFERROR(IF('PREENCHER AQUI'!E236="","",'PREENCHER AQUI'!E236),"")</f>
        <v/>
      </c>
      <c r="K236" s="2" t="str">
        <f>IFERROR(IF('PREENCHER AQUI'!F236="","",'PREENCHER AQUI'!F236),"")</f>
        <v/>
      </c>
      <c r="L236" s="2" t="str">
        <f>IF(Tabela1[[#This Row],[IPU_COD]]=9,"91",IF(Tabela1[[#This Row],[ACAO_COD]]="","",VLOOKUP(CONCATENATE("G",J236,"M",K236),qdd!$BC$2:$BD$46,2,FALSE)))</f>
        <v/>
      </c>
      <c r="M236" s="2" t="str">
        <f>TEXT(IFERROR(VLOOKUP(CONCATENATE(C236,D236),qdd!$C$2:$G$1000,5,FALSE),""),0)</f>
        <v/>
      </c>
      <c r="N236" s="2" t="str">
        <f>IFERROR(IF('PREENCHER AQUI'!I236="","",'PREENCHER AQUI'!I236),"")</f>
        <v/>
      </c>
      <c r="O236" s="2" t="str">
        <f>IFERROR(IF('PREENCHER AQUI'!J236="","",'PREENCHER AQUI'!J236),"")</f>
        <v/>
      </c>
      <c r="P236" s="7" t="str">
        <f t="shared" si="9"/>
        <v/>
      </c>
      <c r="Q236" s="8" t="str">
        <f>IFERROR(IF(Tabela4[[#This Row],[VALOR]]="","",IF(Tabela1[[#This Row],[ORIENTACAO]]="Anular",'PREENCHER AQUI'!K236*-1*100,'PREENCHER AQUI'!K236*100)),"")</f>
        <v/>
      </c>
      <c r="T236" s="7" t="str">
        <f>IFERROR(IF('PREENCHER AQUI'!L236="","999",LEFT('PREENCHER AQUI'!L236,1)),"")</f>
        <v>999</v>
      </c>
      <c r="V236" s="19"/>
      <c r="W236" s="1" t="str">
        <f>IFERROR(VLOOKUP(Tabela1[[#This Row],[UO_COD]],qdd!$AT$1:$AU$102,2,FALSE),"")</f>
        <v/>
      </c>
      <c r="X236" s="1" t="str">
        <f>CONCATENATE("F",Tabela1[[#This Row],[FONTE_COD]],Tabela1[[#This Row],[IPU_COD]],"G",Tabela1[[#This Row],[GRUPO_COD]],"T",Tabela1[[#This Row],[TIPO]])</f>
        <v>FGT999</v>
      </c>
      <c r="Y2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6" s="19"/>
      <c r="AA236" s="29" t="str">
        <f>IFERROR(VLOOKUP(CONCATENATE("B",Tabela1[[#This Row],[BLOCO]],Tabela1[[#This Row],[UO_COD]]),qdd!$AW$2:$AX$1000,2,FALSE),"")</f>
        <v/>
      </c>
      <c r="AB236" s="30" t="str">
        <f>IFERROR(Tabela1[[#This Row],[VALOR]]/100,"")</f>
        <v/>
      </c>
      <c r="AC236" s="7" t="str" cm="1">
        <f t="array" aca="1" ref="AC236" ca="1">IF(Tabela1[[#This Row],[VALOR]]&lt;0,"",IFERROR(SUBSTITUTE(Converter_numero(Tabela1[[#This Row],[VALOR INCISO]]),",",""),""))</f>
        <v/>
      </c>
      <c r="AD236" s="29" t="str">
        <f>IF(Tabela1[[#This Row],[TIPO]]=REGRAS!$W$2,REGRAS!$X$2,IF(Tabela1[[#This Row],[TIPO]]=REGRAS!$W$4,REGRAS!$X$4,""))</f>
        <v/>
      </c>
      <c r="AE236" s="29" t="e">
        <f>VLOOKUP(Tabela1[[#This Row],[FONTE_COD]],REGRAS!$O$2:$P$69,2,FALSE)</f>
        <v>#N/A</v>
      </c>
      <c r="AF2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7" spans="1:32" ht="18.75" customHeight="1">
      <c r="A237" s="2" t="str">
        <f>IFERROR(IF('PREENCHER AQUI'!A237="","",'PREENCHER AQUI'!A237),"")</f>
        <v/>
      </c>
      <c r="B237" s="1" t="str">
        <f>IFERROR(IF('PREENCHER AQUI'!B237="","",PROPER('PREENCHER AQUI'!B237)),"")</f>
        <v/>
      </c>
      <c r="C237" s="1" t="str">
        <f>IFERROR(IF('PREENCHER AQUI'!C237="","",'PREENCHER AQUI'!C237),"")</f>
        <v/>
      </c>
      <c r="D237" s="2" t="str">
        <f>IFERROR(IF('PREENCHER AQUI'!D237="","",'PREENCHER AQUI'!D237),"")</f>
        <v/>
      </c>
      <c r="E237" s="2" t="str">
        <f>IFERROR(VLOOKUP(CONCATENATE(C237,D237),qdd!$C$2:$F$1000,2,FALSE),"")</f>
        <v/>
      </c>
      <c r="F237" s="2" t="str">
        <f>IFERROR(VLOOKUP(CONCATENATE(C237,D237),qdd!$C$2:$F$1000,3,FALSE),"")</f>
        <v/>
      </c>
      <c r="G237" s="2" t="str">
        <f>IFERROR(VLOOKUP(CONCATENATE(C237,D237),qdd!$C$2:$F$1000,4,FALSE),"")</f>
        <v/>
      </c>
      <c r="H237" s="6" t="str">
        <f t="shared" si="8"/>
        <v/>
      </c>
      <c r="I2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7" s="2" t="str">
        <f>IFERROR(IF('PREENCHER AQUI'!E237="","",'PREENCHER AQUI'!E237),"")</f>
        <v/>
      </c>
      <c r="K237" s="2" t="str">
        <f>IFERROR(IF('PREENCHER AQUI'!F237="","",'PREENCHER AQUI'!F237),"")</f>
        <v/>
      </c>
      <c r="L237" s="2" t="str">
        <f>IF(Tabela1[[#This Row],[IPU_COD]]=9,"91",IF(Tabela1[[#This Row],[ACAO_COD]]="","",VLOOKUP(CONCATENATE("G",J237,"M",K237),qdd!$BC$2:$BD$46,2,FALSE)))</f>
        <v/>
      </c>
      <c r="M237" s="2" t="str">
        <f>TEXT(IFERROR(VLOOKUP(CONCATENATE(C237,D237),qdd!$C$2:$G$1000,5,FALSE),""),0)</f>
        <v/>
      </c>
      <c r="N237" s="2" t="str">
        <f>IFERROR(IF('PREENCHER AQUI'!I237="","",'PREENCHER AQUI'!I237),"")</f>
        <v/>
      </c>
      <c r="O237" s="2" t="str">
        <f>IFERROR(IF('PREENCHER AQUI'!J237="","",'PREENCHER AQUI'!J237),"")</f>
        <v/>
      </c>
      <c r="P237" s="7" t="str">
        <f t="shared" si="9"/>
        <v/>
      </c>
      <c r="Q237" s="8" t="str">
        <f>IFERROR(IF(Tabela4[[#This Row],[VALOR]]="","",IF(Tabela1[[#This Row],[ORIENTACAO]]="Anular",'PREENCHER AQUI'!K237*-1*100,'PREENCHER AQUI'!K237*100)),"")</f>
        <v/>
      </c>
      <c r="T237" s="7" t="str">
        <f>IFERROR(IF('PREENCHER AQUI'!L237="","999",LEFT('PREENCHER AQUI'!L237,1)),"")</f>
        <v>999</v>
      </c>
      <c r="W237" s="1" t="str">
        <f>IFERROR(VLOOKUP(Tabela1[[#This Row],[UO_COD]],qdd!$AT$1:$AU$102,2,FALSE),"")</f>
        <v/>
      </c>
      <c r="X237" s="1" t="str">
        <f>CONCATENATE("F",Tabela1[[#This Row],[FONTE_COD]],Tabela1[[#This Row],[IPU_COD]],"G",Tabela1[[#This Row],[GRUPO_COD]],"T",Tabela1[[#This Row],[TIPO]])</f>
        <v>FGT999</v>
      </c>
      <c r="Y2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7" s="19"/>
      <c r="AA237" s="29" t="str">
        <f>IFERROR(VLOOKUP(CONCATENATE("B",Tabela1[[#This Row],[BLOCO]],Tabela1[[#This Row],[UO_COD]]),qdd!$AW$2:$AX$1000,2,FALSE),"")</f>
        <v/>
      </c>
      <c r="AB237" s="30" t="str">
        <f>IFERROR(Tabela1[[#This Row],[VALOR]]/100,"")</f>
        <v/>
      </c>
      <c r="AC237" s="7" t="str" cm="1">
        <f t="array" aca="1" ref="AC237" ca="1">IF(Tabela1[[#This Row],[VALOR]]&lt;0,"",IFERROR(SUBSTITUTE(Converter_numero(Tabela1[[#This Row],[VALOR INCISO]]),",",""),""))</f>
        <v/>
      </c>
      <c r="AD237" s="7" t="str">
        <f>IF(Tabela1[[#This Row],[TIPO]]=REGRAS!$W$2,REGRAS!$X$2,IF(Tabela1[[#This Row],[TIPO]]=REGRAS!$W$4,REGRAS!$X$4,""))</f>
        <v/>
      </c>
      <c r="AE237" s="29" t="e">
        <f>VLOOKUP(Tabela1[[#This Row],[FONTE_COD]],REGRAS!$O$2:$P$69,2,FALSE)</f>
        <v>#N/A</v>
      </c>
      <c r="AF2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8" spans="1:32" ht="18.75" customHeight="1">
      <c r="A238" s="2" t="str">
        <f>IFERROR(IF('PREENCHER AQUI'!A238="","",'PREENCHER AQUI'!A238),"")</f>
        <v/>
      </c>
      <c r="B238" s="1" t="str">
        <f>IFERROR(IF('PREENCHER AQUI'!B238="","",PROPER('PREENCHER AQUI'!B238)),"")</f>
        <v/>
      </c>
      <c r="C238" s="1" t="str">
        <f>IFERROR(IF('PREENCHER AQUI'!C238="","",'PREENCHER AQUI'!C238),"")</f>
        <v/>
      </c>
      <c r="D238" s="2" t="str">
        <f>IFERROR(IF('PREENCHER AQUI'!D238="","",'PREENCHER AQUI'!D238),"")</f>
        <v/>
      </c>
      <c r="E238" s="2" t="str">
        <f>IFERROR(VLOOKUP(CONCATENATE(C238,D238),qdd!$C$2:$F$1000,2,FALSE),"")</f>
        <v/>
      </c>
      <c r="F238" s="2" t="str">
        <f>IFERROR(VLOOKUP(CONCATENATE(C238,D238),qdd!$C$2:$F$1000,3,FALSE),"")</f>
        <v/>
      </c>
      <c r="G238" s="2" t="str">
        <f>IFERROR(VLOOKUP(CONCATENATE(C238,D238),qdd!$C$2:$F$1000,4,FALSE),"")</f>
        <v/>
      </c>
      <c r="H238" s="6" t="str">
        <f t="shared" si="8"/>
        <v/>
      </c>
      <c r="I2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8" s="2" t="str">
        <f>IFERROR(IF('PREENCHER AQUI'!E238="","",'PREENCHER AQUI'!E238),"")</f>
        <v/>
      </c>
      <c r="K238" s="2" t="str">
        <f>IFERROR(IF('PREENCHER AQUI'!F238="","",'PREENCHER AQUI'!F238),"")</f>
        <v/>
      </c>
      <c r="L238" s="2" t="str">
        <f>IF(Tabela1[[#This Row],[IPU_COD]]=9,"91",IF(Tabela1[[#This Row],[ACAO_COD]]="","",VLOOKUP(CONCATENATE("G",J238,"M",K238),qdd!$BC$2:$BD$46,2,FALSE)))</f>
        <v/>
      </c>
      <c r="M238" s="2" t="str">
        <f>TEXT(IFERROR(VLOOKUP(CONCATENATE(C238,D238),qdd!$C$2:$G$1000,5,FALSE),""),0)</f>
        <v/>
      </c>
      <c r="N238" s="2" t="str">
        <f>IFERROR(IF('PREENCHER AQUI'!I238="","",'PREENCHER AQUI'!I238),"")</f>
        <v/>
      </c>
      <c r="O238" s="2" t="str">
        <f>IFERROR(IF('PREENCHER AQUI'!J238="","",'PREENCHER AQUI'!J238),"")</f>
        <v/>
      </c>
      <c r="P238" s="7" t="str">
        <f t="shared" si="9"/>
        <v/>
      </c>
      <c r="Q238" s="8" t="str">
        <f>IFERROR(IF(Tabela4[[#This Row],[VALOR]]="","",IF(Tabela1[[#This Row],[ORIENTACAO]]="Anular",'PREENCHER AQUI'!K238*-1*100,'PREENCHER AQUI'!K238*100)),"")</f>
        <v/>
      </c>
      <c r="T238" s="7" t="str">
        <f>IFERROR(IF('PREENCHER AQUI'!L238="","999",LEFT('PREENCHER AQUI'!L238,1)),"")</f>
        <v>999</v>
      </c>
      <c r="V238" s="19"/>
      <c r="W238" s="1" t="str">
        <f>IFERROR(VLOOKUP(Tabela1[[#This Row],[UO_COD]],qdd!$AT$1:$AU$102,2,FALSE),"")</f>
        <v/>
      </c>
      <c r="X238" s="1" t="str">
        <f>CONCATENATE("F",Tabela1[[#This Row],[FONTE_COD]],Tabela1[[#This Row],[IPU_COD]],"G",Tabela1[[#This Row],[GRUPO_COD]],"T",Tabela1[[#This Row],[TIPO]])</f>
        <v>FGT999</v>
      </c>
      <c r="Y2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8" s="19"/>
      <c r="AA238" s="29" t="str">
        <f>IFERROR(VLOOKUP(CONCATENATE("B",Tabela1[[#This Row],[BLOCO]],Tabela1[[#This Row],[UO_COD]]),qdd!$AW$2:$AX$1000,2,FALSE),"")</f>
        <v/>
      </c>
      <c r="AB238" s="30" t="str">
        <f>IFERROR(Tabela1[[#This Row],[VALOR]]/100,"")</f>
        <v/>
      </c>
      <c r="AC238" s="7" t="str" cm="1">
        <f t="array" aca="1" ref="AC238" ca="1">IF(Tabela1[[#This Row],[VALOR]]&lt;0,"",IFERROR(SUBSTITUTE(Converter_numero(Tabela1[[#This Row],[VALOR INCISO]]),",",""),""))</f>
        <v/>
      </c>
      <c r="AD238" s="29" t="str">
        <f>IF(Tabela1[[#This Row],[TIPO]]=REGRAS!$W$2,REGRAS!$X$2,IF(Tabela1[[#This Row],[TIPO]]=REGRAS!$W$4,REGRAS!$X$4,""))</f>
        <v/>
      </c>
      <c r="AE238" s="29" t="e">
        <f>VLOOKUP(Tabela1[[#This Row],[FONTE_COD]],REGRAS!$O$2:$P$69,2,FALSE)</f>
        <v>#N/A</v>
      </c>
      <c r="AF2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9" spans="1:32" ht="18.75" customHeight="1">
      <c r="A239" s="2" t="str">
        <f>IFERROR(IF('PREENCHER AQUI'!A239="","",'PREENCHER AQUI'!A239),"")</f>
        <v/>
      </c>
      <c r="B239" s="1" t="str">
        <f>IFERROR(IF('PREENCHER AQUI'!B239="","",PROPER('PREENCHER AQUI'!B239)),"")</f>
        <v/>
      </c>
      <c r="C239" s="1" t="str">
        <f>IFERROR(IF('PREENCHER AQUI'!C239="","",'PREENCHER AQUI'!C239),"")</f>
        <v/>
      </c>
      <c r="D239" s="2" t="str">
        <f>IFERROR(IF('PREENCHER AQUI'!D239="","",'PREENCHER AQUI'!D239),"")</f>
        <v/>
      </c>
      <c r="E239" s="2" t="str">
        <f>IFERROR(VLOOKUP(CONCATENATE(C239,D239),qdd!$C$2:$F$1000,2,FALSE),"")</f>
        <v/>
      </c>
      <c r="F239" s="2" t="str">
        <f>IFERROR(VLOOKUP(CONCATENATE(C239,D239),qdd!$C$2:$F$1000,3,FALSE),"")</f>
        <v/>
      </c>
      <c r="G239" s="2" t="str">
        <f>IFERROR(VLOOKUP(CONCATENATE(C239,D239),qdd!$C$2:$F$1000,4,FALSE),"")</f>
        <v/>
      </c>
      <c r="H239" s="6" t="str">
        <f t="shared" si="8"/>
        <v/>
      </c>
      <c r="I2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9" s="2" t="str">
        <f>IFERROR(IF('PREENCHER AQUI'!E239="","",'PREENCHER AQUI'!E239),"")</f>
        <v/>
      </c>
      <c r="K239" s="2" t="str">
        <f>IFERROR(IF('PREENCHER AQUI'!F239="","",'PREENCHER AQUI'!F239),"")</f>
        <v/>
      </c>
      <c r="L239" s="2" t="str">
        <f>IF(Tabela1[[#This Row],[IPU_COD]]=9,"91",IF(Tabela1[[#This Row],[ACAO_COD]]="","",VLOOKUP(CONCATENATE("G",J239,"M",K239),qdd!$BC$2:$BD$46,2,FALSE)))</f>
        <v/>
      </c>
      <c r="M239" s="2" t="str">
        <f>TEXT(IFERROR(VLOOKUP(CONCATENATE(C239,D239),qdd!$C$2:$G$1000,5,FALSE),""),0)</f>
        <v/>
      </c>
      <c r="N239" s="2" t="str">
        <f>IFERROR(IF('PREENCHER AQUI'!I239="","",'PREENCHER AQUI'!I239),"")</f>
        <v/>
      </c>
      <c r="O239" s="2" t="str">
        <f>IFERROR(IF('PREENCHER AQUI'!J239="","",'PREENCHER AQUI'!J239),"")</f>
        <v/>
      </c>
      <c r="P239" s="7" t="str">
        <f t="shared" si="9"/>
        <v/>
      </c>
      <c r="Q239" s="8" t="str">
        <f>IFERROR(IF(Tabela4[[#This Row],[VALOR]]="","",IF(Tabela1[[#This Row],[ORIENTACAO]]="Anular",'PREENCHER AQUI'!K239*-1*100,'PREENCHER AQUI'!K239*100)),"")</f>
        <v/>
      </c>
      <c r="T239" s="7" t="str">
        <f>IFERROR(IF('PREENCHER AQUI'!L239="","999",LEFT('PREENCHER AQUI'!L239,1)),"")</f>
        <v>999</v>
      </c>
      <c r="V239" s="19"/>
      <c r="W239" s="1" t="str">
        <f>IFERROR(VLOOKUP(Tabela1[[#This Row],[UO_COD]],qdd!$AT$1:$AU$102,2,FALSE),"")</f>
        <v/>
      </c>
      <c r="X239" s="1" t="str">
        <f>CONCATENATE("F",Tabela1[[#This Row],[FONTE_COD]],Tabela1[[#This Row],[IPU_COD]],"G",Tabela1[[#This Row],[GRUPO_COD]],"T",Tabela1[[#This Row],[TIPO]])</f>
        <v>FGT999</v>
      </c>
      <c r="Y2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9" s="19"/>
      <c r="AA239" s="29" t="str">
        <f>IFERROR(VLOOKUP(CONCATENATE("B",Tabela1[[#This Row],[BLOCO]],Tabela1[[#This Row],[UO_COD]]),qdd!$AW$2:$AX$1000,2,FALSE),"")</f>
        <v/>
      </c>
      <c r="AB239" s="30" t="str">
        <f>IFERROR(Tabela1[[#This Row],[VALOR]]/100,"")</f>
        <v/>
      </c>
      <c r="AC239" s="7" t="str" cm="1">
        <f t="array" aca="1" ref="AC239" ca="1">IF(Tabela1[[#This Row],[VALOR]]&lt;0,"",IFERROR(SUBSTITUTE(Converter_numero(Tabela1[[#This Row],[VALOR INCISO]]),",",""),""))</f>
        <v/>
      </c>
      <c r="AD239" s="29" t="str">
        <f>IF(Tabela1[[#This Row],[TIPO]]=REGRAS!$W$2,REGRAS!$X$2,IF(Tabela1[[#This Row],[TIPO]]=REGRAS!$W$4,REGRAS!$X$4,""))</f>
        <v/>
      </c>
      <c r="AE239" s="29" t="e">
        <f>VLOOKUP(Tabela1[[#This Row],[FONTE_COD]],REGRAS!$O$2:$P$69,2,FALSE)</f>
        <v>#N/A</v>
      </c>
      <c r="AF2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0" spans="1:32" ht="18.75" customHeight="1">
      <c r="A240" s="2" t="str">
        <f>IFERROR(IF('PREENCHER AQUI'!A240="","",'PREENCHER AQUI'!A240),"")</f>
        <v/>
      </c>
      <c r="B240" s="1" t="str">
        <f>IFERROR(IF('PREENCHER AQUI'!B240="","",PROPER('PREENCHER AQUI'!B240)),"")</f>
        <v/>
      </c>
      <c r="C240" s="1" t="str">
        <f>IFERROR(IF('PREENCHER AQUI'!C240="","",'PREENCHER AQUI'!C240),"")</f>
        <v/>
      </c>
      <c r="D240" s="2" t="str">
        <f>IFERROR(IF('PREENCHER AQUI'!D240="","",'PREENCHER AQUI'!D240),"")</f>
        <v/>
      </c>
      <c r="E240" s="2" t="str">
        <f>IFERROR(VLOOKUP(CONCATENATE(C240,D240),qdd!$C$2:$F$1000,2,FALSE),"")</f>
        <v/>
      </c>
      <c r="F240" s="2" t="str">
        <f>IFERROR(VLOOKUP(CONCATENATE(C240,D240),qdd!$C$2:$F$1000,3,FALSE),"")</f>
        <v/>
      </c>
      <c r="G240" s="2" t="str">
        <f>IFERROR(VLOOKUP(CONCATENATE(C240,D240),qdd!$C$2:$F$1000,4,FALSE),"")</f>
        <v/>
      </c>
      <c r="H240" s="6" t="str">
        <f t="shared" si="8"/>
        <v/>
      </c>
      <c r="I2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0" s="2" t="str">
        <f>IFERROR(IF('PREENCHER AQUI'!E240="","",'PREENCHER AQUI'!E240),"")</f>
        <v/>
      </c>
      <c r="K240" s="2" t="str">
        <f>IFERROR(IF('PREENCHER AQUI'!F240="","",'PREENCHER AQUI'!F240),"")</f>
        <v/>
      </c>
      <c r="L240" s="2" t="str">
        <f>IF(Tabela1[[#This Row],[IPU_COD]]=9,"91",IF(Tabela1[[#This Row],[ACAO_COD]]="","",VLOOKUP(CONCATENATE("G",J240,"M",K240),qdd!$BC$2:$BD$46,2,FALSE)))</f>
        <v/>
      </c>
      <c r="M240" s="2" t="str">
        <f>TEXT(IFERROR(VLOOKUP(CONCATENATE(C240,D240),qdd!$C$2:$G$1000,5,FALSE),""),0)</f>
        <v/>
      </c>
      <c r="N240" s="2" t="str">
        <f>IFERROR(IF('PREENCHER AQUI'!I240="","",'PREENCHER AQUI'!I240),"")</f>
        <v/>
      </c>
      <c r="O240" s="2" t="str">
        <f>IFERROR(IF('PREENCHER AQUI'!J240="","",'PREENCHER AQUI'!J240),"")</f>
        <v/>
      </c>
      <c r="P240" s="7" t="str">
        <f t="shared" si="9"/>
        <v/>
      </c>
      <c r="Q240" s="8" t="str">
        <f>IFERROR(IF(Tabela4[[#This Row],[VALOR]]="","",IF(Tabela1[[#This Row],[ORIENTACAO]]="Anular",'PREENCHER AQUI'!K240*-1*100,'PREENCHER AQUI'!K240*100)),"")</f>
        <v/>
      </c>
      <c r="T240" s="7" t="str">
        <f>IFERROR(IF('PREENCHER AQUI'!L240="","999",LEFT('PREENCHER AQUI'!L240,1)),"")</f>
        <v>999</v>
      </c>
      <c r="V240" s="19"/>
      <c r="W240" s="20" t="str">
        <f>IFERROR(VLOOKUP(Tabela1[[#This Row],[UO_COD]],qdd!$AT$1:$AU$102,2,FALSE),"")</f>
        <v/>
      </c>
      <c r="X240" s="20" t="str">
        <f>CONCATENATE("F",Tabela1[[#This Row],[FONTE_COD]],Tabela1[[#This Row],[IPU_COD]],"G",Tabela1[[#This Row],[GRUPO_COD]],"T",Tabela1[[#This Row],[TIPO]])</f>
        <v>FGT999</v>
      </c>
      <c r="Y2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0" s="19"/>
      <c r="AA240" s="29" t="str">
        <f>IFERROR(VLOOKUP(CONCATENATE("B",Tabela1[[#This Row],[BLOCO]],Tabela1[[#This Row],[UO_COD]]),qdd!$AW$2:$AX$1000,2,FALSE),"")</f>
        <v/>
      </c>
      <c r="AB240" s="30" t="str">
        <f>IFERROR(Tabela1[[#This Row],[VALOR]]/100,"")</f>
        <v/>
      </c>
      <c r="AC240" s="7" t="str" cm="1">
        <f t="array" aca="1" ref="AC240" ca="1">IF(Tabela1[[#This Row],[VALOR]]&lt;0,"",IFERROR(SUBSTITUTE(Converter_numero(Tabela1[[#This Row],[VALOR INCISO]]),",",""),""))</f>
        <v/>
      </c>
      <c r="AD240" s="29" t="str">
        <f>IF(Tabela1[[#This Row],[TIPO]]=REGRAS!$W$2,REGRAS!$X$2,IF(Tabela1[[#This Row],[TIPO]]=REGRAS!$W$4,REGRAS!$X$4,""))</f>
        <v/>
      </c>
      <c r="AE240" s="29" t="e">
        <f>VLOOKUP(Tabela1[[#This Row],[FONTE_COD]],REGRAS!$O$2:$P$69,2,FALSE)</f>
        <v>#N/A</v>
      </c>
      <c r="AF2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1" spans="1:32" ht="18.75" customHeight="1">
      <c r="A241" s="2" t="str">
        <f>IFERROR(IF('PREENCHER AQUI'!A241="","",'PREENCHER AQUI'!A241),"")</f>
        <v/>
      </c>
      <c r="B241" s="1" t="str">
        <f>IFERROR(IF('PREENCHER AQUI'!B241="","",PROPER('PREENCHER AQUI'!B241)),"")</f>
        <v/>
      </c>
      <c r="C241" s="1" t="str">
        <f>IFERROR(IF('PREENCHER AQUI'!C241="","",'PREENCHER AQUI'!C241),"")</f>
        <v/>
      </c>
      <c r="D241" s="2" t="str">
        <f>IFERROR(IF('PREENCHER AQUI'!D241="","",'PREENCHER AQUI'!D241),"")</f>
        <v/>
      </c>
      <c r="E241" s="2" t="str">
        <f>IFERROR(VLOOKUP(CONCATENATE(C241,D241),qdd!$C$2:$F$1000,2,FALSE),"")</f>
        <v/>
      </c>
      <c r="F241" s="2" t="str">
        <f>IFERROR(VLOOKUP(CONCATENATE(C241,D241),qdd!$C$2:$F$1000,3,FALSE),"")</f>
        <v/>
      </c>
      <c r="G241" s="2" t="str">
        <f>IFERROR(VLOOKUP(CONCATENATE(C241,D241),qdd!$C$2:$F$1000,4,FALSE),"")</f>
        <v/>
      </c>
      <c r="H241" s="6" t="str">
        <f t="shared" si="8"/>
        <v/>
      </c>
      <c r="I2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1" s="2" t="str">
        <f>IFERROR(IF('PREENCHER AQUI'!E241="","",'PREENCHER AQUI'!E241),"")</f>
        <v/>
      </c>
      <c r="K241" s="2" t="str">
        <f>IFERROR(IF('PREENCHER AQUI'!F241="","",'PREENCHER AQUI'!F241),"")</f>
        <v/>
      </c>
      <c r="L241" s="2" t="str">
        <f>IF(Tabela1[[#This Row],[IPU_COD]]=9,"91",IF(Tabela1[[#This Row],[ACAO_COD]]="","",VLOOKUP(CONCATENATE("G",J241,"M",K241),qdd!$BC$2:$BD$46,2,FALSE)))</f>
        <v/>
      </c>
      <c r="M241" s="2" t="str">
        <f>TEXT(IFERROR(VLOOKUP(CONCATENATE(C241,D241),qdd!$C$2:$G$1000,5,FALSE),""),0)</f>
        <v/>
      </c>
      <c r="N241" s="2" t="str">
        <f>IFERROR(IF('PREENCHER AQUI'!I241="","",'PREENCHER AQUI'!I241),"")</f>
        <v/>
      </c>
      <c r="O241" s="2" t="str">
        <f>IFERROR(IF('PREENCHER AQUI'!J241="","",'PREENCHER AQUI'!J241),"")</f>
        <v/>
      </c>
      <c r="P241" s="7" t="str">
        <f t="shared" si="9"/>
        <v/>
      </c>
      <c r="Q241" s="8" t="str">
        <f>IFERROR(IF(Tabela4[[#This Row],[VALOR]]="","",IF(Tabela1[[#This Row],[ORIENTACAO]]="Anular",'PREENCHER AQUI'!K241*-1*100,'PREENCHER AQUI'!K241*100)),"")</f>
        <v/>
      </c>
      <c r="T241" s="7" t="str">
        <f>IFERROR(IF('PREENCHER AQUI'!L241="","999",LEFT('PREENCHER AQUI'!L241,1)),"")</f>
        <v>999</v>
      </c>
      <c r="V241" s="19"/>
      <c r="W241" s="1" t="str">
        <f>IFERROR(VLOOKUP(Tabela1[[#This Row],[UO_COD]],qdd!$AT$1:$AU$102,2,FALSE),"")</f>
        <v/>
      </c>
      <c r="X241" s="1" t="str">
        <f>CONCATENATE("F",Tabela1[[#This Row],[FONTE_COD]],Tabela1[[#This Row],[IPU_COD]],"G",Tabela1[[#This Row],[GRUPO_COD]],"T",Tabela1[[#This Row],[TIPO]])</f>
        <v>FGT999</v>
      </c>
      <c r="Y2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1" s="19"/>
      <c r="AA241" s="29" t="str">
        <f>IFERROR(VLOOKUP(CONCATENATE("B",Tabela1[[#This Row],[BLOCO]],Tabela1[[#This Row],[UO_COD]]),qdd!$AW$2:$AX$1000,2,FALSE),"")</f>
        <v/>
      </c>
      <c r="AB241" s="30" t="str">
        <f>IFERROR(Tabela1[[#This Row],[VALOR]]/100,"")</f>
        <v/>
      </c>
      <c r="AC241" s="7" t="str" cm="1">
        <f t="array" aca="1" ref="AC241" ca="1">IF(Tabela1[[#This Row],[VALOR]]&lt;0,"",IFERROR(SUBSTITUTE(Converter_numero(Tabela1[[#This Row],[VALOR INCISO]]),",",""),""))</f>
        <v/>
      </c>
      <c r="AD241" s="29" t="str">
        <f>IF(Tabela1[[#This Row],[TIPO]]=REGRAS!$W$2,REGRAS!$X$2,IF(Tabela1[[#This Row],[TIPO]]=REGRAS!$W$4,REGRAS!$X$4,""))</f>
        <v/>
      </c>
      <c r="AE241" s="29" t="e">
        <f>VLOOKUP(Tabela1[[#This Row],[FONTE_COD]],REGRAS!$O$2:$P$69,2,FALSE)</f>
        <v>#N/A</v>
      </c>
      <c r="AF2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2" spans="1:32" ht="18.75" customHeight="1">
      <c r="A242" s="2" t="str">
        <f>IFERROR(IF('PREENCHER AQUI'!A242="","",'PREENCHER AQUI'!A242),"")</f>
        <v/>
      </c>
      <c r="B242" s="1" t="str">
        <f>IFERROR(IF('PREENCHER AQUI'!B242="","",PROPER('PREENCHER AQUI'!B242)),"")</f>
        <v/>
      </c>
      <c r="C242" s="1" t="str">
        <f>IFERROR(IF('PREENCHER AQUI'!C242="","",'PREENCHER AQUI'!C242),"")</f>
        <v/>
      </c>
      <c r="D242" s="2" t="str">
        <f>IFERROR(IF('PREENCHER AQUI'!D242="","",'PREENCHER AQUI'!D242),"")</f>
        <v/>
      </c>
      <c r="E242" s="2" t="str">
        <f>IFERROR(VLOOKUP(CONCATENATE(C242,D242),qdd!$C$2:$F$1000,2,FALSE),"")</f>
        <v/>
      </c>
      <c r="F242" s="2" t="str">
        <f>IFERROR(VLOOKUP(CONCATENATE(C242,D242),qdd!$C$2:$F$1000,3,FALSE),"")</f>
        <v/>
      </c>
      <c r="G242" s="2" t="str">
        <f>IFERROR(VLOOKUP(CONCATENATE(C242,D242),qdd!$C$2:$F$1000,4,FALSE),"")</f>
        <v/>
      </c>
      <c r="H242" s="6" t="str">
        <f t="shared" si="8"/>
        <v/>
      </c>
      <c r="I2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2" s="2" t="str">
        <f>IFERROR(IF('PREENCHER AQUI'!E242="","",'PREENCHER AQUI'!E242),"")</f>
        <v/>
      </c>
      <c r="K242" s="2" t="str">
        <f>IFERROR(IF('PREENCHER AQUI'!F242="","",'PREENCHER AQUI'!F242),"")</f>
        <v/>
      </c>
      <c r="L242" s="2" t="str">
        <f>IF(Tabela1[[#This Row],[IPU_COD]]=9,"91",IF(Tabela1[[#This Row],[ACAO_COD]]="","",VLOOKUP(CONCATENATE("G",J242,"M",K242),qdd!$BC$2:$BD$46,2,FALSE)))</f>
        <v/>
      </c>
      <c r="M242" s="2" t="str">
        <f>TEXT(IFERROR(VLOOKUP(CONCATENATE(C242,D242),qdd!$C$2:$G$1000,5,FALSE),""),0)</f>
        <v/>
      </c>
      <c r="N242" s="2" t="str">
        <f>IFERROR(IF('PREENCHER AQUI'!I242="","",'PREENCHER AQUI'!I242),"")</f>
        <v/>
      </c>
      <c r="O242" s="2" t="str">
        <f>IFERROR(IF('PREENCHER AQUI'!J242="","",'PREENCHER AQUI'!J242),"")</f>
        <v/>
      </c>
      <c r="P242" s="7" t="str">
        <f t="shared" si="9"/>
        <v/>
      </c>
      <c r="Q242" s="8" t="str">
        <f>IFERROR(IF(Tabela4[[#This Row],[VALOR]]="","",IF(Tabela1[[#This Row],[ORIENTACAO]]="Anular",'PREENCHER AQUI'!K242*-1*100,'PREENCHER AQUI'!K242*100)),"")</f>
        <v/>
      </c>
      <c r="T242" s="7" t="str">
        <f>IFERROR(IF('PREENCHER AQUI'!L242="","999",LEFT('PREENCHER AQUI'!L242,1)),"")</f>
        <v>999</v>
      </c>
      <c r="W242" s="1" t="str">
        <f>IFERROR(VLOOKUP(Tabela1[[#This Row],[UO_COD]],qdd!$AT$1:$AU$102,2,FALSE),"")</f>
        <v/>
      </c>
      <c r="X242" s="1" t="str">
        <f>CONCATENATE("F",Tabela1[[#This Row],[FONTE_COD]],Tabela1[[#This Row],[IPU_COD]],"G",Tabela1[[#This Row],[GRUPO_COD]],"T",Tabela1[[#This Row],[TIPO]])</f>
        <v>FGT999</v>
      </c>
      <c r="Y2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2" s="19"/>
      <c r="AA242" s="29" t="str">
        <f>IFERROR(VLOOKUP(CONCATENATE("B",Tabela1[[#This Row],[BLOCO]],Tabela1[[#This Row],[UO_COD]]),qdd!$AW$2:$AX$1000,2,FALSE),"")</f>
        <v/>
      </c>
      <c r="AB242" s="30" t="str">
        <f>IFERROR(Tabela1[[#This Row],[VALOR]]/100,"")</f>
        <v/>
      </c>
      <c r="AC242" s="7" t="str" cm="1">
        <f t="array" aca="1" ref="AC242" ca="1">IF(Tabela1[[#This Row],[VALOR]]&lt;0,"",IFERROR(SUBSTITUTE(Converter_numero(Tabela1[[#This Row],[VALOR INCISO]]),",",""),""))</f>
        <v/>
      </c>
      <c r="AD242" s="7" t="str">
        <f>IF(Tabela1[[#This Row],[TIPO]]=REGRAS!$W$2,REGRAS!$X$2,IF(Tabela1[[#This Row],[TIPO]]=REGRAS!$W$4,REGRAS!$X$4,""))</f>
        <v/>
      </c>
      <c r="AE242" s="29" t="e">
        <f>VLOOKUP(Tabela1[[#This Row],[FONTE_COD]],REGRAS!$O$2:$P$69,2,FALSE)</f>
        <v>#N/A</v>
      </c>
      <c r="AF2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3" spans="1:32" ht="18.75" customHeight="1">
      <c r="A243" s="2" t="str">
        <f>IFERROR(IF('PREENCHER AQUI'!A243="","",'PREENCHER AQUI'!A243),"")</f>
        <v/>
      </c>
      <c r="B243" s="1" t="str">
        <f>IFERROR(IF('PREENCHER AQUI'!B243="","",PROPER('PREENCHER AQUI'!B243)),"")</f>
        <v/>
      </c>
      <c r="C243" s="1" t="str">
        <f>IFERROR(IF('PREENCHER AQUI'!C243="","",'PREENCHER AQUI'!C243),"")</f>
        <v/>
      </c>
      <c r="D243" s="2" t="str">
        <f>IFERROR(IF('PREENCHER AQUI'!D243="","",'PREENCHER AQUI'!D243),"")</f>
        <v/>
      </c>
      <c r="E243" s="2" t="str">
        <f>IFERROR(VLOOKUP(CONCATENATE(C243,D243),qdd!$C$2:$F$1000,2,FALSE),"")</f>
        <v/>
      </c>
      <c r="F243" s="2" t="str">
        <f>IFERROR(VLOOKUP(CONCATENATE(C243,D243),qdd!$C$2:$F$1000,3,FALSE),"")</f>
        <v/>
      </c>
      <c r="G243" s="2" t="str">
        <f>IFERROR(VLOOKUP(CONCATENATE(C243,D243),qdd!$C$2:$F$1000,4,FALSE),"")</f>
        <v/>
      </c>
      <c r="H243" s="6" t="str">
        <f t="shared" si="8"/>
        <v/>
      </c>
      <c r="I2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3" s="2" t="str">
        <f>IFERROR(IF('PREENCHER AQUI'!E243="","",'PREENCHER AQUI'!E243),"")</f>
        <v/>
      </c>
      <c r="K243" s="2" t="str">
        <f>IFERROR(IF('PREENCHER AQUI'!F243="","",'PREENCHER AQUI'!F243),"")</f>
        <v/>
      </c>
      <c r="L243" s="2" t="str">
        <f>IF(Tabela1[[#This Row],[IPU_COD]]=9,"91",IF(Tabela1[[#This Row],[ACAO_COD]]="","",VLOOKUP(CONCATENATE("G",J243,"M",K243),qdd!$BC$2:$BD$46,2,FALSE)))</f>
        <v/>
      </c>
      <c r="M243" s="2" t="str">
        <f>TEXT(IFERROR(VLOOKUP(CONCATENATE(C243,D243),qdd!$C$2:$G$1000,5,FALSE),""),0)</f>
        <v/>
      </c>
      <c r="N243" s="2" t="str">
        <f>IFERROR(IF('PREENCHER AQUI'!I243="","",'PREENCHER AQUI'!I243),"")</f>
        <v/>
      </c>
      <c r="O243" s="2" t="str">
        <f>IFERROR(IF('PREENCHER AQUI'!J243="","",'PREENCHER AQUI'!J243),"")</f>
        <v/>
      </c>
      <c r="P243" s="7" t="str">
        <f t="shared" si="9"/>
        <v/>
      </c>
      <c r="Q243" s="8" t="str">
        <f>IFERROR(IF(Tabela4[[#This Row],[VALOR]]="","",IF(Tabela1[[#This Row],[ORIENTACAO]]="Anular",'PREENCHER AQUI'!K243*-1*100,'PREENCHER AQUI'!K243*100)),"")</f>
        <v/>
      </c>
      <c r="T243" s="7" t="str">
        <f>IFERROR(IF('PREENCHER AQUI'!L243="","999",LEFT('PREENCHER AQUI'!L243,1)),"")</f>
        <v>999</v>
      </c>
      <c r="V243" s="19"/>
      <c r="W243" s="1" t="str">
        <f>IFERROR(VLOOKUP(Tabela1[[#This Row],[UO_COD]],qdd!$AT$1:$AU$102,2,FALSE),"")</f>
        <v/>
      </c>
      <c r="X243" s="1" t="str">
        <f>CONCATENATE("F",Tabela1[[#This Row],[FONTE_COD]],Tabela1[[#This Row],[IPU_COD]],"G",Tabela1[[#This Row],[GRUPO_COD]],"T",Tabela1[[#This Row],[TIPO]])</f>
        <v>FGT999</v>
      </c>
      <c r="Y2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3" s="19"/>
      <c r="AA243" s="29" t="str">
        <f>IFERROR(VLOOKUP(CONCATENATE("B",Tabela1[[#This Row],[BLOCO]],Tabela1[[#This Row],[UO_COD]]),qdd!$AW$2:$AX$1000,2,FALSE),"")</f>
        <v/>
      </c>
      <c r="AB243" s="30" t="str">
        <f>IFERROR(Tabela1[[#This Row],[VALOR]]/100,"")</f>
        <v/>
      </c>
      <c r="AC243" s="7" t="str" cm="1">
        <f t="array" aca="1" ref="AC243" ca="1">IF(Tabela1[[#This Row],[VALOR]]&lt;0,"",IFERROR(SUBSTITUTE(Converter_numero(Tabela1[[#This Row],[VALOR INCISO]]),",",""),""))</f>
        <v/>
      </c>
      <c r="AD243" s="29" t="str">
        <f>IF(Tabela1[[#This Row],[TIPO]]=REGRAS!$W$2,REGRAS!$X$2,IF(Tabela1[[#This Row],[TIPO]]=REGRAS!$W$4,REGRAS!$X$4,""))</f>
        <v/>
      </c>
      <c r="AE243" s="29" t="e">
        <f>VLOOKUP(Tabela1[[#This Row],[FONTE_COD]],REGRAS!$O$2:$P$69,2,FALSE)</f>
        <v>#N/A</v>
      </c>
      <c r="AF2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4" spans="1:32" ht="18.75" customHeight="1">
      <c r="A244" s="2" t="str">
        <f>IFERROR(IF('PREENCHER AQUI'!A244="","",'PREENCHER AQUI'!A244),"")</f>
        <v/>
      </c>
      <c r="B244" s="1" t="str">
        <f>IFERROR(IF('PREENCHER AQUI'!B244="","",PROPER('PREENCHER AQUI'!B244)),"")</f>
        <v/>
      </c>
      <c r="C244" s="1" t="str">
        <f>IFERROR(IF('PREENCHER AQUI'!C244="","",'PREENCHER AQUI'!C244),"")</f>
        <v/>
      </c>
      <c r="D244" s="2" t="str">
        <f>IFERROR(IF('PREENCHER AQUI'!D244="","",'PREENCHER AQUI'!D244),"")</f>
        <v/>
      </c>
      <c r="E244" s="2" t="str">
        <f>IFERROR(VLOOKUP(CONCATENATE(C244,D244),qdd!$C$2:$F$1000,2,FALSE),"")</f>
        <v/>
      </c>
      <c r="F244" s="2" t="str">
        <f>IFERROR(VLOOKUP(CONCATENATE(C244,D244),qdd!$C$2:$F$1000,3,FALSE),"")</f>
        <v/>
      </c>
      <c r="G244" s="2" t="str">
        <f>IFERROR(VLOOKUP(CONCATENATE(C244,D244),qdd!$C$2:$F$1000,4,FALSE),"")</f>
        <v/>
      </c>
      <c r="H244" s="6" t="str">
        <f t="shared" si="8"/>
        <v/>
      </c>
      <c r="I2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4" s="2" t="str">
        <f>IFERROR(IF('PREENCHER AQUI'!E244="","",'PREENCHER AQUI'!E244),"")</f>
        <v/>
      </c>
      <c r="K244" s="2" t="str">
        <f>IFERROR(IF('PREENCHER AQUI'!F244="","",'PREENCHER AQUI'!F244),"")</f>
        <v/>
      </c>
      <c r="L244" s="2" t="str">
        <f>IF(Tabela1[[#This Row],[IPU_COD]]=9,"91",IF(Tabela1[[#This Row],[ACAO_COD]]="","",VLOOKUP(CONCATENATE("G",J244,"M",K244),qdd!$BC$2:$BD$46,2,FALSE)))</f>
        <v/>
      </c>
      <c r="M244" s="2" t="str">
        <f>TEXT(IFERROR(VLOOKUP(CONCATENATE(C244,D244),qdd!$C$2:$G$1000,5,FALSE),""),0)</f>
        <v/>
      </c>
      <c r="N244" s="2" t="str">
        <f>IFERROR(IF('PREENCHER AQUI'!I244="","",'PREENCHER AQUI'!I244),"")</f>
        <v/>
      </c>
      <c r="O244" s="2" t="str">
        <f>IFERROR(IF('PREENCHER AQUI'!J244="","",'PREENCHER AQUI'!J244),"")</f>
        <v/>
      </c>
      <c r="P244" s="7" t="str">
        <f t="shared" si="9"/>
        <v/>
      </c>
      <c r="Q244" s="8" t="str">
        <f>IFERROR(IF(Tabela4[[#This Row],[VALOR]]="","",IF(Tabela1[[#This Row],[ORIENTACAO]]="Anular",'PREENCHER AQUI'!K244*-1*100,'PREENCHER AQUI'!K244*100)),"")</f>
        <v/>
      </c>
      <c r="T244" s="7" t="str">
        <f>IFERROR(IF('PREENCHER AQUI'!L244="","999",LEFT('PREENCHER AQUI'!L244,1)),"")</f>
        <v>999</v>
      </c>
      <c r="V244" s="19"/>
      <c r="W244" s="1" t="str">
        <f>IFERROR(VLOOKUP(Tabela1[[#This Row],[UO_COD]],qdd!$AT$1:$AU$102,2,FALSE),"")</f>
        <v/>
      </c>
      <c r="X244" s="1" t="str">
        <f>CONCATENATE("F",Tabela1[[#This Row],[FONTE_COD]],Tabela1[[#This Row],[IPU_COD]],"G",Tabela1[[#This Row],[GRUPO_COD]],"T",Tabela1[[#This Row],[TIPO]])</f>
        <v>FGT999</v>
      </c>
      <c r="Y2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4" s="19"/>
      <c r="AA244" s="29" t="str">
        <f>IFERROR(VLOOKUP(CONCATENATE("B",Tabela1[[#This Row],[BLOCO]],Tabela1[[#This Row],[UO_COD]]),qdd!$AW$2:$AX$1000,2,FALSE),"")</f>
        <v/>
      </c>
      <c r="AB244" s="30" t="str">
        <f>IFERROR(Tabela1[[#This Row],[VALOR]]/100,"")</f>
        <v/>
      </c>
      <c r="AC244" s="7" t="str" cm="1">
        <f t="array" aca="1" ref="AC244" ca="1">IF(Tabela1[[#This Row],[VALOR]]&lt;0,"",IFERROR(SUBSTITUTE(Converter_numero(Tabela1[[#This Row],[VALOR INCISO]]),",",""),""))</f>
        <v/>
      </c>
      <c r="AD244" s="29" t="str">
        <f>IF(Tabela1[[#This Row],[TIPO]]=REGRAS!$W$2,REGRAS!$X$2,IF(Tabela1[[#This Row],[TIPO]]=REGRAS!$W$4,REGRAS!$X$4,""))</f>
        <v/>
      </c>
      <c r="AE244" s="29" t="e">
        <f>VLOOKUP(Tabela1[[#This Row],[FONTE_COD]],REGRAS!$O$2:$P$69,2,FALSE)</f>
        <v>#N/A</v>
      </c>
      <c r="AF2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5" spans="1:32" ht="18.75" customHeight="1">
      <c r="A245" s="2" t="str">
        <f>IFERROR(IF('PREENCHER AQUI'!A245="","",'PREENCHER AQUI'!A245),"")</f>
        <v/>
      </c>
      <c r="B245" s="1" t="str">
        <f>IFERROR(IF('PREENCHER AQUI'!B245="","",PROPER('PREENCHER AQUI'!B245)),"")</f>
        <v/>
      </c>
      <c r="C245" s="1" t="str">
        <f>IFERROR(IF('PREENCHER AQUI'!C245="","",'PREENCHER AQUI'!C245),"")</f>
        <v/>
      </c>
      <c r="D245" s="2" t="str">
        <f>IFERROR(IF('PREENCHER AQUI'!D245="","",'PREENCHER AQUI'!D245),"")</f>
        <v/>
      </c>
      <c r="E245" s="2" t="str">
        <f>IFERROR(VLOOKUP(CONCATENATE(C245,D245),qdd!$C$2:$F$1000,2,FALSE),"")</f>
        <v/>
      </c>
      <c r="F245" s="2" t="str">
        <f>IFERROR(VLOOKUP(CONCATENATE(C245,D245),qdd!$C$2:$F$1000,3,FALSE),"")</f>
        <v/>
      </c>
      <c r="G245" s="2" t="str">
        <f>IFERROR(VLOOKUP(CONCATENATE(C245,D245),qdd!$C$2:$F$1000,4,FALSE),"")</f>
        <v/>
      </c>
      <c r="H245" s="6" t="str">
        <f t="shared" si="8"/>
        <v/>
      </c>
      <c r="I2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5" s="2" t="str">
        <f>IFERROR(IF('PREENCHER AQUI'!E245="","",'PREENCHER AQUI'!E245),"")</f>
        <v/>
      </c>
      <c r="K245" s="2" t="str">
        <f>IFERROR(IF('PREENCHER AQUI'!F245="","",'PREENCHER AQUI'!F245),"")</f>
        <v/>
      </c>
      <c r="L245" s="2" t="str">
        <f>IF(Tabela1[[#This Row],[IPU_COD]]=9,"91",IF(Tabela1[[#This Row],[ACAO_COD]]="","",VLOOKUP(CONCATENATE("G",J245,"M",K245),qdd!$BC$2:$BD$46,2,FALSE)))</f>
        <v/>
      </c>
      <c r="M245" s="2" t="str">
        <f>TEXT(IFERROR(VLOOKUP(CONCATENATE(C245,D245),qdd!$C$2:$G$1000,5,FALSE),""),0)</f>
        <v/>
      </c>
      <c r="N245" s="2" t="str">
        <f>IFERROR(IF('PREENCHER AQUI'!I245="","",'PREENCHER AQUI'!I245),"")</f>
        <v/>
      </c>
      <c r="O245" s="2" t="str">
        <f>IFERROR(IF('PREENCHER AQUI'!J245="","",'PREENCHER AQUI'!J245),"")</f>
        <v/>
      </c>
      <c r="P245" s="7" t="str">
        <f t="shared" si="9"/>
        <v/>
      </c>
      <c r="Q245" s="8" t="str">
        <f>IFERROR(IF(Tabela4[[#This Row],[VALOR]]="","",IF(Tabela1[[#This Row],[ORIENTACAO]]="Anular",'PREENCHER AQUI'!K245*-1*100,'PREENCHER AQUI'!K245*100)),"")</f>
        <v/>
      </c>
      <c r="T245" s="7" t="str">
        <f>IFERROR(IF('PREENCHER AQUI'!L245="","999",LEFT('PREENCHER AQUI'!L245,1)),"")</f>
        <v>999</v>
      </c>
      <c r="V245" s="19"/>
      <c r="W245" s="20" t="str">
        <f>IFERROR(VLOOKUP(Tabela1[[#This Row],[UO_COD]],qdd!$AT$1:$AU$102,2,FALSE),"")</f>
        <v/>
      </c>
      <c r="X245" s="20" t="str">
        <f>CONCATENATE("F",Tabela1[[#This Row],[FONTE_COD]],Tabela1[[#This Row],[IPU_COD]],"G",Tabela1[[#This Row],[GRUPO_COD]],"T",Tabela1[[#This Row],[TIPO]])</f>
        <v>FGT999</v>
      </c>
      <c r="Y2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5" s="19"/>
      <c r="AA245" s="29" t="str">
        <f>IFERROR(VLOOKUP(CONCATENATE("B",Tabela1[[#This Row],[BLOCO]],Tabela1[[#This Row],[UO_COD]]),qdd!$AW$2:$AX$1000,2,FALSE),"")</f>
        <v/>
      </c>
      <c r="AB245" s="30" t="str">
        <f>IFERROR(Tabela1[[#This Row],[VALOR]]/100,"")</f>
        <v/>
      </c>
      <c r="AC245" s="7" t="str" cm="1">
        <f t="array" aca="1" ref="AC245" ca="1">IF(Tabela1[[#This Row],[VALOR]]&lt;0,"",IFERROR(SUBSTITUTE(Converter_numero(Tabela1[[#This Row],[VALOR INCISO]]),",",""),""))</f>
        <v/>
      </c>
      <c r="AD245" s="29" t="str">
        <f>IF(Tabela1[[#This Row],[TIPO]]=REGRAS!$W$2,REGRAS!$X$2,IF(Tabela1[[#This Row],[TIPO]]=REGRAS!$W$4,REGRAS!$X$4,""))</f>
        <v/>
      </c>
      <c r="AE245" s="29" t="e">
        <f>VLOOKUP(Tabela1[[#This Row],[FONTE_COD]],REGRAS!$O$2:$P$69,2,FALSE)</f>
        <v>#N/A</v>
      </c>
      <c r="AF2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6" spans="1:32" ht="18.75" customHeight="1">
      <c r="A246" s="2" t="str">
        <f>IFERROR(IF('PREENCHER AQUI'!A246="","",'PREENCHER AQUI'!A246),"")</f>
        <v/>
      </c>
      <c r="B246" s="1" t="str">
        <f>IFERROR(IF('PREENCHER AQUI'!B246="","",PROPER('PREENCHER AQUI'!B246)),"")</f>
        <v/>
      </c>
      <c r="C246" s="1" t="str">
        <f>IFERROR(IF('PREENCHER AQUI'!C246="","",'PREENCHER AQUI'!C246),"")</f>
        <v/>
      </c>
      <c r="D246" s="2" t="str">
        <f>IFERROR(IF('PREENCHER AQUI'!D246="","",'PREENCHER AQUI'!D246),"")</f>
        <v/>
      </c>
      <c r="E246" s="2" t="str">
        <f>IFERROR(VLOOKUP(CONCATENATE(C246,D246),qdd!$C$2:$F$1000,2,FALSE),"")</f>
        <v/>
      </c>
      <c r="F246" s="2" t="str">
        <f>IFERROR(VLOOKUP(CONCATENATE(C246,D246),qdd!$C$2:$F$1000,3,FALSE),"")</f>
        <v/>
      </c>
      <c r="G246" s="2" t="str">
        <f>IFERROR(VLOOKUP(CONCATENATE(C246,D246),qdd!$C$2:$F$1000,4,FALSE),"")</f>
        <v/>
      </c>
      <c r="H246" s="6" t="str">
        <f t="shared" si="8"/>
        <v/>
      </c>
      <c r="I2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6" s="2" t="str">
        <f>IFERROR(IF('PREENCHER AQUI'!E246="","",'PREENCHER AQUI'!E246),"")</f>
        <v/>
      </c>
      <c r="K246" s="2" t="str">
        <f>IFERROR(IF('PREENCHER AQUI'!F246="","",'PREENCHER AQUI'!F246),"")</f>
        <v/>
      </c>
      <c r="L246" s="2" t="str">
        <f>IF(Tabela1[[#This Row],[IPU_COD]]=9,"91",IF(Tabela1[[#This Row],[ACAO_COD]]="","",VLOOKUP(CONCATENATE("G",J246,"M",K246),qdd!$BC$2:$BD$46,2,FALSE)))</f>
        <v/>
      </c>
      <c r="M246" s="2" t="str">
        <f>TEXT(IFERROR(VLOOKUP(CONCATENATE(C246,D246),qdd!$C$2:$G$1000,5,FALSE),""),0)</f>
        <v/>
      </c>
      <c r="N246" s="2" t="str">
        <f>IFERROR(IF('PREENCHER AQUI'!I246="","",'PREENCHER AQUI'!I246),"")</f>
        <v/>
      </c>
      <c r="O246" s="2" t="str">
        <f>IFERROR(IF('PREENCHER AQUI'!J246="","",'PREENCHER AQUI'!J246),"")</f>
        <v/>
      </c>
      <c r="P246" s="7" t="str">
        <f t="shared" si="9"/>
        <v/>
      </c>
      <c r="Q246" s="8" t="str">
        <f>IFERROR(IF(Tabela4[[#This Row],[VALOR]]="","",IF(Tabela1[[#This Row],[ORIENTACAO]]="Anular",'PREENCHER AQUI'!K246*-1*100,'PREENCHER AQUI'!K246*100)),"")</f>
        <v/>
      </c>
      <c r="T246" s="7" t="str">
        <f>IFERROR(IF('PREENCHER AQUI'!L246="","999",LEFT('PREENCHER AQUI'!L246,1)),"")</f>
        <v>999</v>
      </c>
      <c r="V246" s="19"/>
      <c r="W246" s="1" t="str">
        <f>IFERROR(VLOOKUP(Tabela1[[#This Row],[UO_COD]],qdd!$AT$1:$AU$102,2,FALSE),"")</f>
        <v/>
      </c>
      <c r="X246" s="1" t="str">
        <f>CONCATENATE("F",Tabela1[[#This Row],[FONTE_COD]],Tabela1[[#This Row],[IPU_COD]],"G",Tabela1[[#This Row],[GRUPO_COD]],"T",Tabela1[[#This Row],[TIPO]])</f>
        <v>FGT999</v>
      </c>
      <c r="Y2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6" s="19"/>
      <c r="AA246" s="29" t="str">
        <f>IFERROR(VLOOKUP(CONCATENATE("B",Tabela1[[#This Row],[BLOCO]],Tabela1[[#This Row],[UO_COD]]),qdd!$AW$2:$AX$1000,2,FALSE),"")</f>
        <v/>
      </c>
      <c r="AB246" s="30" t="str">
        <f>IFERROR(Tabela1[[#This Row],[VALOR]]/100,"")</f>
        <v/>
      </c>
      <c r="AC246" s="7" t="str" cm="1">
        <f t="array" aca="1" ref="AC246" ca="1">IF(Tabela1[[#This Row],[VALOR]]&lt;0,"",IFERROR(SUBSTITUTE(Converter_numero(Tabela1[[#This Row],[VALOR INCISO]]),",",""),""))</f>
        <v/>
      </c>
      <c r="AD246" s="29" t="str">
        <f>IF(Tabela1[[#This Row],[TIPO]]=REGRAS!$W$2,REGRAS!$X$2,IF(Tabela1[[#This Row],[TIPO]]=REGRAS!$W$4,REGRAS!$X$4,""))</f>
        <v/>
      </c>
      <c r="AE246" s="29" t="e">
        <f>VLOOKUP(Tabela1[[#This Row],[FONTE_COD]],REGRAS!$O$2:$P$69,2,FALSE)</f>
        <v>#N/A</v>
      </c>
      <c r="AF2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7" spans="1:32" ht="18.75" customHeight="1">
      <c r="A247" s="2" t="str">
        <f>IFERROR(IF('PREENCHER AQUI'!A247="","",'PREENCHER AQUI'!A247),"")</f>
        <v/>
      </c>
      <c r="B247" s="1" t="str">
        <f>IFERROR(IF('PREENCHER AQUI'!B247="","",PROPER('PREENCHER AQUI'!B247)),"")</f>
        <v/>
      </c>
      <c r="C247" s="1" t="str">
        <f>IFERROR(IF('PREENCHER AQUI'!C247="","",'PREENCHER AQUI'!C247),"")</f>
        <v/>
      </c>
      <c r="D247" s="2" t="str">
        <f>IFERROR(IF('PREENCHER AQUI'!D247="","",'PREENCHER AQUI'!D247),"")</f>
        <v/>
      </c>
      <c r="E247" s="2" t="str">
        <f>IFERROR(VLOOKUP(CONCATENATE(C247,D247),qdd!$C$2:$F$1000,2,FALSE),"")</f>
        <v/>
      </c>
      <c r="F247" s="2" t="str">
        <f>IFERROR(VLOOKUP(CONCATENATE(C247,D247),qdd!$C$2:$F$1000,3,FALSE),"")</f>
        <v/>
      </c>
      <c r="G247" s="2" t="str">
        <f>IFERROR(VLOOKUP(CONCATENATE(C247,D247),qdd!$C$2:$F$1000,4,FALSE),"")</f>
        <v/>
      </c>
      <c r="H247" s="6" t="str">
        <f t="shared" si="8"/>
        <v/>
      </c>
      <c r="I2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7" s="2" t="str">
        <f>IFERROR(IF('PREENCHER AQUI'!E247="","",'PREENCHER AQUI'!E247),"")</f>
        <v/>
      </c>
      <c r="K247" s="2" t="str">
        <f>IFERROR(IF('PREENCHER AQUI'!F247="","",'PREENCHER AQUI'!F247),"")</f>
        <v/>
      </c>
      <c r="L247" s="2" t="str">
        <f>IF(Tabela1[[#This Row],[IPU_COD]]=9,"91",IF(Tabela1[[#This Row],[ACAO_COD]]="","",VLOOKUP(CONCATENATE("G",J247,"M",K247),qdd!$BC$2:$BD$46,2,FALSE)))</f>
        <v/>
      </c>
      <c r="M247" s="2" t="str">
        <f>TEXT(IFERROR(VLOOKUP(CONCATENATE(C247,D247),qdd!$C$2:$G$1000,5,FALSE),""),0)</f>
        <v/>
      </c>
      <c r="N247" s="2" t="str">
        <f>IFERROR(IF('PREENCHER AQUI'!I247="","",'PREENCHER AQUI'!I247),"")</f>
        <v/>
      </c>
      <c r="O247" s="2" t="str">
        <f>IFERROR(IF('PREENCHER AQUI'!J247="","",'PREENCHER AQUI'!J247),"")</f>
        <v/>
      </c>
      <c r="P247" s="7" t="str">
        <f t="shared" si="9"/>
        <v/>
      </c>
      <c r="Q247" s="8" t="str">
        <f>IFERROR(IF(Tabela4[[#This Row],[VALOR]]="","",IF(Tabela1[[#This Row],[ORIENTACAO]]="Anular",'PREENCHER AQUI'!K247*-1*100,'PREENCHER AQUI'!K247*100)),"")</f>
        <v/>
      </c>
      <c r="T247" s="7" t="str">
        <f>IFERROR(IF('PREENCHER AQUI'!L247="","999",LEFT('PREENCHER AQUI'!L247,1)),"")</f>
        <v>999</v>
      </c>
      <c r="W247" s="1" t="str">
        <f>IFERROR(VLOOKUP(Tabela1[[#This Row],[UO_COD]],qdd!$AT$1:$AU$102,2,FALSE),"")</f>
        <v/>
      </c>
      <c r="X247" s="1" t="str">
        <f>CONCATENATE("F",Tabela1[[#This Row],[FONTE_COD]],Tabela1[[#This Row],[IPU_COD]],"G",Tabela1[[#This Row],[GRUPO_COD]],"T",Tabela1[[#This Row],[TIPO]])</f>
        <v>FGT999</v>
      </c>
      <c r="Y2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7" s="19"/>
      <c r="AA247" s="29" t="str">
        <f>IFERROR(VLOOKUP(CONCATENATE("B",Tabela1[[#This Row],[BLOCO]],Tabela1[[#This Row],[UO_COD]]),qdd!$AW$2:$AX$1000,2,FALSE),"")</f>
        <v/>
      </c>
      <c r="AB247" s="30" t="str">
        <f>IFERROR(Tabela1[[#This Row],[VALOR]]/100,"")</f>
        <v/>
      </c>
      <c r="AC247" s="7" t="str" cm="1">
        <f t="array" aca="1" ref="AC247" ca="1">IF(Tabela1[[#This Row],[VALOR]]&lt;0,"",IFERROR(SUBSTITUTE(Converter_numero(Tabela1[[#This Row],[VALOR INCISO]]),",",""),""))</f>
        <v/>
      </c>
      <c r="AD247" s="7" t="str">
        <f>IF(Tabela1[[#This Row],[TIPO]]=REGRAS!$W$2,REGRAS!$X$2,IF(Tabela1[[#This Row],[TIPO]]=REGRAS!$W$4,REGRAS!$X$4,""))</f>
        <v/>
      </c>
      <c r="AE247" s="29" t="e">
        <f>VLOOKUP(Tabela1[[#This Row],[FONTE_COD]],REGRAS!$O$2:$P$69,2,FALSE)</f>
        <v>#N/A</v>
      </c>
      <c r="AF2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8" spans="1:32" ht="18.75" customHeight="1">
      <c r="A248" s="2" t="str">
        <f>IFERROR(IF('PREENCHER AQUI'!A248="","",'PREENCHER AQUI'!A248),"")</f>
        <v/>
      </c>
      <c r="B248" s="1" t="str">
        <f>IFERROR(IF('PREENCHER AQUI'!B248="","",PROPER('PREENCHER AQUI'!B248)),"")</f>
        <v/>
      </c>
      <c r="C248" s="1" t="str">
        <f>IFERROR(IF('PREENCHER AQUI'!C248="","",'PREENCHER AQUI'!C248),"")</f>
        <v/>
      </c>
      <c r="D248" s="2" t="str">
        <f>IFERROR(IF('PREENCHER AQUI'!D248="","",'PREENCHER AQUI'!D248),"")</f>
        <v/>
      </c>
      <c r="E248" s="2" t="str">
        <f>IFERROR(VLOOKUP(CONCATENATE(C248,D248),qdd!$C$2:$F$1000,2,FALSE),"")</f>
        <v/>
      </c>
      <c r="F248" s="2" t="str">
        <f>IFERROR(VLOOKUP(CONCATENATE(C248,D248),qdd!$C$2:$F$1000,3,FALSE),"")</f>
        <v/>
      </c>
      <c r="G248" s="2" t="str">
        <f>IFERROR(VLOOKUP(CONCATENATE(C248,D248),qdd!$C$2:$F$1000,4,FALSE),"")</f>
        <v/>
      </c>
      <c r="H248" s="6" t="str">
        <f t="shared" si="8"/>
        <v/>
      </c>
      <c r="I2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8" s="2" t="str">
        <f>IFERROR(IF('PREENCHER AQUI'!E248="","",'PREENCHER AQUI'!E248),"")</f>
        <v/>
      </c>
      <c r="K248" s="2" t="str">
        <f>IFERROR(IF('PREENCHER AQUI'!F248="","",'PREENCHER AQUI'!F248),"")</f>
        <v/>
      </c>
      <c r="L248" s="2" t="str">
        <f>IF(Tabela1[[#This Row],[IPU_COD]]=9,"91",IF(Tabela1[[#This Row],[ACAO_COD]]="","",VLOOKUP(CONCATENATE("G",J248,"M",K248),qdd!$BC$2:$BD$46,2,FALSE)))</f>
        <v/>
      </c>
      <c r="M248" s="2" t="str">
        <f>TEXT(IFERROR(VLOOKUP(CONCATENATE(C248,D248),qdd!$C$2:$G$1000,5,FALSE),""),0)</f>
        <v/>
      </c>
      <c r="N248" s="2" t="str">
        <f>IFERROR(IF('PREENCHER AQUI'!I248="","",'PREENCHER AQUI'!I248),"")</f>
        <v/>
      </c>
      <c r="O248" s="2" t="str">
        <f>IFERROR(IF('PREENCHER AQUI'!J248="","",'PREENCHER AQUI'!J248),"")</f>
        <v/>
      </c>
      <c r="P248" s="7" t="str">
        <f t="shared" si="9"/>
        <v/>
      </c>
      <c r="Q248" s="8" t="str">
        <f>IFERROR(IF(Tabela4[[#This Row],[VALOR]]="","",IF(Tabela1[[#This Row],[ORIENTACAO]]="Anular",'PREENCHER AQUI'!K248*-1*100,'PREENCHER AQUI'!K248*100)),"")</f>
        <v/>
      </c>
      <c r="T248" s="7" t="str">
        <f>IFERROR(IF('PREENCHER AQUI'!L248="","999",LEFT('PREENCHER AQUI'!L248,1)),"")</f>
        <v>999</v>
      </c>
      <c r="V248" s="19"/>
      <c r="W248" s="1" t="str">
        <f>IFERROR(VLOOKUP(Tabela1[[#This Row],[UO_COD]],qdd!$AT$1:$AU$102,2,FALSE),"")</f>
        <v/>
      </c>
      <c r="X248" s="1" t="str">
        <f>CONCATENATE("F",Tabela1[[#This Row],[FONTE_COD]],Tabela1[[#This Row],[IPU_COD]],"G",Tabela1[[#This Row],[GRUPO_COD]],"T",Tabela1[[#This Row],[TIPO]])</f>
        <v>FGT999</v>
      </c>
      <c r="Y2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8" s="19"/>
      <c r="AA248" s="29" t="str">
        <f>IFERROR(VLOOKUP(CONCATENATE("B",Tabela1[[#This Row],[BLOCO]],Tabela1[[#This Row],[UO_COD]]),qdd!$AW$2:$AX$1000,2,FALSE),"")</f>
        <v/>
      </c>
      <c r="AB248" s="30" t="str">
        <f>IFERROR(Tabela1[[#This Row],[VALOR]]/100,"")</f>
        <v/>
      </c>
      <c r="AC248" s="7" t="str" cm="1">
        <f t="array" aca="1" ref="AC248" ca="1">IF(Tabela1[[#This Row],[VALOR]]&lt;0,"",IFERROR(SUBSTITUTE(Converter_numero(Tabela1[[#This Row],[VALOR INCISO]]),",",""),""))</f>
        <v/>
      </c>
      <c r="AD248" s="29" t="str">
        <f>IF(Tabela1[[#This Row],[TIPO]]=REGRAS!$W$2,REGRAS!$X$2,IF(Tabela1[[#This Row],[TIPO]]=REGRAS!$W$4,REGRAS!$X$4,""))</f>
        <v/>
      </c>
      <c r="AE248" s="29" t="e">
        <f>VLOOKUP(Tabela1[[#This Row],[FONTE_COD]],REGRAS!$O$2:$P$69,2,FALSE)</f>
        <v>#N/A</v>
      </c>
      <c r="AF2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9" spans="1:32" ht="18.75" customHeight="1">
      <c r="A249" s="2" t="str">
        <f>IFERROR(IF('PREENCHER AQUI'!A249="","",'PREENCHER AQUI'!A249),"")</f>
        <v/>
      </c>
      <c r="B249" s="1" t="str">
        <f>IFERROR(IF('PREENCHER AQUI'!B249="","",PROPER('PREENCHER AQUI'!B249)),"")</f>
        <v/>
      </c>
      <c r="C249" s="1" t="str">
        <f>IFERROR(IF('PREENCHER AQUI'!C249="","",'PREENCHER AQUI'!C249),"")</f>
        <v/>
      </c>
      <c r="D249" s="2" t="str">
        <f>IFERROR(IF('PREENCHER AQUI'!D249="","",'PREENCHER AQUI'!D249),"")</f>
        <v/>
      </c>
      <c r="E249" s="2" t="str">
        <f>IFERROR(VLOOKUP(CONCATENATE(C249,D249),qdd!$C$2:$F$1000,2,FALSE),"")</f>
        <v/>
      </c>
      <c r="F249" s="2" t="str">
        <f>IFERROR(VLOOKUP(CONCATENATE(C249,D249),qdd!$C$2:$F$1000,3,FALSE),"")</f>
        <v/>
      </c>
      <c r="G249" s="2" t="str">
        <f>IFERROR(VLOOKUP(CONCATENATE(C249,D249),qdd!$C$2:$F$1000,4,FALSE),"")</f>
        <v/>
      </c>
      <c r="H249" s="6" t="str">
        <f t="shared" si="8"/>
        <v/>
      </c>
      <c r="I2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9" s="2" t="str">
        <f>IFERROR(IF('PREENCHER AQUI'!E249="","",'PREENCHER AQUI'!E249),"")</f>
        <v/>
      </c>
      <c r="K249" s="2" t="str">
        <f>IFERROR(IF('PREENCHER AQUI'!F249="","",'PREENCHER AQUI'!F249),"")</f>
        <v/>
      </c>
      <c r="L249" s="2" t="str">
        <f>IF(Tabela1[[#This Row],[IPU_COD]]=9,"91",IF(Tabela1[[#This Row],[ACAO_COD]]="","",VLOOKUP(CONCATENATE("G",J249,"M",K249),qdd!$BC$2:$BD$46,2,FALSE)))</f>
        <v/>
      </c>
      <c r="M249" s="2" t="str">
        <f>TEXT(IFERROR(VLOOKUP(CONCATENATE(C249,D249),qdd!$C$2:$G$1000,5,FALSE),""),0)</f>
        <v/>
      </c>
      <c r="N249" s="2" t="str">
        <f>IFERROR(IF('PREENCHER AQUI'!I249="","",'PREENCHER AQUI'!I249),"")</f>
        <v/>
      </c>
      <c r="O249" s="2" t="str">
        <f>IFERROR(IF('PREENCHER AQUI'!J249="","",'PREENCHER AQUI'!J249),"")</f>
        <v/>
      </c>
      <c r="P249" s="7" t="str">
        <f t="shared" si="9"/>
        <v/>
      </c>
      <c r="Q249" s="8" t="str">
        <f>IFERROR(IF(Tabela4[[#This Row],[VALOR]]="","",IF(Tabela1[[#This Row],[ORIENTACAO]]="Anular",'PREENCHER AQUI'!K249*-1*100,'PREENCHER AQUI'!K249*100)),"")</f>
        <v/>
      </c>
      <c r="T249" s="7" t="str">
        <f>IFERROR(IF('PREENCHER AQUI'!L249="","999",LEFT('PREENCHER AQUI'!L249,1)),"")</f>
        <v>999</v>
      </c>
      <c r="V249" s="19"/>
      <c r="W249" s="1" t="str">
        <f>IFERROR(VLOOKUP(Tabela1[[#This Row],[UO_COD]],qdd!$AT$1:$AU$102,2,FALSE),"")</f>
        <v/>
      </c>
      <c r="X249" s="1" t="str">
        <f>CONCATENATE("F",Tabela1[[#This Row],[FONTE_COD]],Tabela1[[#This Row],[IPU_COD]],"G",Tabela1[[#This Row],[GRUPO_COD]],"T",Tabela1[[#This Row],[TIPO]])</f>
        <v>FGT999</v>
      </c>
      <c r="Y2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9" s="19"/>
      <c r="AA249" s="29" t="str">
        <f>IFERROR(VLOOKUP(CONCATENATE("B",Tabela1[[#This Row],[BLOCO]],Tabela1[[#This Row],[UO_COD]]),qdd!$AW$2:$AX$1000,2,FALSE),"")</f>
        <v/>
      </c>
      <c r="AB249" s="30" t="str">
        <f>IFERROR(Tabela1[[#This Row],[VALOR]]/100,"")</f>
        <v/>
      </c>
      <c r="AC249" s="7" t="str" cm="1">
        <f t="array" aca="1" ref="AC249" ca="1">IF(Tabela1[[#This Row],[VALOR]]&lt;0,"",IFERROR(SUBSTITUTE(Converter_numero(Tabela1[[#This Row],[VALOR INCISO]]),",",""),""))</f>
        <v/>
      </c>
      <c r="AD249" s="29" t="str">
        <f>IF(Tabela1[[#This Row],[TIPO]]=REGRAS!$W$2,REGRAS!$X$2,IF(Tabela1[[#This Row],[TIPO]]=REGRAS!$W$4,REGRAS!$X$4,""))</f>
        <v/>
      </c>
      <c r="AE249" s="29" t="e">
        <f>VLOOKUP(Tabela1[[#This Row],[FONTE_COD]],REGRAS!$O$2:$P$69,2,FALSE)</f>
        <v>#N/A</v>
      </c>
      <c r="AF2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0" spans="1:32" ht="18.75" customHeight="1">
      <c r="A250" s="2" t="str">
        <f>IFERROR(IF('PREENCHER AQUI'!A250="","",'PREENCHER AQUI'!A250),"")</f>
        <v/>
      </c>
      <c r="B250" s="1" t="str">
        <f>IFERROR(IF('PREENCHER AQUI'!B250="","",PROPER('PREENCHER AQUI'!B250)),"")</f>
        <v/>
      </c>
      <c r="C250" s="1" t="str">
        <f>IFERROR(IF('PREENCHER AQUI'!C250="","",'PREENCHER AQUI'!C250),"")</f>
        <v/>
      </c>
      <c r="D250" s="2" t="str">
        <f>IFERROR(IF('PREENCHER AQUI'!D250="","",'PREENCHER AQUI'!D250),"")</f>
        <v/>
      </c>
      <c r="E250" s="2" t="str">
        <f>IFERROR(VLOOKUP(CONCATENATE(C250,D250),qdd!$C$2:$F$1000,2,FALSE),"")</f>
        <v/>
      </c>
      <c r="F250" s="2" t="str">
        <f>IFERROR(VLOOKUP(CONCATENATE(C250,D250),qdd!$C$2:$F$1000,3,FALSE),"")</f>
        <v/>
      </c>
      <c r="G250" s="2" t="str">
        <f>IFERROR(VLOOKUP(CONCATENATE(C250,D250),qdd!$C$2:$F$1000,4,FALSE),"")</f>
        <v/>
      </c>
      <c r="H250" s="6" t="str">
        <f t="shared" si="8"/>
        <v/>
      </c>
      <c r="I2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0" s="2" t="str">
        <f>IFERROR(IF('PREENCHER AQUI'!E250="","",'PREENCHER AQUI'!E250),"")</f>
        <v/>
      </c>
      <c r="K250" s="2" t="str">
        <f>IFERROR(IF('PREENCHER AQUI'!F250="","",'PREENCHER AQUI'!F250),"")</f>
        <v/>
      </c>
      <c r="L250" s="2" t="str">
        <f>IF(Tabela1[[#This Row],[IPU_COD]]=9,"91",IF(Tabela1[[#This Row],[ACAO_COD]]="","",VLOOKUP(CONCATENATE("G",J250,"M",K250),qdd!$BC$2:$BD$46,2,FALSE)))</f>
        <v/>
      </c>
      <c r="M250" s="2" t="str">
        <f>TEXT(IFERROR(VLOOKUP(CONCATENATE(C250,D250),qdd!$C$2:$G$1000,5,FALSE),""),0)</f>
        <v/>
      </c>
      <c r="N250" s="2" t="str">
        <f>IFERROR(IF('PREENCHER AQUI'!I250="","",'PREENCHER AQUI'!I250),"")</f>
        <v/>
      </c>
      <c r="O250" s="2" t="str">
        <f>IFERROR(IF('PREENCHER AQUI'!J250="","",'PREENCHER AQUI'!J250),"")</f>
        <v/>
      </c>
      <c r="P250" s="7" t="str">
        <f t="shared" si="9"/>
        <v/>
      </c>
      <c r="Q250" s="8" t="str">
        <f>IFERROR(IF(Tabela4[[#This Row],[VALOR]]="","",IF(Tabela1[[#This Row],[ORIENTACAO]]="Anular",'PREENCHER AQUI'!K250*-1*100,'PREENCHER AQUI'!K250*100)),"")</f>
        <v/>
      </c>
      <c r="T250" s="7" t="str">
        <f>IFERROR(IF('PREENCHER AQUI'!L250="","999",LEFT('PREENCHER AQUI'!L250,1)),"")</f>
        <v>999</v>
      </c>
      <c r="V250" s="19"/>
      <c r="W250" s="20" t="str">
        <f>IFERROR(VLOOKUP(Tabela1[[#This Row],[UO_COD]],qdd!$AT$1:$AU$102,2,FALSE),"")</f>
        <v/>
      </c>
      <c r="X250" s="20" t="str">
        <f>CONCATENATE("F",Tabela1[[#This Row],[FONTE_COD]],Tabela1[[#This Row],[IPU_COD]],"G",Tabela1[[#This Row],[GRUPO_COD]],"T",Tabela1[[#This Row],[TIPO]])</f>
        <v>FGT999</v>
      </c>
      <c r="Y2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0" s="19"/>
      <c r="AA250" s="29" t="str">
        <f>IFERROR(VLOOKUP(CONCATENATE("B",Tabela1[[#This Row],[BLOCO]],Tabela1[[#This Row],[UO_COD]]),qdd!$AW$2:$AX$1000,2,FALSE),"")</f>
        <v/>
      </c>
      <c r="AB250" s="30" t="str">
        <f>IFERROR(Tabela1[[#This Row],[VALOR]]/100,"")</f>
        <v/>
      </c>
      <c r="AC250" s="7" t="str" cm="1">
        <f t="array" aca="1" ref="AC250" ca="1">IF(Tabela1[[#This Row],[VALOR]]&lt;0,"",IFERROR(SUBSTITUTE(Converter_numero(Tabela1[[#This Row],[VALOR INCISO]]),",",""),""))</f>
        <v/>
      </c>
      <c r="AD250" s="29" t="str">
        <f>IF(Tabela1[[#This Row],[TIPO]]=REGRAS!$W$2,REGRAS!$X$2,IF(Tabela1[[#This Row],[TIPO]]=REGRAS!$W$4,REGRAS!$X$4,""))</f>
        <v/>
      </c>
      <c r="AE250" s="29" t="e">
        <f>VLOOKUP(Tabela1[[#This Row],[FONTE_COD]],REGRAS!$O$2:$P$69,2,FALSE)</f>
        <v>#N/A</v>
      </c>
      <c r="AF2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1" spans="1:32" ht="18.75" customHeight="1">
      <c r="A251" s="2" t="str">
        <f>IFERROR(IF('PREENCHER AQUI'!A251="","",'PREENCHER AQUI'!A251),"")</f>
        <v/>
      </c>
      <c r="B251" s="1" t="str">
        <f>IFERROR(IF('PREENCHER AQUI'!B251="","",PROPER('PREENCHER AQUI'!B251)),"")</f>
        <v/>
      </c>
      <c r="C251" s="1" t="str">
        <f>IFERROR(IF('PREENCHER AQUI'!C251="","",'PREENCHER AQUI'!C251),"")</f>
        <v/>
      </c>
      <c r="D251" s="2" t="str">
        <f>IFERROR(IF('PREENCHER AQUI'!D251="","",'PREENCHER AQUI'!D251),"")</f>
        <v/>
      </c>
      <c r="E251" s="2" t="str">
        <f>IFERROR(VLOOKUP(CONCATENATE(C251,D251),qdd!$C$2:$F$1000,2,FALSE),"")</f>
        <v/>
      </c>
      <c r="F251" s="2" t="str">
        <f>IFERROR(VLOOKUP(CONCATENATE(C251,D251),qdd!$C$2:$F$1000,3,FALSE),"")</f>
        <v/>
      </c>
      <c r="G251" s="2" t="str">
        <f>IFERROR(VLOOKUP(CONCATENATE(C251,D251),qdd!$C$2:$F$1000,4,FALSE),"")</f>
        <v/>
      </c>
      <c r="H251" s="6" t="str">
        <f t="shared" si="8"/>
        <v/>
      </c>
      <c r="I2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1" s="2" t="str">
        <f>IFERROR(IF('PREENCHER AQUI'!E251="","",'PREENCHER AQUI'!E251),"")</f>
        <v/>
      </c>
      <c r="K251" s="2" t="str">
        <f>IFERROR(IF('PREENCHER AQUI'!F251="","",'PREENCHER AQUI'!F251),"")</f>
        <v/>
      </c>
      <c r="L251" s="2" t="str">
        <f>IF(Tabela1[[#This Row],[IPU_COD]]=9,"91",IF(Tabela1[[#This Row],[ACAO_COD]]="","",VLOOKUP(CONCATENATE("G",J251,"M",K251),qdd!$BC$2:$BD$46,2,FALSE)))</f>
        <v/>
      </c>
      <c r="M251" s="2" t="str">
        <f>TEXT(IFERROR(VLOOKUP(CONCATENATE(C251,D251),qdd!$C$2:$G$1000,5,FALSE),""),0)</f>
        <v/>
      </c>
      <c r="N251" s="2" t="str">
        <f>IFERROR(IF('PREENCHER AQUI'!I251="","",'PREENCHER AQUI'!I251),"")</f>
        <v/>
      </c>
      <c r="O251" s="2" t="str">
        <f>IFERROR(IF('PREENCHER AQUI'!J251="","",'PREENCHER AQUI'!J251),"")</f>
        <v/>
      </c>
      <c r="P251" s="7" t="str">
        <f t="shared" si="9"/>
        <v/>
      </c>
      <c r="Q251" s="8" t="str">
        <f>IFERROR(IF(Tabela4[[#This Row],[VALOR]]="","",IF(Tabela1[[#This Row],[ORIENTACAO]]="Anular",'PREENCHER AQUI'!K251*-1*100,'PREENCHER AQUI'!K251*100)),"")</f>
        <v/>
      </c>
      <c r="T251" s="7" t="str">
        <f>IFERROR(IF('PREENCHER AQUI'!L251="","999",LEFT('PREENCHER AQUI'!L251,1)),"")</f>
        <v>999</v>
      </c>
      <c r="V251" s="19"/>
      <c r="W251" s="1" t="str">
        <f>IFERROR(VLOOKUP(Tabela1[[#This Row],[UO_COD]],qdd!$AT$1:$AU$102,2,FALSE),"")</f>
        <v/>
      </c>
      <c r="X251" s="1" t="str">
        <f>CONCATENATE("F",Tabela1[[#This Row],[FONTE_COD]],Tabela1[[#This Row],[IPU_COD]],"G",Tabela1[[#This Row],[GRUPO_COD]],"T",Tabela1[[#This Row],[TIPO]])</f>
        <v>FGT999</v>
      </c>
      <c r="Y2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1" s="19"/>
      <c r="AA251" s="29" t="str">
        <f>IFERROR(VLOOKUP(CONCATENATE("B",Tabela1[[#This Row],[BLOCO]],Tabela1[[#This Row],[UO_COD]]),qdd!$AW$2:$AX$1000,2,FALSE),"")</f>
        <v/>
      </c>
      <c r="AB251" s="30" t="str">
        <f>IFERROR(Tabela1[[#This Row],[VALOR]]/100,"")</f>
        <v/>
      </c>
      <c r="AC251" s="7" t="str" cm="1">
        <f t="array" aca="1" ref="AC251" ca="1">IF(Tabela1[[#This Row],[VALOR]]&lt;0,"",IFERROR(SUBSTITUTE(Converter_numero(Tabela1[[#This Row],[VALOR INCISO]]),",",""),""))</f>
        <v/>
      </c>
      <c r="AD251" s="29" t="str">
        <f>IF(Tabela1[[#This Row],[TIPO]]=REGRAS!$W$2,REGRAS!$X$2,IF(Tabela1[[#This Row],[TIPO]]=REGRAS!$W$4,REGRAS!$X$4,""))</f>
        <v/>
      </c>
      <c r="AE251" s="29" t="e">
        <f>VLOOKUP(Tabela1[[#This Row],[FONTE_COD]],REGRAS!$O$2:$P$69,2,FALSE)</f>
        <v>#N/A</v>
      </c>
      <c r="AF2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2" spans="1:32" ht="18.75" customHeight="1">
      <c r="A252" s="2" t="str">
        <f>IFERROR(IF('PREENCHER AQUI'!A252="","",'PREENCHER AQUI'!A252),"")</f>
        <v/>
      </c>
      <c r="B252" s="1" t="str">
        <f>IFERROR(IF('PREENCHER AQUI'!B252="","",PROPER('PREENCHER AQUI'!B252)),"")</f>
        <v/>
      </c>
      <c r="C252" s="1" t="str">
        <f>IFERROR(IF('PREENCHER AQUI'!C252="","",'PREENCHER AQUI'!C252),"")</f>
        <v/>
      </c>
      <c r="D252" s="2" t="str">
        <f>IFERROR(IF('PREENCHER AQUI'!D252="","",'PREENCHER AQUI'!D252),"")</f>
        <v/>
      </c>
      <c r="E252" s="2" t="str">
        <f>IFERROR(VLOOKUP(CONCATENATE(C252,D252),qdd!$C$2:$F$1000,2,FALSE),"")</f>
        <v/>
      </c>
      <c r="F252" s="2" t="str">
        <f>IFERROR(VLOOKUP(CONCATENATE(C252,D252),qdd!$C$2:$F$1000,3,FALSE),"")</f>
        <v/>
      </c>
      <c r="G252" s="2" t="str">
        <f>IFERROR(VLOOKUP(CONCATENATE(C252,D252),qdd!$C$2:$F$1000,4,FALSE),"")</f>
        <v/>
      </c>
      <c r="H252" s="6" t="str">
        <f t="shared" si="8"/>
        <v/>
      </c>
      <c r="I2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2" s="2" t="str">
        <f>IFERROR(IF('PREENCHER AQUI'!E252="","",'PREENCHER AQUI'!E252),"")</f>
        <v/>
      </c>
      <c r="K252" s="2" t="str">
        <f>IFERROR(IF('PREENCHER AQUI'!F252="","",'PREENCHER AQUI'!F252),"")</f>
        <v/>
      </c>
      <c r="L252" s="2" t="str">
        <f>IF(Tabela1[[#This Row],[IPU_COD]]=9,"91",IF(Tabela1[[#This Row],[ACAO_COD]]="","",VLOOKUP(CONCATENATE("G",J252,"M",K252),qdd!$BC$2:$BD$46,2,FALSE)))</f>
        <v/>
      </c>
      <c r="M252" s="2" t="str">
        <f>TEXT(IFERROR(VLOOKUP(CONCATENATE(C252,D252),qdd!$C$2:$G$1000,5,FALSE),""),0)</f>
        <v/>
      </c>
      <c r="N252" s="2" t="str">
        <f>IFERROR(IF('PREENCHER AQUI'!I252="","",'PREENCHER AQUI'!I252),"")</f>
        <v/>
      </c>
      <c r="O252" s="2" t="str">
        <f>IFERROR(IF('PREENCHER AQUI'!J252="","",'PREENCHER AQUI'!J252),"")</f>
        <v/>
      </c>
      <c r="P252" s="7" t="str">
        <f t="shared" si="9"/>
        <v/>
      </c>
      <c r="Q252" s="8" t="str">
        <f>IFERROR(IF(Tabela4[[#This Row],[VALOR]]="","",IF(Tabela1[[#This Row],[ORIENTACAO]]="Anular",'PREENCHER AQUI'!K252*-1*100,'PREENCHER AQUI'!K252*100)),"")</f>
        <v/>
      </c>
      <c r="T252" s="7" t="str">
        <f>IFERROR(IF('PREENCHER AQUI'!L252="","999",LEFT('PREENCHER AQUI'!L252,1)),"")</f>
        <v>999</v>
      </c>
      <c r="W252" s="1" t="str">
        <f>IFERROR(VLOOKUP(Tabela1[[#This Row],[UO_COD]],qdd!$AT$1:$AU$102,2,FALSE),"")</f>
        <v/>
      </c>
      <c r="X252" s="1" t="str">
        <f>CONCATENATE("F",Tabela1[[#This Row],[FONTE_COD]],Tabela1[[#This Row],[IPU_COD]],"G",Tabela1[[#This Row],[GRUPO_COD]],"T",Tabela1[[#This Row],[TIPO]])</f>
        <v>FGT999</v>
      </c>
      <c r="Y2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2" s="19"/>
      <c r="AA252" s="29" t="str">
        <f>IFERROR(VLOOKUP(CONCATENATE("B",Tabela1[[#This Row],[BLOCO]],Tabela1[[#This Row],[UO_COD]]),qdd!$AW$2:$AX$1000,2,FALSE),"")</f>
        <v/>
      </c>
      <c r="AB252" s="30" t="str">
        <f>IFERROR(Tabela1[[#This Row],[VALOR]]/100,"")</f>
        <v/>
      </c>
      <c r="AC252" s="7" t="str" cm="1">
        <f t="array" aca="1" ref="AC252" ca="1">IF(Tabela1[[#This Row],[VALOR]]&lt;0,"",IFERROR(SUBSTITUTE(Converter_numero(Tabela1[[#This Row],[VALOR INCISO]]),",",""),""))</f>
        <v/>
      </c>
      <c r="AD252" s="7" t="str">
        <f>IF(Tabela1[[#This Row],[TIPO]]=REGRAS!$W$2,REGRAS!$X$2,IF(Tabela1[[#This Row],[TIPO]]=REGRAS!$W$4,REGRAS!$X$4,""))</f>
        <v/>
      </c>
      <c r="AE252" s="29" t="e">
        <f>VLOOKUP(Tabela1[[#This Row],[FONTE_COD]],REGRAS!$O$2:$P$69,2,FALSE)</f>
        <v>#N/A</v>
      </c>
      <c r="AF2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3" spans="1:32" ht="18.75" customHeight="1">
      <c r="A253" s="2" t="str">
        <f>IFERROR(IF('PREENCHER AQUI'!A253="","",'PREENCHER AQUI'!A253),"")</f>
        <v/>
      </c>
      <c r="B253" s="1" t="str">
        <f>IFERROR(IF('PREENCHER AQUI'!B253="","",PROPER('PREENCHER AQUI'!B253)),"")</f>
        <v/>
      </c>
      <c r="C253" s="1" t="str">
        <f>IFERROR(IF('PREENCHER AQUI'!C253="","",'PREENCHER AQUI'!C253),"")</f>
        <v/>
      </c>
      <c r="D253" s="2" t="str">
        <f>IFERROR(IF('PREENCHER AQUI'!D253="","",'PREENCHER AQUI'!D253),"")</f>
        <v/>
      </c>
      <c r="E253" s="2" t="str">
        <f>IFERROR(VLOOKUP(CONCATENATE(C253,D253),qdd!$C$2:$F$1000,2,FALSE),"")</f>
        <v/>
      </c>
      <c r="F253" s="2" t="str">
        <f>IFERROR(VLOOKUP(CONCATENATE(C253,D253),qdd!$C$2:$F$1000,3,FALSE),"")</f>
        <v/>
      </c>
      <c r="G253" s="2" t="str">
        <f>IFERROR(VLOOKUP(CONCATENATE(C253,D253),qdd!$C$2:$F$1000,4,FALSE),"")</f>
        <v/>
      </c>
      <c r="H253" s="6" t="str">
        <f t="shared" si="8"/>
        <v/>
      </c>
      <c r="I2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3" s="2" t="str">
        <f>IFERROR(IF('PREENCHER AQUI'!E253="","",'PREENCHER AQUI'!E253),"")</f>
        <v/>
      </c>
      <c r="K253" s="2" t="str">
        <f>IFERROR(IF('PREENCHER AQUI'!F253="","",'PREENCHER AQUI'!F253),"")</f>
        <v/>
      </c>
      <c r="L253" s="2" t="str">
        <f>IF(Tabela1[[#This Row],[IPU_COD]]=9,"91",IF(Tabela1[[#This Row],[ACAO_COD]]="","",VLOOKUP(CONCATENATE("G",J253,"M",K253),qdd!$BC$2:$BD$46,2,FALSE)))</f>
        <v/>
      </c>
      <c r="M253" s="2" t="str">
        <f>TEXT(IFERROR(VLOOKUP(CONCATENATE(C253,D253),qdd!$C$2:$G$1000,5,FALSE),""),0)</f>
        <v/>
      </c>
      <c r="N253" s="2" t="str">
        <f>IFERROR(IF('PREENCHER AQUI'!I253="","",'PREENCHER AQUI'!I253),"")</f>
        <v/>
      </c>
      <c r="O253" s="2" t="str">
        <f>IFERROR(IF('PREENCHER AQUI'!J253="","",'PREENCHER AQUI'!J253),"")</f>
        <v/>
      </c>
      <c r="P253" s="7" t="str">
        <f t="shared" si="9"/>
        <v/>
      </c>
      <c r="Q253" s="8" t="str">
        <f>IFERROR(IF(Tabela4[[#This Row],[VALOR]]="","",IF(Tabela1[[#This Row],[ORIENTACAO]]="Anular",'PREENCHER AQUI'!K253*-1*100,'PREENCHER AQUI'!K253*100)),"")</f>
        <v/>
      </c>
      <c r="T253" s="7" t="str">
        <f>IFERROR(IF('PREENCHER AQUI'!L253="","999",LEFT('PREENCHER AQUI'!L253,1)),"")</f>
        <v>999</v>
      </c>
      <c r="V253" s="19"/>
      <c r="W253" s="1" t="str">
        <f>IFERROR(VLOOKUP(Tabela1[[#This Row],[UO_COD]],qdd!$AT$1:$AU$102,2,FALSE),"")</f>
        <v/>
      </c>
      <c r="X253" s="1" t="str">
        <f>CONCATENATE("F",Tabela1[[#This Row],[FONTE_COD]],Tabela1[[#This Row],[IPU_COD]],"G",Tabela1[[#This Row],[GRUPO_COD]],"T",Tabela1[[#This Row],[TIPO]])</f>
        <v>FGT999</v>
      </c>
      <c r="Y2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3" s="19"/>
      <c r="AA253" s="29" t="str">
        <f>IFERROR(VLOOKUP(CONCATENATE("B",Tabela1[[#This Row],[BLOCO]],Tabela1[[#This Row],[UO_COD]]),qdd!$AW$2:$AX$1000,2,FALSE),"")</f>
        <v/>
      </c>
      <c r="AB253" s="30" t="str">
        <f>IFERROR(Tabela1[[#This Row],[VALOR]]/100,"")</f>
        <v/>
      </c>
      <c r="AC253" s="7" t="str" cm="1">
        <f t="array" aca="1" ref="AC253" ca="1">IF(Tabela1[[#This Row],[VALOR]]&lt;0,"",IFERROR(SUBSTITUTE(Converter_numero(Tabela1[[#This Row],[VALOR INCISO]]),",",""),""))</f>
        <v/>
      </c>
      <c r="AD253" s="29" t="str">
        <f>IF(Tabela1[[#This Row],[TIPO]]=REGRAS!$W$2,REGRAS!$X$2,IF(Tabela1[[#This Row],[TIPO]]=REGRAS!$W$4,REGRAS!$X$4,""))</f>
        <v/>
      </c>
      <c r="AE253" s="29" t="e">
        <f>VLOOKUP(Tabela1[[#This Row],[FONTE_COD]],REGRAS!$O$2:$P$69,2,FALSE)</f>
        <v>#N/A</v>
      </c>
      <c r="AF2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4" spans="1:32" ht="18.75" customHeight="1">
      <c r="A254" s="2" t="str">
        <f>IFERROR(IF('PREENCHER AQUI'!A254="","",'PREENCHER AQUI'!A254),"")</f>
        <v/>
      </c>
      <c r="B254" s="1" t="str">
        <f>IFERROR(IF('PREENCHER AQUI'!B254="","",PROPER('PREENCHER AQUI'!B254)),"")</f>
        <v/>
      </c>
      <c r="C254" s="1" t="str">
        <f>IFERROR(IF('PREENCHER AQUI'!C254="","",'PREENCHER AQUI'!C254),"")</f>
        <v/>
      </c>
      <c r="D254" s="2" t="str">
        <f>IFERROR(IF('PREENCHER AQUI'!D254="","",'PREENCHER AQUI'!D254),"")</f>
        <v/>
      </c>
      <c r="E254" s="2" t="str">
        <f>IFERROR(VLOOKUP(CONCATENATE(C254,D254),qdd!$C$2:$F$1000,2,FALSE),"")</f>
        <v/>
      </c>
      <c r="F254" s="2" t="str">
        <f>IFERROR(VLOOKUP(CONCATENATE(C254,D254),qdd!$C$2:$F$1000,3,FALSE),"")</f>
        <v/>
      </c>
      <c r="G254" s="2" t="str">
        <f>IFERROR(VLOOKUP(CONCATENATE(C254,D254),qdd!$C$2:$F$1000,4,FALSE),"")</f>
        <v/>
      </c>
      <c r="H254" s="6" t="str">
        <f t="shared" si="8"/>
        <v/>
      </c>
      <c r="I2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4" s="2" t="str">
        <f>IFERROR(IF('PREENCHER AQUI'!E254="","",'PREENCHER AQUI'!E254),"")</f>
        <v/>
      </c>
      <c r="K254" s="2" t="str">
        <f>IFERROR(IF('PREENCHER AQUI'!F254="","",'PREENCHER AQUI'!F254),"")</f>
        <v/>
      </c>
      <c r="L254" s="2" t="str">
        <f>IF(Tabela1[[#This Row],[IPU_COD]]=9,"91",IF(Tabela1[[#This Row],[ACAO_COD]]="","",VLOOKUP(CONCATENATE("G",J254,"M",K254),qdd!$BC$2:$BD$46,2,FALSE)))</f>
        <v/>
      </c>
      <c r="M254" s="2" t="str">
        <f>TEXT(IFERROR(VLOOKUP(CONCATENATE(C254,D254),qdd!$C$2:$G$1000,5,FALSE),""),0)</f>
        <v/>
      </c>
      <c r="N254" s="2" t="str">
        <f>IFERROR(IF('PREENCHER AQUI'!I254="","",'PREENCHER AQUI'!I254),"")</f>
        <v/>
      </c>
      <c r="O254" s="2" t="str">
        <f>IFERROR(IF('PREENCHER AQUI'!J254="","",'PREENCHER AQUI'!J254),"")</f>
        <v/>
      </c>
      <c r="P254" s="7" t="str">
        <f t="shared" si="9"/>
        <v/>
      </c>
      <c r="Q254" s="8" t="str">
        <f>IFERROR(IF(Tabela4[[#This Row],[VALOR]]="","",IF(Tabela1[[#This Row],[ORIENTACAO]]="Anular",'PREENCHER AQUI'!K254*-1*100,'PREENCHER AQUI'!K254*100)),"")</f>
        <v/>
      </c>
      <c r="T254" s="7" t="str">
        <f>IFERROR(IF('PREENCHER AQUI'!L254="","999",LEFT('PREENCHER AQUI'!L254,1)),"")</f>
        <v>999</v>
      </c>
      <c r="V254" s="19"/>
      <c r="W254" s="1" t="str">
        <f>IFERROR(VLOOKUP(Tabela1[[#This Row],[UO_COD]],qdd!$AT$1:$AU$102,2,FALSE),"")</f>
        <v/>
      </c>
      <c r="X254" s="1" t="str">
        <f>CONCATENATE("F",Tabela1[[#This Row],[FONTE_COD]],Tabela1[[#This Row],[IPU_COD]],"G",Tabela1[[#This Row],[GRUPO_COD]],"T",Tabela1[[#This Row],[TIPO]])</f>
        <v>FGT999</v>
      </c>
      <c r="Y2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4" s="19"/>
      <c r="AA254" s="29" t="str">
        <f>IFERROR(VLOOKUP(CONCATENATE("B",Tabela1[[#This Row],[BLOCO]],Tabela1[[#This Row],[UO_COD]]),qdd!$AW$2:$AX$1000,2,FALSE),"")</f>
        <v/>
      </c>
      <c r="AB254" s="30" t="str">
        <f>IFERROR(Tabela1[[#This Row],[VALOR]]/100,"")</f>
        <v/>
      </c>
      <c r="AC254" s="7" t="str" cm="1">
        <f t="array" aca="1" ref="AC254" ca="1">IF(Tabela1[[#This Row],[VALOR]]&lt;0,"",IFERROR(SUBSTITUTE(Converter_numero(Tabela1[[#This Row],[VALOR INCISO]]),",",""),""))</f>
        <v/>
      </c>
      <c r="AD254" s="29" t="str">
        <f>IF(Tabela1[[#This Row],[TIPO]]=REGRAS!$W$2,REGRAS!$X$2,IF(Tabela1[[#This Row],[TIPO]]=REGRAS!$W$4,REGRAS!$X$4,""))</f>
        <v/>
      </c>
      <c r="AE254" s="29" t="e">
        <f>VLOOKUP(Tabela1[[#This Row],[FONTE_COD]],REGRAS!$O$2:$P$69,2,FALSE)</f>
        <v>#N/A</v>
      </c>
      <c r="AF2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5" spans="1:32" ht="18.75" customHeight="1">
      <c r="A255" s="2" t="str">
        <f>IFERROR(IF('PREENCHER AQUI'!A255="","",'PREENCHER AQUI'!A255),"")</f>
        <v/>
      </c>
      <c r="B255" s="1" t="str">
        <f>IFERROR(IF('PREENCHER AQUI'!B255="","",PROPER('PREENCHER AQUI'!B255)),"")</f>
        <v/>
      </c>
      <c r="C255" s="1" t="str">
        <f>IFERROR(IF('PREENCHER AQUI'!C255="","",'PREENCHER AQUI'!C255),"")</f>
        <v/>
      </c>
      <c r="D255" s="2" t="str">
        <f>IFERROR(IF('PREENCHER AQUI'!D255="","",'PREENCHER AQUI'!D255),"")</f>
        <v/>
      </c>
      <c r="E255" s="2" t="str">
        <f>IFERROR(VLOOKUP(CONCATENATE(C255,D255),qdd!$C$2:$F$1000,2,FALSE),"")</f>
        <v/>
      </c>
      <c r="F255" s="2" t="str">
        <f>IFERROR(VLOOKUP(CONCATENATE(C255,D255),qdd!$C$2:$F$1000,3,FALSE),"")</f>
        <v/>
      </c>
      <c r="G255" s="2" t="str">
        <f>IFERROR(VLOOKUP(CONCATENATE(C255,D255),qdd!$C$2:$F$1000,4,FALSE),"")</f>
        <v/>
      </c>
      <c r="H255" s="6" t="str">
        <f t="shared" si="8"/>
        <v/>
      </c>
      <c r="I2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5" s="2" t="str">
        <f>IFERROR(IF('PREENCHER AQUI'!E255="","",'PREENCHER AQUI'!E255),"")</f>
        <v/>
      </c>
      <c r="K255" s="2" t="str">
        <f>IFERROR(IF('PREENCHER AQUI'!F255="","",'PREENCHER AQUI'!F255),"")</f>
        <v/>
      </c>
      <c r="L255" s="2" t="str">
        <f>IF(Tabela1[[#This Row],[IPU_COD]]=9,"91",IF(Tabela1[[#This Row],[ACAO_COD]]="","",VLOOKUP(CONCATENATE("G",J255,"M",K255),qdd!$BC$2:$BD$46,2,FALSE)))</f>
        <v/>
      </c>
      <c r="M255" s="2" t="str">
        <f>TEXT(IFERROR(VLOOKUP(CONCATENATE(C255,D255),qdd!$C$2:$G$1000,5,FALSE),""),0)</f>
        <v/>
      </c>
      <c r="N255" s="2" t="str">
        <f>IFERROR(IF('PREENCHER AQUI'!I255="","",'PREENCHER AQUI'!I255),"")</f>
        <v/>
      </c>
      <c r="O255" s="2" t="str">
        <f>IFERROR(IF('PREENCHER AQUI'!J255="","",'PREENCHER AQUI'!J255),"")</f>
        <v/>
      </c>
      <c r="P255" s="7" t="str">
        <f t="shared" si="9"/>
        <v/>
      </c>
      <c r="Q255" s="8" t="str">
        <f>IFERROR(IF(Tabela4[[#This Row],[VALOR]]="","",IF(Tabela1[[#This Row],[ORIENTACAO]]="Anular",'PREENCHER AQUI'!K255*-1*100,'PREENCHER AQUI'!K255*100)),"")</f>
        <v/>
      </c>
      <c r="T255" s="7" t="str">
        <f>IFERROR(IF('PREENCHER AQUI'!L255="","999",LEFT('PREENCHER AQUI'!L255,1)),"")</f>
        <v>999</v>
      </c>
      <c r="V255" s="19"/>
      <c r="W255" s="20" t="str">
        <f>IFERROR(VLOOKUP(Tabela1[[#This Row],[UO_COD]],qdd!$AT$1:$AU$102,2,FALSE),"")</f>
        <v/>
      </c>
      <c r="X255" s="20" t="str">
        <f>CONCATENATE("F",Tabela1[[#This Row],[FONTE_COD]],Tabela1[[#This Row],[IPU_COD]],"G",Tabela1[[#This Row],[GRUPO_COD]],"T",Tabela1[[#This Row],[TIPO]])</f>
        <v>FGT999</v>
      </c>
      <c r="Y2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5" s="19"/>
      <c r="AA255" s="29" t="str">
        <f>IFERROR(VLOOKUP(CONCATENATE("B",Tabela1[[#This Row],[BLOCO]],Tabela1[[#This Row],[UO_COD]]),qdd!$AW$2:$AX$1000,2,FALSE),"")</f>
        <v/>
      </c>
      <c r="AB255" s="30" t="str">
        <f>IFERROR(Tabela1[[#This Row],[VALOR]]/100,"")</f>
        <v/>
      </c>
      <c r="AC255" s="7" t="str" cm="1">
        <f t="array" aca="1" ref="AC255" ca="1">IF(Tabela1[[#This Row],[VALOR]]&lt;0,"",IFERROR(SUBSTITUTE(Converter_numero(Tabela1[[#This Row],[VALOR INCISO]]),",",""),""))</f>
        <v/>
      </c>
      <c r="AD255" s="29" t="str">
        <f>IF(Tabela1[[#This Row],[TIPO]]=REGRAS!$W$2,REGRAS!$X$2,IF(Tabela1[[#This Row],[TIPO]]=REGRAS!$W$4,REGRAS!$X$4,""))</f>
        <v/>
      </c>
      <c r="AE255" s="29" t="e">
        <f>VLOOKUP(Tabela1[[#This Row],[FONTE_COD]],REGRAS!$O$2:$P$69,2,FALSE)</f>
        <v>#N/A</v>
      </c>
      <c r="AF2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6" spans="1:32" ht="18.75" customHeight="1">
      <c r="A256" s="2" t="str">
        <f>IFERROR(IF('PREENCHER AQUI'!A256="","",'PREENCHER AQUI'!A256),"")</f>
        <v/>
      </c>
      <c r="B256" s="1" t="str">
        <f>IFERROR(IF('PREENCHER AQUI'!B256="","",PROPER('PREENCHER AQUI'!B256)),"")</f>
        <v/>
      </c>
      <c r="C256" s="1" t="str">
        <f>IFERROR(IF('PREENCHER AQUI'!C256="","",'PREENCHER AQUI'!C256),"")</f>
        <v/>
      </c>
      <c r="D256" s="2" t="str">
        <f>IFERROR(IF('PREENCHER AQUI'!D256="","",'PREENCHER AQUI'!D256),"")</f>
        <v/>
      </c>
      <c r="E256" s="2" t="str">
        <f>IFERROR(VLOOKUP(CONCATENATE(C256,D256),qdd!$C$2:$F$1000,2,FALSE),"")</f>
        <v/>
      </c>
      <c r="F256" s="2" t="str">
        <f>IFERROR(VLOOKUP(CONCATENATE(C256,D256),qdd!$C$2:$F$1000,3,FALSE),"")</f>
        <v/>
      </c>
      <c r="G256" s="2" t="str">
        <f>IFERROR(VLOOKUP(CONCATENATE(C256,D256),qdd!$C$2:$F$1000,4,FALSE),"")</f>
        <v/>
      </c>
      <c r="H256" s="6" t="str">
        <f t="shared" si="8"/>
        <v/>
      </c>
      <c r="I2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6" s="2" t="str">
        <f>IFERROR(IF('PREENCHER AQUI'!E256="","",'PREENCHER AQUI'!E256),"")</f>
        <v/>
      </c>
      <c r="K256" s="2" t="str">
        <f>IFERROR(IF('PREENCHER AQUI'!F256="","",'PREENCHER AQUI'!F256),"")</f>
        <v/>
      </c>
      <c r="L256" s="2" t="str">
        <f>IF(Tabela1[[#This Row],[IPU_COD]]=9,"91",IF(Tabela1[[#This Row],[ACAO_COD]]="","",VLOOKUP(CONCATENATE("G",J256,"M",K256),qdd!$BC$2:$BD$46,2,FALSE)))</f>
        <v/>
      </c>
      <c r="M256" s="2" t="str">
        <f>TEXT(IFERROR(VLOOKUP(CONCATENATE(C256,D256),qdd!$C$2:$G$1000,5,FALSE),""),0)</f>
        <v/>
      </c>
      <c r="N256" s="2" t="str">
        <f>IFERROR(IF('PREENCHER AQUI'!I256="","",'PREENCHER AQUI'!I256),"")</f>
        <v/>
      </c>
      <c r="O256" s="2" t="str">
        <f>IFERROR(IF('PREENCHER AQUI'!J256="","",'PREENCHER AQUI'!J256),"")</f>
        <v/>
      </c>
      <c r="P256" s="7" t="str">
        <f t="shared" si="9"/>
        <v/>
      </c>
      <c r="Q256" s="8" t="str">
        <f>IFERROR(IF(Tabela4[[#This Row],[VALOR]]="","",IF(Tabela1[[#This Row],[ORIENTACAO]]="Anular",'PREENCHER AQUI'!K256*-1*100,'PREENCHER AQUI'!K256*100)),"")</f>
        <v/>
      </c>
      <c r="T256" s="7" t="str">
        <f>IFERROR(IF('PREENCHER AQUI'!L256="","999",LEFT('PREENCHER AQUI'!L256,1)),"")</f>
        <v>999</v>
      </c>
      <c r="V256" s="19"/>
      <c r="W256" s="1" t="str">
        <f>IFERROR(VLOOKUP(Tabela1[[#This Row],[UO_COD]],qdd!$AT$1:$AU$102,2,FALSE),"")</f>
        <v/>
      </c>
      <c r="X256" s="1" t="str">
        <f>CONCATENATE("F",Tabela1[[#This Row],[FONTE_COD]],Tabela1[[#This Row],[IPU_COD]],"G",Tabela1[[#This Row],[GRUPO_COD]],"T",Tabela1[[#This Row],[TIPO]])</f>
        <v>FGT999</v>
      </c>
      <c r="Y2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6" s="19"/>
      <c r="AA256" s="29" t="str">
        <f>IFERROR(VLOOKUP(CONCATENATE("B",Tabela1[[#This Row],[BLOCO]],Tabela1[[#This Row],[UO_COD]]),qdd!$AW$2:$AX$1000,2,FALSE),"")</f>
        <v/>
      </c>
      <c r="AB256" s="30" t="str">
        <f>IFERROR(Tabela1[[#This Row],[VALOR]]/100,"")</f>
        <v/>
      </c>
      <c r="AC256" s="7" t="str" cm="1">
        <f t="array" aca="1" ref="AC256" ca="1">IF(Tabela1[[#This Row],[VALOR]]&lt;0,"",IFERROR(SUBSTITUTE(Converter_numero(Tabela1[[#This Row],[VALOR INCISO]]),",",""),""))</f>
        <v/>
      </c>
      <c r="AD256" s="29" t="str">
        <f>IF(Tabela1[[#This Row],[TIPO]]=REGRAS!$W$2,REGRAS!$X$2,IF(Tabela1[[#This Row],[TIPO]]=REGRAS!$W$4,REGRAS!$X$4,""))</f>
        <v/>
      </c>
      <c r="AE256" s="29" t="e">
        <f>VLOOKUP(Tabela1[[#This Row],[FONTE_COD]],REGRAS!$O$2:$P$69,2,FALSE)</f>
        <v>#N/A</v>
      </c>
      <c r="AF2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7" spans="1:32" ht="18.75" customHeight="1">
      <c r="A257" s="2" t="str">
        <f>IFERROR(IF('PREENCHER AQUI'!A257="","",'PREENCHER AQUI'!A257),"")</f>
        <v/>
      </c>
      <c r="B257" s="1" t="str">
        <f>IFERROR(IF('PREENCHER AQUI'!B257="","",PROPER('PREENCHER AQUI'!B257)),"")</f>
        <v/>
      </c>
      <c r="C257" s="1" t="str">
        <f>IFERROR(IF('PREENCHER AQUI'!C257="","",'PREENCHER AQUI'!C257),"")</f>
        <v/>
      </c>
      <c r="D257" s="2" t="str">
        <f>IFERROR(IF('PREENCHER AQUI'!D257="","",'PREENCHER AQUI'!D257),"")</f>
        <v/>
      </c>
      <c r="E257" s="2" t="str">
        <f>IFERROR(VLOOKUP(CONCATENATE(C257,D257),qdd!$C$2:$F$1000,2,FALSE),"")</f>
        <v/>
      </c>
      <c r="F257" s="2" t="str">
        <f>IFERROR(VLOOKUP(CONCATENATE(C257,D257),qdd!$C$2:$F$1000,3,FALSE),"")</f>
        <v/>
      </c>
      <c r="G257" s="2" t="str">
        <f>IFERROR(VLOOKUP(CONCATENATE(C257,D257),qdd!$C$2:$F$1000,4,FALSE),"")</f>
        <v/>
      </c>
      <c r="H257" s="6" t="str">
        <f t="shared" si="8"/>
        <v/>
      </c>
      <c r="I2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7" s="2" t="str">
        <f>IFERROR(IF('PREENCHER AQUI'!E257="","",'PREENCHER AQUI'!E257),"")</f>
        <v/>
      </c>
      <c r="K257" s="2" t="str">
        <f>IFERROR(IF('PREENCHER AQUI'!F257="","",'PREENCHER AQUI'!F257),"")</f>
        <v/>
      </c>
      <c r="L257" s="2" t="str">
        <f>IF(Tabela1[[#This Row],[IPU_COD]]=9,"91",IF(Tabela1[[#This Row],[ACAO_COD]]="","",VLOOKUP(CONCATENATE("G",J257,"M",K257),qdd!$BC$2:$BD$46,2,FALSE)))</f>
        <v/>
      </c>
      <c r="M257" s="2" t="str">
        <f>TEXT(IFERROR(VLOOKUP(CONCATENATE(C257,D257),qdd!$C$2:$G$1000,5,FALSE),""),0)</f>
        <v/>
      </c>
      <c r="N257" s="2" t="str">
        <f>IFERROR(IF('PREENCHER AQUI'!I257="","",'PREENCHER AQUI'!I257),"")</f>
        <v/>
      </c>
      <c r="O257" s="2" t="str">
        <f>IFERROR(IF('PREENCHER AQUI'!J257="","",'PREENCHER AQUI'!J257),"")</f>
        <v/>
      </c>
      <c r="P257" s="7" t="str">
        <f t="shared" si="9"/>
        <v/>
      </c>
      <c r="Q257" s="8" t="str">
        <f>IFERROR(IF(Tabela4[[#This Row],[VALOR]]="","",IF(Tabela1[[#This Row],[ORIENTACAO]]="Anular",'PREENCHER AQUI'!K257*-1*100,'PREENCHER AQUI'!K257*100)),"")</f>
        <v/>
      </c>
      <c r="T257" s="7" t="str">
        <f>IFERROR(IF('PREENCHER AQUI'!L257="","999",LEFT('PREENCHER AQUI'!L257,1)),"")</f>
        <v>999</v>
      </c>
      <c r="W257" s="1" t="str">
        <f>IFERROR(VLOOKUP(Tabela1[[#This Row],[UO_COD]],qdd!$AT$1:$AU$102,2,FALSE),"")</f>
        <v/>
      </c>
      <c r="X257" s="1" t="str">
        <f>CONCATENATE("F",Tabela1[[#This Row],[FONTE_COD]],Tabela1[[#This Row],[IPU_COD]],"G",Tabela1[[#This Row],[GRUPO_COD]],"T",Tabela1[[#This Row],[TIPO]])</f>
        <v>FGT999</v>
      </c>
      <c r="Y2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7" s="19"/>
      <c r="AA257" s="29" t="str">
        <f>IFERROR(VLOOKUP(CONCATENATE("B",Tabela1[[#This Row],[BLOCO]],Tabela1[[#This Row],[UO_COD]]),qdd!$AW$2:$AX$1000,2,FALSE),"")</f>
        <v/>
      </c>
      <c r="AB257" s="30" t="str">
        <f>IFERROR(Tabela1[[#This Row],[VALOR]]/100,"")</f>
        <v/>
      </c>
      <c r="AC257" s="7" t="str" cm="1">
        <f t="array" aca="1" ref="AC257" ca="1">IF(Tabela1[[#This Row],[VALOR]]&lt;0,"",IFERROR(SUBSTITUTE(Converter_numero(Tabela1[[#This Row],[VALOR INCISO]]),",",""),""))</f>
        <v/>
      </c>
      <c r="AD257" s="7" t="str">
        <f>IF(Tabela1[[#This Row],[TIPO]]=REGRAS!$W$2,REGRAS!$X$2,IF(Tabela1[[#This Row],[TIPO]]=REGRAS!$W$4,REGRAS!$X$4,""))</f>
        <v/>
      </c>
      <c r="AE257" s="29" t="e">
        <f>VLOOKUP(Tabela1[[#This Row],[FONTE_COD]],REGRAS!$O$2:$P$69,2,FALSE)</f>
        <v>#N/A</v>
      </c>
      <c r="AF2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8" spans="1:32" ht="18.75" customHeight="1">
      <c r="A258" s="2" t="str">
        <f>IFERROR(IF('PREENCHER AQUI'!A258="","",'PREENCHER AQUI'!A258),"")</f>
        <v/>
      </c>
      <c r="B258" s="1" t="str">
        <f>IFERROR(IF('PREENCHER AQUI'!B258="","",PROPER('PREENCHER AQUI'!B258)),"")</f>
        <v/>
      </c>
      <c r="C258" s="1" t="str">
        <f>IFERROR(IF('PREENCHER AQUI'!C258="","",'PREENCHER AQUI'!C258),"")</f>
        <v/>
      </c>
      <c r="D258" s="2" t="str">
        <f>IFERROR(IF('PREENCHER AQUI'!D258="","",'PREENCHER AQUI'!D258),"")</f>
        <v/>
      </c>
      <c r="E258" s="2" t="str">
        <f>IFERROR(VLOOKUP(CONCATENATE(C258,D258),qdd!$C$2:$F$1000,2,FALSE),"")</f>
        <v/>
      </c>
      <c r="F258" s="2" t="str">
        <f>IFERROR(VLOOKUP(CONCATENATE(C258,D258),qdd!$C$2:$F$1000,3,FALSE),"")</f>
        <v/>
      </c>
      <c r="G258" s="2" t="str">
        <f>IFERROR(VLOOKUP(CONCATENATE(C258,D258),qdd!$C$2:$F$1000,4,FALSE),"")</f>
        <v/>
      </c>
      <c r="H258" s="6" t="str">
        <f t="shared" si="8"/>
        <v/>
      </c>
      <c r="I2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8" s="2" t="str">
        <f>IFERROR(IF('PREENCHER AQUI'!E258="","",'PREENCHER AQUI'!E258),"")</f>
        <v/>
      </c>
      <c r="K258" s="2" t="str">
        <f>IFERROR(IF('PREENCHER AQUI'!F258="","",'PREENCHER AQUI'!F258),"")</f>
        <v/>
      </c>
      <c r="L258" s="2" t="str">
        <f>IF(Tabela1[[#This Row],[IPU_COD]]=9,"91",IF(Tabela1[[#This Row],[ACAO_COD]]="","",VLOOKUP(CONCATENATE("G",J258,"M",K258),qdd!$BC$2:$BD$46,2,FALSE)))</f>
        <v/>
      </c>
      <c r="M258" s="2" t="str">
        <f>TEXT(IFERROR(VLOOKUP(CONCATENATE(C258,D258),qdd!$C$2:$G$1000,5,FALSE),""),0)</f>
        <v/>
      </c>
      <c r="N258" s="2" t="str">
        <f>IFERROR(IF('PREENCHER AQUI'!I258="","",'PREENCHER AQUI'!I258),"")</f>
        <v/>
      </c>
      <c r="O258" s="2" t="str">
        <f>IFERROR(IF('PREENCHER AQUI'!J258="","",'PREENCHER AQUI'!J258),"")</f>
        <v/>
      </c>
      <c r="P258" s="7" t="str">
        <f t="shared" si="9"/>
        <v/>
      </c>
      <c r="Q258" s="8" t="str">
        <f>IFERROR(IF(Tabela4[[#This Row],[VALOR]]="","",IF(Tabela1[[#This Row],[ORIENTACAO]]="Anular",'PREENCHER AQUI'!K258*-1*100,'PREENCHER AQUI'!K258*100)),"")</f>
        <v/>
      </c>
      <c r="T258" s="7" t="str">
        <f>IFERROR(IF('PREENCHER AQUI'!L258="","999",LEFT('PREENCHER AQUI'!L258,1)),"")</f>
        <v>999</v>
      </c>
      <c r="V258" s="19"/>
      <c r="W258" s="1" t="str">
        <f>IFERROR(VLOOKUP(Tabela1[[#This Row],[UO_COD]],qdd!$AT$1:$AU$102,2,FALSE),"")</f>
        <v/>
      </c>
      <c r="X258" s="1" t="str">
        <f>CONCATENATE("F",Tabela1[[#This Row],[FONTE_COD]],Tabela1[[#This Row],[IPU_COD]],"G",Tabela1[[#This Row],[GRUPO_COD]],"T",Tabela1[[#This Row],[TIPO]])</f>
        <v>FGT999</v>
      </c>
      <c r="Y2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8" s="19"/>
      <c r="AA258" s="29" t="str">
        <f>IFERROR(VLOOKUP(CONCATENATE("B",Tabela1[[#This Row],[BLOCO]],Tabela1[[#This Row],[UO_COD]]),qdd!$AW$2:$AX$1000,2,FALSE),"")</f>
        <v/>
      </c>
      <c r="AB258" s="30" t="str">
        <f>IFERROR(Tabela1[[#This Row],[VALOR]]/100,"")</f>
        <v/>
      </c>
      <c r="AC258" s="7" t="str" cm="1">
        <f t="array" aca="1" ref="AC258" ca="1">IF(Tabela1[[#This Row],[VALOR]]&lt;0,"",IFERROR(SUBSTITUTE(Converter_numero(Tabela1[[#This Row],[VALOR INCISO]]),",",""),""))</f>
        <v/>
      </c>
      <c r="AD258" s="29" t="str">
        <f>IF(Tabela1[[#This Row],[TIPO]]=REGRAS!$W$2,REGRAS!$X$2,IF(Tabela1[[#This Row],[TIPO]]=REGRAS!$W$4,REGRAS!$X$4,""))</f>
        <v/>
      </c>
      <c r="AE258" s="29" t="e">
        <f>VLOOKUP(Tabela1[[#This Row],[FONTE_COD]],REGRAS!$O$2:$P$69,2,FALSE)</f>
        <v>#N/A</v>
      </c>
      <c r="AF2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9" spans="1:32" ht="18.75" customHeight="1">
      <c r="A259" s="2" t="str">
        <f>IFERROR(IF('PREENCHER AQUI'!A259="","",'PREENCHER AQUI'!A259),"")</f>
        <v/>
      </c>
      <c r="B259" s="1" t="str">
        <f>IFERROR(IF('PREENCHER AQUI'!B259="","",PROPER('PREENCHER AQUI'!B259)),"")</f>
        <v/>
      </c>
      <c r="C259" s="1" t="str">
        <f>IFERROR(IF('PREENCHER AQUI'!C259="","",'PREENCHER AQUI'!C259),"")</f>
        <v/>
      </c>
      <c r="D259" s="2" t="str">
        <f>IFERROR(IF('PREENCHER AQUI'!D259="","",'PREENCHER AQUI'!D259),"")</f>
        <v/>
      </c>
      <c r="E259" s="2" t="str">
        <f>IFERROR(VLOOKUP(CONCATENATE(C259,D259),qdd!$C$2:$F$1000,2,FALSE),"")</f>
        <v/>
      </c>
      <c r="F259" s="2" t="str">
        <f>IFERROR(VLOOKUP(CONCATENATE(C259,D259),qdd!$C$2:$F$1000,3,FALSE),"")</f>
        <v/>
      </c>
      <c r="G259" s="2" t="str">
        <f>IFERROR(VLOOKUP(CONCATENATE(C259,D259),qdd!$C$2:$F$1000,4,FALSE),"")</f>
        <v/>
      </c>
      <c r="H259" s="6" t="str">
        <f t="shared" ref="H259:H322" si="10">IF(E259="","","0001")</f>
        <v/>
      </c>
      <c r="I2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9" s="2" t="str">
        <f>IFERROR(IF('PREENCHER AQUI'!E259="","",'PREENCHER AQUI'!E259),"")</f>
        <v/>
      </c>
      <c r="K259" s="2" t="str">
        <f>IFERROR(IF('PREENCHER AQUI'!F259="","",'PREENCHER AQUI'!F259),"")</f>
        <v/>
      </c>
      <c r="L259" s="2" t="str">
        <f>IF(Tabela1[[#This Row],[IPU_COD]]=9,"91",IF(Tabela1[[#This Row],[ACAO_COD]]="","",VLOOKUP(CONCATENATE("G",J259,"M",K259),qdd!$BC$2:$BD$46,2,FALSE)))</f>
        <v/>
      </c>
      <c r="M259" s="2" t="str">
        <f>TEXT(IFERROR(VLOOKUP(CONCATENATE(C259,D259),qdd!$C$2:$G$1000,5,FALSE),""),0)</f>
        <v/>
      </c>
      <c r="N259" s="2" t="str">
        <f>IFERROR(IF('PREENCHER AQUI'!I259="","",'PREENCHER AQUI'!I259),"")</f>
        <v/>
      </c>
      <c r="O259" s="2" t="str">
        <f>IFERROR(IF('PREENCHER AQUI'!J259="","",'PREENCHER AQUI'!J259),"")</f>
        <v/>
      </c>
      <c r="P259" s="7" t="str">
        <f t="shared" ref="P259:P322" si="11">IFERROR(CONCATENATE(E259,F259,G259,D259,H259,I259,J259,K259,L259,M259,N259,O259),"")</f>
        <v/>
      </c>
      <c r="Q259" s="8" t="str">
        <f>IFERROR(IF(Tabela4[[#This Row],[VALOR]]="","",IF(Tabela1[[#This Row],[ORIENTACAO]]="Anular",'PREENCHER AQUI'!K259*-1*100,'PREENCHER AQUI'!K259*100)),"")</f>
        <v/>
      </c>
      <c r="T259" s="7" t="str">
        <f>IFERROR(IF('PREENCHER AQUI'!L259="","999",LEFT('PREENCHER AQUI'!L259,1)),"")</f>
        <v>999</v>
      </c>
      <c r="V259" s="19"/>
      <c r="W259" s="1" t="str">
        <f>IFERROR(VLOOKUP(Tabela1[[#This Row],[UO_COD]],qdd!$AT$1:$AU$102,2,FALSE),"")</f>
        <v/>
      </c>
      <c r="X259" s="1" t="str">
        <f>CONCATENATE("F",Tabela1[[#This Row],[FONTE_COD]],Tabela1[[#This Row],[IPU_COD]],"G",Tabela1[[#This Row],[GRUPO_COD]],"T",Tabela1[[#This Row],[TIPO]])</f>
        <v>FGT999</v>
      </c>
      <c r="Y2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9" s="19"/>
      <c r="AA259" s="29" t="str">
        <f>IFERROR(VLOOKUP(CONCATENATE("B",Tabela1[[#This Row],[BLOCO]],Tabela1[[#This Row],[UO_COD]]),qdd!$AW$2:$AX$1000,2,FALSE),"")</f>
        <v/>
      </c>
      <c r="AB259" s="30" t="str">
        <f>IFERROR(Tabela1[[#This Row],[VALOR]]/100,"")</f>
        <v/>
      </c>
      <c r="AC259" s="7" t="str" cm="1">
        <f t="array" aca="1" ref="AC259" ca="1">IF(Tabela1[[#This Row],[VALOR]]&lt;0,"",IFERROR(SUBSTITUTE(Converter_numero(Tabela1[[#This Row],[VALOR INCISO]]),",",""),""))</f>
        <v/>
      </c>
      <c r="AD259" s="29" t="str">
        <f>IF(Tabela1[[#This Row],[TIPO]]=REGRAS!$W$2,REGRAS!$X$2,IF(Tabela1[[#This Row],[TIPO]]=REGRAS!$W$4,REGRAS!$X$4,""))</f>
        <v/>
      </c>
      <c r="AE259" s="29" t="e">
        <f>VLOOKUP(Tabela1[[#This Row],[FONTE_COD]],REGRAS!$O$2:$P$69,2,FALSE)</f>
        <v>#N/A</v>
      </c>
      <c r="AF2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0" spans="1:32" ht="18.75" customHeight="1">
      <c r="A260" s="2" t="str">
        <f>IFERROR(IF('PREENCHER AQUI'!A260="","",'PREENCHER AQUI'!A260),"")</f>
        <v/>
      </c>
      <c r="B260" s="1" t="str">
        <f>IFERROR(IF('PREENCHER AQUI'!B260="","",PROPER('PREENCHER AQUI'!B260)),"")</f>
        <v/>
      </c>
      <c r="C260" s="1" t="str">
        <f>IFERROR(IF('PREENCHER AQUI'!C260="","",'PREENCHER AQUI'!C260),"")</f>
        <v/>
      </c>
      <c r="D260" s="2" t="str">
        <f>IFERROR(IF('PREENCHER AQUI'!D260="","",'PREENCHER AQUI'!D260),"")</f>
        <v/>
      </c>
      <c r="E260" s="2" t="str">
        <f>IFERROR(VLOOKUP(CONCATENATE(C260,D260),qdd!$C$2:$F$1000,2,FALSE),"")</f>
        <v/>
      </c>
      <c r="F260" s="2" t="str">
        <f>IFERROR(VLOOKUP(CONCATENATE(C260,D260),qdd!$C$2:$F$1000,3,FALSE),"")</f>
        <v/>
      </c>
      <c r="G260" s="2" t="str">
        <f>IFERROR(VLOOKUP(CONCATENATE(C260,D260),qdd!$C$2:$F$1000,4,FALSE),"")</f>
        <v/>
      </c>
      <c r="H260" s="6" t="str">
        <f t="shared" si="10"/>
        <v/>
      </c>
      <c r="I2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0" s="2" t="str">
        <f>IFERROR(IF('PREENCHER AQUI'!E260="","",'PREENCHER AQUI'!E260),"")</f>
        <v/>
      </c>
      <c r="K260" s="2" t="str">
        <f>IFERROR(IF('PREENCHER AQUI'!F260="","",'PREENCHER AQUI'!F260),"")</f>
        <v/>
      </c>
      <c r="L260" s="2" t="str">
        <f>IF(Tabela1[[#This Row],[IPU_COD]]=9,"91",IF(Tabela1[[#This Row],[ACAO_COD]]="","",VLOOKUP(CONCATENATE("G",J260,"M",K260),qdd!$BC$2:$BD$46,2,FALSE)))</f>
        <v/>
      </c>
      <c r="M260" s="2" t="str">
        <f>TEXT(IFERROR(VLOOKUP(CONCATENATE(C260,D260),qdd!$C$2:$G$1000,5,FALSE),""),0)</f>
        <v/>
      </c>
      <c r="N260" s="2" t="str">
        <f>IFERROR(IF('PREENCHER AQUI'!I260="","",'PREENCHER AQUI'!I260),"")</f>
        <v/>
      </c>
      <c r="O260" s="2" t="str">
        <f>IFERROR(IF('PREENCHER AQUI'!J260="","",'PREENCHER AQUI'!J260),"")</f>
        <v/>
      </c>
      <c r="P260" s="7" t="str">
        <f t="shared" si="11"/>
        <v/>
      </c>
      <c r="Q260" s="8" t="str">
        <f>IFERROR(IF(Tabela4[[#This Row],[VALOR]]="","",IF(Tabela1[[#This Row],[ORIENTACAO]]="Anular",'PREENCHER AQUI'!K260*-1*100,'PREENCHER AQUI'!K260*100)),"")</f>
        <v/>
      </c>
      <c r="T260" s="7" t="str">
        <f>IFERROR(IF('PREENCHER AQUI'!L260="","999",LEFT('PREENCHER AQUI'!L260,1)),"")</f>
        <v>999</v>
      </c>
      <c r="V260" s="19"/>
      <c r="W260" s="20" t="str">
        <f>IFERROR(VLOOKUP(Tabela1[[#This Row],[UO_COD]],qdd!$AT$1:$AU$102,2,FALSE),"")</f>
        <v/>
      </c>
      <c r="X260" s="20" t="str">
        <f>CONCATENATE("F",Tabela1[[#This Row],[FONTE_COD]],Tabela1[[#This Row],[IPU_COD]],"G",Tabela1[[#This Row],[GRUPO_COD]],"T",Tabela1[[#This Row],[TIPO]])</f>
        <v>FGT999</v>
      </c>
      <c r="Y2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0" s="19"/>
      <c r="AA260" s="29" t="str">
        <f>IFERROR(VLOOKUP(CONCATENATE("B",Tabela1[[#This Row],[BLOCO]],Tabela1[[#This Row],[UO_COD]]),qdd!$AW$2:$AX$1000,2,FALSE),"")</f>
        <v/>
      </c>
      <c r="AB260" s="30" t="str">
        <f>IFERROR(Tabela1[[#This Row],[VALOR]]/100,"")</f>
        <v/>
      </c>
      <c r="AC260" s="7" t="str" cm="1">
        <f t="array" aca="1" ref="AC260" ca="1">IF(Tabela1[[#This Row],[VALOR]]&lt;0,"",IFERROR(SUBSTITUTE(Converter_numero(Tabela1[[#This Row],[VALOR INCISO]]),",",""),""))</f>
        <v/>
      </c>
      <c r="AD260" s="29" t="str">
        <f>IF(Tabela1[[#This Row],[TIPO]]=REGRAS!$W$2,REGRAS!$X$2,IF(Tabela1[[#This Row],[TIPO]]=REGRAS!$W$4,REGRAS!$X$4,""))</f>
        <v/>
      </c>
      <c r="AE260" s="29" t="e">
        <f>VLOOKUP(Tabela1[[#This Row],[FONTE_COD]],REGRAS!$O$2:$P$69,2,FALSE)</f>
        <v>#N/A</v>
      </c>
      <c r="AF2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1" spans="1:32" ht="18.75" customHeight="1">
      <c r="A261" s="2" t="str">
        <f>IFERROR(IF('PREENCHER AQUI'!A261="","",'PREENCHER AQUI'!A261),"")</f>
        <v/>
      </c>
      <c r="B261" s="1" t="str">
        <f>IFERROR(IF('PREENCHER AQUI'!B261="","",PROPER('PREENCHER AQUI'!B261)),"")</f>
        <v/>
      </c>
      <c r="C261" s="1" t="str">
        <f>IFERROR(IF('PREENCHER AQUI'!C261="","",'PREENCHER AQUI'!C261),"")</f>
        <v/>
      </c>
      <c r="D261" s="2" t="str">
        <f>IFERROR(IF('PREENCHER AQUI'!D261="","",'PREENCHER AQUI'!D261),"")</f>
        <v/>
      </c>
      <c r="E261" s="2" t="str">
        <f>IFERROR(VLOOKUP(CONCATENATE(C261,D261),qdd!$C$2:$F$1000,2,FALSE),"")</f>
        <v/>
      </c>
      <c r="F261" s="2" t="str">
        <f>IFERROR(VLOOKUP(CONCATENATE(C261,D261),qdd!$C$2:$F$1000,3,FALSE),"")</f>
        <v/>
      </c>
      <c r="G261" s="2" t="str">
        <f>IFERROR(VLOOKUP(CONCATENATE(C261,D261),qdd!$C$2:$F$1000,4,FALSE),"")</f>
        <v/>
      </c>
      <c r="H261" s="6" t="str">
        <f t="shared" si="10"/>
        <v/>
      </c>
      <c r="I2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1" s="2" t="str">
        <f>IFERROR(IF('PREENCHER AQUI'!E261="","",'PREENCHER AQUI'!E261),"")</f>
        <v/>
      </c>
      <c r="K261" s="2" t="str">
        <f>IFERROR(IF('PREENCHER AQUI'!F261="","",'PREENCHER AQUI'!F261),"")</f>
        <v/>
      </c>
      <c r="L261" s="2" t="str">
        <f>IF(Tabela1[[#This Row],[IPU_COD]]=9,"91",IF(Tabela1[[#This Row],[ACAO_COD]]="","",VLOOKUP(CONCATENATE("G",J261,"M",K261),qdd!$BC$2:$BD$46,2,FALSE)))</f>
        <v/>
      </c>
      <c r="M261" s="2" t="str">
        <f>TEXT(IFERROR(VLOOKUP(CONCATENATE(C261,D261),qdd!$C$2:$G$1000,5,FALSE),""),0)</f>
        <v/>
      </c>
      <c r="N261" s="2" t="str">
        <f>IFERROR(IF('PREENCHER AQUI'!I261="","",'PREENCHER AQUI'!I261),"")</f>
        <v/>
      </c>
      <c r="O261" s="2" t="str">
        <f>IFERROR(IF('PREENCHER AQUI'!J261="","",'PREENCHER AQUI'!J261),"")</f>
        <v/>
      </c>
      <c r="P261" s="7" t="str">
        <f t="shared" si="11"/>
        <v/>
      </c>
      <c r="Q261" s="8" t="str">
        <f>IFERROR(IF(Tabela4[[#This Row],[VALOR]]="","",IF(Tabela1[[#This Row],[ORIENTACAO]]="Anular",'PREENCHER AQUI'!K261*-1*100,'PREENCHER AQUI'!K261*100)),"")</f>
        <v/>
      </c>
      <c r="T261" s="7" t="str">
        <f>IFERROR(IF('PREENCHER AQUI'!L261="","999",LEFT('PREENCHER AQUI'!L261,1)),"")</f>
        <v>999</v>
      </c>
      <c r="V261" s="19"/>
      <c r="W261" s="1" t="str">
        <f>IFERROR(VLOOKUP(Tabela1[[#This Row],[UO_COD]],qdd!$AT$1:$AU$102,2,FALSE),"")</f>
        <v/>
      </c>
      <c r="X261" s="1" t="str">
        <f>CONCATENATE("F",Tabela1[[#This Row],[FONTE_COD]],Tabela1[[#This Row],[IPU_COD]],"G",Tabela1[[#This Row],[GRUPO_COD]],"T",Tabela1[[#This Row],[TIPO]])</f>
        <v>FGT999</v>
      </c>
      <c r="Y2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1" s="19"/>
      <c r="AA261" s="29" t="str">
        <f>IFERROR(VLOOKUP(CONCATENATE("B",Tabela1[[#This Row],[BLOCO]],Tabela1[[#This Row],[UO_COD]]),qdd!$AW$2:$AX$1000,2,FALSE),"")</f>
        <v/>
      </c>
      <c r="AB261" s="30" t="str">
        <f>IFERROR(Tabela1[[#This Row],[VALOR]]/100,"")</f>
        <v/>
      </c>
      <c r="AC261" s="7" t="str" cm="1">
        <f t="array" aca="1" ref="AC261" ca="1">IF(Tabela1[[#This Row],[VALOR]]&lt;0,"",IFERROR(SUBSTITUTE(Converter_numero(Tabela1[[#This Row],[VALOR INCISO]]),",",""),""))</f>
        <v/>
      </c>
      <c r="AD261" s="29" t="str">
        <f>IF(Tabela1[[#This Row],[TIPO]]=REGRAS!$W$2,REGRAS!$X$2,IF(Tabela1[[#This Row],[TIPO]]=REGRAS!$W$4,REGRAS!$X$4,""))</f>
        <v/>
      </c>
      <c r="AE261" s="29" t="e">
        <f>VLOOKUP(Tabela1[[#This Row],[FONTE_COD]],REGRAS!$O$2:$P$69,2,FALSE)</f>
        <v>#N/A</v>
      </c>
      <c r="AF2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2" spans="1:32" ht="18.75" customHeight="1">
      <c r="A262" s="2" t="str">
        <f>IFERROR(IF('PREENCHER AQUI'!A262="","",'PREENCHER AQUI'!A262),"")</f>
        <v/>
      </c>
      <c r="B262" s="1" t="str">
        <f>IFERROR(IF('PREENCHER AQUI'!B262="","",PROPER('PREENCHER AQUI'!B262)),"")</f>
        <v/>
      </c>
      <c r="C262" s="1" t="str">
        <f>IFERROR(IF('PREENCHER AQUI'!C262="","",'PREENCHER AQUI'!C262),"")</f>
        <v/>
      </c>
      <c r="D262" s="2" t="str">
        <f>IFERROR(IF('PREENCHER AQUI'!D262="","",'PREENCHER AQUI'!D262),"")</f>
        <v/>
      </c>
      <c r="E262" s="2" t="str">
        <f>IFERROR(VLOOKUP(CONCATENATE(C262,D262),qdd!$C$2:$F$1000,2,FALSE),"")</f>
        <v/>
      </c>
      <c r="F262" s="2" t="str">
        <f>IFERROR(VLOOKUP(CONCATENATE(C262,D262),qdd!$C$2:$F$1000,3,FALSE),"")</f>
        <v/>
      </c>
      <c r="G262" s="2" t="str">
        <f>IFERROR(VLOOKUP(CONCATENATE(C262,D262),qdd!$C$2:$F$1000,4,FALSE),"")</f>
        <v/>
      </c>
      <c r="H262" s="6" t="str">
        <f t="shared" si="10"/>
        <v/>
      </c>
      <c r="I2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2" s="2" t="str">
        <f>IFERROR(IF('PREENCHER AQUI'!E262="","",'PREENCHER AQUI'!E262),"")</f>
        <v/>
      </c>
      <c r="K262" s="2" t="str">
        <f>IFERROR(IF('PREENCHER AQUI'!F262="","",'PREENCHER AQUI'!F262),"")</f>
        <v/>
      </c>
      <c r="L262" s="2" t="str">
        <f>IF(Tabela1[[#This Row],[IPU_COD]]=9,"91",IF(Tabela1[[#This Row],[ACAO_COD]]="","",VLOOKUP(CONCATENATE("G",J262,"M",K262),qdd!$BC$2:$BD$46,2,FALSE)))</f>
        <v/>
      </c>
      <c r="M262" s="2" t="str">
        <f>TEXT(IFERROR(VLOOKUP(CONCATENATE(C262,D262),qdd!$C$2:$G$1000,5,FALSE),""),0)</f>
        <v/>
      </c>
      <c r="N262" s="2" t="str">
        <f>IFERROR(IF('PREENCHER AQUI'!I262="","",'PREENCHER AQUI'!I262),"")</f>
        <v/>
      </c>
      <c r="O262" s="2" t="str">
        <f>IFERROR(IF('PREENCHER AQUI'!J262="","",'PREENCHER AQUI'!J262),"")</f>
        <v/>
      </c>
      <c r="P262" s="7" t="str">
        <f t="shared" si="11"/>
        <v/>
      </c>
      <c r="Q262" s="8" t="str">
        <f>IFERROR(IF(Tabela4[[#This Row],[VALOR]]="","",IF(Tabela1[[#This Row],[ORIENTACAO]]="Anular",'PREENCHER AQUI'!K262*-1*100,'PREENCHER AQUI'!K262*100)),"")</f>
        <v/>
      </c>
      <c r="T262" s="7" t="str">
        <f>IFERROR(IF('PREENCHER AQUI'!L262="","999",LEFT('PREENCHER AQUI'!L262,1)),"")</f>
        <v>999</v>
      </c>
      <c r="W262" s="1" t="str">
        <f>IFERROR(VLOOKUP(Tabela1[[#This Row],[UO_COD]],qdd!$AT$1:$AU$102,2,FALSE),"")</f>
        <v/>
      </c>
      <c r="X262" s="1" t="str">
        <f>CONCATENATE("F",Tabela1[[#This Row],[FONTE_COD]],Tabela1[[#This Row],[IPU_COD]],"G",Tabela1[[#This Row],[GRUPO_COD]],"T",Tabela1[[#This Row],[TIPO]])</f>
        <v>FGT999</v>
      </c>
      <c r="Y2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2" s="19"/>
      <c r="AA262" s="29" t="str">
        <f>IFERROR(VLOOKUP(CONCATENATE("B",Tabela1[[#This Row],[BLOCO]],Tabela1[[#This Row],[UO_COD]]),qdd!$AW$2:$AX$1000,2,FALSE),"")</f>
        <v/>
      </c>
      <c r="AB262" s="30" t="str">
        <f>IFERROR(Tabela1[[#This Row],[VALOR]]/100,"")</f>
        <v/>
      </c>
      <c r="AC262" s="7" t="str" cm="1">
        <f t="array" aca="1" ref="AC262" ca="1">IF(Tabela1[[#This Row],[VALOR]]&lt;0,"",IFERROR(SUBSTITUTE(Converter_numero(Tabela1[[#This Row],[VALOR INCISO]]),",",""),""))</f>
        <v/>
      </c>
      <c r="AD262" s="7" t="str">
        <f>IF(Tabela1[[#This Row],[TIPO]]=REGRAS!$W$2,REGRAS!$X$2,IF(Tabela1[[#This Row],[TIPO]]=REGRAS!$W$4,REGRAS!$X$4,""))</f>
        <v/>
      </c>
      <c r="AE262" s="29" t="e">
        <f>VLOOKUP(Tabela1[[#This Row],[FONTE_COD]],REGRAS!$O$2:$P$69,2,FALSE)</f>
        <v>#N/A</v>
      </c>
      <c r="AF2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3" spans="1:32" ht="18.75" customHeight="1">
      <c r="A263" s="2" t="str">
        <f>IFERROR(IF('PREENCHER AQUI'!A263="","",'PREENCHER AQUI'!A263),"")</f>
        <v/>
      </c>
      <c r="B263" s="1" t="str">
        <f>IFERROR(IF('PREENCHER AQUI'!B263="","",PROPER('PREENCHER AQUI'!B263)),"")</f>
        <v/>
      </c>
      <c r="C263" s="1" t="str">
        <f>IFERROR(IF('PREENCHER AQUI'!C263="","",'PREENCHER AQUI'!C263),"")</f>
        <v/>
      </c>
      <c r="D263" s="2" t="str">
        <f>IFERROR(IF('PREENCHER AQUI'!D263="","",'PREENCHER AQUI'!D263),"")</f>
        <v/>
      </c>
      <c r="E263" s="2" t="str">
        <f>IFERROR(VLOOKUP(CONCATENATE(C263,D263),qdd!$C$2:$F$1000,2,FALSE),"")</f>
        <v/>
      </c>
      <c r="F263" s="2" t="str">
        <f>IFERROR(VLOOKUP(CONCATENATE(C263,D263),qdd!$C$2:$F$1000,3,FALSE),"")</f>
        <v/>
      </c>
      <c r="G263" s="2" t="str">
        <f>IFERROR(VLOOKUP(CONCATENATE(C263,D263),qdd!$C$2:$F$1000,4,FALSE),"")</f>
        <v/>
      </c>
      <c r="H263" s="6" t="str">
        <f t="shared" si="10"/>
        <v/>
      </c>
      <c r="I2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3" s="2" t="str">
        <f>IFERROR(IF('PREENCHER AQUI'!E263="","",'PREENCHER AQUI'!E263),"")</f>
        <v/>
      </c>
      <c r="K263" s="2" t="str">
        <f>IFERROR(IF('PREENCHER AQUI'!F263="","",'PREENCHER AQUI'!F263),"")</f>
        <v/>
      </c>
      <c r="L263" s="2" t="str">
        <f>IF(Tabela1[[#This Row],[IPU_COD]]=9,"91",IF(Tabela1[[#This Row],[ACAO_COD]]="","",VLOOKUP(CONCATENATE("G",J263,"M",K263),qdd!$BC$2:$BD$46,2,FALSE)))</f>
        <v/>
      </c>
      <c r="M263" s="2" t="str">
        <f>TEXT(IFERROR(VLOOKUP(CONCATENATE(C263,D263),qdd!$C$2:$G$1000,5,FALSE),""),0)</f>
        <v/>
      </c>
      <c r="N263" s="2" t="str">
        <f>IFERROR(IF('PREENCHER AQUI'!I263="","",'PREENCHER AQUI'!I263),"")</f>
        <v/>
      </c>
      <c r="O263" s="2" t="str">
        <f>IFERROR(IF('PREENCHER AQUI'!J263="","",'PREENCHER AQUI'!J263),"")</f>
        <v/>
      </c>
      <c r="P263" s="7" t="str">
        <f t="shared" si="11"/>
        <v/>
      </c>
      <c r="Q263" s="8" t="str">
        <f>IFERROR(IF(Tabela4[[#This Row],[VALOR]]="","",IF(Tabela1[[#This Row],[ORIENTACAO]]="Anular",'PREENCHER AQUI'!K263*-1*100,'PREENCHER AQUI'!K263*100)),"")</f>
        <v/>
      </c>
      <c r="T263" s="7" t="str">
        <f>IFERROR(IF('PREENCHER AQUI'!L263="","999",LEFT('PREENCHER AQUI'!L263,1)),"")</f>
        <v>999</v>
      </c>
      <c r="V263" s="19"/>
      <c r="W263" s="1" t="str">
        <f>IFERROR(VLOOKUP(Tabela1[[#This Row],[UO_COD]],qdd!$AT$1:$AU$102,2,FALSE),"")</f>
        <v/>
      </c>
      <c r="X263" s="1" t="str">
        <f>CONCATENATE("F",Tabela1[[#This Row],[FONTE_COD]],Tabela1[[#This Row],[IPU_COD]],"G",Tabela1[[#This Row],[GRUPO_COD]],"T",Tabela1[[#This Row],[TIPO]])</f>
        <v>FGT999</v>
      </c>
      <c r="Y2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3" s="19"/>
      <c r="AA263" s="29" t="str">
        <f>IFERROR(VLOOKUP(CONCATENATE("B",Tabela1[[#This Row],[BLOCO]],Tabela1[[#This Row],[UO_COD]]),qdd!$AW$2:$AX$1000,2,FALSE),"")</f>
        <v/>
      </c>
      <c r="AB263" s="30" t="str">
        <f>IFERROR(Tabela1[[#This Row],[VALOR]]/100,"")</f>
        <v/>
      </c>
      <c r="AC263" s="7" t="str" cm="1">
        <f t="array" aca="1" ref="AC263" ca="1">IF(Tabela1[[#This Row],[VALOR]]&lt;0,"",IFERROR(SUBSTITUTE(Converter_numero(Tabela1[[#This Row],[VALOR INCISO]]),",",""),""))</f>
        <v/>
      </c>
      <c r="AD263" s="29" t="str">
        <f>IF(Tabela1[[#This Row],[TIPO]]=REGRAS!$W$2,REGRAS!$X$2,IF(Tabela1[[#This Row],[TIPO]]=REGRAS!$W$4,REGRAS!$X$4,""))</f>
        <v/>
      </c>
      <c r="AE263" s="29" t="e">
        <f>VLOOKUP(Tabela1[[#This Row],[FONTE_COD]],REGRAS!$O$2:$P$69,2,FALSE)</f>
        <v>#N/A</v>
      </c>
      <c r="AF2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4" spans="1:32" ht="18.75" customHeight="1">
      <c r="A264" s="2" t="str">
        <f>IFERROR(IF('PREENCHER AQUI'!A264="","",'PREENCHER AQUI'!A264),"")</f>
        <v/>
      </c>
      <c r="B264" s="1" t="str">
        <f>IFERROR(IF('PREENCHER AQUI'!B264="","",PROPER('PREENCHER AQUI'!B264)),"")</f>
        <v/>
      </c>
      <c r="C264" s="1" t="str">
        <f>IFERROR(IF('PREENCHER AQUI'!C264="","",'PREENCHER AQUI'!C264),"")</f>
        <v/>
      </c>
      <c r="D264" s="2" t="str">
        <f>IFERROR(IF('PREENCHER AQUI'!D264="","",'PREENCHER AQUI'!D264),"")</f>
        <v/>
      </c>
      <c r="E264" s="2" t="str">
        <f>IFERROR(VLOOKUP(CONCATENATE(C264,D264),qdd!$C$2:$F$1000,2,FALSE),"")</f>
        <v/>
      </c>
      <c r="F264" s="2" t="str">
        <f>IFERROR(VLOOKUP(CONCATENATE(C264,D264),qdd!$C$2:$F$1000,3,FALSE),"")</f>
        <v/>
      </c>
      <c r="G264" s="2" t="str">
        <f>IFERROR(VLOOKUP(CONCATENATE(C264,D264),qdd!$C$2:$F$1000,4,FALSE),"")</f>
        <v/>
      </c>
      <c r="H264" s="6" t="str">
        <f t="shared" si="10"/>
        <v/>
      </c>
      <c r="I2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4" s="2" t="str">
        <f>IFERROR(IF('PREENCHER AQUI'!E264="","",'PREENCHER AQUI'!E264),"")</f>
        <v/>
      </c>
      <c r="K264" s="2" t="str">
        <f>IFERROR(IF('PREENCHER AQUI'!F264="","",'PREENCHER AQUI'!F264),"")</f>
        <v/>
      </c>
      <c r="L264" s="2" t="str">
        <f>IF(Tabela1[[#This Row],[IPU_COD]]=9,"91",IF(Tabela1[[#This Row],[ACAO_COD]]="","",VLOOKUP(CONCATENATE("G",J264,"M",K264),qdd!$BC$2:$BD$46,2,FALSE)))</f>
        <v/>
      </c>
      <c r="M264" s="2" t="str">
        <f>TEXT(IFERROR(VLOOKUP(CONCATENATE(C264,D264),qdd!$C$2:$G$1000,5,FALSE),""),0)</f>
        <v/>
      </c>
      <c r="N264" s="2" t="str">
        <f>IFERROR(IF('PREENCHER AQUI'!I264="","",'PREENCHER AQUI'!I264),"")</f>
        <v/>
      </c>
      <c r="O264" s="2" t="str">
        <f>IFERROR(IF('PREENCHER AQUI'!J264="","",'PREENCHER AQUI'!J264),"")</f>
        <v/>
      </c>
      <c r="P264" s="7" t="str">
        <f t="shared" si="11"/>
        <v/>
      </c>
      <c r="Q264" s="8" t="str">
        <f>IFERROR(IF(Tabela4[[#This Row],[VALOR]]="","",IF(Tabela1[[#This Row],[ORIENTACAO]]="Anular",'PREENCHER AQUI'!K264*-1*100,'PREENCHER AQUI'!K264*100)),"")</f>
        <v/>
      </c>
      <c r="T264" s="7" t="str">
        <f>IFERROR(IF('PREENCHER AQUI'!L264="","999",LEFT('PREENCHER AQUI'!L264,1)),"")</f>
        <v>999</v>
      </c>
      <c r="V264" s="19"/>
      <c r="W264" s="1" t="str">
        <f>IFERROR(VLOOKUP(Tabela1[[#This Row],[UO_COD]],qdd!$AT$1:$AU$102,2,FALSE),"")</f>
        <v/>
      </c>
      <c r="X264" s="1" t="str">
        <f>CONCATENATE("F",Tabela1[[#This Row],[FONTE_COD]],Tabela1[[#This Row],[IPU_COD]],"G",Tabela1[[#This Row],[GRUPO_COD]],"T",Tabela1[[#This Row],[TIPO]])</f>
        <v>FGT999</v>
      </c>
      <c r="Y2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4" s="19"/>
      <c r="AA264" s="29" t="str">
        <f>IFERROR(VLOOKUP(CONCATENATE("B",Tabela1[[#This Row],[BLOCO]],Tabela1[[#This Row],[UO_COD]]),qdd!$AW$2:$AX$1000,2,FALSE),"")</f>
        <v/>
      </c>
      <c r="AB264" s="30" t="str">
        <f>IFERROR(Tabela1[[#This Row],[VALOR]]/100,"")</f>
        <v/>
      </c>
      <c r="AC264" s="7" t="str" cm="1">
        <f t="array" aca="1" ref="AC264" ca="1">IF(Tabela1[[#This Row],[VALOR]]&lt;0,"",IFERROR(SUBSTITUTE(Converter_numero(Tabela1[[#This Row],[VALOR INCISO]]),",",""),""))</f>
        <v/>
      </c>
      <c r="AD264" s="29" t="str">
        <f>IF(Tabela1[[#This Row],[TIPO]]=REGRAS!$W$2,REGRAS!$X$2,IF(Tabela1[[#This Row],[TIPO]]=REGRAS!$W$4,REGRAS!$X$4,""))</f>
        <v/>
      </c>
      <c r="AE264" s="29" t="e">
        <f>VLOOKUP(Tabela1[[#This Row],[FONTE_COD]],REGRAS!$O$2:$P$69,2,FALSE)</f>
        <v>#N/A</v>
      </c>
      <c r="AF2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5" spans="1:32" ht="18.75" customHeight="1">
      <c r="A265" s="2" t="str">
        <f>IFERROR(IF('PREENCHER AQUI'!A265="","",'PREENCHER AQUI'!A265),"")</f>
        <v/>
      </c>
      <c r="B265" s="1" t="str">
        <f>IFERROR(IF('PREENCHER AQUI'!B265="","",PROPER('PREENCHER AQUI'!B265)),"")</f>
        <v/>
      </c>
      <c r="C265" s="1" t="str">
        <f>IFERROR(IF('PREENCHER AQUI'!C265="","",'PREENCHER AQUI'!C265),"")</f>
        <v/>
      </c>
      <c r="D265" s="2" t="str">
        <f>IFERROR(IF('PREENCHER AQUI'!D265="","",'PREENCHER AQUI'!D265),"")</f>
        <v/>
      </c>
      <c r="E265" s="2" t="str">
        <f>IFERROR(VLOOKUP(CONCATENATE(C265,D265),qdd!$C$2:$F$1000,2,FALSE),"")</f>
        <v/>
      </c>
      <c r="F265" s="2" t="str">
        <f>IFERROR(VLOOKUP(CONCATENATE(C265,D265),qdd!$C$2:$F$1000,3,FALSE),"")</f>
        <v/>
      </c>
      <c r="G265" s="2" t="str">
        <f>IFERROR(VLOOKUP(CONCATENATE(C265,D265),qdd!$C$2:$F$1000,4,FALSE),"")</f>
        <v/>
      </c>
      <c r="H265" s="6" t="str">
        <f t="shared" si="10"/>
        <v/>
      </c>
      <c r="I2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5" s="2" t="str">
        <f>IFERROR(IF('PREENCHER AQUI'!E265="","",'PREENCHER AQUI'!E265),"")</f>
        <v/>
      </c>
      <c r="K265" s="2" t="str">
        <f>IFERROR(IF('PREENCHER AQUI'!F265="","",'PREENCHER AQUI'!F265),"")</f>
        <v/>
      </c>
      <c r="L265" s="2" t="str">
        <f>IF(Tabela1[[#This Row],[IPU_COD]]=9,"91",IF(Tabela1[[#This Row],[ACAO_COD]]="","",VLOOKUP(CONCATENATE("G",J265,"M",K265),qdd!$BC$2:$BD$46,2,FALSE)))</f>
        <v/>
      </c>
      <c r="M265" s="2" t="str">
        <f>TEXT(IFERROR(VLOOKUP(CONCATENATE(C265,D265),qdd!$C$2:$G$1000,5,FALSE),""),0)</f>
        <v/>
      </c>
      <c r="N265" s="2" t="str">
        <f>IFERROR(IF('PREENCHER AQUI'!I265="","",'PREENCHER AQUI'!I265),"")</f>
        <v/>
      </c>
      <c r="O265" s="2" t="str">
        <f>IFERROR(IF('PREENCHER AQUI'!J265="","",'PREENCHER AQUI'!J265),"")</f>
        <v/>
      </c>
      <c r="P265" s="7" t="str">
        <f t="shared" si="11"/>
        <v/>
      </c>
      <c r="Q265" s="8" t="str">
        <f>IFERROR(IF(Tabela4[[#This Row],[VALOR]]="","",IF(Tabela1[[#This Row],[ORIENTACAO]]="Anular",'PREENCHER AQUI'!K265*-1*100,'PREENCHER AQUI'!K265*100)),"")</f>
        <v/>
      </c>
      <c r="T265" s="7" t="str">
        <f>IFERROR(IF('PREENCHER AQUI'!L265="","999",LEFT('PREENCHER AQUI'!L265,1)),"")</f>
        <v>999</v>
      </c>
      <c r="V265" s="19"/>
      <c r="W265" s="20" t="str">
        <f>IFERROR(VLOOKUP(Tabela1[[#This Row],[UO_COD]],qdd!$AT$1:$AU$102,2,FALSE),"")</f>
        <v/>
      </c>
      <c r="X265" s="20" t="str">
        <f>CONCATENATE("F",Tabela1[[#This Row],[FONTE_COD]],Tabela1[[#This Row],[IPU_COD]],"G",Tabela1[[#This Row],[GRUPO_COD]],"T",Tabela1[[#This Row],[TIPO]])</f>
        <v>FGT999</v>
      </c>
      <c r="Y2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5" s="19"/>
      <c r="AA265" s="29" t="str">
        <f>IFERROR(VLOOKUP(CONCATENATE("B",Tabela1[[#This Row],[BLOCO]],Tabela1[[#This Row],[UO_COD]]),qdd!$AW$2:$AX$1000,2,FALSE),"")</f>
        <v/>
      </c>
      <c r="AB265" s="30" t="str">
        <f>IFERROR(Tabela1[[#This Row],[VALOR]]/100,"")</f>
        <v/>
      </c>
      <c r="AC265" s="7" t="str" cm="1">
        <f t="array" aca="1" ref="AC265" ca="1">IF(Tabela1[[#This Row],[VALOR]]&lt;0,"",IFERROR(SUBSTITUTE(Converter_numero(Tabela1[[#This Row],[VALOR INCISO]]),",",""),""))</f>
        <v/>
      </c>
      <c r="AD265" s="29" t="str">
        <f>IF(Tabela1[[#This Row],[TIPO]]=REGRAS!$W$2,REGRAS!$X$2,IF(Tabela1[[#This Row],[TIPO]]=REGRAS!$W$4,REGRAS!$X$4,""))</f>
        <v/>
      </c>
      <c r="AE265" s="29" t="e">
        <f>VLOOKUP(Tabela1[[#This Row],[FONTE_COD]],REGRAS!$O$2:$P$69,2,FALSE)</f>
        <v>#N/A</v>
      </c>
      <c r="AF2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6" spans="1:32" ht="18.75" customHeight="1">
      <c r="A266" s="2" t="str">
        <f>IFERROR(IF('PREENCHER AQUI'!A266="","",'PREENCHER AQUI'!A266),"")</f>
        <v/>
      </c>
      <c r="B266" s="1" t="str">
        <f>IFERROR(IF('PREENCHER AQUI'!B266="","",PROPER('PREENCHER AQUI'!B266)),"")</f>
        <v/>
      </c>
      <c r="C266" s="1" t="str">
        <f>IFERROR(IF('PREENCHER AQUI'!C266="","",'PREENCHER AQUI'!C266),"")</f>
        <v/>
      </c>
      <c r="D266" s="2" t="str">
        <f>IFERROR(IF('PREENCHER AQUI'!D266="","",'PREENCHER AQUI'!D266),"")</f>
        <v/>
      </c>
      <c r="E266" s="2" t="str">
        <f>IFERROR(VLOOKUP(CONCATENATE(C266,D266),qdd!$C$2:$F$1000,2,FALSE),"")</f>
        <v/>
      </c>
      <c r="F266" s="2" t="str">
        <f>IFERROR(VLOOKUP(CONCATENATE(C266,D266),qdd!$C$2:$F$1000,3,FALSE),"")</f>
        <v/>
      </c>
      <c r="G266" s="2" t="str">
        <f>IFERROR(VLOOKUP(CONCATENATE(C266,D266),qdd!$C$2:$F$1000,4,FALSE),"")</f>
        <v/>
      </c>
      <c r="H266" s="6" t="str">
        <f t="shared" si="10"/>
        <v/>
      </c>
      <c r="I2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6" s="2" t="str">
        <f>IFERROR(IF('PREENCHER AQUI'!E266="","",'PREENCHER AQUI'!E266),"")</f>
        <v/>
      </c>
      <c r="K266" s="2" t="str">
        <f>IFERROR(IF('PREENCHER AQUI'!F266="","",'PREENCHER AQUI'!F266),"")</f>
        <v/>
      </c>
      <c r="L266" s="2" t="str">
        <f>IF(Tabela1[[#This Row],[IPU_COD]]=9,"91",IF(Tabela1[[#This Row],[ACAO_COD]]="","",VLOOKUP(CONCATENATE("G",J266,"M",K266),qdd!$BC$2:$BD$46,2,FALSE)))</f>
        <v/>
      </c>
      <c r="M266" s="2" t="str">
        <f>TEXT(IFERROR(VLOOKUP(CONCATENATE(C266,D266),qdd!$C$2:$G$1000,5,FALSE),""),0)</f>
        <v/>
      </c>
      <c r="N266" s="2" t="str">
        <f>IFERROR(IF('PREENCHER AQUI'!I266="","",'PREENCHER AQUI'!I266),"")</f>
        <v/>
      </c>
      <c r="O266" s="2" t="str">
        <f>IFERROR(IF('PREENCHER AQUI'!J266="","",'PREENCHER AQUI'!J266),"")</f>
        <v/>
      </c>
      <c r="P266" s="7" t="str">
        <f t="shared" si="11"/>
        <v/>
      </c>
      <c r="Q266" s="8" t="str">
        <f>IFERROR(IF(Tabela4[[#This Row],[VALOR]]="","",IF(Tabela1[[#This Row],[ORIENTACAO]]="Anular",'PREENCHER AQUI'!K266*-1*100,'PREENCHER AQUI'!K266*100)),"")</f>
        <v/>
      </c>
      <c r="T266" s="7" t="str">
        <f>IFERROR(IF('PREENCHER AQUI'!L266="","999",LEFT('PREENCHER AQUI'!L266,1)),"")</f>
        <v>999</v>
      </c>
      <c r="V266" s="19"/>
      <c r="W266" s="1" t="str">
        <f>IFERROR(VLOOKUP(Tabela1[[#This Row],[UO_COD]],qdd!$AT$1:$AU$102,2,FALSE),"")</f>
        <v/>
      </c>
      <c r="X266" s="1" t="str">
        <f>CONCATENATE("F",Tabela1[[#This Row],[FONTE_COD]],Tabela1[[#This Row],[IPU_COD]],"G",Tabela1[[#This Row],[GRUPO_COD]],"T",Tabela1[[#This Row],[TIPO]])</f>
        <v>FGT999</v>
      </c>
      <c r="Y2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6" s="19"/>
      <c r="AA266" s="29" t="str">
        <f>IFERROR(VLOOKUP(CONCATENATE("B",Tabela1[[#This Row],[BLOCO]],Tabela1[[#This Row],[UO_COD]]),qdd!$AW$2:$AX$1000,2,FALSE),"")</f>
        <v/>
      </c>
      <c r="AB266" s="30" t="str">
        <f>IFERROR(Tabela1[[#This Row],[VALOR]]/100,"")</f>
        <v/>
      </c>
      <c r="AC266" s="7" t="str" cm="1">
        <f t="array" aca="1" ref="AC266" ca="1">IF(Tabela1[[#This Row],[VALOR]]&lt;0,"",IFERROR(SUBSTITUTE(Converter_numero(Tabela1[[#This Row],[VALOR INCISO]]),",",""),""))</f>
        <v/>
      </c>
      <c r="AD266" s="29" t="str">
        <f>IF(Tabela1[[#This Row],[TIPO]]=REGRAS!$W$2,REGRAS!$X$2,IF(Tabela1[[#This Row],[TIPO]]=REGRAS!$W$4,REGRAS!$X$4,""))</f>
        <v/>
      </c>
      <c r="AE266" s="29" t="e">
        <f>VLOOKUP(Tabela1[[#This Row],[FONTE_COD]],REGRAS!$O$2:$P$69,2,FALSE)</f>
        <v>#N/A</v>
      </c>
      <c r="AF2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7" spans="1:32" ht="18.75" customHeight="1">
      <c r="A267" s="2" t="str">
        <f>IFERROR(IF('PREENCHER AQUI'!A267="","",'PREENCHER AQUI'!A267),"")</f>
        <v/>
      </c>
      <c r="B267" s="1" t="str">
        <f>IFERROR(IF('PREENCHER AQUI'!B267="","",PROPER('PREENCHER AQUI'!B267)),"")</f>
        <v/>
      </c>
      <c r="C267" s="1" t="str">
        <f>IFERROR(IF('PREENCHER AQUI'!C267="","",'PREENCHER AQUI'!C267),"")</f>
        <v/>
      </c>
      <c r="D267" s="2" t="str">
        <f>IFERROR(IF('PREENCHER AQUI'!D267="","",'PREENCHER AQUI'!D267),"")</f>
        <v/>
      </c>
      <c r="E267" s="2" t="str">
        <f>IFERROR(VLOOKUP(CONCATENATE(C267,D267),qdd!$C$2:$F$1000,2,FALSE),"")</f>
        <v/>
      </c>
      <c r="F267" s="2" t="str">
        <f>IFERROR(VLOOKUP(CONCATENATE(C267,D267),qdd!$C$2:$F$1000,3,FALSE),"")</f>
        <v/>
      </c>
      <c r="G267" s="2" t="str">
        <f>IFERROR(VLOOKUP(CONCATENATE(C267,D267),qdd!$C$2:$F$1000,4,FALSE),"")</f>
        <v/>
      </c>
      <c r="H267" s="6" t="str">
        <f t="shared" si="10"/>
        <v/>
      </c>
      <c r="I2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7" s="2" t="str">
        <f>IFERROR(IF('PREENCHER AQUI'!E267="","",'PREENCHER AQUI'!E267),"")</f>
        <v/>
      </c>
      <c r="K267" s="2" t="str">
        <f>IFERROR(IF('PREENCHER AQUI'!F267="","",'PREENCHER AQUI'!F267),"")</f>
        <v/>
      </c>
      <c r="L267" s="2" t="str">
        <f>IF(Tabela1[[#This Row],[IPU_COD]]=9,"91",IF(Tabela1[[#This Row],[ACAO_COD]]="","",VLOOKUP(CONCATENATE("G",J267,"M",K267),qdd!$BC$2:$BD$46,2,FALSE)))</f>
        <v/>
      </c>
      <c r="M267" s="2" t="str">
        <f>TEXT(IFERROR(VLOOKUP(CONCATENATE(C267,D267),qdd!$C$2:$G$1000,5,FALSE),""),0)</f>
        <v/>
      </c>
      <c r="N267" s="2" t="str">
        <f>IFERROR(IF('PREENCHER AQUI'!I267="","",'PREENCHER AQUI'!I267),"")</f>
        <v/>
      </c>
      <c r="O267" s="2" t="str">
        <f>IFERROR(IF('PREENCHER AQUI'!J267="","",'PREENCHER AQUI'!J267),"")</f>
        <v/>
      </c>
      <c r="P267" s="7" t="str">
        <f t="shared" si="11"/>
        <v/>
      </c>
      <c r="Q267" s="8" t="str">
        <f>IFERROR(IF(Tabela4[[#This Row],[VALOR]]="","",IF(Tabela1[[#This Row],[ORIENTACAO]]="Anular",'PREENCHER AQUI'!K267*-1*100,'PREENCHER AQUI'!K267*100)),"")</f>
        <v/>
      </c>
      <c r="T267" s="7" t="str">
        <f>IFERROR(IF('PREENCHER AQUI'!L267="","999",LEFT('PREENCHER AQUI'!L267,1)),"")</f>
        <v>999</v>
      </c>
      <c r="W267" s="1" t="str">
        <f>IFERROR(VLOOKUP(Tabela1[[#This Row],[UO_COD]],qdd!$AT$1:$AU$102,2,FALSE),"")</f>
        <v/>
      </c>
      <c r="X267" s="1" t="str">
        <f>CONCATENATE("F",Tabela1[[#This Row],[FONTE_COD]],Tabela1[[#This Row],[IPU_COD]],"G",Tabela1[[#This Row],[GRUPO_COD]],"T",Tabela1[[#This Row],[TIPO]])</f>
        <v>FGT999</v>
      </c>
      <c r="Y2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7" s="19"/>
      <c r="AA267" s="29" t="str">
        <f>IFERROR(VLOOKUP(CONCATENATE("B",Tabela1[[#This Row],[BLOCO]],Tabela1[[#This Row],[UO_COD]]),qdd!$AW$2:$AX$1000,2,FALSE),"")</f>
        <v/>
      </c>
      <c r="AB267" s="30" t="str">
        <f>IFERROR(Tabela1[[#This Row],[VALOR]]/100,"")</f>
        <v/>
      </c>
      <c r="AC267" s="7" t="str" cm="1">
        <f t="array" aca="1" ref="AC267" ca="1">IF(Tabela1[[#This Row],[VALOR]]&lt;0,"",IFERROR(SUBSTITUTE(Converter_numero(Tabela1[[#This Row],[VALOR INCISO]]),",",""),""))</f>
        <v/>
      </c>
      <c r="AD267" s="7" t="str">
        <f>IF(Tabela1[[#This Row],[TIPO]]=REGRAS!$W$2,REGRAS!$X$2,IF(Tabela1[[#This Row],[TIPO]]=REGRAS!$W$4,REGRAS!$X$4,""))</f>
        <v/>
      </c>
      <c r="AE267" s="29" t="e">
        <f>VLOOKUP(Tabela1[[#This Row],[FONTE_COD]],REGRAS!$O$2:$P$69,2,FALSE)</f>
        <v>#N/A</v>
      </c>
      <c r="AF2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8" spans="1:32" ht="18.75" customHeight="1">
      <c r="A268" s="2" t="str">
        <f>IFERROR(IF('PREENCHER AQUI'!A268="","",'PREENCHER AQUI'!A268),"")</f>
        <v/>
      </c>
      <c r="B268" s="1" t="str">
        <f>IFERROR(IF('PREENCHER AQUI'!B268="","",PROPER('PREENCHER AQUI'!B268)),"")</f>
        <v/>
      </c>
      <c r="C268" s="1" t="str">
        <f>IFERROR(IF('PREENCHER AQUI'!C268="","",'PREENCHER AQUI'!C268),"")</f>
        <v/>
      </c>
      <c r="D268" s="2" t="str">
        <f>IFERROR(IF('PREENCHER AQUI'!D268="","",'PREENCHER AQUI'!D268),"")</f>
        <v/>
      </c>
      <c r="E268" s="2" t="str">
        <f>IFERROR(VLOOKUP(CONCATENATE(C268,D268),qdd!$C$2:$F$1000,2,FALSE),"")</f>
        <v/>
      </c>
      <c r="F268" s="2" t="str">
        <f>IFERROR(VLOOKUP(CONCATENATE(C268,D268),qdd!$C$2:$F$1000,3,FALSE),"")</f>
        <v/>
      </c>
      <c r="G268" s="2" t="str">
        <f>IFERROR(VLOOKUP(CONCATENATE(C268,D268),qdd!$C$2:$F$1000,4,FALSE),"")</f>
        <v/>
      </c>
      <c r="H268" s="6" t="str">
        <f t="shared" si="10"/>
        <v/>
      </c>
      <c r="I2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8" s="2" t="str">
        <f>IFERROR(IF('PREENCHER AQUI'!E268="","",'PREENCHER AQUI'!E268),"")</f>
        <v/>
      </c>
      <c r="K268" s="2" t="str">
        <f>IFERROR(IF('PREENCHER AQUI'!F268="","",'PREENCHER AQUI'!F268),"")</f>
        <v/>
      </c>
      <c r="L268" s="2" t="str">
        <f>IF(Tabela1[[#This Row],[IPU_COD]]=9,"91",IF(Tabela1[[#This Row],[ACAO_COD]]="","",VLOOKUP(CONCATENATE("G",J268,"M",K268),qdd!$BC$2:$BD$46,2,FALSE)))</f>
        <v/>
      </c>
      <c r="M268" s="2" t="str">
        <f>TEXT(IFERROR(VLOOKUP(CONCATENATE(C268,D268),qdd!$C$2:$G$1000,5,FALSE),""),0)</f>
        <v/>
      </c>
      <c r="N268" s="2" t="str">
        <f>IFERROR(IF('PREENCHER AQUI'!I268="","",'PREENCHER AQUI'!I268),"")</f>
        <v/>
      </c>
      <c r="O268" s="2" t="str">
        <f>IFERROR(IF('PREENCHER AQUI'!J268="","",'PREENCHER AQUI'!J268),"")</f>
        <v/>
      </c>
      <c r="P268" s="7" t="str">
        <f t="shared" si="11"/>
        <v/>
      </c>
      <c r="Q268" s="8" t="str">
        <f>IFERROR(IF(Tabela4[[#This Row],[VALOR]]="","",IF(Tabela1[[#This Row],[ORIENTACAO]]="Anular",'PREENCHER AQUI'!K268*-1*100,'PREENCHER AQUI'!K268*100)),"")</f>
        <v/>
      </c>
      <c r="T268" s="7" t="str">
        <f>IFERROR(IF('PREENCHER AQUI'!L268="","999",LEFT('PREENCHER AQUI'!L268,1)),"")</f>
        <v>999</v>
      </c>
      <c r="V268" s="19"/>
      <c r="W268" s="1" t="str">
        <f>IFERROR(VLOOKUP(Tabela1[[#This Row],[UO_COD]],qdd!$AT$1:$AU$102,2,FALSE),"")</f>
        <v/>
      </c>
      <c r="X268" s="1" t="str">
        <f>CONCATENATE("F",Tabela1[[#This Row],[FONTE_COD]],Tabela1[[#This Row],[IPU_COD]],"G",Tabela1[[#This Row],[GRUPO_COD]],"T",Tabela1[[#This Row],[TIPO]])</f>
        <v>FGT999</v>
      </c>
      <c r="Y2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8" s="19"/>
      <c r="AA268" s="29" t="str">
        <f>IFERROR(VLOOKUP(CONCATENATE("B",Tabela1[[#This Row],[BLOCO]],Tabela1[[#This Row],[UO_COD]]),qdd!$AW$2:$AX$1000,2,FALSE),"")</f>
        <v/>
      </c>
      <c r="AB268" s="30" t="str">
        <f>IFERROR(Tabela1[[#This Row],[VALOR]]/100,"")</f>
        <v/>
      </c>
      <c r="AC268" s="7" t="str" cm="1">
        <f t="array" aca="1" ref="AC268" ca="1">IF(Tabela1[[#This Row],[VALOR]]&lt;0,"",IFERROR(SUBSTITUTE(Converter_numero(Tabela1[[#This Row],[VALOR INCISO]]),",",""),""))</f>
        <v/>
      </c>
      <c r="AD268" s="29" t="str">
        <f>IF(Tabela1[[#This Row],[TIPO]]=REGRAS!$W$2,REGRAS!$X$2,IF(Tabela1[[#This Row],[TIPO]]=REGRAS!$W$4,REGRAS!$X$4,""))</f>
        <v/>
      </c>
      <c r="AE268" s="29" t="e">
        <f>VLOOKUP(Tabela1[[#This Row],[FONTE_COD]],REGRAS!$O$2:$P$69,2,FALSE)</f>
        <v>#N/A</v>
      </c>
      <c r="AF2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9" spans="1:32" ht="18.75" customHeight="1">
      <c r="A269" s="2" t="str">
        <f>IFERROR(IF('PREENCHER AQUI'!A269="","",'PREENCHER AQUI'!A269),"")</f>
        <v/>
      </c>
      <c r="B269" s="1" t="str">
        <f>IFERROR(IF('PREENCHER AQUI'!B269="","",PROPER('PREENCHER AQUI'!B269)),"")</f>
        <v/>
      </c>
      <c r="C269" s="1" t="str">
        <f>IFERROR(IF('PREENCHER AQUI'!C269="","",'PREENCHER AQUI'!C269),"")</f>
        <v/>
      </c>
      <c r="D269" s="2" t="str">
        <f>IFERROR(IF('PREENCHER AQUI'!D269="","",'PREENCHER AQUI'!D269),"")</f>
        <v/>
      </c>
      <c r="E269" s="2" t="str">
        <f>IFERROR(VLOOKUP(CONCATENATE(C269,D269),qdd!$C$2:$F$1000,2,FALSE),"")</f>
        <v/>
      </c>
      <c r="F269" s="2" t="str">
        <f>IFERROR(VLOOKUP(CONCATENATE(C269,D269),qdd!$C$2:$F$1000,3,FALSE),"")</f>
        <v/>
      </c>
      <c r="G269" s="2" t="str">
        <f>IFERROR(VLOOKUP(CONCATENATE(C269,D269),qdd!$C$2:$F$1000,4,FALSE),"")</f>
        <v/>
      </c>
      <c r="H269" s="6" t="str">
        <f t="shared" si="10"/>
        <v/>
      </c>
      <c r="I2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9" s="2" t="str">
        <f>IFERROR(IF('PREENCHER AQUI'!E269="","",'PREENCHER AQUI'!E269),"")</f>
        <v/>
      </c>
      <c r="K269" s="2" t="str">
        <f>IFERROR(IF('PREENCHER AQUI'!F269="","",'PREENCHER AQUI'!F269),"")</f>
        <v/>
      </c>
      <c r="L269" s="2" t="str">
        <f>IF(Tabela1[[#This Row],[IPU_COD]]=9,"91",IF(Tabela1[[#This Row],[ACAO_COD]]="","",VLOOKUP(CONCATENATE("G",J269,"M",K269),qdd!$BC$2:$BD$46,2,FALSE)))</f>
        <v/>
      </c>
      <c r="M269" s="2" t="str">
        <f>TEXT(IFERROR(VLOOKUP(CONCATENATE(C269,D269),qdd!$C$2:$G$1000,5,FALSE),""),0)</f>
        <v/>
      </c>
      <c r="N269" s="2" t="str">
        <f>IFERROR(IF('PREENCHER AQUI'!I269="","",'PREENCHER AQUI'!I269),"")</f>
        <v/>
      </c>
      <c r="O269" s="2" t="str">
        <f>IFERROR(IF('PREENCHER AQUI'!J269="","",'PREENCHER AQUI'!J269),"")</f>
        <v/>
      </c>
      <c r="P269" s="7" t="str">
        <f t="shared" si="11"/>
        <v/>
      </c>
      <c r="Q269" s="8" t="str">
        <f>IFERROR(IF(Tabela4[[#This Row],[VALOR]]="","",IF(Tabela1[[#This Row],[ORIENTACAO]]="Anular",'PREENCHER AQUI'!K269*-1*100,'PREENCHER AQUI'!K269*100)),"")</f>
        <v/>
      </c>
      <c r="T269" s="7" t="str">
        <f>IFERROR(IF('PREENCHER AQUI'!L269="","999",LEFT('PREENCHER AQUI'!L269,1)),"")</f>
        <v>999</v>
      </c>
      <c r="V269" s="19"/>
      <c r="W269" s="1" t="str">
        <f>IFERROR(VLOOKUP(Tabela1[[#This Row],[UO_COD]],qdd!$AT$1:$AU$102,2,FALSE),"")</f>
        <v/>
      </c>
      <c r="X269" s="1" t="str">
        <f>CONCATENATE("F",Tabela1[[#This Row],[FONTE_COD]],Tabela1[[#This Row],[IPU_COD]],"G",Tabela1[[#This Row],[GRUPO_COD]],"T",Tabela1[[#This Row],[TIPO]])</f>
        <v>FGT999</v>
      </c>
      <c r="Y2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9" s="19"/>
      <c r="AA269" s="29" t="str">
        <f>IFERROR(VLOOKUP(CONCATENATE("B",Tabela1[[#This Row],[BLOCO]],Tabela1[[#This Row],[UO_COD]]),qdd!$AW$2:$AX$1000,2,FALSE),"")</f>
        <v/>
      </c>
      <c r="AB269" s="30" t="str">
        <f>IFERROR(Tabela1[[#This Row],[VALOR]]/100,"")</f>
        <v/>
      </c>
      <c r="AC269" s="7" t="str" cm="1">
        <f t="array" aca="1" ref="AC269" ca="1">IF(Tabela1[[#This Row],[VALOR]]&lt;0,"",IFERROR(SUBSTITUTE(Converter_numero(Tabela1[[#This Row],[VALOR INCISO]]),",",""),""))</f>
        <v/>
      </c>
      <c r="AD269" s="29" t="str">
        <f>IF(Tabela1[[#This Row],[TIPO]]=REGRAS!$W$2,REGRAS!$X$2,IF(Tabela1[[#This Row],[TIPO]]=REGRAS!$W$4,REGRAS!$X$4,""))</f>
        <v/>
      </c>
      <c r="AE269" s="29" t="e">
        <f>VLOOKUP(Tabela1[[#This Row],[FONTE_COD]],REGRAS!$O$2:$P$69,2,FALSE)</f>
        <v>#N/A</v>
      </c>
      <c r="AF2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0" spans="1:32" ht="18.75" customHeight="1">
      <c r="A270" s="2" t="str">
        <f>IFERROR(IF('PREENCHER AQUI'!A270="","",'PREENCHER AQUI'!A270),"")</f>
        <v/>
      </c>
      <c r="B270" s="1" t="str">
        <f>IFERROR(IF('PREENCHER AQUI'!B270="","",PROPER('PREENCHER AQUI'!B270)),"")</f>
        <v/>
      </c>
      <c r="C270" s="1" t="str">
        <f>IFERROR(IF('PREENCHER AQUI'!C270="","",'PREENCHER AQUI'!C270),"")</f>
        <v/>
      </c>
      <c r="D270" s="2" t="str">
        <f>IFERROR(IF('PREENCHER AQUI'!D270="","",'PREENCHER AQUI'!D270),"")</f>
        <v/>
      </c>
      <c r="E270" s="2" t="str">
        <f>IFERROR(VLOOKUP(CONCATENATE(C270,D270),qdd!$C$2:$F$1000,2,FALSE),"")</f>
        <v/>
      </c>
      <c r="F270" s="2" t="str">
        <f>IFERROR(VLOOKUP(CONCATENATE(C270,D270),qdd!$C$2:$F$1000,3,FALSE),"")</f>
        <v/>
      </c>
      <c r="G270" s="2" t="str">
        <f>IFERROR(VLOOKUP(CONCATENATE(C270,D270),qdd!$C$2:$F$1000,4,FALSE),"")</f>
        <v/>
      </c>
      <c r="H270" s="6" t="str">
        <f t="shared" si="10"/>
        <v/>
      </c>
      <c r="I2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0" s="2" t="str">
        <f>IFERROR(IF('PREENCHER AQUI'!E270="","",'PREENCHER AQUI'!E270),"")</f>
        <v/>
      </c>
      <c r="K270" s="2" t="str">
        <f>IFERROR(IF('PREENCHER AQUI'!F270="","",'PREENCHER AQUI'!F270),"")</f>
        <v/>
      </c>
      <c r="L270" s="2" t="str">
        <f>IF(Tabela1[[#This Row],[IPU_COD]]=9,"91",IF(Tabela1[[#This Row],[ACAO_COD]]="","",VLOOKUP(CONCATENATE("G",J270,"M",K270),qdd!$BC$2:$BD$46,2,FALSE)))</f>
        <v/>
      </c>
      <c r="M270" s="2" t="str">
        <f>TEXT(IFERROR(VLOOKUP(CONCATENATE(C270,D270),qdd!$C$2:$G$1000,5,FALSE),""),0)</f>
        <v/>
      </c>
      <c r="N270" s="2" t="str">
        <f>IFERROR(IF('PREENCHER AQUI'!I270="","",'PREENCHER AQUI'!I270),"")</f>
        <v/>
      </c>
      <c r="O270" s="2" t="str">
        <f>IFERROR(IF('PREENCHER AQUI'!J270="","",'PREENCHER AQUI'!J270),"")</f>
        <v/>
      </c>
      <c r="P270" s="7" t="str">
        <f t="shared" si="11"/>
        <v/>
      </c>
      <c r="Q270" s="8" t="str">
        <f>IFERROR(IF(Tabela4[[#This Row],[VALOR]]="","",IF(Tabela1[[#This Row],[ORIENTACAO]]="Anular",'PREENCHER AQUI'!K270*-1*100,'PREENCHER AQUI'!K270*100)),"")</f>
        <v/>
      </c>
      <c r="T270" s="7" t="str">
        <f>IFERROR(IF('PREENCHER AQUI'!L270="","999",LEFT('PREENCHER AQUI'!L270,1)),"")</f>
        <v>999</v>
      </c>
      <c r="V270" s="19"/>
      <c r="W270" s="20" t="str">
        <f>IFERROR(VLOOKUP(Tabela1[[#This Row],[UO_COD]],qdd!$AT$1:$AU$102,2,FALSE),"")</f>
        <v/>
      </c>
      <c r="X270" s="20" t="str">
        <f>CONCATENATE("F",Tabela1[[#This Row],[FONTE_COD]],Tabela1[[#This Row],[IPU_COD]],"G",Tabela1[[#This Row],[GRUPO_COD]],"T",Tabela1[[#This Row],[TIPO]])</f>
        <v>FGT999</v>
      </c>
      <c r="Y2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0" s="19"/>
      <c r="AA270" s="29" t="str">
        <f>IFERROR(VLOOKUP(CONCATENATE("B",Tabela1[[#This Row],[BLOCO]],Tabela1[[#This Row],[UO_COD]]),qdd!$AW$2:$AX$1000,2,FALSE),"")</f>
        <v/>
      </c>
      <c r="AB270" s="30" t="str">
        <f>IFERROR(Tabela1[[#This Row],[VALOR]]/100,"")</f>
        <v/>
      </c>
      <c r="AC270" s="7" t="str" cm="1">
        <f t="array" aca="1" ref="AC270" ca="1">IF(Tabela1[[#This Row],[VALOR]]&lt;0,"",IFERROR(SUBSTITUTE(Converter_numero(Tabela1[[#This Row],[VALOR INCISO]]),",",""),""))</f>
        <v/>
      </c>
      <c r="AD270" s="29" t="str">
        <f>IF(Tabela1[[#This Row],[TIPO]]=REGRAS!$W$2,REGRAS!$X$2,IF(Tabela1[[#This Row],[TIPO]]=REGRAS!$W$4,REGRAS!$X$4,""))</f>
        <v/>
      </c>
      <c r="AE270" s="29" t="e">
        <f>VLOOKUP(Tabela1[[#This Row],[FONTE_COD]],REGRAS!$O$2:$P$69,2,FALSE)</f>
        <v>#N/A</v>
      </c>
      <c r="AF2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1" spans="1:32" ht="18.75" customHeight="1">
      <c r="A271" s="2" t="str">
        <f>IFERROR(IF('PREENCHER AQUI'!A271="","",'PREENCHER AQUI'!A271),"")</f>
        <v/>
      </c>
      <c r="B271" s="1" t="str">
        <f>IFERROR(IF('PREENCHER AQUI'!B271="","",PROPER('PREENCHER AQUI'!B271)),"")</f>
        <v/>
      </c>
      <c r="C271" s="1" t="str">
        <f>IFERROR(IF('PREENCHER AQUI'!C271="","",'PREENCHER AQUI'!C271),"")</f>
        <v/>
      </c>
      <c r="D271" s="2" t="str">
        <f>IFERROR(IF('PREENCHER AQUI'!D271="","",'PREENCHER AQUI'!D271),"")</f>
        <v/>
      </c>
      <c r="E271" s="2" t="str">
        <f>IFERROR(VLOOKUP(CONCATENATE(C271,D271),qdd!$C$2:$F$1000,2,FALSE),"")</f>
        <v/>
      </c>
      <c r="F271" s="2" t="str">
        <f>IFERROR(VLOOKUP(CONCATENATE(C271,D271),qdd!$C$2:$F$1000,3,FALSE),"")</f>
        <v/>
      </c>
      <c r="G271" s="2" t="str">
        <f>IFERROR(VLOOKUP(CONCATENATE(C271,D271),qdd!$C$2:$F$1000,4,FALSE),"")</f>
        <v/>
      </c>
      <c r="H271" s="6" t="str">
        <f t="shared" si="10"/>
        <v/>
      </c>
      <c r="I2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1" s="2" t="str">
        <f>IFERROR(IF('PREENCHER AQUI'!E271="","",'PREENCHER AQUI'!E271),"")</f>
        <v/>
      </c>
      <c r="K271" s="2" t="str">
        <f>IFERROR(IF('PREENCHER AQUI'!F271="","",'PREENCHER AQUI'!F271),"")</f>
        <v/>
      </c>
      <c r="L271" s="2" t="str">
        <f>IF(Tabela1[[#This Row],[IPU_COD]]=9,"91",IF(Tabela1[[#This Row],[ACAO_COD]]="","",VLOOKUP(CONCATENATE("G",J271,"M",K271),qdd!$BC$2:$BD$46,2,FALSE)))</f>
        <v/>
      </c>
      <c r="M271" s="2" t="str">
        <f>TEXT(IFERROR(VLOOKUP(CONCATENATE(C271,D271),qdd!$C$2:$G$1000,5,FALSE),""),0)</f>
        <v/>
      </c>
      <c r="N271" s="2" t="str">
        <f>IFERROR(IF('PREENCHER AQUI'!I271="","",'PREENCHER AQUI'!I271),"")</f>
        <v/>
      </c>
      <c r="O271" s="2" t="str">
        <f>IFERROR(IF('PREENCHER AQUI'!J271="","",'PREENCHER AQUI'!J271),"")</f>
        <v/>
      </c>
      <c r="P271" s="7" t="str">
        <f t="shared" si="11"/>
        <v/>
      </c>
      <c r="Q271" s="8" t="str">
        <f>IFERROR(IF(Tabela4[[#This Row],[VALOR]]="","",IF(Tabela1[[#This Row],[ORIENTACAO]]="Anular",'PREENCHER AQUI'!K271*-1*100,'PREENCHER AQUI'!K271*100)),"")</f>
        <v/>
      </c>
      <c r="T271" s="7" t="str">
        <f>IFERROR(IF('PREENCHER AQUI'!L271="","999",LEFT('PREENCHER AQUI'!L271,1)),"")</f>
        <v>999</v>
      </c>
      <c r="V271" s="19"/>
      <c r="W271" s="1" t="str">
        <f>IFERROR(VLOOKUP(Tabela1[[#This Row],[UO_COD]],qdd!$AT$1:$AU$102,2,FALSE),"")</f>
        <v/>
      </c>
      <c r="X271" s="1" t="str">
        <f>CONCATENATE("F",Tabela1[[#This Row],[FONTE_COD]],Tabela1[[#This Row],[IPU_COD]],"G",Tabela1[[#This Row],[GRUPO_COD]],"T",Tabela1[[#This Row],[TIPO]])</f>
        <v>FGT999</v>
      </c>
      <c r="Y2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1" s="19"/>
      <c r="AA271" s="29" t="str">
        <f>IFERROR(VLOOKUP(CONCATENATE("B",Tabela1[[#This Row],[BLOCO]],Tabela1[[#This Row],[UO_COD]]),qdd!$AW$2:$AX$1000,2,FALSE),"")</f>
        <v/>
      </c>
      <c r="AB271" s="30" t="str">
        <f>IFERROR(Tabela1[[#This Row],[VALOR]]/100,"")</f>
        <v/>
      </c>
      <c r="AC271" s="7" t="str" cm="1">
        <f t="array" aca="1" ref="AC271" ca="1">IF(Tabela1[[#This Row],[VALOR]]&lt;0,"",IFERROR(SUBSTITUTE(Converter_numero(Tabela1[[#This Row],[VALOR INCISO]]),",",""),""))</f>
        <v/>
      </c>
      <c r="AD271" s="29" t="str">
        <f>IF(Tabela1[[#This Row],[TIPO]]=REGRAS!$W$2,REGRAS!$X$2,IF(Tabela1[[#This Row],[TIPO]]=REGRAS!$W$4,REGRAS!$X$4,""))</f>
        <v/>
      </c>
      <c r="AE271" s="29" t="e">
        <f>VLOOKUP(Tabela1[[#This Row],[FONTE_COD]],REGRAS!$O$2:$P$69,2,FALSE)</f>
        <v>#N/A</v>
      </c>
      <c r="AF2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2" spans="1:32" ht="18.75" customHeight="1">
      <c r="A272" s="2" t="str">
        <f>IFERROR(IF('PREENCHER AQUI'!A272="","",'PREENCHER AQUI'!A272),"")</f>
        <v/>
      </c>
      <c r="B272" s="1" t="str">
        <f>IFERROR(IF('PREENCHER AQUI'!B272="","",PROPER('PREENCHER AQUI'!B272)),"")</f>
        <v/>
      </c>
      <c r="C272" s="1" t="str">
        <f>IFERROR(IF('PREENCHER AQUI'!C272="","",'PREENCHER AQUI'!C272),"")</f>
        <v/>
      </c>
      <c r="D272" s="2" t="str">
        <f>IFERROR(IF('PREENCHER AQUI'!D272="","",'PREENCHER AQUI'!D272),"")</f>
        <v/>
      </c>
      <c r="E272" s="2" t="str">
        <f>IFERROR(VLOOKUP(CONCATENATE(C272,D272),qdd!$C$2:$F$1000,2,FALSE),"")</f>
        <v/>
      </c>
      <c r="F272" s="2" t="str">
        <f>IFERROR(VLOOKUP(CONCATENATE(C272,D272),qdd!$C$2:$F$1000,3,FALSE),"")</f>
        <v/>
      </c>
      <c r="G272" s="2" t="str">
        <f>IFERROR(VLOOKUP(CONCATENATE(C272,D272),qdd!$C$2:$F$1000,4,FALSE),"")</f>
        <v/>
      </c>
      <c r="H272" s="6" t="str">
        <f t="shared" si="10"/>
        <v/>
      </c>
      <c r="I2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2" s="2" t="str">
        <f>IFERROR(IF('PREENCHER AQUI'!E272="","",'PREENCHER AQUI'!E272),"")</f>
        <v/>
      </c>
      <c r="K272" s="2" t="str">
        <f>IFERROR(IF('PREENCHER AQUI'!F272="","",'PREENCHER AQUI'!F272),"")</f>
        <v/>
      </c>
      <c r="L272" s="2" t="str">
        <f>IF(Tabela1[[#This Row],[IPU_COD]]=9,"91",IF(Tabela1[[#This Row],[ACAO_COD]]="","",VLOOKUP(CONCATENATE("G",J272,"M",K272),qdd!$BC$2:$BD$46,2,FALSE)))</f>
        <v/>
      </c>
      <c r="M272" s="2" t="str">
        <f>TEXT(IFERROR(VLOOKUP(CONCATENATE(C272,D272),qdd!$C$2:$G$1000,5,FALSE),""),0)</f>
        <v/>
      </c>
      <c r="N272" s="2" t="str">
        <f>IFERROR(IF('PREENCHER AQUI'!I272="","",'PREENCHER AQUI'!I272),"")</f>
        <v/>
      </c>
      <c r="O272" s="2" t="str">
        <f>IFERROR(IF('PREENCHER AQUI'!J272="","",'PREENCHER AQUI'!J272),"")</f>
        <v/>
      </c>
      <c r="P272" s="7" t="str">
        <f t="shared" si="11"/>
        <v/>
      </c>
      <c r="Q272" s="8" t="str">
        <f>IFERROR(IF(Tabela4[[#This Row],[VALOR]]="","",IF(Tabela1[[#This Row],[ORIENTACAO]]="Anular",'PREENCHER AQUI'!K272*-1*100,'PREENCHER AQUI'!K272*100)),"")</f>
        <v/>
      </c>
      <c r="T272" s="7" t="str">
        <f>IFERROR(IF('PREENCHER AQUI'!L272="","999",LEFT('PREENCHER AQUI'!L272,1)),"")</f>
        <v>999</v>
      </c>
      <c r="W272" s="1" t="str">
        <f>IFERROR(VLOOKUP(Tabela1[[#This Row],[UO_COD]],qdd!$AT$1:$AU$102,2,FALSE),"")</f>
        <v/>
      </c>
      <c r="X272" s="1" t="str">
        <f>CONCATENATE("F",Tabela1[[#This Row],[FONTE_COD]],Tabela1[[#This Row],[IPU_COD]],"G",Tabela1[[#This Row],[GRUPO_COD]],"T",Tabela1[[#This Row],[TIPO]])</f>
        <v>FGT999</v>
      </c>
      <c r="Y2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2" s="19"/>
      <c r="AA272" s="29" t="str">
        <f>IFERROR(VLOOKUP(CONCATENATE("B",Tabela1[[#This Row],[BLOCO]],Tabela1[[#This Row],[UO_COD]]),qdd!$AW$2:$AX$1000,2,FALSE),"")</f>
        <v/>
      </c>
      <c r="AB272" s="30" t="str">
        <f>IFERROR(Tabela1[[#This Row],[VALOR]]/100,"")</f>
        <v/>
      </c>
      <c r="AC272" s="7" t="str" cm="1">
        <f t="array" aca="1" ref="AC272" ca="1">IF(Tabela1[[#This Row],[VALOR]]&lt;0,"",IFERROR(SUBSTITUTE(Converter_numero(Tabela1[[#This Row],[VALOR INCISO]]),",",""),""))</f>
        <v/>
      </c>
      <c r="AD272" s="7" t="str">
        <f>IF(Tabela1[[#This Row],[TIPO]]=REGRAS!$W$2,REGRAS!$X$2,IF(Tabela1[[#This Row],[TIPO]]=REGRAS!$W$4,REGRAS!$X$4,""))</f>
        <v/>
      </c>
      <c r="AE272" s="29" t="e">
        <f>VLOOKUP(Tabela1[[#This Row],[FONTE_COD]],REGRAS!$O$2:$P$69,2,FALSE)</f>
        <v>#N/A</v>
      </c>
      <c r="AF2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3" spans="1:32" ht="18.75" customHeight="1">
      <c r="A273" s="2" t="str">
        <f>IFERROR(IF('PREENCHER AQUI'!A273="","",'PREENCHER AQUI'!A273),"")</f>
        <v/>
      </c>
      <c r="B273" s="1" t="str">
        <f>IFERROR(IF('PREENCHER AQUI'!B273="","",PROPER('PREENCHER AQUI'!B273)),"")</f>
        <v/>
      </c>
      <c r="C273" s="1" t="str">
        <f>IFERROR(IF('PREENCHER AQUI'!C273="","",'PREENCHER AQUI'!C273),"")</f>
        <v/>
      </c>
      <c r="D273" s="2" t="str">
        <f>IFERROR(IF('PREENCHER AQUI'!D273="","",'PREENCHER AQUI'!D273),"")</f>
        <v/>
      </c>
      <c r="E273" s="2" t="str">
        <f>IFERROR(VLOOKUP(CONCATENATE(C273,D273),qdd!$C$2:$F$1000,2,FALSE),"")</f>
        <v/>
      </c>
      <c r="F273" s="2" t="str">
        <f>IFERROR(VLOOKUP(CONCATENATE(C273,D273),qdd!$C$2:$F$1000,3,FALSE),"")</f>
        <v/>
      </c>
      <c r="G273" s="2" t="str">
        <f>IFERROR(VLOOKUP(CONCATENATE(C273,D273),qdd!$C$2:$F$1000,4,FALSE),"")</f>
        <v/>
      </c>
      <c r="H273" s="6" t="str">
        <f t="shared" si="10"/>
        <v/>
      </c>
      <c r="I2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3" s="2" t="str">
        <f>IFERROR(IF('PREENCHER AQUI'!E273="","",'PREENCHER AQUI'!E273),"")</f>
        <v/>
      </c>
      <c r="K273" s="2" t="str">
        <f>IFERROR(IF('PREENCHER AQUI'!F273="","",'PREENCHER AQUI'!F273),"")</f>
        <v/>
      </c>
      <c r="L273" s="2" t="str">
        <f>IF(Tabela1[[#This Row],[IPU_COD]]=9,"91",IF(Tabela1[[#This Row],[ACAO_COD]]="","",VLOOKUP(CONCATENATE("G",J273,"M",K273),qdd!$BC$2:$BD$46,2,FALSE)))</f>
        <v/>
      </c>
      <c r="M273" s="2" t="str">
        <f>TEXT(IFERROR(VLOOKUP(CONCATENATE(C273,D273),qdd!$C$2:$G$1000,5,FALSE),""),0)</f>
        <v/>
      </c>
      <c r="N273" s="2" t="str">
        <f>IFERROR(IF('PREENCHER AQUI'!I273="","",'PREENCHER AQUI'!I273),"")</f>
        <v/>
      </c>
      <c r="O273" s="2" t="str">
        <f>IFERROR(IF('PREENCHER AQUI'!J273="","",'PREENCHER AQUI'!J273),"")</f>
        <v/>
      </c>
      <c r="P273" s="7" t="str">
        <f t="shared" si="11"/>
        <v/>
      </c>
      <c r="Q273" s="8" t="str">
        <f>IFERROR(IF(Tabela4[[#This Row],[VALOR]]="","",IF(Tabela1[[#This Row],[ORIENTACAO]]="Anular",'PREENCHER AQUI'!K273*-1*100,'PREENCHER AQUI'!K273*100)),"")</f>
        <v/>
      </c>
      <c r="T273" s="7" t="str">
        <f>IFERROR(IF('PREENCHER AQUI'!L273="","999",LEFT('PREENCHER AQUI'!L273,1)),"")</f>
        <v>999</v>
      </c>
      <c r="V273" s="19"/>
      <c r="W273" s="1" t="str">
        <f>IFERROR(VLOOKUP(Tabela1[[#This Row],[UO_COD]],qdd!$AT$1:$AU$102,2,FALSE),"")</f>
        <v/>
      </c>
      <c r="X273" s="1" t="str">
        <f>CONCATENATE("F",Tabela1[[#This Row],[FONTE_COD]],Tabela1[[#This Row],[IPU_COD]],"G",Tabela1[[#This Row],[GRUPO_COD]],"T",Tabela1[[#This Row],[TIPO]])</f>
        <v>FGT999</v>
      </c>
      <c r="Y2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3" s="19"/>
      <c r="AA273" s="29" t="str">
        <f>IFERROR(VLOOKUP(CONCATENATE("B",Tabela1[[#This Row],[BLOCO]],Tabela1[[#This Row],[UO_COD]]),qdd!$AW$2:$AX$1000,2,FALSE),"")</f>
        <v/>
      </c>
      <c r="AB273" s="30" t="str">
        <f>IFERROR(Tabela1[[#This Row],[VALOR]]/100,"")</f>
        <v/>
      </c>
      <c r="AC273" s="7" t="str" cm="1">
        <f t="array" aca="1" ref="AC273" ca="1">IF(Tabela1[[#This Row],[VALOR]]&lt;0,"",IFERROR(SUBSTITUTE(Converter_numero(Tabela1[[#This Row],[VALOR INCISO]]),",",""),""))</f>
        <v/>
      </c>
      <c r="AD273" s="29" t="str">
        <f>IF(Tabela1[[#This Row],[TIPO]]=REGRAS!$W$2,REGRAS!$X$2,IF(Tabela1[[#This Row],[TIPO]]=REGRAS!$W$4,REGRAS!$X$4,""))</f>
        <v/>
      </c>
      <c r="AE273" s="29" t="e">
        <f>VLOOKUP(Tabela1[[#This Row],[FONTE_COD]],REGRAS!$O$2:$P$69,2,FALSE)</f>
        <v>#N/A</v>
      </c>
      <c r="AF2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4" spans="1:32" ht="18.75" customHeight="1">
      <c r="A274" s="2" t="str">
        <f>IFERROR(IF('PREENCHER AQUI'!A274="","",'PREENCHER AQUI'!A274),"")</f>
        <v/>
      </c>
      <c r="B274" s="1" t="str">
        <f>IFERROR(IF('PREENCHER AQUI'!B274="","",PROPER('PREENCHER AQUI'!B274)),"")</f>
        <v/>
      </c>
      <c r="C274" s="1" t="str">
        <f>IFERROR(IF('PREENCHER AQUI'!C274="","",'PREENCHER AQUI'!C274),"")</f>
        <v/>
      </c>
      <c r="D274" s="2" t="str">
        <f>IFERROR(IF('PREENCHER AQUI'!D274="","",'PREENCHER AQUI'!D274),"")</f>
        <v/>
      </c>
      <c r="E274" s="2" t="str">
        <f>IFERROR(VLOOKUP(CONCATENATE(C274,D274),qdd!$C$2:$F$1000,2,FALSE),"")</f>
        <v/>
      </c>
      <c r="F274" s="2" t="str">
        <f>IFERROR(VLOOKUP(CONCATENATE(C274,D274),qdd!$C$2:$F$1000,3,FALSE),"")</f>
        <v/>
      </c>
      <c r="G274" s="2" t="str">
        <f>IFERROR(VLOOKUP(CONCATENATE(C274,D274),qdd!$C$2:$F$1000,4,FALSE),"")</f>
        <v/>
      </c>
      <c r="H274" s="6" t="str">
        <f t="shared" si="10"/>
        <v/>
      </c>
      <c r="I2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4" s="2" t="str">
        <f>IFERROR(IF('PREENCHER AQUI'!E274="","",'PREENCHER AQUI'!E274),"")</f>
        <v/>
      </c>
      <c r="K274" s="2" t="str">
        <f>IFERROR(IF('PREENCHER AQUI'!F274="","",'PREENCHER AQUI'!F274),"")</f>
        <v/>
      </c>
      <c r="L274" s="2" t="str">
        <f>IF(Tabela1[[#This Row],[IPU_COD]]=9,"91",IF(Tabela1[[#This Row],[ACAO_COD]]="","",VLOOKUP(CONCATENATE("G",J274,"M",K274),qdd!$BC$2:$BD$46,2,FALSE)))</f>
        <v/>
      </c>
      <c r="M274" s="2" t="str">
        <f>TEXT(IFERROR(VLOOKUP(CONCATENATE(C274,D274),qdd!$C$2:$G$1000,5,FALSE),""),0)</f>
        <v/>
      </c>
      <c r="N274" s="2" t="str">
        <f>IFERROR(IF('PREENCHER AQUI'!I274="","",'PREENCHER AQUI'!I274),"")</f>
        <v/>
      </c>
      <c r="O274" s="2" t="str">
        <f>IFERROR(IF('PREENCHER AQUI'!J274="","",'PREENCHER AQUI'!J274),"")</f>
        <v/>
      </c>
      <c r="P274" s="7" t="str">
        <f t="shared" si="11"/>
        <v/>
      </c>
      <c r="Q274" s="8" t="str">
        <f>IFERROR(IF(Tabela4[[#This Row],[VALOR]]="","",IF(Tabela1[[#This Row],[ORIENTACAO]]="Anular",'PREENCHER AQUI'!K274*-1*100,'PREENCHER AQUI'!K274*100)),"")</f>
        <v/>
      </c>
      <c r="T274" s="7" t="str">
        <f>IFERROR(IF('PREENCHER AQUI'!L274="","999",LEFT('PREENCHER AQUI'!L274,1)),"")</f>
        <v>999</v>
      </c>
      <c r="V274" s="19"/>
      <c r="W274" s="1" t="str">
        <f>IFERROR(VLOOKUP(Tabela1[[#This Row],[UO_COD]],qdd!$AT$1:$AU$102,2,FALSE),"")</f>
        <v/>
      </c>
      <c r="X274" s="1" t="str">
        <f>CONCATENATE("F",Tabela1[[#This Row],[FONTE_COD]],Tabela1[[#This Row],[IPU_COD]],"G",Tabela1[[#This Row],[GRUPO_COD]],"T",Tabela1[[#This Row],[TIPO]])</f>
        <v>FGT999</v>
      </c>
      <c r="Y2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4" s="19"/>
      <c r="AA274" s="29" t="str">
        <f>IFERROR(VLOOKUP(CONCATENATE("B",Tabela1[[#This Row],[BLOCO]],Tabela1[[#This Row],[UO_COD]]),qdd!$AW$2:$AX$1000,2,FALSE),"")</f>
        <v/>
      </c>
      <c r="AB274" s="30" t="str">
        <f>IFERROR(Tabela1[[#This Row],[VALOR]]/100,"")</f>
        <v/>
      </c>
      <c r="AC274" s="7" t="str" cm="1">
        <f t="array" aca="1" ref="AC274" ca="1">IF(Tabela1[[#This Row],[VALOR]]&lt;0,"",IFERROR(SUBSTITUTE(Converter_numero(Tabela1[[#This Row],[VALOR INCISO]]),",",""),""))</f>
        <v/>
      </c>
      <c r="AD274" s="29" t="str">
        <f>IF(Tabela1[[#This Row],[TIPO]]=REGRAS!$W$2,REGRAS!$X$2,IF(Tabela1[[#This Row],[TIPO]]=REGRAS!$W$4,REGRAS!$X$4,""))</f>
        <v/>
      </c>
      <c r="AE274" s="29" t="e">
        <f>VLOOKUP(Tabela1[[#This Row],[FONTE_COD]],REGRAS!$O$2:$P$69,2,FALSE)</f>
        <v>#N/A</v>
      </c>
      <c r="AF2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5" spans="1:32" ht="18.75" customHeight="1">
      <c r="A275" s="2" t="str">
        <f>IFERROR(IF('PREENCHER AQUI'!A275="","",'PREENCHER AQUI'!A275),"")</f>
        <v/>
      </c>
      <c r="B275" s="1" t="str">
        <f>IFERROR(IF('PREENCHER AQUI'!B275="","",PROPER('PREENCHER AQUI'!B275)),"")</f>
        <v/>
      </c>
      <c r="C275" s="1" t="str">
        <f>IFERROR(IF('PREENCHER AQUI'!C275="","",'PREENCHER AQUI'!C275),"")</f>
        <v/>
      </c>
      <c r="D275" s="2" t="str">
        <f>IFERROR(IF('PREENCHER AQUI'!D275="","",'PREENCHER AQUI'!D275),"")</f>
        <v/>
      </c>
      <c r="E275" s="2" t="str">
        <f>IFERROR(VLOOKUP(CONCATENATE(C275,D275),qdd!$C$2:$F$1000,2,FALSE),"")</f>
        <v/>
      </c>
      <c r="F275" s="2" t="str">
        <f>IFERROR(VLOOKUP(CONCATENATE(C275,D275),qdd!$C$2:$F$1000,3,FALSE),"")</f>
        <v/>
      </c>
      <c r="G275" s="2" t="str">
        <f>IFERROR(VLOOKUP(CONCATENATE(C275,D275),qdd!$C$2:$F$1000,4,FALSE),"")</f>
        <v/>
      </c>
      <c r="H275" s="6" t="str">
        <f t="shared" si="10"/>
        <v/>
      </c>
      <c r="I2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5" s="2" t="str">
        <f>IFERROR(IF('PREENCHER AQUI'!E275="","",'PREENCHER AQUI'!E275),"")</f>
        <v/>
      </c>
      <c r="K275" s="2" t="str">
        <f>IFERROR(IF('PREENCHER AQUI'!F275="","",'PREENCHER AQUI'!F275),"")</f>
        <v/>
      </c>
      <c r="L275" s="2" t="str">
        <f>IF(Tabela1[[#This Row],[IPU_COD]]=9,"91",IF(Tabela1[[#This Row],[ACAO_COD]]="","",VLOOKUP(CONCATENATE("G",J275,"M",K275),qdd!$BC$2:$BD$46,2,FALSE)))</f>
        <v/>
      </c>
      <c r="M275" s="2" t="str">
        <f>TEXT(IFERROR(VLOOKUP(CONCATENATE(C275,D275),qdd!$C$2:$G$1000,5,FALSE),""),0)</f>
        <v/>
      </c>
      <c r="N275" s="2" t="str">
        <f>IFERROR(IF('PREENCHER AQUI'!I275="","",'PREENCHER AQUI'!I275),"")</f>
        <v/>
      </c>
      <c r="O275" s="2" t="str">
        <f>IFERROR(IF('PREENCHER AQUI'!J275="","",'PREENCHER AQUI'!J275),"")</f>
        <v/>
      </c>
      <c r="P275" s="7" t="str">
        <f t="shared" si="11"/>
        <v/>
      </c>
      <c r="Q275" s="8" t="str">
        <f>IFERROR(IF(Tabela4[[#This Row],[VALOR]]="","",IF(Tabela1[[#This Row],[ORIENTACAO]]="Anular",'PREENCHER AQUI'!K275*-1*100,'PREENCHER AQUI'!K275*100)),"")</f>
        <v/>
      </c>
      <c r="T275" s="7" t="str">
        <f>IFERROR(IF('PREENCHER AQUI'!L275="","999",LEFT('PREENCHER AQUI'!L275,1)),"")</f>
        <v>999</v>
      </c>
      <c r="V275" s="19"/>
      <c r="W275" s="20" t="str">
        <f>IFERROR(VLOOKUP(Tabela1[[#This Row],[UO_COD]],qdd!$AT$1:$AU$102,2,FALSE),"")</f>
        <v/>
      </c>
      <c r="X275" s="20" t="str">
        <f>CONCATENATE("F",Tabela1[[#This Row],[FONTE_COD]],Tabela1[[#This Row],[IPU_COD]],"G",Tabela1[[#This Row],[GRUPO_COD]],"T",Tabela1[[#This Row],[TIPO]])</f>
        <v>FGT999</v>
      </c>
      <c r="Y2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5" s="19"/>
      <c r="AA275" s="29" t="str">
        <f>IFERROR(VLOOKUP(CONCATENATE("B",Tabela1[[#This Row],[BLOCO]],Tabela1[[#This Row],[UO_COD]]),qdd!$AW$2:$AX$1000,2,FALSE),"")</f>
        <v/>
      </c>
      <c r="AB275" s="30" t="str">
        <f>IFERROR(Tabela1[[#This Row],[VALOR]]/100,"")</f>
        <v/>
      </c>
      <c r="AC275" s="7" t="str" cm="1">
        <f t="array" aca="1" ref="AC275" ca="1">IF(Tabela1[[#This Row],[VALOR]]&lt;0,"",IFERROR(SUBSTITUTE(Converter_numero(Tabela1[[#This Row],[VALOR INCISO]]),",",""),""))</f>
        <v/>
      </c>
      <c r="AD275" s="29" t="str">
        <f>IF(Tabela1[[#This Row],[TIPO]]=REGRAS!$W$2,REGRAS!$X$2,IF(Tabela1[[#This Row],[TIPO]]=REGRAS!$W$4,REGRAS!$X$4,""))</f>
        <v/>
      </c>
      <c r="AE275" s="29" t="e">
        <f>VLOOKUP(Tabela1[[#This Row],[FONTE_COD]],REGRAS!$O$2:$P$69,2,FALSE)</f>
        <v>#N/A</v>
      </c>
      <c r="AF2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6" spans="1:32" ht="18.75" customHeight="1">
      <c r="A276" s="2" t="str">
        <f>IFERROR(IF('PREENCHER AQUI'!A276="","",'PREENCHER AQUI'!A276),"")</f>
        <v/>
      </c>
      <c r="B276" s="1" t="str">
        <f>IFERROR(IF('PREENCHER AQUI'!B276="","",PROPER('PREENCHER AQUI'!B276)),"")</f>
        <v/>
      </c>
      <c r="C276" s="1" t="str">
        <f>IFERROR(IF('PREENCHER AQUI'!C276="","",'PREENCHER AQUI'!C276),"")</f>
        <v/>
      </c>
      <c r="D276" s="2" t="str">
        <f>IFERROR(IF('PREENCHER AQUI'!D276="","",'PREENCHER AQUI'!D276),"")</f>
        <v/>
      </c>
      <c r="E276" s="2" t="str">
        <f>IFERROR(VLOOKUP(CONCATENATE(C276,D276),qdd!$C$2:$F$1000,2,FALSE),"")</f>
        <v/>
      </c>
      <c r="F276" s="2" t="str">
        <f>IFERROR(VLOOKUP(CONCATENATE(C276,D276),qdd!$C$2:$F$1000,3,FALSE),"")</f>
        <v/>
      </c>
      <c r="G276" s="2" t="str">
        <f>IFERROR(VLOOKUP(CONCATENATE(C276,D276),qdd!$C$2:$F$1000,4,FALSE),"")</f>
        <v/>
      </c>
      <c r="H276" s="6" t="str">
        <f t="shared" si="10"/>
        <v/>
      </c>
      <c r="I2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6" s="2" t="str">
        <f>IFERROR(IF('PREENCHER AQUI'!E276="","",'PREENCHER AQUI'!E276),"")</f>
        <v/>
      </c>
      <c r="K276" s="2" t="str">
        <f>IFERROR(IF('PREENCHER AQUI'!F276="","",'PREENCHER AQUI'!F276),"")</f>
        <v/>
      </c>
      <c r="L276" s="2" t="str">
        <f>IF(Tabela1[[#This Row],[IPU_COD]]=9,"91",IF(Tabela1[[#This Row],[ACAO_COD]]="","",VLOOKUP(CONCATENATE("G",J276,"M",K276),qdd!$BC$2:$BD$46,2,FALSE)))</f>
        <v/>
      </c>
      <c r="M276" s="2" t="str">
        <f>TEXT(IFERROR(VLOOKUP(CONCATENATE(C276,D276),qdd!$C$2:$G$1000,5,FALSE),""),0)</f>
        <v/>
      </c>
      <c r="N276" s="2" t="str">
        <f>IFERROR(IF('PREENCHER AQUI'!I276="","",'PREENCHER AQUI'!I276),"")</f>
        <v/>
      </c>
      <c r="O276" s="2" t="str">
        <f>IFERROR(IF('PREENCHER AQUI'!J276="","",'PREENCHER AQUI'!J276),"")</f>
        <v/>
      </c>
      <c r="P276" s="7" t="str">
        <f t="shared" si="11"/>
        <v/>
      </c>
      <c r="Q276" s="8" t="str">
        <f>IFERROR(IF(Tabela4[[#This Row],[VALOR]]="","",IF(Tabela1[[#This Row],[ORIENTACAO]]="Anular",'PREENCHER AQUI'!K276*-1*100,'PREENCHER AQUI'!K276*100)),"")</f>
        <v/>
      </c>
      <c r="T276" s="7" t="str">
        <f>IFERROR(IF('PREENCHER AQUI'!L276="","999",LEFT('PREENCHER AQUI'!L276,1)),"")</f>
        <v>999</v>
      </c>
      <c r="V276" s="19"/>
      <c r="W276" s="1" t="str">
        <f>IFERROR(VLOOKUP(Tabela1[[#This Row],[UO_COD]],qdd!$AT$1:$AU$102,2,FALSE),"")</f>
        <v/>
      </c>
      <c r="X276" s="1" t="str">
        <f>CONCATENATE("F",Tabela1[[#This Row],[FONTE_COD]],Tabela1[[#This Row],[IPU_COD]],"G",Tabela1[[#This Row],[GRUPO_COD]],"T",Tabela1[[#This Row],[TIPO]])</f>
        <v>FGT999</v>
      </c>
      <c r="Y2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6" s="19"/>
      <c r="AA276" s="29" t="str">
        <f>IFERROR(VLOOKUP(CONCATENATE("B",Tabela1[[#This Row],[BLOCO]],Tabela1[[#This Row],[UO_COD]]),qdd!$AW$2:$AX$1000,2,FALSE),"")</f>
        <v/>
      </c>
      <c r="AB276" s="30" t="str">
        <f>IFERROR(Tabela1[[#This Row],[VALOR]]/100,"")</f>
        <v/>
      </c>
      <c r="AC276" s="7" t="str" cm="1">
        <f t="array" aca="1" ref="AC276" ca="1">IF(Tabela1[[#This Row],[VALOR]]&lt;0,"",IFERROR(SUBSTITUTE(Converter_numero(Tabela1[[#This Row],[VALOR INCISO]]),",",""),""))</f>
        <v/>
      </c>
      <c r="AD276" s="29" t="str">
        <f>IF(Tabela1[[#This Row],[TIPO]]=REGRAS!$W$2,REGRAS!$X$2,IF(Tabela1[[#This Row],[TIPO]]=REGRAS!$W$4,REGRAS!$X$4,""))</f>
        <v/>
      </c>
      <c r="AE276" s="29" t="e">
        <f>VLOOKUP(Tabela1[[#This Row],[FONTE_COD]],REGRAS!$O$2:$P$69,2,FALSE)</f>
        <v>#N/A</v>
      </c>
      <c r="AF2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7" spans="1:32" ht="18.75" customHeight="1">
      <c r="A277" s="2" t="str">
        <f>IFERROR(IF('PREENCHER AQUI'!A277="","",'PREENCHER AQUI'!A277),"")</f>
        <v/>
      </c>
      <c r="B277" s="1" t="str">
        <f>IFERROR(IF('PREENCHER AQUI'!B277="","",PROPER('PREENCHER AQUI'!B277)),"")</f>
        <v/>
      </c>
      <c r="C277" s="1" t="str">
        <f>IFERROR(IF('PREENCHER AQUI'!C277="","",'PREENCHER AQUI'!C277),"")</f>
        <v/>
      </c>
      <c r="D277" s="2" t="str">
        <f>IFERROR(IF('PREENCHER AQUI'!D277="","",'PREENCHER AQUI'!D277),"")</f>
        <v/>
      </c>
      <c r="E277" s="2" t="str">
        <f>IFERROR(VLOOKUP(CONCATENATE(C277,D277),qdd!$C$2:$F$1000,2,FALSE),"")</f>
        <v/>
      </c>
      <c r="F277" s="2" t="str">
        <f>IFERROR(VLOOKUP(CONCATENATE(C277,D277),qdd!$C$2:$F$1000,3,FALSE),"")</f>
        <v/>
      </c>
      <c r="G277" s="2" t="str">
        <f>IFERROR(VLOOKUP(CONCATENATE(C277,D277),qdd!$C$2:$F$1000,4,FALSE),"")</f>
        <v/>
      </c>
      <c r="H277" s="6" t="str">
        <f t="shared" si="10"/>
        <v/>
      </c>
      <c r="I2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7" s="2" t="str">
        <f>IFERROR(IF('PREENCHER AQUI'!E277="","",'PREENCHER AQUI'!E277),"")</f>
        <v/>
      </c>
      <c r="K277" s="2" t="str">
        <f>IFERROR(IF('PREENCHER AQUI'!F277="","",'PREENCHER AQUI'!F277),"")</f>
        <v/>
      </c>
      <c r="L277" s="2" t="str">
        <f>IF(Tabela1[[#This Row],[IPU_COD]]=9,"91",IF(Tabela1[[#This Row],[ACAO_COD]]="","",VLOOKUP(CONCATENATE("G",J277,"M",K277),qdd!$BC$2:$BD$46,2,FALSE)))</f>
        <v/>
      </c>
      <c r="M277" s="2" t="str">
        <f>TEXT(IFERROR(VLOOKUP(CONCATENATE(C277,D277),qdd!$C$2:$G$1000,5,FALSE),""),0)</f>
        <v/>
      </c>
      <c r="N277" s="2" t="str">
        <f>IFERROR(IF('PREENCHER AQUI'!I277="","",'PREENCHER AQUI'!I277),"")</f>
        <v/>
      </c>
      <c r="O277" s="2" t="str">
        <f>IFERROR(IF('PREENCHER AQUI'!J277="","",'PREENCHER AQUI'!J277),"")</f>
        <v/>
      </c>
      <c r="P277" s="7" t="str">
        <f t="shared" si="11"/>
        <v/>
      </c>
      <c r="Q277" s="8" t="str">
        <f>IFERROR(IF(Tabela4[[#This Row],[VALOR]]="","",IF(Tabela1[[#This Row],[ORIENTACAO]]="Anular",'PREENCHER AQUI'!K277*-1*100,'PREENCHER AQUI'!K277*100)),"")</f>
        <v/>
      </c>
      <c r="T277" s="7" t="str">
        <f>IFERROR(IF('PREENCHER AQUI'!L277="","999",LEFT('PREENCHER AQUI'!L277,1)),"")</f>
        <v>999</v>
      </c>
      <c r="W277" s="1" t="str">
        <f>IFERROR(VLOOKUP(Tabela1[[#This Row],[UO_COD]],qdd!$AT$1:$AU$102,2,FALSE),"")</f>
        <v/>
      </c>
      <c r="X277" s="1" t="str">
        <f>CONCATENATE("F",Tabela1[[#This Row],[FONTE_COD]],Tabela1[[#This Row],[IPU_COD]],"G",Tabela1[[#This Row],[GRUPO_COD]],"T",Tabela1[[#This Row],[TIPO]])</f>
        <v>FGT999</v>
      </c>
      <c r="Y2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7" s="19"/>
      <c r="AA277" s="29" t="str">
        <f>IFERROR(VLOOKUP(CONCATENATE("B",Tabela1[[#This Row],[BLOCO]],Tabela1[[#This Row],[UO_COD]]),qdd!$AW$2:$AX$1000,2,FALSE),"")</f>
        <v/>
      </c>
      <c r="AB277" s="30" t="str">
        <f>IFERROR(Tabela1[[#This Row],[VALOR]]/100,"")</f>
        <v/>
      </c>
      <c r="AC277" s="7" t="str" cm="1">
        <f t="array" aca="1" ref="AC277" ca="1">IF(Tabela1[[#This Row],[VALOR]]&lt;0,"",IFERROR(SUBSTITUTE(Converter_numero(Tabela1[[#This Row],[VALOR INCISO]]),",",""),""))</f>
        <v/>
      </c>
      <c r="AD277" s="7" t="str">
        <f>IF(Tabela1[[#This Row],[TIPO]]=REGRAS!$W$2,REGRAS!$X$2,IF(Tabela1[[#This Row],[TIPO]]=REGRAS!$W$4,REGRAS!$X$4,""))</f>
        <v/>
      </c>
      <c r="AE277" s="29" t="e">
        <f>VLOOKUP(Tabela1[[#This Row],[FONTE_COD]],REGRAS!$O$2:$P$69,2,FALSE)</f>
        <v>#N/A</v>
      </c>
      <c r="AF2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8" spans="1:32" ht="18.75" customHeight="1">
      <c r="A278" s="2" t="str">
        <f>IFERROR(IF('PREENCHER AQUI'!A278="","",'PREENCHER AQUI'!A278),"")</f>
        <v/>
      </c>
      <c r="B278" s="1" t="str">
        <f>IFERROR(IF('PREENCHER AQUI'!B278="","",PROPER('PREENCHER AQUI'!B278)),"")</f>
        <v/>
      </c>
      <c r="C278" s="1" t="str">
        <f>IFERROR(IF('PREENCHER AQUI'!C278="","",'PREENCHER AQUI'!C278),"")</f>
        <v/>
      </c>
      <c r="D278" s="2" t="str">
        <f>IFERROR(IF('PREENCHER AQUI'!D278="","",'PREENCHER AQUI'!D278),"")</f>
        <v/>
      </c>
      <c r="E278" s="2" t="str">
        <f>IFERROR(VLOOKUP(CONCATENATE(C278,D278),qdd!$C$2:$F$1000,2,FALSE),"")</f>
        <v/>
      </c>
      <c r="F278" s="2" t="str">
        <f>IFERROR(VLOOKUP(CONCATENATE(C278,D278),qdd!$C$2:$F$1000,3,FALSE),"")</f>
        <v/>
      </c>
      <c r="G278" s="2" t="str">
        <f>IFERROR(VLOOKUP(CONCATENATE(C278,D278),qdd!$C$2:$F$1000,4,FALSE),"")</f>
        <v/>
      </c>
      <c r="H278" s="6" t="str">
        <f t="shared" si="10"/>
        <v/>
      </c>
      <c r="I2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8" s="2" t="str">
        <f>IFERROR(IF('PREENCHER AQUI'!E278="","",'PREENCHER AQUI'!E278),"")</f>
        <v/>
      </c>
      <c r="K278" s="2" t="str">
        <f>IFERROR(IF('PREENCHER AQUI'!F278="","",'PREENCHER AQUI'!F278),"")</f>
        <v/>
      </c>
      <c r="L278" s="2" t="str">
        <f>IF(Tabela1[[#This Row],[IPU_COD]]=9,"91",IF(Tabela1[[#This Row],[ACAO_COD]]="","",VLOOKUP(CONCATENATE("G",J278,"M",K278),qdd!$BC$2:$BD$46,2,FALSE)))</f>
        <v/>
      </c>
      <c r="M278" s="2" t="str">
        <f>TEXT(IFERROR(VLOOKUP(CONCATENATE(C278,D278),qdd!$C$2:$G$1000,5,FALSE),""),0)</f>
        <v/>
      </c>
      <c r="N278" s="2" t="str">
        <f>IFERROR(IF('PREENCHER AQUI'!I278="","",'PREENCHER AQUI'!I278),"")</f>
        <v/>
      </c>
      <c r="O278" s="2" t="str">
        <f>IFERROR(IF('PREENCHER AQUI'!J278="","",'PREENCHER AQUI'!J278),"")</f>
        <v/>
      </c>
      <c r="P278" s="7" t="str">
        <f t="shared" si="11"/>
        <v/>
      </c>
      <c r="Q278" s="8" t="str">
        <f>IFERROR(IF(Tabela4[[#This Row],[VALOR]]="","",IF(Tabela1[[#This Row],[ORIENTACAO]]="Anular",'PREENCHER AQUI'!K278*-1*100,'PREENCHER AQUI'!K278*100)),"")</f>
        <v/>
      </c>
      <c r="T278" s="7" t="str">
        <f>IFERROR(IF('PREENCHER AQUI'!L278="","999",LEFT('PREENCHER AQUI'!L278,1)),"")</f>
        <v>999</v>
      </c>
      <c r="V278" s="19"/>
      <c r="W278" s="1" t="str">
        <f>IFERROR(VLOOKUP(Tabela1[[#This Row],[UO_COD]],qdd!$AT$1:$AU$102,2,FALSE),"")</f>
        <v/>
      </c>
      <c r="X278" s="1" t="str">
        <f>CONCATENATE("F",Tabela1[[#This Row],[FONTE_COD]],Tabela1[[#This Row],[IPU_COD]],"G",Tabela1[[#This Row],[GRUPO_COD]],"T",Tabela1[[#This Row],[TIPO]])</f>
        <v>FGT999</v>
      </c>
      <c r="Y2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8" s="19"/>
      <c r="AA278" s="29" t="str">
        <f>IFERROR(VLOOKUP(CONCATENATE("B",Tabela1[[#This Row],[BLOCO]],Tabela1[[#This Row],[UO_COD]]),qdd!$AW$2:$AX$1000,2,FALSE),"")</f>
        <v/>
      </c>
      <c r="AB278" s="30" t="str">
        <f>IFERROR(Tabela1[[#This Row],[VALOR]]/100,"")</f>
        <v/>
      </c>
      <c r="AC278" s="7" t="str" cm="1">
        <f t="array" aca="1" ref="AC278" ca="1">IF(Tabela1[[#This Row],[VALOR]]&lt;0,"",IFERROR(SUBSTITUTE(Converter_numero(Tabela1[[#This Row],[VALOR INCISO]]),",",""),""))</f>
        <v/>
      </c>
      <c r="AD278" s="29" t="str">
        <f>IF(Tabela1[[#This Row],[TIPO]]=REGRAS!$W$2,REGRAS!$X$2,IF(Tabela1[[#This Row],[TIPO]]=REGRAS!$W$4,REGRAS!$X$4,""))</f>
        <v/>
      </c>
      <c r="AE278" s="29" t="e">
        <f>VLOOKUP(Tabela1[[#This Row],[FONTE_COD]],REGRAS!$O$2:$P$69,2,FALSE)</f>
        <v>#N/A</v>
      </c>
      <c r="AF2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9" spans="1:32" ht="18.75" customHeight="1">
      <c r="A279" s="2" t="str">
        <f>IFERROR(IF('PREENCHER AQUI'!A279="","",'PREENCHER AQUI'!A279),"")</f>
        <v/>
      </c>
      <c r="B279" s="1" t="str">
        <f>IFERROR(IF('PREENCHER AQUI'!B279="","",PROPER('PREENCHER AQUI'!B279)),"")</f>
        <v/>
      </c>
      <c r="C279" s="1" t="str">
        <f>IFERROR(IF('PREENCHER AQUI'!C279="","",'PREENCHER AQUI'!C279),"")</f>
        <v/>
      </c>
      <c r="D279" s="2" t="str">
        <f>IFERROR(IF('PREENCHER AQUI'!D279="","",'PREENCHER AQUI'!D279),"")</f>
        <v/>
      </c>
      <c r="E279" s="2" t="str">
        <f>IFERROR(VLOOKUP(CONCATENATE(C279,D279),qdd!$C$2:$F$1000,2,FALSE),"")</f>
        <v/>
      </c>
      <c r="F279" s="2" t="str">
        <f>IFERROR(VLOOKUP(CONCATENATE(C279,D279),qdd!$C$2:$F$1000,3,FALSE),"")</f>
        <v/>
      </c>
      <c r="G279" s="2" t="str">
        <f>IFERROR(VLOOKUP(CONCATENATE(C279,D279),qdd!$C$2:$F$1000,4,FALSE),"")</f>
        <v/>
      </c>
      <c r="H279" s="6" t="str">
        <f t="shared" si="10"/>
        <v/>
      </c>
      <c r="I2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9" s="2" t="str">
        <f>IFERROR(IF('PREENCHER AQUI'!E279="","",'PREENCHER AQUI'!E279),"")</f>
        <v/>
      </c>
      <c r="K279" s="2" t="str">
        <f>IFERROR(IF('PREENCHER AQUI'!F279="","",'PREENCHER AQUI'!F279),"")</f>
        <v/>
      </c>
      <c r="L279" s="2" t="str">
        <f>IF(Tabela1[[#This Row],[IPU_COD]]=9,"91",IF(Tabela1[[#This Row],[ACAO_COD]]="","",VLOOKUP(CONCATENATE("G",J279,"M",K279),qdd!$BC$2:$BD$46,2,FALSE)))</f>
        <v/>
      </c>
      <c r="M279" s="2" t="str">
        <f>TEXT(IFERROR(VLOOKUP(CONCATENATE(C279,D279),qdd!$C$2:$G$1000,5,FALSE),""),0)</f>
        <v/>
      </c>
      <c r="N279" s="2" t="str">
        <f>IFERROR(IF('PREENCHER AQUI'!I279="","",'PREENCHER AQUI'!I279),"")</f>
        <v/>
      </c>
      <c r="O279" s="2" t="str">
        <f>IFERROR(IF('PREENCHER AQUI'!J279="","",'PREENCHER AQUI'!J279),"")</f>
        <v/>
      </c>
      <c r="P279" s="7" t="str">
        <f t="shared" si="11"/>
        <v/>
      </c>
      <c r="Q279" s="8" t="str">
        <f>IFERROR(IF(Tabela4[[#This Row],[VALOR]]="","",IF(Tabela1[[#This Row],[ORIENTACAO]]="Anular",'PREENCHER AQUI'!K279*-1*100,'PREENCHER AQUI'!K279*100)),"")</f>
        <v/>
      </c>
      <c r="T279" s="7" t="str">
        <f>IFERROR(IF('PREENCHER AQUI'!L279="","999",LEFT('PREENCHER AQUI'!L279,1)),"")</f>
        <v>999</v>
      </c>
      <c r="V279" s="19"/>
      <c r="W279" s="1" t="str">
        <f>IFERROR(VLOOKUP(Tabela1[[#This Row],[UO_COD]],qdd!$AT$1:$AU$102,2,FALSE),"")</f>
        <v/>
      </c>
      <c r="X279" s="1" t="str">
        <f>CONCATENATE("F",Tabela1[[#This Row],[FONTE_COD]],Tabela1[[#This Row],[IPU_COD]],"G",Tabela1[[#This Row],[GRUPO_COD]],"T",Tabela1[[#This Row],[TIPO]])</f>
        <v>FGT999</v>
      </c>
      <c r="Y2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9" s="19"/>
      <c r="AA279" s="29" t="str">
        <f>IFERROR(VLOOKUP(CONCATENATE("B",Tabela1[[#This Row],[BLOCO]],Tabela1[[#This Row],[UO_COD]]),qdd!$AW$2:$AX$1000,2,FALSE),"")</f>
        <v/>
      </c>
      <c r="AB279" s="30" t="str">
        <f>IFERROR(Tabela1[[#This Row],[VALOR]]/100,"")</f>
        <v/>
      </c>
      <c r="AC279" s="7" t="str" cm="1">
        <f t="array" aca="1" ref="AC279" ca="1">IF(Tabela1[[#This Row],[VALOR]]&lt;0,"",IFERROR(SUBSTITUTE(Converter_numero(Tabela1[[#This Row],[VALOR INCISO]]),",",""),""))</f>
        <v/>
      </c>
      <c r="AD279" s="29" t="str">
        <f>IF(Tabela1[[#This Row],[TIPO]]=REGRAS!$W$2,REGRAS!$X$2,IF(Tabela1[[#This Row],[TIPO]]=REGRAS!$W$4,REGRAS!$X$4,""))</f>
        <v/>
      </c>
      <c r="AE279" s="29" t="e">
        <f>VLOOKUP(Tabela1[[#This Row],[FONTE_COD]],REGRAS!$O$2:$P$69,2,FALSE)</f>
        <v>#N/A</v>
      </c>
      <c r="AF2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0" spans="1:32" ht="18.75" customHeight="1">
      <c r="A280" s="2" t="str">
        <f>IFERROR(IF('PREENCHER AQUI'!A280="","",'PREENCHER AQUI'!A280),"")</f>
        <v/>
      </c>
      <c r="B280" s="1" t="str">
        <f>IFERROR(IF('PREENCHER AQUI'!B280="","",PROPER('PREENCHER AQUI'!B280)),"")</f>
        <v/>
      </c>
      <c r="C280" s="1" t="str">
        <f>IFERROR(IF('PREENCHER AQUI'!C280="","",'PREENCHER AQUI'!C280),"")</f>
        <v/>
      </c>
      <c r="D280" s="2" t="str">
        <f>IFERROR(IF('PREENCHER AQUI'!D280="","",'PREENCHER AQUI'!D280),"")</f>
        <v/>
      </c>
      <c r="E280" s="2" t="str">
        <f>IFERROR(VLOOKUP(CONCATENATE(C280,D280),qdd!$C$2:$F$1000,2,FALSE),"")</f>
        <v/>
      </c>
      <c r="F280" s="2" t="str">
        <f>IFERROR(VLOOKUP(CONCATENATE(C280,D280),qdd!$C$2:$F$1000,3,FALSE),"")</f>
        <v/>
      </c>
      <c r="G280" s="2" t="str">
        <f>IFERROR(VLOOKUP(CONCATENATE(C280,D280),qdd!$C$2:$F$1000,4,FALSE),"")</f>
        <v/>
      </c>
      <c r="H280" s="6" t="str">
        <f t="shared" si="10"/>
        <v/>
      </c>
      <c r="I2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0" s="2" t="str">
        <f>IFERROR(IF('PREENCHER AQUI'!E280="","",'PREENCHER AQUI'!E280),"")</f>
        <v/>
      </c>
      <c r="K280" s="2" t="str">
        <f>IFERROR(IF('PREENCHER AQUI'!F280="","",'PREENCHER AQUI'!F280),"")</f>
        <v/>
      </c>
      <c r="L280" s="2" t="str">
        <f>IF(Tabela1[[#This Row],[IPU_COD]]=9,"91",IF(Tabela1[[#This Row],[ACAO_COD]]="","",VLOOKUP(CONCATENATE("G",J280,"M",K280),qdd!$BC$2:$BD$46,2,FALSE)))</f>
        <v/>
      </c>
      <c r="M280" s="2" t="str">
        <f>TEXT(IFERROR(VLOOKUP(CONCATENATE(C280,D280),qdd!$C$2:$G$1000,5,FALSE),""),0)</f>
        <v/>
      </c>
      <c r="N280" s="2" t="str">
        <f>IFERROR(IF('PREENCHER AQUI'!I280="","",'PREENCHER AQUI'!I280),"")</f>
        <v/>
      </c>
      <c r="O280" s="2" t="str">
        <f>IFERROR(IF('PREENCHER AQUI'!J280="","",'PREENCHER AQUI'!J280),"")</f>
        <v/>
      </c>
      <c r="P280" s="7" t="str">
        <f t="shared" si="11"/>
        <v/>
      </c>
      <c r="Q280" s="8" t="str">
        <f>IFERROR(IF(Tabela4[[#This Row],[VALOR]]="","",IF(Tabela1[[#This Row],[ORIENTACAO]]="Anular",'PREENCHER AQUI'!K280*-1*100,'PREENCHER AQUI'!K280*100)),"")</f>
        <v/>
      </c>
      <c r="T280" s="7" t="str">
        <f>IFERROR(IF('PREENCHER AQUI'!L280="","999",LEFT('PREENCHER AQUI'!L280,1)),"")</f>
        <v>999</v>
      </c>
      <c r="V280" s="19"/>
      <c r="W280" s="20" t="str">
        <f>IFERROR(VLOOKUP(Tabela1[[#This Row],[UO_COD]],qdd!$AT$1:$AU$102,2,FALSE),"")</f>
        <v/>
      </c>
      <c r="X280" s="20" t="str">
        <f>CONCATENATE("F",Tabela1[[#This Row],[FONTE_COD]],Tabela1[[#This Row],[IPU_COD]],"G",Tabela1[[#This Row],[GRUPO_COD]],"T",Tabela1[[#This Row],[TIPO]])</f>
        <v>FGT999</v>
      </c>
      <c r="Y2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0" s="19"/>
      <c r="AA280" s="29" t="str">
        <f>IFERROR(VLOOKUP(CONCATENATE("B",Tabela1[[#This Row],[BLOCO]],Tabela1[[#This Row],[UO_COD]]),qdd!$AW$2:$AX$1000,2,FALSE),"")</f>
        <v/>
      </c>
      <c r="AB280" s="30" t="str">
        <f>IFERROR(Tabela1[[#This Row],[VALOR]]/100,"")</f>
        <v/>
      </c>
      <c r="AC280" s="7" t="str" cm="1">
        <f t="array" aca="1" ref="AC280" ca="1">IF(Tabela1[[#This Row],[VALOR]]&lt;0,"",IFERROR(SUBSTITUTE(Converter_numero(Tabela1[[#This Row],[VALOR INCISO]]),",",""),""))</f>
        <v/>
      </c>
      <c r="AD280" s="29" t="str">
        <f>IF(Tabela1[[#This Row],[TIPO]]=REGRAS!$W$2,REGRAS!$X$2,IF(Tabela1[[#This Row],[TIPO]]=REGRAS!$W$4,REGRAS!$X$4,""))</f>
        <v/>
      </c>
      <c r="AE280" s="29" t="e">
        <f>VLOOKUP(Tabela1[[#This Row],[FONTE_COD]],REGRAS!$O$2:$P$69,2,FALSE)</f>
        <v>#N/A</v>
      </c>
      <c r="AF2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1" spans="1:32" ht="18.75" customHeight="1">
      <c r="A281" s="2" t="str">
        <f>IFERROR(IF('PREENCHER AQUI'!A281="","",'PREENCHER AQUI'!A281),"")</f>
        <v/>
      </c>
      <c r="B281" s="1" t="str">
        <f>IFERROR(IF('PREENCHER AQUI'!B281="","",PROPER('PREENCHER AQUI'!B281)),"")</f>
        <v/>
      </c>
      <c r="C281" s="1" t="str">
        <f>IFERROR(IF('PREENCHER AQUI'!C281="","",'PREENCHER AQUI'!C281),"")</f>
        <v/>
      </c>
      <c r="D281" s="2" t="str">
        <f>IFERROR(IF('PREENCHER AQUI'!D281="","",'PREENCHER AQUI'!D281),"")</f>
        <v/>
      </c>
      <c r="E281" s="2" t="str">
        <f>IFERROR(VLOOKUP(CONCATENATE(C281,D281),qdd!$C$2:$F$1000,2,FALSE),"")</f>
        <v/>
      </c>
      <c r="F281" s="2" t="str">
        <f>IFERROR(VLOOKUP(CONCATENATE(C281,D281),qdd!$C$2:$F$1000,3,FALSE),"")</f>
        <v/>
      </c>
      <c r="G281" s="2" t="str">
        <f>IFERROR(VLOOKUP(CONCATENATE(C281,D281),qdd!$C$2:$F$1000,4,FALSE),"")</f>
        <v/>
      </c>
      <c r="H281" s="6" t="str">
        <f t="shared" si="10"/>
        <v/>
      </c>
      <c r="I2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1" s="2" t="str">
        <f>IFERROR(IF('PREENCHER AQUI'!E281="","",'PREENCHER AQUI'!E281),"")</f>
        <v/>
      </c>
      <c r="K281" s="2" t="str">
        <f>IFERROR(IF('PREENCHER AQUI'!F281="","",'PREENCHER AQUI'!F281),"")</f>
        <v/>
      </c>
      <c r="L281" s="2" t="str">
        <f>IF(Tabela1[[#This Row],[IPU_COD]]=9,"91",IF(Tabela1[[#This Row],[ACAO_COD]]="","",VLOOKUP(CONCATENATE("G",J281,"M",K281),qdd!$BC$2:$BD$46,2,FALSE)))</f>
        <v/>
      </c>
      <c r="M281" s="2" t="str">
        <f>TEXT(IFERROR(VLOOKUP(CONCATENATE(C281,D281),qdd!$C$2:$G$1000,5,FALSE),""),0)</f>
        <v/>
      </c>
      <c r="N281" s="2" t="str">
        <f>IFERROR(IF('PREENCHER AQUI'!I281="","",'PREENCHER AQUI'!I281),"")</f>
        <v/>
      </c>
      <c r="O281" s="2" t="str">
        <f>IFERROR(IF('PREENCHER AQUI'!J281="","",'PREENCHER AQUI'!J281),"")</f>
        <v/>
      </c>
      <c r="P281" s="7" t="str">
        <f t="shared" si="11"/>
        <v/>
      </c>
      <c r="Q281" s="8" t="str">
        <f>IFERROR(IF(Tabela4[[#This Row],[VALOR]]="","",IF(Tabela1[[#This Row],[ORIENTACAO]]="Anular",'PREENCHER AQUI'!K281*-1*100,'PREENCHER AQUI'!K281*100)),"")</f>
        <v/>
      </c>
      <c r="T281" s="7" t="str">
        <f>IFERROR(IF('PREENCHER AQUI'!L281="","999",LEFT('PREENCHER AQUI'!L281,1)),"")</f>
        <v>999</v>
      </c>
      <c r="V281" s="19"/>
      <c r="W281" s="1" t="str">
        <f>IFERROR(VLOOKUP(Tabela1[[#This Row],[UO_COD]],qdd!$AT$1:$AU$102,2,FALSE),"")</f>
        <v/>
      </c>
      <c r="X281" s="1" t="str">
        <f>CONCATENATE("F",Tabela1[[#This Row],[FONTE_COD]],Tabela1[[#This Row],[IPU_COD]],"G",Tabela1[[#This Row],[GRUPO_COD]],"T",Tabela1[[#This Row],[TIPO]])</f>
        <v>FGT999</v>
      </c>
      <c r="Y2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1" s="19"/>
      <c r="AA281" s="29" t="str">
        <f>IFERROR(VLOOKUP(CONCATENATE("B",Tabela1[[#This Row],[BLOCO]],Tabela1[[#This Row],[UO_COD]]),qdd!$AW$2:$AX$1000,2,FALSE),"")</f>
        <v/>
      </c>
      <c r="AB281" s="30" t="str">
        <f>IFERROR(Tabela1[[#This Row],[VALOR]]/100,"")</f>
        <v/>
      </c>
      <c r="AC281" s="7" t="str" cm="1">
        <f t="array" aca="1" ref="AC281" ca="1">IF(Tabela1[[#This Row],[VALOR]]&lt;0,"",IFERROR(SUBSTITUTE(Converter_numero(Tabela1[[#This Row],[VALOR INCISO]]),",",""),""))</f>
        <v/>
      </c>
      <c r="AD281" s="29" t="str">
        <f>IF(Tabela1[[#This Row],[TIPO]]=REGRAS!$W$2,REGRAS!$X$2,IF(Tabela1[[#This Row],[TIPO]]=REGRAS!$W$4,REGRAS!$X$4,""))</f>
        <v/>
      </c>
      <c r="AE281" s="29" t="e">
        <f>VLOOKUP(Tabela1[[#This Row],[FONTE_COD]],REGRAS!$O$2:$P$69,2,FALSE)</f>
        <v>#N/A</v>
      </c>
      <c r="AF2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2" spans="1:32" ht="18.75" customHeight="1">
      <c r="A282" s="2" t="str">
        <f>IFERROR(IF('PREENCHER AQUI'!A282="","",'PREENCHER AQUI'!A282),"")</f>
        <v/>
      </c>
      <c r="B282" s="1" t="str">
        <f>IFERROR(IF('PREENCHER AQUI'!B282="","",PROPER('PREENCHER AQUI'!B282)),"")</f>
        <v/>
      </c>
      <c r="C282" s="1" t="str">
        <f>IFERROR(IF('PREENCHER AQUI'!C282="","",'PREENCHER AQUI'!C282),"")</f>
        <v/>
      </c>
      <c r="D282" s="2" t="str">
        <f>IFERROR(IF('PREENCHER AQUI'!D282="","",'PREENCHER AQUI'!D282),"")</f>
        <v/>
      </c>
      <c r="E282" s="2" t="str">
        <f>IFERROR(VLOOKUP(CONCATENATE(C282,D282),qdd!$C$2:$F$1000,2,FALSE),"")</f>
        <v/>
      </c>
      <c r="F282" s="2" t="str">
        <f>IFERROR(VLOOKUP(CONCATENATE(C282,D282),qdd!$C$2:$F$1000,3,FALSE),"")</f>
        <v/>
      </c>
      <c r="G282" s="2" t="str">
        <f>IFERROR(VLOOKUP(CONCATENATE(C282,D282),qdd!$C$2:$F$1000,4,FALSE),"")</f>
        <v/>
      </c>
      <c r="H282" s="6" t="str">
        <f t="shared" si="10"/>
        <v/>
      </c>
      <c r="I2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2" s="2" t="str">
        <f>IFERROR(IF('PREENCHER AQUI'!E282="","",'PREENCHER AQUI'!E282),"")</f>
        <v/>
      </c>
      <c r="K282" s="2" t="str">
        <f>IFERROR(IF('PREENCHER AQUI'!F282="","",'PREENCHER AQUI'!F282),"")</f>
        <v/>
      </c>
      <c r="L282" s="2" t="str">
        <f>IF(Tabela1[[#This Row],[IPU_COD]]=9,"91",IF(Tabela1[[#This Row],[ACAO_COD]]="","",VLOOKUP(CONCATENATE("G",J282,"M",K282),qdd!$BC$2:$BD$46,2,FALSE)))</f>
        <v/>
      </c>
      <c r="M282" s="2" t="str">
        <f>TEXT(IFERROR(VLOOKUP(CONCATENATE(C282,D282),qdd!$C$2:$G$1000,5,FALSE),""),0)</f>
        <v/>
      </c>
      <c r="N282" s="2" t="str">
        <f>IFERROR(IF('PREENCHER AQUI'!I282="","",'PREENCHER AQUI'!I282),"")</f>
        <v/>
      </c>
      <c r="O282" s="2" t="str">
        <f>IFERROR(IF('PREENCHER AQUI'!J282="","",'PREENCHER AQUI'!J282),"")</f>
        <v/>
      </c>
      <c r="P282" s="7" t="str">
        <f t="shared" si="11"/>
        <v/>
      </c>
      <c r="Q282" s="8" t="str">
        <f>IFERROR(IF(Tabela4[[#This Row],[VALOR]]="","",IF(Tabela1[[#This Row],[ORIENTACAO]]="Anular",'PREENCHER AQUI'!K282*-1*100,'PREENCHER AQUI'!K282*100)),"")</f>
        <v/>
      </c>
      <c r="T282" s="7" t="str">
        <f>IFERROR(IF('PREENCHER AQUI'!L282="","999",LEFT('PREENCHER AQUI'!L282,1)),"")</f>
        <v>999</v>
      </c>
      <c r="W282" s="1" t="str">
        <f>IFERROR(VLOOKUP(Tabela1[[#This Row],[UO_COD]],qdd!$AT$1:$AU$102,2,FALSE),"")</f>
        <v/>
      </c>
      <c r="X282" s="1" t="str">
        <f>CONCATENATE("F",Tabela1[[#This Row],[FONTE_COD]],Tabela1[[#This Row],[IPU_COD]],"G",Tabela1[[#This Row],[GRUPO_COD]],"T",Tabela1[[#This Row],[TIPO]])</f>
        <v>FGT999</v>
      </c>
      <c r="Y2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2" s="19"/>
      <c r="AA282" s="29" t="str">
        <f>IFERROR(VLOOKUP(CONCATENATE("B",Tabela1[[#This Row],[BLOCO]],Tabela1[[#This Row],[UO_COD]]),qdd!$AW$2:$AX$1000,2,FALSE),"")</f>
        <v/>
      </c>
      <c r="AB282" s="30" t="str">
        <f>IFERROR(Tabela1[[#This Row],[VALOR]]/100,"")</f>
        <v/>
      </c>
      <c r="AC282" s="7" t="str" cm="1">
        <f t="array" aca="1" ref="AC282" ca="1">IF(Tabela1[[#This Row],[VALOR]]&lt;0,"",IFERROR(SUBSTITUTE(Converter_numero(Tabela1[[#This Row],[VALOR INCISO]]),",",""),""))</f>
        <v/>
      </c>
      <c r="AD282" s="7" t="str">
        <f>IF(Tabela1[[#This Row],[TIPO]]=REGRAS!$W$2,REGRAS!$X$2,IF(Tabela1[[#This Row],[TIPO]]=REGRAS!$W$4,REGRAS!$X$4,""))</f>
        <v/>
      </c>
      <c r="AE282" s="29" t="e">
        <f>VLOOKUP(Tabela1[[#This Row],[FONTE_COD]],REGRAS!$O$2:$P$69,2,FALSE)</f>
        <v>#N/A</v>
      </c>
      <c r="AF2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3" spans="1:32" ht="18.75" customHeight="1">
      <c r="A283" s="2" t="str">
        <f>IFERROR(IF('PREENCHER AQUI'!A283="","",'PREENCHER AQUI'!A283),"")</f>
        <v/>
      </c>
      <c r="B283" s="1" t="str">
        <f>IFERROR(IF('PREENCHER AQUI'!B283="","",PROPER('PREENCHER AQUI'!B283)),"")</f>
        <v/>
      </c>
      <c r="C283" s="1" t="str">
        <f>IFERROR(IF('PREENCHER AQUI'!C283="","",'PREENCHER AQUI'!C283),"")</f>
        <v/>
      </c>
      <c r="D283" s="2" t="str">
        <f>IFERROR(IF('PREENCHER AQUI'!D283="","",'PREENCHER AQUI'!D283),"")</f>
        <v/>
      </c>
      <c r="E283" s="2" t="str">
        <f>IFERROR(VLOOKUP(CONCATENATE(C283,D283),qdd!$C$2:$F$1000,2,FALSE),"")</f>
        <v/>
      </c>
      <c r="F283" s="2" t="str">
        <f>IFERROR(VLOOKUP(CONCATENATE(C283,D283),qdd!$C$2:$F$1000,3,FALSE),"")</f>
        <v/>
      </c>
      <c r="G283" s="2" t="str">
        <f>IFERROR(VLOOKUP(CONCATENATE(C283,D283),qdd!$C$2:$F$1000,4,FALSE),"")</f>
        <v/>
      </c>
      <c r="H283" s="6" t="str">
        <f t="shared" si="10"/>
        <v/>
      </c>
      <c r="I2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3" s="2" t="str">
        <f>IFERROR(IF('PREENCHER AQUI'!E283="","",'PREENCHER AQUI'!E283),"")</f>
        <v/>
      </c>
      <c r="K283" s="2" t="str">
        <f>IFERROR(IF('PREENCHER AQUI'!F283="","",'PREENCHER AQUI'!F283),"")</f>
        <v/>
      </c>
      <c r="L283" s="2" t="str">
        <f>IF(Tabela1[[#This Row],[IPU_COD]]=9,"91",IF(Tabela1[[#This Row],[ACAO_COD]]="","",VLOOKUP(CONCATENATE("G",J283,"M",K283),qdd!$BC$2:$BD$46,2,FALSE)))</f>
        <v/>
      </c>
      <c r="M283" s="2" t="str">
        <f>TEXT(IFERROR(VLOOKUP(CONCATENATE(C283,D283),qdd!$C$2:$G$1000,5,FALSE),""),0)</f>
        <v/>
      </c>
      <c r="N283" s="2" t="str">
        <f>IFERROR(IF('PREENCHER AQUI'!I283="","",'PREENCHER AQUI'!I283),"")</f>
        <v/>
      </c>
      <c r="O283" s="2" t="str">
        <f>IFERROR(IF('PREENCHER AQUI'!J283="","",'PREENCHER AQUI'!J283),"")</f>
        <v/>
      </c>
      <c r="P283" s="7" t="str">
        <f t="shared" si="11"/>
        <v/>
      </c>
      <c r="Q283" s="8" t="str">
        <f>IFERROR(IF(Tabela4[[#This Row],[VALOR]]="","",IF(Tabela1[[#This Row],[ORIENTACAO]]="Anular",'PREENCHER AQUI'!K283*-1*100,'PREENCHER AQUI'!K283*100)),"")</f>
        <v/>
      </c>
      <c r="T283" s="7" t="str">
        <f>IFERROR(IF('PREENCHER AQUI'!L283="","999",LEFT('PREENCHER AQUI'!L283,1)),"")</f>
        <v>999</v>
      </c>
      <c r="V283" s="19"/>
      <c r="W283" s="1" t="str">
        <f>IFERROR(VLOOKUP(Tabela1[[#This Row],[UO_COD]],qdd!$AT$1:$AU$102,2,FALSE),"")</f>
        <v/>
      </c>
      <c r="X283" s="1" t="str">
        <f>CONCATENATE("F",Tabela1[[#This Row],[FONTE_COD]],Tabela1[[#This Row],[IPU_COD]],"G",Tabela1[[#This Row],[GRUPO_COD]],"T",Tabela1[[#This Row],[TIPO]])</f>
        <v>FGT999</v>
      </c>
      <c r="Y2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3" s="19"/>
      <c r="AA283" s="29" t="str">
        <f>IFERROR(VLOOKUP(CONCATENATE("B",Tabela1[[#This Row],[BLOCO]],Tabela1[[#This Row],[UO_COD]]),qdd!$AW$2:$AX$1000,2,FALSE),"")</f>
        <v/>
      </c>
      <c r="AB283" s="30" t="str">
        <f>IFERROR(Tabela1[[#This Row],[VALOR]]/100,"")</f>
        <v/>
      </c>
      <c r="AC283" s="7" t="str" cm="1">
        <f t="array" aca="1" ref="AC283" ca="1">IF(Tabela1[[#This Row],[VALOR]]&lt;0,"",IFERROR(SUBSTITUTE(Converter_numero(Tabela1[[#This Row],[VALOR INCISO]]),",",""),""))</f>
        <v/>
      </c>
      <c r="AD283" s="29" t="str">
        <f>IF(Tabela1[[#This Row],[TIPO]]=REGRAS!$W$2,REGRAS!$X$2,IF(Tabela1[[#This Row],[TIPO]]=REGRAS!$W$4,REGRAS!$X$4,""))</f>
        <v/>
      </c>
      <c r="AE283" s="29" t="e">
        <f>VLOOKUP(Tabela1[[#This Row],[FONTE_COD]],REGRAS!$O$2:$P$69,2,FALSE)</f>
        <v>#N/A</v>
      </c>
      <c r="AF2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4" spans="1:32" ht="18.75" customHeight="1">
      <c r="A284" s="2" t="str">
        <f>IFERROR(IF('PREENCHER AQUI'!A284="","",'PREENCHER AQUI'!A284),"")</f>
        <v/>
      </c>
      <c r="B284" s="1" t="str">
        <f>IFERROR(IF('PREENCHER AQUI'!B284="","",PROPER('PREENCHER AQUI'!B284)),"")</f>
        <v/>
      </c>
      <c r="C284" s="1" t="str">
        <f>IFERROR(IF('PREENCHER AQUI'!C284="","",'PREENCHER AQUI'!C284),"")</f>
        <v/>
      </c>
      <c r="D284" s="2" t="str">
        <f>IFERROR(IF('PREENCHER AQUI'!D284="","",'PREENCHER AQUI'!D284),"")</f>
        <v/>
      </c>
      <c r="E284" s="2" t="str">
        <f>IFERROR(VLOOKUP(CONCATENATE(C284,D284),qdd!$C$2:$F$1000,2,FALSE),"")</f>
        <v/>
      </c>
      <c r="F284" s="2" t="str">
        <f>IFERROR(VLOOKUP(CONCATENATE(C284,D284),qdd!$C$2:$F$1000,3,FALSE),"")</f>
        <v/>
      </c>
      <c r="G284" s="2" t="str">
        <f>IFERROR(VLOOKUP(CONCATENATE(C284,D284),qdd!$C$2:$F$1000,4,FALSE),"")</f>
        <v/>
      </c>
      <c r="H284" s="6" t="str">
        <f t="shared" si="10"/>
        <v/>
      </c>
      <c r="I2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4" s="2" t="str">
        <f>IFERROR(IF('PREENCHER AQUI'!E284="","",'PREENCHER AQUI'!E284),"")</f>
        <v/>
      </c>
      <c r="K284" s="2" t="str">
        <f>IFERROR(IF('PREENCHER AQUI'!F284="","",'PREENCHER AQUI'!F284),"")</f>
        <v/>
      </c>
      <c r="L284" s="2" t="str">
        <f>IF(Tabela1[[#This Row],[IPU_COD]]=9,"91",IF(Tabela1[[#This Row],[ACAO_COD]]="","",VLOOKUP(CONCATENATE("G",J284,"M",K284),qdd!$BC$2:$BD$46,2,FALSE)))</f>
        <v/>
      </c>
      <c r="M284" s="2" t="str">
        <f>TEXT(IFERROR(VLOOKUP(CONCATENATE(C284,D284),qdd!$C$2:$G$1000,5,FALSE),""),0)</f>
        <v/>
      </c>
      <c r="N284" s="2" t="str">
        <f>IFERROR(IF('PREENCHER AQUI'!I284="","",'PREENCHER AQUI'!I284),"")</f>
        <v/>
      </c>
      <c r="O284" s="2" t="str">
        <f>IFERROR(IF('PREENCHER AQUI'!J284="","",'PREENCHER AQUI'!J284),"")</f>
        <v/>
      </c>
      <c r="P284" s="7" t="str">
        <f t="shared" si="11"/>
        <v/>
      </c>
      <c r="Q284" s="8" t="str">
        <f>IFERROR(IF(Tabela4[[#This Row],[VALOR]]="","",IF(Tabela1[[#This Row],[ORIENTACAO]]="Anular",'PREENCHER AQUI'!K284*-1*100,'PREENCHER AQUI'!K284*100)),"")</f>
        <v/>
      </c>
      <c r="T284" s="7" t="str">
        <f>IFERROR(IF('PREENCHER AQUI'!L284="","999",LEFT('PREENCHER AQUI'!L284,1)),"")</f>
        <v>999</v>
      </c>
      <c r="V284" s="19"/>
      <c r="W284" s="1" t="str">
        <f>IFERROR(VLOOKUP(Tabela1[[#This Row],[UO_COD]],qdd!$AT$1:$AU$102,2,FALSE),"")</f>
        <v/>
      </c>
      <c r="X284" s="1" t="str">
        <f>CONCATENATE("F",Tabela1[[#This Row],[FONTE_COD]],Tabela1[[#This Row],[IPU_COD]],"G",Tabela1[[#This Row],[GRUPO_COD]],"T",Tabela1[[#This Row],[TIPO]])</f>
        <v>FGT999</v>
      </c>
      <c r="Y2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4" s="19"/>
      <c r="AA284" s="29" t="str">
        <f>IFERROR(VLOOKUP(CONCATENATE("B",Tabela1[[#This Row],[BLOCO]],Tabela1[[#This Row],[UO_COD]]),qdd!$AW$2:$AX$1000,2,FALSE),"")</f>
        <v/>
      </c>
      <c r="AB284" s="30" t="str">
        <f>IFERROR(Tabela1[[#This Row],[VALOR]]/100,"")</f>
        <v/>
      </c>
      <c r="AC284" s="7" t="str" cm="1">
        <f t="array" aca="1" ref="AC284" ca="1">IF(Tabela1[[#This Row],[VALOR]]&lt;0,"",IFERROR(SUBSTITUTE(Converter_numero(Tabela1[[#This Row],[VALOR INCISO]]),",",""),""))</f>
        <v/>
      </c>
      <c r="AD284" s="29" t="str">
        <f>IF(Tabela1[[#This Row],[TIPO]]=REGRAS!$W$2,REGRAS!$X$2,IF(Tabela1[[#This Row],[TIPO]]=REGRAS!$W$4,REGRAS!$X$4,""))</f>
        <v/>
      </c>
      <c r="AE284" s="29" t="e">
        <f>VLOOKUP(Tabela1[[#This Row],[FONTE_COD]],REGRAS!$O$2:$P$69,2,FALSE)</f>
        <v>#N/A</v>
      </c>
      <c r="AF2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5" spans="1:32" ht="18.75" customHeight="1">
      <c r="A285" s="2" t="str">
        <f>IFERROR(IF('PREENCHER AQUI'!A285="","",'PREENCHER AQUI'!A285),"")</f>
        <v/>
      </c>
      <c r="B285" s="1" t="str">
        <f>IFERROR(IF('PREENCHER AQUI'!B285="","",PROPER('PREENCHER AQUI'!B285)),"")</f>
        <v/>
      </c>
      <c r="C285" s="1" t="str">
        <f>IFERROR(IF('PREENCHER AQUI'!C285="","",'PREENCHER AQUI'!C285),"")</f>
        <v/>
      </c>
      <c r="D285" s="2" t="str">
        <f>IFERROR(IF('PREENCHER AQUI'!D285="","",'PREENCHER AQUI'!D285),"")</f>
        <v/>
      </c>
      <c r="E285" s="2" t="str">
        <f>IFERROR(VLOOKUP(CONCATENATE(C285,D285),qdd!$C$2:$F$1000,2,FALSE),"")</f>
        <v/>
      </c>
      <c r="F285" s="2" t="str">
        <f>IFERROR(VLOOKUP(CONCATENATE(C285,D285),qdd!$C$2:$F$1000,3,FALSE),"")</f>
        <v/>
      </c>
      <c r="G285" s="2" t="str">
        <f>IFERROR(VLOOKUP(CONCATENATE(C285,D285),qdd!$C$2:$F$1000,4,FALSE),"")</f>
        <v/>
      </c>
      <c r="H285" s="6" t="str">
        <f t="shared" si="10"/>
        <v/>
      </c>
      <c r="I2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5" s="2" t="str">
        <f>IFERROR(IF('PREENCHER AQUI'!E285="","",'PREENCHER AQUI'!E285),"")</f>
        <v/>
      </c>
      <c r="K285" s="2" t="str">
        <f>IFERROR(IF('PREENCHER AQUI'!F285="","",'PREENCHER AQUI'!F285),"")</f>
        <v/>
      </c>
      <c r="L285" s="2" t="str">
        <f>IF(Tabela1[[#This Row],[IPU_COD]]=9,"91",IF(Tabela1[[#This Row],[ACAO_COD]]="","",VLOOKUP(CONCATENATE("G",J285,"M",K285),qdd!$BC$2:$BD$46,2,FALSE)))</f>
        <v/>
      </c>
      <c r="M285" s="2" t="str">
        <f>TEXT(IFERROR(VLOOKUP(CONCATENATE(C285,D285),qdd!$C$2:$G$1000,5,FALSE),""),0)</f>
        <v/>
      </c>
      <c r="N285" s="2" t="str">
        <f>IFERROR(IF('PREENCHER AQUI'!I285="","",'PREENCHER AQUI'!I285),"")</f>
        <v/>
      </c>
      <c r="O285" s="2" t="str">
        <f>IFERROR(IF('PREENCHER AQUI'!J285="","",'PREENCHER AQUI'!J285),"")</f>
        <v/>
      </c>
      <c r="P285" s="7" t="str">
        <f t="shared" si="11"/>
        <v/>
      </c>
      <c r="Q285" s="8" t="str">
        <f>IFERROR(IF(Tabela4[[#This Row],[VALOR]]="","",IF(Tabela1[[#This Row],[ORIENTACAO]]="Anular",'PREENCHER AQUI'!K285*-1*100,'PREENCHER AQUI'!K285*100)),"")</f>
        <v/>
      </c>
      <c r="T285" s="7" t="str">
        <f>IFERROR(IF('PREENCHER AQUI'!L285="","999",LEFT('PREENCHER AQUI'!L285,1)),"")</f>
        <v>999</v>
      </c>
      <c r="V285" s="19"/>
      <c r="W285" s="20" t="str">
        <f>IFERROR(VLOOKUP(Tabela1[[#This Row],[UO_COD]],qdd!$AT$1:$AU$102,2,FALSE),"")</f>
        <v/>
      </c>
      <c r="X285" s="20" t="str">
        <f>CONCATENATE("F",Tabela1[[#This Row],[FONTE_COD]],Tabela1[[#This Row],[IPU_COD]],"G",Tabela1[[#This Row],[GRUPO_COD]],"T",Tabela1[[#This Row],[TIPO]])</f>
        <v>FGT999</v>
      </c>
      <c r="Y2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5" s="19"/>
      <c r="AA285" s="29" t="str">
        <f>IFERROR(VLOOKUP(CONCATENATE("B",Tabela1[[#This Row],[BLOCO]],Tabela1[[#This Row],[UO_COD]]),qdd!$AW$2:$AX$1000,2,FALSE),"")</f>
        <v/>
      </c>
      <c r="AB285" s="30" t="str">
        <f>IFERROR(Tabela1[[#This Row],[VALOR]]/100,"")</f>
        <v/>
      </c>
      <c r="AC285" s="7" t="str" cm="1">
        <f t="array" aca="1" ref="AC285" ca="1">IF(Tabela1[[#This Row],[VALOR]]&lt;0,"",IFERROR(SUBSTITUTE(Converter_numero(Tabela1[[#This Row],[VALOR INCISO]]),",",""),""))</f>
        <v/>
      </c>
      <c r="AD285" s="29" t="str">
        <f>IF(Tabela1[[#This Row],[TIPO]]=REGRAS!$W$2,REGRAS!$X$2,IF(Tabela1[[#This Row],[TIPO]]=REGRAS!$W$4,REGRAS!$X$4,""))</f>
        <v/>
      </c>
      <c r="AE285" s="29" t="e">
        <f>VLOOKUP(Tabela1[[#This Row],[FONTE_COD]],REGRAS!$O$2:$P$69,2,FALSE)</f>
        <v>#N/A</v>
      </c>
      <c r="AF2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6" spans="1:32" ht="18.75" customHeight="1">
      <c r="A286" s="2" t="str">
        <f>IFERROR(IF('PREENCHER AQUI'!A286="","",'PREENCHER AQUI'!A286),"")</f>
        <v/>
      </c>
      <c r="B286" s="1" t="str">
        <f>IFERROR(IF('PREENCHER AQUI'!B286="","",PROPER('PREENCHER AQUI'!B286)),"")</f>
        <v/>
      </c>
      <c r="C286" s="1" t="str">
        <f>IFERROR(IF('PREENCHER AQUI'!C286="","",'PREENCHER AQUI'!C286),"")</f>
        <v/>
      </c>
      <c r="D286" s="2" t="str">
        <f>IFERROR(IF('PREENCHER AQUI'!D286="","",'PREENCHER AQUI'!D286),"")</f>
        <v/>
      </c>
      <c r="E286" s="2" t="str">
        <f>IFERROR(VLOOKUP(CONCATENATE(C286,D286),qdd!$C$2:$F$1000,2,FALSE),"")</f>
        <v/>
      </c>
      <c r="F286" s="2" t="str">
        <f>IFERROR(VLOOKUP(CONCATENATE(C286,D286),qdd!$C$2:$F$1000,3,FALSE),"")</f>
        <v/>
      </c>
      <c r="G286" s="2" t="str">
        <f>IFERROR(VLOOKUP(CONCATENATE(C286,D286),qdd!$C$2:$F$1000,4,FALSE),"")</f>
        <v/>
      </c>
      <c r="H286" s="6" t="str">
        <f t="shared" si="10"/>
        <v/>
      </c>
      <c r="I2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6" s="2" t="str">
        <f>IFERROR(IF('PREENCHER AQUI'!E286="","",'PREENCHER AQUI'!E286),"")</f>
        <v/>
      </c>
      <c r="K286" s="2" t="str">
        <f>IFERROR(IF('PREENCHER AQUI'!F286="","",'PREENCHER AQUI'!F286),"")</f>
        <v/>
      </c>
      <c r="L286" s="2" t="str">
        <f>IF(Tabela1[[#This Row],[IPU_COD]]=9,"91",IF(Tabela1[[#This Row],[ACAO_COD]]="","",VLOOKUP(CONCATENATE("G",J286,"M",K286),qdd!$BC$2:$BD$46,2,FALSE)))</f>
        <v/>
      </c>
      <c r="M286" s="2" t="str">
        <f>TEXT(IFERROR(VLOOKUP(CONCATENATE(C286,D286),qdd!$C$2:$G$1000,5,FALSE),""),0)</f>
        <v/>
      </c>
      <c r="N286" s="2" t="str">
        <f>IFERROR(IF('PREENCHER AQUI'!I286="","",'PREENCHER AQUI'!I286),"")</f>
        <v/>
      </c>
      <c r="O286" s="2" t="str">
        <f>IFERROR(IF('PREENCHER AQUI'!J286="","",'PREENCHER AQUI'!J286),"")</f>
        <v/>
      </c>
      <c r="P286" s="7" t="str">
        <f t="shared" si="11"/>
        <v/>
      </c>
      <c r="Q286" s="8" t="str">
        <f>IFERROR(IF(Tabela4[[#This Row],[VALOR]]="","",IF(Tabela1[[#This Row],[ORIENTACAO]]="Anular",'PREENCHER AQUI'!K286*-1*100,'PREENCHER AQUI'!K286*100)),"")</f>
        <v/>
      </c>
      <c r="T286" s="7" t="str">
        <f>IFERROR(IF('PREENCHER AQUI'!L286="","999",LEFT('PREENCHER AQUI'!L286,1)),"")</f>
        <v>999</v>
      </c>
      <c r="V286" s="19"/>
      <c r="W286" s="1" t="str">
        <f>IFERROR(VLOOKUP(Tabela1[[#This Row],[UO_COD]],qdd!$AT$1:$AU$102,2,FALSE),"")</f>
        <v/>
      </c>
      <c r="X286" s="1" t="str">
        <f>CONCATENATE("F",Tabela1[[#This Row],[FONTE_COD]],Tabela1[[#This Row],[IPU_COD]],"G",Tabela1[[#This Row],[GRUPO_COD]],"T",Tabela1[[#This Row],[TIPO]])</f>
        <v>FGT999</v>
      </c>
      <c r="Y2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6" s="19"/>
      <c r="AA286" s="29" t="str">
        <f>IFERROR(VLOOKUP(CONCATENATE("B",Tabela1[[#This Row],[BLOCO]],Tabela1[[#This Row],[UO_COD]]),qdd!$AW$2:$AX$1000,2,FALSE),"")</f>
        <v/>
      </c>
      <c r="AB286" s="30" t="str">
        <f>IFERROR(Tabela1[[#This Row],[VALOR]]/100,"")</f>
        <v/>
      </c>
      <c r="AC286" s="7" t="str" cm="1">
        <f t="array" aca="1" ref="AC286" ca="1">IF(Tabela1[[#This Row],[VALOR]]&lt;0,"",IFERROR(SUBSTITUTE(Converter_numero(Tabela1[[#This Row],[VALOR INCISO]]),",",""),""))</f>
        <v/>
      </c>
      <c r="AD286" s="29" t="str">
        <f>IF(Tabela1[[#This Row],[TIPO]]=REGRAS!$W$2,REGRAS!$X$2,IF(Tabela1[[#This Row],[TIPO]]=REGRAS!$W$4,REGRAS!$X$4,""))</f>
        <v/>
      </c>
      <c r="AE286" s="29" t="e">
        <f>VLOOKUP(Tabela1[[#This Row],[FONTE_COD]],REGRAS!$O$2:$P$69,2,FALSE)</f>
        <v>#N/A</v>
      </c>
      <c r="AF2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7" spans="1:32" ht="18.75" customHeight="1">
      <c r="A287" s="2" t="str">
        <f>IFERROR(IF('PREENCHER AQUI'!A287="","",'PREENCHER AQUI'!A287),"")</f>
        <v/>
      </c>
      <c r="B287" s="1" t="str">
        <f>IFERROR(IF('PREENCHER AQUI'!B287="","",PROPER('PREENCHER AQUI'!B287)),"")</f>
        <v/>
      </c>
      <c r="C287" s="1" t="str">
        <f>IFERROR(IF('PREENCHER AQUI'!C287="","",'PREENCHER AQUI'!C287),"")</f>
        <v/>
      </c>
      <c r="D287" s="2" t="str">
        <f>IFERROR(IF('PREENCHER AQUI'!D287="","",'PREENCHER AQUI'!D287),"")</f>
        <v/>
      </c>
      <c r="E287" s="2" t="str">
        <f>IFERROR(VLOOKUP(CONCATENATE(C287,D287),qdd!$C$2:$F$1000,2,FALSE),"")</f>
        <v/>
      </c>
      <c r="F287" s="2" t="str">
        <f>IFERROR(VLOOKUP(CONCATENATE(C287,D287),qdd!$C$2:$F$1000,3,FALSE),"")</f>
        <v/>
      </c>
      <c r="G287" s="2" t="str">
        <f>IFERROR(VLOOKUP(CONCATENATE(C287,D287),qdd!$C$2:$F$1000,4,FALSE),"")</f>
        <v/>
      </c>
      <c r="H287" s="6" t="str">
        <f t="shared" si="10"/>
        <v/>
      </c>
      <c r="I2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7" s="2" t="str">
        <f>IFERROR(IF('PREENCHER AQUI'!E287="","",'PREENCHER AQUI'!E287),"")</f>
        <v/>
      </c>
      <c r="K287" s="2" t="str">
        <f>IFERROR(IF('PREENCHER AQUI'!F287="","",'PREENCHER AQUI'!F287),"")</f>
        <v/>
      </c>
      <c r="L287" s="2" t="str">
        <f>IF(Tabela1[[#This Row],[IPU_COD]]=9,"91",IF(Tabela1[[#This Row],[ACAO_COD]]="","",VLOOKUP(CONCATENATE("G",J287,"M",K287),qdd!$BC$2:$BD$46,2,FALSE)))</f>
        <v/>
      </c>
      <c r="M287" s="2" t="str">
        <f>TEXT(IFERROR(VLOOKUP(CONCATENATE(C287,D287),qdd!$C$2:$G$1000,5,FALSE),""),0)</f>
        <v/>
      </c>
      <c r="N287" s="2" t="str">
        <f>IFERROR(IF('PREENCHER AQUI'!I287="","",'PREENCHER AQUI'!I287),"")</f>
        <v/>
      </c>
      <c r="O287" s="2" t="str">
        <f>IFERROR(IF('PREENCHER AQUI'!J287="","",'PREENCHER AQUI'!J287),"")</f>
        <v/>
      </c>
      <c r="P287" s="7" t="str">
        <f t="shared" si="11"/>
        <v/>
      </c>
      <c r="Q287" s="8" t="str">
        <f>IFERROR(IF(Tabela4[[#This Row],[VALOR]]="","",IF(Tabela1[[#This Row],[ORIENTACAO]]="Anular",'PREENCHER AQUI'!K287*-1*100,'PREENCHER AQUI'!K287*100)),"")</f>
        <v/>
      </c>
      <c r="T287" s="7" t="str">
        <f>IFERROR(IF('PREENCHER AQUI'!L287="","999",LEFT('PREENCHER AQUI'!L287,1)),"")</f>
        <v>999</v>
      </c>
      <c r="W287" s="1" t="str">
        <f>IFERROR(VLOOKUP(Tabela1[[#This Row],[UO_COD]],qdd!$AT$1:$AU$102,2,FALSE),"")</f>
        <v/>
      </c>
      <c r="X287" s="1" t="str">
        <f>CONCATENATE("F",Tabela1[[#This Row],[FONTE_COD]],Tabela1[[#This Row],[IPU_COD]],"G",Tabela1[[#This Row],[GRUPO_COD]],"T",Tabela1[[#This Row],[TIPO]])</f>
        <v>FGT999</v>
      </c>
      <c r="Y2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7" s="19"/>
      <c r="AA287" s="29" t="str">
        <f>IFERROR(VLOOKUP(CONCATENATE("B",Tabela1[[#This Row],[BLOCO]],Tabela1[[#This Row],[UO_COD]]),qdd!$AW$2:$AX$1000,2,FALSE),"")</f>
        <v/>
      </c>
      <c r="AB287" s="30" t="str">
        <f>IFERROR(Tabela1[[#This Row],[VALOR]]/100,"")</f>
        <v/>
      </c>
      <c r="AC287" s="7" t="str" cm="1">
        <f t="array" aca="1" ref="AC287" ca="1">IF(Tabela1[[#This Row],[VALOR]]&lt;0,"",IFERROR(SUBSTITUTE(Converter_numero(Tabela1[[#This Row],[VALOR INCISO]]),",",""),""))</f>
        <v/>
      </c>
      <c r="AD287" s="7" t="str">
        <f>IF(Tabela1[[#This Row],[TIPO]]=REGRAS!$W$2,REGRAS!$X$2,IF(Tabela1[[#This Row],[TIPO]]=REGRAS!$W$4,REGRAS!$X$4,""))</f>
        <v/>
      </c>
      <c r="AE287" s="29" t="e">
        <f>VLOOKUP(Tabela1[[#This Row],[FONTE_COD]],REGRAS!$O$2:$P$69,2,FALSE)</f>
        <v>#N/A</v>
      </c>
      <c r="AF2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8" spans="1:32" ht="18.75" customHeight="1">
      <c r="A288" s="2" t="str">
        <f>IFERROR(IF('PREENCHER AQUI'!A288="","",'PREENCHER AQUI'!A288),"")</f>
        <v/>
      </c>
      <c r="B288" s="1" t="str">
        <f>IFERROR(IF('PREENCHER AQUI'!B288="","",PROPER('PREENCHER AQUI'!B288)),"")</f>
        <v/>
      </c>
      <c r="C288" s="1" t="str">
        <f>IFERROR(IF('PREENCHER AQUI'!C288="","",'PREENCHER AQUI'!C288),"")</f>
        <v/>
      </c>
      <c r="D288" s="2" t="str">
        <f>IFERROR(IF('PREENCHER AQUI'!D288="","",'PREENCHER AQUI'!D288),"")</f>
        <v/>
      </c>
      <c r="E288" s="2" t="str">
        <f>IFERROR(VLOOKUP(CONCATENATE(C288,D288),qdd!$C$2:$F$1000,2,FALSE),"")</f>
        <v/>
      </c>
      <c r="F288" s="2" t="str">
        <f>IFERROR(VLOOKUP(CONCATENATE(C288,D288),qdd!$C$2:$F$1000,3,FALSE),"")</f>
        <v/>
      </c>
      <c r="G288" s="2" t="str">
        <f>IFERROR(VLOOKUP(CONCATENATE(C288,D288),qdd!$C$2:$F$1000,4,FALSE),"")</f>
        <v/>
      </c>
      <c r="H288" s="6" t="str">
        <f t="shared" si="10"/>
        <v/>
      </c>
      <c r="I2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8" s="2" t="str">
        <f>IFERROR(IF('PREENCHER AQUI'!E288="","",'PREENCHER AQUI'!E288),"")</f>
        <v/>
      </c>
      <c r="K288" s="2" t="str">
        <f>IFERROR(IF('PREENCHER AQUI'!F288="","",'PREENCHER AQUI'!F288),"")</f>
        <v/>
      </c>
      <c r="L288" s="2" t="str">
        <f>IF(Tabela1[[#This Row],[IPU_COD]]=9,"91",IF(Tabela1[[#This Row],[ACAO_COD]]="","",VLOOKUP(CONCATENATE("G",J288,"M",K288),qdd!$BC$2:$BD$46,2,FALSE)))</f>
        <v/>
      </c>
      <c r="M288" s="2" t="str">
        <f>TEXT(IFERROR(VLOOKUP(CONCATENATE(C288,D288),qdd!$C$2:$G$1000,5,FALSE),""),0)</f>
        <v/>
      </c>
      <c r="N288" s="2" t="str">
        <f>IFERROR(IF('PREENCHER AQUI'!I288="","",'PREENCHER AQUI'!I288),"")</f>
        <v/>
      </c>
      <c r="O288" s="2" t="str">
        <f>IFERROR(IF('PREENCHER AQUI'!J288="","",'PREENCHER AQUI'!J288),"")</f>
        <v/>
      </c>
      <c r="P288" s="7" t="str">
        <f t="shared" si="11"/>
        <v/>
      </c>
      <c r="Q288" s="8" t="str">
        <f>IFERROR(IF(Tabela4[[#This Row],[VALOR]]="","",IF(Tabela1[[#This Row],[ORIENTACAO]]="Anular",'PREENCHER AQUI'!K288*-1*100,'PREENCHER AQUI'!K288*100)),"")</f>
        <v/>
      </c>
      <c r="T288" s="7" t="str">
        <f>IFERROR(IF('PREENCHER AQUI'!L288="","999",LEFT('PREENCHER AQUI'!L288,1)),"")</f>
        <v>999</v>
      </c>
      <c r="V288" s="19"/>
      <c r="W288" s="1" t="str">
        <f>IFERROR(VLOOKUP(Tabela1[[#This Row],[UO_COD]],qdd!$AT$1:$AU$102,2,FALSE),"")</f>
        <v/>
      </c>
      <c r="X288" s="1" t="str">
        <f>CONCATENATE("F",Tabela1[[#This Row],[FONTE_COD]],Tabela1[[#This Row],[IPU_COD]],"G",Tabela1[[#This Row],[GRUPO_COD]],"T",Tabela1[[#This Row],[TIPO]])</f>
        <v>FGT999</v>
      </c>
      <c r="Y2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8" s="19"/>
      <c r="AA288" s="29" t="str">
        <f>IFERROR(VLOOKUP(CONCATENATE("B",Tabela1[[#This Row],[BLOCO]],Tabela1[[#This Row],[UO_COD]]),qdd!$AW$2:$AX$1000,2,FALSE),"")</f>
        <v/>
      </c>
      <c r="AB288" s="30" t="str">
        <f>IFERROR(Tabela1[[#This Row],[VALOR]]/100,"")</f>
        <v/>
      </c>
      <c r="AC288" s="7" t="str" cm="1">
        <f t="array" aca="1" ref="AC288" ca="1">IF(Tabela1[[#This Row],[VALOR]]&lt;0,"",IFERROR(SUBSTITUTE(Converter_numero(Tabela1[[#This Row],[VALOR INCISO]]),",",""),""))</f>
        <v/>
      </c>
      <c r="AD288" s="29" t="str">
        <f>IF(Tabela1[[#This Row],[TIPO]]=REGRAS!$W$2,REGRAS!$X$2,IF(Tabela1[[#This Row],[TIPO]]=REGRAS!$W$4,REGRAS!$X$4,""))</f>
        <v/>
      </c>
      <c r="AE288" s="29" t="e">
        <f>VLOOKUP(Tabela1[[#This Row],[FONTE_COD]],REGRAS!$O$2:$P$69,2,FALSE)</f>
        <v>#N/A</v>
      </c>
      <c r="AF2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9" spans="1:32" ht="18.75" customHeight="1">
      <c r="A289" s="2" t="str">
        <f>IFERROR(IF('PREENCHER AQUI'!A289="","",'PREENCHER AQUI'!A289),"")</f>
        <v/>
      </c>
      <c r="B289" s="1" t="str">
        <f>IFERROR(IF('PREENCHER AQUI'!B289="","",PROPER('PREENCHER AQUI'!B289)),"")</f>
        <v/>
      </c>
      <c r="C289" s="1" t="str">
        <f>IFERROR(IF('PREENCHER AQUI'!C289="","",'PREENCHER AQUI'!C289),"")</f>
        <v/>
      </c>
      <c r="D289" s="2" t="str">
        <f>IFERROR(IF('PREENCHER AQUI'!D289="","",'PREENCHER AQUI'!D289),"")</f>
        <v/>
      </c>
      <c r="E289" s="2" t="str">
        <f>IFERROR(VLOOKUP(CONCATENATE(C289,D289),qdd!$C$2:$F$1000,2,FALSE),"")</f>
        <v/>
      </c>
      <c r="F289" s="2" t="str">
        <f>IFERROR(VLOOKUP(CONCATENATE(C289,D289),qdd!$C$2:$F$1000,3,FALSE),"")</f>
        <v/>
      </c>
      <c r="G289" s="2" t="str">
        <f>IFERROR(VLOOKUP(CONCATENATE(C289,D289),qdd!$C$2:$F$1000,4,FALSE),"")</f>
        <v/>
      </c>
      <c r="H289" s="6" t="str">
        <f t="shared" si="10"/>
        <v/>
      </c>
      <c r="I2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9" s="2" t="str">
        <f>IFERROR(IF('PREENCHER AQUI'!E289="","",'PREENCHER AQUI'!E289),"")</f>
        <v/>
      </c>
      <c r="K289" s="2" t="str">
        <f>IFERROR(IF('PREENCHER AQUI'!F289="","",'PREENCHER AQUI'!F289),"")</f>
        <v/>
      </c>
      <c r="L289" s="2" t="str">
        <f>IF(Tabela1[[#This Row],[IPU_COD]]=9,"91",IF(Tabela1[[#This Row],[ACAO_COD]]="","",VLOOKUP(CONCATENATE("G",J289,"M",K289),qdd!$BC$2:$BD$46,2,FALSE)))</f>
        <v/>
      </c>
      <c r="M289" s="2" t="str">
        <f>TEXT(IFERROR(VLOOKUP(CONCATENATE(C289,D289),qdd!$C$2:$G$1000,5,FALSE),""),0)</f>
        <v/>
      </c>
      <c r="N289" s="2" t="str">
        <f>IFERROR(IF('PREENCHER AQUI'!I289="","",'PREENCHER AQUI'!I289),"")</f>
        <v/>
      </c>
      <c r="O289" s="2" t="str">
        <f>IFERROR(IF('PREENCHER AQUI'!J289="","",'PREENCHER AQUI'!J289),"")</f>
        <v/>
      </c>
      <c r="P289" s="7" t="str">
        <f t="shared" si="11"/>
        <v/>
      </c>
      <c r="Q289" s="8" t="str">
        <f>IFERROR(IF(Tabela4[[#This Row],[VALOR]]="","",IF(Tabela1[[#This Row],[ORIENTACAO]]="Anular",'PREENCHER AQUI'!K289*-1*100,'PREENCHER AQUI'!K289*100)),"")</f>
        <v/>
      </c>
      <c r="T289" s="7" t="str">
        <f>IFERROR(IF('PREENCHER AQUI'!L289="","999",LEFT('PREENCHER AQUI'!L289,1)),"")</f>
        <v>999</v>
      </c>
      <c r="V289" s="19"/>
      <c r="W289" s="1" t="str">
        <f>IFERROR(VLOOKUP(Tabela1[[#This Row],[UO_COD]],qdd!$AT$1:$AU$102,2,FALSE),"")</f>
        <v/>
      </c>
      <c r="X289" s="1" t="str">
        <f>CONCATENATE("F",Tabela1[[#This Row],[FONTE_COD]],Tabela1[[#This Row],[IPU_COD]],"G",Tabela1[[#This Row],[GRUPO_COD]],"T",Tabela1[[#This Row],[TIPO]])</f>
        <v>FGT999</v>
      </c>
      <c r="Y2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9" s="19"/>
      <c r="AA289" s="29" t="str">
        <f>IFERROR(VLOOKUP(CONCATENATE("B",Tabela1[[#This Row],[BLOCO]],Tabela1[[#This Row],[UO_COD]]),qdd!$AW$2:$AX$1000,2,FALSE),"")</f>
        <v/>
      </c>
      <c r="AB289" s="30" t="str">
        <f>IFERROR(Tabela1[[#This Row],[VALOR]]/100,"")</f>
        <v/>
      </c>
      <c r="AC289" s="7" t="str" cm="1">
        <f t="array" aca="1" ref="AC289" ca="1">IF(Tabela1[[#This Row],[VALOR]]&lt;0,"",IFERROR(SUBSTITUTE(Converter_numero(Tabela1[[#This Row],[VALOR INCISO]]),",",""),""))</f>
        <v/>
      </c>
      <c r="AD289" s="29" t="str">
        <f>IF(Tabela1[[#This Row],[TIPO]]=REGRAS!$W$2,REGRAS!$X$2,IF(Tabela1[[#This Row],[TIPO]]=REGRAS!$W$4,REGRAS!$X$4,""))</f>
        <v/>
      </c>
      <c r="AE289" s="29" t="e">
        <f>VLOOKUP(Tabela1[[#This Row],[FONTE_COD]],REGRAS!$O$2:$P$69,2,FALSE)</f>
        <v>#N/A</v>
      </c>
      <c r="AF2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0" spans="1:32" ht="18.75" customHeight="1">
      <c r="A290" s="2" t="str">
        <f>IFERROR(IF('PREENCHER AQUI'!A290="","",'PREENCHER AQUI'!A290),"")</f>
        <v/>
      </c>
      <c r="B290" s="1" t="str">
        <f>IFERROR(IF('PREENCHER AQUI'!B290="","",PROPER('PREENCHER AQUI'!B290)),"")</f>
        <v/>
      </c>
      <c r="C290" s="1" t="str">
        <f>IFERROR(IF('PREENCHER AQUI'!C290="","",'PREENCHER AQUI'!C290),"")</f>
        <v/>
      </c>
      <c r="D290" s="2" t="str">
        <f>IFERROR(IF('PREENCHER AQUI'!D290="","",'PREENCHER AQUI'!D290),"")</f>
        <v/>
      </c>
      <c r="E290" s="2" t="str">
        <f>IFERROR(VLOOKUP(CONCATENATE(C290,D290),qdd!$C$2:$F$1000,2,FALSE),"")</f>
        <v/>
      </c>
      <c r="F290" s="2" t="str">
        <f>IFERROR(VLOOKUP(CONCATENATE(C290,D290),qdd!$C$2:$F$1000,3,FALSE),"")</f>
        <v/>
      </c>
      <c r="G290" s="2" t="str">
        <f>IFERROR(VLOOKUP(CONCATENATE(C290,D290),qdd!$C$2:$F$1000,4,FALSE),"")</f>
        <v/>
      </c>
      <c r="H290" s="6" t="str">
        <f t="shared" si="10"/>
        <v/>
      </c>
      <c r="I2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0" s="2" t="str">
        <f>IFERROR(IF('PREENCHER AQUI'!E290="","",'PREENCHER AQUI'!E290),"")</f>
        <v/>
      </c>
      <c r="K290" s="2" t="str">
        <f>IFERROR(IF('PREENCHER AQUI'!F290="","",'PREENCHER AQUI'!F290),"")</f>
        <v/>
      </c>
      <c r="L290" s="2" t="str">
        <f>IF(Tabela1[[#This Row],[IPU_COD]]=9,"91",IF(Tabela1[[#This Row],[ACAO_COD]]="","",VLOOKUP(CONCATENATE("G",J290,"M",K290),qdd!$BC$2:$BD$46,2,FALSE)))</f>
        <v/>
      </c>
      <c r="M290" s="2" t="str">
        <f>TEXT(IFERROR(VLOOKUP(CONCATENATE(C290,D290),qdd!$C$2:$G$1000,5,FALSE),""),0)</f>
        <v/>
      </c>
      <c r="N290" s="2" t="str">
        <f>IFERROR(IF('PREENCHER AQUI'!I290="","",'PREENCHER AQUI'!I290),"")</f>
        <v/>
      </c>
      <c r="O290" s="2" t="str">
        <f>IFERROR(IF('PREENCHER AQUI'!J290="","",'PREENCHER AQUI'!J290),"")</f>
        <v/>
      </c>
      <c r="P290" s="7" t="str">
        <f t="shared" si="11"/>
        <v/>
      </c>
      <c r="Q290" s="8" t="str">
        <f>IFERROR(IF(Tabela4[[#This Row],[VALOR]]="","",IF(Tabela1[[#This Row],[ORIENTACAO]]="Anular",'PREENCHER AQUI'!K290*-1*100,'PREENCHER AQUI'!K290*100)),"")</f>
        <v/>
      </c>
      <c r="T290" s="7" t="str">
        <f>IFERROR(IF('PREENCHER AQUI'!L290="","999",LEFT('PREENCHER AQUI'!L290,1)),"")</f>
        <v>999</v>
      </c>
      <c r="V290" s="19"/>
      <c r="W290" s="20" t="str">
        <f>IFERROR(VLOOKUP(Tabela1[[#This Row],[UO_COD]],qdd!$AT$1:$AU$102,2,FALSE),"")</f>
        <v/>
      </c>
      <c r="X290" s="20" t="str">
        <f>CONCATENATE("F",Tabela1[[#This Row],[FONTE_COD]],Tabela1[[#This Row],[IPU_COD]],"G",Tabela1[[#This Row],[GRUPO_COD]],"T",Tabela1[[#This Row],[TIPO]])</f>
        <v>FGT999</v>
      </c>
      <c r="Y2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0" s="19"/>
      <c r="AA290" s="29" t="str">
        <f>IFERROR(VLOOKUP(CONCATENATE("B",Tabela1[[#This Row],[BLOCO]],Tabela1[[#This Row],[UO_COD]]),qdd!$AW$2:$AX$1000,2,FALSE),"")</f>
        <v/>
      </c>
      <c r="AB290" s="30" t="str">
        <f>IFERROR(Tabela1[[#This Row],[VALOR]]/100,"")</f>
        <v/>
      </c>
      <c r="AC290" s="7" t="str" cm="1">
        <f t="array" aca="1" ref="AC290" ca="1">IF(Tabela1[[#This Row],[VALOR]]&lt;0,"",IFERROR(SUBSTITUTE(Converter_numero(Tabela1[[#This Row],[VALOR INCISO]]),",",""),""))</f>
        <v/>
      </c>
      <c r="AD290" s="29" t="str">
        <f>IF(Tabela1[[#This Row],[TIPO]]=REGRAS!$W$2,REGRAS!$X$2,IF(Tabela1[[#This Row],[TIPO]]=REGRAS!$W$4,REGRAS!$X$4,""))</f>
        <v/>
      </c>
      <c r="AE290" s="29" t="e">
        <f>VLOOKUP(Tabela1[[#This Row],[FONTE_COD]],REGRAS!$O$2:$P$69,2,FALSE)</f>
        <v>#N/A</v>
      </c>
      <c r="AF2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1" spans="1:32" ht="18.75" customHeight="1">
      <c r="A291" s="2" t="str">
        <f>IFERROR(IF('PREENCHER AQUI'!A291="","",'PREENCHER AQUI'!A291),"")</f>
        <v/>
      </c>
      <c r="B291" s="1" t="str">
        <f>IFERROR(IF('PREENCHER AQUI'!B291="","",PROPER('PREENCHER AQUI'!B291)),"")</f>
        <v/>
      </c>
      <c r="C291" s="1" t="str">
        <f>IFERROR(IF('PREENCHER AQUI'!C291="","",'PREENCHER AQUI'!C291),"")</f>
        <v/>
      </c>
      <c r="D291" s="2" t="str">
        <f>IFERROR(IF('PREENCHER AQUI'!D291="","",'PREENCHER AQUI'!D291),"")</f>
        <v/>
      </c>
      <c r="E291" s="2" t="str">
        <f>IFERROR(VLOOKUP(CONCATENATE(C291,D291),qdd!$C$2:$F$1000,2,FALSE),"")</f>
        <v/>
      </c>
      <c r="F291" s="2" t="str">
        <f>IFERROR(VLOOKUP(CONCATENATE(C291,D291),qdd!$C$2:$F$1000,3,FALSE),"")</f>
        <v/>
      </c>
      <c r="G291" s="2" t="str">
        <f>IFERROR(VLOOKUP(CONCATENATE(C291,D291),qdd!$C$2:$F$1000,4,FALSE),"")</f>
        <v/>
      </c>
      <c r="H291" s="6" t="str">
        <f t="shared" si="10"/>
        <v/>
      </c>
      <c r="I2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1" s="2" t="str">
        <f>IFERROR(IF('PREENCHER AQUI'!E291="","",'PREENCHER AQUI'!E291),"")</f>
        <v/>
      </c>
      <c r="K291" s="2" t="str">
        <f>IFERROR(IF('PREENCHER AQUI'!F291="","",'PREENCHER AQUI'!F291),"")</f>
        <v/>
      </c>
      <c r="L291" s="2" t="str">
        <f>IF(Tabela1[[#This Row],[IPU_COD]]=9,"91",IF(Tabela1[[#This Row],[ACAO_COD]]="","",VLOOKUP(CONCATENATE("G",J291,"M",K291),qdd!$BC$2:$BD$46,2,FALSE)))</f>
        <v/>
      </c>
      <c r="M291" s="2" t="str">
        <f>TEXT(IFERROR(VLOOKUP(CONCATENATE(C291,D291),qdd!$C$2:$G$1000,5,FALSE),""),0)</f>
        <v/>
      </c>
      <c r="N291" s="2" t="str">
        <f>IFERROR(IF('PREENCHER AQUI'!I291="","",'PREENCHER AQUI'!I291),"")</f>
        <v/>
      </c>
      <c r="O291" s="2" t="str">
        <f>IFERROR(IF('PREENCHER AQUI'!J291="","",'PREENCHER AQUI'!J291),"")</f>
        <v/>
      </c>
      <c r="P291" s="7" t="str">
        <f t="shared" si="11"/>
        <v/>
      </c>
      <c r="Q291" s="8" t="str">
        <f>IFERROR(IF(Tabela4[[#This Row],[VALOR]]="","",IF(Tabela1[[#This Row],[ORIENTACAO]]="Anular",'PREENCHER AQUI'!K291*-1*100,'PREENCHER AQUI'!K291*100)),"")</f>
        <v/>
      </c>
      <c r="T291" s="7" t="str">
        <f>IFERROR(IF('PREENCHER AQUI'!L291="","999",LEFT('PREENCHER AQUI'!L291,1)),"")</f>
        <v>999</v>
      </c>
      <c r="V291" s="19"/>
      <c r="W291" s="1" t="str">
        <f>IFERROR(VLOOKUP(Tabela1[[#This Row],[UO_COD]],qdd!$AT$1:$AU$102,2,FALSE),"")</f>
        <v/>
      </c>
      <c r="X291" s="1" t="str">
        <f>CONCATENATE("F",Tabela1[[#This Row],[FONTE_COD]],Tabela1[[#This Row],[IPU_COD]],"G",Tabela1[[#This Row],[GRUPO_COD]],"T",Tabela1[[#This Row],[TIPO]])</f>
        <v>FGT999</v>
      </c>
      <c r="Y2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1" s="19"/>
      <c r="AA291" s="29" t="str">
        <f>IFERROR(VLOOKUP(CONCATENATE("B",Tabela1[[#This Row],[BLOCO]],Tabela1[[#This Row],[UO_COD]]),qdd!$AW$2:$AX$1000,2,FALSE),"")</f>
        <v/>
      </c>
      <c r="AB291" s="30" t="str">
        <f>IFERROR(Tabela1[[#This Row],[VALOR]]/100,"")</f>
        <v/>
      </c>
      <c r="AC291" s="7" t="str" cm="1">
        <f t="array" aca="1" ref="AC291" ca="1">IF(Tabela1[[#This Row],[VALOR]]&lt;0,"",IFERROR(SUBSTITUTE(Converter_numero(Tabela1[[#This Row],[VALOR INCISO]]),",",""),""))</f>
        <v/>
      </c>
      <c r="AD291" s="29" t="str">
        <f>IF(Tabela1[[#This Row],[TIPO]]=REGRAS!$W$2,REGRAS!$X$2,IF(Tabela1[[#This Row],[TIPO]]=REGRAS!$W$4,REGRAS!$X$4,""))</f>
        <v/>
      </c>
      <c r="AE291" s="29" t="e">
        <f>VLOOKUP(Tabela1[[#This Row],[FONTE_COD]],REGRAS!$O$2:$P$69,2,FALSE)</f>
        <v>#N/A</v>
      </c>
      <c r="AF2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2" spans="1:32" ht="18.75" customHeight="1">
      <c r="A292" s="2" t="str">
        <f>IFERROR(IF('PREENCHER AQUI'!A292="","",'PREENCHER AQUI'!A292),"")</f>
        <v/>
      </c>
      <c r="B292" s="1" t="str">
        <f>IFERROR(IF('PREENCHER AQUI'!B292="","",PROPER('PREENCHER AQUI'!B292)),"")</f>
        <v/>
      </c>
      <c r="C292" s="1" t="str">
        <f>IFERROR(IF('PREENCHER AQUI'!C292="","",'PREENCHER AQUI'!C292),"")</f>
        <v/>
      </c>
      <c r="D292" s="2" t="str">
        <f>IFERROR(IF('PREENCHER AQUI'!D292="","",'PREENCHER AQUI'!D292),"")</f>
        <v/>
      </c>
      <c r="E292" s="2" t="str">
        <f>IFERROR(VLOOKUP(CONCATENATE(C292,D292),qdd!$C$2:$F$1000,2,FALSE),"")</f>
        <v/>
      </c>
      <c r="F292" s="2" t="str">
        <f>IFERROR(VLOOKUP(CONCATENATE(C292,D292),qdd!$C$2:$F$1000,3,FALSE),"")</f>
        <v/>
      </c>
      <c r="G292" s="2" t="str">
        <f>IFERROR(VLOOKUP(CONCATENATE(C292,D292),qdd!$C$2:$F$1000,4,FALSE),"")</f>
        <v/>
      </c>
      <c r="H292" s="6" t="str">
        <f t="shared" si="10"/>
        <v/>
      </c>
      <c r="I2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2" s="2" t="str">
        <f>IFERROR(IF('PREENCHER AQUI'!E292="","",'PREENCHER AQUI'!E292),"")</f>
        <v/>
      </c>
      <c r="K292" s="2" t="str">
        <f>IFERROR(IF('PREENCHER AQUI'!F292="","",'PREENCHER AQUI'!F292),"")</f>
        <v/>
      </c>
      <c r="L292" s="2" t="str">
        <f>IF(Tabela1[[#This Row],[IPU_COD]]=9,"91",IF(Tabela1[[#This Row],[ACAO_COD]]="","",VLOOKUP(CONCATENATE("G",J292,"M",K292),qdd!$BC$2:$BD$46,2,FALSE)))</f>
        <v/>
      </c>
      <c r="M292" s="2" t="str">
        <f>TEXT(IFERROR(VLOOKUP(CONCATENATE(C292,D292),qdd!$C$2:$G$1000,5,FALSE),""),0)</f>
        <v/>
      </c>
      <c r="N292" s="2" t="str">
        <f>IFERROR(IF('PREENCHER AQUI'!I292="","",'PREENCHER AQUI'!I292),"")</f>
        <v/>
      </c>
      <c r="O292" s="2" t="str">
        <f>IFERROR(IF('PREENCHER AQUI'!J292="","",'PREENCHER AQUI'!J292),"")</f>
        <v/>
      </c>
      <c r="P292" s="7" t="str">
        <f t="shared" si="11"/>
        <v/>
      </c>
      <c r="Q292" s="8" t="str">
        <f>IFERROR(IF(Tabela4[[#This Row],[VALOR]]="","",IF(Tabela1[[#This Row],[ORIENTACAO]]="Anular",'PREENCHER AQUI'!K292*-1*100,'PREENCHER AQUI'!K292*100)),"")</f>
        <v/>
      </c>
      <c r="T292" s="7" t="str">
        <f>IFERROR(IF('PREENCHER AQUI'!L292="","999",LEFT('PREENCHER AQUI'!L292,1)),"")</f>
        <v>999</v>
      </c>
      <c r="W292" s="1" t="str">
        <f>IFERROR(VLOOKUP(Tabela1[[#This Row],[UO_COD]],qdd!$AT$1:$AU$102,2,FALSE),"")</f>
        <v/>
      </c>
      <c r="X292" s="1" t="str">
        <f>CONCATENATE("F",Tabela1[[#This Row],[FONTE_COD]],Tabela1[[#This Row],[IPU_COD]],"G",Tabela1[[#This Row],[GRUPO_COD]],"T",Tabela1[[#This Row],[TIPO]])</f>
        <v>FGT999</v>
      </c>
      <c r="Y2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2" s="19"/>
      <c r="AA292" s="29" t="str">
        <f>IFERROR(VLOOKUP(CONCATENATE("B",Tabela1[[#This Row],[BLOCO]],Tabela1[[#This Row],[UO_COD]]),qdd!$AW$2:$AX$1000,2,FALSE),"")</f>
        <v/>
      </c>
      <c r="AB292" s="30" t="str">
        <f>IFERROR(Tabela1[[#This Row],[VALOR]]/100,"")</f>
        <v/>
      </c>
      <c r="AC292" s="7" t="str" cm="1">
        <f t="array" aca="1" ref="AC292" ca="1">IF(Tabela1[[#This Row],[VALOR]]&lt;0,"",IFERROR(SUBSTITUTE(Converter_numero(Tabela1[[#This Row],[VALOR INCISO]]),",",""),""))</f>
        <v/>
      </c>
      <c r="AD292" s="7" t="str">
        <f>IF(Tabela1[[#This Row],[TIPO]]=REGRAS!$W$2,REGRAS!$X$2,IF(Tabela1[[#This Row],[TIPO]]=REGRAS!$W$4,REGRAS!$X$4,""))</f>
        <v/>
      </c>
      <c r="AE292" s="29" t="e">
        <f>VLOOKUP(Tabela1[[#This Row],[FONTE_COD]],REGRAS!$O$2:$P$69,2,FALSE)</f>
        <v>#N/A</v>
      </c>
      <c r="AF2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3" spans="1:32" ht="18.75" customHeight="1">
      <c r="A293" s="2" t="str">
        <f>IFERROR(IF('PREENCHER AQUI'!A293="","",'PREENCHER AQUI'!A293),"")</f>
        <v/>
      </c>
      <c r="B293" s="1" t="str">
        <f>IFERROR(IF('PREENCHER AQUI'!B293="","",PROPER('PREENCHER AQUI'!B293)),"")</f>
        <v/>
      </c>
      <c r="C293" s="1" t="str">
        <f>IFERROR(IF('PREENCHER AQUI'!C293="","",'PREENCHER AQUI'!C293),"")</f>
        <v/>
      </c>
      <c r="D293" s="2" t="str">
        <f>IFERROR(IF('PREENCHER AQUI'!D293="","",'PREENCHER AQUI'!D293),"")</f>
        <v/>
      </c>
      <c r="E293" s="2" t="str">
        <f>IFERROR(VLOOKUP(CONCATENATE(C293,D293),qdd!$C$2:$F$1000,2,FALSE),"")</f>
        <v/>
      </c>
      <c r="F293" s="2" t="str">
        <f>IFERROR(VLOOKUP(CONCATENATE(C293,D293),qdd!$C$2:$F$1000,3,FALSE),"")</f>
        <v/>
      </c>
      <c r="G293" s="2" t="str">
        <f>IFERROR(VLOOKUP(CONCATENATE(C293,D293),qdd!$C$2:$F$1000,4,FALSE),"")</f>
        <v/>
      </c>
      <c r="H293" s="6" t="str">
        <f t="shared" si="10"/>
        <v/>
      </c>
      <c r="I2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3" s="2" t="str">
        <f>IFERROR(IF('PREENCHER AQUI'!E293="","",'PREENCHER AQUI'!E293),"")</f>
        <v/>
      </c>
      <c r="K293" s="2" t="str">
        <f>IFERROR(IF('PREENCHER AQUI'!F293="","",'PREENCHER AQUI'!F293),"")</f>
        <v/>
      </c>
      <c r="L293" s="2" t="str">
        <f>IF(Tabela1[[#This Row],[IPU_COD]]=9,"91",IF(Tabela1[[#This Row],[ACAO_COD]]="","",VLOOKUP(CONCATENATE("G",J293,"M",K293),qdd!$BC$2:$BD$46,2,FALSE)))</f>
        <v/>
      </c>
      <c r="M293" s="2" t="str">
        <f>TEXT(IFERROR(VLOOKUP(CONCATENATE(C293,D293),qdd!$C$2:$G$1000,5,FALSE),""),0)</f>
        <v/>
      </c>
      <c r="N293" s="2" t="str">
        <f>IFERROR(IF('PREENCHER AQUI'!I293="","",'PREENCHER AQUI'!I293),"")</f>
        <v/>
      </c>
      <c r="O293" s="2" t="str">
        <f>IFERROR(IF('PREENCHER AQUI'!J293="","",'PREENCHER AQUI'!J293),"")</f>
        <v/>
      </c>
      <c r="P293" s="7" t="str">
        <f t="shared" si="11"/>
        <v/>
      </c>
      <c r="Q293" s="8" t="str">
        <f>IFERROR(IF(Tabela4[[#This Row],[VALOR]]="","",IF(Tabela1[[#This Row],[ORIENTACAO]]="Anular",'PREENCHER AQUI'!K293*-1*100,'PREENCHER AQUI'!K293*100)),"")</f>
        <v/>
      </c>
      <c r="T293" s="7" t="str">
        <f>IFERROR(IF('PREENCHER AQUI'!L293="","999",LEFT('PREENCHER AQUI'!L293,1)),"")</f>
        <v>999</v>
      </c>
      <c r="V293" s="19"/>
      <c r="W293" s="1" t="str">
        <f>IFERROR(VLOOKUP(Tabela1[[#This Row],[UO_COD]],qdd!$AT$1:$AU$102,2,FALSE),"")</f>
        <v/>
      </c>
      <c r="X293" s="1" t="str">
        <f>CONCATENATE("F",Tabela1[[#This Row],[FONTE_COD]],Tabela1[[#This Row],[IPU_COD]],"G",Tabela1[[#This Row],[GRUPO_COD]],"T",Tabela1[[#This Row],[TIPO]])</f>
        <v>FGT999</v>
      </c>
      <c r="Y2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3" s="19"/>
      <c r="AA293" s="29" t="str">
        <f>IFERROR(VLOOKUP(CONCATENATE("B",Tabela1[[#This Row],[BLOCO]],Tabela1[[#This Row],[UO_COD]]),qdd!$AW$2:$AX$1000,2,FALSE),"")</f>
        <v/>
      </c>
      <c r="AB293" s="30" t="str">
        <f>IFERROR(Tabela1[[#This Row],[VALOR]]/100,"")</f>
        <v/>
      </c>
      <c r="AC293" s="7" t="str" cm="1">
        <f t="array" aca="1" ref="AC293" ca="1">IF(Tabela1[[#This Row],[VALOR]]&lt;0,"",IFERROR(SUBSTITUTE(Converter_numero(Tabela1[[#This Row],[VALOR INCISO]]),",",""),""))</f>
        <v/>
      </c>
      <c r="AD293" s="29" t="str">
        <f>IF(Tabela1[[#This Row],[TIPO]]=REGRAS!$W$2,REGRAS!$X$2,IF(Tabela1[[#This Row],[TIPO]]=REGRAS!$W$4,REGRAS!$X$4,""))</f>
        <v/>
      </c>
      <c r="AE293" s="29" t="e">
        <f>VLOOKUP(Tabela1[[#This Row],[FONTE_COD]],REGRAS!$O$2:$P$69,2,FALSE)</f>
        <v>#N/A</v>
      </c>
      <c r="AF2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4" spans="1:32" ht="18.75" customHeight="1">
      <c r="A294" s="2" t="str">
        <f>IFERROR(IF('PREENCHER AQUI'!A294="","",'PREENCHER AQUI'!A294),"")</f>
        <v/>
      </c>
      <c r="B294" s="1" t="str">
        <f>IFERROR(IF('PREENCHER AQUI'!B294="","",PROPER('PREENCHER AQUI'!B294)),"")</f>
        <v/>
      </c>
      <c r="C294" s="1" t="str">
        <f>IFERROR(IF('PREENCHER AQUI'!C294="","",'PREENCHER AQUI'!C294),"")</f>
        <v/>
      </c>
      <c r="D294" s="2" t="str">
        <f>IFERROR(IF('PREENCHER AQUI'!D294="","",'PREENCHER AQUI'!D294),"")</f>
        <v/>
      </c>
      <c r="E294" s="2" t="str">
        <f>IFERROR(VLOOKUP(CONCATENATE(C294,D294),qdd!$C$2:$F$1000,2,FALSE),"")</f>
        <v/>
      </c>
      <c r="F294" s="2" t="str">
        <f>IFERROR(VLOOKUP(CONCATENATE(C294,D294),qdd!$C$2:$F$1000,3,FALSE),"")</f>
        <v/>
      </c>
      <c r="G294" s="2" t="str">
        <f>IFERROR(VLOOKUP(CONCATENATE(C294,D294),qdd!$C$2:$F$1000,4,FALSE),"")</f>
        <v/>
      </c>
      <c r="H294" s="6" t="str">
        <f t="shared" si="10"/>
        <v/>
      </c>
      <c r="I2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4" s="2" t="str">
        <f>IFERROR(IF('PREENCHER AQUI'!E294="","",'PREENCHER AQUI'!E294),"")</f>
        <v/>
      </c>
      <c r="K294" s="2" t="str">
        <f>IFERROR(IF('PREENCHER AQUI'!F294="","",'PREENCHER AQUI'!F294),"")</f>
        <v/>
      </c>
      <c r="L294" s="2" t="str">
        <f>IF(Tabela1[[#This Row],[IPU_COD]]=9,"91",IF(Tabela1[[#This Row],[ACAO_COD]]="","",VLOOKUP(CONCATENATE("G",J294,"M",K294),qdd!$BC$2:$BD$46,2,FALSE)))</f>
        <v/>
      </c>
      <c r="M294" s="2" t="str">
        <f>TEXT(IFERROR(VLOOKUP(CONCATENATE(C294,D294),qdd!$C$2:$G$1000,5,FALSE),""),0)</f>
        <v/>
      </c>
      <c r="N294" s="2" t="str">
        <f>IFERROR(IF('PREENCHER AQUI'!I294="","",'PREENCHER AQUI'!I294),"")</f>
        <v/>
      </c>
      <c r="O294" s="2" t="str">
        <f>IFERROR(IF('PREENCHER AQUI'!J294="","",'PREENCHER AQUI'!J294),"")</f>
        <v/>
      </c>
      <c r="P294" s="7" t="str">
        <f t="shared" si="11"/>
        <v/>
      </c>
      <c r="Q294" s="8" t="str">
        <f>IFERROR(IF(Tabela4[[#This Row],[VALOR]]="","",IF(Tabela1[[#This Row],[ORIENTACAO]]="Anular",'PREENCHER AQUI'!K294*-1*100,'PREENCHER AQUI'!K294*100)),"")</f>
        <v/>
      </c>
      <c r="T294" s="7" t="str">
        <f>IFERROR(IF('PREENCHER AQUI'!L294="","999",LEFT('PREENCHER AQUI'!L294,1)),"")</f>
        <v>999</v>
      </c>
      <c r="V294" s="19"/>
      <c r="W294" s="1" t="str">
        <f>IFERROR(VLOOKUP(Tabela1[[#This Row],[UO_COD]],qdd!$AT$1:$AU$102,2,FALSE),"")</f>
        <v/>
      </c>
      <c r="X294" s="1" t="str">
        <f>CONCATENATE("F",Tabela1[[#This Row],[FONTE_COD]],Tabela1[[#This Row],[IPU_COD]],"G",Tabela1[[#This Row],[GRUPO_COD]],"T",Tabela1[[#This Row],[TIPO]])</f>
        <v>FGT999</v>
      </c>
      <c r="Y2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4" s="19"/>
      <c r="AA294" s="29" t="str">
        <f>IFERROR(VLOOKUP(CONCATENATE("B",Tabela1[[#This Row],[BLOCO]],Tabela1[[#This Row],[UO_COD]]),qdd!$AW$2:$AX$1000,2,FALSE),"")</f>
        <v/>
      </c>
      <c r="AB294" s="30" t="str">
        <f>IFERROR(Tabela1[[#This Row],[VALOR]]/100,"")</f>
        <v/>
      </c>
      <c r="AC294" s="7" t="str" cm="1">
        <f t="array" aca="1" ref="AC294" ca="1">IF(Tabela1[[#This Row],[VALOR]]&lt;0,"",IFERROR(SUBSTITUTE(Converter_numero(Tabela1[[#This Row],[VALOR INCISO]]),",",""),""))</f>
        <v/>
      </c>
      <c r="AD294" s="29" t="str">
        <f>IF(Tabela1[[#This Row],[TIPO]]=REGRAS!$W$2,REGRAS!$X$2,IF(Tabela1[[#This Row],[TIPO]]=REGRAS!$W$4,REGRAS!$X$4,""))</f>
        <v/>
      </c>
      <c r="AE294" s="29" t="e">
        <f>VLOOKUP(Tabela1[[#This Row],[FONTE_COD]],REGRAS!$O$2:$P$69,2,FALSE)</f>
        <v>#N/A</v>
      </c>
      <c r="AF2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5" spans="1:32" ht="18.75" customHeight="1">
      <c r="A295" s="2" t="str">
        <f>IFERROR(IF('PREENCHER AQUI'!A295="","",'PREENCHER AQUI'!A295),"")</f>
        <v/>
      </c>
      <c r="B295" s="1" t="str">
        <f>IFERROR(IF('PREENCHER AQUI'!B295="","",PROPER('PREENCHER AQUI'!B295)),"")</f>
        <v/>
      </c>
      <c r="C295" s="1" t="str">
        <f>IFERROR(IF('PREENCHER AQUI'!C295="","",'PREENCHER AQUI'!C295),"")</f>
        <v/>
      </c>
      <c r="D295" s="2" t="str">
        <f>IFERROR(IF('PREENCHER AQUI'!D295="","",'PREENCHER AQUI'!D295),"")</f>
        <v/>
      </c>
      <c r="E295" s="2" t="str">
        <f>IFERROR(VLOOKUP(CONCATENATE(C295,D295),qdd!$C$2:$F$1000,2,FALSE),"")</f>
        <v/>
      </c>
      <c r="F295" s="2" t="str">
        <f>IFERROR(VLOOKUP(CONCATENATE(C295,D295),qdd!$C$2:$F$1000,3,FALSE),"")</f>
        <v/>
      </c>
      <c r="G295" s="2" t="str">
        <f>IFERROR(VLOOKUP(CONCATENATE(C295,D295),qdd!$C$2:$F$1000,4,FALSE),"")</f>
        <v/>
      </c>
      <c r="H295" s="6" t="str">
        <f t="shared" si="10"/>
        <v/>
      </c>
      <c r="I2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5" s="2" t="str">
        <f>IFERROR(IF('PREENCHER AQUI'!E295="","",'PREENCHER AQUI'!E295),"")</f>
        <v/>
      </c>
      <c r="K295" s="2" t="str">
        <f>IFERROR(IF('PREENCHER AQUI'!F295="","",'PREENCHER AQUI'!F295),"")</f>
        <v/>
      </c>
      <c r="L295" s="2" t="str">
        <f>IF(Tabela1[[#This Row],[IPU_COD]]=9,"91",IF(Tabela1[[#This Row],[ACAO_COD]]="","",VLOOKUP(CONCATENATE("G",J295,"M",K295),qdd!$BC$2:$BD$46,2,FALSE)))</f>
        <v/>
      </c>
      <c r="M295" s="2" t="str">
        <f>TEXT(IFERROR(VLOOKUP(CONCATENATE(C295,D295),qdd!$C$2:$G$1000,5,FALSE),""),0)</f>
        <v/>
      </c>
      <c r="N295" s="2" t="str">
        <f>IFERROR(IF('PREENCHER AQUI'!I295="","",'PREENCHER AQUI'!I295),"")</f>
        <v/>
      </c>
      <c r="O295" s="2" t="str">
        <f>IFERROR(IF('PREENCHER AQUI'!J295="","",'PREENCHER AQUI'!J295),"")</f>
        <v/>
      </c>
      <c r="P295" s="7" t="str">
        <f t="shared" si="11"/>
        <v/>
      </c>
      <c r="Q295" s="8" t="str">
        <f>IFERROR(IF(Tabela4[[#This Row],[VALOR]]="","",IF(Tabela1[[#This Row],[ORIENTACAO]]="Anular",'PREENCHER AQUI'!K295*-1*100,'PREENCHER AQUI'!K295*100)),"")</f>
        <v/>
      </c>
      <c r="T295" s="7" t="str">
        <f>IFERROR(IF('PREENCHER AQUI'!L295="","999",LEFT('PREENCHER AQUI'!L295,1)),"")</f>
        <v>999</v>
      </c>
      <c r="V295" s="19"/>
      <c r="W295" s="20" t="str">
        <f>IFERROR(VLOOKUP(Tabela1[[#This Row],[UO_COD]],qdd!$AT$1:$AU$102,2,FALSE),"")</f>
        <v/>
      </c>
      <c r="X295" s="20" t="str">
        <f>CONCATENATE("F",Tabela1[[#This Row],[FONTE_COD]],Tabela1[[#This Row],[IPU_COD]],"G",Tabela1[[#This Row],[GRUPO_COD]],"T",Tabela1[[#This Row],[TIPO]])</f>
        <v>FGT999</v>
      </c>
      <c r="Y2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5" s="19"/>
      <c r="AA295" s="29" t="str">
        <f>IFERROR(VLOOKUP(CONCATENATE("B",Tabela1[[#This Row],[BLOCO]],Tabela1[[#This Row],[UO_COD]]),qdd!$AW$2:$AX$1000,2,FALSE),"")</f>
        <v/>
      </c>
      <c r="AB295" s="30" t="str">
        <f>IFERROR(Tabela1[[#This Row],[VALOR]]/100,"")</f>
        <v/>
      </c>
      <c r="AC295" s="7" t="str" cm="1">
        <f t="array" aca="1" ref="AC295" ca="1">IF(Tabela1[[#This Row],[VALOR]]&lt;0,"",IFERROR(SUBSTITUTE(Converter_numero(Tabela1[[#This Row],[VALOR INCISO]]),",",""),""))</f>
        <v/>
      </c>
      <c r="AD295" s="29" t="str">
        <f>IF(Tabela1[[#This Row],[TIPO]]=REGRAS!$W$2,REGRAS!$X$2,IF(Tabela1[[#This Row],[TIPO]]=REGRAS!$W$4,REGRAS!$X$4,""))</f>
        <v/>
      </c>
      <c r="AE295" s="29" t="e">
        <f>VLOOKUP(Tabela1[[#This Row],[FONTE_COD]],REGRAS!$O$2:$P$69,2,FALSE)</f>
        <v>#N/A</v>
      </c>
      <c r="AF2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6" spans="1:32" ht="18.75" customHeight="1">
      <c r="A296" s="2" t="str">
        <f>IFERROR(IF('PREENCHER AQUI'!A296="","",'PREENCHER AQUI'!A296),"")</f>
        <v/>
      </c>
      <c r="B296" s="1" t="str">
        <f>IFERROR(IF('PREENCHER AQUI'!B296="","",PROPER('PREENCHER AQUI'!B296)),"")</f>
        <v/>
      </c>
      <c r="C296" s="1" t="str">
        <f>IFERROR(IF('PREENCHER AQUI'!C296="","",'PREENCHER AQUI'!C296),"")</f>
        <v/>
      </c>
      <c r="D296" s="2" t="str">
        <f>IFERROR(IF('PREENCHER AQUI'!D296="","",'PREENCHER AQUI'!D296),"")</f>
        <v/>
      </c>
      <c r="E296" s="2" t="str">
        <f>IFERROR(VLOOKUP(CONCATENATE(C296,D296),qdd!$C$2:$F$1000,2,FALSE),"")</f>
        <v/>
      </c>
      <c r="F296" s="2" t="str">
        <f>IFERROR(VLOOKUP(CONCATENATE(C296,D296),qdd!$C$2:$F$1000,3,FALSE),"")</f>
        <v/>
      </c>
      <c r="G296" s="2" t="str">
        <f>IFERROR(VLOOKUP(CONCATENATE(C296,D296),qdd!$C$2:$F$1000,4,FALSE),"")</f>
        <v/>
      </c>
      <c r="H296" s="6" t="str">
        <f t="shared" si="10"/>
        <v/>
      </c>
      <c r="I2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6" s="2" t="str">
        <f>IFERROR(IF('PREENCHER AQUI'!E296="","",'PREENCHER AQUI'!E296),"")</f>
        <v/>
      </c>
      <c r="K296" s="2" t="str">
        <f>IFERROR(IF('PREENCHER AQUI'!F296="","",'PREENCHER AQUI'!F296),"")</f>
        <v/>
      </c>
      <c r="L296" s="2" t="str">
        <f>IF(Tabela1[[#This Row],[IPU_COD]]=9,"91",IF(Tabela1[[#This Row],[ACAO_COD]]="","",VLOOKUP(CONCATENATE("G",J296,"M",K296),qdd!$BC$2:$BD$46,2,FALSE)))</f>
        <v/>
      </c>
      <c r="M296" s="2" t="str">
        <f>TEXT(IFERROR(VLOOKUP(CONCATENATE(C296,D296),qdd!$C$2:$G$1000,5,FALSE),""),0)</f>
        <v/>
      </c>
      <c r="N296" s="2" t="str">
        <f>IFERROR(IF('PREENCHER AQUI'!I296="","",'PREENCHER AQUI'!I296),"")</f>
        <v/>
      </c>
      <c r="O296" s="2" t="str">
        <f>IFERROR(IF('PREENCHER AQUI'!J296="","",'PREENCHER AQUI'!J296),"")</f>
        <v/>
      </c>
      <c r="P296" s="7" t="str">
        <f t="shared" si="11"/>
        <v/>
      </c>
      <c r="Q296" s="8" t="str">
        <f>IFERROR(IF(Tabela4[[#This Row],[VALOR]]="","",IF(Tabela1[[#This Row],[ORIENTACAO]]="Anular",'PREENCHER AQUI'!K296*-1*100,'PREENCHER AQUI'!K296*100)),"")</f>
        <v/>
      </c>
      <c r="T296" s="7" t="str">
        <f>IFERROR(IF('PREENCHER AQUI'!L296="","999",LEFT('PREENCHER AQUI'!L296,1)),"")</f>
        <v>999</v>
      </c>
      <c r="V296" s="19"/>
      <c r="W296" s="1" t="str">
        <f>IFERROR(VLOOKUP(Tabela1[[#This Row],[UO_COD]],qdd!$AT$1:$AU$102,2,FALSE),"")</f>
        <v/>
      </c>
      <c r="X296" s="1" t="str">
        <f>CONCATENATE("F",Tabela1[[#This Row],[FONTE_COD]],Tabela1[[#This Row],[IPU_COD]],"G",Tabela1[[#This Row],[GRUPO_COD]],"T",Tabela1[[#This Row],[TIPO]])</f>
        <v>FGT999</v>
      </c>
      <c r="Y2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6" s="19"/>
      <c r="AA296" s="29" t="str">
        <f>IFERROR(VLOOKUP(CONCATENATE("B",Tabela1[[#This Row],[BLOCO]],Tabela1[[#This Row],[UO_COD]]),qdd!$AW$2:$AX$1000,2,FALSE),"")</f>
        <v/>
      </c>
      <c r="AB296" s="30" t="str">
        <f>IFERROR(Tabela1[[#This Row],[VALOR]]/100,"")</f>
        <v/>
      </c>
      <c r="AC296" s="7" t="str" cm="1">
        <f t="array" aca="1" ref="AC296" ca="1">IF(Tabela1[[#This Row],[VALOR]]&lt;0,"",IFERROR(SUBSTITUTE(Converter_numero(Tabela1[[#This Row],[VALOR INCISO]]),",",""),""))</f>
        <v/>
      </c>
      <c r="AD296" s="29" t="str">
        <f>IF(Tabela1[[#This Row],[TIPO]]=REGRAS!$W$2,REGRAS!$X$2,IF(Tabela1[[#This Row],[TIPO]]=REGRAS!$W$4,REGRAS!$X$4,""))</f>
        <v/>
      </c>
      <c r="AE296" s="29" t="e">
        <f>VLOOKUP(Tabela1[[#This Row],[FONTE_COD]],REGRAS!$O$2:$P$69,2,FALSE)</f>
        <v>#N/A</v>
      </c>
      <c r="AF2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7" spans="1:32" ht="18.75" customHeight="1">
      <c r="A297" s="2" t="str">
        <f>IFERROR(IF('PREENCHER AQUI'!A297="","",'PREENCHER AQUI'!A297),"")</f>
        <v/>
      </c>
      <c r="B297" s="1" t="str">
        <f>IFERROR(IF('PREENCHER AQUI'!B297="","",PROPER('PREENCHER AQUI'!B297)),"")</f>
        <v/>
      </c>
      <c r="C297" s="1" t="str">
        <f>IFERROR(IF('PREENCHER AQUI'!C297="","",'PREENCHER AQUI'!C297),"")</f>
        <v/>
      </c>
      <c r="D297" s="2" t="str">
        <f>IFERROR(IF('PREENCHER AQUI'!D297="","",'PREENCHER AQUI'!D297),"")</f>
        <v/>
      </c>
      <c r="E297" s="2" t="str">
        <f>IFERROR(VLOOKUP(CONCATENATE(C297,D297),qdd!$C$2:$F$1000,2,FALSE),"")</f>
        <v/>
      </c>
      <c r="F297" s="2" t="str">
        <f>IFERROR(VLOOKUP(CONCATENATE(C297,D297),qdd!$C$2:$F$1000,3,FALSE),"")</f>
        <v/>
      </c>
      <c r="G297" s="2" t="str">
        <f>IFERROR(VLOOKUP(CONCATENATE(C297,D297),qdd!$C$2:$F$1000,4,FALSE),"")</f>
        <v/>
      </c>
      <c r="H297" s="6" t="str">
        <f t="shared" si="10"/>
        <v/>
      </c>
      <c r="I2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7" s="2" t="str">
        <f>IFERROR(IF('PREENCHER AQUI'!E297="","",'PREENCHER AQUI'!E297),"")</f>
        <v/>
      </c>
      <c r="K297" s="2" t="str">
        <f>IFERROR(IF('PREENCHER AQUI'!F297="","",'PREENCHER AQUI'!F297),"")</f>
        <v/>
      </c>
      <c r="L297" s="2" t="str">
        <f>IF(Tabela1[[#This Row],[IPU_COD]]=9,"91",IF(Tabela1[[#This Row],[ACAO_COD]]="","",VLOOKUP(CONCATENATE("G",J297,"M",K297),qdd!$BC$2:$BD$46,2,FALSE)))</f>
        <v/>
      </c>
      <c r="M297" s="2" t="str">
        <f>TEXT(IFERROR(VLOOKUP(CONCATENATE(C297,D297),qdd!$C$2:$G$1000,5,FALSE),""),0)</f>
        <v/>
      </c>
      <c r="N297" s="2" t="str">
        <f>IFERROR(IF('PREENCHER AQUI'!I297="","",'PREENCHER AQUI'!I297),"")</f>
        <v/>
      </c>
      <c r="O297" s="2" t="str">
        <f>IFERROR(IF('PREENCHER AQUI'!J297="","",'PREENCHER AQUI'!J297),"")</f>
        <v/>
      </c>
      <c r="P297" s="7" t="str">
        <f t="shared" si="11"/>
        <v/>
      </c>
      <c r="Q297" s="8" t="str">
        <f>IFERROR(IF(Tabela4[[#This Row],[VALOR]]="","",IF(Tabela1[[#This Row],[ORIENTACAO]]="Anular",'PREENCHER AQUI'!K297*-1*100,'PREENCHER AQUI'!K297*100)),"")</f>
        <v/>
      </c>
      <c r="T297" s="7" t="str">
        <f>IFERROR(IF('PREENCHER AQUI'!L297="","999",LEFT('PREENCHER AQUI'!L297,1)),"")</f>
        <v>999</v>
      </c>
      <c r="W297" s="1" t="str">
        <f>IFERROR(VLOOKUP(Tabela1[[#This Row],[UO_COD]],qdd!$AT$1:$AU$102,2,FALSE),"")</f>
        <v/>
      </c>
      <c r="X297" s="1" t="str">
        <f>CONCATENATE("F",Tabela1[[#This Row],[FONTE_COD]],Tabela1[[#This Row],[IPU_COD]],"G",Tabela1[[#This Row],[GRUPO_COD]],"T",Tabela1[[#This Row],[TIPO]])</f>
        <v>FGT999</v>
      </c>
      <c r="Y2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7" s="19"/>
      <c r="AA297" s="29" t="str">
        <f>IFERROR(VLOOKUP(CONCATENATE("B",Tabela1[[#This Row],[BLOCO]],Tabela1[[#This Row],[UO_COD]]),qdd!$AW$2:$AX$1000,2,FALSE),"")</f>
        <v/>
      </c>
      <c r="AB297" s="30" t="str">
        <f>IFERROR(Tabela1[[#This Row],[VALOR]]/100,"")</f>
        <v/>
      </c>
      <c r="AC297" s="7" t="str" cm="1">
        <f t="array" aca="1" ref="AC297" ca="1">IF(Tabela1[[#This Row],[VALOR]]&lt;0,"",IFERROR(SUBSTITUTE(Converter_numero(Tabela1[[#This Row],[VALOR INCISO]]),",",""),""))</f>
        <v/>
      </c>
      <c r="AD297" s="7" t="str">
        <f>IF(Tabela1[[#This Row],[TIPO]]=REGRAS!$W$2,REGRAS!$X$2,IF(Tabela1[[#This Row],[TIPO]]=REGRAS!$W$4,REGRAS!$X$4,""))</f>
        <v/>
      </c>
      <c r="AE297" s="29" t="e">
        <f>VLOOKUP(Tabela1[[#This Row],[FONTE_COD]],REGRAS!$O$2:$P$69,2,FALSE)</f>
        <v>#N/A</v>
      </c>
      <c r="AF2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8" spans="1:32" ht="18.75" customHeight="1">
      <c r="A298" s="2" t="str">
        <f>IFERROR(IF('PREENCHER AQUI'!A298="","",'PREENCHER AQUI'!A298),"")</f>
        <v/>
      </c>
      <c r="B298" s="1" t="str">
        <f>IFERROR(IF('PREENCHER AQUI'!B298="","",PROPER('PREENCHER AQUI'!B298)),"")</f>
        <v/>
      </c>
      <c r="C298" s="1" t="str">
        <f>IFERROR(IF('PREENCHER AQUI'!C298="","",'PREENCHER AQUI'!C298),"")</f>
        <v/>
      </c>
      <c r="D298" s="2" t="str">
        <f>IFERROR(IF('PREENCHER AQUI'!D298="","",'PREENCHER AQUI'!D298),"")</f>
        <v/>
      </c>
      <c r="E298" s="2" t="str">
        <f>IFERROR(VLOOKUP(CONCATENATE(C298,D298),qdd!$C$2:$F$1000,2,FALSE),"")</f>
        <v/>
      </c>
      <c r="F298" s="2" t="str">
        <f>IFERROR(VLOOKUP(CONCATENATE(C298,D298),qdd!$C$2:$F$1000,3,FALSE),"")</f>
        <v/>
      </c>
      <c r="G298" s="2" t="str">
        <f>IFERROR(VLOOKUP(CONCATENATE(C298,D298),qdd!$C$2:$F$1000,4,FALSE),"")</f>
        <v/>
      </c>
      <c r="H298" s="6" t="str">
        <f t="shared" si="10"/>
        <v/>
      </c>
      <c r="I2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8" s="2" t="str">
        <f>IFERROR(IF('PREENCHER AQUI'!E298="","",'PREENCHER AQUI'!E298),"")</f>
        <v/>
      </c>
      <c r="K298" s="2" t="str">
        <f>IFERROR(IF('PREENCHER AQUI'!F298="","",'PREENCHER AQUI'!F298),"")</f>
        <v/>
      </c>
      <c r="L298" s="2" t="str">
        <f>IF(Tabela1[[#This Row],[IPU_COD]]=9,"91",IF(Tabela1[[#This Row],[ACAO_COD]]="","",VLOOKUP(CONCATENATE("G",J298,"M",K298),qdd!$BC$2:$BD$46,2,FALSE)))</f>
        <v/>
      </c>
      <c r="M298" s="2" t="str">
        <f>TEXT(IFERROR(VLOOKUP(CONCATENATE(C298,D298),qdd!$C$2:$G$1000,5,FALSE),""),0)</f>
        <v/>
      </c>
      <c r="N298" s="2" t="str">
        <f>IFERROR(IF('PREENCHER AQUI'!I298="","",'PREENCHER AQUI'!I298),"")</f>
        <v/>
      </c>
      <c r="O298" s="2" t="str">
        <f>IFERROR(IF('PREENCHER AQUI'!J298="","",'PREENCHER AQUI'!J298),"")</f>
        <v/>
      </c>
      <c r="P298" s="7" t="str">
        <f t="shared" si="11"/>
        <v/>
      </c>
      <c r="Q298" s="8" t="str">
        <f>IFERROR(IF(Tabela4[[#This Row],[VALOR]]="","",IF(Tabela1[[#This Row],[ORIENTACAO]]="Anular",'PREENCHER AQUI'!K298*-1*100,'PREENCHER AQUI'!K298*100)),"")</f>
        <v/>
      </c>
      <c r="T298" s="7" t="str">
        <f>IFERROR(IF('PREENCHER AQUI'!L298="","999",LEFT('PREENCHER AQUI'!L298,1)),"")</f>
        <v>999</v>
      </c>
      <c r="V298" s="19"/>
      <c r="W298" s="1" t="str">
        <f>IFERROR(VLOOKUP(Tabela1[[#This Row],[UO_COD]],qdd!$AT$1:$AU$102,2,FALSE),"")</f>
        <v/>
      </c>
      <c r="X298" s="1" t="str">
        <f>CONCATENATE("F",Tabela1[[#This Row],[FONTE_COD]],Tabela1[[#This Row],[IPU_COD]],"G",Tabela1[[#This Row],[GRUPO_COD]],"T",Tabela1[[#This Row],[TIPO]])</f>
        <v>FGT999</v>
      </c>
      <c r="Y2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8" s="19"/>
      <c r="AA298" s="29" t="str">
        <f>IFERROR(VLOOKUP(CONCATENATE("B",Tabela1[[#This Row],[BLOCO]],Tabela1[[#This Row],[UO_COD]]),qdd!$AW$2:$AX$1000,2,FALSE),"")</f>
        <v/>
      </c>
      <c r="AB298" s="30" t="str">
        <f>IFERROR(Tabela1[[#This Row],[VALOR]]/100,"")</f>
        <v/>
      </c>
      <c r="AC298" s="7" t="str" cm="1">
        <f t="array" aca="1" ref="AC298" ca="1">IF(Tabela1[[#This Row],[VALOR]]&lt;0,"",IFERROR(SUBSTITUTE(Converter_numero(Tabela1[[#This Row],[VALOR INCISO]]),",",""),""))</f>
        <v/>
      </c>
      <c r="AD298" s="29" t="str">
        <f>IF(Tabela1[[#This Row],[TIPO]]=REGRAS!$W$2,REGRAS!$X$2,IF(Tabela1[[#This Row],[TIPO]]=REGRAS!$W$4,REGRAS!$X$4,""))</f>
        <v/>
      </c>
      <c r="AE298" s="29" t="e">
        <f>VLOOKUP(Tabela1[[#This Row],[FONTE_COD]],REGRAS!$O$2:$P$69,2,FALSE)</f>
        <v>#N/A</v>
      </c>
      <c r="AF2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9" spans="1:32" ht="18.75" customHeight="1">
      <c r="A299" s="2" t="str">
        <f>IFERROR(IF('PREENCHER AQUI'!A299="","",'PREENCHER AQUI'!A299),"")</f>
        <v/>
      </c>
      <c r="B299" s="1" t="str">
        <f>IFERROR(IF('PREENCHER AQUI'!B299="","",PROPER('PREENCHER AQUI'!B299)),"")</f>
        <v/>
      </c>
      <c r="C299" s="1" t="str">
        <f>IFERROR(IF('PREENCHER AQUI'!C299="","",'PREENCHER AQUI'!C299),"")</f>
        <v/>
      </c>
      <c r="D299" s="2" t="str">
        <f>IFERROR(IF('PREENCHER AQUI'!D299="","",'PREENCHER AQUI'!D299),"")</f>
        <v/>
      </c>
      <c r="E299" s="2" t="str">
        <f>IFERROR(VLOOKUP(CONCATENATE(C299,D299),qdd!$C$2:$F$1000,2,FALSE),"")</f>
        <v/>
      </c>
      <c r="F299" s="2" t="str">
        <f>IFERROR(VLOOKUP(CONCATENATE(C299,D299),qdd!$C$2:$F$1000,3,FALSE),"")</f>
        <v/>
      </c>
      <c r="G299" s="2" t="str">
        <f>IFERROR(VLOOKUP(CONCATENATE(C299,D299),qdd!$C$2:$F$1000,4,FALSE),"")</f>
        <v/>
      </c>
      <c r="H299" s="6" t="str">
        <f t="shared" si="10"/>
        <v/>
      </c>
      <c r="I2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9" s="2" t="str">
        <f>IFERROR(IF('PREENCHER AQUI'!E299="","",'PREENCHER AQUI'!E299),"")</f>
        <v/>
      </c>
      <c r="K299" s="2" t="str">
        <f>IFERROR(IF('PREENCHER AQUI'!F299="","",'PREENCHER AQUI'!F299),"")</f>
        <v/>
      </c>
      <c r="L299" s="2" t="str">
        <f>IF(Tabela1[[#This Row],[IPU_COD]]=9,"91",IF(Tabela1[[#This Row],[ACAO_COD]]="","",VLOOKUP(CONCATENATE("G",J299,"M",K299),qdd!$BC$2:$BD$46,2,FALSE)))</f>
        <v/>
      </c>
      <c r="M299" s="2" t="str">
        <f>TEXT(IFERROR(VLOOKUP(CONCATENATE(C299,D299),qdd!$C$2:$G$1000,5,FALSE),""),0)</f>
        <v/>
      </c>
      <c r="N299" s="2" t="str">
        <f>IFERROR(IF('PREENCHER AQUI'!I299="","",'PREENCHER AQUI'!I299),"")</f>
        <v/>
      </c>
      <c r="O299" s="2" t="str">
        <f>IFERROR(IF('PREENCHER AQUI'!J299="","",'PREENCHER AQUI'!J299),"")</f>
        <v/>
      </c>
      <c r="P299" s="7" t="str">
        <f t="shared" si="11"/>
        <v/>
      </c>
      <c r="Q299" s="8" t="str">
        <f>IFERROR(IF(Tabela4[[#This Row],[VALOR]]="","",IF(Tabela1[[#This Row],[ORIENTACAO]]="Anular",'PREENCHER AQUI'!K299*-1*100,'PREENCHER AQUI'!K299*100)),"")</f>
        <v/>
      </c>
      <c r="T299" s="7" t="str">
        <f>IFERROR(IF('PREENCHER AQUI'!L299="","999",LEFT('PREENCHER AQUI'!L299,1)),"")</f>
        <v>999</v>
      </c>
      <c r="V299" s="19"/>
      <c r="W299" s="1" t="str">
        <f>IFERROR(VLOOKUP(Tabela1[[#This Row],[UO_COD]],qdd!$AT$1:$AU$102,2,FALSE),"")</f>
        <v/>
      </c>
      <c r="X299" s="1" t="str">
        <f>CONCATENATE("F",Tabela1[[#This Row],[FONTE_COD]],Tabela1[[#This Row],[IPU_COD]],"G",Tabela1[[#This Row],[GRUPO_COD]],"T",Tabela1[[#This Row],[TIPO]])</f>
        <v>FGT999</v>
      </c>
      <c r="Y2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9" s="19"/>
      <c r="AA299" s="29" t="str">
        <f>IFERROR(VLOOKUP(CONCATENATE("B",Tabela1[[#This Row],[BLOCO]],Tabela1[[#This Row],[UO_COD]]),qdd!$AW$2:$AX$1000,2,FALSE),"")</f>
        <v/>
      </c>
      <c r="AB299" s="30" t="str">
        <f>IFERROR(Tabela1[[#This Row],[VALOR]]/100,"")</f>
        <v/>
      </c>
      <c r="AC299" s="7" t="str" cm="1">
        <f t="array" aca="1" ref="AC299" ca="1">IF(Tabela1[[#This Row],[VALOR]]&lt;0,"",IFERROR(SUBSTITUTE(Converter_numero(Tabela1[[#This Row],[VALOR INCISO]]),",",""),""))</f>
        <v/>
      </c>
      <c r="AD299" s="29" t="str">
        <f>IF(Tabela1[[#This Row],[TIPO]]=REGRAS!$W$2,REGRAS!$X$2,IF(Tabela1[[#This Row],[TIPO]]=REGRAS!$W$4,REGRAS!$X$4,""))</f>
        <v/>
      </c>
      <c r="AE299" s="29" t="e">
        <f>VLOOKUP(Tabela1[[#This Row],[FONTE_COD]],REGRAS!$O$2:$P$69,2,FALSE)</f>
        <v>#N/A</v>
      </c>
      <c r="AF2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0" spans="1:32" ht="18.75" customHeight="1">
      <c r="A300" s="2" t="str">
        <f>IFERROR(IF('PREENCHER AQUI'!A300="","",'PREENCHER AQUI'!A300),"")</f>
        <v/>
      </c>
      <c r="B300" s="1" t="str">
        <f>IFERROR(IF('PREENCHER AQUI'!B300="","",PROPER('PREENCHER AQUI'!B300)),"")</f>
        <v/>
      </c>
      <c r="C300" s="1" t="str">
        <f>IFERROR(IF('PREENCHER AQUI'!C300="","",'PREENCHER AQUI'!C300),"")</f>
        <v/>
      </c>
      <c r="D300" s="2" t="str">
        <f>IFERROR(IF('PREENCHER AQUI'!D300="","",'PREENCHER AQUI'!D300),"")</f>
        <v/>
      </c>
      <c r="E300" s="2" t="str">
        <f>IFERROR(VLOOKUP(CONCATENATE(C300,D300),qdd!$C$2:$F$1000,2,FALSE),"")</f>
        <v/>
      </c>
      <c r="F300" s="2" t="str">
        <f>IFERROR(VLOOKUP(CONCATENATE(C300,D300),qdd!$C$2:$F$1000,3,FALSE),"")</f>
        <v/>
      </c>
      <c r="G300" s="2" t="str">
        <f>IFERROR(VLOOKUP(CONCATENATE(C300,D300),qdd!$C$2:$F$1000,4,FALSE),"")</f>
        <v/>
      </c>
      <c r="H300" s="6" t="str">
        <f t="shared" si="10"/>
        <v/>
      </c>
      <c r="I3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0" s="2" t="str">
        <f>IFERROR(IF('PREENCHER AQUI'!E300="","",'PREENCHER AQUI'!E300),"")</f>
        <v/>
      </c>
      <c r="K300" s="2" t="str">
        <f>IFERROR(IF('PREENCHER AQUI'!F300="","",'PREENCHER AQUI'!F300),"")</f>
        <v/>
      </c>
      <c r="L300" s="2" t="str">
        <f>IF(Tabela1[[#This Row],[IPU_COD]]=9,"91",IF(Tabela1[[#This Row],[ACAO_COD]]="","",VLOOKUP(CONCATENATE("G",J300,"M",K300),qdd!$BC$2:$BD$46,2,FALSE)))</f>
        <v/>
      </c>
      <c r="M300" s="2" t="str">
        <f>TEXT(IFERROR(VLOOKUP(CONCATENATE(C300,D300),qdd!$C$2:$G$1000,5,FALSE),""),0)</f>
        <v/>
      </c>
      <c r="N300" s="2" t="str">
        <f>IFERROR(IF('PREENCHER AQUI'!I300="","",'PREENCHER AQUI'!I300),"")</f>
        <v/>
      </c>
      <c r="O300" s="2" t="str">
        <f>IFERROR(IF('PREENCHER AQUI'!J300="","",'PREENCHER AQUI'!J300),"")</f>
        <v/>
      </c>
      <c r="P300" s="7" t="str">
        <f t="shared" si="11"/>
        <v/>
      </c>
      <c r="Q300" s="8" t="str">
        <f>IFERROR(IF(Tabela4[[#This Row],[VALOR]]="","",IF(Tabela1[[#This Row],[ORIENTACAO]]="Anular",'PREENCHER AQUI'!K300*-1*100,'PREENCHER AQUI'!K300*100)),"")</f>
        <v/>
      </c>
      <c r="T300" s="7" t="str">
        <f>IFERROR(IF('PREENCHER AQUI'!L300="","999",LEFT('PREENCHER AQUI'!L300,1)),"")</f>
        <v>999</v>
      </c>
      <c r="V300" s="19"/>
      <c r="W300" s="20" t="str">
        <f>IFERROR(VLOOKUP(Tabela1[[#This Row],[UO_COD]],qdd!$AT$1:$AU$102,2,FALSE),"")</f>
        <v/>
      </c>
      <c r="X300" s="20" t="str">
        <f>CONCATENATE("F",Tabela1[[#This Row],[FONTE_COD]],Tabela1[[#This Row],[IPU_COD]],"G",Tabela1[[#This Row],[GRUPO_COD]],"T",Tabela1[[#This Row],[TIPO]])</f>
        <v>FGT999</v>
      </c>
      <c r="Y3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0" s="19"/>
      <c r="AA300" s="29" t="str">
        <f>IFERROR(VLOOKUP(CONCATENATE("B",Tabela1[[#This Row],[BLOCO]],Tabela1[[#This Row],[UO_COD]]),qdd!$AW$2:$AX$1000,2,FALSE),"")</f>
        <v/>
      </c>
      <c r="AB300" s="30" t="str">
        <f>IFERROR(Tabela1[[#This Row],[VALOR]]/100,"")</f>
        <v/>
      </c>
      <c r="AC300" s="7" t="str" cm="1">
        <f t="array" aca="1" ref="AC300" ca="1">IF(Tabela1[[#This Row],[VALOR]]&lt;0,"",IFERROR(SUBSTITUTE(Converter_numero(Tabela1[[#This Row],[VALOR INCISO]]),",",""),""))</f>
        <v/>
      </c>
      <c r="AD300" s="29" t="str">
        <f>IF(Tabela1[[#This Row],[TIPO]]=REGRAS!$W$2,REGRAS!$X$2,IF(Tabela1[[#This Row],[TIPO]]=REGRAS!$W$4,REGRAS!$X$4,""))</f>
        <v/>
      </c>
      <c r="AE300" s="29" t="e">
        <f>VLOOKUP(Tabela1[[#This Row],[FONTE_COD]],REGRAS!$O$2:$P$69,2,FALSE)</f>
        <v>#N/A</v>
      </c>
      <c r="AF3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1" spans="1:32" ht="18.75" customHeight="1">
      <c r="A301" s="2" t="str">
        <f>IFERROR(IF('PREENCHER AQUI'!A301="","",'PREENCHER AQUI'!A301),"")</f>
        <v/>
      </c>
      <c r="B301" s="1" t="str">
        <f>IFERROR(IF('PREENCHER AQUI'!B301="","",PROPER('PREENCHER AQUI'!B301)),"")</f>
        <v/>
      </c>
      <c r="C301" s="1" t="str">
        <f>IFERROR(IF('PREENCHER AQUI'!C301="","",'PREENCHER AQUI'!C301),"")</f>
        <v/>
      </c>
      <c r="D301" s="2" t="str">
        <f>IFERROR(IF('PREENCHER AQUI'!D301="","",'PREENCHER AQUI'!D301),"")</f>
        <v/>
      </c>
      <c r="E301" s="2" t="str">
        <f>IFERROR(VLOOKUP(CONCATENATE(C301,D301),qdd!$C$2:$F$1000,2,FALSE),"")</f>
        <v/>
      </c>
      <c r="F301" s="2" t="str">
        <f>IFERROR(VLOOKUP(CONCATENATE(C301,D301),qdd!$C$2:$F$1000,3,FALSE),"")</f>
        <v/>
      </c>
      <c r="G301" s="2" t="str">
        <f>IFERROR(VLOOKUP(CONCATENATE(C301,D301),qdd!$C$2:$F$1000,4,FALSE),"")</f>
        <v/>
      </c>
      <c r="H301" s="6" t="str">
        <f t="shared" si="10"/>
        <v/>
      </c>
      <c r="I3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1" s="2" t="str">
        <f>IFERROR(IF('PREENCHER AQUI'!E301="","",'PREENCHER AQUI'!E301),"")</f>
        <v/>
      </c>
      <c r="K301" s="2" t="str">
        <f>IFERROR(IF('PREENCHER AQUI'!F301="","",'PREENCHER AQUI'!F301),"")</f>
        <v/>
      </c>
      <c r="L301" s="2" t="str">
        <f>IF(Tabela1[[#This Row],[IPU_COD]]=9,"91",IF(Tabela1[[#This Row],[ACAO_COD]]="","",VLOOKUP(CONCATENATE("G",J301,"M",K301),qdd!$BC$2:$BD$46,2,FALSE)))</f>
        <v/>
      </c>
      <c r="M301" s="2" t="str">
        <f>TEXT(IFERROR(VLOOKUP(CONCATENATE(C301,D301),qdd!$C$2:$G$1000,5,FALSE),""),0)</f>
        <v/>
      </c>
      <c r="N301" s="2" t="str">
        <f>IFERROR(IF('PREENCHER AQUI'!I301="","",'PREENCHER AQUI'!I301),"")</f>
        <v/>
      </c>
      <c r="O301" s="2" t="str">
        <f>IFERROR(IF('PREENCHER AQUI'!J301="","",'PREENCHER AQUI'!J301),"")</f>
        <v/>
      </c>
      <c r="P301" s="7" t="str">
        <f t="shared" si="11"/>
        <v/>
      </c>
      <c r="Q301" s="8" t="str">
        <f>IFERROR(IF(Tabela4[[#This Row],[VALOR]]="","",IF(Tabela1[[#This Row],[ORIENTACAO]]="Anular",'PREENCHER AQUI'!K301*-1*100,'PREENCHER AQUI'!K301*100)),"")</f>
        <v/>
      </c>
      <c r="T301" s="7" t="str">
        <f>IFERROR(IF('PREENCHER AQUI'!L301="","999",LEFT('PREENCHER AQUI'!L301,1)),"")</f>
        <v>999</v>
      </c>
      <c r="V301" s="19"/>
      <c r="W301" s="1" t="str">
        <f>IFERROR(VLOOKUP(Tabela1[[#This Row],[UO_COD]],qdd!$AT$1:$AU$102,2,FALSE),"")</f>
        <v/>
      </c>
      <c r="X301" s="1" t="str">
        <f>CONCATENATE("F",Tabela1[[#This Row],[FONTE_COD]],Tabela1[[#This Row],[IPU_COD]],"G",Tabela1[[#This Row],[GRUPO_COD]],"T",Tabela1[[#This Row],[TIPO]])</f>
        <v>FGT999</v>
      </c>
      <c r="Y3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1" s="19"/>
      <c r="AA301" s="29" t="str">
        <f>IFERROR(VLOOKUP(CONCATENATE("B",Tabela1[[#This Row],[BLOCO]],Tabela1[[#This Row],[UO_COD]]),qdd!$AW$2:$AX$1000,2,FALSE),"")</f>
        <v/>
      </c>
      <c r="AB301" s="30" t="str">
        <f>IFERROR(Tabela1[[#This Row],[VALOR]]/100,"")</f>
        <v/>
      </c>
      <c r="AC301" s="7" t="str" cm="1">
        <f t="array" aca="1" ref="AC301" ca="1">IF(Tabela1[[#This Row],[VALOR]]&lt;0,"",IFERROR(SUBSTITUTE(Converter_numero(Tabela1[[#This Row],[VALOR INCISO]]),",",""),""))</f>
        <v/>
      </c>
      <c r="AD301" s="29" t="str">
        <f>IF(Tabela1[[#This Row],[TIPO]]=REGRAS!$W$2,REGRAS!$X$2,IF(Tabela1[[#This Row],[TIPO]]=REGRAS!$W$4,REGRAS!$X$4,""))</f>
        <v/>
      </c>
      <c r="AE301" s="29" t="e">
        <f>VLOOKUP(Tabela1[[#This Row],[FONTE_COD]],REGRAS!$O$2:$P$69,2,FALSE)</f>
        <v>#N/A</v>
      </c>
      <c r="AF3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2" spans="1:32" ht="18.75" customHeight="1">
      <c r="A302" s="2" t="str">
        <f>IFERROR(IF('PREENCHER AQUI'!A302="","",'PREENCHER AQUI'!A302),"")</f>
        <v/>
      </c>
      <c r="B302" s="1" t="str">
        <f>IFERROR(IF('PREENCHER AQUI'!B302="","",PROPER('PREENCHER AQUI'!B302)),"")</f>
        <v/>
      </c>
      <c r="C302" s="1" t="str">
        <f>IFERROR(IF('PREENCHER AQUI'!C302="","",'PREENCHER AQUI'!C302),"")</f>
        <v/>
      </c>
      <c r="D302" s="2" t="str">
        <f>IFERROR(IF('PREENCHER AQUI'!D302="","",'PREENCHER AQUI'!D302),"")</f>
        <v/>
      </c>
      <c r="E302" s="2" t="str">
        <f>IFERROR(VLOOKUP(CONCATENATE(C302,D302),qdd!$C$2:$F$1000,2,FALSE),"")</f>
        <v/>
      </c>
      <c r="F302" s="2" t="str">
        <f>IFERROR(VLOOKUP(CONCATENATE(C302,D302),qdd!$C$2:$F$1000,3,FALSE),"")</f>
        <v/>
      </c>
      <c r="G302" s="2" t="str">
        <f>IFERROR(VLOOKUP(CONCATENATE(C302,D302),qdd!$C$2:$F$1000,4,FALSE),"")</f>
        <v/>
      </c>
      <c r="H302" s="6" t="str">
        <f t="shared" si="10"/>
        <v/>
      </c>
      <c r="I3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2" s="2" t="str">
        <f>IFERROR(IF('PREENCHER AQUI'!E302="","",'PREENCHER AQUI'!E302),"")</f>
        <v/>
      </c>
      <c r="K302" s="2" t="str">
        <f>IFERROR(IF('PREENCHER AQUI'!F302="","",'PREENCHER AQUI'!F302),"")</f>
        <v/>
      </c>
      <c r="L302" s="2" t="str">
        <f>IF(Tabela1[[#This Row],[IPU_COD]]=9,"91",IF(Tabela1[[#This Row],[ACAO_COD]]="","",VLOOKUP(CONCATENATE("G",J302,"M",K302),qdd!$BC$2:$BD$46,2,FALSE)))</f>
        <v/>
      </c>
      <c r="M302" s="2" t="str">
        <f>TEXT(IFERROR(VLOOKUP(CONCATENATE(C302,D302),qdd!$C$2:$G$1000,5,FALSE),""),0)</f>
        <v/>
      </c>
      <c r="N302" s="2" t="str">
        <f>IFERROR(IF('PREENCHER AQUI'!I302="","",'PREENCHER AQUI'!I302),"")</f>
        <v/>
      </c>
      <c r="O302" s="2" t="str">
        <f>IFERROR(IF('PREENCHER AQUI'!J302="","",'PREENCHER AQUI'!J302),"")</f>
        <v/>
      </c>
      <c r="P302" s="7" t="str">
        <f t="shared" si="11"/>
        <v/>
      </c>
      <c r="Q302" s="8" t="str">
        <f>IFERROR(IF(Tabela4[[#This Row],[VALOR]]="","",IF(Tabela1[[#This Row],[ORIENTACAO]]="Anular",'PREENCHER AQUI'!K302*-1*100,'PREENCHER AQUI'!K302*100)),"")</f>
        <v/>
      </c>
      <c r="T302" s="7" t="str">
        <f>IFERROR(IF('PREENCHER AQUI'!L302="","999",LEFT('PREENCHER AQUI'!L302,1)),"")</f>
        <v>999</v>
      </c>
      <c r="W302" s="1" t="str">
        <f>IFERROR(VLOOKUP(Tabela1[[#This Row],[UO_COD]],qdd!$AT$1:$AU$102,2,FALSE),"")</f>
        <v/>
      </c>
      <c r="X302" s="1" t="str">
        <f>CONCATENATE("F",Tabela1[[#This Row],[FONTE_COD]],Tabela1[[#This Row],[IPU_COD]],"G",Tabela1[[#This Row],[GRUPO_COD]],"T",Tabela1[[#This Row],[TIPO]])</f>
        <v>FGT999</v>
      </c>
      <c r="Y3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2" s="19"/>
      <c r="AA302" s="29" t="str">
        <f>IFERROR(VLOOKUP(CONCATENATE("B",Tabela1[[#This Row],[BLOCO]],Tabela1[[#This Row],[UO_COD]]),qdd!$AW$2:$AX$1000,2,FALSE),"")</f>
        <v/>
      </c>
      <c r="AB302" s="30" t="str">
        <f>IFERROR(Tabela1[[#This Row],[VALOR]]/100,"")</f>
        <v/>
      </c>
      <c r="AC302" s="7" t="str" cm="1">
        <f t="array" aca="1" ref="AC302" ca="1">IF(Tabela1[[#This Row],[VALOR]]&lt;0,"",IFERROR(SUBSTITUTE(Converter_numero(Tabela1[[#This Row],[VALOR INCISO]]),",",""),""))</f>
        <v/>
      </c>
      <c r="AD302" s="7" t="str">
        <f>IF(Tabela1[[#This Row],[TIPO]]=REGRAS!$W$2,REGRAS!$X$2,IF(Tabela1[[#This Row],[TIPO]]=REGRAS!$W$4,REGRAS!$X$4,""))</f>
        <v/>
      </c>
      <c r="AE302" s="29" t="e">
        <f>VLOOKUP(Tabela1[[#This Row],[FONTE_COD]],REGRAS!$O$2:$P$69,2,FALSE)</f>
        <v>#N/A</v>
      </c>
      <c r="AF3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3" spans="1:32" ht="18.75" customHeight="1">
      <c r="A303" s="2" t="str">
        <f>IFERROR(IF('PREENCHER AQUI'!A303="","",'PREENCHER AQUI'!A303),"")</f>
        <v/>
      </c>
      <c r="B303" s="1" t="str">
        <f>IFERROR(IF('PREENCHER AQUI'!B303="","",PROPER('PREENCHER AQUI'!B303)),"")</f>
        <v/>
      </c>
      <c r="C303" s="1" t="str">
        <f>IFERROR(IF('PREENCHER AQUI'!C303="","",'PREENCHER AQUI'!C303),"")</f>
        <v/>
      </c>
      <c r="D303" s="2" t="str">
        <f>IFERROR(IF('PREENCHER AQUI'!D303="","",'PREENCHER AQUI'!D303),"")</f>
        <v/>
      </c>
      <c r="E303" s="2" t="str">
        <f>IFERROR(VLOOKUP(CONCATENATE(C303,D303),qdd!$C$2:$F$1000,2,FALSE),"")</f>
        <v/>
      </c>
      <c r="F303" s="2" t="str">
        <f>IFERROR(VLOOKUP(CONCATENATE(C303,D303),qdd!$C$2:$F$1000,3,FALSE),"")</f>
        <v/>
      </c>
      <c r="G303" s="2" t="str">
        <f>IFERROR(VLOOKUP(CONCATENATE(C303,D303),qdd!$C$2:$F$1000,4,FALSE),"")</f>
        <v/>
      </c>
      <c r="H303" s="6" t="str">
        <f t="shared" si="10"/>
        <v/>
      </c>
      <c r="I3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3" s="2" t="str">
        <f>IFERROR(IF('PREENCHER AQUI'!E303="","",'PREENCHER AQUI'!E303),"")</f>
        <v/>
      </c>
      <c r="K303" s="2" t="str">
        <f>IFERROR(IF('PREENCHER AQUI'!F303="","",'PREENCHER AQUI'!F303),"")</f>
        <v/>
      </c>
      <c r="L303" s="2" t="str">
        <f>IF(Tabela1[[#This Row],[IPU_COD]]=9,"91",IF(Tabela1[[#This Row],[ACAO_COD]]="","",VLOOKUP(CONCATENATE("G",J303,"M",K303),qdd!$BC$2:$BD$46,2,FALSE)))</f>
        <v/>
      </c>
      <c r="M303" s="2" t="str">
        <f>TEXT(IFERROR(VLOOKUP(CONCATENATE(C303,D303),qdd!$C$2:$G$1000,5,FALSE),""),0)</f>
        <v/>
      </c>
      <c r="N303" s="2" t="str">
        <f>IFERROR(IF('PREENCHER AQUI'!I303="","",'PREENCHER AQUI'!I303),"")</f>
        <v/>
      </c>
      <c r="O303" s="2" t="str">
        <f>IFERROR(IF('PREENCHER AQUI'!J303="","",'PREENCHER AQUI'!J303),"")</f>
        <v/>
      </c>
      <c r="P303" s="7" t="str">
        <f t="shared" si="11"/>
        <v/>
      </c>
      <c r="Q303" s="8" t="str">
        <f>IFERROR(IF(Tabela4[[#This Row],[VALOR]]="","",IF(Tabela1[[#This Row],[ORIENTACAO]]="Anular",'PREENCHER AQUI'!K303*-1*100,'PREENCHER AQUI'!K303*100)),"")</f>
        <v/>
      </c>
      <c r="T303" s="7" t="str">
        <f>IFERROR(IF('PREENCHER AQUI'!L303="","999",LEFT('PREENCHER AQUI'!L303,1)),"")</f>
        <v>999</v>
      </c>
      <c r="V303" s="19"/>
      <c r="W303" s="1" t="str">
        <f>IFERROR(VLOOKUP(Tabela1[[#This Row],[UO_COD]],qdd!$AT$1:$AU$102,2,FALSE),"")</f>
        <v/>
      </c>
      <c r="X303" s="1" t="str">
        <f>CONCATENATE("F",Tabela1[[#This Row],[FONTE_COD]],Tabela1[[#This Row],[IPU_COD]],"G",Tabela1[[#This Row],[GRUPO_COD]],"T",Tabela1[[#This Row],[TIPO]])</f>
        <v>FGT999</v>
      </c>
      <c r="Y3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3" s="19"/>
      <c r="AA303" s="29" t="str">
        <f>IFERROR(VLOOKUP(CONCATENATE("B",Tabela1[[#This Row],[BLOCO]],Tabela1[[#This Row],[UO_COD]]),qdd!$AW$2:$AX$1000,2,FALSE),"")</f>
        <v/>
      </c>
      <c r="AB303" s="30" t="str">
        <f>IFERROR(Tabela1[[#This Row],[VALOR]]/100,"")</f>
        <v/>
      </c>
      <c r="AC303" s="7" t="str" cm="1">
        <f t="array" aca="1" ref="AC303" ca="1">IF(Tabela1[[#This Row],[VALOR]]&lt;0,"",IFERROR(SUBSTITUTE(Converter_numero(Tabela1[[#This Row],[VALOR INCISO]]),",",""),""))</f>
        <v/>
      </c>
      <c r="AD303" s="29" t="str">
        <f>IF(Tabela1[[#This Row],[TIPO]]=REGRAS!$W$2,REGRAS!$X$2,IF(Tabela1[[#This Row],[TIPO]]=REGRAS!$W$4,REGRAS!$X$4,""))</f>
        <v/>
      </c>
      <c r="AE303" s="29" t="e">
        <f>VLOOKUP(Tabela1[[#This Row],[FONTE_COD]],REGRAS!$O$2:$P$69,2,FALSE)</f>
        <v>#N/A</v>
      </c>
      <c r="AF3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4" spans="1:32" ht="18.75" customHeight="1">
      <c r="A304" s="2" t="str">
        <f>IFERROR(IF('PREENCHER AQUI'!A304="","",'PREENCHER AQUI'!A304),"")</f>
        <v/>
      </c>
      <c r="B304" s="1" t="str">
        <f>IFERROR(IF('PREENCHER AQUI'!B304="","",PROPER('PREENCHER AQUI'!B304)),"")</f>
        <v/>
      </c>
      <c r="C304" s="1" t="str">
        <f>IFERROR(IF('PREENCHER AQUI'!C304="","",'PREENCHER AQUI'!C304),"")</f>
        <v/>
      </c>
      <c r="D304" s="2" t="str">
        <f>IFERROR(IF('PREENCHER AQUI'!D304="","",'PREENCHER AQUI'!D304),"")</f>
        <v/>
      </c>
      <c r="E304" s="2" t="str">
        <f>IFERROR(VLOOKUP(CONCATENATE(C304,D304),qdd!$C$2:$F$1000,2,FALSE),"")</f>
        <v/>
      </c>
      <c r="F304" s="2" t="str">
        <f>IFERROR(VLOOKUP(CONCATENATE(C304,D304),qdd!$C$2:$F$1000,3,FALSE),"")</f>
        <v/>
      </c>
      <c r="G304" s="2" t="str">
        <f>IFERROR(VLOOKUP(CONCATENATE(C304,D304),qdd!$C$2:$F$1000,4,FALSE),"")</f>
        <v/>
      </c>
      <c r="H304" s="6" t="str">
        <f t="shared" si="10"/>
        <v/>
      </c>
      <c r="I3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4" s="2" t="str">
        <f>IFERROR(IF('PREENCHER AQUI'!E304="","",'PREENCHER AQUI'!E304),"")</f>
        <v/>
      </c>
      <c r="K304" s="2" t="str">
        <f>IFERROR(IF('PREENCHER AQUI'!F304="","",'PREENCHER AQUI'!F304),"")</f>
        <v/>
      </c>
      <c r="L304" s="2" t="str">
        <f>IF(Tabela1[[#This Row],[IPU_COD]]=9,"91",IF(Tabela1[[#This Row],[ACAO_COD]]="","",VLOOKUP(CONCATENATE("G",J304,"M",K304),qdd!$BC$2:$BD$46,2,FALSE)))</f>
        <v/>
      </c>
      <c r="M304" s="2" t="str">
        <f>TEXT(IFERROR(VLOOKUP(CONCATENATE(C304,D304),qdd!$C$2:$G$1000,5,FALSE),""),0)</f>
        <v/>
      </c>
      <c r="N304" s="2" t="str">
        <f>IFERROR(IF('PREENCHER AQUI'!I304="","",'PREENCHER AQUI'!I304),"")</f>
        <v/>
      </c>
      <c r="O304" s="2" t="str">
        <f>IFERROR(IF('PREENCHER AQUI'!J304="","",'PREENCHER AQUI'!J304),"")</f>
        <v/>
      </c>
      <c r="P304" s="7" t="str">
        <f t="shared" si="11"/>
        <v/>
      </c>
      <c r="Q304" s="8" t="str">
        <f>IFERROR(IF(Tabela4[[#This Row],[VALOR]]="","",IF(Tabela1[[#This Row],[ORIENTACAO]]="Anular",'PREENCHER AQUI'!K304*-1*100,'PREENCHER AQUI'!K304*100)),"")</f>
        <v/>
      </c>
      <c r="T304" s="7" t="str">
        <f>IFERROR(IF('PREENCHER AQUI'!L304="","999",LEFT('PREENCHER AQUI'!L304,1)),"")</f>
        <v>999</v>
      </c>
      <c r="V304" s="19"/>
      <c r="W304" s="1" t="str">
        <f>IFERROR(VLOOKUP(Tabela1[[#This Row],[UO_COD]],qdd!$AT$1:$AU$102,2,FALSE),"")</f>
        <v/>
      </c>
      <c r="X304" s="1" t="str">
        <f>CONCATENATE("F",Tabela1[[#This Row],[FONTE_COD]],Tabela1[[#This Row],[IPU_COD]],"G",Tabela1[[#This Row],[GRUPO_COD]],"T",Tabela1[[#This Row],[TIPO]])</f>
        <v>FGT999</v>
      </c>
      <c r="Y3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4" s="19"/>
      <c r="AA304" s="29" t="str">
        <f>IFERROR(VLOOKUP(CONCATENATE("B",Tabela1[[#This Row],[BLOCO]],Tabela1[[#This Row],[UO_COD]]),qdd!$AW$2:$AX$1000,2,FALSE),"")</f>
        <v/>
      </c>
      <c r="AB304" s="30" t="str">
        <f>IFERROR(Tabela1[[#This Row],[VALOR]]/100,"")</f>
        <v/>
      </c>
      <c r="AC304" s="7" t="str" cm="1">
        <f t="array" aca="1" ref="AC304" ca="1">IF(Tabela1[[#This Row],[VALOR]]&lt;0,"",IFERROR(SUBSTITUTE(Converter_numero(Tabela1[[#This Row],[VALOR INCISO]]),",",""),""))</f>
        <v/>
      </c>
      <c r="AD304" s="29" t="str">
        <f>IF(Tabela1[[#This Row],[TIPO]]=REGRAS!$W$2,REGRAS!$X$2,IF(Tabela1[[#This Row],[TIPO]]=REGRAS!$W$4,REGRAS!$X$4,""))</f>
        <v/>
      </c>
      <c r="AE304" s="29" t="e">
        <f>VLOOKUP(Tabela1[[#This Row],[FONTE_COD]],REGRAS!$O$2:$P$69,2,FALSE)</f>
        <v>#N/A</v>
      </c>
      <c r="AF3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5" spans="1:32" ht="18.75" customHeight="1">
      <c r="A305" s="2" t="str">
        <f>IFERROR(IF('PREENCHER AQUI'!A305="","",'PREENCHER AQUI'!A305),"")</f>
        <v/>
      </c>
      <c r="B305" s="1" t="str">
        <f>IFERROR(IF('PREENCHER AQUI'!B305="","",PROPER('PREENCHER AQUI'!B305)),"")</f>
        <v/>
      </c>
      <c r="C305" s="1" t="str">
        <f>IFERROR(IF('PREENCHER AQUI'!C305="","",'PREENCHER AQUI'!C305),"")</f>
        <v/>
      </c>
      <c r="D305" s="2" t="str">
        <f>IFERROR(IF('PREENCHER AQUI'!D305="","",'PREENCHER AQUI'!D305),"")</f>
        <v/>
      </c>
      <c r="E305" s="2" t="str">
        <f>IFERROR(VLOOKUP(CONCATENATE(C305,D305),qdd!$C$2:$F$1000,2,FALSE),"")</f>
        <v/>
      </c>
      <c r="F305" s="2" t="str">
        <f>IFERROR(VLOOKUP(CONCATENATE(C305,D305),qdd!$C$2:$F$1000,3,FALSE),"")</f>
        <v/>
      </c>
      <c r="G305" s="2" t="str">
        <f>IFERROR(VLOOKUP(CONCATENATE(C305,D305),qdd!$C$2:$F$1000,4,FALSE),"")</f>
        <v/>
      </c>
      <c r="H305" s="6" t="str">
        <f t="shared" si="10"/>
        <v/>
      </c>
      <c r="I3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5" s="2" t="str">
        <f>IFERROR(IF('PREENCHER AQUI'!E305="","",'PREENCHER AQUI'!E305),"")</f>
        <v/>
      </c>
      <c r="K305" s="2" t="str">
        <f>IFERROR(IF('PREENCHER AQUI'!F305="","",'PREENCHER AQUI'!F305),"")</f>
        <v/>
      </c>
      <c r="L305" s="2" t="str">
        <f>IF(Tabela1[[#This Row],[IPU_COD]]=9,"91",IF(Tabela1[[#This Row],[ACAO_COD]]="","",VLOOKUP(CONCATENATE("G",J305,"M",K305),qdd!$BC$2:$BD$46,2,FALSE)))</f>
        <v/>
      </c>
      <c r="M305" s="2" t="str">
        <f>TEXT(IFERROR(VLOOKUP(CONCATENATE(C305,D305),qdd!$C$2:$G$1000,5,FALSE),""),0)</f>
        <v/>
      </c>
      <c r="N305" s="2" t="str">
        <f>IFERROR(IF('PREENCHER AQUI'!I305="","",'PREENCHER AQUI'!I305),"")</f>
        <v/>
      </c>
      <c r="O305" s="2" t="str">
        <f>IFERROR(IF('PREENCHER AQUI'!J305="","",'PREENCHER AQUI'!J305),"")</f>
        <v/>
      </c>
      <c r="P305" s="7" t="str">
        <f t="shared" si="11"/>
        <v/>
      </c>
      <c r="Q305" s="8" t="str">
        <f>IFERROR(IF(Tabela4[[#This Row],[VALOR]]="","",IF(Tabela1[[#This Row],[ORIENTACAO]]="Anular",'PREENCHER AQUI'!K305*-1*100,'PREENCHER AQUI'!K305*100)),"")</f>
        <v/>
      </c>
      <c r="T305" s="7" t="str">
        <f>IFERROR(IF('PREENCHER AQUI'!L305="","999",LEFT('PREENCHER AQUI'!L305,1)),"")</f>
        <v>999</v>
      </c>
      <c r="V305" s="19"/>
      <c r="W305" s="20" t="str">
        <f>IFERROR(VLOOKUP(Tabela1[[#This Row],[UO_COD]],qdd!$AT$1:$AU$102,2,FALSE),"")</f>
        <v/>
      </c>
      <c r="X305" s="20" t="str">
        <f>CONCATENATE("F",Tabela1[[#This Row],[FONTE_COD]],Tabela1[[#This Row],[IPU_COD]],"G",Tabela1[[#This Row],[GRUPO_COD]],"T",Tabela1[[#This Row],[TIPO]])</f>
        <v>FGT999</v>
      </c>
      <c r="Y3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5" s="19"/>
      <c r="AA305" s="29" t="str">
        <f>IFERROR(VLOOKUP(CONCATENATE("B",Tabela1[[#This Row],[BLOCO]],Tabela1[[#This Row],[UO_COD]]),qdd!$AW$2:$AX$1000,2,FALSE),"")</f>
        <v/>
      </c>
      <c r="AB305" s="30" t="str">
        <f>IFERROR(Tabela1[[#This Row],[VALOR]]/100,"")</f>
        <v/>
      </c>
      <c r="AC305" s="7" t="str" cm="1">
        <f t="array" aca="1" ref="AC305" ca="1">IF(Tabela1[[#This Row],[VALOR]]&lt;0,"",IFERROR(SUBSTITUTE(Converter_numero(Tabela1[[#This Row],[VALOR INCISO]]),",",""),""))</f>
        <v/>
      </c>
      <c r="AD305" s="29" t="str">
        <f>IF(Tabela1[[#This Row],[TIPO]]=REGRAS!$W$2,REGRAS!$X$2,IF(Tabela1[[#This Row],[TIPO]]=REGRAS!$W$4,REGRAS!$X$4,""))</f>
        <v/>
      </c>
      <c r="AE305" s="29" t="e">
        <f>VLOOKUP(Tabela1[[#This Row],[FONTE_COD]],REGRAS!$O$2:$P$69,2,FALSE)</f>
        <v>#N/A</v>
      </c>
      <c r="AF3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6" spans="1:32" ht="18.75" customHeight="1">
      <c r="A306" s="2" t="str">
        <f>IFERROR(IF('PREENCHER AQUI'!A306="","",'PREENCHER AQUI'!A306),"")</f>
        <v/>
      </c>
      <c r="B306" s="1" t="str">
        <f>IFERROR(IF('PREENCHER AQUI'!B306="","",PROPER('PREENCHER AQUI'!B306)),"")</f>
        <v/>
      </c>
      <c r="C306" s="1" t="str">
        <f>IFERROR(IF('PREENCHER AQUI'!C306="","",'PREENCHER AQUI'!C306),"")</f>
        <v/>
      </c>
      <c r="D306" s="2" t="str">
        <f>IFERROR(IF('PREENCHER AQUI'!D306="","",'PREENCHER AQUI'!D306),"")</f>
        <v/>
      </c>
      <c r="E306" s="2" t="str">
        <f>IFERROR(VLOOKUP(CONCATENATE(C306,D306),qdd!$C$2:$F$1000,2,FALSE),"")</f>
        <v/>
      </c>
      <c r="F306" s="2" t="str">
        <f>IFERROR(VLOOKUP(CONCATENATE(C306,D306),qdd!$C$2:$F$1000,3,FALSE),"")</f>
        <v/>
      </c>
      <c r="G306" s="2" t="str">
        <f>IFERROR(VLOOKUP(CONCATENATE(C306,D306),qdd!$C$2:$F$1000,4,FALSE),"")</f>
        <v/>
      </c>
      <c r="H306" s="6" t="str">
        <f t="shared" si="10"/>
        <v/>
      </c>
      <c r="I3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6" s="2" t="str">
        <f>IFERROR(IF('PREENCHER AQUI'!E306="","",'PREENCHER AQUI'!E306),"")</f>
        <v/>
      </c>
      <c r="K306" s="2" t="str">
        <f>IFERROR(IF('PREENCHER AQUI'!F306="","",'PREENCHER AQUI'!F306),"")</f>
        <v/>
      </c>
      <c r="L306" s="2" t="str">
        <f>IF(Tabela1[[#This Row],[IPU_COD]]=9,"91",IF(Tabela1[[#This Row],[ACAO_COD]]="","",VLOOKUP(CONCATENATE("G",J306,"M",K306),qdd!$BC$2:$BD$46,2,FALSE)))</f>
        <v/>
      </c>
      <c r="M306" s="2" t="str">
        <f>TEXT(IFERROR(VLOOKUP(CONCATENATE(C306,D306),qdd!$C$2:$G$1000,5,FALSE),""),0)</f>
        <v/>
      </c>
      <c r="N306" s="2" t="str">
        <f>IFERROR(IF('PREENCHER AQUI'!I306="","",'PREENCHER AQUI'!I306),"")</f>
        <v/>
      </c>
      <c r="O306" s="2" t="str">
        <f>IFERROR(IF('PREENCHER AQUI'!J306="","",'PREENCHER AQUI'!J306),"")</f>
        <v/>
      </c>
      <c r="P306" s="7" t="str">
        <f t="shared" si="11"/>
        <v/>
      </c>
      <c r="Q306" s="8" t="str">
        <f>IFERROR(IF(Tabela4[[#This Row],[VALOR]]="","",IF(Tabela1[[#This Row],[ORIENTACAO]]="Anular",'PREENCHER AQUI'!K306*-1*100,'PREENCHER AQUI'!K306*100)),"")</f>
        <v/>
      </c>
      <c r="T306" s="7" t="str">
        <f>IFERROR(IF('PREENCHER AQUI'!L306="","999",LEFT('PREENCHER AQUI'!L306,1)),"")</f>
        <v>999</v>
      </c>
      <c r="V306" s="19"/>
      <c r="W306" s="1" t="str">
        <f>IFERROR(VLOOKUP(Tabela1[[#This Row],[UO_COD]],qdd!$AT$1:$AU$102,2,FALSE),"")</f>
        <v/>
      </c>
      <c r="X306" s="1" t="str">
        <f>CONCATENATE("F",Tabela1[[#This Row],[FONTE_COD]],Tabela1[[#This Row],[IPU_COD]],"G",Tabela1[[#This Row],[GRUPO_COD]],"T",Tabela1[[#This Row],[TIPO]])</f>
        <v>FGT999</v>
      </c>
      <c r="Y3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6" s="19"/>
      <c r="AA306" s="29" t="str">
        <f>IFERROR(VLOOKUP(CONCATENATE("B",Tabela1[[#This Row],[BLOCO]],Tabela1[[#This Row],[UO_COD]]),qdd!$AW$2:$AX$1000,2,FALSE),"")</f>
        <v/>
      </c>
      <c r="AB306" s="30" t="str">
        <f>IFERROR(Tabela1[[#This Row],[VALOR]]/100,"")</f>
        <v/>
      </c>
      <c r="AC306" s="7" t="str" cm="1">
        <f t="array" aca="1" ref="AC306" ca="1">IF(Tabela1[[#This Row],[VALOR]]&lt;0,"",IFERROR(SUBSTITUTE(Converter_numero(Tabela1[[#This Row],[VALOR INCISO]]),",",""),""))</f>
        <v/>
      </c>
      <c r="AD306" s="29" t="str">
        <f>IF(Tabela1[[#This Row],[TIPO]]=REGRAS!$W$2,REGRAS!$X$2,IF(Tabela1[[#This Row],[TIPO]]=REGRAS!$W$4,REGRAS!$X$4,""))</f>
        <v/>
      </c>
      <c r="AE306" s="29" t="e">
        <f>VLOOKUP(Tabela1[[#This Row],[FONTE_COD]],REGRAS!$O$2:$P$69,2,FALSE)</f>
        <v>#N/A</v>
      </c>
      <c r="AF3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7" spans="1:32" ht="18.75" customHeight="1">
      <c r="A307" s="2" t="str">
        <f>IFERROR(IF('PREENCHER AQUI'!A307="","",'PREENCHER AQUI'!A307),"")</f>
        <v/>
      </c>
      <c r="B307" s="1" t="str">
        <f>IFERROR(IF('PREENCHER AQUI'!B307="","",PROPER('PREENCHER AQUI'!B307)),"")</f>
        <v/>
      </c>
      <c r="C307" s="1" t="str">
        <f>IFERROR(IF('PREENCHER AQUI'!C307="","",'PREENCHER AQUI'!C307),"")</f>
        <v/>
      </c>
      <c r="D307" s="2" t="str">
        <f>IFERROR(IF('PREENCHER AQUI'!D307="","",'PREENCHER AQUI'!D307),"")</f>
        <v/>
      </c>
      <c r="E307" s="2" t="str">
        <f>IFERROR(VLOOKUP(CONCATENATE(C307,D307),qdd!$C$2:$F$1000,2,FALSE),"")</f>
        <v/>
      </c>
      <c r="F307" s="2" t="str">
        <f>IFERROR(VLOOKUP(CONCATENATE(C307,D307),qdd!$C$2:$F$1000,3,FALSE),"")</f>
        <v/>
      </c>
      <c r="G307" s="2" t="str">
        <f>IFERROR(VLOOKUP(CONCATENATE(C307,D307),qdd!$C$2:$F$1000,4,FALSE),"")</f>
        <v/>
      </c>
      <c r="H307" s="6" t="str">
        <f t="shared" si="10"/>
        <v/>
      </c>
      <c r="I3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7" s="2" t="str">
        <f>IFERROR(IF('PREENCHER AQUI'!E307="","",'PREENCHER AQUI'!E307),"")</f>
        <v/>
      </c>
      <c r="K307" s="2" t="str">
        <f>IFERROR(IF('PREENCHER AQUI'!F307="","",'PREENCHER AQUI'!F307),"")</f>
        <v/>
      </c>
      <c r="L307" s="2" t="str">
        <f>IF(Tabela1[[#This Row],[IPU_COD]]=9,"91",IF(Tabela1[[#This Row],[ACAO_COD]]="","",VLOOKUP(CONCATENATE("G",J307,"M",K307),qdd!$BC$2:$BD$46,2,FALSE)))</f>
        <v/>
      </c>
      <c r="M307" s="2" t="str">
        <f>TEXT(IFERROR(VLOOKUP(CONCATENATE(C307,D307),qdd!$C$2:$G$1000,5,FALSE),""),0)</f>
        <v/>
      </c>
      <c r="N307" s="2" t="str">
        <f>IFERROR(IF('PREENCHER AQUI'!I307="","",'PREENCHER AQUI'!I307),"")</f>
        <v/>
      </c>
      <c r="O307" s="2" t="str">
        <f>IFERROR(IF('PREENCHER AQUI'!J307="","",'PREENCHER AQUI'!J307),"")</f>
        <v/>
      </c>
      <c r="P307" s="7" t="str">
        <f t="shared" si="11"/>
        <v/>
      </c>
      <c r="Q307" s="8" t="str">
        <f>IFERROR(IF(Tabela4[[#This Row],[VALOR]]="","",IF(Tabela1[[#This Row],[ORIENTACAO]]="Anular",'PREENCHER AQUI'!K307*-1*100,'PREENCHER AQUI'!K307*100)),"")</f>
        <v/>
      </c>
      <c r="T307" s="7" t="str">
        <f>IFERROR(IF('PREENCHER AQUI'!L307="","999",LEFT('PREENCHER AQUI'!L307,1)),"")</f>
        <v>999</v>
      </c>
      <c r="W307" s="1" t="str">
        <f>IFERROR(VLOOKUP(Tabela1[[#This Row],[UO_COD]],qdd!$AT$1:$AU$102,2,FALSE),"")</f>
        <v/>
      </c>
      <c r="X307" s="1" t="str">
        <f>CONCATENATE("F",Tabela1[[#This Row],[FONTE_COD]],Tabela1[[#This Row],[IPU_COD]],"G",Tabela1[[#This Row],[GRUPO_COD]],"T",Tabela1[[#This Row],[TIPO]])</f>
        <v>FGT999</v>
      </c>
      <c r="Y3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7" s="19"/>
      <c r="AA307" s="29" t="str">
        <f>IFERROR(VLOOKUP(CONCATENATE("B",Tabela1[[#This Row],[BLOCO]],Tabela1[[#This Row],[UO_COD]]),qdd!$AW$2:$AX$1000,2,FALSE),"")</f>
        <v/>
      </c>
      <c r="AB307" s="30" t="str">
        <f>IFERROR(Tabela1[[#This Row],[VALOR]]/100,"")</f>
        <v/>
      </c>
      <c r="AC307" s="7" t="str" cm="1">
        <f t="array" aca="1" ref="AC307" ca="1">IF(Tabela1[[#This Row],[VALOR]]&lt;0,"",IFERROR(SUBSTITUTE(Converter_numero(Tabela1[[#This Row],[VALOR INCISO]]),",",""),""))</f>
        <v/>
      </c>
      <c r="AD307" s="7" t="str">
        <f>IF(Tabela1[[#This Row],[TIPO]]=REGRAS!$W$2,REGRAS!$X$2,IF(Tabela1[[#This Row],[TIPO]]=REGRAS!$W$4,REGRAS!$X$4,""))</f>
        <v/>
      </c>
      <c r="AE307" s="29" t="e">
        <f>VLOOKUP(Tabela1[[#This Row],[FONTE_COD]],REGRAS!$O$2:$P$69,2,FALSE)</f>
        <v>#N/A</v>
      </c>
      <c r="AF3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8" spans="1:32" ht="18.75" customHeight="1">
      <c r="A308" s="2" t="str">
        <f>IFERROR(IF('PREENCHER AQUI'!A308="","",'PREENCHER AQUI'!A308),"")</f>
        <v/>
      </c>
      <c r="B308" s="1" t="str">
        <f>IFERROR(IF('PREENCHER AQUI'!B308="","",PROPER('PREENCHER AQUI'!B308)),"")</f>
        <v/>
      </c>
      <c r="C308" s="1" t="str">
        <f>IFERROR(IF('PREENCHER AQUI'!C308="","",'PREENCHER AQUI'!C308),"")</f>
        <v/>
      </c>
      <c r="D308" s="2" t="str">
        <f>IFERROR(IF('PREENCHER AQUI'!D308="","",'PREENCHER AQUI'!D308),"")</f>
        <v/>
      </c>
      <c r="E308" s="2" t="str">
        <f>IFERROR(VLOOKUP(CONCATENATE(C308,D308),qdd!$C$2:$F$1000,2,FALSE),"")</f>
        <v/>
      </c>
      <c r="F308" s="2" t="str">
        <f>IFERROR(VLOOKUP(CONCATENATE(C308,D308),qdd!$C$2:$F$1000,3,FALSE),"")</f>
        <v/>
      </c>
      <c r="G308" s="2" t="str">
        <f>IFERROR(VLOOKUP(CONCATENATE(C308,D308),qdd!$C$2:$F$1000,4,FALSE),"")</f>
        <v/>
      </c>
      <c r="H308" s="6" t="str">
        <f t="shared" si="10"/>
        <v/>
      </c>
      <c r="I3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8" s="2" t="str">
        <f>IFERROR(IF('PREENCHER AQUI'!E308="","",'PREENCHER AQUI'!E308),"")</f>
        <v/>
      </c>
      <c r="K308" s="2" t="str">
        <f>IFERROR(IF('PREENCHER AQUI'!F308="","",'PREENCHER AQUI'!F308),"")</f>
        <v/>
      </c>
      <c r="L308" s="2" t="str">
        <f>IF(Tabela1[[#This Row],[IPU_COD]]=9,"91",IF(Tabela1[[#This Row],[ACAO_COD]]="","",VLOOKUP(CONCATENATE("G",J308,"M",K308),qdd!$BC$2:$BD$46,2,FALSE)))</f>
        <v/>
      </c>
      <c r="M308" s="2" t="str">
        <f>TEXT(IFERROR(VLOOKUP(CONCATENATE(C308,D308),qdd!$C$2:$G$1000,5,FALSE),""),0)</f>
        <v/>
      </c>
      <c r="N308" s="2" t="str">
        <f>IFERROR(IF('PREENCHER AQUI'!I308="","",'PREENCHER AQUI'!I308),"")</f>
        <v/>
      </c>
      <c r="O308" s="2" t="str">
        <f>IFERROR(IF('PREENCHER AQUI'!J308="","",'PREENCHER AQUI'!J308),"")</f>
        <v/>
      </c>
      <c r="P308" s="7" t="str">
        <f t="shared" si="11"/>
        <v/>
      </c>
      <c r="Q308" s="8" t="str">
        <f>IFERROR(IF(Tabela4[[#This Row],[VALOR]]="","",IF(Tabela1[[#This Row],[ORIENTACAO]]="Anular",'PREENCHER AQUI'!K308*-1*100,'PREENCHER AQUI'!K308*100)),"")</f>
        <v/>
      </c>
      <c r="T308" s="7" t="str">
        <f>IFERROR(IF('PREENCHER AQUI'!L308="","999",LEFT('PREENCHER AQUI'!L308,1)),"")</f>
        <v>999</v>
      </c>
      <c r="V308" s="19"/>
      <c r="W308" s="1" t="str">
        <f>IFERROR(VLOOKUP(Tabela1[[#This Row],[UO_COD]],qdd!$AT$1:$AU$102,2,FALSE),"")</f>
        <v/>
      </c>
      <c r="X308" s="1" t="str">
        <f>CONCATENATE("F",Tabela1[[#This Row],[FONTE_COD]],Tabela1[[#This Row],[IPU_COD]],"G",Tabela1[[#This Row],[GRUPO_COD]],"T",Tabela1[[#This Row],[TIPO]])</f>
        <v>FGT999</v>
      </c>
      <c r="Y3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8" s="19"/>
      <c r="AA308" s="29" t="str">
        <f>IFERROR(VLOOKUP(CONCATENATE("B",Tabela1[[#This Row],[BLOCO]],Tabela1[[#This Row],[UO_COD]]),qdd!$AW$2:$AX$1000,2,FALSE),"")</f>
        <v/>
      </c>
      <c r="AB308" s="30" t="str">
        <f>IFERROR(Tabela1[[#This Row],[VALOR]]/100,"")</f>
        <v/>
      </c>
      <c r="AC308" s="7" t="str" cm="1">
        <f t="array" aca="1" ref="AC308" ca="1">IF(Tabela1[[#This Row],[VALOR]]&lt;0,"",IFERROR(SUBSTITUTE(Converter_numero(Tabela1[[#This Row],[VALOR INCISO]]),",",""),""))</f>
        <v/>
      </c>
      <c r="AD308" s="29" t="str">
        <f>IF(Tabela1[[#This Row],[TIPO]]=REGRAS!$W$2,REGRAS!$X$2,IF(Tabela1[[#This Row],[TIPO]]=REGRAS!$W$4,REGRAS!$X$4,""))</f>
        <v/>
      </c>
      <c r="AE308" s="29" t="e">
        <f>VLOOKUP(Tabela1[[#This Row],[FONTE_COD]],REGRAS!$O$2:$P$69,2,FALSE)</f>
        <v>#N/A</v>
      </c>
      <c r="AF3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9" spans="1:32" ht="18.75" customHeight="1">
      <c r="A309" s="2" t="str">
        <f>IFERROR(IF('PREENCHER AQUI'!A309="","",'PREENCHER AQUI'!A309),"")</f>
        <v/>
      </c>
      <c r="B309" s="1" t="str">
        <f>IFERROR(IF('PREENCHER AQUI'!B309="","",PROPER('PREENCHER AQUI'!B309)),"")</f>
        <v/>
      </c>
      <c r="C309" s="1" t="str">
        <f>IFERROR(IF('PREENCHER AQUI'!C309="","",'PREENCHER AQUI'!C309),"")</f>
        <v/>
      </c>
      <c r="D309" s="2" t="str">
        <f>IFERROR(IF('PREENCHER AQUI'!D309="","",'PREENCHER AQUI'!D309),"")</f>
        <v/>
      </c>
      <c r="E309" s="2" t="str">
        <f>IFERROR(VLOOKUP(CONCATENATE(C309,D309),qdd!$C$2:$F$1000,2,FALSE),"")</f>
        <v/>
      </c>
      <c r="F309" s="2" t="str">
        <f>IFERROR(VLOOKUP(CONCATENATE(C309,D309),qdd!$C$2:$F$1000,3,FALSE),"")</f>
        <v/>
      </c>
      <c r="G309" s="2" t="str">
        <f>IFERROR(VLOOKUP(CONCATENATE(C309,D309),qdd!$C$2:$F$1000,4,FALSE),"")</f>
        <v/>
      </c>
      <c r="H309" s="6" t="str">
        <f t="shared" si="10"/>
        <v/>
      </c>
      <c r="I3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9" s="2" t="str">
        <f>IFERROR(IF('PREENCHER AQUI'!E309="","",'PREENCHER AQUI'!E309),"")</f>
        <v/>
      </c>
      <c r="K309" s="2" t="str">
        <f>IFERROR(IF('PREENCHER AQUI'!F309="","",'PREENCHER AQUI'!F309),"")</f>
        <v/>
      </c>
      <c r="L309" s="2" t="str">
        <f>IF(Tabela1[[#This Row],[IPU_COD]]=9,"91",IF(Tabela1[[#This Row],[ACAO_COD]]="","",VLOOKUP(CONCATENATE("G",J309,"M",K309),qdd!$BC$2:$BD$46,2,FALSE)))</f>
        <v/>
      </c>
      <c r="M309" s="2" t="str">
        <f>TEXT(IFERROR(VLOOKUP(CONCATENATE(C309,D309),qdd!$C$2:$G$1000,5,FALSE),""),0)</f>
        <v/>
      </c>
      <c r="N309" s="2" t="str">
        <f>IFERROR(IF('PREENCHER AQUI'!I309="","",'PREENCHER AQUI'!I309),"")</f>
        <v/>
      </c>
      <c r="O309" s="2" t="str">
        <f>IFERROR(IF('PREENCHER AQUI'!J309="","",'PREENCHER AQUI'!J309),"")</f>
        <v/>
      </c>
      <c r="P309" s="7" t="str">
        <f t="shared" si="11"/>
        <v/>
      </c>
      <c r="Q309" s="8" t="str">
        <f>IFERROR(IF(Tabela4[[#This Row],[VALOR]]="","",IF(Tabela1[[#This Row],[ORIENTACAO]]="Anular",'PREENCHER AQUI'!K309*-1*100,'PREENCHER AQUI'!K309*100)),"")</f>
        <v/>
      </c>
      <c r="T309" s="7" t="str">
        <f>IFERROR(IF('PREENCHER AQUI'!L309="","999",LEFT('PREENCHER AQUI'!L309,1)),"")</f>
        <v>999</v>
      </c>
      <c r="V309" s="19"/>
      <c r="W309" s="1" t="str">
        <f>IFERROR(VLOOKUP(Tabela1[[#This Row],[UO_COD]],qdd!$AT$1:$AU$102,2,FALSE),"")</f>
        <v/>
      </c>
      <c r="X309" s="1" t="str">
        <f>CONCATENATE("F",Tabela1[[#This Row],[FONTE_COD]],Tabela1[[#This Row],[IPU_COD]],"G",Tabela1[[#This Row],[GRUPO_COD]],"T",Tabela1[[#This Row],[TIPO]])</f>
        <v>FGT999</v>
      </c>
      <c r="Y3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9" s="19"/>
      <c r="AA309" s="29" t="str">
        <f>IFERROR(VLOOKUP(CONCATENATE("B",Tabela1[[#This Row],[BLOCO]],Tabela1[[#This Row],[UO_COD]]),qdd!$AW$2:$AX$1000,2,FALSE),"")</f>
        <v/>
      </c>
      <c r="AB309" s="30" t="str">
        <f>IFERROR(Tabela1[[#This Row],[VALOR]]/100,"")</f>
        <v/>
      </c>
      <c r="AC309" s="7" t="str" cm="1">
        <f t="array" aca="1" ref="AC309" ca="1">IF(Tabela1[[#This Row],[VALOR]]&lt;0,"",IFERROR(SUBSTITUTE(Converter_numero(Tabela1[[#This Row],[VALOR INCISO]]),",",""),""))</f>
        <v/>
      </c>
      <c r="AD309" s="29" t="str">
        <f>IF(Tabela1[[#This Row],[TIPO]]=REGRAS!$W$2,REGRAS!$X$2,IF(Tabela1[[#This Row],[TIPO]]=REGRAS!$W$4,REGRAS!$X$4,""))</f>
        <v/>
      </c>
      <c r="AE309" s="29" t="e">
        <f>VLOOKUP(Tabela1[[#This Row],[FONTE_COD]],REGRAS!$O$2:$P$69,2,FALSE)</f>
        <v>#N/A</v>
      </c>
      <c r="AF3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0" spans="1:32" ht="18.75" customHeight="1">
      <c r="A310" s="2" t="str">
        <f>IFERROR(IF('PREENCHER AQUI'!A310="","",'PREENCHER AQUI'!A310),"")</f>
        <v/>
      </c>
      <c r="B310" s="1" t="str">
        <f>IFERROR(IF('PREENCHER AQUI'!B310="","",PROPER('PREENCHER AQUI'!B310)),"")</f>
        <v/>
      </c>
      <c r="C310" s="1" t="str">
        <f>IFERROR(IF('PREENCHER AQUI'!C310="","",'PREENCHER AQUI'!C310),"")</f>
        <v/>
      </c>
      <c r="D310" s="2" t="str">
        <f>IFERROR(IF('PREENCHER AQUI'!D310="","",'PREENCHER AQUI'!D310),"")</f>
        <v/>
      </c>
      <c r="E310" s="2" t="str">
        <f>IFERROR(VLOOKUP(CONCATENATE(C310,D310),qdd!$C$2:$F$1000,2,FALSE),"")</f>
        <v/>
      </c>
      <c r="F310" s="2" t="str">
        <f>IFERROR(VLOOKUP(CONCATENATE(C310,D310),qdd!$C$2:$F$1000,3,FALSE),"")</f>
        <v/>
      </c>
      <c r="G310" s="2" t="str">
        <f>IFERROR(VLOOKUP(CONCATENATE(C310,D310),qdd!$C$2:$F$1000,4,FALSE),"")</f>
        <v/>
      </c>
      <c r="H310" s="6" t="str">
        <f t="shared" si="10"/>
        <v/>
      </c>
      <c r="I3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0" s="2" t="str">
        <f>IFERROR(IF('PREENCHER AQUI'!E310="","",'PREENCHER AQUI'!E310),"")</f>
        <v/>
      </c>
      <c r="K310" s="2" t="str">
        <f>IFERROR(IF('PREENCHER AQUI'!F310="","",'PREENCHER AQUI'!F310),"")</f>
        <v/>
      </c>
      <c r="L310" s="2" t="str">
        <f>IF(Tabela1[[#This Row],[IPU_COD]]=9,"91",IF(Tabela1[[#This Row],[ACAO_COD]]="","",VLOOKUP(CONCATENATE("G",J310,"M",K310),qdd!$BC$2:$BD$46,2,FALSE)))</f>
        <v/>
      </c>
      <c r="M310" s="2" t="str">
        <f>TEXT(IFERROR(VLOOKUP(CONCATENATE(C310,D310),qdd!$C$2:$G$1000,5,FALSE),""),0)</f>
        <v/>
      </c>
      <c r="N310" s="2" t="str">
        <f>IFERROR(IF('PREENCHER AQUI'!I310="","",'PREENCHER AQUI'!I310),"")</f>
        <v/>
      </c>
      <c r="O310" s="2" t="str">
        <f>IFERROR(IF('PREENCHER AQUI'!J310="","",'PREENCHER AQUI'!J310),"")</f>
        <v/>
      </c>
      <c r="P310" s="7" t="str">
        <f t="shared" si="11"/>
        <v/>
      </c>
      <c r="Q310" s="8" t="str">
        <f>IFERROR(IF(Tabela4[[#This Row],[VALOR]]="","",IF(Tabela1[[#This Row],[ORIENTACAO]]="Anular",'PREENCHER AQUI'!K310*-1*100,'PREENCHER AQUI'!K310*100)),"")</f>
        <v/>
      </c>
      <c r="T310" s="7" t="str">
        <f>IFERROR(IF('PREENCHER AQUI'!L310="","999",LEFT('PREENCHER AQUI'!L310,1)),"")</f>
        <v>999</v>
      </c>
      <c r="V310" s="19"/>
      <c r="W310" s="20" t="str">
        <f>IFERROR(VLOOKUP(Tabela1[[#This Row],[UO_COD]],qdd!$AT$1:$AU$102,2,FALSE),"")</f>
        <v/>
      </c>
      <c r="X310" s="20" t="str">
        <f>CONCATENATE("F",Tabela1[[#This Row],[FONTE_COD]],Tabela1[[#This Row],[IPU_COD]],"G",Tabela1[[#This Row],[GRUPO_COD]],"T",Tabela1[[#This Row],[TIPO]])</f>
        <v>FGT999</v>
      </c>
      <c r="Y3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0" s="19"/>
      <c r="AA310" s="29" t="str">
        <f>IFERROR(VLOOKUP(CONCATENATE("B",Tabela1[[#This Row],[BLOCO]],Tabela1[[#This Row],[UO_COD]]),qdd!$AW$2:$AX$1000,2,FALSE),"")</f>
        <v/>
      </c>
      <c r="AB310" s="30" t="str">
        <f>IFERROR(Tabela1[[#This Row],[VALOR]]/100,"")</f>
        <v/>
      </c>
      <c r="AC310" s="7" t="str" cm="1">
        <f t="array" aca="1" ref="AC310" ca="1">IF(Tabela1[[#This Row],[VALOR]]&lt;0,"",IFERROR(SUBSTITUTE(Converter_numero(Tabela1[[#This Row],[VALOR INCISO]]),",",""),""))</f>
        <v/>
      </c>
      <c r="AD310" s="29" t="str">
        <f>IF(Tabela1[[#This Row],[TIPO]]=REGRAS!$W$2,REGRAS!$X$2,IF(Tabela1[[#This Row],[TIPO]]=REGRAS!$W$4,REGRAS!$X$4,""))</f>
        <v/>
      </c>
      <c r="AE310" s="29" t="e">
        <f>VLOOKUP(Tabela1[[#This Row],[FONTE_COD]],REGRAS!$O$2:$P$69,2,FALSE)</f>
        <v>#N/A</v>
      </c>
      <c r="AF3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1" spans="1:32" ht="18.75" customHeight="1">
      <c r="A311" s="2" t="str">
        <f>IFERROR(IF('PREENCHER AQUI'!A311="","",'PREENCHER AQUI'!A311),"")</f>
        <v/>
      </c>
      <c r="B311" s="1" t="str">
        <f>IFERROR(IF('PREENCHER AQUI'!B311="","",PROPER('PREENCHER AQUI'!B311)),"")</f>
        <v/>
      </c>
      <c r="C311" s="1" t="str">
        <f>IFERROR(IF('PREENCHER AQUI'!C311="","",'PREENCHER AQUI'!C311),"")</f>
        <v/>
      </c>
      <c r="D311" s="2" t="str">
        <f>IFERROR(IF('PREENCHER AQUI'!D311="","",'PREENCHER AQUI'!D311),"")</f>
        <v/>
      </c>
      <c r="E311" s="2" t="str">
        <f>IFERROR(VLOOKUP(CONCATENATE(C311,D311),qdd!$C$2:$F$1000,2,FALSE),"")</f>
        <v/>
      </c>
      <c r="F311" s="2" t="str">
        <f>IFERROR(VLOOKUP(CONCATENATE(C311,D311),qdd!$C$2:$F$1000,3,FALSE),"")</f>
        <v/>
      </c>
      <c r="G311" s="2" t="str">
        <f>IFERROR(VLOOKUP(CONCATENATE(C311,D311),qdd!$C$2:$F$1000,4,FALSE),"")</f>
        <v/>
      </c>
      <c r="H311" s="6" t="str">
        <f t="shared" si="10"/>
        <v/>
      </c>
      <c r="I3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1" s="2" t="str">
        <f>IFERROR(IF('PREENCHER AQUI'!E311="","",'PREENCHER AQUI'!E311),"")</f>
        <v/>
      </c>
      <c r="K311" s="2" t="str">
        <f>IFERROR(IF('PREENCHER AQUI'!F311="","",'PREENCHER AQUI'!F311),"")</f>
        <v/>
      </c>
      <c r="L311" s="2" t="str">
        <f>IF(Tabela1[[#This Row],[IPU_COD]]=9,"91",IF(Tabela1[[#This Row],[ACAO_COD]]="","",VLOOKUP(CONCATENATE("G",J311,"M",K311),qdd!$BC$2:$BD$46,2,FALSE)))</f>
        <v/>
      </c>
      <c r="M311" s="2" t="str">
        <f>TEXT(IFERROR(VLOOKUP(CONCATENATE(C311,D311),qdd!$C$2:$G$1000,5,FALSE),""),0)</f>
        <v/>
      </c>
      <c r="N311" s="2" t="str">
        <f>IFERROR(IF('PREENCHER AQUI'!I311="","",'PREENCHER AQUI'!I311),"")</f>
        <v/>
      </c>
      <c r="O311" s="2" t="str">
        <f>IFERROR(IF('PREENCHER AQUI'!J311="","",'PREENCHER AQUI'!J311),"")</f>
        <v/>
      </c>
      <c r="P311" s="7" t="str">
        <f t="shared" si="11"/>
        <v/>
      </c>
      <c r="Q311" s="8" t="str">
        <f>IFERROR(IF(Tabela4[[#This Row],[VALOR]]="","",IF(Tabela1[[#This Row],[ORIENTACAO]]="Anular",'PREENCHER AQUI'!K311*-1*100,'PREENCHER AQUI'!K311*100)),"")</f>
        <v/>
      </c>
      <c r="T311" s="7" t="str">
        <f>IFERROR(IF('PREENCHER AQUI'!L311="","999",LEFT('PREENCHER AQUI'!L311,1)),"")</f>
        <v>999</v>
      </c>
      <c r="V311" s="19"/>
      <c r="W311" s="1" t="str">
        <f>IFERROR(VLOOKUP(Tabela1[[#This Row],[UO_COD]],qdd!$AT$1:$AU$102,2,FALSE),"")</f>
        <v/>
      </c>
      <c r="X311" s="1" t="str">
        <f>CONCATENATE("F",Tabela1[[#This Row],[FONTE_COD]],Tabela1[[#This Row],[IPU_COD]],"G",Tabela1[[#This Row],[GRUPO_COD]],"T",Tabela1[[#This Row],[TIPO]])</f>
        <v>FGT999</v>
      </c>
      <c r="Y3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1" s="19"/>
      <c r="AA311" s="29" t="str">
        <f>IFERROR(VLOOKUP(CONCATENATE("B",Tabela1[[#This Row],[BLOCO]],Tabela1[[#This Row],[UO_COD]]),qdd!$AW$2:$AX$1000,2,FALSE),"")</f>
        <v/>
      </c>
      <c r="AB311" s="30" t="str">
        <f>IFERROR(Tabela1[[#This Row],[VALOR]]/100,"")</f>
        <v/>
      </c>
      <c r="AC311" s="7" t="str" cm="1">
        <f t="array" aca="1" ref="AC311" ca="1">IF(Tabela1[[#This Row],[VALOR]]&lt;0,"",IFERROR(SUBSTITUTE(Converter_numero(Tabela1[[#This Row],[VALOR INCISO]]),",",""),""))</f>
        <v/>
      </c>
      <c r="AD311" s="29" t="str">
        <f>IF(Tabela1[[#This Row],[TIPO]]=REGRAS!$W$2,REGRAS!$X$2,IF(Tabela1[[#This Row],[TIPO]]=REGRAS!$W$4,REGRAS!$X$4,""))</f>
        <v/>
      </c>
      <c r="AE311" s="29" t="e">
        <f>VLOOKUP(Tabela1[[#This Row],[FONTE_COD]],REGRAS!$O$2:$P$69,2,FALSE)</f>
        <v>#N/A</v>
      </c>
      <c r="AF3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2" spans="1:32" ht="18.75" customHeight="1">
      <c r="A312" s="2" t="str">
        <f>IFERROR(IF('PREENCHER AQUI'!A312="","",'PREENCHER AQUI'!A312),"")</f>
        <v/>
      </c>
      <c r="B312" s="1" t="str">
        <f>IFERROR(IF('PREENCHER AQUI'!B312="","",PROPER('PREENCHER AQUI'!B312)),"")</f>
        <v/>
      </c>
      <c r="C312" s="1" t="str">
        <f>IFERROR(IF('PREENCHER AQUI'!C312="","",'PREENCHER AQUI'!C312),"")</f>
        <v/>
      </c>
      <c r="D312" s="2" t="str">
        <f>IFERROR(IF('PREENCHER AQUI'!D312="","",'PREENCHER AQUI'!D312),"")</f>
        <v/>
      </c>
      <c r="E312" s="2" t="str">
        <f>IFERROR(VLOOKUP(CONCATENATE(C312,D312),qdd!$C$2:$F$1000,2,FALSE),"")</f>
        <v/>
      </c>
      <c r="F312" s="2" t="str">
        <f>IFERROR(VLOOKUP(CONCATENATE(C312,D312),qdd!$C$2:$F$1000,3,FALSE),"")</f>
        <v/>
      </c>
      <c r="G312" s="2" t="str">
        <f>IFERROR(VLOOKUP(CONCATENATE(C312,D312),qdd!$C$2:$F$1000,4,FALSE),"")</f>
        <v/>
      </c>
      <c r="H312" s="6" t="str">
        <f t="shared" si="10"/>
        <v/>
      </c>
      <c r="I3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2" s="2" t="str">
        <f>IFERROR(IF('PREENCHER AQUI'!E312="","",'PREENCHER AQUI'!E312),"")</f>
        <v/>
      </c>
      <c r="K312" s="2" t="str">
        <f>IFERROR(IF('PREENCHER AQUI'!F312="","",'PREENCHER AQUI'!F312),"")</f>
        <v/>
      </c>
      <c r="L312" s="2" t="str">
        <f>IF(Tabela1[[#This Row],[IPU_COD]]=9,"91",IF(Tabela1[[#This Row],[ACAO_COD]]="","",VLOOKUP(CONCATENATE("G",J312,"M",K312),qdd!$BC$2:$BD$46,2,FALSE)))</f>
        <v/>
      </c>
      <c r="M312" s="2" t="str">
        <f>TEXT(IFERROR(VLOOKUP(CONCATENATE(C312,D312),qdd!$C$2:$G$1000,5,FALSE),""),0)</f>
        <v/>
      </c>
      <c r="N312" s="2" t="str">
        <f>IFERROR(IF('PREENCHER AQUI'!I312="","",'PREENCHER AQUI'!I312),"")</f>
        <v/>
      </c>
      <c r="O312" s="2" t="str">
        <f>IFERROR(IF('PREENCHER AQUI'!J312="","",'PREENCHER AQUI'!J312),"")</f>
        <v/>
      </c>
      <c r="P312" s="7" t="str">
        <f t="shared" si="11"/>
        <v/>
      </c>
      <c r="Q312" s="8" t="str">
        <f>IFERROR(IF(Tabela4[[#This Row],[VALOR]]="","",IF(Tabela1[[#This Row],[ORIENTACAO]]="Anular",'PREENCHER AQUI'!K312*-1*100,'PREENCHER AQUI'!K312*100)),"")</f>
        <v/>
      </c>
      <c r="T312" s="7" t="str">
        <f>IFERROR(IF('PREENCHER AQUI'!L312="","999",LEFT('PREENCHER AQUI'!L312,1)),"")</f>
        <v>999</v>
      </c>
      <c r="W312" s="1" t="str">
        <f>IFERROR(VLOOKUP(Tabela1[[#This Row],[UO_COD]],qdd!$AT$1:$AU$102,2,FALSE),"")</f>
        <v/>
      </c>
      <c r="X312" s="1" t="str">
        <f>CONCATENATE("F",Tabela1[[#This Row],[FONTE_COD]],Tabela1[[#This Row],[IPU_COD]],"G",Tabela1[[#This Row],[GRUPO_COD]],"T",Tabela1[[#This Row],[TIPO]])</f>
        <v>FGT999</v>
      </c>
      <c r="Y3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2" s="19"/>
      <c r="AA312" s="29" t="str">
        <f>IFERROR(VLOOKUP(CONCATENATE("B",Tabela1[[#This Row],[BLOCO]],Tabela1[[#This Row],[UO_COD]]),qdd!$AW$2:$AX$1000,2,FALSE),"")</f>
        <v/>
      </c>
      <c r="AB312" s="30" t="str">
        <f>IFERROR(Tabela1[[#This Row],[VALOR]]/100,"")</f>
        <v/>
      </c>
      <c r="AC312" s="7" t="str" cm="1">
        <f t="array" aca="1" ref="AC312" ca="1">IF(Tabela1[[#This Row],[VALOR]]&lt;0,"",IFERROR(SUBSTITUTE(Converter_numero(Tabela1[[#This Row],[VALOR INCISO]]),",",""),""))</f>
        <v/>
      </c>
      <c r="AD312" s="7" t="str">
        <f>IF(Tabela1[[#This Row],[TIPO]]=REGRAS!$W$2,REGRAS!$X$2,IF(Tabela1[[#This Row],[TIPO]]=REGRAS!$W$4,REGRAS!$X$4,""))</f>
        <v/>
      </c>
      <c r="AE312" s="29" t="e">
        <f>VLOOKUP(Tabela1[[#This Row],[FONTE_COD]],REGRAS!$O$2:$P$69,2,FALSE)</f>
        <v>#N/A</v>
      </c>
      <c r="AF3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3" spans="1:32" ht="18.75" customHeight="1">
      <c r="A313" s="2" t="str">
        <f>IFERROR(IF('PREENCHER AQUI'!A313="","",'PREENCHER AQUI'!A313),"")</f>
        <v/>
      </c>
      <c r="B313" s="1" t="str">
        <f>IFERROR(IF('PREENCHER AQUI'!B313="","",PROPER('PREENCHER AQUI'!B313)),"")</f>
        <v/>
      </c>
      <c r="C313" s="1" t="str">
        <f>IFERROR(IF('PREENCHER AQUI'!C313="","",'PREENCHER AQUI'!C313),"")</f>
        <v/>
      </c>
      <c r="D313" s="2" t="str">
        <f>IFERROR(IF('PREENCHER AQUI'!D313="","",'PREENCHER AQUI'!D313),"")</f>
        <v/>
      </c>
      <c r="E313" s="2" t="str">
        <f>IFERROR(VLOOKUP(CONCATENATE(C313,D313),qdd!$C$2:$F$1000,2,FALSE),"")</f>
        <v/>
      </c>
      <c r="F313" s="2" t="str">
        <f>IFERROR(VLOOKUP(CONCATENATE(C313,D313),qdd!$C$2:$F$1000,3,FALSE),"")</f>
        <v/>
      </c>
      <c r="G313" s="2" t="str">
        <f>IFERROR(VLOOKUP(CONCATENATE(C313,D313),qdd!$C$2:$F$1000,4,FALSE),"")</f>
        <v/>
      </c>
      <c r="H313" s="6" t="str">
        <f t="shared" si="10"/>
        <v/>
      </c>
      <c r="I3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3" s="2" t="str">
        <f>IFERROR(IF('PREENCHER AQUI'!E313="","",'PREENCHER AQUI'!E313),"")</f>
        <v/>
      </c>
      <c r="K313" s="2" t="str">
        <f>IFERROR(IF('PREENCHER AQUI'!F313="","",'PREENCHER AQUI'!F313),"")</f>
        <v/>
      </c>
      <c r="L313" s="2" t="str">
        <f>IF(Tabela1[[#This Row],[IPU_COD]]=9,"91",IF(Tabela1[[#This Row],[ACAO_COD]]="","",VLOOKUP(CONCATENATE("G",J313,"M",K313),qdd!$BC$2:$BD$46,2,FALSE)))</f>
        <v/>
      </c>
      <c r="M313" s="2" t="str">
        <f>TEXT(IFERROR(VLOOKUP(CONCATENATE(C313,D313),qdd!$C$2:$G$1000,5,FALSE),""),0)</f>
        <v/>
      </c>
      <c r="N313" s="2" t="str">
        <f>IFERROR(IF('PREENCHER AQUI'!I313="","",'PREENCHER AQUI'!I313),"")</f>
        <v/>
      </c>
      <c r="O313" s="2" t="str">
        <f>IFERROR(IF('PREENCHER AQUI'!J313="","",'PREENCHER AQUI'!J313),"")</f>
        <v/>
      </c>
      <c r="P313" s="7" t="str">
        <f t="shared" si="11"/>
        <v/>
      </c>
      <c r="Q313" s="8" t="str">
        <f>IFERROR(IF(Tabela4[[#This Row],[VALOR]]="","",IF(Tabela1[[#This Row],[ORIENTACAO]]="Anular",'PREENCHER AQUI'!K313*-1*100,'PREENCHER AQUI'!K313*100)),"")</f>
        <v/>
      </c>
      <c r="T313" s="7" t="str">
        <f>IFERROR(IF('PREENCHER AQUI'!L313="","999",LEFT('PREENCHER AQUI'!L313,1)),"")</f>
        <v>999</v>
      </c>
      <c r="V313" s="19"/>
      <c r="W313" s="1" t="str">
        <f>IFERROR(VLOOKUP(Tabela1[[#This Row],[UO_COD]],qdd!$AT$1:$AU$102,2,FALSE),"")</f>
        <v/>
      </c>
      <c r="X313" s="1" t="str">
        <f>CONCATENATE("F",Tabela1[[#This Row],[FONTE_COD]],Tabela1[[#This Row],[IPU_COD]],"G",Tabela1[[#This Row],[GRUPO_COD]],"T",Tabela1[[#This Row],[TIPO]])</f>
        <v>FGT999</v>
      </c>
      <c r="Y3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3" s="19"/>
      <c r="AA313" s="29" t="str">
        <f>IFERROR(VLOOKUP(CONCATENATE("B",Tabela1[[#This Row],[BLOCO]],Tabela1[[#This Row],[UO_COD]]),qdd!$AW$2:$AX$1000,2,FALSE),"")</f>
        <v/>
      </c>
      <c r="AB313" s="30" t="str">
        <f>IFERROR(Tabela1[[#This Row],[VALOR]]/100,"")</f>
        <v/>
      </c>
      <c r="AC313" s="7" t="str" cm="1">
        <f t="array" aca="1" ref="AC313" ca="1">IF(Tabela1[[#This Row],[VALOR]]&lt;0,"",IFERROR(SUBSTITUTE(Converter_numero(Tabela1[[#This Row],[VALOR INCISO]]),",",""),""))</f>
        <v/>
      </c>
      <c r="AD313" s="29" t="str">
        <f>IF(Tabela1[[#This Row],[TIPO]]=REGRAS!$W$2,REGRAS!$X$2,IF(Tabela1[[#This Row],[TIPO]]=REGRAS!$W$4,REGRAS!$X$4,""))</f>
        <v/>
      </c>
      <c r="AE313" s="29" t="e">
        <f>VLOOKUP(Tabela1[[#This Row],[FONTE_COD]],REGRAS!$O$2:$P$69,2,FALSE)</f>
        <v>#N/A</v>
      </c>
      <c r="AF3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4" spans="1:32" ht="18.75" customHeight="1">
      <c r="A314" s="2" t="str">
        <f>IFERROR(IF('PREENCHER AQUI'!A314="","",'PREENCHER AQUI'!A314),"")</f>
        <v/>
      </c>
      <c r="B314" s="1" t="str">
        <f>IFERROR(IF('PREENCHER AQUI'!B314="","",PROPER('PREENCHER AQUI'!B314)),"")</f>
        <v/>
      </c>
      <c r="C314" s="1" t="str">
        <f>IFERROR(IF('PREENCHER AQUI'!C314="","",'PREENCHER AQUI'!C314),"")</f>
        <v/>
      </c>
      <c r="D314" s="2" t="str">
        <f>IFERROR(IF('PREENCHER AQUI'!D314="","",'PREENCHER AQUI'!D314),"")</f>
        <v/>
      </c>
      <c r="E314" s="2" t="str">
        <f>IFERROR(VLOOKUP(CONCATENATE(C314,D314),qdd!$C$2:$F$1000,2,FALSE),"")</f>
        <v/>
      </c>
      <c r="F314" s="2" t="str">
        <f>IFERROR(VLOOKUP(CONCATENATE(C314,D314),qdd!$C$2:$F$1000,3,FALSE),"")</f>
        <v/>
      </c>
      <c r="G314" s="2" t="str">
        <f>IFERROR(VLOOKUP(CONCATENATE(C314,D314),qdd!$C$2:$F$1000,4,FALSE),"")</f>
        <v/>
      </c>
      <c r="H314" s="6" t="str">
        <f t="shared" si="10"/>
        <v/>
      </c>
      <c r="I3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4" s="2" t="str">
        <f>IFERROR(IF('PREENCHER AQUI'!E314="","",'PREENCHER AQUI'!E314),"")</f>
        <v/>
      </c>
      <c r="K314" s="2" t="str">
        <f>IFERROR(IF('PREENCHER AQUI'!F314="","",'PREENCHER AQUI'!F314),"")</f>
        <v/>
      </c>
      <c r="L314" s="2" t="str">
        <f>IF(Tabela1[[#This Row],[IPU_COD]]=9,"91",IF(Tabela1[[#This Row],[ACAO_COD]]="","",VLOOKUP(CONCATENATE("G",J314,"M",K314),qdd!$BC$2:$BD$46,2,FALSE)))</f>
        <v/>
      </c>
      <c r="M314" s="2" t="str">
        <f>TEXT(IFERROR(VLOOKUP(CONCATENATE(C314,D314),qdd!$C$2:$G$1000,5,FALSE),""),0)</f>
        <v/>
      </c>
      <c r="N314" s="2" t="str">
        <f>IFERROR(IF('PREENCHER AQUI'!I314="","",'PREENCHER AQUI'!I314),"")</f>
        <v/>
      </c>
      <c r="O314" s="2" t="str">
        <f>IFERROR(IF('PREENCHER AQUI'!J314="","",'PREENCHER AQUI'!J314),"")</f>
        <v/>
      </c>
      <c r="P314" s="7" t="str">
        <f t="shared" si="11"/>
        <v/>
      </c>
      <c r="Q314" s="8" t="str">
        <f>IFERROR(IF(Tabela4[[#This Row],[VALOR]]="","",IF(Tabela1[[#This Row],[ORIENTACAO]]="Anular",'PREENCHER AQUI'!K314*-1*100,'PREENCHER AQUI'!K314*100)),"")</f>
        <v/>
      </c>
      <c r="T314" s="7" t="str">
        <f>IFERROR(IF('PREENCHER AQUI'!L314="","999",LEFT('PREENCHER AQUI'!L314,1)),"")</f>
        <v>999</v>
      </c>
      <c r="V314" s="19"/>
      <c r="W314" s="1" t="str">
        <f>IFERROR(VLOOKUP(Tabela1[[#This Row],[UO_COD]],qdd!$AT$1:$AU$102,2,FALSE),"")</f>
        <v/>
      </c>
      <c r="X314" s="1" t="str">
        <f>CONCATENATE("F",Tabela1[[#This Row],[FONTE_COD]],Tabela1[[#This Row],[IPU_COD]],"G",Tabela1[[#This Row],[GRUPO_COD]],"T",Tabela1[[#This Row],[TIPO]])</f>
        <v>FGT999</v>
      </c>
      <c r="Y3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4" s="19"/>
      <c r="AA314" s="29" t="str">
        <f>IFERROR(VLOOKUP(CONCATENATE("B",Tabela1[[#This Row],[BLOCO]],Tabela1[[#This Row],[UO_COD]]),qdd!$AW$2:$AX$1000,2,FALSE),"")</f>
        <v/>
      </c>
      <c r="AB314" s="30" t="str">
        <f>IFERROR(Tabela1[[#This Row],[VALOR]]/100,"")</f>
        <v/>
      </c>
      <c r="AC314" s="7" t="str" cm="1">
        <f t="array" aca="1" ref="AC314" ca="1">IF(Tabela1[[#This Row],[VALOR]]&lt;0,"",IFERROR(SUBSTITUTE(Converter_numero(Tabela1[[#This Row],[VALOR INCISO]]),",",""),""))</f>
        <v/>
      </c>
      <c r="AD314" s="29" t="str">
        <f>IF(Tabela1[[#This Row],[TIPO]]=REGRAS!$W$2,REGRAS!$X$2,IF(Tabela1[[#This Row],[TIPO]]=REGRAS!$W$4,REGRAS!$X$4,""))</f>
        <v/>
      </c>
      <c r="AE314" s="29" t="e">
        <f>VLOOKUP(Tabela1[[#This Row],[FONTE_COD]],REGRAS!$O$2:$P$69,2,FALSE)</f>
        <v>#N/A</v>
      </c>
      <c r="AF3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5" spans="1:32" ht="18.75" customHeight="1">
      <c r="A315" s="2" t="str">
        <f>IFERROR(IF('PREENCHER AQUI'!A315="","",'PREENCHER AQUI'!A315),"")</f>
        <v/>
      </c>
      <c r="B315" s="1" t="str">
        <f>IFERROR(IF('PREENCHER AQUI'!B315="","",PROPER('PREENCHER AQUI'!B315)),"")</f>
        <v/>
      </c>
      <c r="C315" s="1" t="str">
        <f>IFERROR(IF('PREENCHER AQUI'!C315="","",'PREENCHER AQUI'!C315),"")</f>
        <v/>
      </c>
      <c r="D315" s="2" t="str">
        <f>IFERROR(IF('PREENCHER AQUI'!D315="","",'PREENCHER AQUI'!D315),"")</f>
        <v/>
      </c>
      <c r="E315" s="2" t="str">
        <f>IFERROR(VLOOKUP(CONCATENATE(C315,D315),qdd!$C$2:$F$1000,2,FALSE),"")</f>
        <v/>
      </c>
      <c r="F315" s="2" t="str">
        <f>IFERROR(VLOOKUP(CONCATENATE(C315,D315),qdd!$C$2:$F$1000,3,FALSE),"")</f>
        <v/>
      </c>
      <c r="G315" s="2" t="str">
        <f>IFERROR(VLOOKUP(CONCATENATE(C315,D315),qdd!$C$2:$F$1000,4,FALSE),"")</f>
        <v/>
      </c>
      <c r="H315" s="6" t="str">
        <f t="shared" si="10"/>
        <v/>
      </c>
      <c r="I3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5" s="2" t="str">
        <f>IFERROR(IF('PREENCHER AQUI'!E315="","",'PREENCHER AQUI'!E315),"")</f>
        <v/>
      </c>
      <c r="K315" s="2" t="str">
        <f>IFERROR(IF('PREENCHER AQUI'!F315="","",'PREENCHER AQUI'!F315),"")</f>
        <v/>
      </c>
      <c r="L315" s="2" t="str">
        <f>IF(Tabela1[[#This Row],[IPU_COD]]=9,"91",IF(Tabela1[[#This Row],[ACAO_COD]]="","",VLOOKUP(CONCATENATE("G",J315,"M",K315),qdd!$BC$2:$BD$46,2,FALSE)))</f>
        <v/>
      </c>
      <c r="M315" s="2" t="str">
        <f>TEXT(IFERROR(VLOOKUP(CONCATENATE(C315,D315),qdd!$C$2:$G$1000,5,FALSE),""),0)</f>
        <v/>
      </c>
      <c r="N315" s="2" t="str">
        <f>IFERROR(IF('PREENCHER AQUI'!I315="","",'PREENCHER AQUI'!I315),"")</f>
        <v/>
      </c>
      <c r="O315" s="2" t="str">
        <f>IFERROR(IF('PREENCHER AQUI'!J315="","",'PREENCHER AQUI'!J315),"")</f>
        <v/>
      </c>
      <c r="P315" s="7" t="str">
        <f t="shared" si="11"/>
        <v/>
      </c>
      <c r="Q315" s="8" t="str">
        <f>IFERROR(IF(Tabela4[[#This Row],[VALOR]]="","",IF(Tabela1[[#This Row],[ORIENTACAO]]="Anular",'PREENCHER AQUI'!K315*-1*100,'PREENCHER AQUI'!K315*100)),"")</f>
        <v/>
      </c>
      <c r="T315" s="7" t="str">
        <f>IFERROR(IF('PREENCHER AQUI'!L315="","999",LEFT('PREENCHER AQUI'!L315,1)),"")</f>
        <v>999</v>
      </c>
      <c r="V315" s="19"/>
      <c r="W315" s="20" t="str">
        <f>IFERROR(VLOOKUP(Tabela1[[#This Row],[UO_COD]],qdd!$AT$1:$AU$102,2,FALSE),"")</f>
        <v/>
      </c>
      <c r="X315" s="20" t="str">
        <f>CONCATENATE("F",Tabela1[[#This Row],[FONTE_COD]],Tabela1[[#This Row],[IPU_COD]],"G",Tabela1[[#This Row],[GRUPO_COD]],"T",Tabela1[[#This Row],[TIPO]])</f>
        <v>FGT999</v>
      </c>
      <c r="Y3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5" s="19"/>
      <c r="AA315" s="29" t="str">
        <f>IFERROR(VLOOKUP(CONCATENATE("B",Tabela1[[#This Row],[BLOCO]],Tabela1[[#This Row],[UO_COD]]),qdd!$AW$2:$AX$1000,2,FALSE),"")</f>
        <v/>
      </c>
      <c r="AB315" s="30" t="str">
        <f>IFERROR(Tabela1[[#This Row],[VALOR]]/100,"")</f>
        <v/>
      </c>
      <c r="AC315" s="7" t="str" cm="1">
        <f t="array" aca="1" ref="AC315" ca="1">IF(Tabela1[[#This Row],[VALOR]]&lt;0,"",IFERROR(SUBSTITUTE(Converter_numero(Tabela1[[#This Row],[VALOR INCISO]]),",",""),""))</f>
        <v/>
      </c>
      <c r="AD315" s="29" t="str">
        <f>IF(Tabela1[[#This Row],[TIPO]]=REGRAS!$W$2,REGRAS!$X$2,IF(Tabela1[[#This Row],[TIPO]]=REGRAS!$W$4,REGRAS!$X$4,""))</f>
        <v/>
      </c>
      <c r="AE315" s="29" t="e">
        <f>VLOOKUP(Tabela1[[#This Row],[FONTE_COD]],REGRAS!$O$2:$P$69,2,FALSE)</f>
        <v>#N/A</v>
      </c>
      <c r="AF3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6" spans="1:32" ht="18.75" customHeight="1">
      <c r="A316" s="2" t="str">
        <f>IFERROR(IF('PREENCHER AQUI'!A316="","",'PREENCHER AQUI'!A316),"")</f>
        <v/>
      </c>
      <c r="B316" s="1" t="str">
        <f>IFERROR(IF('PREENCHER AQUI'!B316="","",PROPER('PREENCHER AQUI'!B316)),"")</f>
        <v/>
      </c>
      <c r="C316" s="1" t="str">
        <f>IFERROR(IF('PREENCHER AQUI'!C316="","",'PREENCHER AQUI'!C316),"")</f>
        <v/>
      </c>
      <c r="D316" s="2" t="str">
        <f>IFERROR(IF('PREENCHER AQUI'!D316="","",'PREENCHER AQUI'!D316),"")</f>
        <v/>
      </c>
      <c r="E316" s="2" t="str">
        <f>IFERROR(VLOOKUP(CONCATENATE(C316,D316),qdd!$C$2:$F$1000,2,FALSE),"")</f>
        <v/>
      </c>
      <c r="F316" s="2" t="str">
        <f>IFERROR(VLOOKUP(CONCATENATE(C316,D316),qdd!$C$2:$F$1000,3,FALSE),"")</f>
        <v/>
      </c>
      <c r="G316" s="2" t="str">
        <f>IFERROR(VLOOKUP(CONCATENATE(C316,D316),qdd!$C$2:$F$1000,4,FALSE),"")</f>
        <v/>
      </c>
      <c r="H316" s="6" t="str">
        <f t="shared" si="10"/>
        <v/>
      </c>
      <c r="I3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6" s="2" t="str">
        <f>IFERROR(IF('PREENCHER AQUI'!E316="","",'PREENCHER AQUI'!E316),"")</f>
        <v/>
      </c>
      <c r="K316" s="2" t="str">
        <f>IFERROR(IF('PREENCHER AQUI'!F316="","",'PREENCHER AQUI'!F316),"")</f>
        <v/>
      </c>
      <c r="L316" s="2" t="str">
        <f>IF(Tabela1[[#This Row],[IPU_COD]]=9,"91",IF(Tabela1[[#This Row],[ACAO_COD]]="","",VLOOKUP(CONCATENATE("G",J316,"M",K316),qdd!$BC$2:$BD$46,2,FALSE)))</f>
        <v/>
      </c>
      <c r="M316" s="2" t="str">
        <f>TEXT(IFERROR(VLOOKUP(CONCATENATE(C316,D316),qdd!$C$2:$G$1000,5,FALSE),""),0)</f>
        <v/>
      </c>
      <c r="N316" s="2" t="str">
        <f>IFERROR(IF('PREENCHER AQUI'!I316="","",'PREENCHER AQUI'!I316),"")</f>
        <v/>
      </c>
      <c r="O316" s="2" t="str">
        <f>IFERROR(IF('PREENCHER AQUI'!J316="","",'PREENCHER AQUI'!J316),"")</f>
        <v/>
      </c>
      <c r="P316" s="7" t="str">
        <f t="shared" si="11"/>
        <v/>
      </c>
      <c r="Q316" s="8" t="str">
        <f>IFERROR(IF(Tabela4[[#This Row],[VALOR]]="","",IF(Tabela1[[#This Row],[ORIENTACAO]]="Anular",'PREENCHER AQUI'!K316*-1*100,'PREENCHER AQUI'!K316*100)),"")</f>
        <v/>
      </c>
      <c r="T316" s="7" t="str">
        <f>IFERROR(IF('PREENCHER AQUI'!L316="","999",LEFT('PREENCHER AQUI'!L316,1)),"")</f>
        <v>999</v>
      </c>
      <c r="V316" s="19"/>
      <c r="W316" s="1" t="str">
        <f>IFERROR(VLOOKUP(Tabela1[[#This Row],[UO_COD]],qdd!$AT$1:$AU$102,2,FALSE),"")</f>
        <v/>
      </c>
      <c r="X316" s="1" t="str">
        <f>CONCATENATE("F",Tabela1[[#This Row],[FONTE_COD]],Tabela1[[#This Row],[IPU_COD]],"G",Tabela1[[#This Row],[GRUPO_COD]],"T",Tabela1[[#This Row],[TIPO]])</f>
        <v>FGT999</v>
      </c>
      <c r="Y3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6" s="19"/>
      <c r="AA316" s="29" t="str">
        <f>IFERROR(VLOOKUP(CONCATENATE("B",Tabela1[[#This Row],[BLOCO]],Tabela1[[#This Row],[UO_COD]]),qdd!$AW$2:$AX$1000,2,FALSE),"")</f>
        <v/>
      </c>
      <c r="AB316" s="30" t="str">
        <f>IFERROR(Tabela1[[#This Row],[VALOR]]/100,"")</f>
        <v/>
      </c>
      <c r="AC316" s="7" t="str" cm="1">
        <f t="array" aca="1" ref="AC316" ca="1">IF(Tabela1[[#This Row],[VALOR]]&lt;0,"",IFERROR(SUBSTITUTE(Converter_numero(Tabela1[[#This Row],[VALOR INCISO]]),",",""),""))</f>
        <v/>
      </c>
      <c r="AD316" s="29" t="str">
        <f>IF(Tabela1[[#This Row],[TIPO]]=REGRAS!$W$2,REGRAS!$X$2,IF(Tabela1[[#This Row],[TIPO]]=REGRAS!$W$4,REGRAS!$X$4,""))</f>
        <v/>
      </c>
      <c r="AE316" s="29" t="e">
        <f>VLOOKUP(Tabela1[[#This Row],[FONTE_COD]],REGRAS!$O$2:$P$69,2,FALSE)</f>
        <v>#N/A</v>
      </c>
      <c r="AF3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7" spans="1:32" ht="18.75" customHeight="1">
      <c r="A317" s="2" t="str">
        <f>IFERROR(IF('PREENCHER AQUI'!A317="","",'PREENCHER AQUI'!A317),"")</f>
        <v/>
      </c>
      <c r="B317" s="1" t="str">
        <f>IFERROR(IF('PREENCHER AQUI'!B317="","",PROPER('PREENCHER AQUI'!B317)),"")</f>
        <v/>
      </c>
      <c r="C317" s="1" t="str">
        <f>IFERROR(IF('PREENCHER AQUI'!C317="","",'PREENCHER AQUI'!C317),"")</f>
        <v/>
      </c>
      <c r="D317" s="2" t="str">
        <f>IFERROR(IF('PREENCHER AQUI'!D317="","",'PREENCHER AQUI'!D317),"")</f>
        <v/>
      </c>
      <c r="E317" s="2" t="str">
        <f>IFERROR(VLOOKUP(CONCATENATE(C317,D317),qdd!$C$2:$F$1000,2,FALSE),"")</f>
        <v/>
      </c>
      <c r="F317" s="2" t="str">
        <f>IFERROR(VLOOKUP(CONCATENATE(C317,D317),qdd!$C$2:$F$1000,3,FALSE),"")</f>
        <v/>
      </c>
      <c r="G317" s="2" t="str">
        <f>IFERROR(VLOOKUP(CONCATENATE(C317,D317),qdd!$C$2:$F$1000,4,FALSE),"")</f>
        <v/>
      </c>
      <c r="H317" s="6" t="str">
        <f t="shared" si="10"/>
        <v/>
      </c>
      <c r="I3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7" s="2" t="str">
        <f>IFERROR(IF('PREENCHER AQUI'!E317="","",'PREENCHER AQUI'!E317),"")</f>
        <v/>
      </c>
      <c r="K317" s="2" t="str">
        <f>IFERROR(IF('PREENCHER AQUI'!F317="","",'PREENCHER AQUI'!F317),"")</f>
        <v/>
      </c>
      <c r="L317" s="2" t="str">
        <f>IF(Tabela1[[#This Row],[IPU_COD]]=9,"91",IF(Tabela1[[#This Row],[ACAO_COD]]="","",VLOOKUP(CONCATENATE("G",J317,"M",K317),qdd!$BC$2:$BD$46,2,FALSE)))</f>
        <v/>
      </c>
      <c r="M317" s="2" t="str">
        <f>TEXT(IFERROR(VLOOKUP(CONCATENATE(C317,D317),qdd!$C$2:$G$1000,5,FALSE),""),0)</f>
        <v/>
      </c>
      <c r="N317" s="2" t="str">
        <f>IFERROR(IF('PREENCHER AQUI'!I317="","",'PREENCHER AQUI'!I317),"")</f>
        <v/>
      </c>
      <c r="O317" s="2" t="str">
        <f>IFERROR(IF('PREENCHER AQUI'!J317="","",'PREENCHER AQUI'!J317),"")</f>
        <v/>
      </c>
      <c r="P317" s="7" t="str">
        <f t="shared" si="11"/>
        <v/>
      </c>
      <c r="Q317" s="8" t="str">
        <f>IFERROR(IF(Tabela4[[#This Row],[VALOR]]="","",IF(Tabela1[[#This Row],[ORIENTACAO]]="Anular",'PREENCHER AQUI'!K317*-1*100,'PREENCHER AQUI'!K317*100)),"")</f>
        <v/>
      </c>
      <c r="T317" s="7" t="str">
        <f>IFERROR(IF('PREENCHER AQUI'!L317="","999",LEFT('PREENCHER AQUI'!L317,1)),"")</f>
        <v>999</v>
      </c>
      <c r="W317" s="1" t="str">
        <f>IFERROR(VLOOKUP(Tabela1[[#This Row],[UO_COD]],qdd!$AT$1:$AU$102,2,FALSE),"")</f>
        <v/>
      </c>
      <c r="X317" s="1" t="str">
        <f>CONCATENATE("F",Tabela1[[#This Row],[FONTE_COD]],Tabela1[[#This Row],[IPU_COD]],"G",Tabela1[[#This Row],[GRUPO_COD]],"T",Tabela1[[#This Row],[TIPO]])</f>
        <v>FGT999</v>
      </c>
      <c r="Y3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7" s="19"/>
      <c r="AA317" s="29" t="str">
        <f>IFERROR(VLOOKUP(CONCATENATE("B",Tabela1[[#This Row],[BLOCO]],Tabela1[[#This Row],[UO_COD]]),qdd!$AW$2:$AX$1000,2,FALSE),"")</f>
        <v/>
      </c>
      <c r="AB317" s="30" t="str">
        <f>IFERROR(Tabela1[[#This Row],[VALOR]]/100,"")</f>
        <v/>
      </c>
      <c r="AC317" s="7" t="str" cm="1">
        <f t="array" aca="1" ref="AC317" ca="1">IF(Tabela1[[#This Row],[VALOR]]&lt;0,"",IFERROR(SUBSTITUTE(Converter_numero(Tabela1[[#This Row],[VALOR INCISO]]),",",""),""))</f>
        <v/>
      </c>
      <c r="AD317" s="7" t="str">
        <f>IF(Tabela1[[#This Row],[TIPO]]=REGRAS!$W$2,REGRAS!$X$2,IF(Tabela1[[#This Row],[TIPO]]=REGRAS!$W$4,REGRAS!$X$4,""))</f>
        <v/>
      </c>
      <c r="AE317" s="29" t="e">
        <f>VLOOKUP(Tabela1[[#This Row],[FONTE_COD]],REGRAS!$O$2:$P$69,2,FALSE)</f>
        <v>#N/A</v>
      </c>
      <c r="AF3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8" spans="1:32" ht="18.75" customHeight="1">
      <c r="A318" s="2" t="str">
        <f>IFERROR(IF('PREENCHER AQUI'!A318="","",'PREENCHER AQUI'!A318),"")</f>
        <v/>
      </c>
      <c r="B318" s="1" t="str">
        <f>IFERROR(IF('PREENCHER AQUI'!B318="","",PROPER('PREENCHER AQUI'!B318)),"")</f>
        <v/>
      </c>
      <c r="C318" s="1" t="str">
        <f>IFERROR(IF('PREENCHER AQUI'!C318="","",'PREENCHER AQUI'!C318),"")</f>
        <v/>
      </c>
      <c r="D318" s="2" t="str">
        <f>IFERROR(IF('PREENCHER AQUI'!D318="","",'PREENCHER AQUI'!D318),"")</f>
        <v/>
      </c>
      <c r="E318" s="2" t="str">
        <f>IFERROR(VLOOKUP(CONCATENATE(C318,D318),qdd!$C$2:$F$1000,2,FALSE),"")</f>
        <v/>
      </c>
      <c r="F318" s="2" t="str">
        <f>IFERROR(VLOOKUP(CONCATENATE(C318,D318),qdd!$C$2:$F$1000,3,FALSE),"")</f>
        <v/>
      </c>
      <c r="G318" s="2" t="str">
        <f>IFERROR(VLOOKUP(CONCATENATE(C318,D318),qdd!$C$2:$F$1000,4,FALSE),"")</f>
        <v/>
      </c>
      <c r="H318" s="6" t="str">
        <f t="shared" si="10"/>
        <v/>
      </c>
      <c r="I3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8" s="2" t="str">
        <f>IFERROR(IF('PREENCHER AQUI'!E318="","",'PREENCHER AQUI'!E318),"")</f>
        <v/>
      </c>
      <c r="K318" s="2" t="str">
        <f>IFERROR(IF('PREENCHER AQUI'!F318="","",'PREENCHER AQUI'!F318),"")</f>
        <v/>
      </c>
      <c r="L318" s="2" t="str">
        <f>IF(Tabela1[[#This Row],[IPU_COD]]=9,"91",IF(Tabela1[[#This Row],[ACAO_COD]]="","",VLOOKUP(CONCATENATE("G",J318,"M",K318),qdd!$BC$2:$BD$46,2,FALSE)))</f>
        <v/>
      </c>
      <c r="M318" s="2" t="str">
        <f>TEXT(IFERROR(VLOOKUP(CONCATENATE(C318,D318),qdd!$C$2:$G$1000,5,FALSE),""),0)</f>
        <v/>
      </c>
      <c r="N318" s="2" t="str">
        <f>IFERROR(IF('PREENCHER AQUI'!I318="","",'PREENCHER AQUI'!I318),"")</f>
        <v/>
      </c>
      <c r="O318" s="2" t="str">
        <f>IFERROR(IF('PREENCHER AQUI'!J318="","",'PREENCHER AQUI'!J318),"")</f>
        <v/>
      </c>
      <c r="P318" s="7" t="str">
        <f t="shared" si="11"/>
        <v/>
      </c>
      <c r="Q318" s="8" t="str">
        <f>IFERROR(IF(Tabela4[[#This Row],[VALOR]]="","",IF(Tabela1[[#This Row],[ORIENTACAO]]="Anular",'PREENCHER AQUI'!K318*-1*100,'PREENCHER AQUI'!K318*100)),"")</f>
        <v/>
      </c>
      <c r="T318" s="7" t="str">
        <f>IFERROR(IF('PREENCHER AQUI'!L318="","999",LEFT('PREENCHER AQUI'!L318,1)),"")</f>
        <v>999</v>
      </c>
      <c r="V318" s="19"/>
      <c r="W318" s="1" t="str">
        <f>IFERROR(VLOOKUP(Tabela1[[#This Row],[UO_COD]],qdd!$AT$1:$AU$102,2,FALSE),"")</f>
        <v/>
      </c>
      <c r="X318" s="1" t="str">
        <f>CONCATENATE("F",Tabela1[[#This Row],[FONTE_COD]],Tabela1[[#This Row],[IPU_COD]],"G",Tabela1[[#This Row],[GRUPO_COD]],"T",Tabela1[[#This Row],[TIPO]])</f>
        <v>FGT999</v>
      </c>
      <c r="Y3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8" s="19"/>
      <c r="AA318" s="29" t="str">
        <f>IFERROR(VLOOKUP(CONCATENATE("B",Tabela1[[#This Row],[BLOCO]],Tabela1[[#This Row],[UO_COD]]),qdd!$AW$2:$AX$1000,2,FALSE),"")</f>
        <v/>
      </c>
      <c r="AB318" s="30" t="str">
        <f>IFERROR(Tabela1[[#This Row],[VALOR]]/100,"")</f>
        <v/>
      </c>
      <c r="AC318" s="7" t="str" cm="1">
        <f t="array" aca="1" ref="AC318" ca="1">IF(Tabela1[[#This Row],[VALOR]]&lt;0,"",IFERROR(SUBSTITUTE(Converter_numero(Tabela1[[#This Row],[VALOR INCISO]]),",",""),""))</f>
        <v/>
      </c>
      <c r="AD318" s="29" t="str">
        <f>IF(Tabela1[[#This Row],[TIPO]]=REGRAS!$W$2,REGRAS!$X$2,IF(Tabela1[[#This Row],[TIPO]]=REGRAS!$W$4,REGRAS!$X$4,""))</f>
        <v/>
      </c>
      <c r="AE318" s="29" t="e">
        <f>VLOOKUP(Tabela1[[#This Row],[FONTE_COD]],REGRAS!$O$2:$P$69,2,FALSE)</f>
        <v>#N/A</v>
      </c>
      <c r="AF3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9" spans="1:32" ht="18.75" customHeight="1">
      <c r="A319" s="2" t="str">
        <f>IFERROR(IF('PREENCHER AQUI'!A319="","",'PREENCHER AQUI'!A319),"")</f>
        <v/>
      </c>
      <c r="B319" s="1" t="str">
        <f>IFERROR(IF('PREENCHER AQUI'!B319="","",PROPER('PREENCHER AQUI'!B319)),"")</f>
        <v/>
      </c>
      <c r="C319" s="1" t="str">
        <f>IFERROR(IF('PREENCHER AQUI'!C319="","",'PREENCHER AQUI'!C319),"")</f>
        <v/>
      </c>
      <c r="D319" s="2" t="str">
        <f>IFERROR(IF('PREENCHER AQUI'!D319="","",'PREENCHER AQUI'!D319),"")</f>
        <v/>
      </c>
      <c r="E319" s="2" t="str">
        <f>IFERROR(VLOOKUP(CONCATENATE(C319,D319),qdd!$C$2:$F$1000,2,FALSE),"")</f>
        <v/>
      </c>
      <c r="F319" s="2" t="str">
        <f>IFERROR(VLOOKUP(CONCATENATE(C319,D319),qdd!$C$2:$F$1000,3,FALSE),"")</f>
        <v/>
      </c>
      <c r="G319" s="2" t="str">
        <f>IFERROR(VLOOKUP(CONCATENATE(C319,D319),qdd!$C$2:$F$1000,4,FALSE),"")</f>
        <v/>
      </c>
      <c r="H319" s="6" t="str">
        <f t="shared" si="10"/>
        <v/>
      </c>
      <c r="I3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9" s="2" t="str">
        <f>IFERROR(IF('PREENCHER AQUI'!E319="","",'PREENCHER AQUI'!E319),"")</f>
        <v/>
      </c>
      <c r="K319" s="2" t="str">
        <f>IFERROR(IF('PREENCHER AQUI'!F319="","",'PREENCHER AQUI'!F319),"")</f>
        <v/>
      </c>
      <c r="L319" s="2" t="str">
        <f>IF(Tabela1[[#This Row],[IPU_COD]]=9,"91",IF(Tabela1[[#This Row],[ACAO_COD]]="","",VLOOKUP(CONCATENATE("G",J319,"M",K319),qdd!$BC$2:$BD$46,2,FALSE)))</f>
        <v/>
      </c>
      <c r="M319" s="2" t="str">
        <f>TEXT(IFERROR(VLOOKUP(CONCATENATE(C319,D319),qdd!$C$2:$G$1000,5,FALSE),""),0)</f>
        <v/>
      </c>
      <c r="N319" s="2" t="str">
        <f>IFERROR(IF('PREENCHER AQUI'!I319="","",'PREENCHER AQUI'!I319),"")</f>
        <v/>
      </c>
      <c r="O319" s="2" t="str">
        <f>IFERROR(IF('PREENCHER AQUI'!J319="","",'PREENCHER AQUI'!J319),"")</f>
        <v/>
      </c>
      <c r="P319" s="7" t="str">
        <f t="shared" si="11"/>
        <v/>
      </c>
      <c r="Q319" s="8" t="str">
        <f>IFERROR(IF(Tabela4[[#This Row],[VALOR]]="","",IF(Tabela1[[#This Row],[ORIENTACAO]]="Anular",'PREENCHER AQUI'!K319*-1*100,'PREENCHER AQUI'!K319*100)),"")</f>
        <v/>
      </c>
      <c r="T319" s="7" t="str">
        <f>IFERROR(IF('PREENCHER AQUI'!L319="","999",LEFT('PREENCHER AQUI'!L319,1)),"")</f>
        <v>999</v>
      </c>
      <c r="V319" s="19"/>
      <c r="W319" s="1" t="str">
        <f>IFERROR(VLOOKUP(Tabela1[[#This Row],[UO_COD]],qdd!$AT$1:$AU$102,2,FALSE),"")</f>
        <v/>
      </c>
      <c r="X319" s="1" t="str">
        <f>CONCATENATE("F",Tabela1[[#This Row],[FONTE_COD]],Tabela1[[#This Row],[IPU_COD]],"G",Tabela1[[#This Row],[GRUPO_COD]],"T",Tabela1[[#This Row],[TIPO]])</f>
        <v>FGT999</v>
      </c>
      <c r="Y3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9" s="19"/>
      <c r="AA319" s="29" t="str">
        <f>IFERROR(VLOOKUP(CONCATENATE("B",Tabela1[[#This Row],[BLOCO]],Tabela1[[#This Row],[UO_COD]]),qdd!$AW$2:$AX$1000,2,FALSE),"")</f>
        <v/>
      </c>
      <c r="AB319" s="30" t="str">
        <f>IFERROR(Tabela1[[#This Row],[VALOR]]/100,"")</f>
        <v/>
      </c>
      <c r="AC319" s="7" t="str" cm="1">
        <f t="array" aca="1" ref="AC319" ca="1">IF(Tabela1[[#This Row],[VALOR]]&lt;0,"",IFERROR(SUBSTITUTE(Converter_numero(Tabela1[[#This Row],[VALOR INCISO]]),",",""),""))</f>
        <v/>
      </c>
      <c r="AD319" s="29" t="str">
        <f>IF(Tabela1[[#This Row],[TIPO]]=REGRAS!$W$2,REGRAS!$X$2,IF(Tabela1[[#This Row],[TIPO]]=REGRAS!$W$4,REGRAS!$X$4,""))</f>
        <v/>
      </c>
      <c r="AE319" s="29" t="e">
        <f>VLOOKUP(Tabela1[[#This Row],[FONTE_COD]],REGRAS!$O$2:$P$69,2,FALSE)</f>
        <v>#N/A</v>
      </c>
      <c r="AF3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0" spans="1:32" ht="18.75" customHeight="1">
      <c r="A320" s="2" t="str">
        <f>IFERROR(IF('PREENCHER AQUI'!A320="","",'PREENCHER AQUI'!A320),"")</f>
        <v/>
      </c>
      <c r="B320" s="1" t="str">
        <f>IFERROR(IF('PREENCHER AQUI'!B320="","",PROPER('PREENCHER AQUI'!B320)),"")</f>
        <v/>
      </c>
      <c r="C320" s="1" t="str">
        <f>IFERROR(IF('PREENCHER AQUI'!C320="","",'PREENCHER AQUI'!C320),"")</f>
        <v/>
      </c>
      <c r="D320" s="2" t="str">
        <f>IFERROR(IF('PREENCHER AQUI'!D320="","",'PREENCHER AQUI'!D320),"")</f>
        <v/>
      </c>
      <c r="E320" s="2" t="str">
        <f>IFERROR(VLOOKUP(CONCATENATE(C320,D320),qdd!$C$2:$F$1000,2,FALSE),"")</f>
        <v/>
      </c>
      <c r="F320" s="2" t="str">
        <f>IFERROR(VLOOKUP(CONCATENATE(C320,D320),qdd!$C$2:$F$1000,3,FALSE),"")</f>
        <v/>
      </c>
      <c r="G320" s="2" t="str">
        <f>IFERROR(VLOOKUP(CONCATENATE(C320,D320),qdd!$C$2:$F$1000,4,FALSE),"")</f>
        <v/>
      </c>
      <c r="H320" s="6" t="str">
        <f t="shared" si="10"/>
        <v/>
      </c>
      <c r="I3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0" s="2" t="str">
        <f>IFERROR(IF('PREENCHER AQUI'!E320="","",'PREENCHER AQUI'!E320),"")</f>
        <v/>
      </c>
      <c r="K320" s="2" t="str">
        <f>IFERROR(IF('PREENCHER AQUI'!F320="","",'PREENCHER AQUI'!F320),"")</f>
        <v/>
      </c>
      <c r="L320" s="2" t="str">
        <f>IF(Tabela1[[#This Row],[IPU_COD]]=9,"91",IF(Tabela1[[#This Row],[ACAO_COD]]="","",VLOOKUP(CONCATENATE("G",J320,"M",K320),qdd!$BC$2:$BD$46,2,FALSE)))</f>
        <v/>
      </c>
      <c r="M320" s="2" t="str">
        <f>TEXT(IFERROR(VLOOKUP(CONCATENATE(C320,D320),qdd!$C$2:$G$1000,5,FALSE),""),0)</f>
        <v/>
      </c>
      <c r="N320" s="2" t="str">
        <f>IFERROR(IF('PREENCHER AQUI'!I320="","",'PREENCHER AQUI'!I320),"")</f>
        <v/>
      </c>
      <c r="O320" s="2" t="str">
        <f>IFERROR(IF('PREENCHER AQUI'!J320="","",'PREENCHER AQUI'!J320),"")</f>
        <v/>
      </c>
      <c r="P320" s="7" t="str">
        <f t="shared" si="11"/>
        <v/>
      </c>
      <c r="Q320" s="8" t="str">
        <f>IFERROR(IF(Tabela4[[#This Row],[VALOR]]="","",IF(Tabela1[[#This Row],[ORIENTACAO]]="Anular",'PREENCHER AQUI'!K320*-1*100,'PREENCHER AQUI'!K320*100)),"")</f>
        <v/>
      </c>
      <c r="T320" s="7" t="str">
        <f>IFERROR(IF('PREENCHER AQUI'!L320="","999",LEFT('PREENCHER AQUI'!L320,1)),"")</f>
        <v>999</v>
      </c>
      <c r="V320" s="19"/>
      <c r="W320" s="20" t="str">
        <f>IFERROR(VLOOKUP(Tabela1[[#This Row],[UO_COD]],qdd!$AT$1:$AU$102,2,FALSE),"")</f>
        <v/>
      </c>
      <c r="X320" s="20" t="str">
        <f>CONCATENATE("F",Tabela1[[#This Row],[FONTE_COD]],Tabela1[[#This Row],[IPU_COD]],"G",Tabela1[[#This Row],[GRUPO_COD]],"T",Tabela1[[#This Row],[TIPO]])</f>
        <v>FGT999</v>
      </c>
      <c r="Y3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0" s="19"/>
      <c r="AA320" s="29" t="str">
        <f>IFERROR(VLOOKUP(CONCATENATE("B",Tabela1[[#This Row],[BLOCO]],Tabela1[[#This Row],[UO_COD]]),qdd!$AW$2:$AX$1000,2,FALSE),"")</f>
        <v/>
      </c>
      <c r="AB320" s="30" t="str">
        <f>IFERROR(Tabela1[[#This Row],[VALOR]]/100,"")</f>
        <v/>
      </c>
      <c r="AC320" s="7" t="str" cm="1">
        <f t="array" aca="1" ref="AC320" ca="1">IF(Tabela1[[#This Row],[VALOR]]&lt;0,"",IFERROR(SUBSTITUTE(Converter_numero(Tabela1[[#This Row],[VALOR INCISO]]),",",""),""))</f>
        <v/>
      </c>
      <c r="AD320" s="29" t="str">
        <f>IF(Tabela1[[#This Row],[TIPO]]=REGRAS!$W$2,REGRAS!$X$2,IF(Tabela1[[#This Row],[TIPO]]=REGRAS!$W$4,REGRAS!$X$4,""))</f>
        <v/>
      </c>
      <c r="AE320" s="29" t="e">
        <f>VLOOKUP(Tabela1[[#This Row],[FONTE_COD]],REGRAS!$O$2:$P$69,2,FALSE)</f>
        <v>#N/A</v>
      </c>
      <c r="AF3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1" spans="1:32" ht="18.75" customHeight="1">
      <c r="A321" s="2" t="str">
        <f>IFERROR(IF('PREENCHER AQUI'!A321="","",'PREENCHER AQUI'!A321),"")</f>
        <v/>
      </c>
      <c r="B321" s="1" t="str">
        <f>IFERROR(IF('PREENCHER AQUI'!B321="","",PROPER('PREENCHER AQUI'!B321)),"")</f>
        <v/>
      </c>
      <c r="C321" s="1" t="str">
        <f>IFERROR(IF('PREENCHER AQUI'!C321="","",'PREENCHER AQUI'!C321),"")</f>
        <v/>
      </c>
      <c r="D321" s="2" t="str">
        <f>IFERROR(IF('PREENCHER AQUI'!D321="","",'PREENCHER AQUI'!D321),"")</f>
        <v/>
      </c>
      <c r="E321" s="2" t="str">
        <f>IFERROR(VLOOKUP(CONCATENATE(C321,D321),qdd!$C$2:$F$1000,2,FALSE),"")</f>
        <v/>
      </c>
      <c r="F321" s="2" t="str">
        <f>IFERROR(VLOOKUP(CONCATENATE(C321,D321),qdd!$C$2:$F$1000,3,FALSE),"")</f>
        <v/>
      </c>
      <c r="G321" s="2" t="str">
        <f>IFERROR(VLOOKUP(CONCATENATE(C321,D321),qdd!$C$2:$F$1000,4,FALSE),"")</f>
        <v/>
      </c>
      <c r="H321" s="6" t="str">
        <f t="shared" si="10"/>
        <v/>
      </c>
      <c r="I3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1" s="2" t="str">
        <f>IFERROR(IF('PREENCHER AQUI'!E321="","",'PREENCHER AQUI'!E321),"")</f>
        <v/>
      </c>
      <c r="K321" s="2" t="str">
        <f>IFERROR(IF('PREENCHER AQUI'!F321="","",'PREENCHER AQUI'!F321),"")</f>
        <v/>
      </c>
      <c r="L321" s="2" t="str">
        <f>IF(Tabela1[[#This Row],[IPU_COD]]=9,"91",IF(Tabela1[[#This Row],[ACAO_COD]]="","",VLOOKUP(CONCATENATE("G",J321,"M",K321),qdd!$BC$2:$BD$46,2,FALSE)))</f>
        <v/>
      </c>
      <c r="M321" s="2" t="str">
        <f>TEXT(IFERROR(VLOOKUP(CONCATENATE(C321,D321),qdd!$C$2:$G$1000,5,FALSE),""),0)</f>
        <v/>
      </c>
      <c r="N321" s="2" t="str">
        <f>IFERROR(IF('PREENCHER AQUI'!I321="","",'PREENCHER AQUI'!I321),"")</f>
        <v/>
      </c>
      <c r="O321" s="2" t="str">
        <f>IFERROR(IF('PREENCHER AQUI'!J321="","",'PREENCHER AQUI'!J321),"")</f>
        <v/>
      </c>
      <c r="P321" s="7" t="str">
        <f t="shared" si="11"/>
        <v/>
      </c>
      <c r="Q321" s="8" t="str">
        <f>IFERROR(IF(Tabela4[[#This Row],[VALOR]]="","",IF(Tabela1[[#This Row],[ORIENTACAO]]="Anular",'PREENCHER AQUI'!K321*-1*100,'PREENCHER AQUI'!K321*100)),"")</f>
        <v/>
      </c>
      <c r="T321" s="7" t="str">
        <f>IFERROR(IF('PREENCHER AQUI'!L321="","999",LEFT('PREENCHER AQUI'!L321,1)),"")</f>
        <v>999</v>
      </c>
      <c r="V321" s="19"/>
      <c r="W321" s="1" t="str">
        <f>IFERROR(VLOOKUP(Tabela1[[#This Row],[UO_COD]],qdd!$AT$1:$AU$102,2,FALSE),"")</f>
        <v/>
      </c>
      <c r="X321" s="1" t="str">
        <f>CONCATENATE("F",Tabela1[[#This Row],[FONTE_COD]],Tabela1[[#This Row],[IPU_COD]],"G",Tabela1[[#This Row],[GRUPO_COD]],"T",Tabela1[[#This Row],[TIPO]])</f>
        <v>FGT999</v>
      </c>
      <c r="Y3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1" s="19"/>
      <c r="AA321" s="29" t="str">
        <f>IFERROR(VLOOKUP(CONCATENATE("B",Tabela1[[#This Row],[BLOCO]],Tabela1[[#This Row],[UO_COD]]),qdd!$AW$2:$AX$1000,2,FALSE),"")</f>
        <v/>
      </c>
      <c r="AB321" s="30" t="str">
        <f>IFERROR(Tabela1[[#This Row],[VALOR]]/100,"")</f>
        <v/>
      </c>
      <c r="AC321" s="7" t="str" cm="1">
        <f t="array" aca="1" ref="AC321" ca="1">IF(Tabela1[[#This Row],[VALOR]]&lt;0,"",IFERROR(SUBSTITUTE(Converter_numero(Tabela1[[#This Row],[VALOR INCISO]]),",",""),""))</f>
        <v/>
      </c>
      <c r="AD321" s="29" t="str">
        <f>IF(Tabela1[[#This Row],[TIPO]]=REGRAS!$W$2,REGRAS!$X$2,IF(Tabela1[[#This Row],[TIPO]]=REGRAS!$W$4,REGRAS!$X$4,""))</f>
        <v/>
      </c>
      <c r="AE321" s="29" t="e">
        <f>VLOOKUP(Tabela1[[#This Row],[FONTE_COD]],REGRAS!$O$2:$P$69,2,FALSE)</f>
        <v>#N/A</v>
      </c>
      <c r="AF3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2" spans="1:32" ht="18.75" customHeight="1">
      <c r="A322" s="2" t="str">
        <f>IFERROR(IF('PREENCHER AQUI'!A322="","",'PREENCHER AQUI'!A322),"")</f>
        <v/>
      </c>
      <c r="B322" s="1" t="str">
        <f>IFERROR(IF('PREENCHER AQUI'!B322="","",PROPER('PREENCHER AQUI'!B322)),"")</f>
        <v/>
      </c>
      <c r="C322" s="1" t="str">
        <f>IFERROR(IF('PREENCHER AQUI'!C322="","",'PREENCHER AQUI'!C322),"")</f>
        <v/>
      </c>
      <c r="D322" s="2" t="str">
        <f>IFERROR(IF('PREENCHER AQUI'!D322="","",'PREENCHER AQUI'!D322),"")</f>
        <v/>
      </c>
      <c r="E322" s="2" t="str">
        <f>IFERROR(VLOOKUP(CONCATENATE(C322,D322),qdd!$C$2:$F$1000,2,FALSE),"")</f>
        <v/>
      </c>
      <c r="F322" s="2" t="str">
        <f>IFERROR(VLOOKUP(CONCATENATE(C322,D322),qdd!$C$2:$F$1000,3,FALSE),"")</f>
        <v/>
      </c>
      <c r="G322" s="2" t="str">
        <f>IFERROR(VLOOKUP(CONCATENATE(C322,D322),qdd!$C$2:$F$1000,4,FALSE),"")</f>
        <v/>
      </c>
      <c r="H322" s="6" t="str">
        <f t="shared" si="10"/>
        <v/>
      </c>
      <c r="I3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2" s="2" t="str">
        <f>IFERROR(IF('PREENCHER AQUI'!E322="","",'PREENCHER AQUI'!E322),"")</f>
        <v/>
      </c>
      <c r="K322" s="2" t="str">
        <f>IFERROR(IF('PREENCHER AQUI'!F322="","",'PREENCHER AQUI'!F322),"")</f>
        <v/>
      </c>
      <c r="L322" s="2" t="str">
        <f>IF(Tabela1[[#This Row],[IPU_COD]]=9,"91",IF(Tabela1[[#This Row],[ACAO_COD]]="","",VLOOKUP(CONCATENATE("G",J322,"M",K322),qdd!$BC$2:$BD$46,2,FALSE)))</f>
        <v/>
      </c>
      <c r="M322" s="2" t="str">
        <f>TEXT(IFERROR(VLOOKUP(CONCATENATE(C322,D322),qdd!$C$2:$G$1000,5,FALSE),""),0)</f>
        <v/>
      </c>
      <c r="N322" s="2" t="str">
        <f>IFERROR(IF('PREENCHER AQUI'!I322="","",'PREENCHER AQUI'!I322),"")</f>
        <v/>
      </c>
      <c r="O322" s="2" t="str">
        <f>IFERROR(IF('PREENCHER AQUI'!J322="","",'PREENCHER AQUI'!J322),"")</f>
        <v/>
      </c>
      <c r="P322" s="7" t="str">
        <f t="shared" si="11"/>
        <v/>
      </c>
      <c r="Q322" s="8" t="str">
        <f>IFERROR(IF(Tabela4[[#This Row],[VALOR]]="","",IF(Tabela1[[#This Row],[ORIENTACAO]]="Anular",'PREENCHER AQUI'!K322*-1*100,'PREENCHER AQUI'!K322*100)),"")</f>
        <v/>
      </c>
      <c r="T322" s="7" t="str">
        <f>IFERROR(IF('PREENCHER AQUI'!L322="","999",LEFT('PREENCHER AQUI'!L322,1)),"")</f>
        <v>999</v>
      </c>
      <c r="W322" s="1" t="str">
        <f>IFERROR(VLOOKUP(Tabela1[[#This Row],[UO_COD]],qdd!$AT$1:$AU$102,2,FALSE),"")</f>
        <v/>
      </c>
      <c r="X322" s="1" t="str">
        <f>CONCATENATE("F",Tabela1[[#This Row],[FONTE_COD]],Tabela1[[#This Row],[IPU_COD]],"G",Tabela1[[#This Row],[GRUPO_COD]],"T",Tabela1[[#This Row],[TIPO]])</f>
        <v>FGT999</v>
      </c>
      <c r="Y3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2" s="19"/>
      <c r="AA322" s="29" t="str">
        <f>IFERROR(VLOOKUP(CONCATENATE("B",Tabela1[[#This Row],[BLOCO]],Tabela1[[#This Row],[UO_COD]]),qdd!$AW$2:$AX$1000,2,FALSE),"")</f>
        <v/>
      </c>
      <c r="AB322" s="30" t="str">
        <f>IFERROR(Tabela1[[#This Row],[VALOR]]/100,"")</f>
        <v/>
      </c>
      <c r="AC322" s="7" t="str" cm="1">
        <f t="array" aca="1" ref="AC322" ca="1">IF(Tabela1[[#This Row],[VALOR]]&lt;0,"",IFERROR(SUBSTITUTE(Converter_numero(Tabela1[[#This Row],[VALOR INCISO]]),",",""),""))</f>
        <v/>
      </c>
      <c r="AD322" s="7" t="str">
        <f>IF(Tabela1[[#This Row],[TIPO]]=REGRAS!$W$2,REGRAS!$X$2,IF(Tabela1[[#This Row],[TIPO]]=REGRAS!$W$4,REGRAS!$X$4,""))</f>
        <v/>
      </c>
      <c r="AE322" s="29" t="e">
        <f>VLOOKUP(Tabela1[[#This Row],[FONTE_COD]],REGRAS!$O$2:$P$69,2,FALSE)</f>
        <v>#N/A</v>
      </c>
      <c r="AF3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3" spans="1:32" ht="18.75" customHeight="1">
      <c r="A323" s="2" t="str">
        <f>IFERROR(IF('PREENCHER AQUI'!A323="","",'PREENCHER AQUI'!A323),"")</f>
        <v/>
      </c>
      <c r="B323" s="1" t="str">
        <f>IFERROR(IF('PREENCHER AQUI'!B323="","",PROPER('PREENCHER AQUI'!B323)),"")</f>
        <v/>
      </c>
      <c r="C323" s="1" t="str">
        <f>IFERROR(IF('PREENCHER AQUI'!C323="","",'PREENCHER AQUI'!C323),"")</f>
        <v/>
      </c>
      <c r="D323" s="2" t="str">
        <f>IFERROR(IF('PREENCHER AQUI'!D323="","",'PREENCHER AQUI'!D323),"")</f>
        <v/>
      </c>
      <c r="E323" s="2" t="str">
        <f>IFERROR(VLOOKUP(CONCATENATE(C323,D323),qdd!$C$2:$F$1000,2,FALSE),"")</f>
        <v/>
      </c>
      <c r="F323" s="2" t="str">
        <f>IFERROR(VLOOKUP(CONCATENATE(C323,D323),qdd!$C$2:$F$1000,3,FALSE),"")</f>
        <v/>
      </c>
      <c r="G323" s="2" t="str">
        <f>IFERROR(VLOOKUP(CONCATENATE(C323,D323),qdd!$C$2:$F$1000,4,FALSE),"")</f>
        <v/>
      </c>
      <c r="H323" s="6" t="str">
        <f t="shared" ref="H323:H386" si="12">IF(E323="","","0001")</f>
        <v/>
      </c>
      <c r="I3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3" s="2" t="str">
        <f>IFERROR(IF('PREENCHER AQUI'!E323="","",'PREENCHER AQUI'!E323),"")</f>
        <v/>
      </c>
      <c r="K323" s="2" t="str">
        <f>IFERROR(IF('PREENCHER AQUI'!F323="","",'PREENCHER AQUI'!F323),"")</f>
        <v/>
      </c>
      <c r="L323" s="2" t="str">
        <f>IF(Tabela1[[#This Row],[IPU_COD]]=9,"91",IF(Tabela1[[#This Row],[ACAO_COD]]="","",VLOOKUP(CONCATENATE("G",J323,"M",K323),qdd!$BC$2:$BD$46,2,FALSE)))</f>
        <v/>
      </c>
      <c r="M323" s="2" t="str">
        <f>TEXT(IFERROR(VLOOKUP(CONCATENATE(C323,D323),qdd!$C$2:$G$1000,5,FALSE),""),0)</f>
        <v/>
      </c>
      <c r="N323" s="2" t="str">
        <f>IFERROR(IF('PREENCHER AQUI'!I323="","",'PREENCHER AQUI'!I323),"")</f>
        <v/>
      </c>
      <c r="O323" s="2" t="str">
        <f>IFERROR(IF('PREENCHER AQUI'!J323="","",'PREENCHER AQUI'!J323),"")</f>
        <v/>
      </c>
      <c r="P323" s="7" t="str">
        <f t="shared" ref="P323:P386" si="13">IFERROR(CONCATENATE(E323,F323,G323,D323,H323,I323,J323,K323,L323,M323,N323,O323),"")</f>
        <v/>
      </c>
      <c r="Q323" s="8" t="str">
        <f>IFERROR(IF(Tabela4[[#This Row],[VALOR]]="","",IF(Tabela1[[#This Row],[ORIENTACAO]]="Anular",'PREENCHER AQUI'!K323*-1*100,'PREENCHER AQUI'!K323*100)),"")</f>
        <v/>
      </c>
      <c r="T323" s="7" t="str">
        <f>IFERROR(IF('PREENCHER AQUI'!L323="","999",LEFT('PREENCHER AQUI'!L323,1)),"")</f>
        <v>999</v>
      </c>
      <c r="V323" s="19"/>
      <c r="W323" s="1" t="str">
        <f>IFERROR(VLOOKUP(Tabela1[[#This Row],[UO_COD]],qdd!$AT$1:$AU$102,2,FALSE),"")</f>
        <v/>
      </c>
      <c r="X323" s="1" t="str">
        <f>CONCATENATE("F",Tabela1[[#This Row],[FONTE_COD]],Tabela1[[#This Row],[IPU_COD]],"G",Tabela1[[#This Row],[GRUPO_COD]],"T",Tabela1[[#This Row],[TIPO]])</f>
        <v>FGT999</v>
      </c>
      <c r="Y3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3" s="19"/>
      <c r="AA323" s="29" t="str">
        <f>IFERROR(VLOOKUP(CONCATENATE("B",Tabela1[[#This Row],[BLOCO]],Tabela1[[#This Row],[UO_COD]]),qdd!$AW$2:$AX$1000,2,FALSE),"")</f>
        <v/>
      </c>
      <c r="AB323" s="30" t="str">
        <f>IFERROR(Tabela1[[#This Row],[VALOR]]/100,"")</f>
        <v/>
      </c>
      <c r="AC323" s="7" t="str" cm="1">
        <f t="array" aca="1" ref="AC323" ca="1">IF(Tabela1[[#This Row],[VALOR]]&lt;0,"",IFERROR(SUBSTITUTE(Converter_numero(Tabela1[[#This Row],[VALOR INCISO]]),",",""),""))</f>
        <v/>
      </c>
      <c r="AD323" s="29" t="str">
        <f>IF(Tabela1[[#This Row],[TIPO]]=REGRAS!$W$2,REGRAS!$X$2,IF(Tabela1[[#This Row],[TIPO]]=REGRAS!$W$4,REGRAS!$X$4,""))</f>
        <v/>
      </c>
      <c r="AE323" s="29" t="e">
        <f>VLOOKUP(Tabela1[[#This Row],[FONTE_COD]],REGRAS!$O$2:$P$69,2,FALSE)</f>
        <v>#N/A</v>
      </c>
      <c r="AF3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4" spans="1:32" ht="18.75" customHeight="1">
      <c r="A324" s="2" t="str">
        <f>IFERROR(IF('PREENCHER AQUI'!A324="","",'PREENCHER AQUI'!A324),"")</f>
        <v/>
      </c>
      <c r="B324" s="1" t="str">
        <f>IFERROR(IF('PREENCHER AQUI'!B324="","",PROPER('PREENCHER AQUI'!B324)),"")</f>
        <v/>
      </c>
      <c r="C324" s="1" t="str">
        <f>IFERROR(IF('PREENCHER AQUI'!C324="","",'PREENCHER AQUI'!C324),"")</f>
        <v/>
      </c>
      <c r="D324" s="2" t="str">
        <f>IFERROR(IF('PREENCHER AQUI'!D324="","",'PREENCHER AQUI'!D324),"")</f>
        <v/>
      </c>
      <c r="E324" s="2" t="str">
        <f>IFERROR(VLOOKUP(CONCATENATE(C324,D324),qdd!$C$2:$F$1000,2,FALSE),"")</f>
        <v/>
      </c>
      <c r="F324" s="2" t="str">
        <f>IFERROR(VLOOKUP(CONCATENATE(C324,D324),qdd!$C$2:$F$1000,3,FALSE),"")</f>
        <v/>
      </c>
      <c r="G324" s="2" t="str">
        <f>IFERROR(VLOOKUP(CONCATENATE(C324,D324),qdd!$C$2:$F$1000,4,FALSE),"")</f>
        <v/>
      </c>
      <c r="H324" s="6" t="str">
        <f t="shared" si="12"/>
        <v/>
      </c>
      <c r="I3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4" s="2" t="str">
        <f>IFERROR(IF('PREENCHER AQUI'!E324="","",'PREENCHER AQUI'!E324),"")</f>
        <v/>
      </c>
      <c r="K324" s="2" t="str">
        <f>IFERROR(IF('PREENCHER AQUI'!F324="","",'PREENCHER AQUI'!F324),"")</f>
        <v/>
      </c>
      <c r="L324" s="2" t="str">
        <f>IF(Tabela1[[#This Row],[IPU_COD]]=9,"91",IF(Tabela1[[#This Row],[ACAO_COD]]="","",VLOOKUP(CONCATENATE("G",J324,"M",K324),qdd!$BC$2:$BD$46,2,FALSE)))</f>
        <v/>
      </c>
      <c r="M324" s="2" t="str">
        <f>TEXT(IFERROR(VLOOKUP(CONCATENATE(C324,D324),qdd!$C$2:$G$1000,5,FALSE),""),0)</f>
        <v/>
      </c>
      <c r="N324" s="2" t="str">
        <f>IFERROR(IF('PREENCHER AQUI'!I324="","",'PREENCHER AQUI'!I324),"")</f>
        <v/>
      </c>
      <c r="O324" s="2" t="str">
        <f>IFERROR(IF('PREENCHER AQUI'!J324="","",'PREENCHER AQUI'!J324),"")</f>
        <v/>
      </c>
      <c r="P324" s="7" t="str">
        <f t="shared" si="13"/>
        <v/>
      </c>
      <c r="Q324" s="8" t="str">
        <f>IFERROR(IF(Tabela4[[#This Row],[VALOR]]="","",IF(Tabela1[[#This Row],[ORIENTACAO]]="Anular",'PREENCHER AQUI'!K324*-1*100,'PREENCHER AQUI'!K324*100)),"")</f>
        <v/>
      </c>
      <c r="T324" s="7" t="str">
        <f>IFERROR(IF('PREENCHER AQUI'!L324="","999",LEFT('PREENCHER AQUI'!L324,1)),"")</f>
        <v>999</v>
      </c>
      <c r="V324" s="19"/>
      <c r="W324" s="1" t="str">
        <f>IFERROR(VLOOKUP(Tabela1[[#This Row],[UO_COD]],qdd!$AT$1:$AU$102,2,FALSE),"")</f>
        <v/>
      </c>
      <c r="X324" s="1" t="str">
        <f>CONCATENATE("F",Tabela1[[#This Row],[FONTE_COD]],Tabela1[[#This Row],[IPU_COD]],"G",Tabela1[[#This Row],[GRUPO_COD]],"T",Tabela1[[#This Row],[TIPO]])</f>
        <v>FGT999</v>
      </c>
      <c r="Y3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4" s="19"/>
      <c r="AA324" s="29" t="str">
        <f>IFERROR(VLOOKUP(CONCATENATE("B",Tabela1[[#This Row],[BLOCO]],Tabela1[[#This Row],[UO_COD]]),qdd!$AW$2:$AX$1000,2,FALSE),"")</f>
        <v/>
      </c>
      <c r="AB324" s="30" t="str">
        <f>IFERROR(Tabela1[[#This Row],[VALOR]]/100,"")</f>
        <v/>
      </c>
      <c r="AC324" s="7" t="str" cm="1">
        <f t="array" aca="1" ref="AC324" ca="1">IF(Tabela1[[#This Row],[VALOR]]&lt;0,"",IFERROR(SUBSTITUTE(Converter_numero(Tabela1[[#This Row],[VALOR INCISO]]),",",""),""))</f>
        <v/>
      </c>
      <c r="AD324" s="29" t="str">
        <f>IF(Tabela1[[#This Row],[TIPO]]=REGRAS!$W$2,REGRAS!$X$2,IF(Tabela1[[#This Row],[TIPO]]=REGRAS!$W$4,REGRAS!$X$4,""))</f>
        <v/>
      </c>
      <c r="AE324" s="29" t="e">
        <f>VLOOKUP(Tabela1[[#This Row],[FONTE_COD]],REGRAS!$O$2:$P$69,2,FALSE)</f>
        <v>#N/A</v>
      </c>
      <c r="AF3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5" spans="1:32" ht="18.75" customHeight="1">
      <c r="A325" s="2" t="str">
        <f>IFERROR(IF('PREENCHER AQUI'!A325="","",'PREENCHER AQUI'!A325),"")</f>
        <v/>
      </c>
      <c r="B325" s="1" t="str">
        <f>IFERROR(IF('PREENCHER AQUI'!B325="","",PROPER('PREENCHER AQUI'!B325)),"")</f>
        <v/>
      </c>
      <c r="C325" s="1" t="str">
        <f>IFERROR(IF('PREENCHER AQUI'!C325="","",'PREENCHER AQUI'!C325),"")</f>
        <v/>
      </c>
      <c r="D325" s="2" t="str">
        <f>IFERROR(IF('PREENCHER AQUI'!D325="","",'PREENCHER AQUI'!D325),"")</f>
        <v/>
      </c>
      <c r="E325" s="2" t="str">
        <f>IFERROR(VLOOKUP(CONCATENATE(C325,D325),qdd!$C$2:$F$1000,2,FALSE),"")</f>
        <v/>
      </c>
      <c r="F325" s="2" t="str">
        <f>IFERROR(VLOOKUP(CONCATENATE(C325,D325),qdd!$C$2:$F$1000,3,FALSE),"")</f>
        <v/>
      </c>
      <c r="G325" s="2" t="str">
        <f>IFERROR(VLOOKUP(CONCATENATE(C325,D325),qdd!$C$2:$F$1000,4,FALSE),"")</f>
        <v/>
      </c>
      <c r="H325" s="6" t="str">
        <f t="shared" si="12"/>
        <v/>
      </c>
      <c r="I3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5" s="2" t="str">
        <f>IFERROR(IF('PREENCHER AQUI'!E325="","",'PREENCHER AQUI'!E325),"")</f>
        <v/>
      </c>
      <c r="K325" s="2" t="str">
        <f>IFERROR(IF('PREENCHER AQUI'!F325="","",'PREENCHER AQUI'!F325),"")</f>
        <v/>
      </c>
      <c r="L325" s="2" t="str">
        <f>IF(Tabela1[[#This Row],[IPU_COD]]=9,"91",IF(Tabela1[[#This Row],[ACAO_COD]]="","",VLOOKUP(CONCATENATE("G",J325,"M",K325),qdd!$BC$2:$BD$46,2,FALSE)))</f>
        <v/>
      </c>
      <c r="M325" s="2" t="str">
        <f>TEXT(IFERROR(VLOOKUP(CONCATENATE(C325,D325),qdd!$C$2:$G$1000,5,FALSE),""),0)</f>
        <v/>
      </c>
      <c r="N325" s="2" t="str">
        <f>IFERROR(IF('PREENCHER AQUI'!I325="","",'PREENCHER AQUI'!I325),"")</f>
        <v/>
      </c>
      <c r="O325" s="2" t="str">
        <f>IFERROR(IF('PREENCHER AQUI'!J325="","",'PREENCHER AQUI'!J325),"")</f>
        <v/>
      </c>
      <c r="P325" s="7" t="str">
        <f t="shared" si="13"/>
        <v/>
      </c>
      <c r="Q325" s="8" t="str">
        <f>IFERROR(IF(Tabela4[[#This Row],[VALOR]]="","",IF(Tabela1[[#This Row],[ORIENTACAO]]="Anular",'PREENCHER AQUI'!K325*-1*100,'PREENCHER AQUI'!K325*100)),"")</f>
        <v/>
      </c>
      <c r="T325" s="7" t="str">
        <f>IFERROR(IF('PREENCHER AQUI'!L325="","999",LEFT('PREENCHER AQUI'!L325,1)),"")</f>
        <v>999</v>
      </c>
      <c r="V325" s="19"/>
      <c r="W325" s="20" t="str">
        <f>IFERROR(VLOOKUP(Tabela1[[#This Row],[UO_COD]],qdd!$AT$1:$AU$102,2,FALSE),"")</f>
        <v/>
      </c>
      <c r="X325" s="20" t="str">
        <f>CONCATENATE("F",Tabela1[[#This Row],[FONTE_COD]],Tabela1[[#This Row],[IPU_COD]],"G",Tabela1[[#This Row],[GRUPO_COD]],"T",Tabela1[[#This Row],[TIPO]])</f>
        <v>FGT999</v>
      </c>
      <c r="Y3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5" s="19"/>
      <c r="AA325" s="29" t="str">
        <f>IFERROR(VLOOKUP(CONCATENATE("B",Tabela1[[#This Row],[BLOCO]],Tabela1[[#This Row],[UO_COD]]),qdd!$AW$2:$AX$1000,2,FALSE),"")</f>
        <v/>
      </c>
      <c r="AB325" s="30" t="str">
        <f>IFERROR(Tabela1[[#This Row],[VALOR]]/100,"")</f>
        <v/>
      </c>
      <c r="AC325" s="7" t="str" cm="1">
        <f t="array" aca="1" ref="AC325" ca="1">IF(Tabela1[[#This Row],[VALOR]]&lt;0,"",IFERROR(SUBSTITUTE(Converter_numero(Tabela1[[#This Row],[VALOR INCISO]]),",",""),""))</f>
        <v/>
      </c>
      <c r="AD325" s="29" t="str">
        <f>IF(Tabela1[[#This Row],[TIPO]]=REGRAS!$W$2,REGRAS!$X$2,IF(Tabela1[[#This Row],[TIPO]]=REGRAS!$W$4,REGRAS!$X$4,""))</f>
        <v/>
      </c>
      <c r="AE325" s="29" t="e">
        <f>VLOOKUP(Tabela1[[#This Row],[FONTE_COD]],REGRAS!$O$2:$P$69,2,FALSE)</f>
        <v>#N/A</v>
      </c>
      <c r="AF3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6" spans="1:32" ht="18.75" customHeight="1">
      <c r="A326" s="2" t="str">
        <f>IFERROR(IF('PREENCHER AQUI'!A326="","",'PREENCHER AQUI'!A326),"")</f>
        <v/>
      </c>
      <c r="B326" s="1" t="str">
        <f>IFERROR(IF('PREENCHER AQUI'!B326="","",PROPER('PREENCHER AQUI'!B326)),"")</f>
        <v/>
      </c>
      <c r="C326" s="1" t="str">
        <f>IFERROR(IF('PREENCHER AQUI'!C326="","",'PREENCHER AQUI'!C326),"")</f>
        <v/>
      </c>
      <c r="D326" s="2" t="str">
        <f>IFERROR(IF('PREENCHER AQUI'!D326="","",'PREENCHER AQUI'!D326),"")</f>
        <v/>
      </c>
      <c r="E326" s="2" t="str">
        <f>IFERROR(VLOOKUP(CONCATENATE(C326,D326),qdd!$C$2:$F$1000,2,FALSE),"")</f>
        <v/>
      </c>
      <c r="F326" s="2" t="str">
        <f>IFERROR(VLOOKUP(CONCATENATE(C326,D326),qdd!$C$2:$F$1000,3,FALSE),"")</f>
        <v/>
      </c>
      <c r="G326" s="2" t="str">
        <f>IFERROR(VLOOKUP(CONCATENATE(C326,D326),qdd!$C$2:$F$1000,4,FALSE),"")</f>
        <v/>
      </c>
      <c r="H326" s="6" t="str">
        <f t="shared" si="12"/>
        <v/>
      </c>
      <c r="I3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6" s="2" t="str">
        <f>IFERROR(IF('PREENCHER AQUI'!E326="","",'PREENCHER AQUI'!E326),"")</f>
        <v/>
      </c>
      <c r="K326" s="2" t="str">
        <f>IFERROR(IF('PREENCHER AQUI'!F326="","",'PREENCHER AQUI'!F326),"")</f>
        <v/>
      </c>
      <c r="L326" s="2" t="str">
        <f>IF(Tabela1[[#This Row],[IPU_COD]]=9,"91",IF(Tabela1[[#This Row],[ACAO_COD]]="","",VLOOKUP(CONCATENATE("G",J326,"M",K326),qdd!$BC$2:$BD$46,2,FALSE)))</f>
        <v/>
      </c>
      <c r="M326" s="2" t="str">
        <f>TEXT(IFERROR(VLOOKUP(CONCATENATE(C326,D326),qdd!$C$2:$G$1000,5,FALSE),""),0)</f>
        <v/>
      </c>
      <c r="N326" s="2" t="str">
        <f>IFERROR(IF('PREENCHER AQUI'!I326="","",'PREENCHER AQUI'!I326),"")</f>
        <v/>
      </c>
      <c r="O326" s="2" t="str">
        <f>IFERROR(IF('PREENCHER AQUI'!J326="","",'PREENCHER AQUI'!J326),"")</f>
        <v/>
      </c>
      <c r="P326" s="7" t="str">
        <f t="shared" si="13"/>
        <v/>
      </c>
      <c r="Q326" s="8" t="str">
        <f>IFERROR(IF(Tabela4[[#This Row],[VALOR]]="","",IF(Tabela1[[#This Row],[ORIENTACAO]]="Anular",'PREENCHER AQUI'!K326*-1*100,'PREENCHER AQUI'!K326*100)),"")</f>
        <v/>
      </c>
      <c r="T326" s="7" t="str">
        <f>IFERROR(IF('PREENCHER AQUI'!L326="","999",LEFT('PREENCHER AQUI'!L326,1)),"")</f>
        <v>999</v>
      </c>
      <c r="V326" s="19"/>
      <c r="W326" s="1" t="str">
        <f>IFERROR(VLOOKUP(Tabela1[[#This Row],[UO_COD]],qdd!$AT$1:$AU$102,2,FALSE),"")</f>
        <v/>
      </c>
      <c r="X326" s="1" t="str">
        <f>CONCATENATE("F",Tabela1[[#This Row],[FONTE_COD]],Tabela1[[#This Row],[IPU_COD]],"G",Tabela1[[#This Row],[GRUPO_COD]],"T",Tabela1[[#This Row],[TIPO]])</f>
        <v>FGT999</v>
      </c>
      <c r="Y3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6" s="19"/>
      <c r="AA326" s="29" t="str">
        <f>IFERROR(VLOOKUP(CONCATENATE("B",Tabela1[[#This Row],[BLOCO]],Tabela1[[#This Row],[UO_COD]]),qdd!$AW$2:$AX$1000,2,FALSE),"")</f>
        <v/>
      </c>
      <c r="AB326" s="30" t="str">
        <f>IFERROR(Tabela1[[#This Row],[VALOR]]/100,"")</f>
        <v/>
      </c>
      <c r="AC326" s="7" t="str" cm="1">
        <f t="array" aca="1" ref="AC326" ca="1">IF(Tabela1[[#This Row],[VALOR]]&lt;0,"",IFERROR(SUBSTITUTE(Converter_numero(Tabela1[[#This Row],[VALOR INCISO]]),",",""),""))</f>
        <v/>
      </c>
      <c r="AD326" s="29" t="str">
        <f>IF(Tabela1[[#This Row],[TIPO]]=REGRAS!$W$2,REGRAS!$X$2,IF(Tabela1[[#This Row],[TIPO]]=REGRAS!$W$4,REGRAS!$X$4,""))</f>
        <v/>
      </c>
      <c r="AE326" s="29" t="e">
        <f>VLOOKUP(Tabela1[[#This Row],[FONTE_COD]],REGRAS!$O$2:$P$69,2,FALSE)</f>
        <v>#N/A</v>
      </c>
      <c r="AF3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7" spans="1:32" ht="18.75" customHeight="1">
      <c r="A327" s="2" t="str">
        <f>IFERROR(IF('PREENCHER AQUI'!A327="","",'PREENCHER AQUI'!A327),"")</f>
        <v/>
      </c>
      <c r="B327" s="1" t="str">
        <f>IFERROR(IF('PREENCHER AQUI'!B327="","",PROPER('PREENCHER AQUI'!B327)),"")</f>
        <v/>
      </c>
      <c r="C327" s="1" t="str">
        <f>IFERROR(IF('PREENCHER AQUI'!C327="","",'PREENCHER AQUI'!C327),"")</f>
        <v/>
      </c>
      <c r="D327" s="2" t="str">
        <f>IFERROR(IF('PREENCHER AQUI'!D327="","",'PREENCHER AQUI'!D327),"")</f>
        <v/>
      </c>
      <c r="E327" s="2" t="str">
        <f>IFERROR(VLOOKUP(CONCATENATE(C327,D327),qdd!$C$2:$F$1000,2,FALSE),"")</f>
        <v/>
      </c>
      <c r="F327" s="2" t="str">
        <f>IFERROR(VLOOKUP(CONCATENATE(C327,D327),qdd!$C$2:$F$1000,3,FALSE),"")</f>
        <v/>
      </c>
      <c r="G327" s="2" t="str">
        <f>IFERROR(VLOOKUP(CONCATENATE(C327,D327),qdd!$C$2:$F$1000,4,FALSE),"")</f>
        <v/>
      </c>
      <c r="H327" s="6" t="str">
        <f t="shared" si="12"/>
        <v/>
      </c>
      <c r="I3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7" s="2" t="str">
        <f>IFERROR(IF('PREENCHER AQUI'!E327="","",'PREENCHER AQUI'!E327),"")</f>
        <v/>
      </c>
      <c r="K327" s="2" t="str">
        <f>IFERROR(IF('PREENCHER AQUI'!F327="","",'PREENCHER AQUI'!F327),"")</f>
        <v/>
      </c>
      <c r="L327" s="2" t="str">
        <f>IF(Tabela1[[#This Row],[IPU_COD]]=9,"91",IF(Tabela1[[#This Row],[ACAO_COD]]="","",VLOOKUP(CONCATENATE("G",J327,"M",K327),qdd!$BC$2:$BD$46,2,FALSE)))</f>
        <v/>
      </c>
      <c r="M327" s="2" t="str">
        <f>TEXT(IFERROR(VLOOKUP(CONCATENATE(C327,D327),qdd!$C$2:$G$1000,5,FALSE),""),0)</f>
        <v/>
      </c>
      <c r="N327" s="2" t="str">
        <f>IFERROR(IF('PREENCHER AQUI'!I327="","",'PREENCHER AQUI'!I327),"")</f>
        <v/>
      </c>
      <c r="O327" s="2" t="str">
        <f>IFERROR(IF('PREENCHER AQUI'!J327="","",'PREENCHER AQUI'!J327),"")</f>
        <v/>
      </c>
      <c r="P327" s="7" t="str">
        <f t="shared" si="13"/>
        <v/>
      </c>
      <c r="Q327" s="8" t="str">
        <f>IFERROR(IF(Tabela4[[#This Row],[VALOR]]="","",IF(Tabela1[[#This Row],[ORIENTACAO]]="Anular",'PREENCHER AQUI'!K327*-1*100,'PREENCHER AQUI'!K327*100)),"")</f>
        <v/>
      </c>
      <c r="T327" s="7" t="str">
        <f>IFERROR(IF('PREENCHER AQUI'!L327="","999",LEFT('PREENCHER AQUI'!L327,1)),"")</f>
        <v>999</v>
      </c>
      <c r="W327" s="1" t="str">
        <f>IFERROR(VLOOKUP(Tabela1[[#This Row],[UO_COD]],qdd!$AT$1:$AU$102,2,FALSE),"")</f>
        <v/>
      </c>
      <c r="X327" s="1" t="str">
        <f>CONCATENATE("F",Tabela1[[#This Row],[FONTE_COD]],Tabela1[[#This Row],[IPU_COD]],"G",Tabela1[[#This Row],[GRUPO_COD]],"T",Tabela1[[#This Row],[TIPO]])</f>
        <v>FGT999</v>
      </c>
      <c r="Y3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7" s="19"/>
      <c r="AA327" s="29" t="str">
        <f>IFERROR(VLOOKUP(CONCATENATE("B",Tabela1[[#This Row],[BLOCO]],Tabela1[[#This Row],[UO_COD]]),qdd!$AW$2:$AX$1000,2,FALSE),"")</f>
        <v/>
      </c>
      <c r="AB327" s="30" t="str">
        <f>IFERROR(Tabela1[[#This Row],[VALOR]]/100,"")</f>
        <v/>
      </c>
      <c r="AC327" s="7" t="str" cm="1">
        <f t="array" aca="1" ref="AC327" ca="1">IF(Tabela1[[#This Row],[VALOR]]&lt;0,"",IFERROR(SUBSTITUTE(Converter_numero(Tabela1[[#This Row],[VALOR INCISO]]),",",""),""))</f>
        <v/>
      </c>
      <c r="AD327" s="7" t="str">
        <f>IF(Tabela1[[#This Row],[TIPO]]=REGRAS!$W$2,REGRAS!$X$2,IF(Tabela1[[#This Row],[TIPO]]=REGRAS!$W$4,REGRAS!$X$4,""))</f>
        <v/>
      </c>
      <c r="AE327" s="29" t="e">
        <f>VLOOKUP(Tabela1[[#This Row],[FONTE_COD]],REGRAS!$O$2:$P$69,2,FALSE)</f>
        <v>#N/A</v>
      </c>
      <c r="AF3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8" spans="1:32" ht="18.75" customHeight="1">
      <c r="A328" s="2" t="str">
        <f>IFERROR(IF('PREENCHER AQUI'!A328="","",'PREENCHER AQUI'!A328),"")</f>
        <v/>
      </c>
      <c r="B328" s="1" t="str">
        <f>IFERROR(IF('PREENCHER AQUI'!B328="","",PROPER('PREENCHER AQUI'!B328)),"")</f>
        <v/>
      </c>
      <c r="C328" s="1" t="str">
        <f>IFERROR(IF('PREENCHER AQUI'!C328="","",'PREENCHER AQUI'!C328),"")</f>
        <v/>
      </c>
      <c r="D328" s="2" t="str">
        <f>IFERROR(IF('PREENCHER AQUI'!D328="","",'PREENCHER AQUI'!D328),"")</f>
        <v/>
      </c>
      <c r="E328" s="2" t="str">
        <f>IFERROR(VLOOKUP(CONCATENATE(C328,D328),qdd!$C$2:$F$1000,2,FALSE),"")</f>
        <v/>
      </c>
      <c r="F328" s="2" t="str">
        <f>IFERROR(VLOOKUP(CONCATENATE(C328,D328),qdd!$C$2:$F$1000,3,FALSE),"")</f>
        <v/>
      </c>
      <c r="G328" s="2" t="str">
        <f>IFERROR(VLOOKUP(CONCATENATE(C328,D328),qdd!$C$2:$F$1000,4,FALSE),"")</f>
        <v/>
      </c>
      <c r="H328" s="6" t="str">
        <f t="shared" si="12"/>
        <v/>
      </c>
      <c r="I3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8" s="2" t="str">
        <f>IFERROR(IF('PREENCHER AQUI'!E328="","",'PREENCHER AQUI'!E328),"")</f>
        <v/>
      </c>
      <c r="K328" s="2" t="str">
        <f>IFERROR(IF('PREENCHER AQUI'!F328="","",'PREENCHER AQUI'!F328),"")</f>
        <v/>
      </c>
      <c r="L328" s="2" t="str">
        <f>IF(Tabela1[[#This Row],[IPU_COD]]=9,"91",IF(Tabela1[[#This Row],[ACAO_COD]]="","",VLOOKUP(CONCATENATE("G",J328,"M",K328),qdd!$BC$2:$BD$46,2,FALSE)))</f>
        <v/>
      </c>
      <c r="M328" s="2" t="str">
        <f>TEXT(IFERROR(VLOOKUP(CONCATENATE(C328,D328),qdd!$C$2:$G$1000,5,FALSE),""),0)</f>
        <v/>
      </c>
      <c r="N328" s="2" t="str">
        <f>IFERROR(IF('PREENCHER AQUI'!I328="","",'PREENCHER AQUI'!I328),"")</f>
        <v/>
      </c>
      <c r="O328" s="2" t="str">
        <f>IFERROR(IF('PREENCHER AQUI'!J328="","",'PREENCHER AQUI'!J328),"")</f>
        <v/>
      </c>
      <c r="P328" s="7" t="str">
        <f t="shared" si="13"/>
        <v/>
      </c>
      <c r="Q328" s="8" t="str">
        <f>IFERROR(IF(Tabela4[[#This Row],[VALOR]]="","",IF(Tabela1[[#This Row],[ORIENTACAO]]="Anular",'PREENCHER AQUI'!K328*-1*100,'PREENCHER AQUI'!K328*100)),"")</f>
        <v/>
      </c>
      <c r="T328" s="7" t="str">
        <f>IFERROR(IF('PREENCHER AQUI'!L328="","999",LEFT('PREENCHER AQUI'!L328,1)),"")</f>
        <v>999</v>
      </c>
      <c r="V328" s="19"/>
      <c r="W328" s="1" t="str">
        <f>IFERROR(VLOOKUP(Tabela1[[#This Row],[UO_COD]],qdd!$AT$1:$AU$102,2,FALSE),"")</f>
        <v/>
      </c>
      <c r="X328" s="1" t="str">
        <f>CONCATENATE("F",Tabela1[[#This Row],[FONTE_COD]],Tabela1[[#This Row],[IPU_COD]],"G",Tabela1[[#This Row],[GRUPO_COD]],"T",Tabela1[[#This Row],[TIPO]])</f>
        <v>FGT999</v>
      </c>
      <c r="Y3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8" s="19"/>
      <c r="AA328" s="29" t="str">
        <f>IFERROR(VLOOKUP(CONCATENATE("B",Tabela1[[#This Row],[BLOCO]],Tabela1[[#This Row],[UO_COD]]),qdd!$AW$2:$AX$1000,2,FALSE),"")</f>
        <v/>
      </c>
      <c r="AB328" s="30" t="str">
        <f>IFERROR(Tabela1[[#This Row],[VALOR]]/100,"")</f>
        <v/>
      </c>
      <c r="AC328" s="7" t="str" cm="1">
        <f t="array" aca="1" ref="AC328" ca="1">IF(Tabela1[[#This Row],[VALOR]]&lt;0,"",IFERROR(SUBSTITUTE(Converter_numero(Tabela1[[#This Row],[VALOR INCISO]]),",",""),""))</f>
        <v/>
      </c>
      <c r="AD328" s="29" t="str">
        <f>IF(Tabela1[[#This Row],[TIPO]]=REGRAS!$W$2,REGRAS!$X$2,IF(Tabela1[[#This Row],[TIPO]]=REGRAS!$W$4,REGRAS!$X$4,""))</f>
        <v/>
      </c>
      <c r="AE328" s="29" t="e">
        <f>VLOOKUP(Tabela1[[#This Row],[FONTE_COD]],REGRAS!$O$2:$P$69,2,FALSE)</f>
        <v>#N/A</v>
      </c>
      <c r="AF3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9" spans="1:32" ht="18.75" customHeight="1">
      <c r="A329" s="2" t="str">
        <f>IFERROR(IF('PREENCHER AQUI'!A329="","",'PREENCHER AQUI'!A329),"")</f>
        <v/>
      </c>
      <c r="B329" s="1" t="str">
        <f>IFERROR(IF('PREENCHER AQUI'!B329="","",PROPER('PREENCHER AQUI'!B329)),"")</f>
        <v/>
      </c>
      <c r="C329" s="1" t="str">
        <f>IFERROR(IF('PREENCHER AQUI'!C329="","",'PREENCHER AQUI'!C329),"")</f>
        <v/>
      </c>
      <c r="D329" s="2" t="str">
        <f>IFERROR(IF('PREENCHER AQUI'!D329="","",'PREENCHER AQUI'!D329),"")</f>
        <v/>
      </c>
      <c r="E329" s="2" t="str">
        <f>IFERROR(VLOOKUP(CONCATENATE(C329,D329),qdd!$C$2:$F$1000,2,FALSE),"")</f>
        <v/>
      </c>
      <c r="F329" s="2" t="str">
        <f>IFERROR(VLOOKUP(CONCATENATE(C329,D329),qdd!$C$2:$F$1000,3,FALSE),"")</f>
        <v/>
      </c>
      <c r="G329" s="2" t="str">
        <f>IFERROR(VLOOKUP(CONCATENATE(C329,D329),qdd!$C$2:$F$1000,4,FALSE),"")</f>
        <v/>
      </c>
      <c r="H329" s="6" t="str">
        <f t="shared" si="12"/>
        <v/>
      </c>
      <c r="I3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9" s="2" t="str">
        <f>IFERROR(IF('PREENCHER AQUI'!E329="","",'PREENCHER AQUI'!E329),"")</f>
        <v/>
      </c>
      <c r="K329" s="2" t="str">
        <f>IFERROR(IF('PREENCHER AQUI'!F329="","",'PREENCHER AQUI'!F329),"")</f>
        <v/>
      </c>
      <c r="L329" s="2" t="str">
        <f>IF(Tabela1[[#This Row],[IPU_COD]]=9,"91",IF(Tabela1[[#This Row],[ACAO_COD]]="","",VLOOKUP(CONCATENATE("G",J329,"M",K329),qdd!$BC$2:$BD$46,2,FALSE)))</f>
        <v/>
      </c>
      <c r="M329" s="2" t="str">
        <f>TEXT(IFERROR(VLOOKUP(CONCATENATE(C329,D329),qdd!$C$2:$G$1000,5,FALSE),""),0)</f>
        <v/>
      </c>
      <c r="N329" s="2" t="str">
        <f>IFERROR(IF('PREENCHER AQUI'!I329="","",'PREENCHER AQUI'!I329),"")</f>
        <v/>
      </c>
      <c r="O329" s="2" t="str">
        <f>IFERROR(IF('PREENCHER AQUI'!J329="","",'PREENCHER AQUI'!J329),"")</f>
        <v/>
      </c>
      <c r="P329" s="7" t="str">
        <f t="shared" si="13"/>
        <v/>
      </c>
      <c r="Q329" s="8" t="str">
        <f>IFERROR(IF(Tabela4[[#This Row],[VALOR]]="","",IF(Tabela1[[#This Row],[ORIENTACAO]]="Anular",'PREENCHER AQUI'!K329*-1*100,'PREENCHER AQUI'!K329*100)),"")</f>
        <v/>
      </c>
      <c r="T329" s="7" t="str">
        <f>IFERROR(IF('PREENCHER AQUI'!L329="","999",LEFT('PREENCHER AQUI'!L329,1)),"")</f>
        <v>999</v>
      </c>
      <c r="V329" s="19"/>
      <c r="W329" s="1" t="str">
        <f>IFERROR(VLOOKUP(Tabela1[[#This Row],[UO_COD]],qdd!$AT$1:$AU$102,2,FALSE),"")</f>
        <v/>
      </c>
      <c r="X329" s="1" t="str">
        <f>CONCATENATE("F",Tabela1[[#This Row],[FONTE_COD]],Tabela1[[#This Row],[IPU_COD]],"G",Tabela1[[#This Row],[GRUPO_COD]],"T",Tabela1[[#This Row],[TIPO]])</f>
        <v>FGT999</v>
      </c>
      <c r="Y3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9" s="19"/>
      <c r="AA329" s="29" t="str">
        <f>IFERROR(VLOOKUP(CONCATENATE("B",Tabela1[[#This Row],[BLOCO]],Tabela1[[#This Row],[UO_COD]]),qdd!$AW$2:$AX$1000,2,FALSE),"")</f>
        <v/>
      </c>
      <c r="AB329" s="30" t="str">
        <f>IFERROR(Tabela1[[#This Row],[VALOR]]/100,"")</f>
        <v/>
      </c>
      <c r="AC329" s="7" t="str" cm="1">
        <f t="array" aca="1" ref="AC329" ca="1">IF(Tabela1[[#This Row],[VALOR]]&lt;0,"",IFERROR(SUBSTITUTE(Converter_numero(Tabela1[[#This Row],[VALOR INCISO]]),",",""),""))</f>
        <v/>
      </c>
      <c r="AD329" s="29" t="str">
        <f>IF(Tabela1[[#This Row],[TIPO]]=REGRAS!$W$2,REGRAS!$X$2,IF(Tabela1[[#This Row],[TIPO]]=REGRAS!$W$4,REGRAS!$X$4,""))</f>
        <v/>
      </c>
      <c r="AE329" s="29" t="e">
        <f>VLOOKUP(Tabela1[[#This Row],[FONTE_COD]],REGRAS!$O$2:$P$69,2,FALSE)</f>
        <v>#N/A</v>
      </c>
      <c r="AF3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0" spans="1:32" ht="18.75" customHeight="1">
      <c r="A330" s="2" t="str">
        <f>IFERROR(IF('PREENCHER AQUI'!A330="","",'PREENCHER AQUI'!A330),"")</f>
        <v/>
      </c>
      <c r="B330" s="1" t="str">
        <f>IFERROR(IF('PREENCHER AQUI'!B330="","",PROPER('PREENCHER AQUI'!B330)),"")</f>
        <v/>
      </c>
      <c r="C330" s="1" t="str">
        <f>IFERROR(IF('PREENCHER AQUI'!C330="","",'PREENCHER AQUI'!C330),"")</f>
        <v/>
      </c>
      <c r="D330" s="2" t="str">
        <f>IFERROR(IF('PREENCHER AQUI'!D330="","",'PREENCHER AQUI'!D330),"")</f>
        <v/>
      </c>
      <c r="E330" s="2" t="str">
        <f>IFERROR(VLOOKUP(CONCATENATE(C330,D330),qdd!$C$2:$F$1000,2,FALSE),"")</f>
        <v/>
      </c>
      <c r="F330" s="2" t="str">
        <f>IFERROR(VLOOKUP(CONCATENATE(C330,D330),qdd!$C$2:$F$1000,3,FALSE),"")</f>
        <v/>
      </c>
      <c r="G330" s="2" t="str">
        <f>IFERROR(VLOOKUP(CONCATENATE(C330,D330),qdd!$C$2:$F$1000,4,FALSE),"")</f>
        <v/>
      </c>
      <c r="H330" s="6" t="str">
        <f t="shared" si="12"/>
        <v/>
      </c>
      <c r="I3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0" s="2" t="str">
        <f>IFERROR(IF('PREENCHER AQUI'!E330="","",'PREENCHER AQUI'!E330),"")</f>
        <v/>
      </c>
      <c r="K330" s="2" t="str">
        <f>IFERROR(IF('PREENCHER AQUI'!F330="","",'PREENCHER AQUI'!F330),"")</f>
        <v/>
      </c>
      <c r="L330" s="2" t="str">
        <f>IF(Tabela1[[#This Row],[IPU_COD]]=9,"91",IF(Tabela1[[#This Row],[ACAO_COD]]="","",VLOOKUP(CONCATENATE("G",J330,"M",K330),qdd!$BC$2:$BD$46,2,FALSE)))</f>
        <v/>
      </c>
      <c r="M330" s="2" t="str">
        <f>TEXT(IFERROR(VLOOKUP(CONCATENATE(C330,D330),qdd!$C$2:$G$1000,5,FALSE),""),0)</f>
        <v/>
      </c>
      <c r="N330" s="2" t="str">
        <f>IFERROR(IF('PREENCHER AQUI'!I330="","",'PREENCHER AQUI'!I330),"")</f>
        <v/>
      </c>
      <c r="O330" s="2" t="str">
        <f>IFERROR(IF('PREENCHER AQUI'!J330="","",'PREENCHER AQUI'!J330),"")</f>
        <v/>
      </c>
      <c r="P330" s="7" t="str">
        <f t="shared" si="13"/>
        <v/>
      </c>
      <c r="Q330" s="8" t="str">
        <f>IFERROR(IF(Tabela4[[#This Row],[VALOR]]="","",IF(Tabela1[[#This Row],[ORIENTACAO]]="Anular",'PREENCHER AQUI'!K330*-1*100,'PREENCHER AQUI'!K330*100)),"")</f>
        <v/>
      </c>
      <c r="T330" s="7" t="str">
        <f>IFERROR(IF('PREENCHER AQUI'!L330="","999",LEFT('PREENCHER AQUI'!L330,1)),"")</f>
        <v>999</v>
      </c>
      <c r="V330" s="19"/>
      <c r="W330" s="20" t="str">
        <f>IFERROR(VLOOKUP(Tabela1[[#This Row],[UO_COD]],qdd!$AT$1:$AU$102,2,FALSE),"")</f>
        <v/>
      </c>
      <c r="X330" s="20" t="str">
        <f>CONCATENATE("F",Tabela1[[#This Row],[FONTE_COD]],Tabela1[[#This Row],[IPU_COD]],"G",Tabela1[[#This Row],[GRUPO_COD]],"T",Tabela1[[#This Row],[TIPO]])</f>
        <v>FGT999</v>
      </c>
      <c r="Y3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0" s="19"/>
      <c r="AA330" s="29" t="str">
        <f>IFERROR(VLOOKUP(CONCATENATE("B",Tabela1[[#This Row],[BLOCO]],Tabela1[[#This Row],[UO_COD]]),qdd!$AW$2:$AX$1000,2,FALSE),"")</f>
        <v/>
      </c>
      <c r="AB330" s="30" t="str">
        <f>IFERROR(Tabela1[[#This Row],[VALOR]]/100,"")</f>
        <v/>
      </c>
      <c r="AC330" s="7" t="str" cm="1">
        <f t="array" aca="1" ref="AC330" ca="1">IF(Tabela1[[#This Row],[VALOR]]&lt;0,"",IFERROR(SUBSTITUTE(Converter_numero(Tabela1[[#This Row],[VALOR INCISO]]),",",""),""))</f>
        <v/>
      </c>
      <c r="AD330" s="29" t="str">
        <f>IF(Tabela1[[#This Row],[TIPO]]=REGRAS!$W$2,REGRAS!$X$2,IF(Tabela1[[#This Row],[TIPO]]=REGRAS!$W$4,REGRAS!$X$4,""))</f>
        <v/>
      </c>
      <c r="AE330" s="29" t="e">
        <f>VLOOKUP(Tabela1[[#This Row],[FONTE_COD]],REGRAS!$O$2:$P$69,2,FALSE)</f>
        <v>#N/A</v>
      </c>
      <c r="AF3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1" spans="1:32" ht="18.75" customHeight="1">
      <c r="A331" s="2" t="str">
        <f>IFERROR(IF('PREENCHER AQUI'!A331="","",'PREENCHER AQUI'!A331),"")</f>
        <v/>
      </c>
      <c r="B331" s="1" t="str">
        <f>IFERROR(IF('PREENCHER AQUI'!B331="","",PROPER('PREENCHER AQUI'!B331)),"")</f>
        <v/>
      </c>
      <c r="C331" s="1" t="str">
        <f>IFERROR(IF('PREENCHER AQUI'!C331="","",'PREENCHER AQUI'!C331),"")</f>
        <v/>
      </c>
      <c r="D331" s="2" t="str">
        <f>IFERROR(IF('PREENCHER AQUI'!D331="","",'PREENCHER AQUI'!D331),"")</f>
        <v/>
      </c>
      <c r="E331" s="2" t="str">
        <f>IFERROR(VLOOKUP(CONCATENATE(C331,D331),qdd!$C$2:$F$1000,2,FALSE),"")</f>
        <v/>
      </c>
      <c r="F331" s="2" t="str">
        <f>IFERROR(VLOOKUP(CONCATENATE(C331,D331),qdd!$C$2:$F$1000,3,FALSE),"")</f>
        <v/>
      </c>
      <c r="G331" s="2" t="str">
        <f>IFERROR(VLOOKUP(CONCATENATE(C331,D331),qdd!$C$2:$F$1000,4,FALSE),"")</f>
        <v/>
      </c>
      <c r="H331" s="6" t="str">
        <f t="shared" si="12"/>
        <v/>
      </c>
      <c r="I3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1" s="2" t="str">
        <f>IFERROR(IF('PREENCHER AQUI'!E331="","",'PREENCHER AQUI'!E331),"")</f>
        <v/>
      </c>
      <c r="K331" s="2" t="str">
        <f>IFERROR(IF('PREENCHER AQUI'!F331="","",'PREENCHER AQUI'!F331),"")</f>
        <v/>
      </c>
      <c r="L331" s="2" t="str">
        <f>IF(Tabela1[[#This Row],[IPU_COD]]=9,"91",IF(Tabela1[[#This Row],[ACAO_COD]]="","",VLOOKUP(CONCATENATE("G",J331,"M",K331),qdd!$BC$2:$BD$46,2,FALSE)))</f>
        <v/>
      </c>
      <c r="M331" s="2" t="str">
        <f>TEXT(IFERROR(VLOOKUP(CONCATENATE(C331,D331),qdd!$C$2:$G$1000,5,FALSE),""),0)</f>
        <v/>
      </c>
      <c r="N331" s="2" t="str">
        <f>IFERROR(IF('PREENCHER AQUI'!I331="","",'PREENCHER AQUI'!I331),"")</f>
        <v/>
      </c>
      <c r="O331" s="2" t="str">
        <f>IFERROR(IF('PREENCHER AQUI'!J331="","",'PREENCHER AQUI'!J331),"")</f>
        <v/>
      </c>
      <c r="P331" s="7" t="str">
        <f t="shared" si="13"/>
        <v/>
      </c>
      <c r="Q331" s="8" t="str">
        <f>IFERROR(IF(Tabela4[[#This Row],[VALOR]]="","",IF(Tabela1[[#This Row],[ORIENTACAO]]="Anular",'PREENCHER AQUI'!K331*-1*100,'PREENCHER AQUI'!K331*100)),"")</f>
        <v/>
      </c>
      <c r="T331" s="7" t="str">
        <f>IFERROR(IF('PREENCHER AQUI'!L331="","999",LEFT('PREENCHER AQUI'!L331,1)),"")</f>
        <v>999</v>
      </c>
      <c r="V331" s="19"/>
      <c r="W331" s="1" t="str">
        <f>IFERROR(VLOOKUP(Tabela1[[#This Row],[UO_COD]],qdd!$AT$1:$AU$102,2,FALSE),"")</f>
        <v/>
      </c>
      <c r="X331" s="1" t="str">
        <f>CONCATENATE("F",Tabela1[[#This Row],[FONTE_COD]],Tabela1[[#This Row],[IPU_COD]],"G",Tabela1[[#This Row],[GRUPO_COD]],"T",Tabela1[[#This Row],[TIPO]])</f>
        <v>FGT999</v>
      </c>
      <c r="Y3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1" s="19"/>
      <c r="AA331" s="29" t="str">
        <f>IFERROR(VLOOKUP(CONCATENATE("B",Tabela1[[#This Row],[BLOCO]],Tabela1[[#This Row],[UO_COD]]),qdd!$AW$2:$AX$1000,2,FALSE),"")</f>
        <v/>
      </c>
      <c r="AB331" s="30" t="str">
        <f>IFERROR(Tabela1[[#This Row],[VALOR]]/100,"")</f>
        <v/>
      </c>
      <c r="AC331" s="7" t="str" cm="1">
        <f t="array" aca="1" ref="AC331" ca="1">IF(Tabela1[[#This Row],[VALOR]]&lt;0,"",IFERROR(SUBSTITUTE(Converter_numero(Tabela1[[#This Row],[VALOR INCISO]]),",",""),""))</f>
        <v/>
      </c>
      <c r="AD331" s="29" t="str">
        <f>IF(Tabela1[[#This Row],[TIPO]]=REGRAS!$W$2,REGRAS!$X$2,IF(Tabela1[[#This Row],[TIPO]]=REGRAS!$W$4,REGRAS!$X$4,""))</f>
        <v/>
      </c>
      <c r="AE331" s="29" t="e">
        <f>VLOOKUP(Tabela1[[#This Row],[FONTE_COD]],REGRAS!$O$2:$P$69,2,FALSE)</f>
        <v>#N/A</v>
      </c>
      <c r="AF3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2" spans="1:32" ht="18.75" customHeight="1">
      <c r="A332" s="2" t="str">
        <f>IFERROR(IF('PREENCHER AQUI'!A332="","",'PREENCHER AQUI'!A332),"")</f>
        <v/>
      </c>
      <c r="B332" s="1" t="str">
        <f>IFERROR(IF('PREENCHER AQUI'!B332="","",PROPER('PREENCHER AQUI'!B332)),"")</f>
        <v/>
      </c>
      <c r="C332" s="1" t="str">
        <f>IFERROR(IF('PREENCHER AQUI'!C332="","",'PREENCHER AQUI'!C332),"")</f>
        <v/>
      </c>
      <c r="D332" s="2" t="str">
        <f>IFERROR(IF('PREENCHER AQUI'!D332="","",'PREENCHER AQUI'!D332),"")</f>
        <v/>
      </c>
      <c r="E332" s="2" t="str">
        <f>IFERROR(VLOOKUP(CONCATENATE(C332,D332),qdd!$C$2:$F$1000,2,FALSE),"")</f>
        <v/>
      </c>
      <c r="F332" s="2" t="str">
        <f>IFERROR(VLOOKUP(CONCATENATE(C332,D332),qdd!$C$2:$F$1000,3,FALSE),"")</f>
        <v/>
      </c>
      <c r="G332" s="2" t="str">
        <f>IFERROR(VLOOKUP(CONCATENATE(C332,D332),qdd!$C$2:$F$1000,4,FALSE),"")</f>
        <v/>
      </c>
      <c r="H332" s="6" t="str">
        <f t="shared" si="12"/>
        <v/>
      </c>
      <c r="I3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2" s="2" t="str">
        <f>IFERROR(IF('PREENCHER AQUI'!E332="","",'PREENCHER AQUI'!E332),"")</f>
        <v/>
      </c>
      <c r="K332" s="2" t="str">
        <f>IFERROR(IF('PREENCHER AQUI'!F332="","",'PREENCHER AQUI'!F332),"")</f>
        <v/>
      </c>
      <c r="L332" s="2" t="str">
        <f>IF(Tabela1[[#This Row],[IPU_COD]]=9,"91",IF(Tabela1[[#This Row],[ACAO_COD]]="","",VLOOKUP(CONCATENATE("G",J332,"M",K332),qdd!$BC$2:$BD$46,2,FALSE)))</f>
        <v/>
      </c>
      <c r="M332" s="2" t="str">
        <f>TEXT(IFERROR(VLOOKUP(CONCATENATE(C332,D332),qdd!$C$2:$G$1000,5,FALSE),""),0)</f>
        <v/>
      </c>
      <c r="N332" s="2" t="str">
        <f>IFERROR(IF('PREENCHER AQUI'!I332="","",'PREENCHER AQUI'!I332),"")</f>
        <v/>
      </c>
      <c r="O332" s="2" t="str">
        <f>IFERROR(IF('PREENCHER AQUI'!J332="","",'PREENCHER AQUI'!J332),"")</f>
        <v/>
      </c>
      <c r="P332" s="7" t="str">
        <f t="shared" si="13"/>
        <v/>
      </c>
      <c r="Q332" s="8" t="str">
        <f>IFERROR(IF(Tabela4[[#This Row],[VALOR]]="","",IF(Tabela1[[#This Row],[ORIENTACAO]]="Anular",'PREENCHER AQUI'!K332*-1*100,'PREENCHER AQUI'!K332*100)),"")</f>
        <v/>
      </c>
      <c r="T332" s="7" t="str">
        <f>IFERROR(IF('PREENCHER AQUI'!L332="","999",LEFT('PREENCHER AQUI'!L332,1)),"")</f>
        <v>999</v>
      </c>
      <c r="W332" s="1" t="str">
        <f>IFERROR(VLOOKUP(Tabela1[[#This Row],[UO_COD]],qdd!$AT$1:$AU$102,2,FALSE),"")</f>
        <v/>
      </c>
      <c r="X332" s="1" t="str">
        <f>CONCATENATE("F",Tabela1[[#This Row],[FONTE_COD]],Tabela1[[#This Row],[IPU_COD]],"G",Tabela1[[#This Row],[GRUPO_COD]],"T",Tabela1[[#This Row],[TIPO]])</f>
        <v>FGT999</v>
      </c>
      <c r="Y3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2" s="19"/>
      <c r="AA332" s="29" t="str">
        <f>IFERROR(VLOOKUP(CONCATENATE("B",Tabela1[[#This Row],[BLOCO]],Tabela1[[#This Row],[UO_COD]]),qdd!$AW$2:$AX$1000,2,FALSE),"")</f>
        <v/>
      </c>
      <c r="AB332" s="30" t="str">
        <f>IFERROR(Tabela1[[#This Row],[VALOR]]/100,"")</f>
        <v/>
      </c>
      <c r="AC332" s="7" t="str" cm="1">
        <f t="array" aca="1" ref="AC332" ca="1">IF(Tabela1[[#This Row],[VALOR]]&lt;0,"",IFERROR(SUBSTITUTE(Converter_numero(Tabela1[[#This Row],[VALOR INCISO]]),",",""),""))</f>
        <v/>
      </c>
      <c r="AD332" s="7" t="str">
        <f>IF(Tabela1[[#This Row],[TIPO]]=REGRAS!$W$2,REGRAS!$X$2,IF(Tabela1[[#This Row],[TIPO]]=REGRAS!$W$4,REGRAS!$X$4,""))</f>
        <v/>
      </c>
      <c r="AE332" s="29" t="e">
        <f>VLOOKUP(Tabela1[[#This Row],[FONTE_COD]],REGRAS!$O$2:$P$69,2,FALSE)</f>
        <v>#N/A</v>
      </c>
      <c r="AF3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3" spans="1:32" ht="18.75" customHeight="1">
      <c r="A333" s="2" t="str">
        <f>IFERROR(IF('PREENCHER AQUI'!A333="","",'PREENCHER AQUI'!A333),"")</f>
        <v/>
      </c>
      <c r="B333" s="1" t="str">
        <f>IFERROR(IF('PREENCHER AQUI'!B333="","",PROPER('PREENCHER AQUI'!B333)),"")</f>
        <v/>
      </c>
      <c r="C333" s="1" t="str">
        <f>IFERROR(IF('PREENCHER AQUI'!C333="","",'PREENCHER AQUI'!C333),"")</f>
        <v/>
      </c>
      <c r="D333" s="2" t="str">
        <f>IFERROR(IF('PREENCHER AQUI'!D333="","",'PREENCHER AQUI'!D333),"")</f>
        <v/>
      </c>
      <c r="E333" s="2" t="str">
        <f>IFERROR(VLOOKUP(CONCATENATE(C333,D333),qdd!$C$2:$F$1000,2,FALSE),"")</f>
        <v/>
      </c>
      <c r="F333" s="2" t="str">
        <f>IFERROR(VLOOKUP(CONCATENATE(C333,D333),qdd!$C$2:$F$1000,3,FALSE),"")</f>
        <v/>
      </c>
      <c r="G333" s="2" t="str">
        <f>IFERROR(VLOOKUP(CONCATENATE(C333,D333),qdd!$C$2:$F$1000,4,FALSE),"")</f>
        <v/>
      </c>
      <c r="H333" s="6" t="str">
        <f t="shared" si="12"/>
        <v/>
      </c>
      <c r="I3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3" s="2" t="str">
        <f>IFERROR(IF('PREENCHER AQUI'!E333="","",'PREENCHER AQUI'!E333),"")</f>
        <v/>
      </c>
      <c r="K333" s="2" t="str">
        <f>IFERROR(IF('PREENCHER AQUI'!F333="","",'PREENCHER AQUI'!F333),"")</f>
        <v/>
      </c>
      <c r="L333" s="2" t="str">
        <f>IF(Tabela1[[#This Row],[IPU_COD]]=9,"91",IF(Tabela1[[#This Row],[ACAO_COD]]="","",VLOOKUP(CONCATENATE("G",J333,"M",K333),qdd!$BC$2:$BD$46,2,FALSE)))</f>
        <v/>
      </c>
      <c r="M333" s="2" t="str">
        <f>TEXT(IFERROR(VLOOKUP(CONCATENATE(C333,D333),qdd!$C$2:$G$1000,5,FALSE),""),0)</f>
        <v/>
      </c>
      <c r="N333" s="2" t="str">
        <f>IFERROR(IF('PREENCHER AQUI'!I333="","",'PREENCHER AQUI'!I333),"")</f>
        <v/>
      </c>
      <c r="O333" s="2" t="str">
        <f>IFERROR(IF('PREENCHER AQUI'!J333="","",'PREENCHER AQUI'!J333),"")</f>
        <v/>
      </c>
      <c r="P333" s="7" t="str">
        <f t="shared" si="13"/>
        <v/>
      </c>
      <c r="Q333" s="8" t="str">
        <f>IFERROR(IF(Tabela4[[#This Row],[VALOR]]="","",IF(Tabela1[[#This Row],[ORIENTACAO]]="Anular",'PREENCHER AQUI'!K333*-1*100,'PREENCHER AQUI'!K333*100)),"")</f>
        <v/>
      </c>
      <c r="T333" s="7" t="str">
        <f>IFERROR(IF('PREENCHER AQUI'!L333="","999",LEFT('PREENCHER AQUI'!L333,1)),"")</f>
        <v>999</v>
      </c>
      <c r="V333" s="19"/>
      <c r="W333" s="1" t="str">
        <f>IFERROR(VLOOKUP(Tabela1[[#This Row],[UO_COD]],qdd!$AT$1:$AU$102,2,FALSE),"")</f>
        <v/>
      </c>
      <c r="X333" s="1" t="str">
        <f>CONCATENATE("F",Tabela1[[#This Row],[FONTE_COD]],Tabela1[[#This Row],[IPU_COD]],"G",Tabela1[[#This Row],[GRUPO_COD]],"T",Tabela1[[#This Row],[TIPO]])</f>
        <v>FGT999</v>
      </c>
      <c r="Y3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3" s="19"/>
      <c r="AA333" s="29" t="str">
        <f>IFERROR(VLOOKUP(CONCATENATE("B",Tabela1[[#This Row],[BLOCO]],Tabela1[[#This Row],[UO_COD]]),qdd!$AW$2:$AX$1000,2,FALSE),"")</f>
        <v/>
      </c>
      <c r="AB333" s="30" t="str">
        <f>IFERROR(Tabela1[[#This Row],[VALOR]]/100,"")</f>
        <v/>
      </c>
      <c r="AC333" s="7" t="str" cm="1">
        <f t="array" aca="1" ref="AC333" ca="1">IF(Tabela1[[#This Row],[VALOR]]&lt;0,"",IFERROR(SUBSTITUTE(Converter_numero(Tabela1[[#This Row],[VALOR INCISO]]),",",""),""))</f>
        <v/>
      </c>
      <c r="AD333" s="29" t="str">
        <f>IF(Tabela1[[#This Row],[TIPO]]=REGRAS!$W$2,REGRAS!$X$2,IF(Tabela1[[#This Row],[TIPO]]=REGRAS!$W$4,REGRAS!$X$4,""))</f>
        <v/>
      </c>
      <c r="AE333" s="29" t="e">
        <f>VLOOKUP(Tabela1[[#This Row],[FONTE_COD]],REGRAS!$O$2:$P$69,2,FALSE)</f>
        <v>#N/A</v>
      </c>
      <c r="AF3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4" spans="1:32" ht="18.75" customHeight="1">
      <c r="A334" s="2" t="str">
        <f>IFERROR(IF('PREENCHER AQUI'!A334="","",'PREENCHER AQUI'!A334),"")</f>
        <v/>
      </c>
      <c r="B334" s="1" t="str">
        <f>IFERROR(IF('PREENCHER AQUI'!B334="","",PROPER('PREENCHER AQUI'!B334)),"")</f>
        <v/>
      </c>
      <c r="C334" s="1" t="str">
        <f>IFERROR(IF('PREENCHER AQUI'!C334="","",'PREENCHER AQUI'!C334),"")</f>
        <v/>
      </c>
      <c r="D334" s="2" t="str">
        <f>IFERROR(IF('PREENCHER AQUI'!D334="","",'PREENCHER AQUI'!D334),"")</f>
        <v/>
      </c>
      <c r="E334" s="2" t="str">
        <f>IFERROR(VLOOKUP(CONCATENATE(C334,D334),qdd!$C$2:$F$1000,2,FALSE),"")</f>
        <v/>
      </c>
      <c r="F334" s="2" t="str">
        <f>IFERROR(VLOOKUP(CONCATENATE(C334,D334),qdd!$C$2:$F$1000,3,FALSE),"")</f>
        <v/>
      </c>
      <c r="G334" s="2" t="str">
        <f>IFERROR(VLOOKUP(CONCATENATE(C334,D334),qdd!$C$2:$F$1000,4,FALSE),"")</f>
        <v/>
      </c>
      <c r="H334" s="6" t="str">
        <f t="shared" si="12"/>
        <v/>
      </c>
      <c r="I3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4" s="2" t="str">
        <f>IFERROR(IF('PREENCHER AQUI'!E334="","",'PREENCHER AQUI'!E334),"")</f>
        <v/>
      </c>
      <c r="K334" s="2" t="str">
        <f>IFERROR(IF('PREENCHER AQUI'!F334="","",'PREENCHER AQUI'!F334),"")</f>
        <v/>
      </c>
      <c r="L334" s="2" t="str">
        <f>IF(Tabela1[[#This Row],[IPU_COD]]=9,"91",IF(Tabela1[[#This Row],[ACAO_COD]]="","",VLOOKUP(CONCATENATE("G",J334,"M",K334),qdd!$BC$2:$BD$46,2,FALSE)))</f>
        <v/>
      </c>
      <c r="M334" s="2" t="str">
        <f>TEXT(IFERROR(VLOOKUP(CONCATENATE(C334,D334),qdd!$C$2:$G$1000,5,FALSE),""),0)</f>
        <v/>
      </c>
      <c r="N334" s="2" t="str">
        <f>IFERROR(IF('PREENCHER AQUI'!I334="","",'PREENCHER AQUI'!I334),"")</f>
        <v/>
      </c>
      <c r="O334" s="2" t="str">
        <f>IFERROR(IF('PREENCHER AQUI'!J334="","",'PREENCHER AQUI'!J334),"")</f>
        <v/>
      </c>
      <c r="P334" s="7" t="str">
        <f t="shared" si="13"/>
        <v/>
      </c>
      <c r="Q334" s="8" t="str">
        <f>IFERROR(IF(Tabela4[[#This Row],[VALOR]]="","",IF(Tabela1[[#This Row],[ORIENTACAO]]="Anular",'PREENCHER AQUI'!K334*-1*100,'PREENCHER AQUI'!K334*100)),"")</f>
        <v/>
      </c>
      <c r="T334" s="7" t="str">
        <f>IFERROR(IF('PREENCHER AQUI'!L334="","999",LEFT('PREENCHER AQUI'!L334,1)),"")</f>
        <v>999</v>
      </c>
      <c r="V334" s="19"/>
      <c r="W334" s="1" t="str">
        <f>IFERROR(VLOOKUP(Tabela1[[#This Row],[UO_COD]],qdd!$AT$1:$AU$102,2,FALSE),"")</f>
        <v/>
      </c>
      <c r="X334" s="1" t="str">
        <f>CONCATENATE("F",Tabela1[[#This Row],[FONTE_COD]],Tabela1[[#This Row],[IPU_COD]],"G",Tabela1[[#This Row],[GRUPO_COD]],"T",Tabela1[[#This Row],[TIPO]])</f>
        <v>FGT999</v>
      </c>
      <c r="Y3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4" s="19"/>
      <c r="AA334" s="29" t="str">
        <f>IFERROR(VLOOKUP(CONCATENATE("B",Tabela1[[#This Row],[BLOCO]],Tabela1[[#This Row],[UO_COD]]),qdd!$AW$2:$AX$1000,2,FALSE),"")</f>
        <v/>
      </c>
      <c r="AB334" s="30" t="str">
        <f>IFERROR(Tabela1[[#This Row],[VALOR]]/100,"")</f>
        <v/>
      </c>
      <c r="AC334" s="7" t="str" cm="1">
        <f t="array" aca="1" ref="AC334" ca="1">IF(Tabela1[[#This Row],[VALOR]]&lt;0,"",IFERROR(SUBSTITUTE(Converter_numero(Tabela1[[#This Row],[VALOR INCISO]]),",",""),""))</f>
        <v/>
      </c>
      <c r="AD334" s="29" t="str">
        <f>IF(Tabela1[[#This Row],[TIPO]]=REGRAS!$W$2,REGRAS!$X$2,IF(Tabela1[[#This Row],[TIPO]]=REGRAS!$W$4,REGRAS!$X$4,""))</f>
        <v/>
      </c>
      <c r="AE334" s="29" t="e">
        <f>VLOOKUP(Tabela1[[#This Row],[FONTE_COD]],REGRAS!$O$2:$P$69,2,FALSE)</f>
        <v>#N/A</v>
      </c>
      <c r="AF3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5" spans="1:32" ht="18.75" customHeight="1">
      <c r="A335" s="2" t="str">
        <f>IFERROR(IF('PREENCHER AQUI'!A335="","",'PREENCHER AQUI'!A335),"")</f>
        <v/>
      </c>
      <c r="B335" s="1" t="str">
        <f>IFERROR(IF('PREENCHER AQUI'!B335="","",PROPER('PREENCHER AQUI'!B335)),"")</f>
        <v/>
      </c>
      <c r="C335" s="1" t="str">
        <f>IFERROR(IF('PREENCHER AQUI'!C335="","",'PREENCHER AQUI'!C335),"")</f>
        <v/>
      </c>
      <c r="D335" s="2" t="str">
        <f>IFERROR(IF('PREENCHER AQUI'!D335="","",'PREENCHER AQUI'!D335),"")</f>
        <v/>
      </c>
      <c r="E335" s="2" t="str">
        <f>IFERROR(VLOOKUP(CONCATENATE(C335,D335),qdd!$C$2:$F$1000,2,FALSE),"")</f>
        <v/>
      </c>
      <c r="F335" s="2" t="str">
        <f>IFERROR(VLOOKUP(CONCATENATE(C335,D335),qdd!$C$2:$F$1000,3,FALSE),"")</f>
        <v/>
      </c>
      <c r="G335" s="2" t="str">
        <f>IFERROR(VLOOKUP(CONCATENATE(C335,D335),qdd!$C$2:$F$1000,4,FALSE),"")</f>
        <v/>
      </c>
      <c r="H335" s="6" t="str">
        <f t="shared" si="12"/>
        <v/>
      </c>
      <c r="I3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5" s="2" t="str">
        <f>IFERROR(IF('PREENCHER AQUI'!E335="","",'PREENCHER AQUI'!E335),"")</f>
        <v/>
      </c>
      <c r="K335" s="2" t="str">
        <f>IFERROR(IF('PREENCHER AQUI'!F335="","",'PREENCHER AQUI'!F335),"")</f>
        <v/>
      </c>
      <c r="L335" s="2" t="str">
        <f>IF(Tabela1[[#This Row],[IPU_COD]]=9,"91",IF(Tabela1[[#This Row],[ACAO_COD]]="","",VLOOKUP(CONCATENATE("G",J335,"M",K335),qdd!$BC$2:$BD$46,2,FALSE)))</f>
        <v/>
      </c>
      <c r="M335" s="2" t="str">
        <f>TEXT(IFERROR(VLOOKUP(CONCATENATE(C335,D335),qdd!$C$2:$G$1000,5,FALSE),""),0)</f>
        <v/>
      </c>
      <c r="N335" s="2" t="str">
        <f>IFERROR(IF('PREENCHER AQUI'!I335="","",'PREENCHER AQUI'!I335),"")</f>
        <v/>
      </c>
      <c r="O335" s="2" t="str">
        <f>IFERROR(IF('PREENCHER AQUI'!J335="","",'PREENCHER AQUI'!J335),"")</f>
        <v/>
      </c>
      <c r="P335" s="7" t="str">
        <f t="shared" si="13"/>
        <v/>
      </c>
      <c r="Q335" s="8" t="str">
        <f>IFERROR(IF(Tabela4[[#This Row],[VALOR]]="","",IF(Tabela1[[#This Row],[ORIENTACAO]]="Anular",'PREENCHER AQUI'!K335*-1*100,'PREENCHER AQUI'!K335*100)),"")</f>
        <v/>
      </c>
      <c r="T335" s="7" t="str">
        <f>IFERROR(IF('PREENCHER AQUI'!L335="","999",LEFT('PREENCHER AQUI'!L335,1)),"")</f>
        <v>999</v>
      </c>
      <c r="V335" s="19"/>
      <c r="W335" s="20" t="str">
        <f>IFERROR(VLOOKUP(Tabela1[[#This Row],[UO_COD]],qdd!$AT$1:$AU$102,2,FALSE),"")</f>
        <v/>
      </c>
      <c r="X335" s="20" t="str">
        <f>CONCATENATE("F",Tabela1[[#This Row],[FONTE_COD]],Tabela1[[#This Row],[IPU_COD]],"G",Tabela1[[#This Row],[GRUPO_COD]],"T",Tabela1[[#This Row],[TIPO]])</f>
        <v>FGT999</v>
      </c>
      <c r="Y3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5" s="19"/>
      <c r="AA335" s="29" t="str">
        <f>IFERROR(VLOOKUP(CONCATENATE("B",Tabela1[[#This Row],[BLOCO]],Tabela1[[#This Row],[UO_COD]]),qdd!$AW$2:$AX$1000,2,FALSE),"")</f>
        <v/>
      </c>
      <c r="AB335" s="30" t="str">
        <f>IFERROR(Tabela1[[#This Row],[VALOR]]/100,"")</f>
        <v/>
      </c>
      <c r="AC335" s="7" t="str" cm="1">
        <f t="array" aca="1" ref="AC335" ca="1">IF(Tabela1[[#This Row],[VALOR]]&lt;0,"",IFERROR(SUBSTITUTE(Converter_numero(Tabela1[[#This Row],[VALOR INCISO]]),",",""),""))</f>
        <v/>
      </c>
      <c r="AD335" s="29" t="str">
        <f>IF(Tabela1[[#This Row],[TIPO]]=REGRAS!$W$2,REGRAS!$X$2,IF(Tabela1[[#This Row],[TIPO]]=REGRAS!$W$4,REGRAS!$X$4,""))</f>
        <v/>
      </c>
      <c r="AE335" s="29" t="e">
        <f>VLOOKUP(Tabela1[[#This Row],[FONTE_COD]],REGRAS!$O$2:$P$69,2,FALSE)</f>
        <v>#N/A</v>
      </c>
      <c r="AF3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6" spans="1:32" ht="18.75" customHeight="1">
      <c r="A336" s="2" t="str">
        <f>IFERROR(IF('PREENCHER AQUI'!A336="","",'PREENCHER AQUI'!A336),"")</f>
        <v/>
      </c>
      <c r="B336" s="1" t="str">
        <f>IFERROR(IF('PREENCHER AQUI'!B336="","",PROPER('PREENCHER AQUI'!B336)),"")</f>
        <v/>
      </c>
      <c r="C336" s="1" t="str">
        <f>IFERROR(IF('PREENCHER AQUI'!C336="","",'PREENCHER AQUI'!C336),"")</f>
        <v/>
      </c>
      <c r="D336" s="2" t="str">
        <f>IFERROR(IF('PREENCHER AQUI'!D336="","",'PREENCHER AQUI'!D336),"")</f>
        <v/>
      </c>
      <c r="E336" s="2" t="str">
        <f>IFERROR(VLOOKUP(CONCATENATE(C336,D336),qdd!$C$2:$F$1000,2,FALSE),"")</f>
        <v/>
      </c>
      <c r="F336" s="2" t="str">
        <f>IFERROR(VLOOKUP(CONCATENATE(C336,D336),qdd!$C$2:$F$1000,3,FALSE),"")</f>
        <v/>
      </c>
      <c r="G336" s="2" t="str">
        <f>IFERROR(VLOOKUP(CONCATENATE(C336,D336),qdd!$C$2:$F$1000,4,FALSE),"")</f>
        <v/>
      </c>
      <c r="H336" s="6" t="str">
        <f t="shared" si="12"/>
        <v/>
      </c>
      <c r="I3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6" s="2" t="str">
        <f>IFERROR(IF('PREENCHER AQUI'!E336="","",'PREENCHER AQUI'!E336),"")</f>
        <v/>
      </c>
      <c r="K336" s="2" t="str">
        <f>IFERROR(IF('PREENCHER AQUI'!F336="","",'PREENCHER AQUI'!F336),"")</f>
        <v/>
      </c>
      <c r="L336" s="2" t="str">
        <f>IF(Tabela1[[#This Row],[IPU_COD]]=9,"91",IF(Tabela1[[#This Row],[ACAO_COD]]="","",VLOOKUP(CONCATENATE("G",J336,"M",K336),qdd!$BC$2:$BD$46,2,FALSE)))</f>
        <v/>
      </c>
      <c r="M336" s="2" t="str">
        <f>TEXT(IFERROR(VLOOKUP(CONCATENATE(C336,D336),qdd!$C$2:$G$1000,5,FALSE),""),0)</f>
        <v/>
      </c>
      <c r="N336" s="2" t="str">
        <f>IFERROR(IF('PREENCHER AQUI'!I336="","",'PREENCHER AQUI'!I336),"")</f>
        <v/>
      </c>
      <c r="O336" s="2" t="str">
        <f>IFERROR(IF('PREENCHER AQUI'!J336="","",'PREENCHER AQUI'!J336),"")</f>
        <v/>
      </c>
      <c r="P336" s="7" t="str">
        <f t="shared" si="13"/>
        <v/>
      </c>
      <c r="Q336" s="8" t="str">
        <f>IFERROR(IF(Tabela4[[#This Row],[VALOR]]="","",IF(Tabela1[[#This Row],[ORIENTACAO]]="Anular",'PREENCHER AQUI'!K336*-1*100,'PREENCHER AQUI'!K336*100)),"")</f>
        <v/>
      </c>
      <c r="T336" s="7" t="str">
        <f>IFERROR(IF('PREENCHER AQUI'!L336="","999",LEFT('PREENCHER AQUI'!L336,1)),"")</f>
        <v>999</v>
      </c>
      <c r="V336" s="19"/>
      <c r="W336" s="1" t="str">
        <f>IFERROR(VLOOKUP(Tabela1[[#This Row],[UO_COD]],qdd!$AT$1:$AU$102,2,FALSE),"")</f>
        <v/>
      </c>
      <c r="X336" s="1" t="str">
        <f>CONCATENATE("F",Tabela1[[#This Row],[FONTE_COD]],Tabela1[[#This Row],[IPU_COD]],"G",Tabela1[[#This Row],[GRUPO_COD]],"T",Tabela1[[#This Row],[TIPO]])</f>
        <v>FGT999</v>
      </c>
      <c r="Y3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6" s="19"/>
      <c r="AA336" s="29" t="str">
        <f>IFERROR(VLOOKUP(CONCATENATE("B",Tabela1[[#This Row],[BLOCO]],Tabela1[[#This Row],[UO_COD]]),qdd!$AW$2:$AX$1000,2,FALSE),"")</f>
        <v/>
      </c>
      <c r="AB336" s="30" t="str">
        <f>IFERROR(Tabela1[[#This Row],[VALOR]]/100,"")</f>
        <v/>
      </c>
      <c r="AC336" s="7" t="str" cm="1">
        <f t="array" aca="1" ref="AC336" ca="1">IF(Tabela1[[#This Row],[VALOR]]&lt;0,"",IFERROR(SUBSTITUTE(Converter_numero(Tabela1[[#This Row],[VALOR INCISO]]),",",""),""))</f>
        <v/>
      </c>
      <c r="AD336" s="29" t="str">
        <f>IF(Tabela1[[#This Row],[TIPO]]=REGRAS!$W$2,REGRAS!$X$2,IF(Tabela1[[#This Row],[TIPO]]=REGRAS!$W$4,REGRAS!$X$4,""))</f>
        <v/>
      </c>
      <c r="AE336" s="29" t="e">
        <f>VLOOKUP(Tabela1[[#This Row],[FONTE_COD]],REGRAS!$O$2:$P$69,2,FALSE)</f>
        <v>#N/A</v>
      </c>
      <c r="AF3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7" spans="1:32" ht="18.75" customHeight="1">
      <c r="A337" s="2" t="str">
        <f>IFERROR(IF('PREENCHER AQUI'!A337="","",'PREENCHER AQUI'!A337),"")</f>
        <v/>
      </c>
      <c r="B337" s="1" t="str">
        <f>IFERROR(IF('PREENCHER AQUI'!B337="","",PROPER('PREENCHER AQUI'!B337)),"")</f>
        <v/>
      </c>
      <c r="C337" s="1" t="str">
        <f>IFERROR(IF('PREENCHER AQUI'!C337="","",'PREENCHER AQUI'!C337),"")</f>
        <v/>
      </c>
      <c r="D337" s="2" t="str">
        <f>IFERROR(IF('PREENCHER AQUI'!D337="","",'PREENCHER AQUI'!D337),"")</f>
        <v/>
      </c>
      <c r="E337" s="2" t="str">
        <f>IFERROR(VLOOKUP(CONCATENATE(C337,D337),qdd!$C$2:$F$1000,2,FALSE),"")</f>
        <v/>
      </c>
      <c r="F337" s="2" t="str">
        <f>IFERROR(VLOOKUP(CONCATENATE(C337,D337),qdd!$C$2:$F$1000,3,FALSE),"")</f>
        <v/>
      </c>
      <c r="G337" s="2" t="str">
        <f>IFERROR(VLOOKUP(CONCATENATE(C337,D337),qdd!$C$2:$F$1000,4,FALSE),"")</f>
        <v/>
      </c>
      <c r="H337" s="6" t="str">
        <f t="shared" si="12"/>
        <v/>
      </c>
      <c r="I3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7" s="2" t="str">
        <f>IFERROR(IF('PREENCHER AQUI'!E337="","",'PREENCHER AQUI'!E337),"")</f>
        <v/>
      </c>
      <c r="K337" s="2" t="str">
        <f>IFERROR(IF('PREENCHER AQUI'!F337="","",'PREENCHER AQUI'!F337),"")</f>
        <v/>
      </c>
      <c r="L337" s="2" t="str">
        <f>IF(Tabela1[[#This Row],[IPU_COD]]=9,"91",IF(Tabela1[[#This Row],[ACAO_COD]]="","",VLOOKUP(CONCATENATE("G",J337,"M",K337),qdd!$BC$2:$BD$46,2,FALSE)))</f>
        <v/>
      </c>
      <c r="M337" s="2" t="str">
        <f>TEXT(IFERROR(VLOOKUP(CONCATENATE(C337,D337),qdd!$C$2:$G$1000,5,FALSE),""),0)</f>
        <v/>
      </c>
      <c r="N337" s="2" t="str">
        <f>IFERROR(IF('PREENCHER AQUI'!I337="","",'PREENCHER AQUI'!I337),"")</f>
        <v/>
      </c>
      <c r="O337" s="2" t="str">
        <f>IFERROR(IF('PREENCHER AQUI'!J337="","",'PREENCHER AQUI'!J337),"")</f>
        <v/>
      </c>
      <c r="P337" s="7" t="str">
        <f t="shared" si="13"/>
        <v/>
      </c>
      <c r="Q337" s="8" t="str">
        <f>IFERROR(IF(Tabela4[[#This Row],[VALOR]]="","",IF(Tabela1[[#This Row],[ORIENTACAO]]="Anular",'PREENCHER AQUI'!K337*-1*100,'PREENCHER AQUI'!K337*100)),"")</f>
        <v/>
      </c>
      <c r="T337" s="7" t="str">
        <f>IFERROR(IF('PREENCHER AQUI'!L337="","999",LEFT('PREENCHER AQUI'!L337,1)),"")</f>
        <v>999</v>
      </c>
      <c r="W337" s="1" t="str">
        <f>IFERROR(VLOOKUP(Tabela1[[#This Row],[UO_COD]],qdd!$AT$1:$AU$102,2,FALSE),"")</f>
        <v/>
      </c>
      <c r="X337" s="1" t="str">
        <f>CONCATENATE("F",Tabela1[[#This Row],[FONTE_COD]],Tabela1[[#This Row],[IPU_COD]],"G",Tabela1[[#This Row],[GRUPO_COD]],"T",Tabela1[[#This Row],[TIPO]])</f>
        <v>FGT999</v>
      </c>
      <c r="Y3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7" s="19"/>
      <c r="AA337" s="29" t="str">
        <f>IFERROR(VLOOKUP(CONCATENATE("B",Tabela1[[#This Row],[BLOCO]],Tabela1[[#This Row],[UO_COD]]),qdd!$AW$2:$AX$1000,2,FALSE),"")</f>
        <v/>
      </c>
      <c r="AB337" s="30" t="str">
        <f>IFERROR(Tabela1[[#This Row],[VALOR]]/100,"")</f>
        <v/>
      </c>
      <c r="AC337" s="7" t="str" cm="1">
        <f t="array" aca="1" ref="AC337" ca="1">IF(Tabela1[[#This Row],[VALOR]]&lt;0,"",IFERROR(SUBSTITUTE(Converter_numero(Tabela1[[#This Row],[VALOR INCISO]]),",",""),""))</f>
        <v/>
      </c>
      <c r="AD337" s="7" t="str">
        <f>IF(Tabela1[[#This Row],[TIPO]]=REGRAS!$W$2,REGRAS!$X$2,IF(Tabela1[[#This Row],[TIPO]]=REGRAS!$W$4,REGRAS!$X$4,""))</f>
        <v/>
      </c>
      <c r="AE337" s="29" t="e">
        <f>VLOOKUP(Tabela1[[#This Row],[FONTE_COD]],REGRAS!$O$2:$P$69,2,FALSE)</f>
        <v>#N/A</v>
      </c>
      <c r="AF3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8" spans="1:32" ht="18.75" customHeight="1">
      <c r="A338" s="2" t="str">
        <f>IFERROR(IF('PREENCHER AQUI'!A338="","",'PREENCHER AQUI'!A338),"")</f>
        <v/>
      </c>
      <c r="B338" s="1" t="str">
        <f>IFERROR(IF('PREENCHER AQUI'!B338="","",PROPER('PREENCHER AQUI'!B338)),"")</f>
        <v/>
      </c>
      <c r="C338" s="1" t="str">
        <f>IFERROR(IF('PREENCHER AQUI'!C338="","",'PREENCHER AQUI'!C338),"")</f>
        <v/>
      </c>
      <c r="D338" s="2" t="str">
        <f>IFERROR(IF('PREENCHER AQUI'!D338="","",'PREENCHER AQUI'!D338),"")</f>
        <v/>
      </c>
      <c r="E338" s="2" t="str">
        <f>IFERROR(VLOOKUP(CONCATENATE(C338,D338),qdd!$C$2:$F$1000,2,FALSE),"")</f>
        <v/>
      </c>
      <c r="F338" s="2" t="str">
        <f>IFERROR(VLOOKUP(CONCATENATE(C338,D338),qdd!$C$2:$F$1000,3,FALSE),"")</f>
        <v/>
      </c>
      <c r="G338" s="2" t="str">
        <f>IFERROR(VLOOKUP(CONCATENATE(C338,D338),qdd!$C$2:$F$1000,4,FALSE),"")</f>
        <v/>
      </c>
      <c r="H338" s="6" t="str">
        <f t="shared" si="12"/>
        <v/>
      </c>
      <c r="I3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8" s="2" t="str">
        <f>IFERROR(IF('PREENCHER AQUI'!E338="","",'PREENCHER AQUI'!E338),"")</f>
        <v/>
      </c>
      <c r="K338" s="2" t="str">
        <f>IFERROR(IF('PREENCHER AQUI'!F338="","",'PREENCHER AQUI'!F338),"")</f>
        <v/>
      </c>
      <c r="L338" s="2" t="str">
        <f>IF(Tabela1[[#This Row],[IPU_COD]]=9,"91",IF(Tabela1[[#This Row],[ACAO_COD]]="","",VLOOKUP(CONCATENATE("G",J338,"M",K338),qdd!$BC$2:$BD$46,2,FALSE)))</f>
        <v/>
      </c>
      <c r="M338" s="2" t="str">
        <f>TEXT(IFERROR(VLOOKUP(CONCATENATE(C338,D338),qdd!$C$2:$G$1000,5,FALSE),""),0)</f>
        <v/>
      </c>
      <c r="N338" s="2" t="str">
        <f>IFERROR(IF('PREENCHER AQUI'!I338="","",'PREENCHER AQUI'!I338),"")</f>
        <v/>
      </c>
      <c r="O338" s="2" t="str">
        <f>IFERROR(IF('PREENCHER AQUI'!J338="","",'PREENCHER AQUI'!J338),"")</f>
        <v/>
      </c>
      <c r="P338" s="7" t="str">
        <f t="shared" si="13"/>
        <v/>
      </c>
      <c r="Q338" s="8" t="str">
        <f>IFERROR(IF(Tabela4[[#This Row],[VALOR]]="","",IF(Tabela1[[#This Row],[ORIENTACAO]]="Anular",'PREENCHER AQUI'!K338*-1*100,'PREENCHER AQUI'!K338*100)),"")</f>
        <v/>
      </c>
      <c r="T338" s="7" t="str">
        <f>IFERROR(IF('PREENCHER AQUI'!L338="","999",LEFT('PREENCHER AQUI'!L338,1)),"")</f>
        <v>999</v>
      </c>
      <c r="V338" s="19"/>
      <c r="W338" s="1" t="str">
        <f>IFERROR(VLOOKUP(Tabela1[[#This Row],[UO_COD]],qdd!$AT$1:$AU$102,2,FALSE),"")</f>
        <v/>
      </c>
      <c r="X338" s="1" t="str">
        <f>CONCATENATE("F",Tabela1[[#This Row],[FONTE_COD]],Tabela1[[#This Row],[IPU_COD]],"G",Tabela1[[#This Row],[GRUPO_COD]],"T",Tabela1[[#This Row],[TIPO]])</f>
        <v>FGT999</v>
      </c>
      <c r="Y3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8" s="19"/>
      <c r="AA338" s="29" t="str">
        <f>IFERROR(VLOOKUP(CONCATENATE("B",Tabela1[[#This Row],[BLOCO]],Tabela1[[#This Row],[UO_COD]]),qdd!$AW$2:$AX$1000,2,FALSE),"")</f>
        <v/>
      </c>
      <c r="AB338" s="30" t="str">
        <f>IFERROR(Tabela1[[#This Row],[VALOR]]/100,"")</f>
        <v/>
      </c>
      <c r="AC338" s="7" t="str" cm="1">
        <f t="array" aca="1" ref="AC338" ca="1">IF(Tabela1[[#This Row],[VALOR]]&lt;0,"",IFERROR(SUBSTITUTE(Converter_numero(Tabela1[[#This Row],[VALOR INCISO]]),",",""),""))</f>
        <v/>
      </c>
      <c r="AD338" s="29" t="str">
        <f>IF(Tabela1[[#This Row],[TIPO]]=REGRAS!$W$2,REGRAS!$X$2,IF(Tabela1[[#This Row],[TIPO]]=REGRAS!$W$4,REGRAS!$X$4,""))</f>
        <v/>
      </c>
      <c r="AE338" s="29" t="e">
        <f>VLOOKUP(Tabela1[[#This Row],[FONTE_COD]],REGRAS!$O$2:$P$69,2,FALSE)</f>
        <v>#N/A</v>
      </c>
      <c r="AF3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9" spans="1:32" ht="18.75" customHeight="1">
      <c r="A339" s="2" t="str">
        <f>IFERROR(IF('PREENCHER AQUI'!A339="","",'PREENCHER AQUI'!A339),"")</f>
        <v/>
      </c>
      <c r="B339" s="1" t="str">
        <f>IFERROR(IF('PREENCHER AQUI'!B339="","",PROPER('PREENCHER AQUI'!B339)),"")</f>
        <v/>
      </c>
      <c r="C339" s="1" t="str">
        <f>IFERROR(IF('PREENCHER AQUI'!C339="","",'PREENCHER AQUI'!C339),"")</f>
        <v/>
      </c>
      <c r="D339" s="2" t="str">
        <f>IFERROR(IF('PREENCHER AQUI'!D339="","",'PREENCHER AQUI'!D339),"")</f>
        <v/>
      </c>
      <c r="E339" s="2" t="str">
        <f>IFERROR(VLOOKUP(CONCATENATE(C339,D339),qdd!$C$2:$F$1000,2,FALSE),"")</f>
        <v/>
      </c>
      <c r="F339" s="2" t="str">
        <f>IFERROR(VLOOKUP(CONCATENATE(C339,D339),qdd!$C$2:$F$1000,3,FALSE),"")</f>
        <v/>
      </c>
      <c r="G339" s="2" t="str">
        <f>IFERROR(VLOOKUP(CONCATENATE(C339,D339),qdd!$C$2:$F$1000,4,FALSE),"")</f>
        <v/>
      </c>
      <c r="H339" s="6" t="str">
        <f t="shared" si="12"/>
        <v/>
      </c>
      <c r="I3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9" s="2" t="str">
        <f>IFERROR(IF('PREENCHER AQUI'!E339="","",'PREENCHER AQUI'!E339),"")</f>
        <v/>
      </c>
      <c r="K339" s="2" t="str">
        <f>IFERROR(IF('PREENCHER AQUI'!F339="","",'PREENCHER AQUI'!F339),"")</f>
        <v/>
      </c>
      <c r="L339" s="2" t="str">
        <f>IF(Tabela1[[#This Row],[IPU_COD]]=9,"91",IF(Tabela1[[#This Row],[ACAO_COD]]="","",VLOOKUP(CONCATENATE("G",J339,"M",K339),qdd!$BC$2:$BD$46,2,FALSE)))</f>
        <v/>
      </c>
      <c r="M339" s="2" t="str">
        <f>TEXT(IFERROR(VLOOKUP(CONCATENATE(C339,D339),qdd!$C$2:$G$1000,5,FALSE),""),0)</f>
        <v/>
      </c>
      <c r="N339" s="2" t="str">
        <f>IFERROR(IF('PREENCHER AQUI'!I339="","",'PREENCHER AQUI'!I339),"")</f>
        <v/>
      </c>
      <c r="O339" s="2" t="str">
        <f>IFERROR(IF('PREENCHER AQUI'!J339="","",'PREENCHER AQUI'!J339),"")</f>
        <v/>
      </c>
      <c r="P339" s="7" t="str">
        <f t="shared" si="13"/>
        <v/>
      </c>
      <c r="Q339" s="8" t="str">
        <f>IFERROR(IF(Tabela4[[#This Row],[VALOR]]="","",IF(Tabela1[[#This Row],[ORIENTACAO]]="Anular",'PREENCHER AQUI'!K339*-1*100,'PREENCHER AQUI'!K339*100)),"")</f>
        <v/>
      </c>
      <c r="T339" s="7" t="str">
        <f>IFERROR(IF('PREENCHER AQUI'!L339="","999",LEFT('PREENCHER AQUI'!L339,1)),"")</f>
        <v>999</v>
      </c>
      <c r="V339" s="19"/>
      <c r="W339" s="1" t="str">
        <f>IFERROR(VLOOKUP(Tabela1[[#This Row],[UO_COD]],qdd!$AT$1:$AU$102,2,FALSE),"")</f>
        <v/>
      </c>
      <c r="X339" s="1" t="str">
        <f>CONCATENATE("F",Tabela1[[#This Row],[FONTE_COD]],Tabela1[[#This Row],[IPU_COD]],"G",Tabela1[[#This Row],[GRUPO_COD]],"T",Tabela1[[#This Row],[TIPO]])</f>
        <v>FGT999</v>
      </c>
      <c r="Y3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9" s="19"/>
      <c r="AA339" s="29" t="str">
        <f>IFERROR(VLOOKUP(CONCATENATE("B",Tabela1[[#This Row],[BLOCO]],Tabela1[[#This Row],[UO_COD]]),qdd!$AW$2:$AX$1000,2,FALSE),"")</f>
        <v/>
      </c>
      <c r="AB339" s="30" t="str">
        <f>IFERROR(Tabela1[[#This Row],[VALOR]]/100,"")</f>
        <v/>
      </c>
      <c r="AC339" s="7" t="str" cm="1">
        <f t="array" aca="1" ref="AC339" ca="1">IF(Tabela1[[#This Row],[VALOR]]&lt;0,"",IFERROR(SUBSTITUTE(Converter_numero(Tabela1[[#This Row],[VALOR INCISO]]),",",""),""))</f>
        <v/>
      </c>
      <c r="AD339" s="29" t="str">
        <f>IF(Tabela1[[#This Row],[TIPO]]=REGRAS!$W$2,REGRAS!$X$2,IF(Tabela1[[#This Row],[TIPO]]=REGRAS!$W$4,REGRAS!$X$4,""))</f>
        <v/>
      </c>
      <c r="AE339" s="29" t="e">
        <f>VLOOKUP(Tabela1[[#This Row],[FONTE_COD]],REGRAS!$O$2:$P$69,2,FALSE)</f>
        <v>#N/A</v>
      </c>
      <c r="AF3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0" spans="1:32" ht="18.75" customHeight="1">
      <c r="A340" s="2" t="str">
        <f>IFERROR(IF('PREENCHER AQUI'!A340="","",'PREENCHER AQUI'!A340),"")</f>
        <v/>
      </c>
      <c r="B340" s="1" t="str">
        <f>IFERROR(IF('PREENCHER AQUI'!B340="","",PROPER('PREENCHER AQUI'!B340)),"")</f>
        <v/>
      </c>
      <c r="C340" s="1" t="str">
        <f>IFERROR(IF('PREENCHER AQUI'!C340="","",'PREENCHER AQUI'!C340),"")</f>
        <v/>
      </c>
      <c r="D340" s="2" t="str">
        <f>IFERROR(IF('PREENCHER AQUI'!D340="","",'PREENCHER AQUI'!D340),"")</f>
        <v/>
      </c>
      <c r="E340" s="2" t="str">
        <f>IFERROR(VLOOKUP(CONCATENATE(C340,D340),qdd!$C$2:$F$1000,2,FALSE),"")</f>
        <v/>
      </c>
      <c r="F340" s="2" t="str">
        <f>IFERROR(VLOOKUP(CONCATENATE(C340,D340),qdd!$C$2:$F$1000,3,FALSE),"")</f>
        <v/>
      </c>
      <c r="G340" s="2" t="str">
        <f>IFERROR(VLOOKUP(CONCATENATE(C340,D340),qdd!$C$2:$F$1000,4,FALSE),"")</f>
        <v/>
      </c>
      <c r="H340" s="6" t="str">
        <f t="shared" si="12"/>
        <v/>
      </c>
      <c r="I3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0" s="2" t="str">
        <f>IFERROR(IF('PREENCHER AQUI'!E340="","",'PREENCHER AQUI'!E340),"")</f>
        <v/>
      </c>
      <c r="K340" s="2" t="str">
        <f>IFERROR(IF('PREENCHER AQUI'!F340="","",'PREENCHER AQUI'!F340),"")</f>
        <v/>
      </c>
      <c r="L340" s="2" t="str">
        <f>IF(Tabela1[[#This Row],[IPU_COD]]=9,"91",IF(Tabela1[[#This Row],[ACAO_COD]]="","",VLOOKUP(CONCATENATE("G",J340,"M",K340),qdd!$BC$2:$BD$46,2,FALSE)))</f>
        <v/>
      </c>
      <c r="M340" s="2" t="str">
        <f>TEXT(IFERROR(VLOOKUP(CONCATENATE(C340,D340),qdd!$C$2:$G$1000,5,FALSE),""),0)</f>
        <v/>
      </c>
      <c r="N340" s="2" t="str">
        <f>IFERROR(IF('PREENCHER AQUI'!I340="","",'PREENCHER AQUI'!I340),"")</f>
        <v/>
      </c>
      <c r="O340" s="2" t="str">
        <f>IFERROR(IF('PREENCHER AQUI'!J340="","",'PREENCHER AQUI'!J340),"")</f>
        <v/>
      </c>
      <c r="P340" s="7" t="str">
        <f t="shared" si="13"/>
        <v/>
      </c>
      <c r="Q340" s="8" t="str">
        <f>IFERROR(IF(Tabela4[[#This Row],[VALOR]]="","",IF(Tabela1[[#This Row],[ORIENTACAO]]="Anular",'PREENCHER AQUI'!K340*-1*100,'PREENCHER AQUI'!K340*100)),"")</f>
        <v/>
      </c>
      <c r="T340" s="7" t="str">
        <f>IFERROR(IF('PREENCHER AQUI'!L340="","999",LEFT('PREENCHER AQUI'!L340,1)),"")</f>
        <v>999</v>
      </c>
      <c r="V340" s="19"/>
      <c r="W340" s="20" t="str">
        <f>IFERROR(VLOOKUP(Tabela1[[#This Row],[UO_COD]],qdd!$AT$1:$AU$102,2,FALSE),"")</f>
        <v/>
      </c>
      <c r="X340" s="20" t="str">
        <f>CONCATENATE("F",Tabela1[[#This Row],[FONTE_COD]],Tabela1[[#This Row],[IPU_COD]],"G",Tabela1[[#This Row],[GRUPO_COD]],"T",Tabela1[[#This Row],[TIPO]])</f>
        <v>FGT999</v>
      </c>
      <c r="Y3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0" s="19"/>
      <c r="AA340" s="29" t="str">
        <f>IFERROR(VLOOKUP(CONCATENATE("B",Tabela1[[#This Row],[BLOCO]],Tabela1[[#This Row],[UO_COD]]),qdd!$AW$2:$AX$1000,2,FALSE),"")</f>
        <v/>
      </c>
      <c r="AB340" s="30" t="str">
        <f>IFERROR(Tabela1[[#This Row],[VALOR]]/100,"")</f>
        <v/>
      </c>
      <c r="AC340" s="7" t="str" cm="1">
        <f t="array" aca="1" ref="AC340" ca="1">IF(Tabela1[[#This Row],[VALOR]]&lt;0,"",IFERROR(SUBSTITUTE(Converter_numero(Tabela1[[#This Row],[VALOR INCISO]]),",",""),""))</f>
        <v/>
      </c>
      <c r="AD340" s="29" t="str">
        <f>IF(Tabela1[[#This Row],[TIPO]]=REGRAS!$W$2,REGRAS!$X$2,IF(Tabela1[[#This Row],[TIPO]]=REGRAS!$W$4,REGRAS!$X$4,""))</f>
        <v/>
      </c>
      <c r="AE340" s="29" t="e">
        <f>VLOOKUP(Tabela1[[#This Row],[FONTE_COD]],REGRAS!$O$2:$P$69,2,FALSE)</f>
        <v>#N/A</v>
      </c>
      <c r="AF3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1" spans="1:32" ht="18.75" customHeight="1">
      <c r="A341" s="2" t="str">
        <f>IFERROR(IF('PREENCHER AQUI'!A341="","",'PREENCHER AQUI'!A341),"")</f>
        <v/>
      </c>
      <c r="B341" s="1" t="str">
        <f>IFERROR(IF('PREENCHER AQUI'!B341="","",PROPER('PREENCHER AQUI'!B341)),"")</f>
        <v/>
      </c>
      <c r="C341" s="1" t="str">
        <f>IFERROR(IF('PREENCHER AQUI'!C341="","",'PREENCHER AQUI'!C341),"")</f>
        <v/>
      </c>
      <c r="D341" s="2" t="str">
        <f>IFERROR(IF('PREENCHER AQUI'!D341="","",'PREENCHER AQUI'!D341),"")</f>
        <v/>
      </c>
      <c r="E341" s="2" t="str">
        <f>IFERROR(VLOOKUP(CONCATENATE(C341,D341),qdd!$C$2:$F$1000,2,FALSE),"")</f>
        <v/>
      </c>
      <c r="F341" s="2" t="str">
        <f>IFERROR(VLOOKUP(CONCATENATE(C341,D341),qdd!$C$2:$F$1000,3,FALSE),"")</f>
        <v/>
      </c>
      <c r="G341" s="2" t="str">
        <f>IFERROR(VLOOKUP(CONCATENATE(C341,D341),qdd!$C$2:$F$1000,4,FALSE),"")</f>
        <v/>
      </c>
      <c r="H341" s="6" t="str">
        <f t="shared" si="12"/>
        <v/>
      </c>
      <c r="I3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1" s="2" t="str">
        <f>IFERROR(IF('PREENCHER AQUI'!E341="","",'PREENCHER AQUI'!E341),"")</f>
        <v/>
      </c>
      <c r="K341" s="2" t="str">
        <f>IFERROR(IF('PREENCHER AQUI'!F341="","",'PREENCHER AQUI'!F341),"")</f>
        <v/>
      </c>
      <c r="L341" s="2" t="str">
        <f>IF(Tabela1[[#This Row],[IPU_COD]]=9,"91",IF(Tabela1[[#This Row],[ACAO_COD]]="","",VLOOKUP(CONCATENATE("G",J341,"M",K341),qdd!$BC$2:$BD$46,2,FALSE)))</f>
        <v/>
      </c>
      <c r="M341" s="2" t="str">
        <f>TEXT(IFERROR(VLOOKUP(CONCATENATE(C341,D341),qdd!$C$2:$G$1000,5,FALSE),""),0)</f>
        <v/>
      </c>
      <c r="N341" s="2" t="str">
        <f>IFERROR(IF('PREENCHER AQUI'!I341="","",'PREENCHER AQUI'!I341),"")</f>
        <v/>
      </c>
      <c r="O341" s="2" t="str">
        <f>IFERROR(IF('PREENCHER AQUI'!J341="","",'PREENCHER AQUI'!J341),"")</f>
        <v/>
      </c>
      <c r="P341" s="7" t="str">
        <f t="shared" si="13"/>
        <v/>
      </c>
      <c r="Q341" s="8" t="str">
        <f>IFERROR(IF(Tabela4[[#This Row],[VALOR]]="","",IF(Tabela1[[#This Row],[ORIENTACAO]]="Anular",'PREENCHER AQUI'!K341*-1*100,'PREENCHER AQUI'!K341*100)),"")</f>
        <v/>
      </c>
      <c r="T341" s="7" t="str">
        <f>IFERROR(IF('PREENCHER AQUI'!L341="","999",LEFT('PREENCHER AQUI'!L341,1)),"")</f>
        <v>999</v>
      </c>
      <c r="V341" s="19"/>
      <c r="W341" s="1" t="str">
        <f>IFERROR(VLOOKUP(Tabela1[[#This Row],[UO_COD]],qdd!$AT$1:$AU$102,2,FALSE),"")</f>
        <v/>
      </c>
      <c r="X341" s="1" t="str">
        <f>CONCATENATE("F",Tabela1[[#This Row],[FONTE_COD]],Tabela1[[#This Row],[IPU_COD]],"G",Tabela1[[#This Row],[GRUPO_COD]],"T",Tabela1[[#This Row],[TIPO]])</f>
        <v>FGT999</v>
      </c>
      <c r="Y3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1" s="19"/>
      <c r="AA341" s="29" t="str">
        <f>IFERROR(VLOOKUP(CONCATENATE("B",Tabela1[[#This Row],[BLOCO]],Tabela1[[#This Row],[UO_COD]]),qdd!$AW$2:$AX$1000,2,FALSE),"")</f>
        <v/>
      </c>
      <c r="AB341" s="30" t="str">
        <f>IFERROR(Tabela1[[#This Row],[VALOR]]/100,"")</f>
        <v/>
      </c>
      <c r="AC341" s="7" t="str" cm="1">
        <f t="array" aca="1" ref="AC341" ca="1">IF(Tabela1[[#This Row],[VALOR]]&lt;0,"",IFERROR(SUBSTITUTE(Converter_numero(Tabela1[[#This Row],[VALOR INCISO]]),",",""),""))</f>
        <v/>
      </c>
      <c r="AD341" s="29" t="str">
        <f>IF(Tabela1[[#This Row],[TIPO]]=REGRAS!$W$2,REGRAS!$X$2,IF(Tabela1[[#This Row],[TIPO]]=REGRAS!$W$4,REGRAS!$X$4,""))</f>
        <v/>
      </c>
      <c r="AE341" s="29" t="e">
        <f>VLOOKUP(Tabela1[[#This Row],[FONTE_COD]],REGRAS!$O$2:$P$69,2,FALSE)</f>
        <v>#N/A</v>
      </c>
      <c r="AF3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2" spans="1:32" ht="18.75" customHeight="1">
      <c r="A342" s="2" t="str">
        <f>IFERROR(IF('PREENCHER AQUI'!A342="","",'PREENCHER AQUI'!A342),"")</f>
        <v/>
      </c>
      <c r="B342" s="1" t="str">
        <f>IFERROR(IF('PREENCHER AQUI'!B342="","",PROPER('PREENCHER AQUI'!B342)),"")</f>
        <v/>
      </c>
      <c r="C342" s="1" t="str">
        <f>IFERROR(IF('PREENCHER AQUI'!C342="","",'PREENCHER AQUI'!C342),"")</f>
        <v/>
      </c>
      <c r="D342" s="2" t="str">
        <f>IFERROR(IF('PREENCHER AQUI'!D342="","",'PREENCHER AQUI'!D342),"")</f>
        <v/>
      </c>
      <c r="E342" s="2" t="str">
        <f>IFERROR(VLOOKUP(CONCATENATE(C342,D342),qdd!$C$2:$F$1000,2,FALSE),"")</f>
        <v/>
      </c>
      <c r="F342" s="2" t="str">
        <f>IFERROR(VLOOKUP(CONCATENATE(C342,D342),qdd!$C$2:$F$1000,3,FALSE),"")</f>
        <v/>
      </c>
      <c r="G342" s="2" t="str">
        <f>IFERROR(VLOOKUP(CONCATENATE(C342,D342),qdd!$C$2:$F$1000,4,FALSE),"")</f>
        <v/>
      </c>
      <c r="H342" s="6" t="str">
        <f t="shared" si="12"/>
        <v/>
      </c>
      <c r="I3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2" s="2" t="str">
        <f>IFERROR(IF('PREENCHER AQUI'!E342="","",'PREENCHER AQUI'!E342),"")</f>
        <v/>
      </c>
      <c r="K342" s="2" t="str">
        <f>IFERROR(IF('PREENCHER AQUI'!F342="","",'PREENCHER AQUI'!F342),"")</f>
        <v/>
      </c>
      <c r="L342" s="2" t="str">
        <f>IF(Tabela1[[#This Row],[IPU_COD]]=9,"91",IF(Tabela1[[#This Row],[ACAO_COD]]="","",VLOOKUP(CONCATENATE("G",J342,"M",K342),qdd!$BC$2:$BD$46,2,FALSE)))</f>
        <v/>
      </c>
      <c r="M342" s="2" t="str">
        <f>TEXT(IFERROR(VLOOKUP(CONCATENATE(C342,D342),qdd!$C$2:$G$1000,5,FALSE),""),0)</f>
        <v/>
      </c>
      <c r="N342" s="2" t="str">
        <f>IFERROR(IF('PREENCHER AQUI'!I342="","",'PREENCHER AQUI'!I342),"")</f>
        <v/>
      </c>
      <c r="O342" s="2" t="str">
        <f>IFERROR(IF('PREENCHER AQUI'!J342="","",'PREENCHER AQUI'!J342),"")</f>
        <v/>
      </c>
      <c r="P342" s="7" t="str">
        <f t="shared" si="13"/>
        <v/>
      </c>
      <c r="Q342" s="8" t="str">
        <f>IFERROR(IF(Tabela4[[#This Row],[VALOR]]="","",IF(Tabela1[[#This Row],[ORIENTACAO]]="Anular",'PREENCHER AQUI'!K342*-1*100,'PREENCHER AQUI'!K342*100)),"")</f>
        <v/>
      </c>
      <c r="T342" s="7" t="str">
        <f>IFERROR(IF('PREENCHER AQUI'!L342="","999",LEFT('PREENCHER AQUI'!L342,1)),"")</f>
        <v>999</v>
      </c>
      <c r="W342" s="1" t="str">
        <f>IFERROR(VLOOKUP(Tabela1[[#This Row],[UO_COD]],qdd!$AT$1:$AU$102,2,FALSE),"")</f>
        <v/>
      </c>
      <c r="X342" s="1" t="str">
        <f>CONCATENATE("F",Tabela1[[#This Row],[FONTE_COD]],Tabela1[[#This Row],[IPU_COD]],"G",Tabela1[[#This Row],[GRUPO_COD]],"T",Tabela1[[#This Row],[TIPO]])</f>
        <v>FGT999</v>
      </c>
      <c r="Y3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2" s="19"/>
      <c r="AA342" s="29" t="str">
        <f>IFERROR(VLOOKUP(CONCATENATE("B",Tabela1[[#This Row],[BLOCO]],Tabela1[[#This Row],[UO_COD]]),qdd!$AW$2:$AX$1000,2,FALSE),"")</f>
        <v/>
      </c>
      <c r="AB342" s="30" t="str">
        <f>IFERROR(Tabela1[[#This Row],[VALOR]]/100,"")</f>
        <v/>
      </c>
      <c r="AC342" s="7" t="str" cm="1">
        <f t="array" aca="1" ref="AC342" ca="1">IF(Tabela1[[#This Row],[VALOR]]&lt;0,"",IFERROR(SUBSTITUTE(Converter_numero(Tabela1[[#This Row],[VALOR INCISO]]),",",""),""))</f>
        <v/>
      </c>
      <c r="AD342" s="7" t="str">
        <f>IF(Tabela1[[#This Row],[TIPO]]=REGRAS!$W$2,REGRAS!$X$2,IF(Tabela1[[#This Row],[TIPO]]=REGRAS!$W$4,REGRAS!$X$4,""))</f>
        <v/>
      </c>
      <c r="AE342" s="29" t="e">
        <f>VLOOKUP(Tabela1[[#This Row],[FONTE_COD]],REGRAS!$O$2:$P$69,2,FALSE)</f>
        <v>#N/A</v>
      </c>
      <c r="AF3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3" spans="1:32" ht="18.75" customHeight="1">
      <c r="A343" s="2" t="str">
        <f>IFERROR(IF('PREENCHER AQUI'!A343="","",'PREENCHER AQUI'!A343),"")</f>
        <v/>
      </c>
      <c r="B343" s="1" t="str">
        <f>IFERROR(IF('PREENCHER AQUI'!B343="","",PROPER('PREENCHER AQUI'!B343)),"")</f>
        <v/>
      </c>
      <c r="C343" s="1" t="str">
        <f>IFERROR(IF('PREENCHER AQUI'!C343="","",'PREENCHER AQUI'!C343),"")</f>
        <v/>
      </c>
      <c r="D343" s="2" t="str">
        <f>IFERROR(IF('PREENCHER AQUI'!D343="","",'PREENCHER AQUI'!D343),"")</f>
        <v/>
      </c>
      <c r="E343" s="2" t="str">
        <f>IFERROR(VLOOKUP(CONCATENATE(C343,D343),qdd!$C$2:$F$1000,2,FALSE),"")</f>
        <v/>
      </c>
      <c r="F343" s="2" t="str">
        <f>IFERROR(VLOOKUP(CONCATENATE(C343,D343),qdd!$C$2:$F$1000,3,FALSE),"")</f>
        <v/>
      </c>
      <c r="G343" s="2" t="str">
        <f>IFERROR(VLOOKUP(CONCATENATE(C343,D343),qdd!$C$2:$F$1000,4,FALSE),"")</f>
        <v/>
      </c>
      <c r="H343" s="6" t="str">
        <f t="shared" si="12"/>
        <v/>
      </c>
      <c r="I3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3" s="2" t="str">
        <f>IFERROR(IF('PREENCHER AQUI'!E343="","",'PREENCHER AQUI'!E343),"")</f>
        <v/>
      </c>
      <c r="K343" s="2" t="str">
        <f>IFERROR(IF('PREENCHER AQUI'!F343="","",'PREENCHER AQUI'!F343),"")</f>
        <v/>
      </c>
      <c r="L343" s="2" t="str">
        <f>IF(Tabela1[[#This Row],[IPU_COD]]=9,"91",IF(Tabela1[[#This Row],[ACAO_COD]]="","",VLOOKUP(CONCATENATE("G",J343,"M",K343),qdd!$BC$2:$BD$46,2,FALSE)))</f>
        <v/>
      </c>
      <c r="M343" s="2" t="str">
        <f>TEXT(IFERROR(VLOOKUP(CONCATENATE(C343,D343),qdd!$C$2:$G$1000,5,FALSE),""),0)</f>
        <v/>
      </c>
      <c r="N343" s="2" t="str">
        <f>IFERROR(IF('PREENCHER AQUI'!I343="","",'PREENCHER AQUI'!I343),"")</f>
        <v/>
      </c>
      <c r="O343" s="2" t="str">
        <f>IFERROR(IF('PREENCHER AQUI'!J343="","",'PREENCHER AQUI'!J343),"")</f>
        <v/>
      </c>
      <c r="P343" s="7" t="str">
        <f t="shared" si="13"/>
        <v/>
      </c>
      <c r="Q343" s="8" t="str">
        <f>IFERROR(IF(Tabela4[[#This Row],[VALOR]]="","",IF(Tabela1[[#This Row],[ORIENTACAO]]="Anular",'PREENCHER AQUI'!K343*-1*100,'PREENCHER AQUI'!K343*100)),"")</f>
        <v/>
      </c>
      <c r="T343" s="7" t="str">
        <f>IFERROR(IF('PREENCHER AQUI'!L343="","999",LEFT('PREENCHER AQUI'!L343,1)),"")</f>
        <v>999</v>
      </c>
      <c r="V343" s="19"/>
      <c r="W343" s="1" t="str">
        <f>IFERROR(VLOOKUP(Tabela1[[#This Row],[UO_COD]],qdd!$AT$1:$AU$102,2,FALSE),"")</f>
        <v/>
      </c>
      <c r="X343" s="1" t="str">
        <f>CONCATENATE("F",Tabela1[[#This Row],[FONTE_COD]],Tabela1[[#This Row],[IPU_COD]],"G",Tabela1[[#This Row],[GRUPO_COD]],"T",Tabela1[[#This Row],[TIPO]])</f>
        <v>FGT999</v>
      </c>
      <c r="Y3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3" s="19"/>
      <c r="AA343" s="29" t="str">
        <f>IFERROR(VLOOKUP(CONCATENATE("B",Tabela1[[#This Row],[BLOCO]],Tabela1[[#This Row],[UO_COD]]),qdd!$AW$2:$AX$1000,2,FALSE),"")</f>
        <v/>
      </c>
      <c r="AB343" s="30" t="str">
        <f>IFERROR(Tabela1[[#This Row],[VALOR]]/100,"")</f>
        <v/>
      </c>
      <c r="AC343" s="7" t="str" cm="1">
        <f t="array" aca="1" ref="AC343" ca="1">IF(Tabela1[[#This Row],[VALOR]]&lt;0,"",IFERROR(SUBSTITUTE(Converter_numero(Tabela1[[#This Row],[VALOR INCISO]]),",",""),""))</f>
        <v/>
      </c>
      <c r="AD343" s="29" t="str">
        <f>IF(Tabela1[[#This Row],[TIPO]]=REGRAS!$W$2,REGRAS!$X$2,IF(Tabela1[[#This Row],[TIPO]]=REGRAS!$W$4,REGRAS!$X$4,""))</f>
        <v/>
      </c>
      <c r="AE343" s="29" t="e">
        <f>VLOOKUP(Tabela1[[#This Row],[FONTE_COD]],REGRAS!$O$2:$P$69,2,FALSE)</f>
        <v>#N/A</v>
      </c>
      <c r="AF3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4" spans="1:32" ht="18.75" customHeight="1">
      <c r="A344" s="2" t="str">
        <f>IFERROR(IF('PREENCHER AQUI'!A344="","",'PREENCHER AQUI'!A344),"")</f>
        <v/>
      </c>
      <c r="B344" s="1" t="str">
        <f>IFERROR(IF('PREENCHER AQUI'!B344="","",PROPER('PREENCHER AQUI'!B344)),"")</f>
        <v/>
      </c>
      <c r="C344" s="1" t="str">
        <f>IFERROR(IF('PREENCHER AQUI'!C344="","",'PREENCHER AQUI'!C344),"")</f>
        <v/>
      </c>
      <c r="D344" s="2" t="str">
        <f>IFERROR(IF('PREENCHER AQUI'!D344="","",'PREENCHER AQUI'!D344),"")</f>
        <v/>
      </c>
      <c r="E344" s="2" t="str">
        <f>IFERROR(VLOOKUP(CONCATENATE(C344,D344),qdd!$C$2:$F$1000,2,FALSE),"")</f>
        <v/>
      </c>
      <c r="F344" s="2" t="str">
        <f>IFERROR(VLOOKUP(CONCATENATE(C344,D344),qdd!$C$2:$F$1000,3,FALSE),"")</f>
        <v/>
      </c>
      <c r="G344" s="2" t="str">
        <f>IFERROR(VLOOKUP(CONCATENATE(C344,D344),qdd!$C$2:$F$1000,4,FALSE),"")</f>
        <v/>
      </c>
      <c r="H344" s="6" t="str">
        <f t="shared" si="12"/>
        <v/>
      </c>
      <c r="I3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4" s="2" t="str">
        <f>IFERROR(IF('PREENCHER AQUI'!E344="","",'PREENCHER AQUI'!E344),"")</f>
        <v/>
      </c>
      <c r="K344" s="2" t="str">
        <f>IFERROR(IF('PREENCHER AQUI'!F344="","",'PREENCHER AQUI'!F344),"")</f>
        <v/>
      </c>
      <c r="L344" s="2" t="str">
        <f>IF(Tabela1[[#This Row],[IPU_COD]]=9,"91",IF(Tabela1[[#This Row],[ACAO_COD]]="","",VLOOKUP(CONCATENATE("G",J344,"M",K344),qdd!$BC$2:$BD$46,2,FALSE)))</f>
        <v/>
      </c>
      <c r="M344" s="2" t="str">
        <f>TEXT(IFERROR(VLOOKUP(CONCATENATE(C344,D344),qdd!$C$2:$G$1000,5,FALSE),""),0)</f>
        <v/>
      </c>
      <c r="N344" s="2" t="str">
        <f>IFERROR(IF('PREENCHER AQUI'!I344="","",'PREENCHER AQUI'!I344),"")</f>
        <v/>
      </c>
      <c r="O344" s="2" t="str">
        <f>IFERROR(IF('PREENCHER AQUI'!J344="","",'PREENCHER AQUI'!J344),"")</f>
        <v/>
      </c>
      <c r="P344" s="7" t="str">
        <f t="shared" si="13"/>
        <v/>
      </c>
      <c r="Q344" s="8" t="str">
        <f>IFERROR(IF(Tabela4[[#This Row],[VALOR]]="","",IF(Tabela1[[#This Row],[ORIENTACAO]]="Anular",'PREENCHER AQUI'!K344*-1*100,'PREENCHER AQUI'!K344*100)),"")</f>
        <v/>
      </c>
      <c r="T344" s="7" t="str">
        <f>IFERROR(IF('PREENCHER AQUI'!L344="","999",LEFT('PREENCHER AQUI'!L344,1)),"")</f>
        <v>999</v>
      </c>
      <c r="V344" s="19"/>
      <c r="W344" s="1" t="str">
        <f>IFERROR(VLOOKUP(Tabela1[[#This Row],[UO_COD]],qdd!$AT$1:$AU$102,2,FALSE),"")</f>
        <v/>
      </c>
      <c r="X344" s="1" t="str">
        <f>CONCATENATE("F",Tabela1[[#This Row],[FONTE_COD]],Tabela1[[#This Row],[IPU_COD]],"G",Tabela1[[#This Row],[GRUPO_COD]],"T",Tabela1[[#This Row],[TIPO]])</f>
        <v>FGT999</v>
      </c>
      <c r="Y3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4" s="19"/>
      <c r="AA344" s="29" t="str">
        <f>IFERROR(VLOOKUP(CONCATENATE("B",Tabela1[[#This Row],[BLOCO]],Tabela1[[#This Row],[UO_COD]]),qdd!$AW$2:$AX$1000,2,FALSE),"")</f>
        <v/>
      </c>
      <c r="AB344" s="30" t="str">
        <f>IFERROR(Tabela1[[#This Row],[VALOR]]/100,"")</f>
        <v/>
      </c>
      <c r="AC344" s="7" t="str" cm="1">
        <f t="array" aca="1" ref="AC344" ca="1">IF(Tabela1[[#This Row],[VALOR]]&lt;0,"",IFERROR(SUBSTITUTE(Converter_numero(Tabela1[[#This Row],[VALOR INCISO]]),",",""),""))</f>
        <v/>
      </c>
      <c r="AD344" s="29" t="str">
        <f>IF(Tabela1[[#This Row],[TIPO]]=REGRAS!$W$2,REGRAS!$X$2,IF(Tabela1[[#This Row],[TIPO]]=REGRAS!$W$4,REGRAS!$X$4,""))</f>
        <v/>
      </c>
      <c r="AE344" s="29" t="e">
        <f>VLOOKUP(Tabela1[[#This Row],[FONTE_COD]],REGRAS!$O$2:$P$69,2,FALSE)</f>
        <v>#N/A</v>
      </c>
      <c r="AF3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5" spans="1:32" ht="18.75" customHeight="1">
      <c r="A345" s="2" t="str">
        <f>IFERROR(IF('PREENCHER AQUI'!A345="","",'PREENCHER AQUI'!A345),"")</f>
        <v/>
      </c>
      <c r="B345" s="1" t="str">
        <f>IFERROR(IF('PREENCHER AQUI'!B345="","",PROPER('PREENCHER AQUI'!B345)),"")</f>
        <v/>
      </c>
      <c r="C345" s="1" t="str">
        <f>IFERROR(IF('PREENCHER AQUI'!C345="","",'PREENCHER AQUI'!C345),"")</f>
        <v/>
      </c>
      <c r="D345" s="2" t="str">
        <f>IFERROR(IF('PREENCHER AQUI'!D345="","",'PREENCHER AQUI'!D345),"")</f>
        <v/>
      </c>
      <c r="E345" s="2" t="str">
        <f>IFERROR(VLOOKUP(CONCATENATE(C345,D345),qdd!$C$2:$F$1000,2,FALSE),"")</f>
        <v/>
      </c>
      <c r="F345" s="2" t="str">
        <f>IFERROR(VLOOKUP(CONCATENATE(C345,D345),qdd!$C$2:$F$1000,3,FALSE),"")</f>
        <v/>
      </c>
      <c r="G345" s="2" t="str">
        <f>IFERROR(VLOOKUP(CONCATENATE(C345,D345),qdd!$C$2:$F$1000,4,FALSE),"")</f>
        <v/>
      </c>
      <c r="H345" s="6" t="str">
        <f t="shared" si="12"/>
        <v/>
      </c>
      <c r="I3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5" s="2" t="str">
        <f>IFERROR(IF('PREENCHER AQUI'!E345="","",'PREENCHER AQUI'!E345),"")</f>
        <v/>
      </c>
      <c r="K345" s="2" t="str">
        <f>IFERROR(IF('PREENCHER AQUI'!F345="","",'PREENCHER AQUI'!F345),"")</f>
        <v/>
      </c>
      <c r="L345" s="2" t="str">
        <f>IF(Tabela1[[#This Row],[IPU_COD]]=9,"91",IF(Tabela1[[#This Row],[ACAO_COD]]="","",VLOOKUP(CONCATENATE("G",J345,"M",K345),qdd!$BC$2:$BD$46,2,FALSE)))</f>
        <v/>
      </c>
      <c r="M345" s="2" t="str">
        <f>TEXT(IFERROR(VLOOKUP(CONCATENATE(C345,D345),qdd!$C$2:$G$1000,5,FALSE),""),0)</f>
        <v/>
      </c>
      <c r="N345" s="2" t="str">
        <f>IFERROR(IF('PREENCHER AQUI'!I345="","",'PREENCHER AQUI'!I345),"")</f>
        <v/>
      </c>
      <c r="O345" s="2" t="str">
        <f>IFERROR(IF('PREENCHER AQUI'!J345="","",'PREENCHER AQUI'!J345),"")</f>
        <v/>
      </c>
      <c r="P345" s="7" t="str">
        <f t="shared" si="13"/>
        <v/>
      </c>
      <c r="Q345" s="8" t="str">
        <f>IFERROR(IF(Tabela4[[#This Row],[VALOR]]="","",IF(Tabela1[[#This Row],[ORIENTACAO]]="Anular",'PREENCHER AQUI'!K345*-1*100,'PREENCHER AQUI'!K345*100)),"")</f>
        <v/>
      </c>
      <c r="T345" s="7" t="str">
        <f>IFERROR(IF('PREENCHER AQUI'!L345="","999",LEFT('PREENCHER AQUI'!L345,1)),"")</f>
        <v>999</v>
      </c>
      <c r="V345" s="19"/>
      <c r="W345" s="20" t="str">
        <f>IFERROR(VLOOKUP(Tabela1[[#This Row],[UO_COD]],qdd!$AT$1:$AU$102,2,FALSE),"")</f>
        <v/>
      </c>
      <c r="X345" s="20" t="str">
        <f>CONCATENATE("F",Tabela1[[#This Row],[FONTE_COD]],Tabela1[[#This Row],[IPU_COD]],"G",Tabela1[[#This Row],[GRUPO_COD]],"T",Tabela1[[#This Row],[TIPO]])</f>
        <v>FGT999</v>
      </c>
      <c r="Y3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5" s="19"/>
      <c r="AA345" s="29" t="str">
        <f>IFERROR(VLOOKUP(CONCATENATE("B",Tabela1[[#This Row],[BLOCO]],Tabela1[[#This Row],[UO_COD]]),qdd!$AW$2:$AX$1000,2,FALSE),"")</f>
        <v/>
      </c>
      <c r="AB345" s="30" t="str">
        <f>IFERROR(Tabela1[[#This Row],[VALOR]]/100,"")</f>
        <v/>
      </c>
      <c r="AC345" s="7" t="str" cm="1">
        <f t="array" aca="1" ref="AC345" ca="1">IF(Tabela1[[#This Row],[VALOR]]&lt;0,"",IFERROR(SUBSTITUTE(Converter_numero(Tabela1[[#This Row],[VALOR INCISO]]),",",""),""))</f>
        <v/>
      </c>
      <c r="AD345" s="29" t="str">
        <f>IF(Tabela1[[#This Row],[TIPO]]=REGRAS!$W$2,REGRAS!$X$2,IF(Tabela1[[#This Row],[TIPO]]=REGRAS!$W$4,REGRAS!$X$4,""))</f>
        <v/>
      </c>
      <c r="AE345" s="29" t="e">
        <f>VLOOKUP(Tabela1[[#This Row],[FONTE_COD]],REGRAS!$O$2:$P$69,2,FALSE)</f>
        <v>#N/A</v>
      </c>
      <c r="AF3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6" spans="1:32" ht="18.75" customHeight="1">
      <c r="A346" s="2" t="str">
        <f>IFERROR(IF('PREENCHER AQUI'!A346="","",'PREENCHER AQUI'!A346),"")</f>
        <v/>
      </c>
      <c r="B346" s="1" t="str">
        <f>IFERROR(IF('PREENCHER AQUI'!B346="","",PROPER('PREENCHER AQUI'!B346)),"")</f>
        <v/>
      </c>
      <c r="C346" s="1" t="str">
        <f>IFERROR(IF('PREENCHER AQUI'!C346="","",'PREENCHER AQUI'!C346),"")</f>
        <v/>
      </c>
      <c r="D346" s="2" t="str">
        <f>IFERROR(IF('PREENCHER AQUI'!D346="","",'PREENCHER AQUI'!D346),"")</f>
        <v/>
      </c>
      <c r="E346" s="2" t="str">
        <f>IFERROR(VLOOKUP(CONCATENATE(C346,D346),qdd!$C$2:$F$1000,2,FALSE),"")</f>
        <v/>
      </c>
      <c r="F346" s="2" t="str">
        <f>IFERROR(VLOOKUP(CONCATENATE(C346,D346),qdd!$C$2:$F$1000,3,FALSE),"")</f>
        <v/>
      </c>
      <c r="G346" s="2" t="str">
        <f>IFERROR(VLOOKUP(CONCATENATE(C346,D346),qdd!$C$2:$F$1000,4,FALSE),"")</f>
        <v/>
      </c>
      <c r="H346" s="6" t="str">
        <f t="shared" si="12"/>
        <v/>
      </c>
      <c r="I3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6" s="2" t="str">
        <f>IFERROR(IF('PREENCHER AQUI'!E346="","",'PREENCHER AQUI'!E346),"")</f>
        <v/>
      </c>
      <c r="K346" s="2" t="str">
        <f>IFERROR(IF('PREENCHER AQUI'!F346="","",'PREENCHER AQUI'!F346),"")</f>
        <v/>
      </c>
      <c r="L346" s="2" t="str">
        <f>IF(Tabela1[[#This Row],[IPU_COD]]=9,"91",IF(Tabela1[[#This Row],[ACAO_COD]]="","",VLOOKUP(CONCATENATE("G",J346,"M",K346),qdd!$BC$2:$BD$46,2,FALSE)))</f>
        <v/>
      </c>
      <c r="M346" s="2" t="str">
        <f>TEXT(IFERROR(VLOOKUP(CONCATENATE(C346,D346),qdd!$C$2:$G$1000,5,FALSE),""),0)</f>
        <v/>
      </c>
      <c r="N346" s="2" t="str">
        <f>IFERROR(IF('PREENCHER AQUI'!I346="","",'PREENCHER AQUI'!I346),"")</f>
        <v/>
      </c>
      <c r="O346" s="2" t="str">
        <f>IFERROR(IF('PREENCHER AQUI'!J346="","",'PREENCHER AQUI'!J346),"")</f>
        <v/>
      </c>
      <c r="P346" s="7" t="str">
        <f t="shared" si="13"/>
        <v/>
      </c>
      <c r="Q346" s="8" t="str">
        <f>IFERROR(IF(Tabela4[[#This Row],[VALOR]]="","",IF(Tabela1[[#This Row],[ORIENTACAO]]="Anular",'PREENCHER AQUI'!K346*-1*100,'PREENCHER AQUI'!K346*100)),"")</f>
        <v/>
      </c>
      <c r="T346" s="7" t="str">
        <f>IFERROR(IF('PREENCHER AQUI'!L346="","999",LEFT('PREENCHER AQUI'!L346,1)),"")</f>
        <v>999</v>
      </c>
      <c r="V346" s="19"/>
      <c r="W346" s="1" t="str">
        <f>IFERROR(VLOOKUP(Tabela1[[#This Row],[UO_COD]],qdd!$AT$1:$AU$102,2,FALSE),"")</f>
        <v/>
      </c>
      <c r="X346" s="1" t="str">
        <f>CONCATENATE("F",Tabela1[[#This Row],[FONTE_COD]],Tabela1[[#This Row],[IPU_COD]],"G",Tabela1[[#This Row],[GRUPO_COD]],"T",Tabela1[[#This Row],[TIPO]])</f>
        <v>FGT999</v>
      </c>
      <c r="Y3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6" s="19"/>
      <c r="AA346" s="29" t="str">
        <f>IFERROR(VLOOKUP(CONCATENATE("B",Tabela1[[#This Row],[BLOCO]],Tabela1[[#This Row],[UO_COD]]),qdd!$AW$2:$AX$1000,2,FALSE),"")</f>
        <v/>
      </c>
      <c r="AB346" s="30" t="str">
        <f>IFERROR(Tabela1[[#This Row],[VALOR]]/100,"")</f>
        <v/>
      </c>
      <c r="AC346" s="7" t="str" cm="1">
        <f t="array" aca="1" ref="AC346" ca="1">IF(Tabela1[[#This Row],[VALOR]]&lt;0,"",IFERROR(SUBSTITUTE(Converter_numero(Tabela1[[#This Row],[VALOR INCISO]]),",",""),""))</f>
        <v/>
      </c>
      <c r="AD346" s="29" t="str">
        <f>IF(Tabela1[[#This Row],[TIPO]]=REGRAS!$W$2,REGRAS!$X$2,IF(Tabela1[[#This Row],[TIPO]]=REGRAS!$W$4,REGRAS!$X$4,""))</f>
        <v/>
      </c>
      <c r="AE346" s="29" t="e">
        <f>VLOOKUP(Tabela1[[#This Row],[FONTE_COD]],REGRAS!$O$2:$P$69,2,FALSE)</f>
        <v>#N/A</v>
      </c>
      <c r="AF3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7" spans="1:32" ht="18.75" customHeight="1">
      <c r="A347" s="2" t="str">
        <f>IFERROR(IF('PREENCHER AQUI'!A347="","",'PREENCHER AQUI'!A347),"")</f>
        <v/>
      </c>
      <c r="B347" s="1" t="str">
        <f>IFERROR(IF('PREENCHER AQUI'!B347="","",PROPER('PREENCHER AQUI'!B347)),"")</f>
        <v/>
      </c>
      <c r="C347" s="1" t="str">
        <f>IFERROR(IF('PREENCHER AQUI'!C347="","",'PREENCHER AQUI'!C347),"")</f>
        <v/>
      </c>
      <c r="D347" s="2" t="str">
        <f>IFERROR(IF('PREENCHER AQUI'!D347="","",'PREENCHER AQUI'!D347),"")</f>
        <v/>
      </c>
      <c r="E347" s="2" t="str">
        <f>IFERROR(VLOOKUP(CONCATENATE(C347,D347),qdd!$C$2:$F$1000,2,FALSE),"")</f>
        <v/>
      </c>
      <c r="F347" s="2" t="str">
        <f>IFERROR(VLOOKUP(CONCATENATE(C347,D347),qdd!$C$2:$F$1000,3,FALSE),"")</f>
        <v/>
      </c>
      <c r="G347" s="2" t="str">
        <f>IFERROR(VLOOKUP(CONCATENATE(C347,D347),qdd!$C$2:$F$1000,4,FALSE),"")</f>
        <v/>
      </c>
      <c r="H347" s="6" t="str">
        <f t="shared" si="12"/>
        <v/>
      </c>
      <c r="I3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7" s="2" t="str">
        <f>IFERROR(IF('PREENCHER AQUI'!E347="","",'PREENCHER AQUI'!E347),"")</f>
        <v/>
      </c>
      <c r="K347" s="2" t="str">
        <f>IFERROR(IF('PREENCHER AQUI'!F347="","",'PREENCHER AQUI'!F347),"")</f>
        <v/>
      </c>
      <c r="L347" s="2" t="str">
        <f>IF(Tabela1[[#This Row],[IPU_COD]]=9,"91",IF(Tabela1[[#This Row],[ACAO_COD]]="","",VLOOKUP(CONCATENATE("G",J347,"M",K347),qdd!$BC$2:$BD$46,2,FALSE)))</f>
        <v/>
      </c>
      <c r="M347" s="2" t="str">
        <f>TEXT(IFERROR(VLOOKUP(CONCATENATE(C347,D347),qdd!$C$2:$G$1000,5,FALSE),""),0)</f>
        <v/>
      </c>
      <c r="N347" s="2" t="str">
        <f>IFERROR(IF('PREENCHER AQUI'!I347="","",'PREENCHER AQUI'!I347),"")</f>
        <v/>
      </c>
      <c r="O347" s="2" t="str">
        <f>IFERROR(IF('PREENCHER AQUI'!J347="","",'PREENCHER AQUI'!J347),"")</f>
        <v/>
      </c>
      <c r="P347" s="7" t="str">
        <f t="shared" si="13"/>
        <v/>
      </c>
      <c r="Q347" s="8" t="str">
        <f>IFERROR(IF(Tabela4[[#This Row],[VALOR]]="","",IF(Tabela1[[#This Row],[ORIENTACAO]]="Anular",'PREENCHER AQUI'!K347*-1*100,'PREENCHER AQUI'!K347*100)),"")</f>
        <v/>
      </c>
      <c r="T347" s="7" t="str">
        <f>IFERROR(IF('PREENCHER AQUI'!L347="","999",LEFT('PREENCHER AQUI'!L347,1)),"")</f>
        <v>999</v>
      </c>
      <c r="W347" s="1" t="str">
        <f>IFERROR(VLOOKUP(Tabela1[[#This Row],[UO_COD]],qdd!$AT$1:$AU$102,2,FALSE),"")</f>
        <v/>
      </c>
      <c r="X347" s="1" t="str">
        <f>CONCATENATE("F",Tabela1[[#This Row],[FONTE_COD]],Tabela1[[#This Row],[IPU_COD]],"G",Tabela1[[#This Row],[GRUPO_COD]],"T",Tabela1[[#This Row],[TIPO]])</f>
        <v>FGT999</v>
      </c>
      <c r="Y3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7" s="19"/>
      <c r="AA347" s="29" t="str">
        <f>IFERROR(VLOOKUP(CONCATENATE("B",Tabela1[[#This Row],[BLOCO]],Tabela1[[#This Row],[UO_COD]]),qdd!$AW$2:$AX$1000,2,FALSE),"")</f>
        <v/>
      </c>
      <c r="AB347" s="30" t="str">
        <f>IFERROR(Tabela1[[#This Row],[VALOR]]/100,"")</f>
        <v/>
      </c>
      <c r="AC347" s="7" t="str" cm="1">
        <f t="array" aca="1" ref="AC347" ca="1">IF(Tabela1[[#This Row],[VALOR]]&lt;0,"",IFERROR(SUBSTITUTE(Converter_numero(Tabela1[[#This Row],[VALOR INCISO]]),",",""),""))</f>
        <v/>
      </c>
      <c r="AD347" s="7" t="str">
        <f>IF(Tabela1[[#This Row],[TIPO]]=REGRAS!$W$2,REGRAS!$X$2,IF(Tabela1[[#This Row],[TIPO]]=REGRAS!$W$4,REGRAS!$X$4,""))</f>
        <v/>
      </c>
      <c r="AE347" s="29" t="e">
        <f>VLOOKUP(Tabela1[[#This Row],[FONTE_COD]],REGRAS!$O$2:$P$69,2,FALSE)</f>
        <v>#N/A</v>
      </c>
      <c r="AF3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8" spans="1:32" ht="18.75" customHeight="1">
      <c r="A348" s="2" t="str">
        <f>IFERROR(IF('PREENCHER AQUI'!A348="","",'PREENCHER AQUI'!A348),"")</f>
        <v/>
      </c>
      <c r="B348" s="1" t="str">
        <f>IFERROR(IF('PREENCHER AQUI'!B348="","",PROPER('PREENCHER AQUI'!B348)),"")</f>
        <v/>
      </c>
      <c r="C348" s="1" t="str">
        <f>IFERROR(IF('PREENCHER AQUI'!C348="","",'PREENCHER AQUI'!C348),"")</f>
        <v/>
      </c>
      <c r="D348" s="2" t="str">
        <f>IFERROR(IF('PREENCHER AQUI'!D348="","",'PREENCHER AQUI'!D348),"")</f>
        <v/>
      </c>
      <c r="E348" s="2" t="str">
        <f>IFERROR(VLOOKUP(CONCATENATE(C348,D348),qdd!$C$2:$F$1000,2,FALSE),"")</f>
        <v/>
      </c>
      <c r="F348" s="2" t="str">
        <f>IFERROR(VLOOKUP(CONCATENATE(C348,D348),qdd!$C$2:$F$1000,3,FALSE),"")</f>
        <v/>
      </c>
      <c r="G348" s="2" t="str">
        <f>IFERROR(VLOOKUP(CONCATENATE(C348,D348),qdd!$C$2:$F$1000,4,FALSE),"")</f>
        <v/>
      </c>
      <c r="H348" s="6" t="str">
        <f t="shared" si="12"/>
        <v/>
      </c>
      <c r="I3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8" s="2" t="str">
        <f>IFERROR(IF('PREENCHER AQUI'!E348="","",'PREENCHER AQUI'!E348),"")</f>
        <v/>
      </c>
      <c r="K348" s="2" t="str">
        <f>IFERROR(IF('PREENCHER AQUI'!F348="","",'PREENCHER AQUI'!F348),"")</f>
        <v/>
      </c>
      <c r="L348" s="2" t="str">
        <f>IF(Tabela1[[#This Row],[IPU_COD]]=9,"91",IF(Tabela1[[#This Row],[ACAO_COD]]="","",VLOOKUP(CONCATENATE("G",J348,"M",K348),qdd!$BC$2:$BD$46,2,FALSE)))</f>
        <v/>
      </c>
      <c r="M348" s="2" t="str">
        <f>TEXT(IFERROR(VLOOKUP(CONCATENATE(C348,D348),qdd!$C$2:$G$1000,5,FALSE),""),0)</f>
        <v/>
      </c>
      <c r="N348" s="2" t="str">
        <f>IFERROR(IF('PREENCHER AQUI'!I348="","",'PREENCHER AQUI'!I348),"")</f>
        <v/>
      </c>
      <c r="O348" s="2" t="str">
        <f>IFERROR(IF('PREENCHER AQUI'!J348="","",'PREENCHER AQUI'!J348),"")</f>
        <v/>
      </c>
      <c r="P348" s="7" t="str">
        <f t="shared" si="13"/>
        <v/>
      </c>
      <c r="Q348" s="8" t="str">
        <f>IFERROR(IF(Tabela4[[#This Row],[VALOR]]="","",IF(Tabela1[[#This Row],[ORIENTACAO]]="Anular",'PREENCHER AQUI'!K348*-1*100,'PREENCHER AQUI'!K348*100)),"")</f>
        <v/>
      </c>
      <c r="T348" s="7" t="str">
        <f>IFERROR(IF('PREENCHER AQUI'!L348="","999",LEFT('PREENCHER AQUI'!L348,1)),"")</f>
        <v>999</v>
      </c>
      <c r="V348" s="19"/>
      <c r="W348" s="1" t="str">
        <f>IFERROR(VLOOKUP(Tabela1[[#This Row],[UO_COD]],qdd!$AT$1:$AU$102,2,FALSE),"")</f>
        <v/>
      </c>
      <c r="X348" s="1" t="str">
        <f>CONCATENATE("F",Tabela1[[#This Row],[FONTE_COD]],Tabela1[[#This Row],[IPU_COD]],"G",Tabela1[[#This Row],[GRUPO_COD]],"T",Tabela1[[#This Row],[TIPO]])</f>
        <v>FGT999</v>
      </c>
      <c r="Y3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8" s="19"/>
      <c r="AA348" s="29" t="str">
        <f>IFERROR(VLOOKUP(CONCATENATE("B",Tabela1[[#This Row],[BLOCO]],Tabela1[[#This Row],[UO_COD]]),qdd!$AW$2:$AX$1000,2,FALSE),"")</f>
        <v/>
      </c>
      <c r="AB348" s="30" t="str">
        <f>IFERROR(Tabela1[[#This Row],[VALOR]]/100,"")</f>
        <v/>
      </c>
      <c r="AC348" s="7" t="str" cm="1">
        <f t="array" aca="1" ref="AC348" ca="1">IF(Tabela1[[#This Row],[VALOR]]&lt;0,"",IFERROR(SUBSTITUTE(Converter_numero(Tabela1[[#This Row],[VALOR INCISO]]),",",""),""))</f>
        <v/>
      </c>
      <c r="AD348" s="29" t="str">
        <f>IF(Tabela1[[#This Row],[TIPO]]=REGRAS!$W$2,REGRAS!$X$2,IF(Tabela1[[#This Row],[TIPO]]=REGRAS!$W$4,REGRAS!$X$4,""))</f>
        <v/>
      </c>
      <c r="AE348" s="29" t="e">
        <f>VLOOKUP(Tabela1[[#This Row],[FONTE_COD]],REGRAS!$O$2:$P$69,2,FALSE)</f>
        <v>#N/A</v>
      </c>
      <c r="AF3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9" spans="1:32" ht="18.75" customHeight="1">
      <c r="A349" s="2" t="str">
        <f>IFERROR(IF('PREENCHER AQUI'!A349="","",'PREENCHER AQUI'!A349),"")</f>
        <v/>
      </c>
      <c r="B349" s="1" t="str">
        <f>IFERROR(IF('PREENCHER AQUI'!B349="","",PROPER('PREENCHER AQUI'!B349)),"")</f>
        <v/>
      </c>
      <c r="C349" s="1" t="str">
        <f>IFERROR(IF('PREENCHER AQUI'!C349="","",'PREENCHER AQUI'!C349),"")</f>
        <v/>
      </c>
      <c r="D349" s="2" t="str">
        <f>IFERROR(IF('PREENCHER AQUI'!D349="","",'PREENCHER AQUI'!D349),"")</f>
        <v/>
      </c>
      <c r="E349" s="2" t="str">
        <f>IFERROR(VLOOKUP(CONCATENATE(C349,D349),qdd!$C$2:$F$1000,2,FALSE),"")</f>
        <v/>
      </c>
      <c r="F349" s="2" t="str">
        <f>IFERROR(VLOOKUP(CONCATENATE(C349,D349),qdd!$C$2:$F$1000,3,FALSE),"")</f>
        <v/>
      </c>
      <c r="G349" s="2" t="str">
        <f>IFERROR(VLOOKUP(CONCATENATE(C349,D349),qdd!$C$2:$F$1000,4,FALSE),"")</f>
        <v/>
      </c>
      <c r="H349" s="6" t="str">
        <f t="shared" si="12"/>
        <v/>
      </c>
      <c r="I3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9" s="2" t="str">
        <f>IFERROR(IF('PREENCHER AQUI'!E349="","",'PREENCHER AQUI'!E349),"")</f>
        <v/>
      </c>
      <c r="K349" s="2" t="str">
        <f>IFERROR(IF('PREENCHER AQUI'!F349="","",'PREENCHER AQUI'!F349),"")</f>
        <v/>
      </c>
      <c r="L349" s="2" t="str">
        <f>IF(Tabela1[[#This Row],[IPU_COD]]=9,"91",IF(Tabela1[[#This Row],[ACAO_COD]]="","",VLOOKUP(CONCATENATE("G",J349,"M",K349),qdd!$BC$2:$BD$46,2,FALSE)))</f>
        <v/>
      </c>
      <c r="M349" s="2" t="str">
        <f>TEXT(IFERROR(VLOOKUP(CONCATENATE(C349,D349),qdd!$C$2:$G$1000,5,FALSE),""),0)</f>
        <v/>
      </c>
      <c r="N349" s="2" t="str">
        <f>IFERROR(IF('PREENCHER AQUI'!I349="","",'PREENCHER AQUI'!I349),"")</f>
        <v/>
      </c>
      <c r="O349" s="2" t="str">
        <f>IFERROR(IF('PREENCHER AQUI'!J349="","",'PREENCHER AQUI'!J349),"")</f>
        <v/>
      </c>
      <c r="P349" s="7" t="str">
        <f t="shared" si="13"/>
        <v/>
      </c>
      <c r="Q349" s="8" t="str">
        <f>IFERROR(IF(Tabela4[[#This Row],[VALOR]]="","",IF(Tabela1[[#This Row],[ORIENTACAO]]="Anular",'PREENCHER AQUI'!K349*-1*100,'PREENCHER AQUI'!K349*100)),"")</f>
        <v/>
      </c>
      <c r="T349" s="7" t="str">
        <f>IFERROR(IF('PREENCHER AQUI'!L349="","999",LEFT('PREENCHER AQUI'!L349,1)),"")</f>
        <v>999</v>
      </c>
      <c r="V349" s="19"/>
      <c r="W349" s="1" t="str">
        <f>IFERROR(VLOOKUP(Tabela1[[#This Row],[UO_COD]],qdd!$AT$1:$AU$102,2,FALSE),"")</f>
        <v/>
      </c>
      <c r="X349" s="1" t="str">
        <f>CONCATENATE("F",Tabela1[[#This Row],[FONTE_COD]],Tabela1[[#This Row],[IPU_COD]],"G",Tabela1[[#This Row],[GRUPO_COD]],"T",Tabela1[[#This Row],[TIPO]])</f>
        <v>FGT999</v>
      </c>
      <c r="Y3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9" s="19"/>
      <c r="AA349" s="29" t="str">
        <f>IFERROR(VLOOKUP(CONCATENATE("B",Tabela1[[#This Row],[BLOCO]],Tabela1[[#This Row],[UO_COD]]),qdd!$AW$2:$AX$1000,2,FALSE),"")</f>
        <v/>
      </c>
      <c r="AB349" s="30" t="str">
        <f>IFERROR(Tabela1[[#This Row],[VALOR]]/100,"")</f>
        <v/>
      </c>
      <c r="AC349" s="7" t="str" cm="1">
        <f t="array" aca="1" ref="AC349" ca="1">IF(Tabela1[[#This Row],[VALOR]]&lt;0,"",IFERROR(SUBSTITUTE(Converter_numero(Tabela1[[#This Row],[VALOR INCISO]]),",",""),""))</f>
        <v/>
      </c>
      <c r="AD349" s="29" t="str">
        <f>IF(Tabela1[[#This Row],[TIPO]]=REGRAS!$W$2,REGRAS!$X$2,IF(Tabela1[[#This Row],[TIPO]]=REGRAS!$W$4,REGRAS!$X$4,""))</f>
        <v/>
      </c>
      <c r="AE349" s="29" t="e">
        <f>VLOOKUP(Tabela1[[#This Row],[FONTE_COD]],REGRAS!$O$2:$P$69,2,FALSE)</f>
        <v>#N/A</v>
      </c>
      <c r="AF3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0" spans="1:32" ht="18.75" customHeight="1">
      <c r="A350" s="2" t="str">
        <f>IFERROR(IF('PREENCHER AQUI'!A350="","",'PREENCHER AQUI'!A350),"")</f>
        <v/>
      </c>
      <c r="B350" s="1" t="str">
        <f>IFERROR(IF('PREENCHER AQUI'!B350="","",PROPER('PREENCHER AQUI'!B350)),"")</f>
        <v/>
      </c>
      <c r="C350" s="1" t="str">
        <f>IFERROR(IF('PREENCHER AQUI'!C350="","",'PREENCHER AQUI'!C350),"")</f>
        <v/>
      </c>
      <c r="D350" s="2" t="str">
        <f>IFERROR(IF('PREENCHER AQUI'!D350="","",'PREENCHER AQUI'!D350),"")</f>
        <v/>
      </c>
      <c r="E350" s="2" t="str">
        <f>IFERROR(VLOOKUP(CONCATENATE(C350,D350),qdd!$C$2:$F$1000,2,FALSE),"")</f>
        <v/>
      </c>
      <c r="F350" s="2" t="str">
        <f>IFERROR(VLOOKUP(CONCATENATE(C350,D350),qdd!$C$2:$F$1000,3,FALSE),"")</f>
        <v/>
      </c>
      <c r="G350" s="2" t="str">
        <f>IFERROR(VLOOKUP(CONCATENATE(C350,D350),qdd!$C$2:$F$1000,4,FALSE),"")</f>
        <v/>
      </c>
      <c r="H350" s="6" t="str">
        <f t="shared" si="12"/>
        <v/>
      </c>
      <c r="I3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0" s="2" t="str">
        <f>IFERROR(IF('PREENCHER AQUI'!E350="","",'PREENCHER AQUI'!E350),"")</f>
        <v/>
      </c>
      <c r="K350" s="2" t="str">
        <f>IFERROR(IF('PREENCHER AQUI'!F350="","",'PREENCHER AQUI'!F350),"")</f>
        <v/>
      </c>
      <c r="L350" s="2" t="str">
        <f>IF(Tabela1[[#This Row],[IPU_COD]]=9,"91",IF(Tabela1[[#This Row],[ACAO_COD]]="","",VLOOKUP(CONCATENATE("G",J350,"M",K350),qdd!$BC$2:$BD$46,2,FALSE)))</f>
        <v/>
      </c>
      <c r="M350" s="2" t="str">
        <f>TEXT(IFERROR(VLOOKUP(CONCATENATE(C350,D350),qdd!$C$2:$G$1000,5,FALSE),""),0)</f>
        <v/>
      </c>
      <c r="N350" s="2" t="str">
        <f>IFERROR(IF('PREENCHER AQUI'!I350="","",'PREENCHER AQUI'!I350),"")</f>
        <v/>
      </c>
      <c r="O350" s="2" t="str">
        <f>IFERROR(IF('PREENCHER AQUI'!J350="","",'PREENCHER AQUI'!J350),"")</f>
        <v/>
      </c>
      <c r="P350" s="7" t="str">
        <f t="shared" si="13"/>
        <v/>
      </c>
      <c r="Q350" s="8" t="str">
        <f>IFERROR(IF(Tabela4[[#This Row],[VALOR]]="","",IF(Tabela1[[#This Row],[ORIENTACAO]]="Anular",'PREENCHER AQUI'!K350*-1*100,'PREENCHER AQUI'!K350*100)),"")</f>
        <v/>
      </c>
      <c r="T350" s="7" t="str">
        <f>IFERROR(IF('PREENCHER AQUI'!L350="","999",LEFT('PREENCHER AQUI'!L350,1)),"")</f>
        <v>999</v>
      </c>
      <c r="V350" s="19"/>
      <c r="W350" s="20" t="str">
        <f>IFERROR(VLOOKUP(Tabela1[[#This Row],[UO_COD]],qdd!$AT$1:$AU$102,2,FALSE),"")</f>
        <v/>
      </c>
      <c r="X350" s="20" t="str">
        <f>CONCATENATE("F",Tabela1[[#This Row],[FONTE_COD]],Tabela1[[#This Row],[IPU_COD]],"G",Tabela1[[#This Row],[GRUPO_COD]],"T",Tabela1[[#This Row],[TIPO]])</f>
        <v>FGT999</v>
      </c>
      <c r="Y3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0" s="19"/>
      <c r="AA350" s="29" t="str">
        <f>IFERROR(VLOOKUP(CONCATENATE("B",Tabela1[[#This Row],[BLOCO]],Tabela1[[#This Row],[UO_COD]]),qdd!$AW$2:$AX$1000,2,FALSE),"")</f>
        <v/>
      </c>
      <c r="AB350" s="30" t="str">
        <f>IFERROR(Tabela1[[#This Row],[VALOR]]/100,"")</f>
        <v/>
      </c>
      <c r="AC350" s="7" t="str" cm="1">
        <f t="array" aca="1" ref="AC350" ca="1">IF(Tabela1[[#This Row],[VALOR]]&lt;0,"",IFERROR(SUBSTITUTE(Converter_numero(Tabela1[[#This Row],[VALOR INCISO]]),",",""),""))</f>
        <v/>
      </c>
      <c r="AD350" s="29" t="str">
        <f>IF(Tabela1[[#This Row],[TIPO]]=REGRAS!$W$2,REGRAS!$X$2,IF(Tabela1[[#This Row],[TIPO]]=REGRAS!$W$4,REGRAS!$X$4,""))</f>
        <v/>
      </c>
      <c r="AE350" s="29" t="e">
        <f>VLOOKUP(Tabela1[[#This Row],[FONTE_COD]],REGRAS!$O$2:$P$69,2,FALSE)</f>
        <v>#N/A</v>
      </c>
      <c r="AF3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1" spans="1:32" ht="18.75" customHeight="1">
      <c r="A351" s="2" t="str">
        <f>IFERROR(IF('PREENCHER AQUI'!A351="","",'PREENCHER AQUI'!A351),"")</f>
        <v/>
      </c>
      <c r="B351" s="1" t="str">
        <f>IFERROR(IF('PREENCHER AQUI'!B351="","",PROPER('PREENCHER AQUI'!B351)),"")</f>
        <v/>
      </c>
      <c r="C351" s="1" t="str">
        <f>IFERROR(IF('PREENCHER AQUI'!C351="","",'PREENCHER AQUI'!C351),"")</f>
        <v/>
      </c>
      <c r="D351" s="2" t="str">
        <f>IFERROR(IF('PREENCHER AQUI'!D351="","",'PREENCHER AQUI'!D351),"")</f>
        <v/>
      </c>
      <c r="E351" s="2" t="str">
        <f>IFERROR(VLOOKUP(CONCATENATE(C351,D351),qdd!$C$2:$F$1000,2,FALSE),"")</f>
        <v/>
      </c>
      <c r="F351" s="2" t="str">
        <f>IFERROR(VLOOKUP(CONCATENATE(C351,D351),qdd!$C$2:$F$1000,3,FALSE),"")</f>
        <v/>
      </c>
      <c r="G351" s="2" t="str">
        <f>IFERROR(VLOOKUP(CONCATENATE(C351,D351),qdd!$C$2:$F$1000,4,FALSE),"")</f>
        <v/>
      </c>
      <c r="H351" s="6" t="str">
        <f t="shared" si="12"/>
        <v/>
      </c>
      <c r="I3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1" s="2" t="str">
        <f>IFERROR(IF('PREENCHER AQUI'!E351="","",'PREENCHER AQUI'!E351),"")</f>
        <v/>
      </c>
      <c r="K351" s="2" t="str">
        <f>IFERROR(IF('PREENCHER AQUI'!F351="","",'PREENCHER AQUI'!F351),"")</f>
        <v/>
      </c>
      <c r="L351" s="2" t="str">
        <f>IF(Tabela1[[#This Row],[IPU_COD]]=9,"91",IF(Tabela1[[#This Row],[ACAO_COD]]="","",VLOOKUP(CONCATENATE("G",J351,"M",K351),qdd!$BC$2:$BD$46,2,FALSE)))</f>
        <v/>
      </c>
      <c r="M351" s="2" t="str">
        <f>TEXT(IFERROR(VLOOKUP(CONCATENATE(C351,D351),qdd!$C$2:$G$1000,5,FALSE),""),0)</f>
        <v/>
      </c>
      <c r="N351" s="2" t="str">
        <f>IFERROR(IF('PREENCHER AQUI'!I351="","",'PREENCHER AQUI'!I351),"")</f>
        <v/>
      </c>
      <c r="O351" s="2" t="str">
        <f>IFERROR(IF('PREENCHER AQUI'!J351="","",'PREENCHER AQUI'!J351),"")</f>
        <v/>
      </c>
      <c r="P351" s="7" t="str">
        <f t="shared" si="13"/>
        <v/>
      </c>
      <c r="Q351" s="8" t="str">
        <f>IFERROR(IF(Tabela4[[#This Row],[VALOR]]="","",IF(Tabela1[[#This Row],[ORIENTACAO]]="Anular",'PREENCHER AQUI'!K351*-1*100,'PREENCHER AQUI'!K351*100)),"")</f>
        <v/>
      </c>
      <c r="T351" s="7" t="str">
        <f>IFERROR(IF('PREENCHER AQUI'!L351="","999",LEFT('PREENCHER AQUI'!L351,1)),"")</f>
        <v>999</v>
      </c>
      <c r="V351" s="19"/>
      <c r="W351" s="1" t="str">
        <f>IFERROR(VLOOKUP(Tabela1[[#This Row],[UO_COD]],qdd!$AT$1:$AU$102,2,FALSE),"")</f>
        <v/>
      </c>
      <c r="X351" s="1" t="str">
        <f>CONCATENATE("F",Tabela1[[#This Row],[FONTE_COD]],Tabela1[[#This Row],[IPU_COD]],"G",Tabela1[[#This Row],[GRUPO_COD]],"T",Tabela1[[#This Row],[TIPO]])</f>
        <v>FGT999</v>
      </c>
      <c r="Y3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1" s="19"/>
      <c r="AA351" s="29" t="str">
        <f>IFERROR(VLOOKUP(CONCATENATE("B",Tabela1[[#This Row],[BLOCO]],Tabela1[[#This Row],[UO_COD]]),qdd!$AW$2:$AX$1000,2,FALSE),"")</f>
        <v/>
      </c>
      <c r="AB351" s="30" t="str">
        <f>IFERROR(Tabela1[[#This Row],[VALOR]]/100,"")</f>
        <v/>
      </c>
      <c r="AC351" s="7" t="str" cm="1">
        <f t="array" aca="1" ref="AC351" ca="1">IF(Tabela1[[#This Row],[VALOR]]&lt;0,"",IFERROR(SUBSTITUTE(Converter_numero(Tabela1[[#This Row],[VALOR INCISO]]),",",""),""))</f>
        <v/>
      </c>
      <c r="AD351" s="29" t="str">
        <f>IF(Tabela1[[#This Row],[TIPO]]=REGRAS!$W$2,REGRAS!$X$2,IF(Tabela1[[#This Row],[TIPO]]=REGRAS!$W$4,REGRAS!$X$4,""))</f>
        <v/>
      </c>
      <c r="AE351" s="29" t="e">
        <f>VLOOKUP(Tabela1[[#This Row],[FONTE_COD]],REGRAS!$O$2:$P$69,2,FALSE)</f>
        <v>#N/A</v>
      </c>
      <c r="AF3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2" spans="1:32" ht="18.75" customHeight="1">
      <c r="A352" s="2" t="str">
        <f>IFERROR(IF('PREENCHER AQUI'!A352="","",'PREENCHER AQUI'!A352),"")</f>
        <v/>
      </c>
      <c r="B352" s="1" t="str">
        <f>IFERROR(IF('PREENCHER AQUI'!B352="","",PROPER('PREENCHER AQUI'!B352)),"")</f>
        <v/>
      </c>
      <c r="C352" s="1" t="str">
        <f>IFERROR(IF('PREENCHER AQUI'!C352="","",'PREENCHER AQUI'!C352),"")</f>
        <v/>
      </c>
      <c r="D352" s="2" t="str">
        <f>IFERROR(IF('PREENCHER AQUI'!D352="","",'PREENCHER AQUI'!D352),"")</f>
        <v/>
      </c>
      <c r="E352" s="2" t="str">
        <f>IFERROR(VLOOKUP(CONCATENATE(C352,D352),qdd!$C$2:$F$1000,2,FALSE),"")</f>
        <v/>
      </c>
      <c r="F352" s="2" t="str">
        <f>IFERROR(VLOOKUP(CONCATENATE(C352,D352),qdd!$C$2:$F$1000,3,FALSE),"")</f>
        <v/>
      </c>
      <c r="G352" s="2" t="str">
        <f>IFERROR(VLOOKUP(CONCATENATE(C352,D352),qdd!$C$2:$F$1000,4,FALSE),"")</f>
        <v/>
      </c>
      <c r="H352" s="6" t="str">
        <f t="shared" si="12"/>
        <v/>
      </c>
      <c r="I3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2" s="2" t="str">
        <f>IFERROR(IF('PREENCHER AQUI'!E352="","",'PREENCHER AQUI'!E352),"")</f>
        <v/>
      </c>
      <c r="K352" s="2" t="str">
        <f>IFERROR(IF('PREENCHER AQUI'!F352="","",'PREENCHER AQUI'!F352),"")</f>
        <v/>
      </c>
      <c r="L352" s="2" t="str">
        <f>IF(Tabela1[[#This Row],[IPU_COD]]=9,"91",IF(Tabela1[[#This Row],[ACAO_COD]]="","",VLOOKUP(CONCATENATE("G",J352,"M",K352),qdd!$BC$2:$BD$46,2,FALSE)))</f>
        <v/>
      </c>
      <c r="M352" s="2" t="str">
        <f>TEXT(IFERROR(VLOOKUP(CONCATENATE(C352,D352),qdd!$C$2:$G$1000,5,FALSE),""),0)</f>
        <v/>
      </c>
      <c r="N352" s="2" t="str">
        <f>IFERROR(IF('PREENCHER AQUI'!I352="","",'PREENCHER AQUI'!I352),"")</f>
        <v/>
      </c>
      <c r="O352" s="2" t="str">
        <f>IFERROR(IF('PREENCHER AQUI'!J352="","",'PREENCHER AQUI'!J352),"")</f>
        <v/>
      </c>
      <c r="P352" s="7" t="str">
        <f t="shared" si="13"/>
        <v/>
      </c>
      <c r="Q352" s="8" t="str">
        <f>IFERROR(IF(Tabela4[[#This Row],[VALOR]]="","",IF(Tabela1[[#This Row],[ORIENTACAO]]="Anular",'PREENCHER AQUI'!K352*-1*100,'PREENCHER AQUI'!K352*100)),"")</f>
        <v/>
      </c>
      <c r="T352" s="7" t="str">
        <f>IFERROR(IF('PREENCHER AQUI'!L352="","999",LEFT('PREENCHER AQUI'!L352,1)),"")</f>
        <v>999</v>
      </c>
      <c r="W352" s="1" t="str">
        <f>IFERROR(VLOOKUP(Tabela1[[#This Row],[UO_COD]],qdd!$AT$1:$AU$102,2,FALSE),"")</f>
        <v/>
      </c>
      <c r="X352" s="1" t="str">
        <f>CONCATENATE("F",Tabela1[[#This Row],[FONTE_COD]],Tabela1[[#This Row],[IPU_COD]],"G",Tabela1[[#This Row],[GRUPO_COD]],"T",Tabela1[[#This Row],[TIPO]])</f>
        <v>FGT999</v>
      </c>
      <c r="Y3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2" s="19"/>
      <c r="AA352" s="29" t="str">
        <f>IFERROR(VLOOKUP(CONCATENATE("B",Tabela1[[#This Row],[BLOCO]],Tabela1[[#This Row],[UO_COD]]),qdd!$AW$2:$AX$1000,2,FALSE),"")</f>
        <v/>
      </c>
      <c r="AB352" s="30" t="str">
        <f>IFERROR(Tabela1[[#This Row],[VALOR]]/100,"")</f>
        <v/>
      </c>
      <c r="AC352" s="7" t="str" cm="1">
        <f t="array" aca="1" ref="AC352" ca="1">IF(Tabela1[[#This Row],[VALOR]]&lt;0,"",IFERROR(SUBSTITUTE(Converter_numero(Tabela1[[#This Row],[VALOR INCISO]]),",",""),""))</f>
        <v/>
      </c>
      <c r="AD352" s="7" t="str">
        <f>IF(Tabela1[[#This Row],[TIPO]]=REGRAS!$W$2,REGRAS!$X$2,IF(Tabela1[[#This Row],[TIPO]]=REGRAS!$W$4,REGRAS!$X$4,""))</f>
        <v/>
      </c>
      <c r="AE352" s="29" t="e">
        <f>VLOOKUP(Tabela1[[#This Row],[FONTE_COD]],REGRAS!$O$2:$P$69,2,FALSE)</f>
        <v>#N/A</v>
      </c>
      <c r="AF3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3" spans="1:32" ht="18.75" customHeight="1">
      <c r="A353" s="2" t="str">
        <f>IFERROR(IF('PREENCHER AQUI'!A353="","",'PREENCHER AQUI'!A353),"")</f>
        <v/>
      </c>
      <c r="B353" s="1" t="str">
        <f>IFERROR(IF('PREENCHER AQUI'!B353="","",PROPER('PREENCHER AQUI'!B353)),"")</f>
        <v/>
      </c>
      <c r="C353" s="1" t="str">
        <f>IFERROR(IF('PREENCHER AQUI'!C353="","",'PREENCHER AQUI'!C353),"")</f>
        <v/>
      </c>
      <c r="D353" s="2" t="str">
        <f>IFERROR(IF('PREENCHER AQUI'!D353="","",'PREENCHER AQUI'!D353),"")</f>
        <v/>
      </c>
      <c r="E353" s="2" t="str">
        <f>IFERROR(VLOOKUP(CONCATENATE(C353,D353),qdd!$C$2:$F$1000,2,FALSE),"")</f>
        <v/>
      </c>
      <c r="F353" s="2" t="str">
        <f>IFERROR(VLOOKUP(CONCATENATE(C353,D353),qdd!$C$2:$F$1000,3,FALSE),"")</f>
        <v/>
      </c>
      <c r="G353" s="2" t="str">
        <f>IFERROR(VLOOKUP(CONCATENATE(C353,D353),qdd!$C$2:$F$1000,4,FALSE),"")</f>
        <v/>
      </c>
      <c r="H353" s="6" t="str">
        <f t="shared" si="12"/>
        <v/>
      </c>
      <c r="I3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3" s="2" t="str">
        <f>IFERROR(IF('PREENCHER AQUI'!E353="","",'PREENCHER AQUI'!E353),"")</f>
        <v/>
      </c>
      <c r="K353" s="2" t="str">
        <f>IFERROR(IF('PREENCHER AQUI'!F353="","",'PREENCHER AQUI'!F353),"")</f>
        <v/>
      </c>
      <c r="L353" s="2" t="str">
        <f>IF(Tabela1[[#This Row],[IPU_COD]]=9,"91",IF(Tabela1[[#This Row],[ACAO_COD]]="","",VLOOKUP(CONCATENATE("G",J353,"M",K353),qdd!$BC$2:$BD$46,2,FALSE)))</f>
        <v/>
      </c>
      <c r="M353" s="2" t="str">
        <f>TEXT(IFERROR(VLOOKUP(CONCATENATE(C353,D353),qdd!$C$2:$G$1000,5,FALSE),""),0)</f>
        <v/>
      </c>
      <c r="N353" s="2" t="str">
        <f>IFERROR(IF('PREENCHER AQUI'!I353="","",'PREENCHER AQUI'!I353),"")</f>
        <v/>
      </c>
      <c r="O353" s="2" t="str">
        <f>IFERROR(IF('PREENCHER AQUI'!J353="","",'PREENCHER AQUI'!J353),"")</f>
        <v/>
      </c>
      <c r="P353" s="7" t="str">
        <f t="shared" si="13"/>
        <v/>
      </c>
      <c r="Q353" s="8" t="str">
        <f>IFERROR(IF(Tabela4[[#This Row],[VALOR]]="","",IF(Tabela1[[#This Row],[ORIENTACAO]]="Anular",'PREENCHER AQUI'!K353*-1*100,'PREENCHER AQUI'!K353*100)),"")</f>
        <v/>
      </c>
      <c r="T353" s="7" t="str">
        <f>IFERROR(IF('PREENCHER AQUI'!L353="","999",LEFT('PREENCHER AQUI'!L353,1)),"")</f>
        <v>999</v>
      </c>
      <c r="V353" s="19"/>
      <c r="W353" s="1" t="str">
        <f>IFERROR(VLOOKUP(Tabela1[[#This Row],[UO_COD]],qdd!$AT$1:$AU$102,2,FALSE),"")</f>
        <v/>
      </c>
      <c r="X353" s="1" t="str">
        <f>CONCATENATE("F",Tabela1[[#This Row],[FONTE_COD]],Tabela1[[#This Row],[IPU_COD]],"G",Tabela1[[#This Row],[GRUPO_COD]],"T",Tabela1[[#This Row],[TIPO]])</f>
        <v>FGT999</v>
      </c>
      <c r="Y3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3" s="19"/>
      <c r="AA353" s="29" t="str">
        <f>IFERROR(VLOOKUP(CONCATENATE("B",Tabela1[[#This Row],[BLOCO]],Tabela1[[#This Row],[UO_COD]]),qdd!$AW$2:$AX$1000,2,FALSE),"")</f>
        <v/>
      </c>
      <c r="AB353" s="30" t="str">
        <f>IFERROR(Tabela1[[#This Row],[VALOR]]/100,"")</f>
        <v/>
      </c>
      <c r="AC353" s="7" t="str" cm="1">
        <f t="array" aca="1" ref="AC353" ca="1">IF(Tabela1[[#This Row],[VALOR]]&lt;0,"",IFERROR(SUBSTITUTE(Converter_numero(Tabela1[[#This Row],[VALOR INCISO]]),",",""),""))</f>
        <v/>
      </c>
      <c r="AD353" s="29" t="str">
        <f>IF(Tabela1[[#This Row],[TIPO]]=REGRAS!$W$2,REGRAS!$X$2,IF(Tabela1[[#This Row],[TIPO]]=REGRAS!$W$4,REGRAS!$X$4,""))</f>
        <v/>
      </c>
      <c r="AE353" s="29" t="e">
        <f>VLOOKUP(Tabela1[[#This Row],[FONTE_COD]],REGRAS!$O$2:$P$69,2,FALSE)</f>
        <v>#N/A</v>
      </c>
      <c r="AF3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4" spans="1:32" ht="18.75" customHeight="1">
      <c r="A354" s="2" t="str">
        <f>IFERROR(IF('PREENCHER AQUI'!A354="","",'PREENCHER AQUI'!A354),"")</f>
        <v/>
      </c>
      <c r="B354" s="1" t="str">
        <f>IFERROR(IF('PREENCHER AQUI'!B354="","",PROPER('PREENCHER AQUI'!B354)),"")</f>
        <v/>
      </c>
      <c r="C354" s="1" t="str">
        <f>IFERROR(IF('PREENCHER AQUI'!C354="","",'PREENCHER AQUI'!C354),"")</f>
        <v/>
      </c>
      <c r="D354" s="2" t="str">
        <f>IFERROR(IF('PREENCHER AQUI'!D354="","",'PREENCHER AQUI'!D354),"")</f>
        <v/>
      </c>
      <c r="E354" s="2" t="str">
        <f>IFERROR(VLOOKUP(CONCATENATE(C354,D354),qdd!$C$2:$F$1000,2,FALSE),"")</f>
        <v/>
      </c>
      <c r="F354" s="2" t="str">
        <f>IFERROR(VLOOKUP(CONCATENATE(C354,D354),qdd!$C$2:$F$1000,3,FALSE),"")</f>
        <v/>
      </c>
      <c r="G354" s="2" t="str">
        <f>IFERROR(VLOOKUP(CONCATENATE(C354,D354),qdd!$C$2:$F$1000,4,FALSE),"")</f>
        <v/>
      </c>
      <c r="H354" s="6" t="str">
        <f t="shared" si="12"/>
        <v/>
      </c>
      <c r="I3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4" s="2" t="str">
        <f>IFERROR(IF('PREENCHER AQUI'!E354="","",'PREENCHER AQUI'!E354),"")</f>
        <v/>
      </c>
      <c r="K354" s="2" t="str">
        <f>IFERROR(IF('PREENCHER AQUI'!F354="","",'PREENCHER AQUI'!F354),"")</f>
        <v/>
      </c>
      <c r="L354" s="2" t="str">
        <f>IF(Tabela1[[#This Row],[IPU_COD]]=9,"91",IF(Tabela1[[#This Row],[ACAO_COD]]="","",VLOOKUP(CONCATENATE("G",J354,"M",K354),qdd!$BC$2:$BD$46,2,FALSE)))</f>
        <v/>
      </c>
      <c r="M354" s="2" t="str">
        <f>TEXT(IFERROR(VLOOKUP(CONCATENATE(C354,D354),qdd!$C$2:$G$1000,5,FALSE),""),0)</f>
        <v/>
      </c>
      <c r="N354" s="2" t="str">
        <f>IFERROR(IF('PREENCHER AQUI'!I354="","",'PREENCHER AQUI'!I354),"")</f>
        <v/>
      </c>
      <c r="O354" s="2" t="str">
        <f>IFERROR(IF('PREENCHER AQUI'!J354="","",'PREENCHER AQUI'!J354),"")</f>
        <v/>
      </c>
      <c r="P354" s="7" t="str">
        <f t="shared" si="13"/>
        <v/>
      </c>
      <c r="Q354" s="8" t="str">
        <f>IFERROR(IF(Tabela4[[#This Row],[VALOR]]="","",IF(Tabela1[[#This Row],[ORIENTACAO]]="Anular",'PREENCHER AQUI'!K354*-1*100,'PREENCHER AQUI'!K354*100)),"")</f>
        <v/>
      </c>
      <c r="T354" s="7" t="str">
        <f>IFERROR(IF('PREENCHER AQUI'!L354="","999",LEFT('PREENCHER AQUI'!L354,1)),"")</f>
        <v>999</v>
      </c>
      <c r="V354" s="19"/>
      <c r="W354" s="1" t="str">
        <f>IFERROR(VLOOKUP(Tabela1[[#This Row],[UO_COD]],qdd!$AT$1:$AU$102,2,FALSE),"")</f>
        <v/>
      </c>
      <c r="X354" s="1" t="str">
        <f>CONCATENATE("F",Tabela1[[#This Row],[FONTE_COD]],Tabela1[[#This Row],[IPU_COD]],"G",Tabela1[[#This Row],[GRUPO_COD]],"T",Tabela1[[#This Row],[TIPO]])</f>
        <v>FGT999</v>
      </c>
      <c r="Y3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4" s="19"/>
      <c r="AA354" s="29" t="str">
        <f>IFERROR(VLOOKUP(CONCATENATE("B",Tabela1[[#This Row],[BLOCO]],Tabela1[[#This Row],[UO_COD]]),qdd!$AW$2:$AX$1000,2,FALSE),"")</f>
        <v/>
      </c>
      <c r="AB354" s="30" t="str">
        <f>IFERROR(Tabela1[[#This Row],[VALOR]]/100,"")</f>
        <v/>
      </c>
      <c r="AC354" s="7" t="str" cm="1">
        <f t="array" aca="1" ref="AC354" ca="1">IF(Tabela1[[#This Row],[VALOR]]&lt;0,"",IFERROR(SUBSTITUTE(Converter_numero(Tabela1[[#This Row],[VALOR INCISO]]),",",""),""))</f>
        <v/>
      </c>
      <c r="AD354" s="29" t="str">
        <f>IF(Tabela1[[#This Row],[TIPO]]=REGRAS!$W$2,REGRAS!$X$2,IF(Tabela1[[#This Row],[TIPO]]=REGRAS!$W$4,REGRAS!$X$4,""))</f>
        <v/>
      </c>
      <c r="AE354" s="29" t="e">
        <f>VLOOKUP(Tabela1[[#This Row],[FONTE_COD]],REGRAS!$O$2:$P$69,2,FALSE)</f>
        <v>#N/A</v>
      </c>
      <c r="AF3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5" spans="1:32" ht="18.75" customHeight="1">
      <c r="A355" s="2" t="str">
        <f>IFERROR(IF('PREENCHER AQUI'!A355="","",'PREENCHER AQUI'!A355),"")</f>
        <v/>
      </c>
      <c r="B355" s="1" t="str">
        <f>IFERROR(IF('PREENCHER AQUI'!B355="","",PROPER('PREENCHER AQUI'!B355)),"")</f>
        <v/>
      </c>
      <c r="C355" s="1" t="str">
        <f>IFERROR(IF('PREENCHER AQUI'!C355="","",'PREENCHER AQUI'!C355),"")</f>
        <v/>
      </c>
      <c r="D355" s="2" t="str">
        <f>IFERROR(IF('PREENCHER AQUI'!D355="","",'PREENCHER AQUI'!D355),"")</f>
        <v/>
      </c>
      <c r="E355" s="2" t="str">
        <f>IFERROR(VLOOKUP(CONCATENATE(C355,D355),qdd!$C$2:$F$1000,2,FALSE),"")</f>
        <v/>
      </c>
      <c r="F355" s="2" t="str">
        <f>IFERROR(VLOOKUP(CONCATENATE(C355,D355),qdd!$C$2:$F$1000,3,FALSE),"")</f>
        <v/>
      </c>
      <c r="G355" s="2" t="str">
        <f>IFERROR(VLOOKUP(CONCATENATE(C355,D355),qdd!$C$2:$F$1000,4,FALSE),"")</f>
        <v/>
      </c>
      <c r="H355" s="6" t="str">
        <f t="shared" si="12"/>
        <v/>
      </c>
      <c r="I3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5" s="2" t="str">
        <f>IFERROR(IF('PREENCHER AQUI'!E355="","",'PREENCHER AQUI'!E355),"")</f>
        <v/>
      </c>
      <c r="K355" s="2" t="str">
        <f>IFERROR(IF('PREENCHER AQUI'!F355="","",'PREENCHER AQUI'!F355),"")</f>
        <v/>
      </c>
      <c r="L355" s="2" t="str">
        <f>IF(Tabela1[[#This Row],[IPU_COD]]=9,"91",IF(Tabela1[[#This Row],[ACAO_COD]]="","",VLOOKUP(CONCATENATE("G",J355,"M",K355),qdd!$BC$2:$BD$46,2,FALSE)))</f>
        <v/>
      </c>
      <c r="M355" s="2" t="str">
        <f>TEXT(IFERROR(VLOOKUP(CONCATENATE(C355,D355),qdd!$C$2:$G$1000,5,FALSE),""),0)</f>
        <v/>
      </c>
      <c r="N355" s="2" t="str">
        <f>IFERROR(IF('PREENCHER AQUI'!I355="","",'PREENCHER AQUI'!I355),"")</f>
        <v/>
      </c>
      <c r="O355" s="2" t="str">
        <f>IFERROR(IF('PREENCHER AQUI'!J355="","",'PREENCHER AQUI'!J355),"")</f>
        <v/>
      </c>
      <c r="P355" s="7" t="str">
        <f t="shared" si="13"/>
        <v/>
      </c>
      <c r="Q355" s="8" t="str">
        <f>IFERROR(IF(Tabela4[[#This Row],[VALOR]]="","",IF(Tabela1[[#This Row],[ORIENTACAO]]="Anular",'PREENCHER AQUI'!K355*-1*100,'PREENCHER AQUI'!K355*100)),"")</f>
        <v/>
      </c>
      <c r="T355" s="7" t="str">
        <f>IFERROR(IF('PREENCHER AQUI'!L355="","999",LEFT('PREENCHER AQUI'!L355,1)),"")</f>
        <v>999</v>
      </c>
      <c r="V355" s="19"/>
      <c r="W355" s="20" t="str">
        <f>IFERROR(VLOOKUP(Tabela1[[#This Row],[UO_COD]],qdd!$AT$1:$AU$102,2,FALSE),"")</f>
        <v/>
      </c>
      <c r="X355" s="20" t="str">
        <f>CONCATENATE("F",Tabela1[[#This Row],[FONTE_COD]],Tabela1[[#This Row],[IPU_COD]],"G",Tabela1[[#This Row],[GRUPO_COD]],"T",Tabela1[[#This Row],[TIPO]])</f>
        <v>FGT999</v>
      </c>
      <c r="Y3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5" s="19"/>
      <c r="AA355" s="29" t="str">
        <f>IFERROR(VLOOKUP(CONCATENATE("B",Tabela1[[#This Row],[BLOCO]],Tabela1[[#This Row],[UO_COD]]),qdd!$AW$2:$AX$1000,2,FALSE),"")</f>
        <v/>
      </c>
      <c r="AB355" s="30" t="str">
        <f>IFERROR(Tabela1[[#This Row],[VALOR]]/100,"")</f>
        <v/>
      </c>
      <c r="AC355" s="7" t="str" cm="1">
        <f t="array" aca="1" ref="AC355" ca="1">IF(Tabela1[[#This Row],[VALOR]]&lt;0,"",IFERROR(SUBSTITUTE(Converter_numero(Tabela1[[#This Row],[VALOR INCISO]]),",",""),""))</f>
        <v/>
      </c>
      <c r="AD355" s="29" t="str">
        <f>IF(Tabela1[[#This Row],[TIPO]]=REGRAS!$W$2,REGRAS!$X$2,IF(Tabela1[[#This Row],[TIPO]]=REGRAS!$W$4,REGRAS!$X$4,""))</f>
        <v/>
      </c>
      <c r="AE355" s="29" t="e">
        <f>VLOOKUP(Tabela1[[#This Row],[FONTE_COD]],REGRAS!$O$2:$P$69,2,FALSE)</f>
        <v>#N/A</v>
      </c>
      <c r="AF3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6" spans="1:32" ht="18.75" customHeight="1">
      <c r="A356" s="2" t="str">
        <f>IFERROR(IF('PREENCHER AQUI'!A356="","",'PREENCHER AQUI'!A356),"")</f>
        <v/>
      </c>
      <c r="B356" s="1" t="str">
        <f>IFERROR(IF('PREENCHER AQUI'!B356="","",PROPER('PREENCHER AQUI'!B356)),"")</f>
        <v/>
      </c>
      <c r="C356" s="1" t="str">
        <f>IFERROR(IF('PREENCHER AQUI'!C356="","",'PREENCHER AQUI'!C356),"")</f>
        <v/>
      </c>
      <c r="D356" s="2" t="str">
        <f>IFERROR(IF('PREENCHER AQUI'!D356="","",'PREENCHER AQUI'!D356),"")</f>
        <v/>
      </c>
      <c r="E356" s="2" t="str">
        <f>IFERROR(VLOOKUP(CONCATENATE(C356,D356),qdd!$C$2:$F$1000,2,FALSE),"")</f>
        <v/>
      </c>
      <c r="F356" s="2" t="str">
        <f>IFERROR(VLOOKUP(CONCATENATE(C356,D356),qdd!$C$2:$F$1000,3,FALSE),"")</f>
        <v/>
      </c>
      <c r="G356" s="2" t="str">
        <f>IFERROR(VLOOKUP(CONCATENATE(C356,D356),qdd!$C$2:$F$1000,4,FALSE),"")</f>
        <v/>
      </c>
      <c r="H356" s="6" t="str">
        <f t="shared" si="12"/>
        <v/>
      </c>
      <c r="I3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6" s="2" t="str">
        <f>IFERROR(IF('PREENCHER AQUI'!E356="","",'PREENCHER AQUI'!E356),"")</f>
        <v/>
      </c>
      <c r="K356" s="2" t="str">
        <f>IFERROR(IF('PREENCHER AQUI'!F356="","",'PREENCHER AQUI'!F356),"")</f>
        <v/>
      </c>
      <c r="L356" s="2" t="str">
        <f>IF(Tabela1[[#This Row],[IPU_COD]]=9,"91",IF(Tabela1[[#This Row],[ACAO_COD]]="","",VLOOKUP(CONCATENATE("G",J356,"M",K356),qdd!$BC$2:$BD$46,2,FALSE)))</f>
        <v/>
      </c>
      <c r="M356" s="2" t="str">
        <f>TEXT(IFERROR(VLOOKUP(CONCATENATE(C356,D356),qdd!$C$2:$G$1000,5,FALSE),""),0)</f>
        <v/>
      </c>
      <c r="N356" s="2" t="str">
        <f>IFERROR(IF('PREENCHER AQUI'!I356="","",'PREENCHER AQUI'!I356),"")</f>
        <v/>
      </c>
      <c r="O356" s="2" t="str">
        <f>IFERROR(IF('PREENCHER AQUI'!J356="","",'PREENCHER AQUI'!J356),"")</f>
        <v/>
      </c>
      <c r="P356" s="7" t="str">
        <f t="shared" si="13"/>
        <v/>
      </c>
      <c r="Q356" s="8" t="str">
        <f>IFERROR(IF(Tabela4[[#This Row],[VALOR]]="","",IF(Tabela1[[#This Row],[ORIENTACAO]]="Anular",'PREENCHER AQUI'!K356*-1*100,'PREENCHER AQUI'!K356*100)),"")</f>
        <v/>
      </c>
      <c r="T356" s="7" t="str">
        <f>IFERROR(IF('PREENCHER AQUI'!L356="","999",LEFT('PREENCHER AQUI'!L356,1)),"")</f>
        <v>999</v>
      </c>
      <c r="V356" s="19"/>
      <c r="W356" s="1" t="str">
        <f>IFERROR(VLOOKUP(Tabela1[[#This Row],[UO_COD]],qdd!$AT$1:$AU$102,2,FALSE),"")</f>
        <v/>
      </c>
      <c r="X356" s="1" t="str">
        <f>CONCATENATE("F",Tabela1[[#This Row],[FONTE_COD]],Tabela1[[#This Row],[IPU_COD]],"G",Tabela1[[#This Row],[GRUPO_COD]],"T",Tabela1[[#This Row],[TIPO]])</f>
        <v>FGT999</v>
      </c>
      <c r="Y3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6" s="19"/>
      <c r="AA356" s="29" t="str">
        <f>IFERROR(VLOOKUP(CONCATENATE("B",Tabela1[[#This Row],[BLOCO]],Tabela1[[#This Row],[UO_COD]]),qdd!$AW$2:$AX$1000,2,FALSE),"")</f>
        <v/>
      </c>
      <c r="AB356" s="30" t="str">
        <f>IFERROR(Tabela1[[#This Row],[VALOR]]/100,"")</f>
        <v/>
      </c>
      <c r="AC356" s="7" t="str" cm="1">
        <f t="array" aca="1" ref="AC356" ca="1">IF(Tabela1[[#This Row],[VALOR]]&lt;0,"",IFERROR(SUBSTITUTE(Converter_numero(Tabela1[[#This Row],[VALOR INCISO]]),",",""),""))</f>
        <v/>
      </c>
      <c r="AD356" s="29" t="str">
        <f>IF(Tabela1[[#This Row],[TIPO]]=REGRAS!$W$2,REGRAS!$X$2,IF(Tabela1[[#This Row],[TIPO]]=REGRAS!$W$4,REGRAS!$X$4,""))</f>
        <v/>
      </c>
      <c r="AE356" s="29" t="e">
        <f>VLOOKUP(Tabela1[[#This Row],[FONTE_COD]],REGRAS!$O$2:$P$69,2,FALSE)</f>
        <v>#N/A</v>
      </c>
      <c r="AF3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7" spans="1:32" ht="18.75" customHeight="1">
      <c r="A357" s="2" t="str">
        <f>IFERROR(IF('PREENCHER AQUI'!A357="","",'PREENCHER AQUI'!A357),"")</f>
        <v/>
      </c>
      <c r="B357" s="1" t="str">
        <f>IFERROR(IF('PREENCHER AQUI'!B357="","",PROPER('PREENCHER AQUI'!B357)),"")</f>
        <v/>
      </c>
      <c r="C357" s="1" t="str">
        <f>IFERROR(IF('PREENCHER AQUI'!C357="","",'PREENCHER AQUI'!C357),"")</f>
        <v/>
      </c>
      <c r="D357" s="2" t="str">
        <f>IFERROR(IF('PREENCHER AQUI'!D357="","",'PREENCHER AQUI'!D357),"")</f>
        <v/>
      </c>
      <c r="E357" s="2" t="str">
        <f>IFERROR(VLOOKUP(CONCATENATE(C357,D357),qdd!$C$2:$F$1000,2,FALSE),"")</f>
        <v/>
      </c>
      <c r="F357" s="2" t="str">
        <f>IFERROR(VLOOKUP(CONCATENATE(C357,D357),qdd!$C$2:$F$1000,3,FALSE),"")</f>
        <v/>
      </c>
      <c r="G357" s="2" t="str">
        <f>IFERROR(VLOOKUP(CONCATENATE(C357,D357),qdd!$C$2:$F$1000,4,FALSE),"")</f>
        <v/>
      </c>
      <c r="H357" s="6" t="str">
        <f t="shared" si="12"/>
        <v/>
      </c>
      <c r="I3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7" s="2" t="str">
        <f>IFERROR(IF('PREENCHER AQUI'!E357="","",'PREENCHER AQUI'!E357),"")</f>
        <v/>
      </c>
      <c r="K357" s="2" t="str">
        <f>IFERROR(IF('PREENCHER AQUI'!F357="","",'PREENCHER AQUI'!F357),"")</f>
        <v/>
      </c>
      <c r="L357" s="2" t="str">
        <f>IF(Tabela1[[#This Row],[IPU_COD]]=9,"91",IF(Tabela1[[#This Row],[ACAO_COD]]="","",VLOOKUP(CONCATENATE("G",J357,"M",K357),qdd!$BC$2:$BD$46,2,FALSE)))</f>
        <v/>
      </c>
      <c r="M357" s="2" t="str">
        <f>TEXT(IFERROR(VLOOKUP(CONCATENATE(C357,D357),qdd!$C$2:$G$1000,5,FALSE),""),0)</f>
        <v/>
      </c>
      <c r="N357" s="2" t="str">
        <f>IFERROR(IF('PREENCHER AQUI'!I357="","",'PREENCHER AQUI'!I357),"")</f>
        <v/>
      </c>
      <c r="O357" s="2" t="str">
        <f>IFERROR(IF('PREENCHER AQUI'!J357="","",'PREENCHER AQUI'!J357),"")</f>
        <v/>
      </c>
      <c r="P357" s="7" t="str">
        <f t="shared" si="13"/>
        <v/>
      </c>
      <c r="Q357" s="8" t="str">
        <f>IFERROR(IF(Tabela4[[#This Row],[VALOR]]="","",IF(Tabela1[[#This Row],[ORIENTACAO]]="Anular",'PREENCHER AQUI'!K357*-1*100,'PREENCHER AQUI'!K357*100)),"")</f>
        <v/>
      </c>
      <c r="T357" s="7" t="str">
        <f>IFERROR(IF('PREENCHER AQUI'!L357="","999",LEFT('PREENCHER AQUI'!L357,1)),"")</f>
        <v>999</v>
      </c>
      <c r="W357" s="1" t="str">
        <f>IFERROR(VLOOKUP(Tabela1[[#This Row],[UO_COD]],qdd!$AT$1:$AU$102,2,FALSE),"")</f>
        <v/>
      </c>
      <c r="X357" s="1" t="str">
        <f>CONCATENATE("F",Tabela1[[#This Row],[FONTE_COD]],Tabela1[[#This Row],[IPU_COD]],"G",Tabela1[[#This Row],[GRUPO_COD]],"T",Tabela1[[#This Row],[TIPO]])</f>
        <v>FGT999</v>
      </c>
      <c r="Y3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7" s="19"/>
      <c r="AA357" s="29" t="str">
        <f>IFERROR(VLOOKUP(CONCATENATE("B",Tabela1[[#This Row],[BLOCO]],Tabela1[[#This Row],[UO_COD]]),qdd!$AW$2:$AX$1000,2,FALSE),"")</f>
        <v/>
      </c>
      <c r="AB357" s="30" t="str">
        <f>IFERROR(Tabela1[[#This Row],[VALOR]]/100,"")</f>
        <v/>
      </c>
      <c r="AC357" s="7" t="str" cm="1">
        <f t="array" aca="1" ref="AC357" ca="1">IF(Tabela1[[#This Row],[VALOR]]&lt;0,"",IFERROR(SUBSTITUTE(Converter_numero(Tabela1[[#This Row],[VALOR INCISO]]),",",""),""))</f>
        <v/>
      </c>
      <c r="AD357" s="7" t="str">
        <f>IF(Tabela1[[#This Row],[TIPO]]=REGRAS!$W$2,REGRAS!$X$2,IF(Tabela1[[#This Row],[TIPO]]=REGRAS!$W$4,REGRAS!$X$4,""))</f>
        <v/>
      </c>
      <c r="AE357" s="29" t="e">
        <f>VLOOKUP(Tabela1[[#This Row],[FONTE_COD]],REGRAS!$O$2:$P$69,2,FALSE)</f>
        <v>#N/A</v>
      </c>
      <c r="AF3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8" spans="1:32" ht="18.75" customHeight="1">
      <c r="A358" s="2" t="str">
        <f>IFERROR(IF('PREENCHER AQUI'!A358="","",'PREENCHER AQUI'!A358),"")</f>
        <v/>
      </c>
      <c r="B358" s="1" t="str">
        <f>IFERROR(IF('PREENCHER AQUI'!B358="","",PROPER('PREENCHER AQUI'!B358)),"")</f>
        <v/>
      </c>
      <c r="C358" s="1" t="str">
        <f>IFERROR(IF('PREENCHER AQUI'!C358="","",'PREENCHER AQUI'!C358),"")</f>
        <v/>
      </c>
      <c r="D358" s="2" t="str">
        <f>IFERROR(IF('PREENCHER AQUI'!D358="","",'PREENCHER AQUI'!D358),"")</f>
        <v/>
      </c>
      <c r="E358" s="2" t="str">
        <f>IFERROR(VLOOKUP(CONCATENATE(C358,D358),qdd!$C$2:$F$1000,2,FALSE),"")</f>
        <v/>
      </c>
      <c r="F358" s="2" t="str">
        <f>IFERROR(VLOOKUP(CONCATENATE(C358,D358),qdd!$C$2:$F$1000,3,FALSE),"")</f>
        <v/>
      </c>
      <c r="G358" s="2" t="str">
        <f>IFERROR(VLOOKUP(CONCATENATE(C358,D358),qdd!$C$2:$F$1000,4,FALSE),"")</f>
        <v/>
      </c>
      <c r="H358" s="6" t="str">
        <f t="shared" si="12"/>
        <v/>
      </c>
      <c r="I3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8" s="2" t="str">
        <f>IFERROR(IF('PREENCHER AQUI'!E358="","",'PREENCHER AQUI'!E358),"")</f>
        <v/>
      </c>
      <c r="K358" s="2" t="str">
        <f>IFERROR(IF('PREENCHER AQUI'!F358="","",'PREENCHER AQUI'!F358),"")</f>
        <v/>
      </c>
      <c r="L358" s="2" t="str">
        <f>IF(Tabela1[[#This Row],[IPU_COD]]=9,"91",IF(Tabela1[[#This Row],[ACAO_COD]]="","",VLOOKUP(CONCATENATE("G",J358,"M",K358),qdd!$BC$2:$BD$46,2,FALSE)))</f>
        <v/>
      </c>
      <c r="M358" s="2" t="str">
        <f>TEXT(IFERROR(VLOOKUP(CONCATENATE(C358,D358),qdd!$C$2:$G$1000,5,FALSE),""),0)</f>
        <v/>
      </c>
      <c r="N358" s="2" t="str">
        <f>IFERROR(IF('PREENCHER AQUI'!I358="","",'PREENCHER AQUI'!I358),"")</f>
        <v/>
      </c>
      <c r="O358" s="2" t="str">
        <f>IFERROR(IF('PREENCHER AQUI'!J358="","",'PREENCHER AQUI'!J358),"")</f>
        <v/>
      </c>
      <c r="P358" s="7" t="str">
        <f t="shared" si="13"/>
        <v/>
      </c>
      <c r="Q358" s="8" t="str">
        <f>IFERROR(IF(Tabela4[[#This Row],[VALOR]]="","",IF(Tabela1[[#This Row],[ORIENTACAO]]="Anular",'PREENCHER AQUI'!K358*-1*100,'PREENCHER AQUI'!K358*100)),"")</f>
        <v/>
      </c>
      <c r="T358" s="7" t="str">
        <f>IFERROR(IF('PREENCHER AQUI'!L358="","999",LEFT('PREENCHER AQUI'!L358,1)),"")</f>
        <v>999</v>
      </c>
      <c r="V358" s="19"/>
      <c r="W358" s="1" t="str">
        <f>IFERROR(VLOOKUP(Tabela1[[#This Row],[UO_COD]],qdd!$AT$1:$AU$102,2,FALSE),"")</f>
        <v/>
      </c>
      <c r="X358" s="1" t="str">
        <f>CONCATENATE("F",Tabela1[[#This Row],[FONTE_COD]],Tabela1[[#This Row],[IPU_COD]],"G",Tabela1[[#This Row],[GRUPO_COD]],"T",Tabela1[[#This Row],[TIPO]])</f>
        <v>FGT999</v>
      </c>
      <c r="Y3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8" s="19"/>
      <c r="AA358" s="29" t="str">
        <f>IFERROR(VLOOKUP(CONCATENATE("B",Tabela1[[#This Row],[BLOCO]],Tabela1[[#This Row],[UO_COD]]),qdd!$AW$2:$AX$1000,2,FALSE),"")</f>
        <v/>
      </c>
      <c r="AB358" s="30" t="str">
        <f>IFERROR(Tabela1[[#This Row],[VALOR]]/100,"")</f>
        <v/>
      </c>
      <c r="AC358" s="7" t="str" cm="1">
        <f t="array" aca="1" ref="AC358" ca="1">IF(Tabela1[[#This Row],[VALOR]]&lt;0,"",IFERROR(SUBSTITUTE(Converter_numero(Tabela1[[#This Row],[VALOR INCISO]]),",",""),""))</f>
        <v/>
      </c>
      <c r="AD358" s="29" t="str">
        <f>IF(Tabela1[[#This Row],[TIPO]]=REGRAS!$W$2,REGRAS!$X$2,IF(Tabela1[[#This Row],[TIPO]]=REGRAS!$W$4,REGRAS!$X$4,""))</f>
        <v/>
      </c>
      <c r="AE358" s="29" t="e">
        <f>VLOOKUP(Tabela1[[#This Row],[FONTE_COD]],REGRAS!$O$2:$P$69,2,FALSE)</f>
        <v>#N/A</v>
      </c>
      <c r="AF3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9" spans="1:32" ht="18.75" customHeight="1">
      <c r="A359" s="2" t="str">
        <f>IFERROR(IF('PREENCHER AQUI'!A359="","",'PREENCHER AQUI'!A359),"")</f>
        <v/>
      </c>
      <c r="B359" s="1" t="str">
        <f>IFERROR(IF('PREENCHER AQUI'!B359="","",PROPER('PREENCHER AQUI'!B359)),"")</f>
        <v/>
      </c>
      <c r="C359" s="1" t="str">
        <f>IFERROR(IF('PREENCHER AQUI'!C359="","",'PREENCHER AQUI'!C359),"")</f>
        <v/>
      </c>
      <c r="D359" s="2" t="str">
        <f>IFERROR(IF('PREENCHER AQUI'!D359="","",'PREENCHER AQUI'!D359),"")</f>
        <v/>
      </c>
      <c r="E359" s="2" t="str">
        <f>IFERROR(VLOOKUP(CONCATENATE(C359,D359),qdd!$C$2:$F$1000,2,FALSE),"")</f>
        <v/>
      </c>
      <c r="F359" s="2" t="str">
        <f>IFERROR(VLOOKUP(CONCATENATE(C359,D359),qdd!$C$2:$F$1000,3,FALSE),"")</f>
        <v/>
      </c>
      <c r="G359" s="2" t="str">
        <f>IFERROR(VLOOKUP(CONCATENATE(C359,D359),qdd!$C$2:$F$1000,4,FALSE),"")</f>
        <v/>
      </c>
      <c r="H359" s="6" t="str">
        <f t="shared" si="12"/>
        <v/>
      </c>
      <c r="I3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9" s="2" t="str">
        <f>IFERROR(IF('PREENCHER AQUI'!E359="","",'PREENCHER AQUI'!E359),"")</f>
        <v/>
      </c>
      <c r="K359" s="2" t="str">
        <f>IFERROR(IF('PREENCHER AQUI'!F359="","",'PREENCHER AQUI'!F359),"")</f>
        <v/>
      </c>
      <c r="L359" s="2" t="str">
        <f>IF(Tabela1[[#This Row],[IPU_COD]]=9,"91",IF(Tabela1[[#This Row],[ACAO_COD]]="","",VLOOKUP(CONCATENATE("G",J359,"M",K359),qdd!$BC$2:$BD$46,2,FALSE)))</f>
        <v/>
      </c>
      <c r="M359" s="2" t="str">
        <f>TEXT(IFERROR(VLOOKUP(CONCATENATE(C359,D359),qdd!$C$2:$G$1000,5,FALSE),""),0)</f>
        <v/>
      </c>
      <c r="N359" s="2" t="str">
        <f>IFERROR(IF('PREENCHER AQUI'!I359="","",'PREENCHER AQUI'!I359),"")</f>
        <v/>
      </c>
      <c r="O359" s="2" t="str">
        <f>IFERROR(IF('PREENCHER AQUI'!J359="","",'PREENCHER AQUI'!J359),"")</f>
        <v/>
      </c>
      <c r="P359" s="7" t="str">
        <f t="shared" si="13"/>
        <v/>
      </c>
      <c r="Q359" s="8" t="str">
        <f>IFERROR(IF(Tabela4[[#This Row],[VALOR]]="","",IF(Tabela1[[#This Row],[ORIENTACAO]]="Anular",'PREENCHER AQUI'!K359*-1*100,'PREENCHER AQUI'!K359*100)),"")</f>
        <v/>
      </c>
      <c r="T359" s="7" t="str">
        <f>IFERROR(IF('PREENCHER AQUI'!L359="","999",LEFT('PREENCHER AQUI'!L359,1)),"")</f>
        <v>999</v>
      </c>
      <c r="V359" s="19"/>
      <c r="W359" s="1" t="str">
        <f>IFERROR(VLOOKUP(Tabela1[[#This Row],[UO_COD]],qdd!$AT$1:$AU$102,2,FALSE),"")</f>
        <v/>
      </c>
      <c r="X359" s="1" t="str">
        <f>CONCATENATE("F",Tabela1[[#This Row],[FONTE_COD]],Tabela1[[#This Row],[IPU_COD]],"G",Tabela1[[#This Row],[GRUPO_COD]],"T",Tabela1[[#This Row],[TIPO]])</f>
        <v>FGT999</v>
      </c>
      <c r="Y3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9" s="19"/>
      <c r="AA359" s="29" t="str">
        <f>IFERROR(VLOOKUP(CONCATENATE("B",Tabela1[[#This Row],[BLOCO]],Tabela1[[#This Row],[UO_COD]]),qdd!$AW$2:$AX$1000,2,FALSE),"")</f>
        <v/>
      </c>
      <c r="AB359" s="30" t="str">
        <f>IFERROR(Tabela1[[#This Row],[VALOR]]/100,"")</f>
        <v/>
      </c>
      <c r="AC359" s="7" t="str" cm="1">
        <f t="array" aca="1" ref="AC359" ca="1">IF(Tabela1[[#This Row],[VALOR]]&lt;0,"",IFERROR(SUBSTITUTE(Converter_numero(Tabela1[[#This Row],[VALOR INCISO]]),",",""),""))</f>
        <v/>
      </c>
      <c r="AD359" s="29" t="str">
        <f>IF(Tabela1[[#This Row],[TIPO]]=REGRAS!$W$2,REGRAS!$X$2,IF(Tabela1[[#This Row],[TIPO]]=REGRAS!$W$4,REGRAS!$X$4,""))</f>
        <v/>
      </c>
      <c r="AE359" s="29" t="e">
        <f>VLOOKUP(Tabela1[[#This Row],[FONTE_COD]],REGRAS!$O$2:$P$69,2,FALSE)</f>
        <v>#N/A</v>
      </c>
      <c r="AF3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0" spans="1:32" ht="18.75" customHeight="1">
      <c r="A360" s="2" t="str">
        <f>IFERROR(IF('PREENCHER AQUI'!A360="","",'PREENCHER AQUI'!A360),"")</f>
        <v/>
      </c>
      <c r="B360" s="1" t="str">
        <f>IFERROR(IF('PREENCHER AQUI'!B360="","",PROPER('PREENCHER AQUI'!B360)),"")</f>
        <v/>
      </c>
      <c r="C360" s="1" t="str">
        <f>IFERROR(IF('PREENCHER AQUI'!C360="","",'PREENCHER AQUI'!C360),"")</f>
        <v/>
      </c>
      <c r="D360" s="2" t="str">
        <f>IFERROR(IF('PREENCHER AQUI'!D360="","",'PREENCHER AQUI'!D360),"")</f>
        <v/>
      </c>
      <c r="E360" s="2" t="str">
        <f>IFERROR(VLOOKUP(CONCATENATE(C360,D360),qdd!$C$2:$F$1000,2,FALSE),"")</f>
        <v/>
      </c>
      <c r="F360" s="2" t="str">
        <f>IFERROR(VLOOKUP(CONCATENATE(C360,D360),qdd!$C$2:$F$1000,3,FALSE),"")</f>
        <v/>
      </c>
      <c r="G360" s="2" t="str">
        <f>IFERROR(VLOOKUP(CONCATENATE(C360,D360),qdd!$C$2:$F$1000,4,FALSE),"")</f>
        <v/>
      </c>
      <c r="H360" s="6" t="str">
        <f t="shared" si="12"/>
        <v/>
      </c>
      <c r="I3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0" s="2" t="str">
        <f>IFERROR(IF('PREENCHER AQUI'!E360="","",'PREENCHER AQUI'!E360),"")</f>
        <v/>
      </c>
      <c r="K360" s="2" t="str">
        <f>IFERROR(IF('PREENCHER AQUI'!F360="","",'PREENCHER AQUI'!F360),"")</f>
        <v/>
      </c>
      <c r="L360" s="2" t="str">
        <f>IF(Tabela1[[#This Row],[IPU_COD]]=9,"91",IF(Tabela1[[#This Row],[ACAO_COD]]="","",VLOOKUP(CONCATENATE("G",J360,"M",K360),qdd!$BC$2:$BD$46,2,FALSE)))</f>
        <v/>
      </c>
      <c r="M360" s="2" t="str">
        <f>TEXT(IFERROR(VLOOKUP(CONCATENATE(C360,D360),qdd!$C$2:$G$1000,5,FALSE),""),0)</f>
        <v/>
      </c>
      <c r="N360" s="2" t="str">
        <f>IFERROR(IF('PREENCHER AQUI'!I360="","",'PREENCHER AQUI'!I360),"")</f>
        <v/>
      </c>
      <c r="O360" s="2" t="str">
        <f>IFERROR(IF('PREENCHER AQUI'!J360="","",'PREENCHER AQUI'!J360),"")</f>
        <v/>
      </c>
      <c r="P360" s="7" t="str">
        <f t="shared" si="13"/>
        <v/>
      </c>
      <c r="Q360" s="8" t="str">
        <f>IFERROR(IF(Tabela4[[#This Row],[VALOR]]="","",IF(Tabela1[[#This Row],[ORIENTACAO]]="Anular",'PREENCHER AQUI'!K360*-1*100,'PREENCHER AQUI'!K360*100)),"")</f>
        <v/>
      </c>
      <c r="T360" s="7" t="str">
        <f>IFERROR(IF('PREENCHER AQUI'!L360="","999",LEFT('PREENCHER AQUI'!L360,1)),"")</f>
        <v>999</v>
      </c>
      <c r="V360" s="19"/>
      <c r="W360" s="20" t="str">
        <f>IFERROR(VLOOKUP(Tabela1[[#This Row],[UO_COD]],qdd!$AT$1:$AU$102,2,FALSE),"")</f>
        <v/>
      </c>
      <c r="X360" s="20" t="str">
        <f>CONCATENATE("F",Tabela1[[#This Row],[FONTE_COD]],Tabela1[[#This Row],[IPU_COD]],"G",Tabela1[[#This Row],[GRUPO_COD]],"T",Tabela1[[#This Row],[TIPO]])</f>
        <v>FGT999</v>
      </c>
      <c r="Y3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0" s="19"/>
      <c r="AA360" s="29" t="str">
        <f>IFERROR(VLOOKUP(CONCATENATE("B",Tabela1[[#This Row],[BLOCO]],Tabela1[[#This Row],[UO_COD]]),qdd!$AW$2:$AX$1000,2,FALSE),"")</f>
        <v/>
      </c>
      <c r="AB360" s="30" t="str">
        <f>IFERROR(Tabela1[[#This Row],[VALOR]]/100,"")</f>
        <v/>
      </c>
      <c r="AC360" s="7" t="str" cm="1">
        <f t="array" aca="1" ref="AC360" ca="1">IF(Tabela1[[#This Row],[VALOR]]&lt;0,"",IFERROR(SUBSTITUTE(Converter_numero(Tabela1[[#This Row],[VALOR INCISO]]),",",""),""))</f>
        <v/>
      </c>
      <c r="AD360" s="29" t="str">
        <f>IF(Tabela1[[#This Row],[TIPO]]=REGRAS!$W$2,REGRAS!$X$2,IF(Tabela1[[#This Row],[TIPO]]=REGRAS!$W$4,REGRAS!$X$4,""))</f>
        <v/>
      </c>
      <c r="AE360" s="29" t="e">
        <f>VLOOKUP(Tabela1[[#This Row],[FONTE_COD]],REGRAS!$O$2:$P$69,2,FALSE)</f>
        <v>#N/A</v>
      </c>
      <c r="AF3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1" spans="1:32" ht="18.75" customHeight="1">
      <c r="A361" s="2" t="str">
        <f>IFERROR(IF('PREENCHER AQUI'!A361="","",'PREENCHER AQUI'!A361),"")</f>
        <v/>
      </c>
      <c r="B361" s="1" t="str">
        <f>IFERROR(IF('PREENCHER AQUI'!B361="","",PROPER('PREENCHER AQUI'!B361)),"")</f>
        <v/>
      </c>
      <c r="C361" s="1" t="str">
        <f>IFERROR(IF('PREENCHER AQUI'!C361="","",'PREENCHER AQUI'!C361),"")</f>
        <v/>
      </c>
      <c r="D361" s="2" t="str">
        <f>IFERROR(IF('PREENCHER AQUI'!D361="","",'PREENCHER AQUI'!D361),"")</f>
        <v/>
      </c>
      <c r="E361" s="2" t="str">
        <f>IFERROR(VLOOKUP(CONCATENATE(C361,D361),qdd!$C$2:$F$1000,2,FALSE),"")</f>
        <v/>
      </c>
      <c r="F361" s="2" t="str">
        <f>IFERROR(VLOOKUP(CONCATENATE(C361,D361),qdd!$C$2:$F$1000,3,FALSE),"")</f>
        <v/>
      </c>
      <c r="G361" s="2" t="str">
        <f>IFERROR(VLOOKUP(CONCATENATE(C361,D361),qdd!$C$2:$F$1000,4,FALSE),"")</f>
        <v/>
      </c>
      <c r="H361" s="6" t="str">
        <f t="shared" si="12"/>
        <v/>
      </c>
      <c r="I3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1" s="2" t="str">
        <f>IFERROR(IF('PREENCHER AQUI'!E361="","",'PREENCHER AQUI'!E361),"")</f>
        <v/>
      </c>
      <c r="K361" s="2" t="str">
        <f>IFERROR(IF('PREENCHER AQUI'!F361="","",'PREENCHER AQUI'!F361),"")</f>
        <v/>
      </c>
      <c r="L361" s="2" t="str">
        <f>IF(Tabela1[[#This Row],[IPU_COD]]=9,"91",IF(Tabela1[[#This Row],[ACAO_COD]]="","",VLOOKUP(CONCATENATE("G",J361,"M",K361),qdd!$BC$2:$BD$46,2,FALSE)))</f>
        <v/>
      </c>
      <c r="M361" s="2" t="str">
        <f>TEXT(IFERROR(VLOOKUP(CONCATENATE(C361,D361),qdd!$C$2:$G$1000,5,FALSE),""),0)</f>
        <v/>
      </c>
      <c r="N361" s="2" t="str">
        <f>IFERROR(IF('PREENCHER AQUI'!I361="","",'PREENCHER AQUI'!I361),"")</f>
        <v/>
      </c>
      <c r="O361" s="2" t="str">
        <f>IFERROR(IF('PREENCHER AQUI'!J361="","",'PREENCHER AQUI'!J361),"")</f>
        <v/>
      </c>
      <c r="P361" s="7" t="str">
        <f t="shared" si="13"/>
        <v/>
      </c>
      <c r="Q361" s="8" t="str">
        <f>IFERROR(IF(Tabela4[[#This Row],[VALOR]]="","",IF(Tabela1[[#This Row],[ORIENTACAO]]="Anular",'PREENCHER AQUI'!K361*-1*100,'PREENCHER AQUI'!K361*100)),"")</f>
        <v/>
      </c>
      <c r="T361" s="7" t="str">
        <f>IFERROR(IF('PREENCHER AQUI'!L361="","999",LEFT('PREENCHER AQUI'!L361,1)),"")</f>
        <v>999</v>
      </c>
      <c r="V361" s="19"/>
      <c r="W361" s="1" t="str">
        <f>IFERROR(VLOOKUP(Tabela1[[#This Row],[UO_COD]],qdd!$AT$1:$AU$102,2,FALSE),"")</f>
        <v/>
      </c>
      <c r="X361" s="1" t="str">
        <f>CONCATENATE("F",Tabela1[[#This Row],[FONTE_COD]],Tabela1[[#This Row],[IPU_COD]],"G",Tabela1[[#This Row],[GRUPO_COD]],"T",Tabela1[[#This Row],[TIPO]])</f>
        <v>FGT999</v>
      </c>
      <c r="Y3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1" s="19"/>
      <c r="AA361" s="29" t="str">
        <f>IFERROR(VLOOKUP(CONCATENATE("B",Tabela1[[#This Row],[BLOCO]],Tabela1[[#This Row],[UO_COD]]),qdd!$AW$2:$AX$1000,2,FALSE),"")</f>
        <v/>
      </c>
      <c r="AB361" s="30" t="str">
        <f>IFERROR(Tabela1[[#This Row],[VALOR]]/100,"")</f>
        <v/>
      </c>
      <c r="AC361" s="7" t="str" cm="1">
        <f t="array" aca="1" ref="AC361" ca="1">IF(Tabela1[[#This Row],[VALOR]]&lt;0,"",IFERROR(SUBSTITUTE(Converter_numero(Tabela1[[#This Row],[VALOR INCISO]]),",",""),""))</f>
        <v/>
      </c>
      <c r="AD361" s="29" t="str">
        <f>IF(Tabela1[[#This Row],[TIPO]]=REGRAS!$W$2,REGRAS!$X$2,IF(Tabela1[[#This Row],[TIPO]]=REGRAS!$W$4,REGRAS!$X$4,""))</f>
        <v/>
      </c>
      <c r="AE361" s="29" t="e">
        <f>VLOOKUP(Tabela1[[#This Row],[FONTE_COD]],REGRAS!$O$2:$P$69,2,FALSE)</f>
        <v>#N/A</v>
      </c>
      <c r="AF3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2" spans="1:32" ht="18.75" customHeight="1">
      <c r="A362" s="2" t="str">
        <f>IFERROR(IF('PREENCHER AQUI'!A362="","",'PREENCHER AQUI'!A362),"")</f>
        <v/>
      </c>
      <c r="B362" s="1" t="str">
        <f>IFERROR(IF('PREENCHER AQUI'!B362="","",PROPER('PREENCHER AQUI'!B362)),"")</f>
        <v/>
      </c>
      <c r="C362" s="1" t="str">
        <f>IFERROR(IF('PREENCHER AQUI'!C362="","",'PREENCHER AQUI'!C362),"")</f>
        <v/>
      </c>
      <c r="D362" s="2" t="str">
        <f>IFERROR(IF('PREENCHER AQUI'!D362="","",'PREENCHER AQUI'!D362),"")</f>
        <v/>
      </c>
      <c r="E362" s="2" t="str">
        <f>IFERROR(VLOOKUP(CONCATENATE(C362,D362),qdd!$C$2:$F$1000,2,FALSE),"")</f>
        <v/>
      </c>
      <c r="F362" s="2" t="str">
        <f>IFERROR(VLOOKUP(CONCATENATE(C362,D362),qdd!$C$2:$F$1000,3,FALSE),"")</f>
        <v/>
      </c>
      <c r="G362" s="2" t="str">
        <f>IFERROR(VLOOKUP(CONCATENATE(C362,D362),qdd!$C$2:$F$1000,4,FALSE),"")</f>
        <v/>
      </c>
      <c r="H362" s="6" t="str">
        <f t="shared" si="12"/>
        <v/>
      </c>
      <c r="I3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2" s="2" t="str">
        <f>IFERROR(IF('PREENCHER AQUI'!E362="","",'PREENCHER AQUI'!E362),"")</f>
        <v/>
      </c>
      <c r="K362" s="2" t="str">
        <f>IFERROR(IF('PREENCHER AQUI'!F362="","",'PREENCHER AQUI'!F362),"")</f>
        <v/>
      </c>
      <c r="L362" s="2" t="str">
        <f>IF(Tabela1[[#This Row],[IPU_COD]]=9,"91",IF(Tabela1[[#This Row],[ACAO_COD]]="","",VLOOKUP(CONCATENATE("G",J362,"M",K362),qdd!$BC$2:$BD$46,2,FALSE)))</f>
        <v/>
      </c>
      <c r="M362" s="2" t="str">
        <f>TEXT(IFERROR(VLOOKUP(CONCATENATE(C362,D362),qdd!$C$2:$G$1000,5,FALSE),""),0)</f>
        <v/>
      </c>
      <c r="N362" s="2" t="str">
        <f>IFERROR(IF('PREENCHER AQUI'!I362="","",'PREENCHER AQUI'!I362),"")</f>
        <v/>
      </c>
      <c r="O362" s="2" t="str">
        <f>IFERROR(IF('PREENCHER AQUI'!J362="","",'PREENCHER AQUI'!J362),"")</f>
        <v/>
      </c>
      <c r="P362" s="7" t="str">
        <f t="shared" si="13"/>
        <v/>
      </c>
      <c r="Q362" s="8" t="str">
        <f>IFERROR(IF(Tabela4[[#This Row],[VALOR]]="","",IF(Tabela1[[#This Row],[ORIENTACAO]]="Anular",'PREENCHER AQUI'!K362*-1*100,'PREENCHER AQUI'!K362*100)),"")</f>
        <v/>
      </c>
      <c r="T362" s="7" t="str">
        <f>IFERROR(IF('PREENCHER AQUI'!L362="","999",LEFT('PREENCHER AQUI'!L362,1)),"")</f>
        <v>999</v>
      </c>
      <c r="W362" s="1" t="str">
        <f>IFERROR(VLOOKUP(Tabela1[[#This Row],[UO_COD]],qdd!$AT$1:$AU$102,2,FALSE),"")</f>
        <v/>
      </c>
      <c r="X362" s="1" t="str">
        <f>CONCATENATE("F",Tabela1[[#This Row],[FONTE_COD]],Tabela1[[#This Row],[IPU_COD]],"G",Tabela1[[#This Row],[GRUPO_COD]],"T",Tabela1[[#This Row],[TIPO]])</f>
        <v>FGT999</v>
      </c>
      <c r="Y3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2" s="19"/>
      <c r="AA362" s="29" t="str">
        <f>IFERROR(VLOOKUP(CONCATENATE("B",Tabela1[[#This Row],[BLOCO]],Tabela1[[#This Row],[UO_COD]]),qdd!$AW$2:$AX$1000,2,FALSE),"")</f>
        <v/>
      </c>
      <c r="AB362" s="30" t="str">
        <f>IFERROR(Tabela1[[#This Row],[VALOR]]/100,"")</f>
        <v/>
      </c>
      <c r="AC362" s="7" t="str" cm="1">
        <f t="array" aca="1" ref="AC362" ca="1">IF(Tabela1[[#This Row],[VALOR]]&lt;0,"",IFERROR(SUBSTITUTE(Converter_numero(Tabela1[[#This Row],[VALOR INCISO]]),",",""),""))</f>
        <v/>
      </c>
      <c r="AD362" s="7" t="str">
        <f>IF(Tabela1[[#This Row],[TIPO]]=REGRAS!$W$2,REGRAS!$X$2,IF(Tabela1[[#This Row],[TIPO]]=REGRAS!$W$4,REGRAS!$X$4,""))</f>
        <v/>
      </c>
      <c r="AE362" s="29" t="e">
        <f>VLOOKUP(Tabela1[[#This Row],[FONTE_COD]],REGRAS!$O$2:$P$69,2,FALSE)</f>
        <v>#N/A</v>
      </c>
      <c r="AF3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3" spans="1:32" ht="18.75" customHeight="1">
      <c r="A363" s="2" t="str">
        <f>IFERROR(IF('PREENCHER AQUI'!A363="","",'PREENCHER AQUI'!A363),"")</f>
        <v/>
      </c>
      <c r="B363" s="1" t="str">
        <f>IFERROR(IF('PREENCHER AQUI'!B363="","",PROPER('PREENCHER AQUI'!B363)),"")</f>
        <v/>
      </c>
      <c r="C363" s="1" t="str">
        <f>IFERROR(IF('PREENCHER AQUI'!C363="","",'PREENCHER AQUI'!C363),"")</f>
        <v/>
      </c>
      <c r="D363" s="2" t="str">
        <f>IFERROR(IF('PREENCHER AQUI'!D363="","",'PREENCHER AQUI'!D363),"")</f>
        <v/>
      </c>
      <c r="E363" s="2" t="str">
        <f>IFERROR(VLOOKUP(CONCATENATE(C363,D363),qdd!$C$2:$F$1000,2,FALSE),"")</f>
        <v/>
      </c>
      <c r="F363" s="2" t="str">
        <f>IFERROR(VLOOKUP(CONCATENATE(C363,D363),qdd!$C$2:$F$1000,3,FALSE),"")</f>
        <v/>
      </c>
      <c r="G363" s="2" t="str">
        <f>IFERROR(VLOOKUP(CONCATENATE(C363,D363),qdd!$C$2:$F$1000,4,FALSE),"")</f>
        <v/>
      </c>
      <c r="H363" s="6" t="str">
        <f t="shared" si="12"/>
        <v/>
      </c>
      <c r="I3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3" s="2" t="str">
        <f>IFERROR(IF('PREENCHER AQUI'!E363="","",'PREENCHER AQUI'!E363),"")</f>
        <v/>
      </c>
      <c r="K363" s="2" t="str">
        <f>IFERROR(IF('PREENCHER AQUI'!F363="","",'PREENCHER AQUI'!F363),"")</f>
        <v/>
      </c>
      <c r="L363" s="2" t="str">
        <f>IF(Tabela1[[#This Row],[IPU_COD]]=9,"91",IF(Tabela1[[#This Row],[ACAO_COD]]="","",VLOOKUP(CONCATENATE("G",J363,"M",K363),qdd!$BC$2:$BD$46,2,FALSE)))</f>
        <v/>
      </c>
      <c r="M363" s="2" t="str">
        <f>TEXT(IFERROR(VLOOKUP(CONCATENATE(C363,D363),qdd!$C$2:$G$1000,5,FALSE),""),0)</f>
        <v/>
      </c>
      <c r="N363" s="2" t="str">
        <f>IFERROR(IF('PREENCHER AQUI'!I363="","",'PREENCHER AQUI'!I363),"")</f>
        <v/>
      </c>
      <c r="O363" s="2" t="str">
        <f>IFERROR(IF('PREENCHER AQUI'!J363="","",'PREENCHER AQUI'!J363),"")</f>
        <v/>
      </c>
      <c r="P363" s="7" t="str">
        <f t="shared" si="13"/>
        <v/>
      </c>
      <c r="Q363" s="8" t="str">
        <f>IFERROR(IF(Tabela4[[#This Row],[VALOR]]="","",IF(Tabela1[[#This Row],[ORIENTACAO]]="Anular",'PREENCHER AQUI'!K363*-1*100,'PREENCHER AQUI'!K363*100)),"")</f>
        <v/>
      </c>
      <c r="T363" s="7" t="str">
        <f>IFERROR(IF('PREENCHER AQUI'!L363="","999",LEFT('PREENCHER AQUI'!L363,1)),"")</f>
        <v>999</v>
      </c>
      <c r="V363" s="19"/>
      <c r="W363" s="1" t="str">
        <f>IFERROR(VLOOKUP(Tabela1[[#This Row],[UO_COD]],qdd!$AT$1:$AU$102,2,FALSE),"")</f>
        <v/>
      </c>
      <c r="X363" s="1" t="str">
        <f>CONCATENATE("F",Tabela1[[#This Row],[FONTE_COD]],Tabela1[[#This Row],[IPU_COD]],"G",Tabela1[[#This Row],[GRUPO_COD]],"T",Tabela1[[#This Row],[TIPO]])</f>
        <v>FGT999</v>
      </c>
      <c r="Y3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3" s="19"/>
      <c r="AA363" s="29" t="str">
        <f>IFERROR(VLOOKUP(CONCATENATE("B",Tabela1[[#This Row],[BLOCO]],Tabela1[[#This Row],[UO_COD]]),qdd!$AW$2:$AX$1000,2,FALSE),"")</f>
        <v/>
      </c>
      <c r="AB363" s="30" t="str">
        <f>IFERROR(Tabela1[[#This Row],[VALOR]]/100,"")</f>
        <v/>
      </c>
      <c r="AC363" s="7" t="str" cm="1">
        <f t="array" aca="1" ref="AC363" ca="1">IF(Tabela1[[#This Row],[VALOR]]&lt;0,"",IFERROR(SUBSTITUTE(Converter_numero(Tabela1[[#This Row],[VALOR INCISO]]),",",""),""))</f>
        <v/>
      </c>
      <c r="AD363" s="29" t="str">
        <f>IF(Tabela1[[#This Row],[TIPO]]=REGRAS!$W$2,REGRAS!$X$2,IF(Tabela1[[#This Row],[TIPO]]=REGRAS!$W$4,REGRAS!$X$4,""))</f>
        <v/>
      </c>
      <c r="AE363" s="29" t="e">
        <f>VLOOKUP(Tabela1[[#This Row],[FONTE_COD]],REGRAS!$O$2:$P$69,2,FALSE)</f>
        <v>#N/A</v>
      </c>
      <c r="AF3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4" spans="1:32" ht="18.75" customHeight="1">
      <c r="A364" s="2" t="str">
        <f>IFERROR(IF('PREENCHER AQUI'!A364="","",'PREENCHER AQUI'!A364),"")</f>
        <v/>
      </c>
      <c r="B364" s="1" t="str">
        <f>IFERROR(IF('PREENCHER AQUI'!B364="","",PROPER('PREENCHER AQUI'!B364)),"")</f>
        <v/>
      </c>
      <c r="C364" s="1" t="str">
        <f>IFERROR(IF('PREENCHER AQUI'!C364="","",'PREENCHER AQUI'!C364),"")</f>
        <v/>
      </c>
      <c r="D364" s="2" t="str">
        <f>IFERROR(IF('PREENCHER AQUI'!D364="","",'PREENCHER AQUI'!D364),"")</f>
        <v/>
      </c>
      <c r="E364" s="2" t="str">
        <f>IFERROR(VLOOKUP(CONCATENATE(C364,D364),qdd!$C$2:$F$1000,2,FALSE),"")</f>
        <v/>
      </c>
      <c r="F364" s="2" t="str">
        <f>IFERROR(VLOOKUP(CONCATENATE(C364,D364),qdd!$C$2:$F$1000,3,FALSE),"")</f>
        <v/>
      </c>
      <c r="G364" s="2" t="str">
        <f>IFERROR(VLOOKUP(CONCATENATE(C364,D364),qdd!$C$2:$F$1000,4,FALSE),"")</f>
        <v/>
      </c>
      <c r="H364" s="6" t="str">
        <f t="shared" si="12"/>
        <v/>
      </c>
      <c r="I3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4" s="2" t="str">
        <f>IFERROR(IF('PREENCHER AQUI'!E364="","",'PREENCHER AQUI'!E364),"")</f>
        <v/>
      </c>
      <c r="K364" s="2" t="str">
        <f>IFERROR(IF('PREENCHER AQUI'!F364="","",'PREENCHER AQUI'!F364),"")</f>
        <v/>
      </c>
      <c r="L364" s="2" t="str">
        <f>IF(Tabela1[[#This Row],[IPU_COD]]=9,"91",IF(Tabela1[[#This Row],[ACAO_COD]]="","",VLOOKUP(CONCATENATE("G",J364,"M",K364),qdd!$BC$2:$BD$46,2,FALSE)))</f>
        <v/>
      </c>
      <c r="M364" s="2" t="str">
        <f>TEXT(IFERROR(VLOOKUP(CONCATENATE(C364,D364),qdd!$C$2:$G$1000,5,FALSE),""),0)</f>
        <v/>
      </c>
      <c r="N364" s="2" t="str">
        <f>IFERROR(IF('PREENCHER AQUI'!I364="","",'PREENCHER AQUI'!I364),"")</f>
        <v/>
      </c>
      <c r="O364" s="2" t="str">
        <f>IFERROR(IF('PREENCHER AQUI'!J364="","",'PREENCHER AQUI'!J364),"")</f>
        <v/>
      </c>
      <c r="P364" s="7" t="str">
        <f t="shared" si="13"/>
        <v/>
      </c>
      <c r="Q364" s="8" t="str">
        <f>IFERROR(IF(Tabela4[[#This Row],[VALOR]]="","",IF(Tabela1[[#This Row],[ORIENTACAO]]="Anular",'PREENCHER AQUI'!K364*-1*100,'PREENCHER AQUI'!K364*100)),"")</f>
        <v/>
      </c>
      <c r="T364" s="7" t="str">
        <f>IFERROR(IF('PREENCHER AQUI'!L364="","999",LEFT('PREENCHER AQUI'!L364,1)),"")</f>
        <v>999</v>
      </c>
      <c r="V364" s="19"/>
      <c r="W364" s="1" t="str">
        <f>IFERROR(VLOOKUP(Tabela1[[#This Row],[UO_COD]],qdd!$AT$1:$AU$102,2,FALSE),"")</f>
        <v/>
      </c>
      <c r="X364" s="1" t="str">
        <f>CONCATENATE("F",Tabela1[[#This Row],[FONTE_COD]],Tabela1[[#This Row],[IPU_COD]],"G",Tabela1[[#This Row],[GRUPO_COD]],"T",Tabela1[[#This Row],[TIPO]])</f>
        <v>FGT999</v>
      </c>
      <c r="Y3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4" s="19"/>
      <c r="AA364" s="29" t="str">
        <f>IFERROR(VLOOKUP(CONCATENATE("B",Tabela1[[#This Row],[BLOCO]],Tabela1[[#This Row],[UO_COD]]),qdd!$AW$2:$AX$1000,2,FALSE),"")</f>
        <v/>
      </c>
      <c r="AB364" s="30" t="str">
        <f>IFERROR(Tabela1[[#This Row],[VALOR]]/100,"")</f>
        <v/>
      </c>
      <c r="AC364" s="7" t="str" cm="1">
        <f t="array" aca="1" ref="AC364" ca="1">IF(Tabela1[[#This Row],[VALOR]]&lt;0,"",IFERROR(SUBSTITUTE(Converter_numero(Tabela1[[#This Row],[VALOR INCISO]]),",",""),""))</f>
        <v/>
      </c>
      <c r="AD364" s="29" t="str">
        <f>IF(Tabela1[[#This Row],[TIPO]]=REGRAS!$W$2,REGRAS!$X$2,IF(Tabela1[[#This Row],[TIPO]]=REGRAS!$W$4,REGRAS!$X$4,""))</f>
        <v/>
      </c>
      <c r="AE364" s="29" t="e">
        <f>VLOOKUP(Tabela1[[#This Row],[FONTE_COD]],REGRAS!$O$2:$P$69,2,FALSE)</f>
        <v>#N/A</v>
      </c>
      <c r="AF3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5" spans="1:32" ht="18.75" customHeight="1">
      <c r="A365" s="2" t="str">
        <f>IFERROR(IF('PREENCHER AQUI'!A365="","",'PREENCHER AQUI'!A365),"")</f>
        <v/>
      </c>
      <c r="B365" s="1" t="str">
        <f>IFERROR(IF('PREENCHER AQUI'!B365="","",PROPER('PREENCHER AQUI'!B365)),"")</f>
        <v/>
      </c>
      <c r="C365" s="1" t="str">
        <f>IFERROR(IF('PREENCHER AQUI'!C365="","",'PREENCHER AQUI'!C365),"")</f>
        <v/>
      </c>
      <c r="D365" s="2" t="str">
        <f>IFERROR(IF('PREENCHER AQUI'!D365="","",'PREENCHER AQUI'!D365),"")</f>
        <v/>
      </c>
      <c r="E365" s="2" t="str">
        <f>IFERROR(VLOOKUP(CONCATENATE(C365,D365),qdd!$C$2:$F$1000,2,FALSE),"")</f>
        <v/>
      </c>
      <c r="F365" s="2" t="str">
        <f>IFERROR(VLOOKUP(CONCATENATE(C365,D365),qdd!$C$2:$F$1000,3,FALSE),"")</f>
        <v/>
      </c>
      <c r="G365" s="2" t="str">
        <f>IFERROR(VLOOKUP(CONCATENATE(C365,D365),qdd!$C$2:$F$1000,4,FALSE),"")</f>
        <v/>
      </c>
      <c r="H365" s="6" t="str">
        <f t="shared" si="12"/>
        <v/>
      </c>
      <c r="I3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5" s="2" t="str">
        <f>IFERROR(IF('PREENCHER AQUI'!E365="","",'PREENCHER AQUI'!E365),"")</f>
        <v/>
      </c>
      <c r="K365" s="2" t="str">
        <f>IFERROR(IF('PREENCHER AQUI'!F365="","",'PREENCHER AQUI'!F365),"")</f>
        <v/>
      </c>
      <c r="L365" s="2" t="str">
        <f>IF(Tabela1[[#This Row],[IPU_COD]]=9,"91",IF(Tabela1[[#This Row],[ACAO_COD]]="","",VLOOKUP(CONCATENATE("G",J365,"M",K365),qdd!$BC$2:$BD$46,2,FALSE)))</f>
        <v/>
      </c>
      <c r="M365" s="2" t="str">
        <f>TEXT(IFERROR(VLOOKUP(CONCATENATE(C365,D365),qdd!$C$2:$G$1000,5,FALSE),""),0)</f>
        <v/>
      </c>
      <c r="N365" s="2" t="str">
        <f>IFERROR(IF('PREENCHER AQUI'!I365="","",'PREENCHER AQUI'!I365),"")</f>
        <v/>
      </c>
      <c r="O365" s="2" t="str">
        <f>IFERROR(IF('PREENCHER AQUI'!J365="","",'PREENCHER AQUI'!J365),"")</f>
        <v/>
      </c>
      <c r="P365" s="7" t="str">
        <f t="shared" si="13"/>
        <v/>
      </c>
      <c r="Q365" s="8" t="str">
        <f>IFERROR(IF(Tabela4[[#This Row],[VALOR]]="","",IF(Tabela1[[#This Row],[ORIENTACAO]]="Anular",'PREENCHER AQUI'!K365*-1*100,'PREENCHER AQUI'!K365*100)),"")</f>
        <v/>
      </c>
      <c r="T365" s="7" t="str">
        <f>IFERROR(IF('PREENCHER AQUI'!L365="","999",LEFT('PREENCHER AQUI'!L365,1)),"")</f>
        <v>999</v>
      </c>
      <c r="V365" s="19"/>
      <c r="W365" s="20" t="str">
        <f>IFERROR(VLOOKUP(Tabela1[[#This Row],[UO_COD]],qdd!$AT$1:$AU$102,2,FALSE),"")</f>
        <v/>
      </c>
      <c r="X365" s="20" t="str">
        <f>CONCATENATE("F",Tabela1[[#This Row],[FONTE_COD]],Tabela1[[#This Row],[IPU_COD]],"G",Tabela1[[#This Row],[GRUPO_COD]],"T",Tabela1[[#This Row],[TIPO]])</f>
        <v>FGT999</v>
      </c>
      <c r="Y3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5" s="19"/>
      <c r="AA365" s="29" t="str">
        <f>IFERROR(VLOOKUP(CONCATENATE("B",Tabela1[[#This Row],[BLOCO]],Tabela1[[#This Row],[UO_COD]]),qdd!$AW$2:$AX$1000,2,FALSE),"")</f>
        <v/>
      </c>
      <c r="AB365" s="30" t="str">
        <f>IFERROR(Tabela1[[#This Row],[VALOR]]/100,"")</f>
        <v/>
      </c>
      <c r="AC365" s="7" t="str" cm="1">
        <f t="array" aca="1" ref="AC365" ca="1">IF(Tabela1[[#This Row],[VALOR]]&lt;0,"",IFERROR(SUBSTITUTE(Converter_numero(Tabela1[[#This Row],[VALOR INCISO]]),",",""),""))</f>
        <v/>
      </c>
      <c r="AD365" s="29" t="str">
        <f>IF(Tabela1[[#This Row],[TIPO]]=REGRAS!$W$2,REGRAS!$X$2,IF(Tabela1[[#This Row],[TIPO]]=REGRAS!$W$4,REGRAS!$X$4,""))</f>
        <v/>
      </c>
      <c r="AE365" s="29" t="e">
        <f>VLOOKUP(Tabela1[[#This Row],[FONTE_COD]],REGRAS!$O$2:$P$69,2,FALSE)</f>
        <v>#N/A</v>
      </c>
      <c r="AF3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6" spans="1:32" ht="18.75" customHeight="1">
      <c r="A366" s="2" t="str">
        <f>IFERROR(IF('PREENCHER AQUI'!A366="","",'PREENCHER AQUI'!A366),"")</f>
        <v/>
      </c>
      <c r="B366" s="1" t="str">
        <f>IFERROR(IF('PREENCHER AQUI'!B366="","",PROPER('PREENCHER AQUI'!B366)),"")</f>
        <v/>
      </c>
      <c r="C366" s="1" t="str">
        <f>IFERROR(IF('PREENCHER AQUI'!C366="","",'PREENCHER AQUI'!C366),"")</f>
        <v/>
      </c>
      <c r="D366" s="2" t="str">
        <f>IFERROR(IF('PREENCHER AQUI'!D366="","",'PREENCHER AQUI'!D366),"")</f>
        <v/>
      </c>
      <c r="E366" s="2" t="str">
        <f>IFERROR(VLOOKUP(CONCATENATE(C366,D366),qdd!$C$2:$F$1000,2,FALSE),"")</f>
        <v/>
      </c>
      <c r="F366" s="2" t="str">
        <f>IFERROR(VLOOKUP(CONCATENATE(C366,D366),qdd!$C$2:$F$1000,3,FALSE),"")</f>
        <v/>
      </c>
      <c r="G366" s="2" t="str">
        <f>IFERROR(VLOOKUP(CONCATENATE(C366,D366),qdd!$C$2:$F$1000,4,FALSE),"")</f>
        <v/>
      </c>
      <c r="H366" s="6" t="str">
        <f t="shared" si="12"/>
        <v/>
      </c>
      <c r="I3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6" s="2" t="str">
        <f>IFERROR(IF('PREENCHER AQUI'!E366="","",'PREENCHER AQUI'!E366),"")</f>
        <v/>
      </c>
      <c r="K366" s="2" t="str">
        <f>IFERROR(IF('PREENCHER AQUI'!F366="","",'PREENCHER AQUI'!F366),"")</f>
        <v/>
      </c>
      <c r="L366" s="2" t="str">
        <f>IF(Tabela1[[#This Row],[IPU_COD]]=9,"91",IF(Tabela1[[#This Row],[ACAO_COD]]="","",VLOOKUP(CONCATENATE("G",J366,"M",K366),qdd!$BC$2:$BD$46,2,FALSE)))</f>
        <v/>
      </c>
      <c r="M366" s="2" t="str">
        <f>TEXT(IFERROR(VLOOKUP(CONCATENATE(C366,D366),qdd!$C$2:$G$1000,5,FALSE),""),0)</f>
        <v/>
      </c>
      <c r="N366" s="2" t="str">
        <f>IFERROR(IF('PREENCHER AQUI'!I366="","",'PREENCHER AQUI'!I366),"")</f>
        <v/>
      </c>
      <c r="O366" s="2" t="str">
        <f>IFERROR(IF('PREENCHER AQUI'!J366="","",'PREENCHER AQUI'!J366),"")</f>
        <v/>
      </c>
      <c r="P366" s="7" t="str">
        <f t="shared" si="13"/>
        <v/>
      </c>
      <c r="Q366" s="8" t="str">
        <f>IFERROR(IF(Tabela4[[#This Row],[VALOR]]="","",IF(Tabela1[[#This Row],[ORIENTACAO]]="Anular",'PREENCHER AQUI'!K366*-1*100,'PREENCHER AQUI'!K366*100)),"")</f>
        <v/>
      </c>
      <c r="T366" s="7" t="str">
        <f>IFERROR(IF('PREENCHER AQUI'!L366="","999",LEFT('PREENCHER AQUI'!L366,1)),"")</f>
        <v>999</v>
      </c>
      <c r="V366" s="19"/>
      <c r="W366" s="1" t="str">
        <f>IFERROR(VLOOKUP(Tabela1[[#This Row],[UO_COD]],qdd!$AT$1:$AU$102,2,FALSE),"")</f>
        <v/>
      </c>
      <c r="X366" s="1" t="str">
        <f>CONCATENATE("F",Tabela1[[#This Row],[FONTE_COD]],Tabela1[[#This Row],[IPU_COD]],"G",Tabela1[[#This Row],[GRUPO_COD]],"T",Tabela1[[#This Row],[TIPO]])</f>
        <v>FGT999</v>
      </c>
      <c r="Y3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6" s="19"/>
      <c r="AA366" s="29" t="str">
        <f>IFERROR(VLOOKUP(CONCATENATE("B",Tabela1[[#This Row],[BLOCO]],Tabela1[[#This Row],[UO_COD]]),qdd!$AW$2:$AX$1000,2,FALSE),"")</f>
        <v/>
      </c>
      <c r="AB366" s="30" t="str">
        <f>IFERROR(Tabela1[[#This Row],[VALOR]]/100,"")</f>
        <v/>
      </c>
      <c r="AC366" s="7" t="str" cm="1">
        <f t="array" aca="1" ref="AC366" ca="1">IF(Tabela1[[#This Row],[VALOR]]&lt;0,"",IFERROR(SUBSTITUTE(Converter_numero(Tabela1[[#This Row],[VALOR INCISO]]),",",""),""))</f>
        <v/>
      </c>
      <c r="AD366" s="29" t="str">
        <f>IF(Tabela1[[#This Row],[TIPO]]=REGRAS!$W$2,REGRAS!$X$2,IF(Tabela1[[#This Row],[TIPO]]=REGRAS!$W$4,REGRAS!$X$4,""))</f>
        <v/>
      </c>
      <c r="AE366" s="29" t="e">
        <f>VLOOKUP(Tabela1[[#This Row],[FONTE_COD]],REGRAS!$O$2:$P$69,2,FALSE)</f>
        <v>#N/A</v>
      </c>
      <c r="AF3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7" spans="1:32" ht="18.75" customHeight="1">
      <c r="A367" s="2" t="str">
        <f>IFERROR(IF('PREENCHER AQUI'!A367="","",'PREENCHER AQUI'!A367),"")</f>
        <v/>
      </c>
      <c r="B367" s="1" t="str">
        <f>IFERROR(IF('PREENCHER AQUI'!B367="","",PROPER('PREENCHER AQUI'!B367)),"")</f>
        <v/>
      </c>
      <c r="C367" s="1" t="str">
        <f>IFERROR(IF('PREENCHER AQUI'!C367="","",'PREENCHER AQUI'!C367),"")</f>
        <v/>
      </c>
      <c r="D367" s="2" t="str">
        <f>IFERROR(IF('PREENCHER AQUI'!D367="","",'PREENCHER AQUI'!D367),"")</f>
        <v/>
      </c>
      <c r="E367" s="2" t="str">
        <f>IFERROR(VLOOKUP(CONCATENATE(C367,D367),qdd!$C$2:$F$1000,2,FALSE),"")</f>
        <v/>
      </c>
      <c r="F367" s="2" t="str">
        <f>IFERROR(VLOOKUP(CONCATENATE(C367,D367),qdd!$C$2:$F$1000,3,FALSE),"")</f>
        <v/>
      </c>
      <c r="G367" s="2" t="str">
        <f>IFERROR(VLOOKUP(CONCATENATE(C367,D367),qdd!$C$2:$F$1000,4,FALSE),"")</f>
        <v/>
      </c>
      <c r="H367" s="6" t="str">
        <f t="shared" si="12"/>
        <v/>
      </c>
      <c r="I3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7" s="2" t="str">
        <f>IFERROR(IF('PREENCHER AQUI'!E367="","",'PREENCHER AQUI'!E367),"")</f>
        <v/>
      </c>
      <c r="K367" s="2" t="str">
        <f>IFERROR(IF('PREENCHER AQUI'!F367="","",'PREENCHER AQUI'!F367),"")</f>
        <v/>
      </c>
      <c r="L367" s="2" t="str">
        <f>IF(Tabela1[[#This Row],[IPU_COD]]=9,"91",IF(Tabela1[[#This Row],[ACAO_COD]]="","",VLOOKUP(CONCATENATE("G",J367,"M",K367),qdd!$BC$2:$BD$46,2,FALSE)))</f>
        <v/>
      </c>
      <c r="M367" s="2" t="str">
        <f>TEXT(IFERROR(VLOOKUP(CONCATENATE(C367,D367),qdd!$C$2:$G$1000,5,FALSE),""),0)</f>
        <v/>
      </c>
      <c r="N367" s="2" t="str">
        <f>IFERROR(IF('PREENCHER AQUI'!I367="","",'PREENCHER AQUI'!I367),"")</f>
        <v/>
      </c>
      <c r="O367" s="2" t="str">
        <f>IFERROR(IF('PREENCHER AQUI'!J367="","",'PREENCHER AQUI'!J367),"")</f>
        <v/>
      </c>
      <c r="P367" s="7" t="str">
        <f t="shared" si="13"/>
        <v/>
      </c>
      <c r="Q367" s="8" t="str">
        <f>IFERROR(IF(Tabela4[[#This Row],[VALOR]]="","",IF(Tabela1[[#This Row],[ORIENTACAO]]="Anular",'PREENCHER AQUI'!K367*-1*100,'PREENCHER AQUI'!K367*100)),"")</f>
        <v/>
      </c>
      <c r="T367" s="7" t="str">
        <f>IFERROR(IF('PREENCHER AQUI'!L367="","999",LEFT('PREENCHER AQUI'!L367,1)),"")</f>
        <v>999</v>
      </c>
      <c r="W367" s="1" t="str">
        <f>IFERROR(VLOOKUP(Tabela1[[#This Row],[UO_COD]],qdd!$AT$1:$AU$102,2,FALSE),"")</f>
        <v/>
      </c>
      <c r="X367" s="1" t="str">
        <f>CONCATENATE("F",Tabela1[[#This Row],[FONTE_COD]],Tabela1[[#This Row],[IPU_COD]],"G",Tabela1[[#This Row],[GRUPO_COD]],"T",Tabela1[[#This Row],[TIPO]])</f>
        <v>FGT999</v>
      </c>
      <c r="Y3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7" s="19"/>
      <c r="AA367" s="29" t="str">
        <f>IFERROR(VLOOKUP(CONCATENATE("B",Tabela1[[#This Row],[BLOCO]],Tabela1[[#This Row],[UO_COD]]),qdd!$AW$2:$AX$1000,2,FALSE),"")</f>
        <v/>
      </c>
      <c r="AB367" s="30" t="str">
        <f>IFERROR(Tabela1[[#This Row],[VALOR]]/100,"")</f>
        <v/>
      </c>
      <c r="AC367" s="7" t="str" cm="1">
        <f t="array" aca="1" ref="AC367" ca="1">IF(Tabela1[[#This Row],[VALOR]]&lt;0,"",IFERROR(SUBSTITUTE(Converter_numero(Tabela1[[#This Row],[VALOR INCISO]]),",",""),""))</f>
        <v/>
      </c>
      <c r="AD367" s="7" t="str">
        <f>IF(Tabela1[[#This Row],[TIPO]]=REGRAS!$W$2,REGRAS!$X$2,IF(Tabela1[[#This Row],[TIPO]]=REGRAS!$W$4,REGRAS!$X$4,""))</f>
        <v/>
      </c>
      <c r="AE367" s="29" t="e">
        <f>VLOOKUP(Tabela1[[#This Row],[FONTE_COD]],REGRAS!$O$2:$P$69,2,FALSE)</f>
        <v>#N/A</v>
      </c>
      <c r="AF3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8" spans="1:32" ht="18.75" customHeight="1">
      <c r="A368" s="2" t="str">
        <f>IFERROR(IF('PREENCHER AQUI'!A368="","",'PREENCHER AQUI'!A368),"")</f>
        <v/>
      </c>
      <c r="B368" s="1" t="str">
        <f>IFERROR(IF('PREENCHER AQUI'!B368="","",PROPER('PREENCHER AQUI'!B368)),"")</f>
        <v/>
      </c>
      <c r="C368" s="1" t="str">
        <f>IFERROR(IF('PREENCHER AQUI'!C368="","",'PREENCHER AQUI'!C368),"")</f>
        <v/>
      </c>
      <c r="D368" s="2" t="str">
        <f>IFERROR(IF('PREENCHER AQUI'!D368="","",'PREENCHER AQUI'!D368),"")</f>
        <v/>
      </c>
      <c r="E368" s="2" t="str">
        <f>IFERROR(VLOOKUP(CONCATENATE(C368,D368),qdd!$C$2:$F$1000,2,FALSE),"")</f>
        <v/>
      </c>
      <c r="F368" s="2" t="str">
        <f>IFERROR(VLOOKUP(CONCATENATE(C368,D368),qdd!$C$2:$F$1000,3,FALSE),"")</f>
        <v/>
      </c>
      <c r="G368" s="2" t="str">
        <f>IFERROR(VLOOKUP(CONCATENATE(C368,D368),qdd!$C$2:$F$1000,4,FALSE),"")</f>
        <v/>
      </c>
      <c r="H368" s="6" t="str">
        <f t="shared" si="12"/>
        <v/>
      </c>
      <c r="I3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8" s="2" t="str">
        <f>IFERROR(IF('PREENCHER AQUI'!E368="","",'PREENCHER AQUI'!E368),"")</f>
        <v/>
      </c>
      <c r="K368" s="2" t="str">
        <f>IFERROR(IF('PREENCHER AQUI'!F368="","",'PREENCHER AQUI'!F368),"")</f>
        <v/>
      </c>
      <c r="L368" s="2" t="str">
        <f>IF(Tabela1[[#This Row],[IPU_COD]]=9,"91",IF(Tabela1[[#This Row],[ACAO_COD]]="","",VLOOKUP(CONCATENATE("G",J368,"M",K368),qdd!$BC$2:$BD$46,2,FALSE)))</f>
        <v/>
      </c>
      <c r="M368" s="2" t="str">
        <f>TEXT(IFERROR(VLOOKUP(CONCATENATE(C368,D368),qdd!$C$2:$G$1000,5,FALSE),""),0)</f>
        <v/>
      </c>
      <c r="N368" s="2" t="str">
        <f>IFERROR(IF('PREENCHER AQUI'!I368="","",'PREENCHER AQUI'!I368),"")</f>
        <v/>
      </c>
      <c r="O368" s="2" t="str">
        <f>IFERROR(IF('PREENCHER AQUI'!J368="","",'PREENCHER AQUI'!J368),"")</f>
        <v/>
      </c>
      <c r="P368" s="7" t="str">
        <f t="shared" si="13"/>
        <v/>
      </c>
      <c r="Q368" s="8" t="str">
        <f>IFERROR(IF(Tabela4[[#This Row],[VALOR]]="","",IF(Tabela1[[#This Row],[ORIENTACAO]]="Anular",'PREENCHER AQUI'!K368*-1*100,'PREENCHER AQUI'!K368*100)),"")</f>
        <v/>
      </c>
      <c r="T368" s="7" t="str">
        <f>IFERROR(IF('PREENCHER AQUI'!L368="","999",LEFT('PREENCHER AQUI'!L368,1)),"")</f>
        <v>999</v>
      </c>
      <c r="V368" s="19"/>
      <c r="W368" s="1" t="str">
        <f>IFERROR(VLOOKUP(Tabela1[[#This Row],[UO_COD]],qdd!$AT$1:$AU$102,2,FALSE),"")</f>
        <v/>
      </c>
      <c r="X368" s="1" t="str">
        <f>CONCATENATE("F",Tabela1[[#This Row],[FONTE_COD]],Tabela1[[#This Row],[IPU_COD]],"G",Tabela1[[#This Row],[GRUPO_COD]],"T",Tabela1[[#This Row],[TIPO]])</f>
        <v>FGT999</v>
      </c>
      <c r="Y3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8" s="19"/>
      <c r="AA368" s="29" t="str">
        <f>IFERROR(VLOOKUP(CONCATENATE("B",Tabela1[[#This Row],[BLOCO]],Tabela1[[#This Row],[UO_COD]]),qdd!$AW$2:$AX$1000,2,FALSE),"")</f>
        <v/>
      </c>
      <c r="AB368" s="30" t="str">
        <f>IFERROR(Tabela1[[#This Row],[VALOR]]/100,"")</f>
        <v/>
      </c>
      <c r="AC368" s="7" t="str" cm="1">
        <f t="array" aca="1" ref="AC368" ca="1">IF(Tabela1[[#This Row],[VALOR]]&lt;0,"",IFERROR(SUBSTITUTE(Converter_numero(Tabela1[[#This Row],[VALOR INCISO]]),",",""),""))</f>
        <v/>
      </c>
      <c r="AD368" s="29" t="str">
        <f>IF(Tabela1[[#This Row],[TIPO]]=REGRAS!$W$2,REGRAS!$X$2,IF(Tabela1[[#This Row],[TIPO]]=REGRAS!$W$4,REGRAS!$X$4,""))</f>
        <v/>
      </c>
      <c r="AE368" s="29" t="e">
        <f>VLOOKUP(Tabela1[[#This Row],[FONTE_COD]],REGRAS!$O$2:$P$69,2,FALSE)</f>
        <v>#N/A</v>
      </c>
      <c r="AF3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9" spans="1:32" ht="18.75" customHeight="1">
      <c r="A369" s="2" t="str">
        <f>IFERROR(IF('PREENCHER AQUI'!A369="","",'PREENCHER AQUI'!A369),"")</f>
        <v/>
      </c>
      <c r="B369" s="1" t="str">
        <f>IFERROR(IF('PREENCHER AQUI'!B369="","",PROPER('PREENCHER AQUI'!B369)),"")</f>
        <v/>
      </c>
      <c r="C369" s="1" t="str">
        <f>IFERROR(IF('PREENCHER AQUI'!C369="","",'PREENCHER AQUI'!C369),"")</f>
        <v/>
      </c>
      <c r="D369" s="2" t="str">
        <f>IFERROR(IF('PREENCHER AQUI'!D369="","",'PREENCHER AQUI'!D369),"")</f>
        <v/>
      </c>
      <c r="E369" s="2" t="str">
        <f>IFERROR(VLOOKUP(CONCATENATE(C369,D369),qdd!$C$2:$F$1000,2,FALSE),"")</f>
        <v/>
      </c>
      <c r="F369" s="2" t="str">
        <f>IFERROR(VLOOKUP(CONCATENATE(C369,D369),qdd!$C$2:$F$1000,3,FALSE),"")</f>
        <v/>
      </c>
      <c r="G369" s="2" t="str">
        <f>IFERROR(VLOOKUP(CONCATENATE(C369,D369),qdd!$C$2:$F$1000,4,FALSE),"")</f>
        <v/>
      </c>
      <c r="H369" s="6" t="str">
        <f t="shared" si="12"/>
        <v/>
      </c>
      <c r="I3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9" s="2" t="str">
        <f>IFERROR(IF('PREENCHER AQUI'!E369="","",'PREENCHER AQUI'!E369),"")</f>
        <v/>
      </c>
      <c r="K369" s="2" t="str">
        <f>IFERROR(IF('PREENCHER AQUI'!F369="","",'PREENCHER AQUI'!F369),"")</f>
        <v/>
      </c>
      <c r="L369" s="2" t="str">
        <f>IF(Tabela1[[#This Row],[IPU_COD]]=9,"91",IF(Tabela1[[#This Row],[ACAO_COD]]="","",VLOOKUP(CONCATENATE("G",J369,"M",K369),qdd!$BC$2:$BD$46,2,FALSE)))</f>
        <v/>
      </c>
      <c r="M369" s="2" t="str">
        <f>TEXT(IFERROR(VLOOKUP(CONCATENATE(C369,D369),qdd!$C$2:$G$1000,5,FALSE),""),0)</f>
        <v/>
      </c>
      <c r="N369" s="2" t="str">
        <f>IFERROR(IF('PREENCHER AQUI'!I369="","",'PREENCHER AQUI'!I369),"")</f>
        <v/>
      </c>
      <c r="O369" s="2" t="str">
        <f>IFERROR(IF('PREENCHER AQUI'!J369="","",'PREENCHER AQUI'!J369),"")</f>
        <v/>
      </c>
      <c r="P369" s="7" t="str">
        <f t="shared" si="13"/>
        <v/>
      </c>
      <c r="Q369" s="8" t="str">
        <f>IFERROR(IF(Tabela4[[#This Row],[VALOR]]="","",IF(Tabela1[[#This Row],[ORIENTACAO]]="Anular",'PREENCHER AQUI'!K369*-1*100,'PREENCHER AQUI'!K369*100)),"")</f>
        <v/>
      </c>
      <c r="T369" s="7" t="str">
        <f>IFERROR(IF('PREENCHER AQUI'!L369="","999",LEFT('PREENCHER AQUI'!L369,1)),"")</f>
        <v>999</v>
      </c>
      <c r="V369" s="19"/>
      <c r="W369" s="1" t="str">
        <f>IFERROR(VLOOKUP(Tabela1[[#This Row],[UO_COD]],qdd!$AT$1:$AU$102,2,FALSE),"")</f>
        <v/>
      </c>
      <c r="X369" s="1" t="str">
        <f>CONCATENATE("F",Tabela1[[#This Row],[FONTE_COD]],Tabela1[[#This Row],[IPU_COD]],"G",Tabela1[[#This Row],[GRUPO_COD]],"T",Tabela1[[#This Row],[TIPO]])</f>
        <v>FGT999</v>
      </c>
      <c r="Y3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9" s="19"/>
      <c r="AA369" s="29" t="str">
        <f>IFERROR(VLOOKUP(CONCATENATE("B",Tabela1[[#This Row],[BLOCO]],Tabela1[[#This Row],[UO_COD]]),qdd!$AW$2:$AX$1000,2,FALSE),"")</f>
        <v/>
      </c>
      <c r="AB369" s="30" t="str">
        <f>IFERROR(Tabela1[[#This Row],[VALOR]]/100,"")</f>
        <v/>
      </c>
      <c r="AC369" s="7" t="str" cm="1">
        <f t="array" aca="1" ref="AC369" ca="1">IF(Tabela1[[#This Row],[VALOR]]&lt;0,"",IFERROR(SUBSTITUTE(Converter_numero(Tabela1[[#This Row],[VALOR INCISO]]),",",""),""))</f>
        <v/>
      </c>
      <c r="AD369" s="29" t="str">
        <f>IF(Tabela1[[#This Row],[TIPO]]=REGRAS!$W$2,REGRAS!$X$2,IF(Tabela1[[#This Row],[TIPO]]=REGRAS!$W$4,REGRAS!$X$4,""))</f>
        <v/>
      </c>
      <c r="AE369" s="29" t="e">
        <f>VLOOKUP(Tabela1[[#This Row],[FONTE_COD]],REGRAS!$O$2:$P$69,2,FALSE)</f>
        <v>#N/A</v>
      </c>
      <c r="AF3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0" spans="1:32" ht="18.75" customHeight="1">
      <c r="A370" s="2" t="str">
        <f>IFERROR(IF('PREENCHER AQUI'!A370="","",'PREENCHER AQUI'!A370),"")</f>
        <v/>
      </c>
      <c r="B370" s="1" t="str">
        <f>IFERROR(IF('PREENCHER AQUI'!B370="","",PROPER('PREENCHER AQUI'!B370)),"")</f>
        <v/>
      </c>
      <c r="C370" s="1" t="str">
        <f>IFERROR(IF('PREENCHER AQUI'!C370="","",'PREENCHER AQUI'!C370),"")</f>
        <v/>
      </c>
      <c r="D370" s="2" t="str">
        <f>IFERROR(IF('PREENCHER AQUI'!D370="","",'PREENCHER AQUI'!D370),"")</f>
        <v/>
      </c>
      <c r="E370" s="2" t="str">
        <f>IFERROR(VLOOKUP(CONCATENATE(C370,D370),qdd!$C$2:$F$1000,2,FALSE),"")</f>
        <v/>
      </c>
      <c r="F370" s="2" t="str">
        <f>IFERROR(VLOOKUP(CONCATENATE(C370,D370),qdd!$C$2:$F$1000,3,FALSE),"")</f>
        <v/>
      </c>
      <c r="G370" s="2" t="str">
        <f>IFERROR(VLOOKUP(CONCATENATE(C370,D370),qdd!$C$2:$F$1000,4,FALSE),"")</f>
        <v/>
      </c>
      <c r="H370" s="6" t="str">
        <f t="shared" si="12"/>
        <v/>
      </c>
      <c r="I3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0" s="2" t="str">
        <f>IFERROR(IF('PREENCHER AQUI'!E370="","",'PREENCHER AQUI'!E370),"")</f>
        <v/>
      </c>
      <c r="K370" s="2" t="str">
        <f>IFERROR(IF('PREENCHER AQUI'!F370="","",'PREENCHER AQUI'!F370),"")</f>
        <v/>
      </c>
      <c r="L370" s="2" t="str">
        <f>IF(Tabela1[[#This Row],[IPU_COD]]=9,"91",IF(Tabela1[[#This Row],[ACAO_COD]]="","",VLOOKUP(CONCATENATE("G",J370,"M",K370),qdd!$BC$2:$BD$46,2,FALSE)))</f>
        <v/>
      </c>
      <c r="M370" s="2" t="str">
        <f>TEXT(IFERROR(VLOOKUP(CONCATENATE(C370,D370),qdd!$C$2:$G$1000,5,FALSE),""),0)</f>
        <v/>
      </c>
      <c r="N370" s="2" t="str">
        <f>IFERROR(IF('PREENCHER AQUI'!I370="","",'PREENCHER AQUI'!I370),"")</f>
        <v/>
      </c>
      <c r="O370" s="2" t="str">
        <f>IFERROR(IF('PREENCHER AQUI'!J370="","",'PREENCHER AQUI'!J370),"")</f>
        <v/>
      </c>
      <c r="P370" s="7" t="str">
        <f t="shared" si="13"/>
        <v/>
      </c>
      <c r="Q370" s="8" t="str">
        <f>IFERROR(IF(Tabela4[[#This Row],[VALOR]]="","",IF(Tabela1[[#This Row],[ORIENTACAO]]="Anular",'PREENCHER AQUI'!K370*-1*100,'PREENCHER AQUI'!K370*100)),"")</f>
        <v/>
      </c>
      <c r="T370" s="7" t="str">
        <f>IFERROR(IF('PREENCHER AQUI'!L370="","999",LEFT('PREENCHER AQUI'!L370,1)),"")</f>
        <v>999</v>
      </c>
      <c r="V370" s="19"/>
      <c r="W370" s="20" t="str">
        <f>IFERROR(VLOOKUP(Tabela1[[#This Row],[UO_COD]],qdd!$AT$1:$AU$102,2,FALSE),"")</f>
        <v/>
      </c>
      <c r="X370" s="20" t="str">
        <f>CONCATENATE("F",Tabela1[[#This Row],[FONTE_COD]],Tabela1[[#This Row],[IPU_COD]],"G",Tabela1[[#This Row],[GRUPO_COD]],"T",Tabela1[[#This Row],[TIPO]])</f>
        <v>FGT999</v>
      </c>
      <c r="Y3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0" s="19"/>
      <c r="AA370" s="29" t="str">
        <f>IFERROR(VLOOKUP(CONCATENATE("B",Tabela1[[#This Row],[BLOCO]],Tabela1[[#This Row],[UO_COD]]),qdd!$AW$2:$AX$1000,2,FALSE),"")</f>
        <v/>
      </c>
      <c r="AB370" s="30" t="str">
        <f>IFERROR(Tabela1[[#This Row],[VALOR]]/100,"")</f>
        <v/>
      </c>
      <c r="AC370" s="7" t="str" cm="1">
        <f t="array" aca="1" ref="AC370" ca="1">IF(Tabela1[[#This Row],[VALOR]]&lt;0,"",IFERROR(SUBSTITUTE(Converter_numero(Tabela1[[#This Row],[VALOR INCISO]]),",",""),""))</f>
        <v/>
      </c>
      <c r="AD370" s="29" t="str">
        <f>IF(Tabela1[[#This Row],[TIPO]]=REGRAS!$W$2,REGRAS!$X$2,IF(Tabela1[[#This Row],[TIPO]]=REGRAS!$W$4,REGRAS!$X$4,""))</f>
        <v/>
      </c>
      <c r="AE370" s="29" t="e">
        <f>VLOOKUP(Tabela1[[#This Row],[FONTE_COD]],REGRAS!$O$2:$P$69,2,FALSE)</f>
        <v>#N/A</v>
      </c>
      <c r="AF3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1" spans="1:32" ht="18.75" customHeight="1">
      <c r="A371" s="2" t="str">
        <f>IFERROR(IF('PREENCHER AQUI'!A371="","",'PREENCHER AQUI'!A371),"")</f>
        <v/>
      </c>
      <c r="B371" s="1" t="str">
        <f>IFERROR(IF('PREENCHER AQUI'!B371="","",PROPER('PREENCHER AQUI'!B371)),"")</f>
        <v/>
      </c>
      <c r="C371" s="1" t="str">
        <f>IFERROR(IF('PREENCHER AQUI'!C371="","",'PREENCHER AQUI'!C371),"")</f>
        <v/>
      </c>
      <c r="D371" s="2" t="str">
        <f>IFERROR(IF('PREENCHER AQUI'!D371="","",'PREENCHER AQUI'!D371),"")</f>
        <v/>
      </c>
      <c r="E371" s="2" t="str">
        <f>IFERROR(VLOOKUP(CONCATENATE(C371,D371),qdd!$C$2:$F$1000,2,FALSE),"")</f>
        <v/>
      </c>
      <c r="F371" s="2" t="str">
        <f>IFERROR(VLOOKUP(CONCATENATE(C371,D371),qdd!$C$2:$F$1000,3,FALSE),"")</f>
        <v/>
      </c>
      <c r="G371" s="2" t="str">
        <f>IFERROR(VLOOKUP(CONCATENATE(C371,D371),qdd!$C$2:$F$1000,4,FALSE),"")</f>
        <v/>
      </c>
      <c r="H371" s="6" t="str">
        <f t="shared" si="12"/>
        <v/>
      </c>
      <c r="I3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1" s="2" t="str">
        <f>IFERROR(IF('PREENCHER AQUI'!E371="","",'PREENCHER AQUI'!E371),"")</f>
        <v/>
      </c>
      <c r="K371" s="2" t="str">
        <f>IFERROR(IF('PREENCHER AQUI'!F371="","",'PREENCHER AQUI'!F371),"")</f>
        <v/>
      </c>
      <c r="L371" s="2" t="str">
        <f>IF(Tabela1[[#This Row],[IPU_COD]]=9,"91",IF(Tabela1[[#This Row],[ACAO_COD]]="","",VLOOKUP(CONCATENATE("G",J371,"M",K371),qdd!$BC$2:$BD$46,2,FALSE)))</f>
        <v/>
      </c>
      <c r="M371" s="2" t="str">
        <f>TEXT(IFERROR(VLOOKUP(CONCATENATE(C371,D371),qdd!$C$2:$G$1000,5,FALSE),""),0)</f>
        <v/>
      </c>
      <c r="N371" s="2" t="str">
        <f>IFERROR(IF('PREENCHER AQUI'!I371="","",'PREENCHER AQUI'!I371),"")</f>
        <v/>
      </c>
      <c r="O371" s="2" t="str">
        <f>IFERROR(IF('PREENCHER AQUI'!J371="","",'PREENCHER AQUI'!J371),"")</f>
        <v/>
      </c>
      <c r="P371" s="7" t="str">
        <f t="shared" si="13"/>
        <v/>
      </c>
      <c r="Q371" s="8" t="str">
        <f>IFERROR(IF(Tabela4[[#This Row],[VALOR]]="","",IF(Tabela1[[#This Row],[ORIENTACAO]]="Anular",'PREENCHER AQUI'!K371*-1*100,'PREENCHER AQUI'!K371*100)),"")</f>
        <v/>
      </c>
      <c r="T371" s="7" t="str">
        <f>IFERROR(IF('PREENCHER AQUI'!L371="","999",LEFT('PREENCHER AQUI'!L371,1)),"")</f>
        <v>999</v>
      </c>
      <c r="V371" s="19"/>
      <c r="W371" s="1" t="str">
        <f>IFERROR(VLOOKUP(Tabela1[[#This Row],[UO_COD]],qdd!$AT$1:$AU$102,2,FALSE),"")</f>
        <v/>
      </c>
      <c r="X371" s="1" t="str">
        <f>CONCATENATE("F",Tabela1[[#This Row],[FONTE_COD]],Tabela1[[#This Row],[IPU_COD]],"G",Tabela1[[#This Row],[GRUPO_COD]],"T",Tabela1[[#This Row],[TIPO]])</f>
        <v>FGT999</v>
      </c>
      <c r="Y3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1" s="19"/>
      <c r="AA371" s="29" t="str">
        <f>IFERROR(VLOOKUP(CONCATENATE("B",Tabela1[[#This Row],[BLOCO]],Tabela1[[#This Row],[UO_COD]]),qdd!$AW$2:$AX$1000,2,FALSE),"")</f>
        <v/>
      </c>
      <c r="AB371" s="30" t="str">
        <f>IFERROR(Tabela1[[#This Row],[VALOR]]/100,"")</f>
        <v/>
      </c>
      <c r="AC371" s="7" t="str" cm="1">
        <f t="array" aca="1" ref="AC371" ca="1">IF(Tabela1[[#This Row],[VALOR]]&lt;0,"",IFERROR(SUBSTITUTE(Converter_numero(Tabela1[[#This Row],[VALOR INCISO]]),",",""),""))</f>
        <v/>
      </c>
      <c r="AD371" s="29" t="str">
        <f>IF(Tabela1[[#This Row],[TIPO]]=REGRAS!$W$2,REGRAS!$X$2,IF(Tabela1[[#This Row],[TIPO]]=REGRAS!$W$4,REGRAS!$X$4,""))</f>
        <v/>
      </c>
      <c r="AE371" s="29" t="e">
        <f>VLOOKUP(Tabela1[[#This Row],[FONTE_COD]],REGRAS!$O$2:$P$69,2,FALSE)</f>
        <v>#N/A</v>
      </c>
      <c r="AF3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2" spans="1:32" ht="18.75" customHeight="1">
      <c r="A372" s="2" t="str">
        <f>IFERROR(IF('PREENCHER AQUI'!A372="","",'PREENCHER AQUI'!A372),"")</f>
        <v/>
      </c>
      <c r="B372" s="1" t="str">
        <f>IFERROR(IF('PREENCHER AQUI'!B372="","",PROPER('PREENCHER AQUI'!B372)),"")</f>
        <v/>
      </c>
      <c r="C372" s="1" t="str">
        <f>IFERROR(IF('PREENCHER AQUI'!C372="","",'PREENCHER AQUI'!C372),"")</f>
        <v/>
      </c>
      <c r="D372" s="2" t="str">
        <f>IFERROR(IF('PREENCHER AQUI'!D372="","",'PREENCHER AQUI'!D372),"")</f>
        <v/>
      </c>
      <c r="E372" s="2" t="str">
        <f>IFERROR(VLOOKUP(CONCATENATE(C372,D372),qdd!$C$2:$F$1000,2,FALSE),"")</f>
        <v/>
      </c>
      <c r="F372" s="2" t="str">
        <f>IFERROR(VLOOKUP(CONCATENATE(C372,D372),qdd!$C$2:$F$1000,3,FALSE),"")</f>
        <v/>
      </c>
      <c r="G372" s="2" t="str">
        <f>IFERROR(VLOOKUP(CONCATENATE(C372,D372),qdd!$C$2:$F$1000,4,FALSE),"")</f>
        <v/>
      </c>
      <c r="H372" s="6" t="str">
        <f t="shared" si="12"/>
        <v/>
      </c>
      <c r="I3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2" s="2" t="str">
        <f>IFERROR(IF('PREENCHER AQUI'!E372="","",'PREENCHER AQUI'!E372),"")</f>
        <v/>
      </c>
      <c r="K372" s="2" t="str">
        <f>IFERROR(IF('PREENCHER AQUI'!F372="","",'PREENCHER AQUI'!F372),"")</f>
        <v/>
      </c>
      <c r="L372" s="2" t="str">
        <f>IF(Tabela1[[#This Row],[IPU_COD]]=9,"91",IF(Tabela1[[#This Row],[ACAO_COD]]="","",VLOOKUP(CONCATENATE("G",J372,"M",K372),qdd!$BC$2:$BD$46,2,FALSE)))</f>
        <v/>
      </c>
      <c r="M372" s="2" t="str">
        <f>TEXT(IFERROR(VLOOKUP(CONCATENATE(C372,D372),qdd!$C$2:$G$1000,5,FALSE),""),0)</f>
        <v/>
      </c>
      <c r="N372" s="2" t="str">
        <f>IFERROR(IF('PREENCHER AQUI'!I372="","",'PREENCHER AQUI'!I372),"")</f>
        <v/>
      </c>
      <c r="O372" s="2" t="str">
        <f>IFERROR(IF('PREENCHER AQUI'!J372="","",'PREENCHER AQUI'!J372),"")</f>
        <v/>
      </c>
      <c r="P372" s="7" t="str">
        <f t="shared" si="13"/>
        <v/>
      </c>
      <c r="Q372" s="8" t="str">
        <f>IFERROR(IF(Tabela4[[#This Row],[VALOR]]="","",IF(Tabela1[[#This Row],[ORIENTACAO]]="Anular",'PREENCHER AQUI'!K372*-1*100,'PREENCHER AQUI'!K372*100)),"")</f>
        <v/>
      </c>
      <c r="T372" s="7" t="str">
        <f>IFERROR(IF('PREENCHER AQUI'!L372="","999",LEFT('PREENCHER AQUI'!L372,1)),"")</f>
        <v>999</v>
      </c>
      <c r="W372" s="1" t="str">
        <f>IFERROR(VLOOKUP(Tabela1[[#This Row],[UO_COD]],qdd!$AT$1:$AU$102,2,FALSE),"")</f>
        <v/>
      </c>
      <c r="X372" s="1" t="str">
        <f>CONCATENATE("F",Tabela1[[#This Row],[FONTE_COD]],Tabela1[[#This Row],[IPU_COD]],"G",Tabela1[[#This Row],[GRUPO_COD]],"T",Tabela1[[#This Row],[TIPO]])</f>
        <v>FGT999</v>
      </c>
      <c r="Y3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2" s="19"/>
      <c r="AA372" s="29" t="str">
        <f>IFERROR(VLOOKUP(CONCATENATE("B",Tabela1[[#This Row],[BLOCO]],Tabela1[[#This Row],[UO_COD]]),qdd!$AW$2:$AX$1000,2,FALSE),"")</f>
        <v/>
      </c>
      <c r="AB372" s="30" t="str">
        <f>IFERROR(Tabela1[[#This Row],[VALOR]]/100,"")</f>
        <v/>
      </c>
      <c r="AC372" s="7" t="str" cm="1">
        <f t="array" aca="1" ref="AC372" ca="1">IF(Tabela1[[#This Row],[VALOR]]&lt;0,"",IFERROR(SUBSTITUTE(Converter_numero(Tabela1[[#This Row],[VALOR INCISO]]),",",""),""))</f>
        <v/>
      </c>
      <c r="AD372" s="7" t="str">
        <f>IF(Tabela1[[#This Row],[TIPO]]=REGRAS!$W$2,REGRAS!$X$2,IF(Tabela1[[#This Row],[TIPO]]=REGRAS!$W$4,REGRAS!$X$4,""))</f>
        <v/>
      </c>
      <c r="AE372" s="29" t="e">
        <f>VLOOKUP(Tabela1[[#This Row],[FONTE_COD]],REGRAS!$O$2:$P$69,2,FALSE)</f>
        <v>#N/A</v>
      </c>
      <c r="AF3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3" spans="1:32" ht="18.75" customHeight="1">
      <c r="A373" s="2" t="str">
        <f>IFERROR(IF('PREENCHER AQUI'!A373="","",'PREENCHER AQUI'!A373),"")</f>
        <v/>
      </c>
      <c r="B373" s="1" t="str">
        <f>IFERROR(IF('PREENCHER AQUI'!B373="","",PROPER('PREENCHER AQUI'!B373)),"")</f>
        <v/>
      </c>
      <c r="C373" s="1" t="str">
        <f>IFERROR(IF('PREENCHER AQUI'!C373="","",'PREENCHER AQUI'!C373),"")</f>
        <v/>
      </c>
      <c r="D373" s="2" t="str">
        <f>IFERROR(IF('PREENCHER AQUI'!D373="","",'PREENCHER AQUI'!D373),"")</f>
        <v/>
      </c>
      <c r="E373" s="2" t="str">
        <f>IFERROR(VLOOKUP(CONCATENATE(C373,D373),qdd!$C$2:$F$1000,2,FALSE),"")</f>
        <v/>
      </c>
      <c r="F373" s="2" t="str">
        <f>IFERROR(VLOOKUP(CONCATENATE(C373,D373),qdd!$C$2:$F$1000,3,FALSE),"")</f>
        <v/>
      </c>
      <c r="G373" s="2" t="str">
        <f>IFERROR(VLOOKUP(CONCATENATE(C373,D373),qdd!$C$2:$F$1000,4,FALSE),"")</f>
        <v/>
      </c>
      <c r="H373" s="6" t="str">
        <f t="shared" si="12"/>
        <v/>
      </c>
      <c r="I3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3" s="2" t="str">
        <f>IFERROR(IF('PREENCHER AQUI'!E373="","",'PREENCHER AQUI'!E373),"")</f>
        <v/>
      </c>
      <c r="K373" s="2" t="str">
        <f>IFERROR(IF('PREENCHER AQUI'!F373="","",'PREENCHER AQUI'!F373),"")</f>
        <v/>
      </c>
      <c r="L373" s="2" t="str">
        <f>IF(Tabela1[[#This Row],[IPU_COD]]=9,"91",IF(Tabela1[[#This Row],[ACAO_COD]]="","",VLOOKUP(CONCATENATE("G",J373,"M",K373),qdd!$BC$2:$BD$46,2,FALSE)))</f>
        <v/>
      </c>
      <c r="M373" s="2" t="str">
        <f>TEXT(IFERROR(VLOOKUP(CONCATENATE(C373,D373),qdd!$C$2:$G$1000,5,FALSE),""),0)</f>
        <v/>
      </c>
      <c r="N373" s="2" t="str">
        <f>IFERROR(IF('PREENCHER AQUI'!I373="","",'PREENCHER AQUI'!I373),"")</f>
        <v/>
      </c>
      <c r="O373" s="2" t="str">
        <f>IFERROR(IF('PREENCHER AQUI'!J373="","",'PREENCHER AQUI'!J373),"")</f>
        <v/>
      </c>
      <c r="P373" s="7" t="str">
        <f t="shared" si="13"/>
        <v/>
      </c>
      <c r="Q373" s="8" t="str">
        <f>IFERROR(IF(Tabela4[[#This Row],[VALOR]]="","",IF(Tabela1[[#This Row],[ORIENTACAO]]="Anular",'PREENCHER AQUI'!K373*-1*100,'PREENCHER AQUI'!K373*100)),"")</f>
        <v/>
      </c>
      <c r="T373" s="7" t="str">
        <f>IFERROR(IF('PREENCHER AQUI'!L373="","999",LEFT('PREENCHER AQUI'!L373,1)),"")</f>
        <v>999</v>
      </c>
      <c r="V373" s="19"/>
      <c r="W373" s="1" t="str">
        <f>IFERROR(VLOOKUP(Tabela1[[#This Row],[UO_COD]],qdd!$AT$1:$AU$102,2,FALSE),"")</f>
        <v/>
      </c>
      <c r="X373" s="1" t="str">
        <f>CONCATENATE("F",Tabela1[[#This Row],[FONTE_COD]],Tabela1[[#This Row],[IPU_COD]],"G",Tabela1[[#This Row],[GRUPO_COD]],"T",Tabela1[[#This Row],[TIPO]])</f>
        <v>FGT999</v>
      </c>
      <c r="Y3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3" s="19"/>
      <c r="AA373" s="29" t="str">
        <f>IFERROR(VLOOKUP(CONCATENATE("B",Tabela1[[#This Row],[BLOCO]],Tabela1[[#This Row],[UO_COD]]),qdd!$AW$2:$AX$1000,2,FALSE),"")</f>
        <v/>
      </c>
      <c r="AB373" s="30" t="str">
        <f>IFERROR(Tabela1[[#This Row],[VALOR]]/100,"")</f>
        <v/>
      </c>
      <c r="AC373" s="7" t="str" cm="1">
        <f t="array" aca="1" ref="AC373" ca="1">IF(Tabela1[[#This Row],[VALOR]]&lt;0,"",IFERROR(SUBSTITUTE(Converter_numero(Tabela1[[#This Row],[VALOR INCISO]]),",",""),""))</f>
        <v/>
      </c>
      <c r="AD373" s="29" t="str">
        <f>IF(Tabela1[[#This Row],[TIPO]]=REGRAS!$W$2,REGRAS!$X$2,IF(Tabela1[[#This Row],[TIPO]]=REGRAS!$W$4,REGRAS!$X$4,""))</f>
        <v/>
      </c>
      <c r="AE373" s="29" t="e">
        <f>VLOOKUP(Tabela1[[#This Row],[FONTE_COD]],REGRAS!$O$2:$P$69,2,FALSE)</f>
        <v>#N/A</v>
      </c>
      <c r="AF3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4" spans="1:32" ht="18.75" customHeight="1">
      <c r="A374" s="2" t="str">
        <f>IFERROR(IF('PREENCHER AQUI'!A374="","",'PREENCHER AQUI'!A374),"")</f>
        <v/>
      </c>
      <c r="B374" s="1" t="str">
        <f>IFERROR(IF('PREENCHER AQUI'!B374="","",PROPER('PREENCHER AQUI'!B374)),"")</f>
        <v/>
      </c>
      <c r="C374" s="1" t="str">
        <f>IFERROR(IF('PREENCHER AQUI'!C374="","",'PREENCHER AQUI'!C374),"")</f>
        <v/>
      </c>
      <c r="D374" s="2" t="str">
        <f>IFERROR(IF('PREENCHER AQUI'!D374="","",'PREENCHER AQUI'!D374),"")</f>
        <v/>
      </c>
      <c r="E374" s="2" t="str">
        <f>IFERROR(VLOOKUP(CONCATENATE(C374,D374),qdd!$C$2:$F$1000,2,FALSE),"")</f>
        <v/>
      </c>
      <c r="F374" s="2" t="str">
        <f>IFERROR(VLOOKUP(CONCATENATE(C374,D374),qdd!$C$2:$F$1000,3,FALSE),"")</f>
        <v/>
      </c>
      <c r="G374" s="2" t="str">
        <f>IFERROR(VLOOKUP(CONCATENATE(C374,D374),qdd!$C$2:$F$1000,4,FALSE),"")</f>
        <v/>
      </c>
      <c r="H374" s="6" t="str">
        <f t="shared" si="12"/>
        <v/>
      </c>
      <c r="I3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4" s="2" t="str">
        <f>IFERROR(IF('PREENCHER AQUI'!E374="","",'PREENCHER AQUI'!E374),"")</f>
        <v/>
      </c>
      <c r="K374" s="2" t="str">
        <f>IFERROR(IF('PREENCHER AQUI'!F374="","",'PREENCHER AQUI'!F374),"")</f>
        <v/>
      </c>
      <c r="L374" s="2" t="str">
        <f>IF(Tabela1[[#This Row],[IPU_COD]]=9,"91",IF(Tabela1[[#This Row],[ACAO_COD]]="","",VLOOKUP(CONCATENATE("G",J374,"M",K374),qdd!$BC$2:$BD$46,2,FALSE)))</f>
        <v/>
      </c>
      <c r="M374" s="2" t="str">
        <f>TEXT(IFERROR(VLOOKUP(CONCATENATE(C374,D374),qdd!$C$2:$G$1000,5,FALSE),""),0)</f>
        <v/>
      </c>
      <c r="N374" s="2" t="str">
        <f>IFERROR(IF('PREENCHER AQUI'!I374="","",'PREENCHER AQUI'!I374),"")</f>
        <v/>
      </c>
      <c r="O374" s="2" t="str">
        <f>IFERROR(IF('PREENCHER AQUI'!J374="","",'PREENCHER AQUI'!J374),"")</f>
        <v/>
      </c>
      <c r="P374" s="7" t="str">
        <f t="shared" si="13"/>
        <v/>
      </c>
      <c r="Q374" s="8" t="str">
        <f>IFERROR(IF(Tabela4[[#This Row],[VALOR]]="","",IF(Tabela1[[#This Row],[ORIENTACAO]]="Anular",'PREENCHER AQUI'!K374*-1*100,'PREENCHER AQUI'!K374*100)),"")</f>
        <v/>
      </c>
      <c r="T374" s="7" t="str">
        <f>IFERROR(IF('PREENCHER AQUI'!L374="","999",LEFT('PREENCHER AQUI'!L374,1)),"")</f>
        <v>999</v>
      </c>
      <c r="V374" s="19"/>
      <c r="W374" s="1" t="str">
        <f>IFERROR(VLOOKUP(Tabela1[[#This Row],[UO_COD]],qdd!$AT$1:$AU$102,2,FALSE),"")</f>
        <v/>
      </c>
      <c r="X374" s="1" t="str">
        <f>CONCATENATE("F",Tabela1[[#This Row],[FONTE_COD]],Tabela1[[#This Row],[IPU_COD]],"G",Tabela1[[#This Row],[GRUPO_COD]],"T",Tabela1[[#This Row],[TIPO]])</f>
        <v>FGT999</v>
      </c>
      <c r="Y3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4" s="19"/>
      <c r="AA374" s="29" t="str">
        <f>IFERROR(VLOOKUP(CONCATENATE("B",Tabela1[[#This Row],[BLOCO]],Tabela1[[#This Row],[UO_COD]]),qdd!$AW$2:$AX$1000,2,FALSE),"")</f>
        <v/>
      </c>
      <c r="AB374" s="30" t="str">
        <f>IFERROR(Tabela1[[#This Row],[VALOR]]/100,"")</f>
        <v/>
      </c>
      <c r="AC374" s="7" t="str" cm="1">
        <f t="array" aca="1" ref="AC374" ca="1">IF(Tabela1[[#This Row],[VALOR]]&lt;0,"",IFERROR(SUBSTITUTE(Converter_numero(Tabela1[[#This Row],[VALOR INCISO]]),",",""),""))</f>
        <v/>
      </c>
      <c r="AD374" s="29" t="str">
        <f>IF(Tabela1[[#This Row],[TIPO]]=REGRAS!$W$2,REGRAS!$X$2,IF(Tabela1[[#This Row],[TIPO]]=REGRAS!$W$4,REGRAS!$X$4,""))</f>
        <v/>
      </c>
      <c r="AE374" s="29" t="e">
        <f>VLOOKUP(Tabela1[[#This Row],[FONTE_COD]],REGRAS!$O$2:$P$69,2,FALSE)</f>
        <v>#N/A</v>
      </c>
      <c r="AF3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5" spans="1:32" ht="18.75" customHeight="1">
      <c r="A375" s="2" t="str">
        <f>IFERROR(IF('PREENCHER AQUI'!A375="","",'PREENCHER AQUI'!A375),"")</f>
        <v/>
      </c>
      <c r="B375" s="1" t="str">
        <f>IFERROR(IF('PREENCHER AQUI'!B375="","",PROPER('PREENCHER AQUI'!B375)),"")</f>
        <v/>
      </c>
      <c r="C375" s="1" t="str">
        <f>IFERROR(IF('PREENCHER AQUI'!C375="","",'PREENCHER AQUI'!C375),"")</f>
        <v/>
      </c>
      <c r="D375" s="2" t="str">
        <f>IFERROR(IF('PREENCHER AQUI'!D375="","",'PREENCHER AQUI'!D375),"")</f>
        <v/>
      </c>
      <c r="E375" s="2" t="str">
        <f>IFERROR(VLOOKUP(CONCATENATE(C375,D375),qdd!$C$2:$F$1000,2,FALSE),"")</f>
        <v/>
      </c>
      <c r="F375" s="2" t="str">
        <f>IFERROR(VLOOKUP(CONCATENATE(C375,D375),qdd!$C$2:$F$1000,3,FALSE),"")</f>
        <v/>
      </c>
      <c r="G375" s="2" t="str">
        <f>IFERROR(VLOOKUP(CONCATENATE(C375,D375),qdd!$C$2:$F$1000,4,FALSE),"")</f>
        <v/>
      </c>
      <c r="H375" s="6" t="str">
        <f t="shared" si="12"/>
        <v/>
      </c>
      <c r="I3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5" s="2" t="str">
        <f>IFERROR(IF('PREENCHER AQUI'!E375="","",'PREENCHER AQUI'!E375),"")</f>
        <v/>
      </c>
      <c r="K375" s="2" t="str">
        <f>IFERROR(IF('PREENCHER AQUI'!F375="","",'PREENCHER AQUI'!F375),"")</f>
        <v/>
      </c>
      <c r="L375" s="2" t="str">
        <f>IF(Tabela1[[#This Row],[IPU_COD]]=9,"91",IF(Tabela1[[#This Row],[ACAO_COD]]="","",VLOOKUP(CONCATENATE("G",J375,"M",K375),qdd!$BC$2:$BD$46,2,FALSE)))</f>
        <v/>
      </c>
      <c r="M375" s="2" t="str">
        <f>TEXT(IFERROR(VLOOKUP(CONCATENATE(C375,D375),qdd!$C$2:$G$1000,5,FALSE),""),0)</f>
        <v/>
      </c>
      <c r="N375" s="2" t="str">
        <f>IFERROR(IF('PREENCHER AQUI'!I375="","",'PREENCHER AQUI'!I375),"")</f>
        <v/>
      </c>
      <c r="O375" s="2" t="str">
        <f>IFERROR(IF('PREENCHER AQUI'!J375="","",'PREENCHER AQUI'!J375),"")</f>
        <v/>
      </c>
      <c r="P375" s="7" t="str">
        <f t="shared" si="13"/>
        <v/>
      </c>
      <c r="Q375" s="8" t="str">
        <f>IFERROR(IF(Tabela4[[#This Row],[VALOR]]="","",IF(Tabela1[[#This Row],[ORIENTACAO]]="Anular",'PREENCHER AQUI'!K375*-1*100,'PREENCHER AQUI'!K375*100)),"")</f>
        <v/>
      </c>
      <c r="T375" s="7" t="str">
        <f>IFERROR(IF('PREENCHER AQUI'!L375="","999",LEFT('PREENCHER AQUI'!L375,1)),"")</f>
        <v>999</v>
      </c>
      <c r="V375" s="19"/>
      <c r="W375" s="20" t="str">
        <f>IFERROR(VLOOKUP(Tabela1[[#This Row],[UO_COD]],qdd!$AT$1:$AU$102,2,FALSE),"")</f>
        <v/>
      </c>
      <c r="X375" s="20" t="str">
        <f>CONCATENATE("F",Tabela1[[#This Row],[FONTE_COD]],Tabela1[[#This Row],[IPU_COD]],"G",Tabela1[[#This Row],[GRUPO_COD]],"T",Tabela1[[#This Row],[TIPO]])</f>
        <v>FGT999</v>
      </c>
      <c r="Y3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5" s="19"/>
      <c r="AA375" s="29" t="str">
        <f>IFERROR(VLOOKUP(CONCATENATE("B",Tabela1[[#This Row],[BLOCO]],Tabela1[[#This Row],[UO_COD]]),qdd!$AW$2:$AX$1000,2,FALSE),"")</f>
        <v/>
      </c>
      <c r="AB375" s="30" t="str">
        <f>IFERROR(Tabela1[[#This Row],[VALOR]]/100,"")</f>
        <v/>
      </c>
      <c r="AC375" s="7" t="str" cm="1">
        <f t="array" aca="1" ref="AC375" ca="1">IF(Tabela1[[#This Row],[VALOR]]&lt;0,"",IFERROR(SUBSTITUTE(Converter_numero(Tabela1[[#This Row],[VALOR INCISO]]),",",""),""))</f>
        <v/>
      </c>
      <c r="AD375" s="29" t="str">
        <f>IF(Tabela1[[#This Row],[TIPO]]=REGRAS!$W$2,REGRAS!$X$2,IF(Tabela1[[#This Row],[TIPO]]=REGRAS!$W$4,REGRAS!$X$4,""))</f>
        <v/>
      </c>
      <c r="AE375" s="29" t="e">
        <f>VLOOKUP(Tabela1[[#This Row],[FONTE_COD]],REGRAS!$O$2:$P$69,2,FALSE)</f>
        <v>#N/A</v>
      </c>
      <c r="AF3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6" spans="1:32" ht="18.75" customHeight="1">
      <c r="A376" s="2" t="str">
        <f>IFERROR(IF('PREENCHER AQUI'!A376="","",'PREENCHER AQUI'!A376),"")</f>
        <v/>
      </c>
      <c r="B376" s="1" t="str">
        <f>IFERROR(IF('PREENCHER AQUI'!B376="","",PROPER('PREENCHER AQUI'!B376)),"")</f>
        <v/>
      </c>
      <c r="C376" s="1" t="str">
        <f>IFERROR(IF('PREENCHER AQUI'!C376="","",'PREENCHER AQUI'!C376),"")</f>
        <v/>
      </c>
      <c r="D376" s="2" t="str">
        <f>IFERROR(IF('PREENCHER AQUI'!D376="","",'PREENCHER AQUI'!D376),"")</f>
        <v/>
      </c>
      <c r="E376" s="2" t="str">
        <f>IFERROR(VLOOKUP(CONCATENATE(C376,D376),qdd!$C$2:$F$1000,2,FALSE),"")</f>
        <v/>
      </c>
      <c r="F376" s="2" t="str">
        <f>IFERROR(VLOOKUP(CONCATENATE(C376,D376),qdd!$C$2:$F$1000,3,FALSE),"")</f>
        <v/>
      </c>
      <c r="G376" s="2" t="str">
        <f>IFERROR(VLOOKUP(CONCATENATE(C376,D376),qdd!$C$2:$F$1000,4,FALSE),"")</f>
        <v/>
      </c>
      <c r="H376" s="6" t="str">
        <f t="shared" si="12"/>
        <v/>
      </c>
      <c r="I3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6" s="2" t="str">
        <f>IFERROR(IF('PREENCHER AQUI'!E376="","",'PREENCHER AQUI'!E376),"")</f>
        <v/>
      </c>
      <c r="K376" s="2" t="str">
        <f>IFERROR(IF('PREENCHER AQUI'!F376="","",'PREENCHER AQUI'!F376),"")</f>
        <v/>
      </c>
      <c r="L376" s="2" t="str">
        <f>IF(Tabela1[[#This Row],[IPU_COD]]=9,"91",IF(Tabela1[[#This Row],[ACAO_COD]]="","",VLOOKUP(CONCATENATE("G",J376,"M",K376),qdd!$BC$2:$BD$46,2,FALSE)))</f>
        <v/>
      </c>
      <c r="M376" s="2" t="str">
        <f>TEXT(IFERROR(VLOOKUP(CONCATENATE(C376,D376),qdd!$C$2:$G$1000,5,FALSE),""),0)</f>
        <v/>
      </c>
      <c r="N376" s="2" t="str">
        <f>IFERROR(IF('PREENCHER AQUI'!I376="","",'PREENCHER AQUI'!I376),"")</f>
        <v/>
      </c>
      <c r="O376" s="2" t="str">
        <f>IFERROR(IF('PREENCHER AQUI'!J376="","",'PREENCHER AQUI'!J376),"")</f>
        <v/>
      </c>
      <c r="P376" s="7" t="str">
        <f t="shared" si="13"/>
        <v/>
      </c>
      <c r="Q376" s="8" t="str">
        <f>IFERROR(IF(Tabela4[[#This Row],[VALOR]]="","",IF(Tabela1[[#This Row],[ORIENTACAO]]="Anular",'PREENCHER AQUI'!K376*-1*100,'PREENCHER AQUI'!K376*100)),"")</f>
        <v/>
      </c>
      <c r="T376" s="7" t="str">
        <f>IFERROR(IF('PREENCHER AQUI'!L376="","999",LEFT('PREENCHER AQUI'!L376,1)),"")</f>
        <v>999</v>
      </c>
      <c r="V376" s="19"/>
      <c r="W376" s="1" t="str">
        <f>IFERROR(VLOOKUP(Tabela1[[#This Row],[UO_COD]],qdd!$AT$1:$AU$102,2,FALSE),"")</f>
        <v/>
      </c>
      <c r="X376" s="1" t="str">
        <f>CONCATENATE("F",Tabela1[[#This Row],[FONTE_COD]],Tabela1[[#This Row],[IPU_COD]],"G",Tabela1[[#This Row],[GRUPO_COD]],"T",Tabela1[[#This Row],[TIPO]])</f>
        <v>FGT999</v>
      </c>
      <c r="Y3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6" s="19"/>
      <c r="AA376" s="29" t="str">
        <f>IFERROR(VLOOKUP(CONCATENATE("B",Tabela1[[#This Row],[BLOCO]],Tabela1[[#This Row],[UO_COD]]),qdd!$AW$2:$AX$1000,2,FALSE),"")</f>
        <v/>
      </c>
      <c r="AB376" s="30" t="str">
        <f>IFERROR(Tabela1[[#This Row],[VALOR]]/100,"")</f>
        <v/>
      </c>
      <c r="AC376" s="7" t="str" cm="1">
        <f t="array" aca="1" ref="AC376" ca="1">IF(Tabela1[[#This Row],[VALOR]]&lt;0,"",IFERROR(SUBSTITUTE(Converter_numero(Tabela1[[#This Row],[VALOR INCISO]]),",",""),""))</f>
        <v/>
      </c>
      <c r="AD376" s="29" t="str">
        <f>IF(Tabela1[[#This Row],[TIPO]]=REGRAS!$W$2,REGRAS!$X$2,IF(Tabela1[[#This Row],[TIPO]]=REGRAS!$W$4,REGRAS!$X$4,""))</f>
        <v/>
      </c>
      <c r="AE376" s="29" t="e">
        <f>VLOOKUP(Tabela1[[#This Row],[FONTE_COD]],REGRAS!$O$2:$P$69,2,FALSE)</f>
        <v>#N/A</v>
      </c>
      <c r="AF3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7" spans="1:32" ht="18.75" customHeight="1">
      <c r="A377" s="2" t="str">
        <f>IFERROR(IF('PREENCHER AQUI'!A377="","",'PREENCHER AQUI'!A377),"")</f>
        <v/>
      </c>
      <c r="B377" s="1" t="str">
        <f>IFERROR(IF('PREENCHER AQUI'!B377="","",PROPER('PREENCHER AQUI'!B377)),"")</f>
        <v/>
      </c>
      <c r="C377" s="1" t="str">
        <f>IFERROR(IF('PREENCHER AQUI'!C377="","",'PREENCHER AQUI'!C377),"")</f>
        <v/>
      </c>
      <c r="D377" s="2" t="str">
        <f>IFERROR(IF('PREENCHER AQUI'!D377="","",'PREENCHER AQUI'!D377),"")</f>
        <v/>
      </c>
      <c r="E377" s="2" t="str">
        <f>IFERROR(VLOOKUP(CONCATENATE(C377,D377),qdd!$C$2:$F$1000,2,FALSE),"")</f>
        <v/>
      </c>
      <c r="F377" s="2" t="str">
        <f>IFERROR(VLOOKUP(CONCATENATE(C377,D377),qdd!$C$2:$F$1000,3,FALSE),"")</f>
        <v/>
      </c>
      <c r="G377" s="2" t="str">
        <f>IFERROR(VLOOKUP(CONCATENATE(C377,D377),qdd!$C$2:$F$1000,4,FALSE),"")</f>
        <v/>
      </c>
      <c r="H377" s="6" t="str">
        <f t="shared" si="12"/>
        <v/>
      </c>
      <c r="I3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7" s="2" t="str">
        <f>IFERROR(IF('PREENCHER AQUI'!E377="","",'PREENCHER AQUI'!E377),"")</f>
        <v/>
      </c>
      <c r="K377" s="2" t="str">
        <f>IFERROR(IF('PREENCHER AQUI'!F377="","",'PREENCHER AQUI'!F377),"")</f>
        <v/>
      </c>
      <c r="L377" s="2" t="str">
        <f>IF(Tabela1[[#This Row],[IPU_COD]]=9,"91",IF(Tabela1[[#This Row],[ACAO_COD]]="","",VLOOKUP(CONCATENATE("G",J377,"M",K377),qdd!$BC$2:$BD$46,2,FALSE)))</f>
        <v/>
      </c>
      <c r="M377" s="2" t="str">
        <f>TEXT(IFERROR(VLOOKUP(CONCATENATE(C377,D377),qdd!$C$2:$G$1000,5,FALSE),""),0)</f>
        <v/>
      </c>
      <c r="N377" s="2" t="str">
        <f>IFERROR(IF('PREENCHER AQUI'!I377="","",'PREENCHER AQUI'!I377),"")</f>
        <v/>
      </c>
      <c r="O377" s="2" t="str">
        <f>IFERROR(IF('PREENCHER AQUI'!J377="","",'PREENCHER AQUI'!J377),"")</f>
        <v/>
      </c>
      <c r="P377" s="7" t="str">
        <f t="shared" si="13"/>
        <v/>
      </c>
      <c r="Q377" s="8" t="str">
        <f>IFERROR(IF(Tabela4[[#This Row],[VALOR]]="","",IF(Tabela1[[#This Row],[ORIENTACAO]]="Anular",'PREENCHER AQUI'!K377*-1*100,'PREENCHER AQUI'!K377*100)),"")</f>
        <v/>
      </c>
      <c r="T377" s="7" t="str">
        <f>IFERROR(IF('PREENCHER AQUI'!L377="","999",LEFT('PREENCHER AQUI'!L377,1)),"")</f>
        <v>999</v>
      </c>
      <c r="W377" s="1" t="str">
        <f>IFERROR(VLOOKUP(Tabela1[[#This Row],[UO_COD]],qdd!$AT$1:$AU$102,2,FALSE),"")</f>
        <v/>
      </c>
      <c r="X377" s="1" t="str">
        <f>CONCATENATE("F",Tabela1[[#This Row],[FONTE_COD]],Tabela1[[#This Row],[IPU_COD]],"G",Tabela1[[#This Row],[GRUPO_COD]],"T",Tabela1[[#This Row],[TIPO]])</f>
        <v>FGT999</v>
      </c>
      <c r="Y3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7" s="19"/>
      <c r="AA377" s="29" t="str">
        <f>IFERROR(VLOOKUP(CONCATENATE("B",Tabela1[[#This Row],[BLOCO]],Tabela1[[#This Row],[UO_COD]]),qdd!$AW$2:$AX$1000,2,FALSE),"")</f>
        <v/>
      </c>
      <c r="AB377" s="30" t="str">
        <f>IFERROR(Tabela1[[#This Row],[VALOR]]/100,"")</f>
        <v/>
      </c>
      <c r="AC377" s="7" t="str" cm="1">
        <f t="array" aca="1" ref="AC377" ca="1">IF(Tabela1[[#This Row],[VALOR]]&lt;0,"",IFERROR(SUBSTITUTE(Converter_numero(Tabela1[[#This Row],[VALOR INCISO]]),",",""),""))</f>
        <v/>
      </c>
      <c r="AD377" s="7" t="str">
        <f>IF(Tabela1[[#This Row],[TIPO]]=REGRAS!$W$2,REGRAS!$X$2,IF(Tabela1[[#This Row],[TIPO]]=REGRAS!$W$4,REGRAS!$X$4,""))</f>
        <v/>
      </c>
      <c r="AE377" s="29" t="e">
        <f>VLOOKUP(Tabela1[[#This Row],[FONTE_COD]],REGRAS!$O$2:$P$69,2,FALSE)</f>
        <v>#N/A</v>
      </c>
      <c r="AF3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8" spans="1:32" ht="18.75" customHeight="1">
      <c r="A378" s="2" t="str">
        <f>IFERROR(IF('PREENCHER AQUI'!A378="","",'PREENCHER AQUI'!A378),"")</f>
        <v/>
      </c>
      <c r="B378" s="1" t="str">
        <f>IFERROR(IF('PREENCHER AQUI'!B378="","",PROPER('PREENCHER AQUI'!B378)),"")</f>
        <v/>
      </c>
      <c r="C378" s="1" t="str">
        <f>IFERROR(IF('PREENCHER AQUI'!C378="","",'PREENCHER AQUI'!C378),"")</f>
        <v/>
      </c>
      <c r="D378" s="2" t="str">
        <f>IFERROR(IF('PREENCHER AQUI'!D378="","",'PREENCHER AQUI'!D378),"")</f>
        <v/>
      </c>
      <c r="E378" s="2" t="str">
        <f>IFERROR(VLOOKUP(CONCATENATE(C378,D378),qdd!$C$2:$F$1000,2,FALSE),"")</f>
        <v/>
      </c>
      <c r="F378" s="2" t="str">
        <f>IFERROR(VLOOKUP(CONCATENATE(C378,D378),qdd!$C$2:$F$1000,3,FALSE),"")</f>
        <v/>
      </c>
      <c r="G378" s="2" t="str">
        <f>IFERROR(VLOOKUP(CONCATENATE(C378,D378),qdd!$C$2:$F$1000,4,FALSE),"")</f>
        <v/>
      </c>
      <c r="H378" s="6" t="str">
        <f t="shared" si="12"/>
        <v/>
      </c>
      <c r="I3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8" s="2" t="str">
        <f>IFERROR(IF('PREENCHER AQUI'!E378="","",'PREENCHER AQUI'!E378),"")</f>
        <v/>
      </c>
      <c r="K378" s="2" t="str">
        <f>IFERROR(IF('PREENCHER AQUI'!F378="","",'PREENCHER AQUI'!F378),"")</f>
        <v/>
      </c>
      <c r="L378" s="2" t="str">
        <f>IF(Tabela1[[#This Row],[IPU_COD]]=9,"91",IF(Tabela1[[#This Row],[ACAO_COD]]="","",VLOOKUP(CONCATENATE("G",J378,"M",K378),qdd!$BC$2:$BD$46,2,FALSE)))</f>
        <v/>
      </c>
      <c r="M378" s="2" t="str">
        <f>TEXT(IFERROR(VLOOKUP(CONCATENATE(C378,D378),qdd!$C$2:$G$1000,5,FALSE),""),0)</f>
        <v/>
      </c>
      <c r="N378" s="2" t="str">
        <f>IFERROR(IF('PREENCHER AQUI'!I378="","",'PREENCHER AQUI'!I378),"")</f>
        <v/>
      </c>
      <c r="O378" s="2" t="str">
        <f>IFERROR(IF('PREENCHER AQUI'!J378="","",'PREENCHER AQUI'!J378),"")</f>
        <v/>
      </c>
      <c r="P378" s="7" t="str">
        <f t="shared" si="13"/>
        <v/>
      </c>
      <c r="Q378" s="8" t="str">
        <f>IFERROR(IF(Tabela4[[#This Row],[VALOR]]="","",IF(Tabela1[[#This Row],[ORIENTACAO]]="Anular",'PREENCHER AQUI'!K378*-1*100,'PREENCHER AQUI'!K378*100)),"")</f>
        <v/>
      </c>
      <c r="T378" s="7" t="str">
        <f>IFERROR(IF('PREENCHER AQUI'!L378="","999",LEFT('PREENCHER AQUI'!L378,1)),"")</f>
        <v>999</v>
      </c>
      <c r="V378" s="19"/>
      <c r="W378" s="1" t="str">
        <f>IFERROR(VLOOKUP(Tabela1[[#This Row],[UO_COD]],qdd!$AT$1:$AU$102,2,FALSE),"")</f>
        <v/>
      </c>
      <c r="X378" s="1" t="str">
        <f>CONCATENATE("F",Tabela1[[#This Row],[FONTE_COD]],Tabela1[[#This Row],[IPU_COD]],"G",Tabela1[[#This Row],[GRUPO_COD]],"T",Tabela1[[#This Row],[TIPO]])</f>
        <v>FGT999</v>
      </c>
      <c r="Y3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8" s="19"/>
      <c r="AA378" s="29" t="str">
        <f>IFERROR(VLOOKUP(CONCATENATE("B",Tabela1[[#This Row],[BLOCO]],Tabela1[[#This Row],[UO_COD]]),qdd!$AW$2:$AX$1000,2,FALSE),"")</f>
        <v/>
      </c>
      <c r="AB378" s="30" t="str">
        <f>IFERROR(Tabela1[[#This Row],[VALOR]]/100,"")</f>
        <v/>
      </c>
      <c r="AC378" s="7" t="str" cm="1">
        <f t="array" aca="1" ref="AC378" ca="1">IF(Tabela1[[#This Row],[VALOR]]&lt;0,"",IFERROR(SUBSTITUTE(Converter_numero(Tabela1[[#This Row],[VALOR INCISO]]),",",""),""))</f>
        <v/>
      </c>
      <c r="AD378" s="29" t="str">
        <f>IF(Tabela1[[#This Row],[TIPO]]=REGRAS!$W$2,REGRAS!$X$2,IF(Tabela1[[#This Row],[TIPO]]=REGRAS!$W$4,REGRAS!$X$4,""))</f>
        <v/>
      </c>
      <c r="AE378" s="29" t="e">
        <f>VLOOKUP(Tabela1[[#This Row],[FONTE_COD]],REGRAS!$O$2:$P$69,2,FALSE)</f>
        <v>#N/A</v>
      </c>
      <c r="AF3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9" spans="1:32" ht="18.75" customHeight="1">
      <c r="A379" s="2" t="str">
        <f>IFERROR(IF('PREENCHER AQUI'!A379="","",'PREENCHER AQUI'!A379),"")</f>
        <v/>
      </c>
      <c r="B379" s="1" t="str">
        <f>IFERROR(IF('PREENCHER AQUI'!B379="","",PROPER('PREENCHER AQUI'!B379)),"")</f>
        <v/>
      </c>
      <c r="C379" s="1" t="str">
        <f>IFERROR(IF('PREENCHER AQUI'!C379="","",'PREENCHER AQUI'!C379),"")</f>
        <v/>
      </c>
      <c r="D379" s="2" t="str">
        <f>IFERROR(IF('PREENCHER AQUI'!D379="","",'PREENCHER AQUI'!D379),"")</f>
        <v/>
      </c>
      <c r="E379" s="2" t="str">
        <f>IFERROR(VLOOKUP(CONCATENATE(C379,D379),qdd!$C$2:$F$1000,2,FALSE),"")</f>
        <v/>
      </c>
      <c r="F379" s="2" t="str">
        <f>IFERROR(VLOOKUP(CONCATENATE(C379,D379),qdd!$C$2:$F$1000,3,FALSE),"")</f>
        <v/>
      </c>
      <c r="G379" s="2" t="str">
        <f>IFERROR(VLOOKUP(CONCATENATE(C379,D379),qdd!$C$2:$F$1000,4,FALSE),"")</f>
        <v/>
      </c>
      <c r="H379" s="6" t="str">
        <f t="shared" si="12"/>
        <v/>
      </c>
      <c r="I3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9" s="2" t="str">
        <f>IFERROR(IF('PREENCHER AQUI'!E379="","",'PREENCHER AQUI'!E379),"")</f>
        <v/>
      </c>
      <c r="K379" s="2" t="str">
        <f>IFERROR(IF('PREENCHER AQUI'!F379="","",'PREENCHER AQUI'!F379),"")</f>
        <v/>
      </c>
      <c r="L379" s="2" t="str">
        <f>IF(Tabela1[[#This Row],[IPU_COD]]=9,"91",IF(Tabela1[[#This Row],[ACAO_COD]]="","",VLOOKUP(CONCATENATE("G",J379,"M",K379),qdd!$BC$2:$BD$46,2,FALSE)))</f>
        <v/>
      </c>
      <c r="M379" s="2" t="str">
        <f>TEXT(IFERROR(VLOOKUP(CONCATENATE(C379,D379),qdd!$C$2:$G$1000,5,FALSE),""),0)</f>
        <v/>
      </c>
      <c r="N379" s="2" t="str">
        <f>IFERROR(IF('PREENCHER AQUI'!I379="","",'PREENCHER AQUI'!I379),"")</f>
        <v/>
      </c>
      <c r="O379" s="2" t="str">
        <f>IFERROR(IF('PREENCHER AQUI'!J379="","",'PREENCHER AQUI'!J379),"")</f>
        <v/>
      </c>
      <c r="P379" s="7" t="str">
        <f t="shared" si="13"/>
        <v/>
      </c>
      <c r="Q379" s="8" t="str">
        <f>IFERROR(IF(Tabela4[[#This Row],[VALOR]]="","",IF(Tabela1[[#This Row],[ORIENTACAO]]="Anular",'PREENCHER AQUI'!K379*-1*100,'PREENCHER AQUI'!K379*100)),"")</f>
        <v/>
      </c>
      <c r="T379" s="7" t="str">
        <f>IFERROR(IF('PREENCHER AQUI'!L379="","999",LEFT('PREENCHER AQUI'!L379,1)),"")</f>
        <v>999</v>
      </c>
      <c r="V379" s="19"/>
      <c r="W379" s="1" t="str">
        <f>IFERROR(VLOOKUP(Tabela1[[#This Row],[UO_COD]],qdd!$AT$1:$AU$102,2,FALSE),"")</f>
        <v/>
      </c>
      <c r="X379" s="1" t="str">
        <f>CONCATENATE("F",Tabela1[[#This Row],[FONTE_COD]],Tabela1[[#This Row],[IPU_COD]],"G",Tabela1[[#This Row],[GRUPO_COD]],"T",Tabela1[[#This Row],[TIPO]])</f>
        <v>FGT999</v>
      </c>
      <c r="Y3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9" s="19"/>
      <c r="AA379" s="29" t="str">
        <f>IFERROR(VLOOKUP(CONCATENATE("B",Tabela1[[#This Row],[BLOCO]],Tabela1[[#This Row],[UO_COD]]),qdd!$AW$2:$AX$1000,2,FALSE),"")</f>
        <v/>
      </c>
      <c r="AB379" s="30" t="str">
        <f>IFERROR(Tabela1[[#This Row],[VALOR]]/100,"")</f>
        <v/>
      </c>
      <c r="AC379" s="7" t="str" cm="1">
        <f t="array" aca="1" ref="AC379" ca="1">IF(Tabela1[[#This Row],[VALOR]]&lt;0,"",IFERROR(SUBSTITUTE(Converter_numero(Tabela1[[#This Row],[VALOR INCISO]]),",",""),""))</f>
        <v/>
      </c>
      <c r="AD379" s="29" t="str">
        <f>IF(Tabela1[[#This Row],[TIPO]]=REGRAS!$W$2,REGRAS!$X$2,IF(Tabela1[[#This Row],[TIPO]]=REGRAS!$W$4,REGRAS!$X$4,""))</f>
        <v/>
      </c>
      <c r="AE379" s="29" t="e">
        <f>VLOOKUP(Tabela1[[#This Row],[FONTE_COD]],REGRAS!$O$2:$P$69,2,FALSE)</f>
        <v>#N/A</v>
      </c>
      <c r="AF3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0" spans="1:32" ht="18.75" customHeight="1">
      <c r="A380" s="2" t="str">
        <f>IFERROR(IF('PREENCHER AQUI'!A380="","",'PREENCHER AQUI'!A380),"")</f>
        <v/>
      </c>
      <c r="B380" s="1" t="str">
        <f>IFERROR(IF('PREENCHER AQUI'!B380="","",PROPER('PREENCHER AQUI'!B380)),"")</f>
        <v/>
      </c>
      <c r="C380" s="1" t="str">
        <f>IFERROR(IF('PREENCHER AQUI'!C380="","",'PREENCHER AQUI'!C380),"")</f>
        <v/>
      </c>
      <c r="D380" s="2" t="str">
        <f>IFERROR(IF('PREENCHER AQUI'!D380="","",'PREENCHER AQUI'!D380),"")</f>
        <v/>
      </c>
      <c r="E380" s="2" t="str">
        <f>IFERROR(VLOOKUP(CONCATENATE(C380,D380),qdd!$C$2:$F$1000,2,FALSE),"")</f>
        <v/>
      </c>
      <c r="F380" s="2" t="str">
        <f>IFERROR(VLOOKUP(CONCATENATE(C380,D380),qdd!$C$2:$F$1000,3,FALSE),"")</f>
        <v/>
      </c>
      <c r="G380" s="2" t="str">
        <f>IFERROR(VLOOKUP(CONCATENATE(C380,D380),qdd!$C$2:$F$1000,4,FALSE),"")</f>
        <v/>
      </c>
      <c r="H380" s="6" t="str">
        <f t="shared" si="12"/>
        <v/>
      </c>
      <c r="I3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0" s="2" t="str">
        <f>IFERROR(IF('PREENCHER AQUI'!E380="","",'PREENCHER AQUI'!E380),"")</f>
        <v/>
      </c>
      <c r="K380" s="2" t="str">
        <f>IFERROR(IF('PREENCHER AQUI'!F380="","",'PREENCHER AQUI'!F380),"")</f>
        <v/>
      </c>
      <c r="L380" s="2" t="str">
        <f>IF(Tabela1[[#This Row],[IPU_COD]]=9,"91",IF(Tabela1[[#This Row],[ACAO_COD]]="","",VLOOKUP(CONCATENATE("G",J380,"M",K380),qdd!$BC$2:$BD$46,2,FALSE)))</f>
        <v/>
      </c>
      <c r="M380" s="2" t="str">
        <f>TEXT(IFERROR(VLOOKUP(CONCATENATE(C380,D380),qdd!$C$2:$G$1000,5,FALSE),""),0)</f>
        <v/>
      </c>
      <c r="N380" s="2" t="str">
        <f>IFERROR(IF('PREENCHER AQUI'!I380="","",'PREENCHER AQUI'!I380),"")</f>
        <v/>
      </c>
      <c r="O380" s="2" t="str">
        <f>IFERROR(IF('PREENCHER AQUI'!J380="","",'PREENCHER AQUI'!J380),"")</f>
        <v/>
      </c>
      <c r="P380" s="7" t="str">
        <f t="shared" si="13"/>
        <v/>
      </c>
      <c r="Q380" s="8" t="str">
        <f>IFERROR(IF(Tabela4[[#This Row],[VALOR]]="","",IF(Tabela1[[#This Row],[ORIENTACAO]]="Anular",'PREENCHER AQUI'!K380*-1*100,'PREENCHER AQUI'!K380*100)),"")</f>
        <v/>
      </c>
      <c r="T380" s="7" t="str">
        <f>IFERROR(IF('PREENCHER AQUI'!L380="","999",LEFT('PREENCHER AQUI'!L380,1)),"")</f>
        <v>999</v>
      </c>
      <c r="V380" s="19"/>
      <c r="W380" s="20" t="str">
        <f>IFERROR(VLOOKUP(Tabela1[[#This Row],[UO_COD]],qdd!$AT$1:$AU$102,2,FALSE),"")</f>
        <v/>
      </c>
      <c r="X380" s="20" t="str">
        <f>CONCATENATE("F",Tabela1[[#This Row],[FONTE_COD]],Tabela1[[#This Row],[IPU_COD]],"G",Tabela1[[#This Row],[GRUPO_COD]],"T",Tabela1[[#This Row],[TIPO]])</f>
        <v>FGT999</v>
      </c>
      <c r="Y3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0" s="19"/>
      <c r="AA380" s="29" t="str">
        <f>IFERROR(VLOOKUP(CONCATENATE("B",Tabela1[[#This Row],[BLOCO]],Tabela1[[#This Row],[UO_COD]]),qdd!$AW$2:$AX$1000,2,FALSE),"")</f>
        <v/>
      </c>
      <c r="AB380" s="30" t="str">
        <f>IFERROR(Tabela1[[#This Row],[VALOR]]/100,"")</f>
        <v/>
      </c>
      <c r="AC380" s="7" t="str" cm="1">
        <f t="array" aca="1" ref="AC380" ca="1">IF(Tabela1[[#This Row],[VALOR]]&lt;0,"",IFERROR(SUBSTITUTE(Converter_numero(Tabela1[[#This Row],[VALOR INCISO]]),",",""),""))</f>
        <v/>
      </c>
      <c r="AD380" s="29" t="str">
        <f>IF(Tabela1[[#This Row],[TIPO]]=REGRAS!$W$2,REGRAS!$X$2,IF(Tabela1[[#This Row],[TIPO]]=REGRAS!$W$4,REGRAS!$X$4,""))</f>
        <v/>
      </c>
      <c r="AE380" s="29" t="e">
        <f>VLOOKUP(Tabela1[[#This Row],[FONTE_COD]],REGRAS!$O$2:$P$69,2,FALSE)</f>
        <v>#N/A</v>
      </c>
      <c r="AF3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1" spans="1:32" ht="18.75" customHeight="1">
      <c r="A381" s="2" t="str">
        <f>IFERROR(IF('PREENCHER AQUI'!A381="","",'PREENCHER AQUI'!A381),"")</f>
        <v/>
      </c>
      <c r="B381" s="1" t="str">
        <f>IFERROR(IF('PREENCHER AQUI'!B381="","",PROPER('PREENCHER AQUI'!B381)),"")</f>
        <v/>
      </c>
      <c r="C381" s="1" t="str">
        <f>IFERROR(IF('PREENCHER AQUI'!C381="","",'PREENCHER AQUI'!C381),"")</f>
        <v/>
      </c>
      <c r="D381" s="2" t="str">
        <f>IFERROR(IF('PREENCHER AQUI'!D381="","",'PREENCHER AQUI'!D381),"")</f>
        <v/>
      </c>
      <c r="E381" s="2" t="str">
        <f>IFERROR(VLOOKUP(CONCATENATE(C381,D381),qdd!$C$2:$F$1000,2,FALSE),"")</f>
        <v/>
      </c>
      <c r="F381" s="2" t="str">
        <f>IFERROR(VLOOKUP(CONCATENATE(C381,D381),qdd!$C$2:$F$1000,3,FALSE),"")</f>
        <v/>
      </c>
      <c r="G381" s="2" t="str">
        <f>IFERROR(VLOOKUP(CONCATENATE(C381,D381),qdd!$C$2:$F$1000,4,FALSE),"")</f>
        <v/>
      </c>
      <c r="H381" s="6" t="str">
        <f t="shared" si="12"/>
        <v/>
      </c>
      <c r="I3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1" s="2" t="str">
        <f>IFERROR(IF('PREENCHER AQUI'!E381="","",'PREENCHER AQUI'!E381),"")</f>
        <v/>
      </c>
      <c r="K381" s="2" t="str">
        <f>IFERROR(IF('PREENCHER AQUI'!F381="","",'PREENCHER AQUI'!F381),"")</f>
        <v/>
      </c>
      <c r="L381" s="2" t="str">
        <f>IF(Tabela1[[#This Row],[IPU_COD]]=9,"91",IF(Tabela1[[#This Row],[ACAO_COD]]="","",VLOOKUP(CONCATENATE("G",J381,"M",K381),qdd!$BC$2:$BD$46,2,FALSE)))</f>
        <v/>
      </c>
      <c r="M381" s="2" t="str">
        <f>TEXT(IFERROR(VLOOKUP(CONCATENATE(C381,D381),qdd!$C$2:$G$1000,5,FALSE),""),0)</f>
        <v/>
      </c>
      <c r="N381" s="2" t="str">
        <f>IFERROR(IF('PREENCHER AQUI'!I381="","",'PREENCHER AQUI'!I381),"")</f>
        <v/>
      </c>
      <c r="O381" s="2" t="str">
        <f>IFERROR(IF('PREENCHER AQUI'!J381="","",'PREENCHER AQUI'!J381),"")</f>
        <v/>
      </c>
      <c r="P381" s="7" t="str">
        <f t="shared" si="13"/>
        <v/>
      </c>
      <c r="Q381" s="8" t="str">
        <f>IFERROR(IF(Tabela4[[#This Row],[VALOR]]="","",IF(Tabela1[[#This Row],[ORIENTACAO]]="Anular",'PREENCHER AQUI'!K381*-1*100,'PREENCHER AQUI'!K381*100)),"")</f>
        <v/>
      </c>
      <c r="T381" s="7" t="str">
        <f>IFERROR(IF('PREENCHER AQUI'!L381="","999",LEFT('PREENCHER AQUI'!L381,1)),"")</f>
        <v>999</v>
      </c>
      <c r="V381" s="19"/>
      <c r="W381" s="1" t="str">
        <f>IFERROR(VLOOKUP(Tabela1[[#This Row],[UO_COD]],qdd!$AT$1:$AU$102,2,FALSE),"")</f>
        <v/>
      </c>
      <c r="X381" s="1" t="str">
        <f>CONCATENATE("F",Tabela1[[#This Row],[FONTE_COD]],Tabela1[[#This Row],[IPU_COD]],"G",Tabela1[[#This Row],[GRUPO_COD]],"T",Tabela1[[#This Row],[TIPO]])</f>
        <v>FGT999</v>
      </c>
      <c r="Y3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1" s="19"/>
      <c r="AA381" s="29" t="str">
        <f>IFERROR(VLOOKUP(CONCATENATE("B",Tabela1[[#This Row],[BLOCO]],Tabela1[[#This Row],[UO_COD]]),qdd!$AW$2:$AX$1000,2,FALSE),"")</f>
        <v/>
      </c>
      <c r="AB381" s="30" t="str">
        <f>IFERROR(Tabela1[[#This Row],[VALOR]]/100,"")</f>
        <v/>
      </c>
      <c r="AC381" s="7" t="str" cm="1">
        <f t="array" aca="1" ref="AC381" ca="1">IF(Tabela1[[#This Row],[VALOR]]&lt;0,"",IFERROR(SUBSTITUTE(Converter_numero(Tabela1[[#This Row],[VALOR INCISO]]),",",""),""))</f>
        <v/>
      </c>
      <c r="AD381" s="29" t="str">
        <f>IF(Tabela1[[#This Row],[TIPO]]=REGRAS!$W$2,REGRAS!$X$2,IF(Tabela1[[#This Row],[TIPO]]=REGRAS!$W$4,REGRAS!$X$4,""))</f>
        <v/>
      </c>
      <c r="AE381" s="29" t="e">
        <f>VLOOKUP(Tabela1[[#This Row],[FONTE_COD]],REGRAS!$O$2:$P$69,2,FALSE)</f>
        <v>#N/A</v>
      </c>
      <c r="AF3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2" spans="1:32" ht="18.75" customHeight="1">
      <c r="A382" s="2" t="str">
        <f>IFERROR(IF('PREENCHER AQUI'!A382="","",'PREENCHER AQUI'!A382),"")</f>
        <v/>
      </c>
      <c r="B382" s="1" t="str">
        <f>IFERROR(IF('PREENCHER AQUI'!B382="","",PROPER('PREENCHER AQUI'!B382)),"")</f>
        <v/>
      </c>
      <c r="C382" s="1" t="str">
        <f>IFERROR(IF('PREENCHER AQUI'!C382="","",'PREENCHER AQUI'!C382),"")</f>
        <v/>
      </c>
      <c r="D382" s="2" t="str">
        <f>IFERROR(IF('PREENCHER AQUI'!D382="","",'PREENCHER AQUI'!D382),"")</f>
        <v/>
      </c>
      <c r="E382" s="2" t="str">
        <f>IFERROR(VLOOKUP(CONCATENATE(C382,D382),qdd!$C$2:$F$1000,2,FALSE),"")</f>
        <v/>
      </c>
      <c r="F382" s="2" t="str">
        <f>IFERROR(VLOOKUP(CONCATENATE(C382,D382),qdd!$C$2:$F$1000,3,FALSE),"")</f>
        <v/>
      </c>
      <c r="G382" s="2" t="str">
        <f>IFERROR(VLOOKUP(CONCATENATE(C382,D382),qdd!$C$2:$F$1000,4,FALSE),"")</f>
        <v/>
      </c>
      <c r="H382" s="6" t="str">
        <f t="shared" si="12"/>
        <v/>
      </c>
      <c r="I3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2" s="2" t="str">
        <f>IFERROR(IF('PREENCHER AQUI'!E382="","",'PREENCHER AQUI'!E382),"")</f>
        <v/>
      </c>
      <c r="K382" s="2" t="str">
        <f>IFERROR(IF('PREENCHER AQUI'!F382="","",'PREENCHER AQUI'!F382),"")</f>
        <v/>
      </c>
      <c r="L382" s="2" t="str">
        <f>IF(Tabela1[[#This Row],[IPU_COD]]=9,"91",IF(Tabela1[[#This Row],[ACAO_COD]]="","",VLOOKUP(CONCATENATE("G",J382,"M",K382),qdd!$BC$2:$BD$46,2,FALSE)))</f>
        <v/>
      </c>
      <c r="M382" s="2" t="str">
        <f>TEXT(IFERROR(VLOOKUP(CONCATENATE(C382,D382),qdd!$C$2:$G$1000,5,FALSE),""),0)</f>
        <v/>
      </c>
      <c r="N382" s="2" t="str">
        <f>IFERROR(IF('PREENCHER AQUI'!I382="","",'PREENCHER AQUI'!I382),"")</f>
        <v/>
      </c>
      <c r="O382" s="2" t="str">
        <f>IFERROR(IF('PREENCHER AQUI'!J382="","",'PREENCHER AQUI'!J382),"")</f>
        <v/>
      </c>
      <c r="P382" s="7" t="str">
        <f t="shared" si="13"/>
        <v/>
      </c>
      <c r="Q382" s="8" t="str">
        <f>IFERROR(IF(Tabela4[[#This Row],[VALOR]]="","",IF(Tabela1[[#This Row],[ORIENTACAO]]="Anular",'PREENCHER AQUI'!K382*-1*100,'PREENCHER AQUI'!K382*100)),"")</f>
        <v/>
      </c>
      <c r="T382" s="7" t="str">
        <f>IFERROR(IF('PREENCHER AQUI'!L382="","999",LEFT('PREENCHER AQUI'!L382,1)),"")</f>
        <v>999</v>
      </c>
      <c r="W382" s="1" t="str">
        <f>IFERROR(VLOOKUP(Tabela1[[#This Row],[UO_COD]],qdd!$AT$1:$AU$102,2,FALSE),"")</f>
        <v/>
      </c>
      <c r="X382" s="1" t="str">
        <f>CONCATENATE("F",Tabela1[[#This Row],[FONTE_COD]],Tabela1[[#This Row],[IPU_COD]],"G",Tabela1[[#This Row],[GRUPO_COD]],"T",Tabela1[[#This Row],[TIPO]])</f>
        <v>FGT999</v>
      </c>
      <c r="Y3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2" s="19"/>
      <c r="AA382" s="29" t="str">
        <f>IFERROR(VLOOKUP(CONCATENATE("B",Tabela1[[#This Row],[BLOCO]],Tabela1[[#This Row],[UO_COD]]),qdd!$AW$2:$AX$1000,2,FALSE),"")</f>
        <v/>
      </c>
      <c r="AB382" s="30" t="str">
        <f>IFERROR(Tabela1[[#This Row],[VALOR]]/100,"")</f>
        <v/>
      </c>
      <c r="AC382" s="7" t="str" cm="1">
        <f t="array" aca="1" ref="AC382" ca="1">IF(Tabela1[[#This Row],[VALOR]]&lt;0,"",IFERROR(SUBSTITUTE(Converter_numero(Tabela1[[#This Row],[VALOR INCISO]]),",",""),""))</f>
        <v/>
      </c>
      <c r="AD382" s="7" t="str">
        <f>IF(Tabela1[[#This Row],[TIPO]]=REGRAS!$W$2,REGRAS!$X$2,IF(Tabela1[[#This Row],[TIPO]]=REGRAS!$W$4,REGRAS!$X$4,""))</f>
        <v/>
      </c>
      <c r="AE382" s="29" t="e">
        <f>VLOOKUP(Tabela1[[#This Row],[FONTE_COD]],REGRAS!$O$2:$P$69,2,FALSE)</f>
        <v>#N/A</v>
      </c>
      <c r="AF3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3" spans="1:32" ht="18.75" customHeight="1">
      <c r="A383" s="2" t="str">
        <f>IFERROR(IF('PREENCHER AQUI'!A383="","",'PREENCHER AQUI'!A383),"")</f>
        <v/>
      </c>
      <c r="B383" s="1" t="str">
        <f>IFERROR(IF('PREENCHER AQUI'!B383="","",PROPER('PREENCHER AQUI'!B383)),"")</f>
        <v/>
      </c>
      <c r="C383" s="1" t="str">
        <f>IFERROR(IF('PREENCHER AQUI'!C383="","",'PREENCHER AQUI'!C383),"")</f>
        <v/>
      </c>
      <c r="D383" s="2" t="str">
        <f>IFERROR(IF('PREENCHER AQUI'!D383="","",'PREENCHER AQUI'!D383),"")</f>
        <v/>
      </c>
      <c r="E383" s="2" t="str">
        <f>IFERROR(VLOOKUP(CONCATENATE(C383,D383),qdd!$C$2:$F$1000,2,FALSE),"")</f>
        <v/>
      </c>
      <c r="F383" s="2" t="str">
        <f>IFERROR(VLOOKUP(CONCATENATE(C383,D383),qdd!$C$2:$F$1000,3,FALSE),"")</f>
        <v/>
      </c>
      <c r="G383" s="2" t="str">
        <f>IFERROR(VLOOKUP(CONCATENATE(C383,D383),qdd!$C$2:$F$1000,4,FALSE),"")</f>
        <v/>
      </c>
      <c r="H383" s="6" t="str">
        <f t="shared" si="12"/>
        <v/>
      </c>
      <c r="I3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3" s="2" t="str">
        <f>IFERROR(IF('PREENCHER AQUI'!E383="","",'PREENCHER AQUI'!E383),"")</f>
        <v/>
      </c>
      <c r="K383" s="2" t="str">
        <f>IFERROR(IF('PREENCHER AQUI'!F383="","",'PREENCHER AQUI'!F383),"")</f>
        <v/>
      </c>
      <c r="L383" s="2" t="str">
        <f>IF(Tabela1[[#This Row],[IPU_COD]]=9,"91",IF(Tabela1[[#This Row],[ACAO_COD]]="","",VLOOKUP(CONCATENATE("G",J383,"M",K383),qdd!$BC$2:$BD$46,2,FALSE)))</f>
        <v/>
      </c>
      <c r="M383" s="2" t="str">
        <f>TEXT(IFERROR(VLOOKUP(CONCATENATE(C383,D383),qdd!$C$2:$G$1000,5,FALSE),""),0)</f>
        <v/>
      </c>
      <c r="N383" s="2" t="str">
        <f>IFERROR(IF('PREENCHER AQUI'!I383="","",'PREENCHER AQUI'!I383),"")</f>
        <v/>
      </c>
      <c r="O383" s="2" t="str">
        <f>IFERROR(IF('PREENCHER AQUI'!J383="","",'PREENCHER AQUI'!J383),"")</f>
        <v/>
      </c>
      <c r="P383" s="7" t="str">
        <f t="shared" si="13"/>
        <v/>
      </c>
      <c r="Q383" s="8" t="str">
        <f>IFERROR(IF(Tabela4[[#This Row],[VALOR]]="","",IF(Tabela1[[#This Row],[ORIENTACAO]]="Anular",'PREENCHER AQUI'!K383*-1*100,'PREENCHER AQUI'!K383*100)),"")</f>
        <v/>
      </c>
      <c r="T383" s="7" t="str">
        <f>IFERROR(IF('PREENCHER AQUI'!L383="","999",LEFT('PREENCHER AQUI'!L383,1)),"")</f>
        <v>999</v>
      </c>
      <c r="V383" s="19"/>
      <c r="W383" s="1" t="str">
        <f>IFERROR(VLOOKUP(Tabela1[[#This Row],[UO_COD]],qdd!$AT$1:$AU$102,2,FALSE),"")</f>
        <v/>
      </c>
      <c r="X383" s="1" t="str">
        <f>CONCATENATE("F",Tabela1[[#This Row],[FONTE_COD]],Tabela1[[#This Row],[IPU_COD]],"G",Tabela1[[#This Row],[GRUPO_COD]],"T",Tabela1[[#This Row],[TIPO]])</f>
        <v>FGT999</v>
      </c>
      <c r="Y3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3" s="19"/>
      <c r="AA383" s="29" t="str">
        <f>IFERROR(VLOOKUP(CONCATENATE("B",Tabela1[[#This Row],[BLOCO]],Tabela1[[#This Row],[UO_COD]]),qdd!$AW$2:$AX$1000,2,FALSE),"")</f>
        <v/>
      </c>
      <c r="AB383" s="30" t="str">
        <f>IFERROR(Tabela1[[#This Row],[VALOR]]/100,"")</f>
        <v/>
      </c>
      <c r="AC383" s="7" t="str" cm="1">
        <f t="array" aca="1" ref="AC383" ca="1">IF(Tabela1[[#This Row],[VALOR]]&lt;0,"",IFERROR(SUBSTITUTE(Converter_numero(Tabela1[[#This Row],[VALOR INCISO]]),",",""),""))</f>
        <v/>
      </c>
      <c r="AD383" s="29" t="str">
        <f>IF(Tabela1[[#This Row],[TIPO]]=REGRAS!$W$2,REGRAS!$X$2,IF(Tabela1[[#This Row],[TIPO]]=REGRAS!$W$4,REGRAS!$X$4,""))</f>
        <v/>
      </c>
      <c r="AE383" s="29" t="e">
        <f>VLOOKUP(Tabela1[[#This Row],[FONTE_COD]],REGRAS!$O$2:$P$69,2,FALSE)</f>
        <v>#N/A</v>
      </c>
      <c r="AF3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4" spans="1:32" ht="18.75" customHeight="1">
      <c r="A384" s="2" t="str">
        <f>IFERROR(IF('PREENCHER AQUI'!A384="","",'PREENCHER AQUI'!A384),"")</f>
        <v/>
      </c>
      <c r="B384" s="1" t="str">
        <f>IFERROR(IF('PREENCHER AQUI'!B384="","",PROPER('PREENCHER AQUI'!B384)),"")</f>
        <v/>
      </c>
      <c r="C384" s="1" t="str">
        <f>IFERROR(IF('PREENCHER AQUI'!C384="","",'PREENCHER AQUI'!C384),"")</f>
        <v/>
      </c>
      <c r="D384" s="2" t="str">
        <f>IFERROR(IF('PREENCHER AQUI'!D384="","",'PREENCHER AQUI'!D384),"")</f>
        <v/>
      </c>
      <c r="E384" s="2" t="str">
        <f>IFERROR(VLOOKUP(CONCATENATE(C384,D384),qdd!$C$2:$F$1000,2,FALSE),"")</f>
        <v/>
      </c>
      <c r="F384" s="2" t="str">
        <f>IFERROR(VLOOKUP(CONCATENATE(C384,D384),qdd!$C$2:$F$1000,3,FALSE),"")</f>
        <v/>
      </c>
      <c r="G384" s="2" t="str">
        <f>IFERROR(VLOOKUP(CONCATENATE(C384,D384),qdd!$C$2:$F$1000,4,FALSE),"")</f>
        <v/>
      </c>
      <c r="H384" s="6" t="str">
        <f t="shared" si="12"/>
        <v/>
      </c>
      <c r="I3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4" s="2" t="str">
        <f>IFERROR(IF('PREENCHER AQUI'!E384="","",'PREENCHER AQUI'!E384),"")</f>
        <v/>
      </c>
      <c r="K384" s="2" t="str">
        <f>IFERROR(IF('PREENCHER AQUI'!F384="","",'PREENCHER AQUI'!F384),"")</f>
        <v/>
      </c>
      <c r="L384" s="2" t="str">
        <f>IF(Tabela1[[#This Row],[IPU_COD]]=9,"91",IF(Tabela1[[#This Row],[ACAO_COD]]="","",VLOOKUP(CONCATENATE("G",J384,"M",K384),qdd!$BC$2:$BD$46,2,FALSE)))</f>
        <v/>
      </c>
      <c r="M384" s="2" t="str">
        <f>TEXT(IFERROR(VLOOKUP(CONCATENATE(C384,D384),qdd!$C$2:$G$1000,5,FALSE),""),0)</f>
        <v/>
      </c>
      <c r="N384" s="2" t="str">
        <f>IFERROR(IF('PREENCHER AQUI'!I384="","",'PREENCHER AQUI'!I384),"")</f>
        <v/>
      </c>
      <c r="O384" s="2" t="str">
        <f>IFERROR(IF('PREENCHER AQUI'!J384="","",'PREENCHER AQUI'!J384),"")</f>
        <v/>
      </c>
      <c r="P384" s="7" t="str">
        <f t="shared" si="13"/>
        <v/>
      </c>
      <c r="Q384" s="8" t="str">
        <f>IFERROR(IF(Tabela4[[#This Row],[VALOR]]="","",IF(Tabela1[[#This Row],[ORIENTACAO]]="Anular",'PREENCHER AQUI'!K384*-1*100,'PREENCHER AQUI'!K384*100)),"")</f>
        <v/>
      </c>
      <c r="T384" s="7" t="str">
        <f>IFERROR(IF('PREENCHER AQUI'!L384="","999",LEFT('PREENCHER AQUI'!L384,1)),"")</f>
        <v>999</v>
      </c>
      <c r="V384" s="19"/>
      <c r="W384" s="1" t="str">
        <f>IFERROR(VLOOKUP(Tabela1[[#This Row],[UO_COD]],qdd!$AT$1:$AU$102,2,FALSE),"")</f>
        <v/>
      </c>
      <c r="X384" s="1" t="str">
        <f>CONCATENATE("F",Tabela1[[#This Row],[FONTE_COD]],Tabela1[[#This Row],[IPU_COD]],"G",Tabela1[[#This Row],[GRUPO_COD]],"T",Tabela1[[#This Row],[TIPO]])</f>
        <v>FGT999</v>
      </c>
      <c r="Y3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4" s="19"/>
      <c r="AA384" s="29" t="str">
        <f>IFERROR(VLOOKUP(CONCATENATE("B",Tabela1[[#This Row],[BLOCO]],Tabela1[[#This Row],[UO_COD]]),qdd!$AW$2:$AX$1000,2,FALSE),"")</f>
        <v/>
      </c>
      <c r="AB384" s="30" t="str">
        <f>IFERROR(Tabela1[[#This Row],[VALOR]]/100,"")</f>
        <v/>
      </c>
      <c r="AC384" s="7" t="str" cm="1">
        <f t="array" aca="1" ref="AC384" ca="1">IF(Tabela1[[#This Row],[VALOR]]&lt;0,"",IFERROR(SUBSTITUTE(Converter_numero(Tabela1[[#This Row],[VALOR INCISO]]),",",""),""))</f>
        <v/>
      </c>
      <c r="AD384" s="29" t="str">
        <f>IF(Tabela1[[#This Row],[TIPO]]=REGRAS!$W$2,REGRAS!$X$2,IF(Tabela1[[#This Row],[TIPO]]=REGRAS!$W$4,REGRAS!$X$4,""))</f>
        <v/>
      </c>
      <c r="AE384" s="29" t="e">
        <f>VLOOKUP(Tabela1[[#This Row],[FONTE_COD]],REGRAS!$O$2:$P$69,2,FALSE)</f>
        <v>#N/A</v>
      </c>
      <c r="AF3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5" spans="1:32" ht="18.75" customHeight="1">
      <c r="A385" s="2" t="str">
        <f>IFERROR(IF('PREENCHER AQUI'!A385="","",'PREENCHER AQUI'!A385),"")</f>
        <v/>
      </c>
      <c r="B385" s="1" t="str">
        <f>IFERROR(IF('PREENCHER AQUI'!B385="","",PROPER('PREENCHER AQUI'!B385)),"")</f>
        <v/>
      </c>
      <c r="C385" s="1" t="str">
        <f>IFERROR(IF('PREENCHER AQUI'!C385="","",'PREENCHER AQUI'!C385),"")</f>
        <v/>
      </c>
      <c r="D385" s="2" t="str">
        <f>IFERROR(IF('PREENCHER AQUI'!D385="","",'PREENCHER AQUI'!D385),"")</f>
        <v/>
      </c>
      <c r="E385" s="2" t="str">
        <f>IFERROR(VLOOKUP(CONCATENATE(C385,D385),qdd!$C$2:$F$1000,2,FALSE),"")</f>
        <v/>
      </c>
      <c r="F385" s="2" t="str">
        <f>IFERROR(VLOOKUP(CONCATENATE(C385,D385),qdd!$C$2:$F$1000,3,FALSE),"")</f>
        <v/>
      </c>
      <c r="G385" s="2" t="str">
        <f>IFERROR(VLOOKUP(CONCATENATE(C385,D385),qdd!$C$2:$F$1000,4,FALSE),"")</f>
        <v/>
      </c>
      <c r="H385" s="6" t="str">
        <f t="shared" si="12"/>
        <v/>
      </c>
      <c r="I3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5" s="2" t="str">
        <f>IFERROR(IF('PREENCHER AQUI'!E385="","",'PREENCHER AQUI'!E385),"")</f>
        <v/>
      </c>
      <c r="K385" s="2" t="str">
        <f>IFERROR(IF('PREENCHER AQUI'!F385="","",'PREENCHER AQUI'!F385),"")</f>
        <v/>
      </c>
      <c r="L385" s="2" t="str">
        <f>IF(Tabela1[[#This Row],[IPU_COD]]=9,"91",IF(Tabela1[[#This Row],[ACAO_COD]]="","",VLOOKUP(CONCATENATE("G",J385,"M",K385),qdd!$BC$2:$BD$46,2,FALSE)))</f>
        <v/>
      </c>
      <c r="M385" s="2" t="str">
        <f>TEXT(IFERROR(VLOOKUP(CONCATENATE(C385,D385),qdd!$C$2:$G$1000,5,FALSE),""),0)</f>
        <v/>
      </c>
      <c r="N385" s="2" t="str">
        <f>IFERROR(IF('PREENCHER AQUI'!I385="","",'PREENCHER AQUI'!I385),"")</f>
        <v/>
      </c>
      <c r="O385" s="2" t="str">
        <f>IFERROR(IF('PREENCHER AQUI'!J385="","",'PREENCHER AQUI'!J385),"")</f>
        <v/>
      </c>
      <c r="P385" s="7" t="str">
        <f t="shared" si="13"/>
        <v/>
      </c>
      <c r="Q385" s="8" t="str">
        <f>IFERROR(IF(Tabela4[[#This Row],[VALOR]]="","",IF(Tabela1[[#This Row],[ORIENTACAO]]="Anular",'PREENCHER AQUI'!K385*-1*100,'PREENCHER AQUI'!K385*100)),"")</f>
        <v/>
      </c>
      <c r="T385" s="7" t="str">
        <f>IFERROR(IF('PREENCHER AQUI'!L385="","999",LEFT('PREENCHER AQUI'!L385,1)),"")</f>
        <v>999</v>
      </c>
      <c r="V385" s="19"/>
      <c r="W385" s="20" t="str">
        <f>IFERROR(VLOOKUP(Tabela1[[#This Row],[UO_COD]],qdd!$AT$1:$AU$102,2,FALSE),"")</f>
        <v/>
      </c>
      <c r="X385" s="20" t="str">
        <f>CONCATENATE("F",Tabela1[[#This Row],[FONTE_COD]],Tabela1[[#This Row],[IPU_COD]],"G",Tabela1[[#This Row],[GRUPO_COD]],"T",Tabela1[[#This Row],[TIPO]])</f>
        <v>FGT999</v>
      </c>
      <c r="Y3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5" s="19"/>
      <c r="AA385" s="29" t="str">
        <f>IFERROR(VLOOKUP(CONCATENATE("B",Tabela1[[#This Row],[BLOCO]],Tabela1[[#This Row],[UO_COD]]),qdd!$AW$2:$AX$1000,2,FALSE),"")</f>
        <v/>
      </c>
      <c r="AB385" s="30" t="str">
        <f>IFERROR(Tabela1[[#This Row],[VALOR]]/100,"")</f>
        <v/>
      </c>
      <c r="AC385" s="7" t="str" cm="1">
        <f t="array" aca="1" ref="AC385" ca="1">IF(Tabela1[[#This Row],[VALOR]]&lt;0,"",IFERROR(SUBSTITUTE(Converter_numero(Tabela1[[#This Row],[VALOR INCISO]]),",",""),""))</f>
        <v/>
      </c>
      <c r="AD385" s="29" t="str">
        <f>IF(Tabela1[[#This Row],[TIPO]]=REGRAS!$W$2,REGRAS!$X$2,IF(Tabela1[[#This Row],[TIPO]]=REGRAS!$W$4,REGRAS!$X$4,""))</f>
        <v/>
      </c>
      <c r="AE385" s="29" t="e">
        <f>VLOOKUP(Tabela1[[#This Row],[FONTE_COD]],REGRAS!$O$2:$P$69,2,FALSE)</f>
        <v>#N/A</v>
      </c>
      <c r="AF3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6" spans="1:32" ht="18.75" customHeight="1">
      <c r="A386" s="2" t="str">
        <f>IFERROR(IF('PREENCHER AQUI'!A386="","",'PREENCHER AQUI'!A386),"")</f>
        <v/>
      </c>
      <c r="B386" s="1" t="str">
        <f>IFERROR(IF('PREENCHER AQUI'!B386="","",PROPER('PREENCHER AQUI'!B386)),"")</f>
        <v/>
      </c>
      <c r="C386" s="1" t="str">
        <f>IFERROR(IF('PREENCHER AQUI'!C386="","",'PREENCHER AQUI'!C386),"")</f>
        <v/>
      </c>
      <c r="D386" s="2" t="str">
        <f>IFERROR(IF('PREENCHER AQUI'!D386="","",'PREENCHER AQUI'!D386),"")</f>
        <v/>
      </c>
      <c r="E386" s="2" t="str">
        <f>IFERROR(VLOOKUP(CONCATENATE(C386,D386),qdd!$C$2:$F$1000,2,FALSE),"")</f>
        <v/>
      </c>
      <c r="F386" s="2" t="str">
        <f>IFERROR(VLOOKUP(CONCATENATE(C386,D386),qdd!$C$2:$F$1000,3,FALSE),"")</f>
        <v/>
      </c>
      <c r="G386" s="2" t="str">
        <f>IFERROR(VLOOKUP(CONCATENATE(C386,D386),qdd!$C$2:$F$1000,4,FALSE),"")</f>
        <v/>
      </c>
      <c r="H386" s="6" t="str">
        <f t="shared" si="12"/>
        <v/>
      </c>
      <c r="I3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6" s="2" t="str">
        <f>IFERROR(IF('PREENCHER AQUI'!E386="","",'PREENCHER AQUI'!E386),"")</f>
        <v/>
      </c>
      <c r="K386" s="2" t="str">
        <f>IFERROR(IF('PREENCHER AQUI'!F386="","",'PREENCHER AQUI'!F386),"")</f>
        <v/>
      </c>
      <c r="L386" s="2" t="str">
        <f>IF(Tabela1[[#This Row],[IPU_COD]]=9,"91",IF(Tabela1[[#This Row],[ACAO_COD]]="","",VLOOKUP(CONCATENATE("G",J386,"M",K386),qdd!$BC$2:$BD$46,2,FALSE)))</f>
        <v/>
      </c>
      <c r="M386" s="2" t="str">
        <f>TEXT(IFERROR(VLOOKUP(CONCATENATE(C386,D386),qdd!$C$2:$G$1000,5,FALSE),""),0)</f>
        <v/>
      </c>
      <c r="N386" s="2" t="str">
        <f>IFERROR(IF('PREENCHER AQUI'!I386="","",'PREENCHER AQUI'!I386),"")</f>
        <v/>
      </c>
      <c r="O386" s="2" t="str">
        <f>IFERROR(IF('PREENCHER AQUI'!J386="","",'PREENCHER AQUI'!J386),"")</f>
        <v/>
      </c>
      <c r="P386" s="7" t="str">
        <f t="shared" si="13"/>
        <v/>
      </c>
      <c r="Q386" s="8" t="str">
        <f>IFERROR(IF(Tabela4[[#This Row],[VALOR]]="","",IF(Tabela1[[#This Row],[ORIENTACAO]]="Anular",'PREENCHER AQUI'!K386*-1*100,'PREENCHER AQUI'!K386*100)),"")</f>
        <v/>
      </c>
      <c r="T386" s="7" t="str">
        <f>IFERROR(IF('PREENCHER AQUI'!L386="","999",LEFT('PREENCHER AQUI'!L386,1)),"")</f>
        <v>999</v>
      </c>
      <c r="V386" s="19"/>
      <c r="W386" s="1" t="str">
        <f>IFERROR(VLOOKUP(Tabela1[[#This Row],[UO_COD]],qdd!$AT$1:$AU$102,2,FALSE),"")</f>
        <v/>
      </c>
      <c r="X386" s="1" t="str">
        <f>CONCATENATE("F",Tabela1[[#This Row],[FONTE_COD]],Tabela1[[#This Row],[IPU_COD]],"G",Tabela1[[#This Row],[GRUPO_COD]],"T",Tabela1[[#This Row],[TIPO]])</f>
        <v>FGT999</v>
      </c>
      <c r="Y3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6" s="19"/>
      <c r="AA386" s="29" t="str">
        <f>IFERROR(VLOOKUP(CONCATENATE("B",Tabela1[[#This Row],[BLOCO]],Tabela1[[#This Row],[UO_COD]]),qdd!$AW$2:$AX$1000,2,FALSE),"")</f>
        <v/>
      </c>
      <c r="AB386" s="30" t="str">
        <f>IFERROR(Tabela1[[#This Row],[VALOR]]/100,"")</f>
        <v/>
      </c>
      <c r="AC386" s="7" t="str" cm="1">
        <f t="array" aca="1" ref="AC386" ca="1">IF(Tabela1[[#This Row],[VALOR]]&lt;0,"",IFERROR(SUBSTITUTE(Converter_numero(Tabela1[[#This Row],[VALOR INCISO]]),",",""),""))</f>
        <v/>
      </c>
      <c r="AD386" s="29" t="str">
        <f>IF(Tabela1[[#This Row],[TIPO]]=REGRAS!$W$2,REGRAS!$X$2,IF(Tabela1[[#This Row],[TIPO]]=REGRAS!$W$4,REGRAS!$X$4,""))</f>
        <v/>
      </c>
      <c r="AE386" s="29" t="e">
        <f>VLOOKUP(Tabela1[[#This Row],[FONTE_COD]],REGRAS!$O$2:$P$69,2,FALSE)</f>
        <v>#N/A</v>
      </c>
      <c r="AF3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7" spans="1:32" ht="18.75" customHeight="1">
      <c r="A387" s="2" t="str">
        <f>IFERROR(IF('PREENCHER AQUI'!A387="","",'PREENCHER AQUI'!A387),"")</f>
        <v/>
      </c>
      <c r="B387" s="1" t="str">
        <f>IFERROR(IF('PREENCHER AQUI'!B387="","",PROPER('PREENCHER AQUI'!B387)),"")</f>
        <v/>
      </c>
      <c r="C387" s="1" t="str">
        <f>IFERROR(IF('PREENCHER AQUI'!C387="","",'PREENCHER AQUI'!C387),"")</f>
        <v/>
      </c>
      <c r="D387" s="2" t="str">
        <f>IFERROR(IF('PREENCHER AQUI'!D387="","",'PREENCHER AQUI'!D387),"")</f>
        <v/>
      </c>
      <c r="E387" s="2" t="str">
        <f>IFERROR(VLOOKUP(CONCATENATE(C387,D387),qdd!$C$2:$F$1000,2,FALSE),"")</f>
        <v/>
      </c>
      <c r="F387" s="2" t="str">
        <f>IFERROR(VLOOKUP(CONCATENATE(C387,D387),qdd!$C$2:$F$1000,3,FALSE),"")</f>
        <v/>
      </c>
      <c r="G387" s="2" t="str">
        <f>IFERROR(VLOOKUP(CONCATENATE(C387,D387),qdd!$C$2:$F$1000,4,FALSE),"")</f>
        <v/>
      </c>
      <c r="H387" s="6" t="str">
        <f t="shared" ref="H387:H450" si="14">IF(E387="","","0001")</f>
        <v/>
      </c>
      <c r="I3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7" s="2" t="str">
        <f>IFERROR(IF('PREENCHER AQUI'!E387="","",'PREENCHER AQUI'!E387),"")</f>
        <v/>
      </c>
      <c r="K387" s="2" t="str">
        <f>IFERROR(IF('PREENCHER AQUI'!F387="","",'PREENCHER AQUI'!F387),"")</f>
        <v/>
      </c>
      <c r="L387" s="2" t="str">
        <f>IF(Tabela1[[#This Row],[IPU_COD]]=9,"91",IF(Tabela1[[#This Row],[ACAO_COD]]="","",VLOOKUP(CONCATENATE("G",J387,"M",K387),qdd!$BC$2:$BD$46,2,FALSE)))</f>
        <v/>
      </c>
      <c r="M387" s="2" t="str">
        <f>TEXT(IFERROR(VLOOKUP(CONCATENATE(C387,D387),qdd!$C$2:$G$1000,5,FALSE),""),0)</f>
        <v/>
      </c>
      <c r="N387" s="2" t="str">
        <f>IFERROR(IF('PREENCHER AQUI'!I387="","",'PREENCHER AQUI'!I387),"")</f>
        <v/>
      </c>
      <c r="O387" s="2" t="str">
        <f>IFERROR(IF('PREENCHER AQUI'!J387="","",'PREENCHER AQUI'!J387),"")</f>
        <v/>
      </c>
      <c r="P387" s="7" t="str">
        <f t="shared" ref="P387:P450" si="15">IFERROR(CONCATENATE(E387,F387,G387,D387,H387,I387,J387,K387,L387,M387,N387,O387),"")</f>
        <v/>
      </c>
      <c r="Q387" s="8" t="str">
        <f>IFERROR(IF(Tabela4[[#This Row],[VALOR]]="","",IF(Tabela1[[#This Row],[ORIENTACAO]]="Anular",'PREENCHER AQUI'!K387*-1*100,'PREENCHER AQUI'!K387*100)),"")</f>
        <v/>
      </c>
      <c r="T387" s="7" t="str">
        <f>IFERROR(IF('PREENCHER AQUI'!L387="","999",LEFT('PREENCHER AQUI'!L387,1)),"")</f>
        <v>999</v>
      </c>
      <c r="W387" s="1" t="str">
        <f>IFERROR(VLOOKUP(Tabela1[[#This Row],[UO_COD]],qdd!$AT$1:$AU$102,2,FALSE),"")</f>
        <v/>
      </c>
      <c r="X387" s="1" t="str">
        <f>CONCATENATE("F",Tabela1[[#This Row],[FONTE_COD]],Tabela1[[#This Row],[IPU_COD]],"G",Tabela1[[#This Row],[GRUPO_COD]],"T",Tabela1[[#This Row],[TIPO]])</f>
        <v>FGT999</v>
      </c>
      <c r="Y3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7" s="19"/>
      <c r="AA387" s="29" t="str">
        <f>IFERROR(VLOOKUP(CONCATENATE("B",Tabela1[[#This Row],[BLOCO]],Tabela1[[#This Row],[UO_COD]]),qdd!$AW$2:$AX$1000,2,FALSE),"")</f>
        <v/>
      </c>
      <c r="AB387" s="30" t="str">
        <f>IFERROR(Tabela1[[#This Row],[VALOR]]/100,"")</f>
        <v/>
      </c>
      <c r="AC387" s="7" t="str" cm="1">
        <f t="array" aca="1" ref="AC387" ca="1">IF(Tabela1[[#This Row],[VALOR]]&lt;0,"",IFERROR(SUBSTITUTE(Converter_numero(Tabela1[[#This Row],[VALOR INCISO]]),",",""),""))</f>
        <v/>
      </c>
      <c r="AD387" s="7" t="str">
        <f>IF(Tabela1[[#This Row],[TIPO]]=REGRAS!$W$2,REGRAS!$X$2,IF(Tabela1[[#This Row],[TIPO]]=REGRAS!$W$4,REGRAS!$X$4,""))</f>
        <v/>
      </c>
      <c r="AE387" s="29" t="e">
        <f>VLOOKUP(Tabela1[[#This Row],[FONTE_COD]],REGRAS!$O$2:$P$69,2,FALSE)</f>
        <v>#N/A</v>
      </c>
      <c r="AF3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8" spans="1:32" ht="18.75" customHeight="1">
      <c r="A388" s="2" t="str">
        <f>IFERROR(IF('PREENCHER AQUI'!A388="","",'PREENCHER AQUI'!A388),"")</f>
        <v/>
      </c>
      <c r="B388" s="1" t="str">
        <f>IFERROR(IF('PREENCHER AQUI'!B388="","",PROPER('PREENCHER AQUI'!B388)),"")</f>
        <v/>
      </c>
      <c r="C388" s="1" t="str">
        <f>IFERROR(IF('PREENCHER AQUI'!C388="","",'PREENCHER AQUI'!C388),"")</f>
        <v/>
      </c>
      <c r="D388" s="2" t="str">
        <f>IFERROR(IF('PREENCHER AQUI'!D388="","",'PREENCHER AQUI'!D388),"")</f>
        <v/>
      </c>
      <c r="E388" s="2" t="str">
        <f>IFERROR(VLOOKUP(CONCATENATE(C388,D388),qdd!$C$2:$F$1000,2,FALSE),"")</f>
        <v/>
      </c>
      <c r="F388" s="2" t="str">
        <f>IFERROR(VLOOKUP(CONCATENATE(C388,D388),qdd!$C$2:$F$1000,3,FALSE),"")</f>
        <v/>
      </c>
      <c r="G388" s="2" t="str">
        <f>IFERROR(VLOOKUP(CONCATENATE(C388,D388),qdd!$C$2:$F$1000,4,FALSE),"")</f>
        <v/>
      </c>
      <c r="H388" s="6" t="str">
        <f t="shared" si="14"/>
        <v/>
      </c>
      <c r="I3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8" s="2" t="str">
        <f>IFERROR(IF('PREENCHER AQUI'!E388="","",'PREENCHER AQUI'!E388),"")</f>
        <v/>
      </c>
      <c r="K388" s="2" t="str">
        <f>IFERROR(IF('PREENCHER AQUI'!F388="","",'PREENCHER AQUI'!F388),"")</f>
        <v/>
      </c>
      <c r="L388" s="2" t="str">
        <f>IF(Tabela1[[#This Row],[IPU_COD]]=9,"91",IF(Tabela1[[#This Row],[ACAO_COD]]="","",VLOOKUP(CONCATENATE("G",J388,"M",K388),qdd!$BC$2:$BD$46,2,FALSE)))</f>
        <v/>
      </c>
      <c r="M388" s="2" t="str">
        <f>TEXT(IFERROR(VLOOKUP(CONCATENATE(C388,D388),qdd!$C$2:$G$1000,5,FALSE),""),0)</f>
        <v/>
      </c>
      <c r="N388" s="2" t="str">
        <f>IFERROR(IF('PREENCHER AQUI'!I388="","",'PREENCHER AQUI'!I388),"")</f>
        <v/>
      </c>
      <c r="O388" s="2" t="str">
        <f>IFERROR(IF('PREENCHER AQUI'!J388="","",'PREENCHER AQUI'!J388),"")</f>
        <v/>
      </c>
      <c r="P388" s="7" t="str">
        <f t="shared" si="15"/>
        <v/>
      </c>
      <c r="Q388" s="8" t="str">
        <f>IFERROR(IF(Tabela4[[#This Row],[VALOR]]="","",IF(Tabela1[[#This Row],[ORIENTACAO]]="Anular",'PREENCHER AQUI'!K388*-1*100,'PREENCHER AQUI'!K388*100)),"")</f>
        <v/>
      </c>
      <c r="T388" s="7" t="str">
        <f>IFERROR(IF('PREENCHER AQUI'!L388="","999",LEFT('PREENCHER AQUI'!L388,1)),"")</f>
        <v>999</v>
      </c>
      <c r="V388" s="19"/>
      <c r="W388" s="1" t="str">
        <f>IFERROR(VLOOKUP(Tabela1[[#This Row],[UO_COD]],qdd!$AT$1:$AU$102,2,FALSE),"")</f>
        <v/>
      </c>
      <c r="X388" s="1" t="str">
        <f>CONCATENATE("F",Tabela1[[#This Row],[FONTE_COD]],Tabela1[[#This Row],[IPU_COD]],"G",Tabela1[[#This Row],[GRUPO_COD]],"T",Tabela1[[#This Row],[TIPO]])</f>
        <v>FGT999</v>
      </c>
      <c r="Y3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8" s="19"/>
      <c r="AA388" s="29" t="str">
        <f>IFERROR(VLOOKUP(CONCATENATE("B",Tabela1[[#This Row],[BLOCO]],Tabela1[[#This Row],[UO_COD]]),qdd!$AW$2:$AX$1000,2,FALSE),"")</f>
        <v/>
      </c>
      <c r="AB388" s="30" t="str">
        <f>IFERROR(Tabela1[[#This Row],[VALOR]]/100,"")</f>
        <v/>
      </c>
      <c r="AC388" s="7" t="str" cm="1">
        <f t="array" aca="1" ref="AC388" ca="1">IF(Tabela1[[#This Row],[VALOR]]&lt;0,"",IFERROR(SUBSTITUTE(Converter_numero(Tabela1[[#This Row],[VALOR INCISO]]),",",""),""))</f>
        <v/>
      </c>
      <c r="AD388" s="29" t="str">
        <f>IF(Tabela1[[#This Row],[TIPO]]=REGRAS!$W$2,REGRAS!$X$2,IF(Tabela1[[#This Row],[TIPO]]=REGRAS!$W$4,REGRAS!$X$4,""))</f>
        <v/>
      </c>
      <c r="AE388" s="29" t="e">
        <f>VLOOKUP(Tabela1[[#This Row],[FONTE_COD]],REGRAS!$O$2:$P$69,2,FALSE)</f>
        <v>#N/A</v>
      </c>
      <c r="AF3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9" spans="1:32" ht="18.75" customHeight="1">
      <c r="A389" s="2" t="str">
        <f>IFERROR(IF('PREENCHER AQUI'!A389="","",'PREENCHER AQUI'!A389),"")</f>
        <v/>
      </c>
      <c r="B389" s="1" t="str">
        <f>IFERROR(IF('PREENCHER AQUI'!B389="","",PROPER('PREENCHER AQUI'!B389)),"")</f>
        <v/>
      </c>
      <c r="C389" s="1" t="str">
        <f>IFERROR(IF('PREENCHER AQUI'!C389="","",'PREENCHER AQUI'!C389),"")</f>
        <v/>
      </c>
      <c r="D389" s="2" t="str">
        <f>IFERROR(IF('PREENCHER AQUI'!D389="","",'PREENCHER AQUI'!D389),"")</f>
        <v/>
      </c>
      <c r="E389" s="2" t="str">
        <f>IFERROR(VLOOKUP(CONCATENATE(C389,D389),qdd!$C$2:$F$1000,2,FALSE),"")</f>
        <v/>
      </c>
      <c r="F389" s="2" t="str">
        <f>IFERROR(VLOOKUP(CONCATENATE(C389,D389),qdd!$C$2:$F$1000,3,FALSE),"")</f>
        <v/>
      </c>
      <c r="G389" s="2" t="str">
        <f>IFERROR(VLOOKUP(CONCATENATE(C389,D389),qdd!$C$2:$F$1000,4,FALSE),"")</f>
        <v/>
      </c>
      <c r="H389" s="6" t="str">
        <f t="shared" si="14"/>
        <v/>
      </c>
      <c r="I3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9" s="2" t="str">
        <f>IFERROR(IF('PREENCHER AQUI'!E389="","",'PREENCHER AQUI'!E389),"")</f>
        <v/>
      </c>
      <c r="K389" s="2" t="str">
        <f>IFERROR(IF('PREENCHER AQUI'!F389="","",'PREENCHER AQUI'!F389),"")</f>
        <v/>
      </c>
      <c r="L389" s="2" t="str">
        <f>IF(Tabela1[[#This Row],[IPU_COD]]=9,"91",IF(Tabela1[[#This Row],[ACAO_COD]]="","",VLOOKUP(CONCATENATE("G",J389,"M",K389),qdd!$BC$2:$BD$46,2,FALSE)))</f>
        <v/>
      </c>
      <c r="M389" s="2" t="str">
        <f>TEXT(IFERROR(VLOOKUP(CONCATENATE(C389,D389),qdd!$C$2:$G$1000,5,FALSE),""),0)</f>
        <v/>
      </c>
      <c r="N389" s="2" t="str">
        <f>IFERROR(IF('PREENCHER AQUI'!I389="","",'PREENCHER AQUI'!I389),"")</f>
        <v/>
      </c>
      <c r="O389" s="2" t="str">
        <f>IFERROR(IF('PREENCHER AQUI'!J389="","",'PREENCHER AQUI'!J389),"")</f>
        <v/>
      </c>
      <c r="P389" s="7" t="str">
        <f t="shared" si="15"/>
        <v/>
      </c>
      <c r="Q389" s="8" t="str">
        <f>IFERROR(IF(Tabela4[[#This Row],[VALOR]]="","",IF(Tabela1[[#This Row],[ORIENTACAO]]="Anular",'PREENCHER AQUI'!K389*-1*100,'PREENCHER AQUI'!K389*100)),"")</f>
        <v/>
      </c>
      <c r="T389" s="7" t="str">
        <f>IFERROR(IF('PREENCHER AQUI'!L389="","999",LEFT('PREENCHER AQUI'!L389,1)),"")</f>
        <v>999</v>
      </c>
      <c r="V389" s="19"/>
      <c r="W389" s="1" t="str">
        <f>IFERROR(VLOOKUP(Tabela1[[#This Row],[UO_COD]],qdd!$AT$1:$AU$102,2,FALSE),"")</f>
        <v/>
      </c>
      <c r="X389" s="1" t="str">
        <f>CONCATENATE("F",Tabela1[[#This Row],[FONTE_COD]],Tabela1[[#This Row],[IPU_COD]],"G",Tabela1[[#This Row],[GRUPO_COD]],"T",Tabela1[[#This Row],[TIPO]])</f>
        <v>FGT999</v>
      </c>
      <c r="Y3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9" s="19"/>
      <c r="AA389" s="29" t="str">
        <f>IFERROR(VLOOKUP(CONCATENATE("B",Tabela1[[#This Row],[BLOCO]],Tabela1[[#This Row],[UO_COD]]),qdd!$AW$2:$AX$1000,2,FALSE),"")</f>
        <v/>
      </c>
      <c r="AB389" s="30" t="str">
        <f>IFERROR(Tabela1[[#This Row],[VALOR]]/100,"")</f>
        <v/>
      </c>
      <c r="AC389" s="7" t="str" cm="1">
        <f t="array" aca="1" ref="AC389" ca="1">IF(Tabela1[[#This Row],[VALOR]]&lt;0,"",IFERROR(SUBSTITUTE(Converter_numero(Tabela1[[#This Row],[VALOR INCISO]]),",",""),""))</f>
        <v/>
      </c>
      <c r="AD389" s="29" t="str">
        <f>IF(Tabela1[[#This Row],[TIPO]]=REGRAS!$W$2,REGRAS!$X$2,IF(Tabela1[[#This Row],[TIPO]]=REGRAS!$W$4,REGRAS!$X$4,""))</f>
        <v/>
      </c>
      <c r="AE389" s="29" t="e">
        <f>VLOOKUP(Tabela1[[#This Row],[FONTE_COD]],REGRAS!$O$2:$P$69,2,FALSE)</f>
        <v>#N/A</v>
      </c>
      <c r="AF3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0" spans="1:32" ht="18.75" customHeight="1">
      <c r="A390" s="2" t="str">
        <f>IFERROR(IF('PREENCHER AQUI'!A390="","",'PREENCHER AQUI'!A390),"")</f>
        <v/>
      </c>
      <c r="B390" s="1" t="str">
        <f>IFERROR(IF('PREENCHER AQUI'!B390="","",PROPER('PREENCHER AQUI'!B390)),"")</f>
        <v/>
      </c>
      <c r="C390" s="1" t="str">
        <f>IFERROR(IF('PREENCHER AQUI'!C390="","",'PREENCHER AQUI'!C390),"")</f>
        <v/>
      </c>
      <c r="D390" s="2" t="str">
        <f>IFERROR(IF('PREENCHER AQUI'!D390="","",'PREENCHER AQUI'!D390),"")</f>
        <v/>
      </c>
      <c r="E390" s="2" t="str">
        <f>IFERROR(VLOOKUP(CONCATENATE(C390,D390),qdd!$C$2:$F$1000,2,FALSE),"")</f>
        <v/>
      </c>
      <c r="F390" s="2" t="str">
        <f>IFERROR(VLOOKUP(CONCATENATE(C390,D390),qdd!$C$2:$F$1000,3,FALSE),"")</f>
        <v/>
      </c>
      <c r="G390" s="2" t="str">
        <f>IFERROR(VLOOKUP(CONCATENATE(C390,D390),qdd!$C$2:$F$1000,4,FALSE),"")</f>
        <v/>
      </c>
      <c r="H390" s="6" t="str">
        <f t="shared" si="14"/>
        <v/>
      </c>
      <c r="I3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0" s="2" t="str">
        <f>IFERROR(IF('PREENCHER AQUI'!E390="","",'PREENCHER AQUI'!E390),"")</f>
        <v/>
      </c>
      <c r="K390" s="2" t="str">
        <f>IFERROR(IF('PREENCHER AQUI'!F390="","",'PREENCHER AQUI'!F390),"")</f>
        <v/>
      </c>
      <c r="L390" s="2" t="str">
        <f>IF(Tabela1[[#This Row],[IPU_COD]]=9,"91",IF(Tabela1[[#This Row],[ACAO_COD]]="","",VLOOKUP(CONCATENATE("G",J390,"M",K390),qdd!$BC$2:$BD$46,2,FALSE)))</f>
        <v/>
      </c>
      <c r="M390" s="2" t="str">
        <f>TEXT(IFERROR(VLOOKUP(CONCATENATE(C390,D390),qdd!$C$2:$G$1000,5,FALSE),""),0)</f>
        <v/>
      </c>
      <c r="N390" s="2" t="str">
        <f>IFERROR(IF('PREENCHER AQUI'!I390="","",'PREENCHER AQUI'!I390),"")</f>
        <v/>
      </c>
      <c r="O390" s="2" t="str">
        <f>IFERROR(IF('PREENCHER AQUI'!J390="","",'PREENCHER AQUI'!J390),"")</f>
        <v/>
      </c>
      <c r="P390" s="7" t="str">
        <f t="shared" si="15"/>
        <v/>
      </c>
      <c r="Q390" s="8" t="str">
        <f>IFERROR(IF(Tabela4[[#This Row],[VALOR]]="","",IF(Tabela1[[#This Row],[ORIENTACAO]]="Anular",'PREENCHER AQUI'!K390*-1*100,'PREENCHER AQUI'!K390*100)),"")</f>
        <v/>
      </c>
      <c r="T390" s="7" t="str">
        <f>IFERROR(IF('PREENCHER AQUI'!L390="","999",LEFT('PREENCHER AQUI'!L390,1)),"")</f>
        <v>999</v>
      </c>
      <c r="V390" s="19"/>
      <c r="W390" s="20" t="str">
        <f>IFERROR(VLOOKUP(Tabela1[[#This Row],[UO_COD]],qdd!$AT$1:$AU$102,2,FALSE),"")</f>
        <v/>
      </c>
      <c r="X390" s="20" t="str">
        <f>CONCATENATE("F",Tabela1[[#This Row],[FONTE_COD]],Tabela1[[#This Row],[IPU_COD]],"G",Tabela1[[#This Row],[GRUPO_COD]],"T",Tabela1[[#This Row],[TIPO]])</f>
        <v>FGT999</v>
      </c>
      <c r="Y3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0" s="19"/>
      <c r="AA390" s="29" t="str">
        <f>IFERROR(VLOOKUP(CONCATENATE("B",Tabela1[[#This Row],[BLOCO]],Tabela1[[#This Row],[UO_COD]]),qdd!$AW$2:$AX$1000,2,FALSE),"")</f>
        <v/>
      </c>
      <c r="AB390" s="30" t="str">
        <f>IFERROR(Tabela1[[#This Row],[VALOR]]/100,"")</f>
        <v/>
      </c>
      <c r="AC390" s="7" t="str" cm="1">
        <f t="array" aca="1" ref="AC390" ca="1">IF(Tabela1[[#This Row],[VALOR]]&lt;0,"",IFERROR(SUBSTITUTE(Converter_numero(Tabela1[[#This Row],[VALOR INCISO]]),",",""),""))</f>
        <v/>
      </c>
      <c r="AD390" s="29" t="str">
        <f>IF(Tabela1[[#This Row],[TIPO]]=REGRAS!$W$2,REGRAS!$X$2,IF(Tabela1[[#This Row],[TIPO]]=REGRAS!$W$4,REGRAS!$X$4,""))</f>
        <v/>
      </c>
      <c r="AE390" s="29" t="e">
        <f>VLOOKUP(Tabela1[[#This Row],[FONTE_COD]],REGRAS!$O$2:$P$69,2,FALSE)</f>
        <v>#N/A</v>
      </c>
      <c r="AF3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1" spans="1:32" ht="18.75" customHeight="1">
      <c r="A391" s="2" t="str">
        <f>IFERROR(IF('PREENCHER AQUI'!A391="","",'PREENCHER AQUI'!A391),"")</f>
        <v/>
      </c>
      <c r="B391" s="1" t="str">
        <f>IFERROR(IF('PREENCHER AQUI'!B391="","",PROPER('PREENCHER AQUI'!B391)),"")</f>
        <v/>
      </c>
      <c r="C391" s="1" t="str">
        <f>IFERROR(IF('PREENCHER AQUI'!C391="","",'PREENCHER AQUI'!C391),"")</f>
        <v/>
      </c>
      <c r="D391" s="2" t="str">
        <f>IFERROR(IF('PREENCHER AQUI'!D391="","",'PREENCHER AQUI'!D391),"")</f>
        <v/>
      </c>
      <c r="E391" s="2" t="str">
        <f>IFERROR(VLOOKUP(CONCATENATE(C391,D391),qdd!$C$2:$F$1000,2,FALSE),"")</f>
        <v/>
      </c>
      <c r="F391" s="2" t="str">
        <f>IFERROR(VLOOKUP(CONCATENATE(C391,D391),qdd!$C$2:$F$1000,3,FALSE),"")</f>
        <v/>
      </c>
      <c r="G391" s="2" t="str">
        <f>IFERROR(VLOOKUP(CONCATENATE(C391,D391),qdd!$C$2:$F$1000,4,FALSE),"")</f>
        <v/>
      </c>
      <c r="H391" s="6" t="str">
        <f t="shared" si="14"/>
        <v/>
      </c>
      <c r="I3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1" s="2" t="str">
        <f>IFERROR(IF('PREENCHER AQUI'!E391="","",'PREENCHER AQUI'!E391),"")</f>
        <v/>
      </c>
      <c r="K391" s="2" t="str">
        <f>IFERROR(IF('PREENCHER AQUI'!F391="","",'PREENCHER AQUI'!F391),"")</f>
        <v/>
      </c>
      <c r="L391" s="2" t="str">
        <f>IF(Tabela1[[#This Row],[IPU_COD]]=9,"91",IF(Tabela1[[#This Row],[ACAO_COD]]="","",VLOOKUP(CONCATENATE("G",J391,"M",K391),qdd!$BC$2:$BD$46,2,FALSE)))</f>
        <v/>
      </c>
      <c r="M391" s="2" t="str">
        <f>TEXT(IFERROR(VLOOKUP(CONCATENATE(C391,D391),qdd!$C$2:$G$1000,5,FALSE),""),0)</f>
        <v/>
      </c>
      <c r="N391" s="2" t="str">
        <f>IFERROR(IF('PREENCHER AQUI'!I391="","",'PREENCHER AQUI'!I391),"")</f>
        <v/>
      </c>
      <c r="O391" s="2" t="str">
        <f>IFERROR(IF('PREENCHER AQUI'!J391="","",'PREENCHER AQUI'!J391),"")</f>
        <v/>
      </c>
      <c r="P391" s="7" t="str">
        <f t="shared" si="15"/>
        <v/>
      </c>
      <c r="Q391" s="8" t="str">
        <f>IFERROR(IF(Tabela4[[#This Row],[VALOR]]="","",IF(Tabela1[[#This Row],[ORIENTACAO]]="Anular",'PREENCHER AQUI'!K391*-1*100,'PREENCHER AQUI'!K391*100)),"")</f>
        <v/>
      </c>
      <c r="T391" s="7" t="str">
        <f>IFERROR(IF('PREENCHER AQUI'!L391="","999",LEFT('PREENCHER AQUI'!L391,1)),"")</f>
        <v>999</v>
      </c>
      <c r="V391" s="19"/>
      <c r="W391" s="1" t="str">
        <f>IFERROR(VLOOKUP(Tabela1[[#This Row],[UO_COD]],qdd!$AT$1:$AU$102,2,FALSE),"")</f>
        <v/>
      </c>
      <c r="X391" s="1" t="str">
        <f>CONCATENATE("F",Tabela1[[#This Row],[FONTE_COD]],Tabela1[[#This Row],[IPU_COD]],"G",Tabela1[[#This Row],[GRUPO_COD]],"T",Tabela1[[#This Row],[TIPO]])</f>
        <v>FGT999</v>
      </c>
      <c r="Y3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1" s="19"/>
      <c r="AA391" s="29" t="str">
        <f>IFERROR(VLOOKUP(CONCATENATE("B",Tabela1[[#This Row],[BLOCO]],Tabela1[[#This Row],[UO_COD]]),qdd!$AW$2:$AX$1000,2,FALSE),"")</f>
        <v/>
      </c>
      <c r="AB391" s="30" t="str">
        <f>IFERROR(Tabela1[[#This Row],[VALOR]]/100,"")</f>
        <v/>
      </c>
      <c r="AC391" s="7" t="str" cm="1">
        <f t="array" aca="1" ref="AC391" ca="1">IF(Tabela1[[#This Row],[VALOR]]&lt;0,"",IFERROR(SUBSTITUTE(Converter_numero(Tabela1[[#This Row],[VALOR INCISO]]),",",""),""))</f>
        <v/>
      </c>
      <c r="AD391" s="29" t="str">
        <f>IF(Tabela1[[#This Row],[TIPO]]=REGRAS!$W$2,REGRAS!$X$2,IF(Tabela1[[#This Row],[TIPO]]=REGRAS!$W$4,REGRAS!$X$4,""))</f>
        <v/>
      </c>
      <c r="AE391" s="29" t="e">
        <f>VLOOKUP(Tabela1[[#This Row],[FONTE_COD]],REGRAS!$O$2:$P$69,2,FALSE)</f>
        <v>#N/A</v>
      </c>
      <c r="AF3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2" spans="1:32" ht="18.75" customHeight="1">
      <c r="A392" s="2" t="str">
        <f>IFERROR(IF('PREENCHER AQUI'!A392="","",'PREENCHER AQUI'!A392),"")</f>
        <v/>
      </c>
      <c r="B392" s="1" t="str">
        <f>IFERROR(IF('PREENCHER AQUI'!B392="","",PROPER('PREENCHER AQUI'!B392)),"")</f>
        <v/>
      </c>
      <c r="C392" s="1" t="str">
        <f>IFERROR(IF('PREENCHER AQUI'!C392="","",'PREENCHER AQUI'!C392),"")</f>
        <v/>
      </c>
      <c r="D392" s="2" t="str">
        <f>IFERROR(IF('PREENCHER AQUI'!D392="","",'PREENCHER AQUI'!D392),"")</f>
        <v/>
      </c>
      <c r="E392" s="2" t="str">
        <f>IFERROR(VLOOKUP(CONCATENATE(C392,D392),qdd!$C$2:$F$1000,2,FALSE),"")</f>
        <v/>
      </c>
      <c r="F392" s="2" t="str">
        <f>IFERROR(VLOOKUP(CONCATENATE(C392,D392),qdd!$C$2:$F$1000,3,FALSE),"")</f>
        <v/>
      </c>
      <c r="G392" s="2" t="str">
        <f>IFERROR(VLOOKUP(CONCATENATE(C392,D392),qdd!$C$2:$F$1000,4,FALSE),"")</f>
        <v/>
      </c>
      <c r="H392" s="6" t="str">
        <f t="shared" si="14"/>
        <v/>
      </c>
      <c r="I3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2" s="2" t="str">
        <f>IFERROR(IF('PREENCHER AQUI'!E392="","",'PREENCHER AQUI'!E392),"")</f>
        <v/>
      </c>
      <c r="K392" s="2" t="str">
        <f>IFERROR(IF('PREENCHER AQUI'!F392="","",'PREENCHER AQUI'!F392),"")</f>
        <v/>
      </c>
      <c r="L392" s="2" t="str">
        <f>IF(Tabela1[[#This Row],[IPU_COD]]=9,"91",IF(Tabela1[[#This Row],[ACAO_COD]]="","",VLOOKUP(CONCATENATE("G",J392,"M",K392),qdd!$BC$2:$BD$46,2,FALSE)))</f>
        <v/>
      </c>
      <c r="M392" s="2" t="str">
        <f>TEXT(IFERROR(VLOOKUP(CONCATENATE(C392,D392),qdd!$C$2:$G$1000,5,FALSE),""),0)</f>
        <v/>
      </c>
      <c r="N392" s="2" t="str">
        <f>IFERROR(IF('PREENCHER AQUI'!I392="","",'PREENCHER AQUI'!I392),"")</f>
        <v/>
      </c>
      <c r="O392" s="2" t="str">
        <f>IFERROR(IF('PREENCHER AQUI'!J392="","",'PREENCHER AQUI'!J392),"")</f>
        <v/>
      </c>
      <c r="P392" s="7" t="str">
        <f t="shared" si="15"/>
        <v/>
      </c>
      <c r="Q392" s="8" t="str">
        <f>IFERROR(IF(Tabela4[[#This Row],[VALOR]]="","",IF(Tabela1[[#This Row],[ORIENTACAO]]="Anular",'PREENCHER AQUI'!K392*-1*100,'PREENCHER AQUI'!K392*100)),"")</f>
        <v/>
      </c>
      <c r="T392" s="7" t="str">
        <f>IFERROR(IF('PREENCHER AQUI'!L392="","999",LEFT('PREENCHER AQUI'!L392,1)),"")</f>
        <v>999</v>
      </c>
      <c r="W392" s="1" t="str">
        <f>IFERROR(VLOOKUP(Tabela1[[#This Row],[UO_COD]],qdd!$AT$1:$AU$102,2,FALSE),"")</f>
        <v/>
      </c>
      <c r="X392" s="1" t="str">
        <f>CONCATENATE("F",Tabela1[[#This Row],[FONTE_COD]],Tabela1[[#This Row],[IPU_COD]],"G",Tabela1[[#This Row],[GRUPO_COD]],"T",Tabela1[[#This Row],[TIPO]])</f>
        <v>FGT999</v>
      </c>
      <c r="Y3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2" s="19"/>
      <c r="AA392" s="29" t="str">
        <f>IFERROR(VLOOKUP(CONCATENATE("B",Tabela1[[#This Row],[BLOCO]],Tabela1[[#This Row],[UO_COD]]),qdd!$AW$2:$AX$1000,2,FALSE),"")</f>
        <v/>
      </c>
      <c r="AB392" s="30" t="str">
        <f>IFERROR(Tabela1[[#This Row],[VALOR]]/100,"")</f>
        <v/>
      </c>
      <c r="AC392" s="7" t="str" cm="1">
        <f t="array" aca="1" ref="AC392" ca="1">IF(Tabela1[[#This Row],[VALOR]]&lt;0,"",IFERROR(SUBSTITUTE(Converter_numero(Tabela1[[#This Row],[VALOR INCISO]]),",",""),""))</f>
        <v/>
      </c>
      <c r="AD392" s="7" t="str">
        <f>IF(Tabela1[[#This Row],[TIPO]]=REGRAS!$W$2,REGRAS!$X$2,IF(Tabela1[[#This Row],[TIPO]]=REGRAS!$W$4,REGRAS!$X$4,""))</f>
        <v/>
      </c>
      <c r="AE392" s="29" t="e">
        <f>VLOOKUP(Tabela1[[#This Row],[FONTE_COD]],REGRAS!$O$2:$P$69,2,FALSE)</f>
        <v>#N/A</v>
      </c>
      <c r="AF3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3" spans="1:32" ht="18.75" customHeight="1">
      <c r="A393" s="2" t="str">
        <f>IFERROR(IF('PREENCHER AQUI'!A393="","",'PREENCHER AQUI'!A393),"")</f>
        <v/>
      </c>
      <c r="B393" s="1" t="str">
        <f>IFERROR(IF('PREENCHER AQUI'!B393="","",PROPER('PREENCHER AQUI'!B393)),"")</f>
        <v/>
      </c>
      <c r="C393" s="1" t="str">
        <f>IFERROR(IF('PREENCHER AQUI'!C393="","",'PREENCHER AQUI'!C393),"")</f>
        <v/>
      </c>
      <c r="D393" s="2" t="str">
        <f>IFERROR(IF('PREENCHER AQUI'!D393="","",'PREENCHER AQUI'!D393),"")</f>
        <v/>
      </c>
      <c r="E393" s="2" t="str">
        <f>IFERROR(VLOOKUP(CONCATENATE(C393,D393),qdd!$C$2:$F$1000,2,FALSE),"")</f>
        <v/>
      </c>
      <c r="F393" s="2" t="str">
        <f>IFERROR(VLOOKUP(CONCATENATE(C393,D393),qdd!$C$2:$F$1000,3,FALSE),"")</f>
        <v/>
      </c>
      <c r="G393" s="2" t="str">
        <f>IFERROR(VLOOKUP(CONCATENATE(C393,D393),qdd!$C$2:$F$1000,4,FALSE),"")</f>
        <v/>
      </c>
      <c r="H393" s="6" t="str">
        <f t="shared" si="14"/>
        <v/>
      </c>
      <c r="I3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3" s="2" t="str">
        <f>IFERROR(IF('PREENCHER AQUI'!E393="","",'PREENCHER AQUI'!E393),"")</f>
        <v/>
      </c>
      <c r="K393" s="2" t="str">
        <f>IFERROR(IF('PREENCHER AQUI'!F393="","",'PREENCHER AQUI'!F393),"")</f>
        <v/>
      </c>
      <c r="L393" s="2" t="str">
        <f>IF(Tabela1[[#This Row],[IPU_COD]]=9,"91",IF(Tabela1[[#This Row],[ACAO_COD]]="","",VLOOKUP(CONCATENATE("G",J393,"M",K393),qdd!$BC$2:$BD$46,2,FALSE)))</f>
        <v/>
      </c>
      <c r="M393" s="2" t="str">
        <f>TEXT(IFERROR(VLOOKUP(CONCATENATE(C393,D393),qdd!$C$2:$G$1000,5,FALSE),""),0)</f>
        <v/>
      </c>
      <c r="N393" s="2" t="str">
        <f>IFERROR(IF('PREENCHER AQUI'!I393="","",'PREENCHER AQUI'!I393),"")</f>
        <v/>
      </c>
      <c r="O393" s="2" t="str">
        <f>IFERROR(IF('PREENCHER AQUI'!J393="","",'PREENCHER AQUI'!J393),"")</f>
        <v/>
      </c>
      <c r="P393" s="7" t="str">
        <f t="shared" si="15"/>
        <v/>
      </c>
      <c r="Q393" s="8" t="str">
        <f>IFERROR(IF(Tabela4[[#This Row],[VALOR]]="","",IF(Tabela1[[#This Row],[ORIENTACAO]]="Anular",'PREENCHER AQUI'!K393*-1*100,'PREENCHER AQUI'!K393*100)),"")</f>
        <v/>
      </c>
      <c r="T393" s="7" t="str">
        <f>IFERROR(IF('PREENCHER AQUI'!L393="","999",LEFT('PREENCHER AQUI'!L393,1)),"")</f>
        <v>999</v>
      </c>
      <c r="V393" s="19"/>
      <c r="W393" s="1" t="str">
        <f>IFERROR(VLOOKUP(Tabela1[[#This Row],[UO_COD]],qdd!$AT$1:$AU$102,2,FALSE),"")</f>
        <v/>
      </c>
      <c r="X393" s="1" t="str">
        <f>CONCATENATE("F",Tabela1[[#This Row],[FONTE_COD]],Tabela1[[#This Row],[IPU_COD]],"G",Tabela1[[#This Row],[GRUPO_COD]],"T",Tabela1[[#This Row],[TIPO]])</f>
        <v>FGT999</v>
      </c>
      <c r="Y3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3" s="19"/>
      <c r="AA393" s="29" t="str">
        <f>IFERROR(VLOOKUP(CONCATENATE("B",Tabela1[[#This Row],[BLOCO]],Tabela1[[#This Row],[UO_COD]]),qdd!$AW$2:$AX$1000,2,FALSE),"")</f>
        <v/>
      </c>
      <c r="AB393" s="30" t="str">
        <f>IFERROR(Tabela1[[#This Row],[VALOR]]/100,"")</f>
        <v/>
      </c>
      <c r="AC393" s="7" t="str" cm="1">
        <f t="array" aca="1" ref="AC393" ca="1">IF(Tabela1[[#This Row],[VALOR]]&lt;0,"",IFERROR(SUBSTITUTE(Converter_numero(Tabela1[[#This Row],[VALOR INCISO]]),",",""),""))</f>
        <v/>
      </c>
      <c r="AD393" s="29" t="str">
        <f>IF(Tabela1[[#This Row],[TIPO]]=REGRAS!$W$2,REGRAS!$X$2,IF(Tabela1[[#This Row],[TIPO]]=REGRAS!$W$4,REGRAS!$X$4,""))</f>
        <v/>
      </c>
      <c r="AE393" s="29" t="e">
        <f>VLOOKUP(Tabela1[[#This Row],[FONTE_COD]],REGRAS!$O$2:$P$69,2,FALSE)</f>
        <v>#N/A</v>
      </c>
      <c r="AF3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4" spans="1:32" ht="18.75" customHeight="1">
      <c r="A394" s="2" t="str">
        <f>IFERROR(IF('PREENCHER AQUI'!A394="","",'PREENCHER AQUI'!A394),"")</f>
        <v/>
      </c>
      <c r="B394" s="1" t="str">
        <f>IFERROR(IF('PREENCHER AQUI'!B394="","",PROPER('PREENCHER AQUI'!B394)),"")</f>
        <v/>
      </c>
      <c r="C394" s="1" t="str">
        <f>IFERROR(IF('PREENCHER AQUI'!C394="","",'PREENCHER AQUI'!C394),"")</f>
        <v/>
      </c>
      <c r="D394" s="2" t="str">
        <f>IFERROR(IF('PREENCHER AQUI'!D394="","",'PREENCHER AQUI'!D394),"")</f>
        <v/>
      </c>
      <c r="E394" s="2" t="str">
        <f>IFERROR(VLOOKUP(CONCATENATE(C394,D394),qdd!$C$2:$F$1000,2,FALSE),"")</f>
        <v/>
      </c>
      <c r="F394" s="2" t="str">
        <f>IFERROR(VLOOKUP(CONCATENATE(C394,D394),qdd!$C$2:$F$1000,3,FALSE),"")</f>
        <v/>
      </c>
      <c r="G394" s="2" t="str">
        <f>IFERROR(VLOOKUP(CONCATENATE(C394,D394),qdd!$C$2:$F$1000,4,FALSE),"")</f>
        <v/>
      </c>
      <c r="H394" s="6" t="str">
        <f t="shared" si="14"/>
        <v/>
      </c>
      <c r="I3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4" s="2" t="str">
        <f>IFERROR(IF('PREENCHER AQUI'!E394="","",'PREENCHER AQUI'!E394),"")</f>
        <v/>
      </c>
      <c r="K394" s="2" t="str">
        <f>IFERROR(IF('PREENCHER AQUI'!F394="","",'PREENCHER AQUI'!F394),"")</f>
        <v/>
      </c>
      <c r="L394" s="2" t="str">
        <f>IF(Tabela1[[#This Row],[IPU_COD]]=9,"91",IF(Tabela1[[#This Row],[ACAO_COD]]="","",VLOOKUP(CONCATENATE("G",J394,"M",K394),qdd!$BC$2:$BD$46,2,FALSE)))</f>
        <v/>
      </c>
      <c r="M394" s="2" t="str">
        <f>TEXT(IFERROR(VLOOKUP(CONCATENATE(C394,D394),qdd!$C$2:$G$1000,5,FALSE),""),0)</f>
        <v/>
      </c>
      <c r="N394" s="2" t="str">
        <f>IFERROR(IF('PREENCHER AQUI'!I394="","",'PREENCHER AQUI'!I394),"")</f>
        <v/>
      </c>
      <c r="O394" s="2" t="str">
        <f>IFERROR(IF('PREENCHER AQUI'!J394="","",'PREENCHER AQUI'!J394),"")</f>
        <v/>
      </c>
      <c r="P394" s="7" t="str">
        <f t="shared" si="15"/>
        <v/>
      </c>
      <c r="Q394" s="8" t="str">
        <f>IFERROR(IF(Tabela4[[#This Row],[VALOR]]="","",IF(Tabela1[[#This Row],[ORIENTACAO]]="Anular",'PREENCHER AQUI'!K394*-1*100,'PREENCHER AQUI'!K394*100)),"")</f>
        <v/>
      </c>
      <c r="T394" s="7" t="str">
        <f>IFERROR(IF('PREENCHER AQUI'!L394="","999",LEFT('PREENCHER AQUI'!L394,1)),"")</f>
        <v>999</v>
      </c>
      <c r="V394" s="19"/>
      <c r="W394" s="1" t="str">
        <f>IFERROR(VLOOKUP(Tabela1[[#This Row],[UO_COD]],qdd!$AT$1:$AU$102,2,FALSE),"")</f>
        <v/>
      </c>
      <c r="X394" s="1" t="str">
        <f>CONCATENATE("F",Tabela1[[#This Row],[FONTE_COD]],Tabela1[[#This Row],[IPU_COD]],"G",Tabela1[[#This Row],[GRUPO_COD]],"T",Tabela1[[#This Row],[TIPO]])</f>
        <v>FGT999</v>
      </c>
      <c r="Y3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4" s="19"/>
      <c r="AA394" s="29" t="str">
        <f>IFERROR(VLOOKUP(CONCATENATE("B",Tabela1[[#This Row],[BLOCO]],Tabela1[[#This Row],[UO_COD]]),qdd!$AW$2:$AX$1000,2,FALSE),"")</f>
        <v/>
      </c>
      <c r="AB394" s="30" t="str">
        <f>IFERROR(Tabela1[[#This Row],[VALOR]]/100,"")</f>
        <v/>
      </c>
      <c r="AC394" s="7" t="str" cm="1">
        <f t="array" aca="1" ref="AC394" ca="1">IF(Tabela1[[#This Row],[VALOR]]&lt;0,"",IFERROR(SUBSTITUTE(Converter_numero(Tabela1[[#This Row],[VALOR INCISO]]),",",""),""))</f>
        <v/>
      </c>
      <c r="AD394" s="29" t="str">
        <f>IF(Tabela1[[#This Row],[TIPO]]=REGRAS!$W$2,REGRAS!$X$2,IF(Tabela1[[#This Row],[TIPO]]=REGRAS!$W$4,REGRAS!$X$4,""))</f>
        <v/>
      </c>
      <c r="AE394" s="29" t="e">
        <f>VLOOKUP(Tabela1[[#This Row],[FONTE_COD]],REGRAS!$O$2:$P$69,2,FALSE)</f>
        <v>#N/A</v>
      </c>
      <c r="AF3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5" spans="1:32" ht="18.75" customHeight="1">
      <c r="A395" s="2" t="str">
        <f>IFERROR(IF('PREENCHER AQUI'!A395="","",'PREENCHER AQUI'!A395),"")</f>
        <v/>
      </c>
      <c r="B395" s="1" t="str">
        <f>IFERROR(IF('PREENCHER AQUI'!B395="","",PROPER('PREENCHER AQUI'!B395)),"")</f>
        <v/>
      </c>
      <c r="C395" s="1" t="str">
        <f>IFERROR(IF('PREENCHER AQUI'!C395="","",'PREENCHER AQUI'!C395),"")</f>
        <v/>
      </c>
      <c r="D395" s="2" t="str">
        <f>IFERROR(IF('PREENCHER AQUI'!D395="","",'PREENCHER AQUI'!D395),"")</f>
        <v/>
      </c>
      <c r="E395" s="2" t="str">
        <f>IFERROR(VLOOKUP(CONCATENATE(C395,D395),qdd!$C$2:$F$1000,2,FALSE),"")</f>
        <v/>
      </c>
      <c r="F395" s="2" t="str">
        <f>IFERROR(VLOOKUP(CONCATENATE(C395,D395),qdd!$C$2:$F$1000,3,FALSE),"")</f>
        <v/>
      </c>
      <c r="G395" s="2" t="str">
        <f>IFERROR(VLOOKUP(CONCATENATE(C395,D395),qdd!$C$2:$F$1000,4,FALSE),"")</f>
        <v/>
      </c>
      <c r="H395" s="6" t="str">
        <f t="shared" si="14"/>
        <v/>
      </c>
      <c r="I3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5" s="2" t="str">
        <f>IFERROR(IF('PREENCHER AQUI'!E395="","",'PREENCHER AQUI'!E395),"")</f>
        <v/>
      </c>
      <c r="K395" s="2" t="str">
        <f>IFERROR(IF('PREENCHER AQUI'!F395="","",'PREENCHER AQUI'!F395),"")</f>
        <v/>
      </c>
      <c r="L395" s="2" t="str">
        <f>IF(Tabela1[[#This Row],[IPU_COD]]=9,"91",IF(Tabela1[[#This Row],[ACAO_COD]]="","",VLOOKUP(CONCATENATE("G",J395,"M",K395),qdd!$BC$2:$BD$46,2,FALSE)))</f>
        <v/>
      </c>
      <c r="M395" s="2" t="str">
        <f>TEXT(IFERROR(VLOOKUP(CONCATENATE(C395,D395),qdd!$C$2:$G$1000,5,FALSE),""),0)</f>
        <v/>
      </c>
      <c r="N395" s="2" t="str">
        <f>IFERROR(IF('PREENCHER AQUI'!I395="","",'PREENCHER AQUI'!I395),"")</f>
        <v/>
      </c>
      <c r="O395" s="2" t="str">
        <f>IFERROR(IF('PREENCHER AQUI'!J395="","",'PREENCHER AQUI'!J395),"")</f>
        <v/>
      </c>
      <c r="P395" s="7" t="str">
        <f t="shared" si="15"/>
        <v/>
      </c>
      <c r="Q395" s="8" t="str">
        <f>IFERROR(IF(Tabela4[[#This Row],[VALOR]]="","",IF(Tabela1[[#This Row],[ORIENTACAO]]="Anular",'PREENCHER AQUI'!K395*-1*100,'PREENCHER AQUI'!K395*100)),"")</f>
        <v/>
      </c>
      <c r="T395" s="7" t="str">
        <f>IFERROR(IF('PREENCHER AQUI'!L395="","999",LEFT('PREENCHER AQUI'!L395,1)),"")</f>
        <v>999</v>
      </c>
      <c r="V395" s="19"/>
      <c r="W395" s="20" t="str">
        <f>IFERROR(VLOOKUP(Tabela1[[#This Row],[UO_COD]],qdd!$AT$1:$AU$102,2,FALSE),"")</f>
        <v/>
      </c>
      <c r="X395" s="20" t="str">
        <f>CONCATENATE("F",Tabela1[[#This Row],[FONTE_COD]],Tabela1[[#This Row],[IPU_COD]],"G",Tabela1[[#This Row],[GRUPO_COD]],"T",Tabela1[[#This Row],[TIPO]])</f>
        <v>FGT999</v>
      </c>
      <c r="Y3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5" s="19"/>
      <c r="AA395" s="29" t="str">
        <f>IFERROR(VLOOKUP(CONCATENATE("B",Tabela1[[#This Row],[BLOCO]],Tabela1[[#This Row],[UO_COD]]),qdd!$AW$2:$AX$1000,2,FALSE),"")</f>
        <v/>
      </c>
      <c r="AB395" s="30" t="str">
        <f>IFERROR(Tabela1[[#This Row],[VALOR]]/100,"")</f>
        <v/>
      </c>
      <c r="AC395" s="7" t="str" cm="1">
        <f t="array" aca="1" ref="AC395" ca="1">IF(Tabela1[[#This Row],[VALOR]]&lt;0,"",IFERROR(SUBSTITUTE(Converter_numero(Tabela1[[#This Row],[VALOR INCISO]]),",",""),""))</f>
        <v/>
      </c>
      <c r="AD395" s="29" t="str">
        <f>IF(Tabela1[[#This Row],[TIPO]]=REGRAS!$W$2,REGRAS!$X$2,IF(Tabela1[[#This Row],[TIPO]]=REGRAS!$W$4,REGRAS!$X$4,""))</f>
        <v/>
      </c>
      <c r="AE395" s="29" t="e">
        <f>VLOOKUP(Tabela1[[#This Row],[FONTE_COD]],REGRAS!$O$2:$P$69,2,FALSE)</f>
        <v>#N/A</v>
      </c>
      <c r="AF3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6" spans="1:32" ht="18.75" customHeight="1">
      <c r="A396" s="2" t="str">
        <f>IFERROR(IF('PREENCHER AQUI'!A396="","",'PREENCHER AQUI'!A396),"")</f>
        <v/>
      </c>
      <c r="B396" s="1" t="str">
        <f>IFERROR(IF('PREENCHER AQUI'!B396="","",PROPER('PREENCHER AQUI'!B396)),"")</f>
        <v/>
      </c>
      <c r="C396" s="1" t="str">
        <f>IFERROR(IF('PREENCHER AQUI'!C396="","",'PREENCHER AQUI'!C396),"")</f>
        <v/>
      </c>
      <c r="D396" s="2" t="str">
        <f>IFERROR(IF('PREENCHER AQUI'!D396="","",'PREENCHER AQUI'!D396),"")</f>
        <v/>
      </c>
      <c r="E396" s="2" t="str">
        <f>IFERROR(VLOOKUP(CONCATENATE(C396,D396),qdd!$C$2:$F$1000,2,FALSE),"")</f>
        <v/>
      </c>
      <c r="F396" s="2" t="str">
        <f>IFERROR(VLOOKUP(CONCATENATE(C396,D396),qdd!$C$2:$F$1000,3,FALSE),"")</f>
        <v/>
      </c>
      <c r="G396" s="2" t="str">
        <f>IFERROR(VLOOKUP(CONCATENATE(C396,D396),qdd!$C$2:$F$1000,4,FALSE),"")</f>
        <v/>
      </c>
      <c r="H396" s="6" t="str">
        <f t="shared" si="14"/>
        <v/>
      </c>
      <c r="I3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6" s="2" t="str">
        <f>IFERROR(IF('PREENCHER AQUI'!E396="","",'PREENCHER AQUI'!E396),"")</f>
        <v/>
      </c>
      <c r="K396" s="2" t="str">
        <f>IFERROR(IF('PREENCHER AQUI'!F396="","",'PREENCHER AQUI'!F396),"")</f>
        <v/>
      </c>
      <c r="L396" s="2" t="str">
        <f>IF(Tabela1[[#This Row],[IPU_COD]]=9,"91",IF(Tabela1[[#This Row],[ACAO_COD]]="","",VLOOKUP(CONCATENATE("G",J396,"M",K396),qdd!$BC$2:$BD$46,2,FALSE)))</f>
        <v/>
      </c>
      <c r="M396" s="2" t="str">
        <f>TEXT(IFERROR(VLOOKUP(CONCATENATE(C396,D396),qdd!$C$2:$G$1000,5,FALSE),""),0)</f>
        <v/>
      </c>
      <c r="N396" s="2" t="str">
        <f>IFERROR(IF('PREENCHER AQUI'!I396="","",'PREENCHER AQUI'!I396),"")</f>
        <v/>
      </c>
      <c r="O396" s="2" t="str">
        <f>IFERROR(IF('PREENCHER AQUI'!J396="","",'PREENCHER AQUI'!J396),"")</f>
        <v/>
      </c>
      <c r="P396" s="7" t="str">
        <f t="shared" si="15"/>
        <v/>
      </c>
      <c r="Q396" s="8" t="str">
        <f>IFERROR(IF(Tabela4[[#This Row],[VALOR]]="","",IF(Tabela1[[#This Row],[ORIENTACAO]]="Anular",'PREENCHER AQUI'!K396*-1*100,'PREENCHER AQUI'!K396*100)),"")</f>
        <v/>
      </c>
      <c r="T396" s="7" t="str">
        <f>IFERROR(IF('PREENCHER AQUI'!L396="","999",LEFT('PREENCHER AQUI'!L396,1)),"")</f>
        <v>999</v>
      </c>
      <c r="V396" s="19"/>
      <c r="W396" s="1" t="str">
        <f>IFERROR(VLOOKUP(Tabela1[[#This Row],[UO_COD]],qdd!$AT$1:$AU$102,2,FALSE),"")</f>
        <v/>
      </c>
      <c r="X396" s="1" t="str">
        <f>CONCATENATE("F",Tabela1[[#This Row],[FONTE_COD]],Tabela1[[#This Row],[IPU_COD]],"G",Tabela1[[#This Row],[GRUPO_COD]],"T",Tabela1[[#This Row],[TIPO]])</f>
        <v>FGT999</v>
      </c>
      <c r="Y3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6" s="19"/>
      <c r="AA396" s="29" t="str">
        <f>IFERROR(VLOOKUP(CONCATENATE("B",Tabela1[[#This Row],[BLOCO]],Tabela1[[#This Row],[UO_COD]]),qdd!$AW$2:$AX$1000,2,FALSE),"")</f>
        <v/>
      </c>
      <c r="AB396" s="30" t="str">
        <f>IFERROR(Tabela1[[#This Row],[VALOR]]/100,"")</f>
        <v/>
      </c>
      <c r="AC396" s="7" t="str" cm="1">
        <f t="array" aca="1" ref="AC396" ca="1">IF(Tabela1[[#This Row],[VALOR]]&lt;0,"",IFERROR(SUBSTITUTE(Converter_numero(Tabela1[[#This Row],[VALOR INCISO]]),",",""),""))</f>
        <v/>
      </c>
      <c r="AD396" s="29" t="str">
        <f>IF(Tabela1[[#This Row],[TIPO]]=REGRAS!$W$2,REGRAS!$X$2,IF(Tabela1[[#This Row],[TIPO]]=REGRAS!$W$4,REGRAS!$X$4,""))</f>
        <v/>
      </c>
      <c r="AE396" s="29" t="e">
        <f>VLOOKUP(Tabela1[[#This Row],[FONTE_COD]],REGRAS!$O$2:$P$69,2,FALSE)</f>
        <v>#N/A</v>
      </c>
      <c r="AF3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7" spans="1:32" ht="18.75" customHeight="1">
      <c r="A397" s="2" t="str">
        <f>IFERROR(IF('PREENCHER AQUI'!A397="","",'PREENCHER AQUI'!A397),"")</f>
        <v/>
      </c>
      <c r="B397" s="1" t="str">
        <f>IFERROR(IF('PREENCHER AQUI'!B397="","",PROPER('PREENCHER AQUI'!B397)),"")</f>
        <v/>
      </c>
      <c r="C397" s="1" t="str">
        <f>IFERROR(IF('PREENCHER AQUI'!C397="","",'PREENCHER AQUI'!C397),"")</f>
        <v/>
      </c>
      <c r="D397" s="2" t="str">
        <f>IFERROR(IF('PREENCHER AQUI'!D397="","",'PREENCHER AQUI'!D397),"")</f>
        <v/>
      </c>
      <c r="E397" s="2" t="str">
        <f>IFERROR(VLOOKUP(CONCATENATE(C397,D397),qdd!$C$2:$F$1000,2,FALSE),"")</f>
        <v/>
      </c>
      <c r="F397" s="2" t="str">
        <f>IFERROR(VLOOKUP(CONCATENATE(C397,D397),qdd!$C$2:$F$1000,3,FALSE),"")</f>
        <v/>
      </c>
      <c r="G397" s="2" t="str">
        <f>IFERROR(VLOOKUP(CONCATENATE(C397,D397),qdd!$C$2:$F$1000,4,FALSE),"")</f>
        <v/>
      </c>
      <c r="H397" s="6" t="str">
        <f t="shared" si="14"/>
        <v/>
      </c>
      <c r="I3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7" s="2" t="str">
        <f>IFERROR(IF('PREENCHER AQUI'!E397="","",'PREENCHER AQUI'!E397),"")</f>
        <v/>
      </c>
      <c r="K397" s="2" t="str">
        <f>IFERROR(IF('PREENCHER AQUI'!F397="","",'PREENCHER AQUI'!F397),"")</f>
        <v/>
      </c>
      <c r="L397" s="2" t="str">
        <f>IF(Tabela1[[#This Row],[IPU_COD]]=9,"91",IF(Tabela1[[#This Row],[ACAO_COD]]="","",VLOOKUP(CONCATENATE("G",J397,"M",K397),qdd!$BC$2:$BD$46,2,FALSE)))</f>
        <v/>
      </c>
      <c r="M397" s="2" t="str">
        <f>TEXT(IFERROR(VLOOKUP(CONCATENATE(C397,D397),qdd!$C$2:$G$1000,5,FALSE),""),0)</f>
        <v/>
      </c>
      <c r="N397" s="2" t="str">
        <f>IFERROR(IF('PREENCHER AQUI'!I397="","",'PREENCHER AQUI'!I397),"")</f>
        <v/>
      </c>
      <c r="O397" s="2" t="str">
        <f>IFERROR(IF('PREENCHER AQUI'!J397="","",'PREENCHER AQUI'!J397),"")</f>
        <v/>
      </c>
      <c r="P397" s="7" t="str">
        <f t="shared" si="15"/>
        <v/>
      </c>
      <c r="Q397" s="8" t="str">
        <f>IFERROR(IF(Tabela4[[#This Row],[VALOR]]="","",IF(Tabela1[[#This Row],[ORIENTACAO]]="Anular",'PREENCHER AQUI'!K397*-1*100,'PREENCHER AQUI'!K397*100)),"")</f>
        <v/>
      </c>
      <c r="T397" s="7" t="str">
        <f>IFERROR(IF('PREENCHER AQUI'!L397="","999",LEFT('PREENCHER AQUI'!L397,1)),"")</f>
        <v>999</v>
      </c>
      <c r="W397" s="1" t="str">
        <f>IFERROR(VLOOKUP(Tabela1[[#This Row],[UO_COD]],qdd!$AT$1:$AU$102,2,FALSE),"")</f>
        <v/>
      </c>
      <c r="X397" s="1" t="str">
        <f>CONCATENATE("F",Tabela1[[#This Row],[FONTE_COD]],Tabela1[[#This Row],[IPU_COD]],"G",Tabela1[[#This Row],[GRUPO_COD]],"T",Tabela1[[#This Row],[TIPO]])</f>
        <v>FGT999</v>
      </c>
      <c r="Y3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7" s="19"/>
      <c r="AA397" s="29" t="str">
        <f>IFERROR(VLOOKUP(CONCATENATE("B",Tabela1[[#This Row],[BLOCO]],Tabela1[[#This Row],[UO_COD]]),qdd!$AW$2:$AX$1000,2,FALSE),"")</f>
        <v/>
      </c>
      <c r="AB397" s="30" t="str">
        <f>IFERROR(Tabela1[[#This Row],[VALOR]]/100,"")</f>
        <v/>
      </c>
      <c r="AC397" s="7" t="str" cm="1">
        <f t="array" aca="1" ref="AC397" ca="1">IF(Tabela1[[#This Row],[VALOR]]&lt;0,"",IFERROR(SUBSTITUTE(Converter_numero(Tabela1[[#This Row],[VALOR INCISO]]),",",""),""))</f>
        <v/>
      </c>
      <c r="AD397" s="7" t="str">
        <f>IF(Tabela1[[#This Row],[TIPO]]=REGRAS!$W$2,REGRAS!$X$2,IF(Tabela1[[#This Row],[TIPO]]=REGRAS!$W$4,REGRAS!$X$4,""))</f>
        <v/>
      </c>
      <c r="AE397" s="29" t="e">
        <f>VLOOKUP(Tabela1[[#This Row],[FONTE_COD]],REGRAS!$O$2:$P$69,2,FALSE)</f>
        <v>#N/A</v>
      </c>
      <c r="AF3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8" spans="1:32" ht="18.75" customHeight="1">
      <c r="A398" s="2" t="str">
        <f>IFERROR(IF('PREENCHER AQUI'!A398="","",'PREENCHER AQUI'!A398),"")</f>
        <v/>
      </c>
      <c r="B398" s="1" t="str">
        <f>IFERROR(IF('PREENCHER AQUI'!B398="","",PROPER('PREENCHER AQUI'!B398)),"")</f>
        <v/>
      </c>
      <c r="C398" s="1" t="str">
        <f>IFERROR(IF('PREENCHER AQUI'!C398="","",'PREENCHER AQUI'!C398),"")</f>
        <v/>
      </c>
      <c r="D398" s="2" t="str">
        <f>IFERROR(IF('PREENCHER AQUI'!D398="","",'PREENCHER AQUI'!D398),"")</f>
        <v/>
      </c>
      <c r="E398" s="2" t="str">
        <f>IFERROR(VLOOKUP(CONCATENATE(C398,D398),qdd!$C$2:$F$1000,2,FALSE),"")</f>
        <v/>
      </c>
      <c r="F398" s="2" t="str">
        <f>IFERROR(VLOOKUP(CONCATENATE(C398,D398),qdd!$C$2:$F$1000,3,FALSE),"")</f>
        <v/>
      </c>
      <c r="G398" s="2" t="str">
        <f>IFERROR(VLOOKUP(CONCATENATE(C398,D398),qdd!$C$2:$F$1000,4,FALSE),"")</f>
        <v/>
      </c>
      <c r="H398" s="6" t="str">
        <f t="shared" si="14"/>
        <v/>
      </c>
      <c r="I3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8" s="2" t="str">
        <f>IFERROR(IF('PREENCHER AQUI'!E398="","",'PREENCHER AQUI'!E398),"")</f>
        <v/>
      </c>
      <c r="K398" s="2" t="str">
        <f>IFERROR(IF('PREENCHER AQUI'!F398="","",'PREENCHER AQUI'!F398),"")</f>
        <v/>
      </c>
      <c r="L398" s="2" t="str">
        <f>IF(Tabela1[[#This Row],[IPU_COD]]=9,"91",IF(Tabela1[[#This Row],[ACAO_COD]]="","",VLOOKUP(CONCATENATE("G",J398,"M",K398),qdd!$BC$2:$BD$46,2,FALSE)))</f>
        <v/>
      </c>
      <c r="M398" s="2" t="str">
        <f>TEXT(IFERROR(VLOOKUP(CONCATENATE(C398,D398),qdd!$C$2:$G$1000,5,FALSE),""),0)</f>
        <v/>
      </c>
      <c r="N398" s="2" t="str">
        <f>IFERROR(IF('PREENCHER AQUI'!I398="","",'PREENCHER AQUI'!I398),"")</f>
        <v/>
      </c>
      <c r="O398" s="2" t="str">
        <f>IFERROR(IF('PREENCHER AQUI'!J398="","",'PREENCHER AQUI'!J398),"")</f>
        <v/>
      </c>
      <c r="P398" s="7" t="str">
        <f t="shared" si="15"/>
        <v/>
      </c>
      <c r="Q398" s="8" t="str">
        <f>IFERROR(IF(Tabela4[[#This Row],[VALOR]]="","",IF(Tabela1[[#This Row],[ORIENTACAO]]="Anular",'PREENCHER AQUI'!K398*-1*100,'PREENCHER AQUI'!K398*100)),"")</f>
        <v/>
      </c>
      <c r="T398" s="7" t="str">
        <f>IFERROR(IF('PREENCHER AQUI'!L398="","999",LEFT('PREENCHER AQUI'!L398,1)),"")</f>
        <v>999</v>
      </c>
      <c r="V398" s="19"/>
      <c r="W398" s="1" t="str">
        <f>IFERROR(VLOOKUP(Tabela1[[#This Row],[UO_COD]],qdd!$AT$1:$AU$102,2,FALSE),"")</f>
        <v/>
      </c>
      <c r="X398" s="1" t="str">
        <f>CONCATENATE("F",Tabela1[[#This Row],[FONTE_COD]],Tabela1[[#This Row],[IPU_COD]],"G",Tabela1[[#This Row],[GRUPO_COD]],"T",Tabela1[[#This Row],[TIPO]])</f>
        <v>FGT999</v>
      </c>
      <c r="Y3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8" s="19"/>
      <c r="AA398" s="29" t="str">
        <f>IFERROR(VLOOKUP(CONCATENATE("B",Tabela1[[#This Row],[BLOCO]],Tabela1[[#This Row],[UO_COD]]),qdd!$AW$2:$AX$1000,2,FALSE),"")</f>
        <v/>
      </c>
      <c r="AB398" s="30" t="str">
        <f>IFERROR(Tabela1[[#This Row],[VALOR]]/100,"")</f>
        <v/>
      </c>
      <c r="AC398" s="7" t="str" cm="1">
        <f t="array" aca="1" ref="AC398" ca="1">IF(Tabela1[[#This Row],[VALOR]]&lt;0,"",IFERROR(SUBSTITUTE(Converter_numero(Tabela1[[#This Row],[VALOR INCISO]]),",",""),""))</f>
        <v/>
      </c>
      <c r="AD398" s="29" t="str">
        <f>IF(Tabela1[[#This Row],[TIPO]]=REGRAS!$W$2,REGRAS!$X$2,IF(Tabela1[[#This Row],[TIPO]]=REGRAS!$W$4,REGRAS!$X$4,""))</f>
        <v/>
      </c>
      <c r="AE398" s="29" t="e">
        <f>VLOOKUP(Tabela1[[#This Row],[FONTE_COD]],REGRAS!$O$2:$P$69,2,FALSE)</f>
        <v>#N/A</v>
      </c>
      <c r="AF3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9" spans="1:32" ht="18.75" customHeight="1">
      <c r="A399" s="2" t="str">
        <f>IFERROR(IF('PREENCHER AQUI'!A399="","",'PREENCHER AQUI'!A399),"")</f>
        <v/>
      </c>
      <c r="B399" s="1" t="str">
        <f>IFERROR(IF('PREENCHER AQUI'!B399="","",PROPER('PREENCHER AQUI'!B399)),"")</f>
        <v/>
      </c>
      <c r="C399" s="1" t="str">
        <f>IFERROR(IF('PREENCHER AQUI'!C399="","",'PREENCHER AQUI'!C399),"")</f>
        <v/>
      </c>
      <c r="D399" s="2" t="str">
        <f>IFERROR(IF('PREENCHER AQUI'!D399="","",'PREENCHER AQUI'!D399),"")</f>
        <v/>
      </c>
      <c r="E399" s="2" t="str">
        <f>IFERROR(VLOOKUP(CONCATENATE(C399,D399),qdd!$C$2:$F$1000,2,FALSE),"")</f>
        <v/>
      </c>
      <c r="F399" s="2" t="str">
        <f>IFERROR(VLOOKUP(CONCATENATE(C399,D399),qdd!$C$2:$F$1000,3,FALSE),"")</f>
        <v/>
      </c>
      <c r="G399" s="2" t="str">
        <f>IFERROR(VLOOKUP(CONCATENATE(C399,D399),qdd!$C$2:$F$1000,4,FALSE),"")</f>
        <v/>
      </c>
      <c r="H399" s="6" t="str">
        <f t="shared" si="14"/>
        <v/>
      </c>
      <c r="I3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9" s="2" t="str">
        <f>IFERROR(IF('PREENCHER AQUI'!E399="","",'PREENCHER AQUI'!E399),"")</f>
        <v/>
      </c>
      <c r="K399" s="2" t="str">
        <f>IFERROR(IF('PREENCHER AQUI'!F399="","",'PREENCHER AQUI'!F399),"")</f>
        <v/>
      </c>
      <c r="L399" s="2" t="str">
        <f>IF(Tabela1[[#This Row],[IPU_COD]]=9,"91",IF(Tabela1[[#This Row],[ACAO_COD]]="","",VLOOKUP(CONCATENATE("G",J399,"M",K399),qdd!$BC$2:$BD$46,2,FALSE)))</f>
        <v/>
      </c>
      <c r="M399" s="2" t="str">
        <f>TEXT(IFERROR(VLOOKUP(CONCATENATE(C399,D399),qdd!$C$2:$G$1000,5,FALSE),""),0)</f>
        <v/>
      </c>
      <c r="N399" s="2" t="str">
        <f>IFERROR(IF('PREENCHER AQUI'!I399="","",'PREENCHER AQUI'!I399),"")</f>
        <v/>
      </c>
      <c r="O399" s="2" t="str">
        <f>IFERROR(IF('PREENCHER AQUI'!J399="","",'PREENCHER AQUI'!J399),"")</f>
        <v/>
      </c>
      <c r="P399" s="7" t="str">
        <f t="shared" si="15"/>
        <v/>
      </c>
      <c r="Q399" s="8" t="str">
        <f>IFERROR(IF(Tabela4[[#This Row],[VALOR]]="","",IF(Tabela1[[#This Row],[ORIENTACAO]]="Anular",'PREENCHER AQUI'!K399*-1*100,'PREENCHER AQUI'!K399*100)),"")</f>
        <v/>
      </c>
      <c r="T399" s="7" t="str">
        <f>IFERROR(IF('PREENCHER AQUI'!L399="","999",LEFT('PREENCHER AQUI'!L399,1)),"")</f>
        <v>999</v>
      </c>
      <c r="V399" s="19"/>
      <c r="W399" s="1" t="str">
        <f>IFERROR(VLOOKUP(Tabela1[[#This Row],[UO_COD]],qdd!$AT$1:$AU$102,2,FALSE),"")</f>
        <v/>
      </c>
      <c r="X399" s="1" t="str">
        <f>CONCATENATE("F",Tabela1[[#This Row],[FONTE_COD]],Tabela1[[#This Row],[IPU_COD]],"G",Tabela1[[#This Row],[GRUPO_COD]],"T",Tabela1[[#This Row],[TIPO]])</f>
        <v>FGT999</v>
      </c>
      <c r="Y3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9" s="19"/>
      <c r="AA399" s="29" t="str">
        <f>IFERROR(VLOOKUP(CONCATENATE("B",Tabela1[[#This Row],[BLOCO]],Tabela1[[#This Row],[UO_COD]]),qdd!$AW$2:$AX$1000,2,FALSE),"")</f>
        <v/>
      </c>
      <c r="AB399" s="30" t="str">
        <f>IFERROR(Tabela1[[#This Row],[VALOR]]/100,"")</f>
        <v/>
      </c>
      <c r="AC399" s="7" t="str" cm="1">
        <f t="array" aca="1" ref="AC399" ca="1">IF(Tabela1[[#This Row],[VALOR]]&lt;0,"",IFERROR(SUBSTITUTE(Converter_numero(Tabela1[[#This Row],[VALOR INCISO]]),",",""),""))</f>
        <v/>
      </c>
      <c r="AD399" s="29" t="str">
        <f>IF(Tabela1[[#This Row],[TIPO]]=REGRAS!$W$2,REGRAS!$X$2,IF(Tabela1[[#This Row],[TIPO]]=REGRAS!$W$4,REGRAS!$X$4,""))</f>
        <v/>
      </c>
      <c r="AE399" s="29" t="e">
        <f>VLOOKUP(Tabela1[[#This Row],[FONTE_COD]],REGRAS!$O$2:$P$69,2,FALSE)</f>
        <v>#N/A</v>
      </c>
      <c r="AF3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0" spans="1:32" ht="18.75" customHeight="1">
      <c r="A400" s="2" t="str">
        <f>IFERROR(IF('PREENCHER AQUI'!A400="","",'PREENCHER AQUI'!A400),"")</f>
        <v/>
      </c>
      <c r="B400" s="1" t="str">
        <f>IFERROR(IF('PREENCHER AQUI'!B400="","",PROPER('PREENCHER AQUI'!B400)),"")</f>
        <v/>
      </c>
      <c r="C400" s="1" t="str">
        <f>IFERROR(IF('PREENCHER AQUI'!C400="","",'PREENCHER AQUI'!C400),"")</f>
        <v/>
      </c>
      <c r="D400" s="2" t="str">
        <f>IFERROR(IF('PREENCHER AQUI'!D400="","",'PREENCHER AQUI'!D400),"")</f>
        <v/>
      </c>
      <c r="E400" s="2" t="str">
        <f>IFERROR(VLOOKUP(CONCATENATE(C400,D400),qdd!$C$2:$F$1000,2,FALSE),"")</f>
        <v/>
      </c>
      <c r="F400" s="2" t="str">
        <f>IFERROR(VLOOKUP(CONCATENATE(C400,D400),qdd!$C$2:$F$1000,3,FALSE),"")</f>
        <v/>
      </c>
      <c r="G400" s="2" t="str">
        <f>IFERROR(VLOOKUP(CONCATENATE(C400,D400),qdd!$C$2:$F$1000,4,FALSE),"")</f>
        <v/>
      </c>
      <c r="H400" s="6" t="str">
        <f t="shared" si="14"/>
        <v/>
      </c>
      <c r="I4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0" s="2" t="str">
        <f>IFERROR(IF('PREENCHER AQUI'!E400="","",'PREENCHER AQUI'!E400),"")</f>
        <v/>
      </c>
      <c r="K400" s="2" t="str">
        <f>IFERROR(IF('PREENCHER AQUI'!F400="","",'PREENCHER AQUI'!F400),"")</f>
        <v/>
      </c>
      <c r="L400" s="2" t="str">
        <f>IF(Tabela1[[#This Row],[IPU_COD]]=9,"91",IF(Tabela1[[#This Row],[ACAO_COD]]="","",VLOOKUP(CONCATENATE("G",J400,"M",K400),qdd!$BC$2:$BD$46,2,FALSE)))</f>
        <v/>
      </c>
      <c r="M400" s="2" t="str">
        <f>TEXT(IFERROR(VLOOKUP(CONCATENATE(C400,D400),qdd!$C$2:$G$1000,5,FALSE),""),0)</f>
        <v/>
      </c>
      <c r="N400" s="2" t="str">
        <f>IFERROR(IF('PREENCHER AQUI'!I400="","",'PREENCHER AQUI'!I400),"")</f>
        <v/>
      </c>
      <c r="O400" s="2" t="str">
        <f>IFERROR(IF('PREENCHER AQUI'!J400="","",'PREENCHER AQUI'!J400),"")</f>
        <v/>
      </c>
      <c r="P400" s="7" t="str">
        <f t="shared" si="15"/>
        <v/>
      </c>
      <c r="Q400" s="8" t="str">
        <f>IFERROR(IF(Tabela4[[#This Row],[VALOR]]="","",IF(Tabela1[[#This Row],[ORIENTACAO]]="Anular",'PREENCHER AQUI'!K400*-1*100,'PREENCHER AQUI'!K400*100)),"")</f>
        <v/>
      </c>
      <c r="T400" s="7" t="str">
        <f>IFERROR(IF('PREENCHER AQUI'!L400="","999",LEFT('PREENCHER AQUI'!L400,1)),"")</f>
        <v>999</v>
      </c>
      <c r="V400" s="19"/>
      <c r="W400" s="20" t="str">
        <f>IFERROR(VLOOKUP(Tabela1[[#This Row],[UO_COD]],qdd!$AT$1:$AU$102,2,FALSE),"")</f>
        <v/>
      </c>
      <c r="X400" s="20" t="str">
        <f>CONCATENATE("F",Tabela1[[#This Row],[FONTE_COD]],Tabela1[[#This Row],[IPU_COD]],"G",Tabela1[[#This Row],[GRUPO_COD]],"T",Tabela1[[#This Row],[TIPO]])</f>
        <v>FGT999</v>
      </c>
      <c r="Y4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0" s="19"/>
      <c r="AA400" s="29" t="str">
        <f>IFERROR(VLOOKUP(CONCATENATE("B",Tabela1[[#This Row],[BLOCO]],Tabela1[[#This Row],[UO_COD]]),qdd!$AW$2:$AX$1000,2,FALSE),"")</f>
        <v/>
      </c>
      <c r="AB400" s="30" t="str">
        <f>IFERROR(Tabela1[[#This Row],[VALOR]]/100,"")</f>
        <v/>
      </c>
      <c r="AC400" s="7" t="str" cm="1">
        <f t="array" aca="1" ref="AC400" ca="1">IF(Tabela1[[#This Row],[VALOR]]&lt;0,"",IFERROR(SUBSTITUTE(Converter_numero(Tabela1[[#This Row],[VALOR INCISO]]),",",""),""))</f>
        <v/>
      </c>
      <c r="AD400" s="29" t="str">
        <f>IF(Tabela1[[#This Row],[TIPO]]=REGRAS!$W$2,REGRAS!$X$2,IF(Tabela1[[#This Row],[TIPO]]=REGRAS!$W$4,REGRAS!$X$4,""))</f>
        <v/>
      </c>
      <c r="AE400" s="29" t="e">
        <f>VLOOKUP(Tabela1[[#This Row],[FONTE_COD]],REGRAS!$O$2:$P$69,2,FALSE)</f>
        <v>#N/A</v>
      </c>
      <c r="AF4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1" spans="1:32" ht="18.75" customHeight="1">
      <c r="A401" s="2" t="str">
        <f>IFERROR(IF('PREENCHER AQUI'!A401="","",'PREENCHER AQUI'!A401),"")</f>
        <v/>
      </c>
      <c r="B401" s="1" t="str">
        <f>IFERROR(IF('PREENCHER AQUI'!B401="","",PROPER('PREENCHER AQUI'!B401)),"")</f>
        <v/>
      </c>
      <c r="C401" s="1" t="str">
        <f>IFERROR(IF('PREENCHER AQUI'!C401="","",'PREENCHER AQUI'!C401),"")</f>
        <v/>
      </c>
      <c r="D401" s="2" t="str">
        <f>IFERROR(IF('PREENCHER AQUI'!D401="","",'PREENCHER AQUI'!D401),"")</f>
        <v/>
      </c>
      <c r="E401" s="2" t="str">
        <f>IFERROR(VLOOKUP(CONCATENATE(C401,D401),qdd!$C$2:$F$1000,2,FALSE),"")</f>
        <v/>
      </c>
      <c r="F401" s="2" t="str">
        <f>IFERROR(VLOOKUP(CONCATENATE(C401,D401),qdd!$C$2:$F$1000,3,FALSE),"")</f>
        <v/>
      </c>
      <c r="G401" s="2" t="str">
        <f>IFERROR(VLOOKUP(CONCATENATE(C401,D401),qdd!$C$2:$F$1000,4,FALSE),"")</f>
        <v/>
      </c>
      <c r="H401" s="6" t="str">
        <f t="shared" si="14"/>
        <v/>
      </c>
      <c r="I4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1" s="2" t="str">
        <f>IFERROR(IF('PREENCHER AQUI'!E401="","",'PREENCHER AQUI'!E401),"")</f>
        <v/>
      </c>
      <c r="K401" s="2" t="str">
        <f>IFERROR(IF('PREENCHER AQUI'!F401="","",'PREENCHER AQUI'!F401),"")</f>
        <v/>
      </c>
      <c r="L401" s="2" t="str">
        <f>IF(Tabela1[[#This Row],[IPU_COD]]=9,"91",IF(Tabela1[[#This Row],[ACAO_COD]]="","",VLOOKUP(CONCATENATE("G",J401,"M",K401),qdd!$BC$2:$BD$46,2,FALSE)))</f>
        <v/>
      </c>
      <c r="M401" s="2" t="str">
        <f>TEXT(IFERROR(VLOOKUP(CONCATENATE(C401,D401),qdd!$C$2:$G$1000,5,FALSE),""),0)</f>
        <v/>
      </c>
      <c r="N401" s="2" t="str">
        <f>IFERROR(IF('PREENCHER AQUI'!I401="","",'PREENCHER AQUI'!I401),"")</f>
        <v/>
      </c>
      <c r="O401" s="2" t="str">
        <f>IFERROR(IF('PREENCHER AQUI'!J401="","",'PREENCHER AQUI'!J401),"")</f>
        <v/>
      </c>
      <c r="P401" s="7" t="str">
        <f t="shared" si="15"/>
        <v/>
      </c>
      <c r="Q401" s="8" t="str">
        <f>IFERROR(IF(Tabela4[[#This Row],[VALOR]]="","",IF(Tabela1[[#This Row],[ORIENTACAO]]="Anular",'PREENCHER AQUI'!K401*-1*100,'PREENCHER AQUI'!K401*100)),"")</f>
        <v/>
      </c>
      <c r="T401" s="7" t="str">
        <f>IFERROR(IF('PREENCHER AQUI'!L401="","999",LEFT('PREENCHER AQUI'!L401,1)),"")</f>
        <v>999</v>
      </c>
      <c r="V401" s="19"/>
      <c r="W401" s="1" t="str">
        <f>IFERROR(VLOOKUP(Tabela1[[#This Row],[UO_COD]],qdd!$AT$1:$AU$102,2,FALSE),"")</f>
        <v/>
      </c>
      <c r="X401" s="1" t="str">
        <f>CONCATENATE("F",Tabela1[[#This Row],[FONTE_COD]],Tabela1[[#This Row],[IPU_COD]],"G",Tabela1[[#This Row],[GRUPO_COD]],"T",Tabela1[[#This Row],[TIPO]])</f>
        <v>FGT999</v>
      </c>
      <c r="Y4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1" s="19"/>
      <c r="AA401" s="29" t="str">
        <f>IFERROR(VLOOKUP(CONCATENATE("B",Tabela1[[#This Row],[BLOCO]],Tabela1[[#This Row],[UO_COD]]),qdd!$AW$2:$AX$1000,2,FALSE),"")</f>
        <v/>
      </c>
      <c r="AB401" s="30" t="str">
        <f>IFERROR(Tabela1[[#This Row],[VALOR]]/100,"")</f>
        <v/>
      </c>
      <c r="AC401" s="7" t="str" cm="1">
        <f t="array" aca="1" ref="AC401" ca="1">IF(Tabela1[[#This Row],[VALOR]]&lt;0,"",IFERROR(SUBSTITUTE(Converter_numero(Tabela1[[#This Row],[VALOR INCISO]]),",",""),""))</f>
        <v/>
      </c>
      <c r="AD401" s="29" t="str">
        <f>IF(Tabela1[[#This Row],[TIPO]]=REGRAS!$W$2,REGRAS!$X$2,IF(Tabela1[[#This Row],[TIPO]]=REGRAS!$W$4,REGRAS!$X$4,""))</f>
        <v/>
      </c>
      <c r="AE401" s="29" t="e">
        <f>VLOOKUP(Tabela1[[#This Row],[FONTE_COD]],REGRAS!$O$2:$P$69,2,FALSE)</f>
        <v>#N/A</v>
      </c>
      <c r="AF4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2" spans="1:32" ht="18.75" customHeight="1">
      <c r="A402" s="2" t="str">
        <f>IFERROR(IF('PREENCHER AQUI'!A402="","",'PREENCHER AQUI'!A402),"")</f>
        <v/>
      </c>
      <c r="B402" s="1" t="str">
        <f>IFERROR(IF('PREENCHER AQUI'!B402="","",PROPER('PREENCHER AQUI'!B402)),"")</f>
        <v/>
      </c>
      <c r="C402" s="1" t="str">
        <f>IFERROR(IF('PREENCHER AQUI'!C402="","",'PREENCHER AQUI'!C402),"")</f>
        <v/>
      </c>
      <c r="D402" s="2" t="str">
        <f>IFERROR(IF('PREENCHER AQUI'!D402="","",'PREENCHER AQUI'!D402),"")</f>
        <v/>
      </c>
      <c r="E402" s="2" t="str">
        <f>IFERROR(VLOOKUP(CONCATENATE(C402,D402),qdd!$C$2:$F$1000,2,FALSE),"")</f>
        <v/>
      </c>
      <c r="F402" s="2" t="str">
        <f>IFERROR(VLOOKUP(CONCATENATE(C402,D402),qdd!$C$2:$F$1000,3,FALSE),"")</f>
        <v/>
      </c>
      <c r="G402" s="2" t="str">
        <f>IFERROR(VLOOKUP(CONCATENATE(C402,D402),qdd!$C$2:$F$1000,4,FALSE),"")</f>
        <v/>
      </c>
      <c r="H402" s="6" t="str">
        <f t="shared" si="14"/>
        <v/>
      </c>
      <c r="I4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2" s="2" t="str">
        <f>IFERROR(IF('PREENCHER AQUI'!E402="","",'PREENCHER AQUI'!E402),"")</f>
        <v/>
      </c>
      <c r="K402" s="2" t="str">
        <f>IFERROR(IF('PREENCHER AQUI'!F402="","",'PREENCHER AQUI'!F402),"")</f>
        <v/>
      </c>
      <c r="L402" s="2" t="str">
        <f>IF(Tabela1[[#This Row],[IPU_COD]]=9,"91",IF(Tabela1[[#This Row],[ACAO_COD]]="","",VLOOKUP(CONCATENATE("G",J402,"M",K402),qdd!$BC$2:$BD$46,2,FALSE)))</f>
        <v/>
      </c>
      <c r="M402" s="2" t="str">
        <f>TEXT(IFERROR(VLOOKUP(CONCATENATE(C402,D402),qdd!$C$2:$G$1000,5,FALSE),""),0)</f>
        <v/>
      </c>
      <c r="N402" s="2" t="str">
        <f>IFERROR(IF('PREENCHER AQUI'!I402="","",'PREENCHER AQUI'!I402),"")</f>
        <v/>
      </c>
      <c r="O402" s="2" t="str">
        <f>IFERROR(IF('PREENCHER AQUI'!J402="","",'PREENCHER AQUI'!J402),"")</f>
        <v/>
      </c>
      <c r="P402" s="7" t="str">
        <f t="shared" si="15"/>
        <v/>
      </c>
      <c r="Q402" s="8" t="str">
        <f>IFERROR(IF(Tabela4[[#This Row],[VALOR]]="","",IF(Tabela1[[#This Row],[ORIENTACAO]]="Anular",'PREENCHER AQUI'!K402*-1*100,'PREENCHER AQUI'!K402*100)),"")</f>
        <v/>
      </c>
      <c r="T402" s="7" t="str">
        <f>IFERROR(IF('PREENCHER AQUI'!L402="","999",LEFT('PREENCHER AQUI'!L402,1)),"")</f>
        <v>999</v>
      </c>
      <c r="W402" s="1" t="str">
        <f>IFERROR(VLOOKUP(Tabela1[[#This Row],[UO_COD]],qdd!$AT$1:$AU$102,2,FALSE),"")</f>
        <v/>
      </c>
      <c r="X402" s="1" t="str">
        <f>CONCATENATE("F",Tabela1[[#This Row],[FONTE_COD]],Tabela1[[#This Row],[IPU_COD]],"G",Tabela1[[#This Row],[GRUPO_COD]],"T",Tabela1[[#This Row],[TIPO]])</f>
        <v>FGT999</v>
      </c>
      <c r="Y4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2" s="19"/>
      <c r="AA402" s="29" t="str">
        <f>IFERROR(VLOOKUP(CONCATENATE("B",Tabela1[[#This Row],[BLOCO]],Tabela1[[#This Row],[UO_COD]]),qdd!$AW$2:$AX$1000,2,FALSE),"")</f>
        <v/>
      </c>
      <c r="AB402" s="30" t="str">
        <f>IFERROR(Tabela1[[#This Row],[VALOR]]/100,"")</f>
        <v/>
      </c>
      <c r="AC402" s="7" t="str" cm="1">
        <f t="array" aca="1" ref="AC402" ca="1">IF(Tabela1[[#This Row],[VALOR]]&lt;0,"",IFERROR(SUBSTITUTE(Converter_numero(Tabela1[[#This Row],[VALOR INCISO]]),",",""),""))</f>
        <v/>
      </c>
      <c r="AD402" s="7" t="str">
        <f>IF(Tabela1[[#This Row],[TIPO]]=REGRAS!$W$2,REGRAS!$X$2,IF(Tabela1[[#This Row],[TIPO]]=REGRAS!$W$4,REGRAS!$X$4,""))</f>
        <v/>
      </c>
      <c r="AE402" s="29" t="e">
        <f>VLOOKUP(Tabela1[[#This Row],[FONTE_COD]],REGRAS!$O$2:$P$69,2,FALSE)</f>
        <v>#N/A</v>
      </c>
      <c r="AF4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3" spans="1:32" ht="18.75" customHeight="1">
      <c r="A403" s="2" t="str">
        <f>IFERROR(IF('PREENCHER AQUI'!A403="","",'PREENCHER AQUI'!A403),"")</f>
        <v/>
      </c>
      <c r="B403" s="1" t="str">
        <f>IFERROR(IF('PREENCHER AQUI'!B403="","",PROPER('PREENCHER AQUI'!B403)),"")</f>
        <v/>
      </c>
      <c r="C403" s="1" t="str">
        <f>IFERROR(IF('PREENCHER AQUI'!C403="","",'PREENCHER AQUI'!C403),"")</f>
        <v/>
      </c>
      <c r="D403" s="2" t="str">
        <f>IFERROR(IF('PREENCHER AQUI'!D403="","",'PREENCHER AQUI'!D403),"")</f>
        <v/>
      </c>
      <c r="E403" s="2" t="str">
        <f>IFERROR(VLOOKUP(CONCATENATE(C403,D403),qdd!$C$2:$F$1000,2,FALSE),"")</f>
        <v/>
      </c>
      <c r="F403" s="2" t="str">
        <f>IFERROR(VLOOKUP(CONCATENATE(C403,D403),qdd!$C$2:$F$1000,3,FALSE),"")</f>
        <v/>
      </c>
      <c r="G403" s="2" t="str">
        <f>IFERROR(VLOOKUP(CONCATENATE(C403,D403),qdd!$C$2:$F$1000,4,FALSE),"")</f>
        <v/>
      </c>
      <c r="H403" s="6" t="str">
        <f t="shared" si="14"/>
        <v/>
      </c>
      <c r="I4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3" s="2" t="str">
        <f>IFERROR(IF('PREENCHER AQUI'!E403="","",'PREENCHER AQUI'!E403),"")</f>
        <v/>
      </c>
      <c r="K403" s="2" t="str">
        <f>IFERROR(IF('PREENCHER AQUI'!F403="","",'PREENCHER AQUI'!F403),"")</f>
        <v/>
      </c>
      <c r="L403" s="2" t="str">
        <f>IF(Tabela1[[#This Row],[IPU_COD]]=9,"91",IF(Tabela1[[#This Row],[ACAO_COD]]="","",VLOOKUP(CONCATENATE("G",J403,"M",K403),qdd!$BC$2:$BD$46,2,FALSE)))</f>
        <v/>
      </c>
      <c r="M403" s="2" t="str">
        <f>TEXT(IFERROR(VLOOKUP(CONCATENATE(C403,D403),qdd!$C$2:$G$1000,5,FALSE),""),0)</f>
        <v/>
      </c>
      <c r="N403" s="2" t="str">
        <f>IFERROR(IF('PREENCHER AQUI'!I403="","",'PREENCHER AQUI'!I403),"")</f>
        <v/>
      </c>
      <c r="O403" s="2" t="str">
        <f>IFERROR(IF('PREENCHER AQUI'!J403="","",'PREENCHER AQUI'!J403),"")</f>
        <v/>
      </c>
      <c r="P403" s="7" t="str">
        <f t="shared" si="15"/>
        <v/>
      </c>
      <c r="Q403" s="8" t="str">
        <f>IFERROR(IF(Tabela4[[#This Row],[VALOR]]="","",IF(Tabela1[[#This Row],[ORIENTACAO]]="Anular",'PREENCHER AQUI'!K403*-1*100,'PREENCHER AQUI'!K403*100)),"")</f>
        <v/>
      </c>
      <c r="T403" s="7" t="str">
        <f>IFERROR(IF('PREENCHER AQUI'!L403="","999",LEFT('PREENCHER AQUI'!L403,1)),"")</f>
        <v>999</v>
      </c>
      <c r="V403" s="19"/>
      <c r="W403" s="1" t="str">
        <f>IFERROR(VLOOKUP(Tabela1[[#This Row],[UO_COD]],qdd!$AT$1:$AU$102,2,FALSE),"")</f>
        <v/>
      </c>
      <c r="X403" s="1" t="str">
        <f>CONCATENATE("F",Tabela1[[#This Row],[FONTE_COD]],Tabela1[[#This Row],[IPU_COD]],"G",Tabela1[[#This Row],[GRUPO_COD]],"T",Tabela1[[#This Row],[TIPO]])</f>
        <v>FGT999</v>
      </c>
      <c r="Y4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3" s="19"/>
      <c r="AA403" s="29" t="str">
        <f>IFERROR(VLOOKUP(CONCATENATE("B",Tabela1[[#This Row],[BLOCO]],Tabela1[[#This Row],[UO_COD]]),qdd!$AW$2:$AX$1000,2,FALSE),"")</f>
        <v/>
      </c>
      <c r="AB403" s="30" t="str">
        <f>IFERROR(Tabela1[[#This Row],[VALOR]]/100,"")</f>
        <v/>
      </c>
      <c r="AC403" s="7" t="str" cm="1">
        <f t="array" aca="1" ref="AC403" ca="1">IF(Tabela1[[#This Row],[VALOR]]&lt;0,"",IFERROR(SUBSTITUTE(Converter_numero(Tabela1[[#This Row],[VALOR INCISO]]),",",""),""))</f>
        <v/>
      </c>
      <c r="AD403" s="29" t="str">
        <f>IF(Tabela1[[#This Row],[TIPO]]=REGRAS!$W$2,REGRAS!$X$2,IF(Tabela1[[#This Row],[TIPO]]=REGRAS!$W$4,REGRAS!$X$4,""))</f>
        <v/>
      </c>
      <c r="AE403" s="29" t="e">
        <f>VLOOKUP(Tabela1[[#This Row],[FONTE_COD]],REGRAS!$O$2:$P$69,2,FALSE)</f>
        <v>#N/A</v>
      </c>
      <c r="AF4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4" spans="1:32" ht="18.75" customHeight="1">
      <c r="A404" s="2" t="str">
        <f>IFERROR(IF('PREENCHER AQUI'!A404="","",'PREENCHER AQUI'!A404),"")</f>
        <v/>
      </c>
      <c r="B404" s="1" t="str">
        <f>IFERROR(IF('PREENCHER AQUI'!B404="","",PROPER('PREENCHER AQUI'!B404)),"")</f>
        <v/>
      </c>
      <c r="C404" s="1" t="str">
        <f>IFERROR(IF('PREENCHER AQUI'!C404="","",'PREENCHER AQUI'!C404),"")</f>
        <v/>
      </c>
      <c r="D404" s="2" t="str">
        <f>IFERROR(IF('PREENCHER AQUI'!D404="","",'PREENCHER AQUI'!D404),"")</f>
        <v/>
      </c>
      <c r="E404" s="2" t="str">
        <f>IFERROR(VLOOKUP(CONCATENATE(C404,D404),qdd!$C$2:$F$1000,2,FALSE),"")</f>
        <v/>
      </c>
      <c r="F404" s="2" t="str">
        <f>IFERROR(VLOOKUP(CONCATENATE(C404,D404),qdd!$C$2:$F$1000,3,FALSE),"")</f>
        <v/>
      </c>
      <c r="G404" s="2" t="str">
        <f>IFERROR(VLOOKUP(CONCATENATE(C404,D404),qdd!$C$2:$F$1000,4,FALSE),"")</f>
        <v/>
      </c>
      <c r="H404" s="6" t="str">
        <f t="shared" si="14"/>
        <v/>
      </c>
      <c r="I4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4" s="2" t="str">
        <f>IFERROR(IF('PREENCHER AQUI'!E404="","",'PREENCHER AQUI'!E404),"")</f>
        <v/>
      </c>
      <c r="K404" s="2" t="str">
        <f>IFERROR(IF('PREENCHER AQUI'!F404="","",'PREENCHER AQUI'!F404),"")</f>
        <v/>
      </c>
      <c r="L404" s="2" t="str">
        <f>IF(Tabela1[[#This Row],[IPU_COD]]=9,"91",IF(Tabela1[[#This Row],[ACAO_COD]]="","",VLOOKUP(CONCATENATE("G",J404,"M",K404),qdd!$BC$2:$BD$46,2,FALSE)))</f>
        <v/>
      </c>
      <c r="M404" s="2" t="str">
        <f>TEXT(IFERROR(VLOOKUP(CONCATENATE(C404,D404),qdd!$C$2:$G$1000,5,FALSE),""),0)</f>
        <v/>
      </c>
      <c r="N404" s="2" t="str">
        <f>IFERROR(IF('PREENCHER AQUI'!I404="","",'PREENCHER AQUI'!I404),"")</f>
        <v/>
      </c>
      <c r="O404" s="2" t="str">
        <f>IFERROR(IF('PREENCHER AQUI'!J404="","",'PREENCHER AQUI'!J404),"")</f>
        <v/>
      </c>
      <c r="P404" s="7" t="str">
        <f t="shared" si="15"/>
        <v/>
      </c>
      <c r="Q404" s="8" t="str">
        <f>IFERROR(IF(Tabela4[[#This Row],[VALOR]]="","",IF(Tabela1[[#This Row],[ORIENTACAO]]="Anular",'PREENCHER AQUI'!K404*-1*100,'PREENCHER AQUI'!K404*100)),"")</f>
        <v/>
      </c>
      <c r="T404" s="7" t="str">
        <f>IFERROR(IF('PREENCHER AQUI'!L404="","999",LEFT('PREENCHER AQUI'!L404,1)),"")</f>
        <v>999</v>
      </c>
      <c r="V404" s="19"/>
      <c r="W404" s="1" t="str">
        <f>IFERROR(VLOOKUP(Tabela1[[#This Row],[UO_COD]],qdd!$AT$1:$AU$102,2,FALSE),"")</f>
        <v/>
      </c>
      <c r="X404" s="1" t="str">
        <f>CONCATENATE("F",Tabela1[[#This Row],[FONTE_COD]],Tabela1[[#This Row],[IPU_COD]],"G",Tabela1[[#This Row],[GRUPO_COD]],"T",Tabela1[[#This Row],[TIPO]])</f>
        <v>FGT999</v>
      </c>
      <c r="Y4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4" s="19"/>
      <c r="AA404" s="29" t="str">
        <f>IFERROR(VLOOKUP(CONCATENATE("B",Tabela1[[#This Row],[BLOCO]],Tabela1[[#This Row],[UO_COD]]),qdd!$AW$2:$AX$1000,2,FALSE),"")</f>
        <v/>
      </c>
      <c r="AB404" s="30" t="str">
        <f>IFERROR(Tabela1[[#This Row],[VALOR]]/100,"")</f>
        <v/>
      </c>
      <c r="AC404" s="7" t="str" cm="1">
        <f t="array" aca="1" ref="AC404" ca="1">IF(Tabela1[[#This Row],[VALOR]]&lt;0,"",IFERROR(SUBSTITUTE(Converter_numero(Tabela1[[#This Row],[VALOR INCISO]]),",",""),""))</f>
        <v/>
      </c>
      <c r="AD404" s="29" t="str">
        <f>IF(Tabela1[[#This Row],[TIPO]]=REGRAS!$W$2,REGRAS!$X$2,IF(Tabela1[[#This Row],[TIPO]]=REGRAS!$W$4,REGRAS!$X$4,""))</f>
        <v/>
      </c>
      <c r="AE404" s="29" t="e">
        <f>VLOOKUP(Tabela1[[#This Row],[FONTE_COD]],REGRAS!$O$2:$P$69,2,FALSE)</f>
        <v>#N/A</v>
      </c>
      <c r="AF4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5" spans="1:32" ht="18.75" customHeight="1">
      <c r="A405" s="2" t="str">
        <f>IFERROR(IF('PREENCHER AQUI'!A405="","",'PREENCHER AQUI'!A405),"")</f>
        <v/>
      </c>
      <c r="B405" s="1" t="str">
        <f>IFERROR(IF('PREENCHER AQUI'!B405="","",PROPER('PREENCHER AQUI'!B405)),"")</f>
        <v/>
      </c>
      <c r="C405" s="1" t="str">
        <f>IFERROR(IF('PREENCHER AQUI'!C405="","",'PREENCHER AQUI'!C405),"")</f>
        <v/>
      </c>
      <c r="D405" s="2" t="str">
        <f>IFERROR(IF('PREENCHER AQUI'!D405="","",'PREENCHER AQUI'!D405),"")</f>
        <v/>
      </c>
      <c r="E405" s="2" t="str">
        <f>IFERROR(VLOOKUP(CONCATENATE(C405,D405),qdd!$C$2:$F$1000,2,FALSE),"")</f>
        <v/>
      </c>
      <c r="F405" s="2" t="str">
        <f>IFERROR(VLOOKUP(CONCATENATE(C405,D405),qdd!$C$2:$F$1000,3,FALSE),"")</f>
        <v/>
      </c>
      <c r="G405" s="2" t="str">
        <f>IFERROR(VLOOKUP(CONCATENATE(C405,D405),qdd!$C$2:$F$1000,4,FALSE),"")</f>
        <v/>
      </c>
      <c r="H405" s="6" t="str">
        <f t="shared" si="14"/>
        <v/>
      </c>
      <c r="I4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5" s="2" t="str">
        <f>IFERROR(IF('PREENCHER AQUI'!E405="","",'PREENCHER AQUI'!E405),"")</f>
        <v/>
      </c>
      <c r="K405" s="2" t="str">
        <f>IFERROR(IF('PREENCHER AQUI'!F405="","",'PREENCHER AQUI'!F405),"")</f>
        <v/>
      </c>
      <c r="L405" s="2" t="str">
        <f>IF(Tabela1[[#This Row],[IPU_COD]]=9,"91",IF(Tabela1[[#This Row],[ACAO_COD]]="","",VLOOKUP(CONCATENATE("G",J405,"M",K405),qdd!$BC$2:$BD$46,2,FALSE)))</f>
        <v/>
      </c>
      <c r="M405" s="2" t="str">
        <f>TEXT(IFERROR(VLOOKUP(CONCATENATE(C405,D405),qdd!$C$2:$G$1000,5,FALSE),""),0)</f>
        <v/>
      </c>
      <c r="N405" s="2" t="str">
        <f>IFERROR(IF('PREENCHER AQUI'!I405="","",'PREENCHER AQUI'!I405),"")</f>
        <v/>
      </c>
      <c r="O405" s="2" t="str">
        <f>IFERROR(IF('PREENCHER AQUI'!J405="","",'PREENCHER AQUI'!J405),"")</f>
        <v/>
      </c>
      <c r="P405" s="7" t="str">
        <f t="shared" si="15"/>
        <v/>
      </c>
      <c r="Q405" s="8" t="str">
        <f>IFERROR(IF(Tabela4[[#This Row],[VALOR]]="","",IF(Tabela1[[#This Row],[ORIENTACAO]]="Anular",'PREENCHER AQUI'!K405*-1*100,'PREENCHER AQUI'!K405*100)),"")</f>
        <v/>
      </c>
      <c r="T405" s="7" t="str">
        <f>IFERROR(IF('PREENCHER AQUI'!L405="","999",LEFT('PREENCHER AQUI'!L405,1)),"")</f>
        <v>999</v>
      </c>
      <c r="V405" s="19"/>
      <c r="W405" s="20" t="str">
        <f>IFERROR(VLOOKUP(Tabela1[[#This Row],[UO_COD]],qdd!$AT$1:$AU$102,2,FALSE),"")</f>
        <v/>
      </c>
      <c r="X405" s="20" t="str">
        <f>CONCATENATE("F",Tabela1[[#This Row],[FONTE_COD]],Tabela1[[#This Row],[IPU_COD]],"G",Tabela1[[#This Row],[GRUPO_COD]],"T",Tabela1[[#This Row],[TIPO]])</f>
        <v>FGT999</v>
      </c>
      <c r="Y4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5" s="19"/>
      <c r="AA405" s="29" t="str">
        <f>IFERROR(VLOOKUP(CONCATENATE("B",Tabela1[[#This Row],[BLOCO]],Tabela1[[#This Row],[UO_COD]]),qdd!$AW$2:$AX$1000,2,FALSE),"")</f>
        <v/>
      </c>
      <c r="AB405" s="30" t="str">
        <f>IFERROR(Tabela1[[#This Row],[VALOR]]/100,"")</f>
        <v/>
      </c>
      <c r="AC405" s="7" t="str" cm="1">
        <f t="array" aca="1" ref="AC405" ca="1">IF(Tabela1[[#This Row],[VALOR]]&lt;0,"",IFERROR(SUBSTITUTE(Converter_numero(Tabela1[[#This Row],[VALOR INCISO]]),",",""),""))</f>
        <v/>
      </c>
      <c r="AD405" s="29" t="str">
        <f>IF(Tabela1[[#This Row],[TIPO]]=REGRAS!$W$2,REGRAS!$X$2,IF(Tabela1[[#This Row],[TIPO]]=REGRAS!$W$4,REGRAS!$X$4,""))</f>
        <v/>
      </c>
      <c r="AE405" s="29" t="e">
        <f>VLOOKUP(Tabela1[[#This Row],[FONTE_COD]],REGRAS!$O$2:$P$69,2,FALSE)</f>
        <v>#N/A</v>
      </c>
      <c r="AF4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6" spans="1:32" ht="18.75" customHeight="1">
      <c r="A406" s="2" t="str">
        <f>IFERROR(IF('PREENCHER AQUI'!A406="","",'PREENCHER AQUI'!A406),"")</f>
        <v/>
      </c>
      <c r="B406" s="1" t="str">
        <f>IFERROR(IF('PREENCHER AQUI'!B406="","",PROPER('PREENCHER AQUI'!B406)),"")</f>
        <v/>
      </c>
      <c r="C406" s="1" t="str">
        <f>IFERROR(IF('PREENCHER AQUI'!C406="","",'PREENCHER AQUI'!C406),"")</f>
        <v/>
      </c>
      <c r="D406" s="2" t="str">
        <f>IFERROR(IF('PREENCHER AQUI'!D406="","",'PREENCHER AQUI'!D406),"")</f>
        <v/>
      </c>
      <c r="E406" s="2" t="str">
        <f>IFERROR(VLOOKUP(CONCATENATE(C406,D406),qdd!$C$2:$F$1000,2,FALSE),"")</f>
        <v/>
      </c>
      <c r="F406" s="2" t="str">
        <f>IFERROR(VLOOKUP(CONCATENATE(C406,D406),qdd!$C$2:$F$1000,3,FALSE),"")</f>
        <v/>
      </c>
      <c r="G406" s="2" t="str">
        <f>IFERROR(VLOOKUP(CONCATENATE(C406,D406),qdd!$C$2:$F$1000,4,FALSE),"")</f>
        <v/>
      </c>
      <c r="H406" s="6" t="str">
        <f t="shared" si="14"/>
        <v/>
      </c>
      <c r="I4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6" s="2" t="str">
        <f>IFERROR(IF('PREENCHER AQUI'!E406="","",'PREENCHER AQUI'!E406),"")</f>
        <v/>
      </c>
      <c r="K406" s="2" t="str">
        <f>IFERROR(IF('PREENCHER AQUI'!F406="","",'PREENCHER AQUI'!F406),"")</f>
        <v/>
      </c>
      <c r="L406" s="2" t="str">
        <f>IF(Tabela1[[#This Row],[IPU_COD]]=9,"91",IF(Tabela1[[#This Row],[ACAO_COD]]="","",VLOOKUP(CONCATENATE("G",J406,"M",K406),qdd!$BC$2:$BD$46,2,FALSE)))</f>
        <v/>
      </c>
      <c r="M406" s="2" t="str">
        <f>TEXT(IFERROR(VLOOKUP(CONCATENATE(C406,D406),qdd!$C$2:$G$1000,5,FALSE),""),0)</f>
        <v/>
      </c>
      <c r="N406" s="2" t="str">
        <f>IFERROR(IF('PREENCHER AQUI'!I406="","",'PREENCHER AQUI'!I406),"")</f>
        <v/>
      </c>
      <c r="O406" s="2" t="str">
        <f>IFERROR(IF('PREENCHER AQUI'!J406="","",'PREENCHER AQUI'!J406),"")</f>
        <v/>
      </c>
      <c r="P406" s="7" t="str">
        <f t="shared" si="15"/>
        <v/>
      </c>
      <c r="Q406" s="8" t="str">
        <f>IFERROR(IF(Tabela4[[#This Row],[VALOR]]="","",IF(Tabela1[[#This Row],[ORIENTACAO]]="Anular",'PREENCHER AQUI'!K406*-1*100,'PREENCHER AQUI'!K406*100)),"")</f>
        <v/>
      </c>
      <c r="T406" s="7" t="str">
        <f>IFERROR(IF('PREENCHER AQUI'!L406="","999",LEFT('PREENCHER AQUI'!L406,1)),"")</f>
        <v>999</v>
      </c>
      <c r="V406" s="19"/>
      <c r="W406" s="1" t="str">
        <f>IFERROR(VLOOKUP(Tabela1[[#This Row],[UO_COD]],qdd!$AT$1:$AU$102,2,FALSE),"")</f>
        <v/>
      </c>
      <c r="X406" s="1" t="str">
        <f>CONCATENATE("F",Tabela1[[#This Row],[FONTE_COD]],Tabela1[[#This Row],[IPU_COD]],"G",Tabela1[[#This Row],[GRUPO_COD]],"T",Tabela1[[#This Row],[TIPO]])</f>
        <v>FGT999</v>
      </c>
      <c r="Y4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6" s="19"/>
      <c r="AA406" s="29" t="str">
        <f>IFERROR(VLOOKUP(CONCATENATE("B",Tabela1[[#This Row],[BLOCO]],Tabela1[[#This Row],[UO_COD]]),qdd!$AW$2:$AX$1000,2,FALSE),"")</f>
        <v/>
      </c>
      <c r="AB406" s="30" t="str">
        <f>IFERROR(Tabela1[[#This Row],[VALOR]]/100,"")</f>
        <v/>
      </c>
      <c r="AC406" s="7" t="str" cm="1">
        <f t="array" aca="1" ref="AC406" ca="1">IF(Tabela1[[#This Row],[VALOR]]&lt;0,"",IFERROR(SUBSTITUTE(Converter_numero(Tabela1[[#This Row],[VALOR INCISO]]),",",""),""))</f>
        <v/>
      </c>
      <c r="AD406" s="29" t="str">
        <f>IF(Tabela1[[#This Row],[TIPO]]=REGRAS!$W$2,REGRAS!$X$2,IF(Tabela1[[#This Row],[TIPO]]=REGRAS!$W$4,REGRAS!$X$4,""))</f>
        <v/>
      </c>
      <c r="AE406" s="29" t="e">
        <f>VLOOKUP(Tabela1[[#This Row],[FONTE_COD]],REGRAS!$O$2:$P$69,2,FALSE)</f>
        <v>#N/A</v>
      </c>
      <c r="AF4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7" spans="1:32" ht="18.75" customHeight="1">
      <c r="A407" s="2" t="str">
        <f>IFERROR(IF('PREENCHER AQUI'!A407="","",'PREENCHER AQUI'!A407),"")</f>
        <v/>
      </c>
      <c r="B407" s="1" t="str">
        <f>IFERROR(IF('PREENCHER AQUI'!B407="","",PROPER('PREENCHER AQUI'!B407)),"")</f>
        <v/>
      </c>
      <c r="C407" s="1" t="str">
        <f>IFERROR(IF('PREENCHER AQUI'!C407="","",'PREENCHER AQUI'!C407),"")</f>
        <v/>
      </c>
      <c r="D407" s="2" t="str">
        <f>IFERROR(IF('PREENCHER AQUI'!D407="","",'PREENCHER AQUI'!D407),"")</f>
        <v/>
      </c>
      <c r="E407" s="2" t="str">
        <f>IFERROR(VLOOKUP(CONCATENATE(C407,D407),qdd!$C$2:$F$1000,2,FALSE),"")</f>
        <v/>
      </c>
      <c r="F407" s="2" t="str">
        <f>IFERROR(VLOOKUP(CONCATENATE(C407,D407),qdd!$C$2:$F$1000,3,FALSE),"")</f>
        <v/>
      </c>
      <c r="G407" s="2" t="str">
        <f>IFERROR(VLOOKUP(CONCATENATE(C407,D407),qdd!$C$2:$F$1000,4,FALSE),"")</f>
        <v/>
      </c>
      <c r="H407" s="6" t="str">
        <f t="shared" si="14"/>
        <v/>
      </c>
      <c r="I4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7" s="2" t="str">
        <f>IFERROR(IF('PREENCHER AQUI'!E407="","",'PREENCHER AQUI'!E407),"")</f>
        <v/>
      </c>
      <c r="K407" s="2" t="str">
        <f>IFERROR(IF('PREENCHER AQUI'!F407="","",'PREENCHER AQUI'!F407),"")</f>
        <v/>
      </c>
      <c r="L407" s="2" t="str">
        <f>IF(Tabela1[[#This Row],[IPU_COD]]=9,"91",IF(Tabela1[[#This Row],[ACAO_COD]]="","",VLOOKUP(CONCATENATE("G",J407,"M",K407),qdd!$BC$2:$BD$46,2,FALSE)))</f>
        <v/>
      </c>
      <c r="M407" s="2" t="str">
        <f>TEXT(IFERROR(VLOOKUP(CONCATENATE(C407,D407),qdd!$C$2:$G$1000,5,FALSE),""),0)</f>
        <v/>
      </c>
      <c r="N407" s="2" t="str">
        <f>IFERROR(IF('PREENCHER AQUI'!I407="","",'PREENCHER AQUI'!I407),"")</f>
        <v/>
      </c>
      <c r="O407" s="2" t="str">
        <f>IFERROR(IF('PREENCHER AQUI'!J407="","",'PREENCHER AQUI'!J407),"")</f>
        <v/>
      </c>
      <c r="P407" s="7" t="str">
        <f t="shared" si="15"/>
        <v/>
      </c>
      <c r="Q407" s="8" t="str">
        <f>IFERROR(IF(Tabela4[[#This Row],[VALOR]]="","",IF(Tabela1[[#This Row],[ORIENTACAO]]="Anular",'PREENCHER AQUI'!K407*-1*100,'PREENCHER AQUI'!K407*100)),"")</f>
        <v/>
      </c>
      <c r="T407" s="7" t="str">
        <f>IFERROR(IF('PREENCHER AQUI'!L407="","999",LEFT('PREENCHER AQUI'!L407,1)),"")</f>
        <v>999</v>
      </c>
      <c r="W407" s="1" t="str">
        <f>IFERROR(VLOOKUP(Tabela1[[#This Row],[UO_COD]],qdd!$AT$1:$AU$102,2,FALSE),"")</f>
        <v/>
      </c>
      <c r="X407" s="1" t="str">
        <f>CONCATENATE("F",Tabela1[[#This Row],[FONTE_COD]],Tabela1[[#This Row],[IPU_COD]],"G",Tabela1[[#This Row],[GRUPO_COD]],"T",Tabela1[[#This Row],[TIPO]])</f>
        <v>FGT999</v>
      </c>
      <c r="Y4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7" s="19"/>
      <c r="AA407" s="29" t="str">
        <f>IFERROR(VLOOKUP(CONCATENATE("B",Tabela1[[#This Row],[BLOCO]],Tabela1[[#This Row],[UO_COD]]),qdd!$AW$2:$AX$1000,2,FALSE),"")</f>
        <v/>
      </c>
      <c r="AB407" s="30" t="str">
        <f>IFERROR(Tabela1[[#This Row],[VALOR]]/100,"")</f>
        <v/>
      </c>
      <c r="AC407" s="7" t="str" cm="1">
        <f t="array" aca="1" ref="AC407" ca="1">IF(Tabela1[[#This Row],[VALOR]]&lt;0,"",IFERROR(SUBSTITUTE(Converter_numero(Tabela1[[#This Row],[VALOR INCISO]]),",",""),""))</f>
        <v/>
      </c>
      <c r="AD407" s="7" t="str">
        <f>IF(Tabela1[[#This Row],[TIPO]]=REGRAS!$W$2,REGRAS!$X$2,IF(Tabela1[[#This Row],[TIPO]]=REGRAS!$W$4,REGRAS!$X$4,""))</f>
        <v/>
      </c>
      <c r="AE407" s="29" t="e">
        <f>VLOOKUP(Tabela1[[#This Row],[FONTE_COD]],REGRAS!$O$2:$P$69,2,FALSE)</f>
        <v>#N/A</v>
      </c>
      <c r="AF4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8" spans="1:32" ht="18.75" customHeight="1">
      <c r="A408" s="2" t="str">
        <f>IFERROR(IF('PREENCHER AQUI'!A408="","",'PREENCHER AQUI'!A408),"")</f>
        <v/>
      </c>
      <c r="B408" s="1" t="str">
        <f>IFERROR(IF('PREENCHER AQUI'!B408="","",PROPER('PREENCHER AQUI'!B408)),"")</f>
        <v/>
      </c>
      <c r="C408" s="1" t="str">
        <f>IFERROR(IF('PREENCHER AQUI'!C408="","",'PREENCHER AQUI'!C408),"")</f>
        <v/>
      </c>
      <c r="D408" s="2" t="str">
        <f>IFERROR(IF('PREENCHER AQUI'!D408="","",'PREENCHER AQUI'!D408),"")</f>
        <v/>
      </c>
      <c r="E408" s="2" t="str">
        <f>IFERROR(VLOOKUP(CONCATENATE(C408,D408),qdd!$C$2:$F$1000,2,FALSE),"")</f>
        <v/>
      </c>
      <c r="F408" s="2" t="str">
        <f>IFERROR(VLOOKUP(CONCATENATE(C408,D408),qdd!$C$2:$F$1000,3,FALSE),"")</f>
        <v/>
      </c>
      <c r="G408" s="2" t="str">
        <f>IFERROR(VLOOKUP(CONCATENATE(C408,D408),qdd!$C$2:$F$1000,4,FALSE),"")</f>
        <v/>
      </c>
      <c r="H408" s="6" t="str">
        <f t="shared" si="14"/>
        <v/>
      </c>
      <c r="I4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8" s="2" t="str">
        <f>IFERROR(IF('PREENCHER AQUI'!E408="","",'PREENCHER AQUI'!E408),"")</f>
        <v/>
      </c>
      <c r="K408" s="2" t="str">
        <f>IFERROR(IF('PREENCHER AQUI'!F408="","",'PREENCHER AQUI'!F408),"")</f>
        <v/>
      </c>
      <c r="L408" s="2" t="str">
        <f>IF(Tabela1[[#This Row],[IPU_COD]]=9,"91",IF(Tabela1[[#This Row],[ACAO_COD]]="","",VLOOKUP(CONCATENATE("G",J408,"M",K408),qdd!$BC$2:$BD$46,2,FALSE)))</f>
        <v/>
      </c>
      <c r="M408" s="2" t="str">
        <f>TEXT(IFERROR(VLOOKUP(CONCATENATE(C408,D408),qdd!$C$2:$G$1000,5,FALSE),""),0)</f>
        <v/>
      </c>
      <c r="N408" s="2" t="str">
        <f>IFERROR(IF('PREENCHER AQUI'!I408="","",'PREENCHER AQUI'!I408),"")</f>
        <v/>
      </c>
      <c r="O408" s="2" t="str">
        <f>IFERROR(IF('PREENCHER AQUI'!J408="","",'PREENCHER AQUI'!J408),"")</f>
        <v/>
      </c>
      <c r="P408" s="7" t="str">
        <f t="shared" si="15"/>
        <v/>
      </c>
      <c r="Q408" s="8" t="str">
        <f>IFERROR(IF(Tabela4[[#This Row],[VALOR]]="","",IF(Tabela1[[#This Row],[ORIENTACAO]]="Anular",'PREENCHER AQUI'!K408*-1*100,'PREENCHER AQUI'!K408*100)),"")</f>
        <v/>
      </c>
      <c r="T408" s="7" t="str">
        <f>IFERROR(IF('PREENCHER AQUI'!L408="","999",LEFT('PREENCHER AQUI'!L408,1)),"")</f>
        <v>999</v>
      </c>
      <c r="V408" s="19"/>
      <c r="W408" s="1" t="str">
        <f>IFERROR(VLOOKUP(Tabela1[[#This Row],[UO_COD]],qdd!$AT$1:$AU$102,2,FALSE),"")</f>
        <v/>
      </c>
      <c r="X408" s="1" t="str">
        <f>CONCATENATE("F",Tabela1[[#This Row],[FONTE_COD]],Tabela1[[#This Row],[IPU_COD]],"G",Tabela1[[#This Row],[GRUPO_COD]],"T",Tabela1[[#This Row],[TIPO]])</f>
        <v>FGT999</v>
      </c>
      <c r="Y4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8" s="19"/>
      <c r="AA408" s="29" t="str">
        <f>IFERROR(VLOOKUP(CONCATENATE("B",Tabela1[[#This Row],[BLOCO]],Tabela1[[#This Row],[UO_COD]]),qdd!$AW$2:$AX$1000,2,FALSE),"")</f>
        <v/>
      </c>
      <c r="AB408" s="30" t="str">
        <f>IFERROR(Tabela1[[#This Row],[VALOR]]/100,"")</f>
        <v/>
      </c>
      <c r="AC408" s="7" t="str" cm="1">
        <f t="array" aca="1" ref="AC408" ca="1">IF(Tabela1[[#This Row],[VALOR]]&lt;0,"",IFERROR(SUBSTITUTE(Converter_numero(Tabela1[[#This Row],[VALOR INCISO]]),",",""),""))</f>
        <v/>
      </c>
      <c r="AD408" s="29" t="str">
        <f>IF(Tabela1[[#This Row],[TIPO]]=REGRAS!$W$2,REGRAS!$X$2,IF(Tabela1[[#This Row],[TIPO]]=REGRAS!$W$4,REGRAS!$X$4,""))</f>
        <v/>
      </c>
      <c r="AE408" s="29" t="e">
        <f>VLOOKUP(Tabela1[[#This Row],[FONTE_COD]],REGRAS!$O$2:$P$69,2,FALSE)</f>
        <v>#N/A</v>
      </c>
      <c r="AF4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9" spans="1:32" ht="18.75" customHeight="1">
      <c r="A409" s="2" t="str">
        <f>IFERROR(IF('PREENCHER AQUI'!A409="","",'PREENCHER AQUI'!A409),"")</f>
        <v/>
      </c>
      <c r="B409" s="1" t="str">
        <f>IFERROR(IF('PREENCHER AQUI'!B409="","",PROPER('PREENCHER AQUI'!B409)),"")</f>
        <v/>
      </c>
      <c r="C409" s="1" t="str">
        <f>IFERROR(IF('PREENCHER AQUI'!C409="","",'PREENCHER AQUI'!C409),"")</f>
        <v/>
      </c>
      <c r="D409" s="2" t="str">
        <f>IFERROR(IF('PREENCHER AQUI'!D409="","",'PREENCHER AQUI'!D409),"")</f>
        <v/>
      </c>
      <c r="E409" s="2" t="str">
        <f>IFERROR(VLOOKUP(CONCATENATE(C409,D409),qdd!$C$2:$F$1000,2,FALSE),"")</f>
        <v/>
      </c>
      <c r="F409" s="2" t="str">
        <f>IFERROR(VLOOKUP(CONCATENATE(C409,D409),qdd!$C$2:$F$1000,3,FALSE),"")</f>
        <v/>
      </c>
      <c r="G409" s="2" t="str">
        <f>IFERROR(VLOOKUP(CONCATENATE(C409,D409),qdd!$C$2:$F$1000,4,FALSE),"")</f>
        <v/>
      </c>
      <c r="H409" s="6" t="str">
        <f t="shared" si="14"/>
        <v/>
      </c>
      <c r="I4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9" s="2" t="str">
        <f>IFERROR(IF('PREENCHER AQUI'!E409="","",'PREENCHER AQUI'!E409),"")</f>
        <v/>
      </c>
      <c r="K409" s="2" t="str">
        <f>IFERROR(IF('PREENCHER AQUI'!F409="","",'PREENCHER AQUI'!F409),"")</f>
        <v/>
      </c>
      <c r="L409" s="2" t="str">
        <f>IF(Tabela1[[#This Row],[IPU_COD]]=9,"91",IF(Tabela1[[#This Row],[ACAO_COD]]="","",VLOOKUP(CONCATENATE("G",J409,"M",K409),qdd!$BC$2:$BD$46,2,FALSE)))</f>
        <v/>
      </c>
      <c r="M409" s="2" t="str">
        <f>TEXT(IFERROR(VLOOKUP(CONCATENATE(C409,D409),qdd!$C$2:$G$1000,5,FALSE),""),0)</f>
        <v/>
      </c>
      <c r="N409" s="2" t="str">
        <f>IFERROR(IF('PREENCHER AQUI'!I409="","",'PREENCHER AQUI'!I409),"")</f>
        <v/>
      </c>
      <c r="O409" s="2" t="str">
        <f>IFERROR(IF('PREENCHER AQUI'!J409="","",'PREENCHER AQUI'!J409),"")</f>
        <v/>
      </c>
      <c r="P409" s="7" t="str">
        <f t="shared" si="15"/>
        <v/>
      </c>
      <c r="Q409" s="8" t="str">
        <f>IFERROR(IF(Tabela4[[#This Row],[VALOR]]="","",IF(Tabela1[[#This Row],[ORIENTACAO]]="Anular",'PREENCHER AQUI'!K409*-1*100,'PREENCHER AQUI'!K409*100)),"")</f>
        <v/>
      </c>
      <c r="T409" s="7" t="str">
        <f>IFERROR(IF('PREENCHER AQUI'!L409="","999",LEFT('PREENCHER AQUI'!L409,1)),"")</f>
        <v>999</v>
      </c>
      <c r="V409" s="19"/>
      <c r="W409" s="1" t="str">
        <f>IFERROR(VLOOKUP(Tabela1[[#This Row],[UO_COD]],qdd!$AT$1:$AU$102,2,FALSE),"")</f>
        <v/>
      </c>
      <c r="X409" s="1" t="str">
        <f>CONCATENATE("F",Tabela1[[#This Row],[FONTE_COD]],Tabela1[[#This Row],[IPU_COD]],"G",Tabela1[[#This Row],[GRUPO_COD]],"T",Tabela1[[#This Row],[TIPO]])</f>
        <v>FGT999</v>
      </c>
      <c r="Y4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9" s="19"/>
      <c r="AA409" s="29" t="str">
        <f>IFERROR(VLOOKUP(CONCATENATE("B",Tabela1[[#This Row],[BLOCO]],Tabela1[[#This Row],[UO_COD]]),qdd!$AW$2:$AX$1000,2,FALSE),"")</f>
        <v/>
      </c>
      <c r="AB409" s="30" t="str">
        <f>IFERROR(Tabela1[[#This Row],[VALOR]]/100,"")</f>
        <v/>
      </c>
      <c r="AC409" s="7" t="str" cm="1">
        <f t="array" aca="1" ref="AC409" ca="1">IF(Tabela1[[#This Row],[VALOR]]&lt;0,"",IFERROR(SUBSTITUTE(Converter_numero(Tabela1[[#This Row],[VALOR INCISO]]),",",""),""))</f>
        <v/>
      </c>
      <c r="AD409" s="29" t="str">
        <f>IF(Tabela1[[#This Row],[TIPO]]=REGRAS!$W$2,REGRAS!$X$2,IF(Tabela1[[#This Row],[TIPO]]=REGRAS!$W$4,REGRAS!$X$4,""))</f>
        <v/>
      </c>
      <c r="AE409" s="29" t="e">
        <f>VLOOKUP(Tabela1[[#This Row],[FONTE_COD]],REGRAS!$O$2:$P$69,2,FALSE)</f>
        <v>#N/A</v>
      </c>
      <c r="AF4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0" spans="1:32" ht="18.75" customHeight="1">
      <c r="A410" s="2" t="str">
        <f>IFERROR(IF('PREENCHER AQUI'!A410="","",'PREENCHER AQUI'!A410),"")</f>
        <v/>
      </c>
      <c r="B410" s="1" t="str">
        <f>IFERROR(IF('PREENCHER AQUI'!B410="","",PROPER('PREENCHER AQUI'!B410)),"")</f>
        <v/>
      </c>
      <c r="C410" s="1" t="str">
        <f>IFERROR(IF('PREENCHER AQUI'!C410="","",'PREENCHER AQUI'!C410),"")</f>
        <v/>
      </c>
      <c r="D410" s="2" t="str">
        <f>IFERROR(IF('PREENCHER AQUI'!D410="","",'PREENCHER AQUI'!D410),"")</f>
        <v/>
      </c>
      <c r="E410" s="2" t="str">
        <f>IFERROR(VLOOKUP(CONCATENATE(C410,D410),qdd!$C$2:$F$1000,2,FALSE),"")</f>
        <v/>
      </c>
      <c r="F410" s="2" t="str">
        <f>IFERROR(VLOOKUP(CONCATENATE(C410,D410),qdd!$C$2:$F$1000,3,FALSE),"")</f>
        <v/>
      </c>
      <c r="G410" s="2" t="str">
        <f>IFERROR(VLOOKUP(CONCATENATE(C410,D410),qdd!$C$2:$F$1000,4,FALSE),"")</f>
        <v/>
      </c>
      <c r="H410" s="6" t="str">
        <f t="shared" si="14"/>
        <v/>
      </c>
      <c r="I4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0" s="2" t="str">
        <f>IFERROR(IF('PREENCHER AQUI'!E410="","",'PREENCHER AQUI'!E410),"")</f>
        <v/>
      </c>
      <c r="K410" s="2" t="str">
        <f>IFERROR(IF('PREENCHER AQUI'!F410="","",'PREENCHER AQUI'!F410),"")</f>
        <v/>
      </c>
      <c r="L410" s="2" t="str">
        <f>IF(Tabela1[[#This Row],[IPU_COD]]=9,"91",IF(Tabela1[[#This Row],[ACAO_COD]]="","",VLOOKUP(CONCATENATE("G",J410,"M",K410),qdd!$BC$2:$BD$46,2,FALSE)))</f>
        <v/>
      </c>
      <c r="M410" s="2" t="str">
        <f>TEXT(IFERROR(VLOOKUP(CONCATENATE(C410,D410),qdd!$C$2:$G$1000,5,FALSE),""),0)</f>
        <v/>
      </c>
      <c r="N410" s="2" t="str">
        <f>IFERROR(IF('PREENCHER AQUI'!I410="","",'PREENCHER AQUI'!I410),"")</f>
        <v/>
      </c>
      <c r="O410" s="2" t="str">
        <f>IFERROR(IF('PREENCHER AQUI'!J410="","",'PREENCHER AQUI'!J410),"")</f>
        <v/>
      </c>
      <c r="P410" s="7" t="str">
        <f t="shared" si="15"/>
        <v/>
      </c>
      <c r="Q410" s="8" t="str">
        <f>IFERROR(IF(Tabela4[[#This Row],[VALOR]]="","",IF(Tabela1[[#This Row],[ORIENTACAO]]="Anular",'PREENCHER AQUI'!K410*-1*100,'PREENCHER AQUI'!K410*100)),"")</f>
        <v/>
      </c>
      <c r="T410" s="7" t="str">
        <f>IFERROR(IF('PREENCHER AQUI'!L410="","999",LEFT('PREENCHER AQUI'!L410,1)),"")</f>
        <v>999</v>
      </c>
      <c r="V410" s="19"/>
      <c r="W410" s="20" t="str">
        <f>IFERROR(VLOOKUP(Tabela1[[#This Row],[UO_COD]],qdd!$AT$1:$AU$102,2,FALSE),"")</f>
        <v/>
      </c>
      <c r="X410" s="20" t="str">
        <f>CONCATENATE("F",Tabela1[[#This Row],[FONTE_COD]],Tabela1[[#This Row],[IPU_COD]],"G",Tabela1[[#This Row],[GRUPO_COD]],"T",Tabela1[[#This Row],[TIPO]])</f>
        <v>FGT999</v>
      </c>
      <c r="Y4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0" s="19"/>
      <c r="AA410" s="29" t="str">
        <f>IFERROR(VLOOKUP(CONCATENATE("B",Tabela1[[#This Row],[BLOCO]],Tabela1[[#This Row],[UO_COD]]),qdd!$AW$2:$AX$1000,2,FALSE),"")</f>
        <v/>
      </c>
      <c r="AB410" s="30" t="str">
        <f>IFERROR(Tabela1[[#This Row],[VALOR]]/100,"")</f>
        <v/>
      </c>
      <c r="AC410" s="7" t="str" cm="1">
        <f t="array" aca="1" ref="AC410" ca="1">IF(Tabela1[[#This Row],[VALOR]]&lt;0,"",IFERROR(SUBSTITUTE(Converter_numero(Tabela1[[#This Row],[VALOR INCISO]]),",",""),""))</f>
        <v/>
      </c>
      <c r="AD410" s="29" t="str">
        <f>IF(Tabela1[[#This Row],[TIPO]]=REGRAS!$W$2,REGRAS!$X$2,IF(Tabela1[[#This Row],[TIPO]]=REGRAS!$W$4,REGRAS!$X$4,""))</f>
        <v/>
      </c>
      <c r="AE410" s="29" t="e">
        <f>VLOOKUP(Tabela1[[#This Row],[FONTE_COD]],REGRAS!$O$2:$P$69,2,FALSE)</f>
        <v>#N/A</v>
      </c>
      <c r="AF4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1" spans="1:32" ht="18.75" customHeight="1">
      <c r="A411" s="2" t="str">
        <f>IFERROR(IF('PREENCHER AQUI'!A411="","",'PREENCHER AQUI'!A411),"")</f>
        <v/>
      </c>
      <c r="B411" s="1" t="str">
        <f>IFERROR(IF('PREENCHER AQUI'!B411="","",PROPER('PREENCHER AQUI'!B411)),"")</f>
        <v/>
      </c>
      <c r="C411" s="1" t="str">
        <f>IFERROR(IF('PREENCHER AQUI'!C411="","",'PREENCHER AQUI'!C411),"")</f>
        <v/>
      </c>
      <c r="D411" s="2" t="str">
        <f>IFERROR(IF('PREENCHER AQUI'!D411="","",'PREENCHER AQUI'!D411),"")</f>
        <v/>
      </c>
      <c r="E411" s="2" t="str">
        <f>IFERROR(VLOOKUP(CONCATENATE(C411,D411),qdd!$C$2:$F$1000,2,FALSE),"")</f>
        <v/>
      </c>
      <c r="F411" s="2" t="str">
        <f>IFERROR(VLOOKUP(CONCATENATE(C411,D411),qdd!$C$2:$F$1000,3,FALSE),"")</f>
        <v/>
      </c>
      <c r="G411" s="2" t="str">
        <f>IFERROR(VLOOKUP(CONCATENATE(C411,D411),qdd!$C$2:$F$1000,4,FALSE),"")</f>
        <v/>
      </c>
      <c r="H411" s="6" t="str">
        <f t="shared" si="14"/>
        <v/>
      </c>
      <c r="I4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1" s="2" t="str">
        <f>IFERROR(IF('PREENCHER AQUI'!E411="","",'PREENCHER AQUI'!E411),"")</f>
        <v/>
      </c>
      <c r="K411" s="2" t="str">
        <f>IFERROR(IF('PREENCHER AQUI'!F411="","",'PREENCHER AQUI'!F411),"")</f>
        <v/>
      </c>
      <c r="L411" s="2" t="str">
        <f>IF(Tabela1[[#This Row],[IPU_COD]]=9,"91",IF(Tabela1[[#This Row],[ACAO_COD]]="","",VLOOKUP(CONCATENATE("G",J411,"M",K411),qdd!$BC$2:$BD$46,2,FALSE)))</f>
        <v/>
      </c>
      <c r="M411" s="2" t="str">
        <f>TEXT(IFERROR(VLOOKUP(CONCATENATE(C411,D411),qdd!$C$2:$G$1000,5,FALSE),""),0)</f>
        <v/>
      </c>
      <c r="N411" s="2" t="str">
        <f>IFERROR(IF('PREENCHER AQUI'!I411="","",'PREENCHER AQUI'!I411),"")</f>
        <v/>
      </c>
      <c r="O411" s="2" t="str">
        <f>IFERROR(IF('PREENCHER AQUI'!J411="","",'PREENCHER AQUI'!J411),"")</f>
        <v/>
      </c>
      <c r="P411" s="7" t="str">
        <f t="shared" si="15"/>
        <v/>
      </c>
      <c r="Q411" s="8" t="str">
        <f>IFERROR(IF(Tabela4[[#This Row],[VALOR]]="","",IF(Tabela1[[#This Row],[ORIENTACAO]]="Anular",'PREENCHER AQUI'!K411*-1*100,'PREENCHER AQUI'!K411*100)),"")</f>
        <v/>
      </c>
      <c r="T411" s="7" t="str">
        <f>IFERROR(IF('PREENCHER AQUI'!L411="","999",LEFT('PREENCHER AQUI'!L411,1)),"")</f>
        <v>999</v>
      </c>
      <c r="V411" s="19"/>
      <c r="W411" s="1" t="str">
        <f>IFERROR(VLOOKUP(Tabela1[[#This Row],[UO_COD]],qdd!$AT$1:$AU$102,2,FALSE),"")</f>
        <v/>
      </c>
      <c r="X411" s="1" t="str">
        <f>CONCATENATE("F",Tabela1[[#This Row],[FONTE_COD]],Tabela1[[#This Row],[IPU_COD]],"G",Tabela1[[#This Row],[GRUPO_COD]],"T",Tabela1[[#This Row],[TIPO]])</f>
        <v>FGT999</v>
      </c>
      <c r="Y4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1" s="19"/>
      <c r="AA411" s="29" t="str">
        <f>IFERROR(VLOOKUP(CONCATENATE("B",Tabela1[[#This Row],[BLOCO]],Tabela1[[#This Row],[UO_COD]]),qdd!$AW$2:$AX$1000,2,FALSE),"")</f>
        <v/>
      </c>
      <c r="AB411" s="30" t="str">
        <f>IFERROR(Tabela1[[#This Row],[VALOR]]/100,"")</f>
        <v/>
      </c>
      <c r="AC411" s="7" t="str" cm="1">
        <f t="array" aca="1" ref="AC411" ca="1">IF(Tabela1[[#This Row],[VALOR]]&lt;0,"",IFERROR(SUBSTITUTE(Converter_numero(Tabela1[[#This Row],[VALOR INCISO]]),",",""),""))</f>
        <v/>
      </c>
      <c r="AD411" s="29" t="str">
        <f>IF(Tabela1[[#This Row],[TIPO]]=REGRAS!$W$2,REGRAS!$X$2,IF(Tabela1[[#This Row],[TIPO]]=REGRAS!$W$4,REGRAS!$X$4,""))</f>
        <v/>
      </c>
      <c r="AE411" s="29" t="e">
        <f>VLOOKUP(Tabela1[[#This Row],[FONTE_COD]],REGRAS!$O$2:$P$69,2,FALSE)</f>
        <v>#N/A</v>
      </c>
      <c r="AF4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2" spans="1:32" ht="18.75" customHeight="1">
      <c r="A412" s="2" t="str">
        <f>IFERROR(IF('PREENCHER AQUI'!A412="","",'PREENCHER AQUI'!A412),"")</f>
        <v/>
      </c>
      <c r="B412" s="1" t="str">
        <f>IFERROR(IF('PREENCHER AQUI'!B412="","",PROPER('PREENCHER AQUI'!B412)),"")</f>
        <v/>
      </c>
      <c r="C412" s="1" t="str">
        <f>IFERROR(IF('PREENCHER AQUI'!C412="","",'PREENCHER AQUI'!C412),"")</f>
        <v/>
      </c>
      <c r="D412" s="2" t="str">
        <f>IFERROR(IF('PREENCHER AQUI'!D412="","",'PREENCHER AQUI'!D412),"")</f>
        <v/>
      </c>
      <c r="E412" s="2" t="str">
        <f>IFERROR(VLOOKUP(CONCATENATE(C412,D412),qdd!$C$2:$F$1000,2,FALSE),"")</f>
        <v/>
      </c>
      <c r="F412" s="2" t="str">
        <f>IFERROR(VLOOKUP(CONCATENATE(C412,D412),qdd!$C$2:$F$1000,3,FALSE),"")</f>
        <v/>
      </c>
      <c r="G412" s="2" t="str">
        <f>IFERROR(VLOOKUP(CONCATENATE(C412,D412),qdd!$C$2:$F$1000,4,FALSE),"")</f>
        <v/>
      </c>
      <c r="H412" s="6" t="str">
        <f t="shared" si="14"/>
        <v/>
      </c>
      <c r="I4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2" s="2" t="str">
        <f>IFERROR(IF('PREENCHER AQUI'!E412="","",'PREENCHER AQUI'!E412),"")</f>
        <v/>
      </c>
      <c r="K412" s="2" t="str">
        <f>IFERROR(IF('PREENCHER AQUI'!F412="","",'PREENCHER AQUI'!F412),"")</f>
        <v/>
      </c>
      <c r="L412" s="2" t="str">
        <f>IF(Tabela1[[#This Row],[IPU_COD]]=9,"91",IF(Tabela1[[#This Row],[ACAO_COD]]="","",VLOOKUP(CONCATENATE("G",J412,"M",K412),qdd!$BC$2:$BD$46,2,FALSE)))</f>
        <v/>
      </c>
      <c r="M412" s="2" t="str">
        <f>TEXT(IFERROR(VLOOKUP(CONCATENATE(C412,D412),qdd!$C$2:$G$1000,5,FALSE),""),0)</f>
        <v/>
      </c>
      <c r="N412" s="2" t="str">
        <f>IFERROR(IF('PREENCHER AQUI'!I412="","",'PREENCHER AQUI'!I412),"")</f>
        <v/>
      </c>
      <c r="O412" s="2" t="str">
        <f>IFERROR(IF('PREENCHER AQUI'!J412="","",'PREENCHER AQUI'!J412),"")</f>
        <v/>
      </c>
      <c r="P412" s="7" t="str">
        <f t="shared" si="15"/>
        <v/>
      </c>
      <c r="Q412" s="8" t="str">
        <f>IFERROR(IF(Tabela4[[#This Row],[VALOR]]="","",IF(Tabela1[[#This Row],[ORIENTACAO]]="Anular",'PREENCHER AQUI'!K412*-1*100,'PREENCHER AQUI'!K412*100)),"")</f>
        <v/>
      </c>
      <c r="T412" s="7" t="str">
        <f>IFERROR(IF('PREENCHER AQUI'!L412="","999",LEFT('PREENCHER AQUI'!L412,1)),"")</f>
        <v>999</v>
      </c>
      <c r="W412" s="1" t="str">
        <f>IFERROR(VLOOKUP(Tabela1[[#This Row],[UO_COD]],qdd!$AT$1:$AU$102,2,FALSE),"")</f>
        <v/>
      </c>
      <c r="X412" s="1" t="str">
        <f>CONCATENATE("F",Tabela1[[#This Row],[FONTE_COD]],Tabela1[[#This Row],[IPU_COD]],"G",Tabela1[[#This Row],[GRUPO_COD]],"T",Tabela1[[#This Row],[TIPO]])</f>
        <v>FGT999</v>
      </c>
      <c r="Y4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2" s="19"/>
      <c r="AA412" s="29" t="str">
        <f>IFERROR(VLOOKUP(CONCATENATE("B",Tabela1[[#This Row],[BLOCO]],Tabela1[[#This Row],[UO_COD]]),qdd!$AW$2:$AX$1000,2,FALSE),"")</f>
        <v/>
      </c>
      <c r="AB412" s="30" t="str">
        <f>IFERROR(Tabela1[[#This Row],[VALOR]]/100,"")</f>
        <v/>
      </c>
      <c r="AC412" s="7" t="str" cm="1">
        <f t="array" aca="1" ref="AC412" ca="1">IF(Tabela1[[#This Row],[VALOR]]&lt;0,"",IFERROR(SUBSTITUTE(Converter_numero(Tabela1[[#This Row],[VALOR INCISO]]),",",""),""))</f>
        <v/>
      </c>
      <c r="AD412" s="7" t="str">
        <f>IF(Tabela1[[#This Row],[TIPO]]=REGRAS!$W$2,REGRAS!$X$2,IF(Tabela1[[#This Row],[TIPO]]=REGRAS!$W$4,REGRAS!$X$4,""))</f>
        <v/>
      </c>
      <c r="AE412" s="29" t="e">
        <f>VLOOKUP(Tabela1[[#This Row],[FONTE_COD]],REGRAS!$O$2:$P$69,2,FALSE)</f>
        <v>#N/A</v>
      </c>
      <c r="AF4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3" spans="1:32" ht="18.75" customHeight="1">
      <c r="A413" s="2" t="str">
        <f>IFERROR(IF('PREENCHER AQUI'!A413="","",'PREENCHER AQUI'!A413),"")</f>
        <v/>
      </c>
      <c r="B413" s="1" t="str">
        <f>IFERROR(IF('PREENCHER AQUI'!B413="","",PROPER('PREENCHER AQUI'!B413)),"")</f>
        <v/>
      </c>
      <c r="C413" s="1" t="str">
        <f>IFERROR(IF('PREENCHER AQUI'!C413="","",'PREENCHER AQUI'!C413),"")</f>
        <v/>
      </c>
      <c r="D413" s="2" t="str">
        <f>IFERROR(IF('PREENCHER AQUI'!D413="","",'PREENCHER AQUI'!D413),"")</f>
        <v/>
      </c>
      <c r="E413" s="2" t="str">
        <f>IFERROR(VLOOKUP(CONCATENATE(C413,D413),qdd!$C$2:$F$1000,2,FALSE),"")</f>
        <v/>
      </c>
      <c r="F413" s="2" t="str">
        <f>IFERROR(VLOOKUP(CONCATENATE(C413,D413),qdd!$C$2:$F$1000,3,FALSE),"")</f>
        <v/>
      </c>
      <c r="G413" s="2" t="str">
        <f>IFERROR(VLOOKUP(CONCATENATE(C413,D413),qdd!$C$2:$F$1000,4,FALSE),"")</f>
        <v/>
      </c>
      <c r="H413" s="6" t="str">
        <f t="shared" si="14"/>
        <v/>
      </c>
      <c r="I4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3" s="2" t="str">
        <f>IFERROR(IF('PREENCHER AQUI'!E413="","",'PREENCHER AQUI'!E413),"")</f>
        <v/>
      </c>
      <c r="K413" s="2" t="str">
        <f>IFERROR(IF('PREENCHER AQUI'!F413="","",'PREENCHER AQUI'!F413),"")</f>
        <v/>
      </c>
      <c r="L413" s="2" t="str">
        <f>IF(Tabela1[[#This Row],[IPU_COD]]=9,"91",IF(Tabela1[[#This Row],[ACAO_COD]]="","",VLOOKUP(CONCATENATE("G",J413,"M",K413),qdd!$BC$2:$BD$46,2,FALSE)))</f>
        <v/>
      </c>
      <c r="M413" s="2" t="str">
        <f>TEXT(IFERROR(VLOOKUP(CONCATENATE(C413,D413),qdd!$C$2:$G$1000,5,FALSE),""),0)</f>
        <v/>
      </c>
      <c r="N413" s="2" t="str">
        <f>IFERROR(IF('PREENCHER AQUI'!I413="","",'PREENCHER AQUI'!I413),"")</f>
        <v/>
      </c>
      <c r="O413" s="2" t="str">
        <f>IFERROR(IF('PREENCHER AQUI'!J413="","",'PREENCHER AQUI'!J413),"")</f>
        <v/>
      </c>
      <c r="P413" s="7" t="str">
        <f t="shared" si="15"/>
        <v/>
      </c>
      <c r="Q413" s="8" t="str">
        <f>IFERROR(IF(Tabela4[[#This Row],[VALOR]]="","",IF(Tabela1[[#This Row],[ORIENTACAO]]="Anular",'PREENCHER AQUI'!K413*-1*100,'PREENCHER AQUI'!K413*100)),"")</f>
        <v/>
      </c>
      <c r="T413" s="7" t="str">
        <f>IFERROR(IF('PREENCHER AQUI'!L413="","999",LEFT('PREENCHER AQUI'!L413,1)),"")</f>
        <v>999</v>
      </c>
      <c r="V413" s="19"/>
      <c r="W413" s="1" t="str">
        <f>IFERROR(VLOOKUP(Tabela1[[#This Row],[UO_COD]],qdd!$AT$1:$AU$102,2,FALSE),"")</f>
        <v/>
      </c>
      <c r="X413" s="1" t="str">
        <f>CONCATENATE("F",Tabela1[[#This Row],[FONTE_COD]],Tabela1[[#This Row],[IPU_COD]],"G",Tabela1[[#This Row],[GRUPO_COD]],"T",Tabela1[[#This Row],[TIPO]])</f>
        <v>FGT999</v>
      </c>
      <c r="Y4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3" s="19"/>
      <c r="AA413" s="29" t="str">
        <f>IFERROR(VLOOKUP(CONCATENATE("B",Tabela1[[#This Row],[BLOCO]],Tabela1[[#This Row],[UO_COD]]),qdd!$AW$2:$AX$1000,2,FALSE),"")</f>
        <v/>
      </c>
      <c r="AB413" s="30" t="str">
        <f>IFERROR(Tabela1[[#This Row],[VALOR]]/100,"")</f>
        <v/>
      </c>
      <c r="AC413" s="7" t="str" cm="1">
        <f t="array" aca="1" ref="AC413" ca="1">IF(Tabela1[[#This Row],[VALOR]]&lt;0,"",IFERROR(SUBSTITUTE(Converter_numero(Tabela1[[#This Row],[VALOR INCISO]]),",",""),""))</f>
        <v/>
      </c>
      <c r="AD413" s="29" t="str">
        <f>IF(Tabela1[[#This Row],[TIPO]]=REGRAS!$W$2,REGRAS!$X$2,IF(Tabela1[[#This Row],[TIPO]]=REGRAS!$W$4,REGRAS!$X$4,""))</f>
        <v/>
      </c>
      <c r="AE413" s="29" t="e">
        <f>VLOOKUP(Tabela1[[#This Row],[FONTE_COD]],REGRAS!$O$2:$P$69,2,FALSE)</f>
        <v>#N/A</v>
      </c>
      <c r="AF4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4" spans="1:32" ht="18.75" customHeight="1">
      <c r="A414" s="2" t="str">
        <f>IFERROR(IF('PREENCHER AQUI'!A414="","",'PREENCHER AQUI'!A414),"")</f>
        <v/>
      </c>
      <c r="B414" s="1" t="str">
        <f>IFERROR(IF('PREENCHER AQUI'!B414="","",PROPER('PREENCHER AQUI'!B414)),"")</f>
        <v/>
      </c>
      <c r="C414" s="1" t="str">
        <f>IFERROR(IF('PREENCHER AQUI'!C414="","",'PREENCHER AQUI'!C414),"")</f>
        <v/>
      </c>
      <c r="D414" s="2" t="str">
        <f>IFERROR(IF('PREENCHER AQUI'!D414="","",'PREENCHER AQUI'!D414),"")</f>
        <v/>
      </c>
      <c r="E414" s="2" t="str">
        <f>IFERROR(VLOOKUP(CONCATENATE(C414,D414),qdd!$C$2:$F$1000,2,FALSE),"")</f>
        <v/>
      </c>
      <c r="F414" s="2" t="str">
        <f>IFERROR(VLOOKUP(CONCATENATE(C414,D414),qdd!$C$2:$F$1000,3,FALSE),"")</f>
        <v/>
      </c>
      <c r="G414" s="2" t="str">
        <f>IFERROR(VLOOKUP(CONCATENATE(C414,D414),qdd!$C$2:$F$1000,4,FALSE),"")</f>
        <v/>
      </c>
      <c r="H414" s="6" t="str">
        <f t="shared" si="14"/>
        <v/>
      </c>
      <c r="I4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4" s="2" t="str">
        <f>IFERROR(IF('PREENCHER AQUI'!E414="","",'PREENCHER AQUI'!E414),"")</f>
        <v/>
      </c>
      <c r="K414" s="2" t="str">
        <f>IFERROR(IF('PREENCHER AQUI'!F414="","",'PREENCHER AQUI'!F414),"")</f>
        <v/>
      </c>
      <c r="L414" s="2" t="str">
        <f>IF(Tabela1[[#This Row],[IPU_COD]]=9,"91",IF(Tabela1[[#This Row],[ACAO_COD]]="","",VLOOKUP(CONCATENATE("G",J414,"M",K414),qdd!$BC$2:$BD$46,2,FALSE)))</f>
        <v/>
      </c>
      <c r="M414" s="2" t="str">
        <f>TEXT(IFERROR(VLOOKUP(CONCATENATE(C414,D414),qdd!$C$2:$G$1000,5,FALSE),""),0)</f>
        <v/>
      </c>
      <c r="N414" s="2" t="str">
        <f>IFERROR(IF('PREENCHER AQUI'!I414="","",'PREENCHER AQUI'!I414),"")</f>
        <v/>
      </c>
      <c r="O414" s="2" t="str">
        <f>IFERROR(IF('PREENCHER AQUI'!J414="","",'PREENCHER AQUI'!J414),"")</f>
        <v/>
      </c>
      <c r="P414" s="7" t="str">
        <f t="shared" si="15"/>
        <v/>
      </c>
      <c r="Q414" s="8" t="str">
        <f>IFERROR(IF(Tabela4[[#This Row],[VALOR]]="","",IF(Tabela1[[#This Row],[ORIENTACAO]]="Anular",'PREENCHER AQUI'!K414*-1*100,'PREENCHER AQUI'!K414*100)),"")</f>
        <v/>
      </c>
      <c r="T414" s="7" t="str">
        <f>IFERROR(IF('PREENCHER AQUI'!L414="","999",LEFT('PREENCHER AQUI'!L414,1)),"")</f>
        <v>999</v>
      </c>
      <c r="V414" s="19"/>
      <c r="W414" s="1" t="str">
        <f>IFERROR(VLOOKUP(Tabela1[[#This Row],[UO_COD]],qdd!$AT$1:$AU$102,2,FALSE),"")</f>
        <v/>
      </c>
      <c r="X414" s="1" t="str">
        <f>CONCATENATE("F",Tabela1[[#This Row],[FONTE_COD]],Tabela1[[#This Row],[IPU_COD]],"G",Tabela1[[#This Row],[GRUPO_COD]],"T",Tabela1[[#This Row],[TIPO]])</f>
        <v>FGT999</v>
      </c>
      <c r="Y4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4" s="19"/>
      <c r="AA414" s="29" t="str">
        <f>IFERROR(VLOOKUP(CONCATENATE("B",Tabela1[[#This Row],[BLOCO]],Tabela1[[#This Row],[UO_COD]]),qdd!$AW$2:$AX$1000,2,FALSE),"")</f>
        <v/>
      </c>
      <c r="AB414" s="30" t="str">
        <f>IFERROR(Tabela1[[#This Row],[VALOR]]/100,"")</f>
        <v/>
      </c>
      <c r="AC414" s="7" t="str" cm="1">
        <f t="array" aca="1" ref="AC414" ca="1">IF(Tabela1[[#This Row],[VALOR]]&lt;0,"",IFERROR(SUBSTITUTE(Converter_numero(Tabela1[[#This Row],[VALOR INCISO]]),",",""),""))</f>
        <v/>
      </c>
      <c r="AD414" s="29" t="str">
        <f>IF(Tabela1[[#This Row],[TIPO]]=REGRAS!$W$2,REGRAS!$X$2,IF(Tabela1[[#This Row],[TIPO]]=REGRAS!$W$4,REGRAS!$X$4,""))</f>
        <v/>
      </c>
      <c r="AE414" s="29" t="e">
        <f>VLOOKUP(Tabela1[[#This Row],[FONTE_COD]],REGRAS!$O$2:$P$69,2,FALSE)</f>
        <v>#N/A</v>
      </c>
      <c r="AF4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5" spans="1:32" ht="18.75" customHeight="1">
      <c r="A415" s="2" t="str">
        <f>IFERROR(IF('PREENCHER AQUI'!A415="","",'PREENCHER AQUI'!A415),"")</f>
        <v/>
      </c>
      <c r="B415" s="1" t="str">
        <f>IFERROR(IF('PREENCHER AQUI'!B415="","",PROPER('PREENCHER AQUI'!B415)),"")</f>
        <v/>
      </c>
      <c r="C415" s="1" t="str">
        <f>IFERROR(IF('PREENCHER AQUI'!C415="","",'PREENCHER AQUI'!C415),"")</f>
        <v/>
      </c>
      <c r="D415" s="2" t="str">
        <f>IFERROR(IF('PREENCHER AQUI'!D415="","",'PREENCHER AQUI'!D415),"")</f>
        <v/>
      </c>
      <c r="E415" s="2" t="str">
        <f>IFERROR(VLOOKUP(CONCATENATE(C415,D415),qdd!$C$2:$F$1000,2,FALSE),"")</f>
        <v/>
      </c>
      <c r="F415" s="2" t="str">
        <f>IFERROR(VLOOKUP(CONCATENATE(C415,D415),qdd!$C$2:$F$1000,3,FALSE),"")</f>
        <v/>
      </c>
      <c r="G415" s="2" t="str">
        <f>IFERROR(VLOOKUP(CONCATENATE(C415,D415),qdd!$C$2:$F$1000,4,FALSE),"")</f>
        <v/>
      </c>
      <c r="H415" s="6" t="str">
        <f t="shared" si="14"/>
        <v/>
      </c>
      <c r="I4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5" s="2" t="str">
        <f>IFERROR(IF('PREENCHER AQUI'!E415="","",'PREENCHER AQUI'!E415),"")</f>
        <v/>
      </c>
      <c r="K415" s="2" t="str">
        <f>IFERROR(IF('PREENCHER AQUI'!F415="","",'PREENCHER AQUI'!F415),"")</f>
        <v/>
      </c>
      <c r="L415" s="2" t="str">
        <f>IF(Tabela1[[#This Row],[IPU_COD]]=9,"91",IF(Tabela1[[#This Row],[ACAO_COD]]="","",VLOOKUP(CONCATENATE("G",J415,"M",K415),qdd!$BC$2:$BD$46,2,FALSE)))</f>
        <v/>
      </c>
      <c r="M415" s="2" t="str">
        <f>TEXT(IFERROR(VLOOKUP(CONCATENATE(C415,D415),qdd!$C$2:$G$1000,5,FALSE),""),0)</f>
        <v/>
      </c>
      <c r="N415" s="2" t="str">
        <f>IFERROR(IF('PREENCHER AQUI'!I415="","",'PREENCHER AQUI'!I415),"")</f>
        <v/>
      </c>
      <c r="O415" s="2" t="str">
        <f>IFERROR(IF('PREENCHER AQUI'!J415="","",'PREENCHER AQUI'!J415),"")</f>
        <v/>
      </c>
      <c r="P415" s="7" t="str">
        <f t="shared" si="15"/>
        <v/>
      </c>
      <c r="Q415" s="8" t="str">
        <f>IFERROR(IF(Tabela4[[#This Row],[VALOR]]="","",IF(Tabela1[[#This Row],[ORIENTACAO]]="Anular",'PREENCHER AQUI'!K415*-1*100,'PREENCHER AQUI'!K415*100)),"")</f>
        <v/>
      </c>
      <c r="T415" s="7" t="str">
        <f>IFERROR(IF('PREENCHER AQUI'!L415="","999",LEFT('PREENCHER AQUI'!L415,1)),"")</f>
        <v>999</v>
      </c>
      <c r="V415" s="19"/>
      <c r="W415" s="20" t="str">
        <f>IFERROR(VLOOKUP(Tabela1[[#This Row],[UO_COD]],qdd!$AT$1:$AU$102,2,FALSE),"")</f>
        <v/>
      </c>
      <c r="X415" s="20" t="str">
        <f>CONCATENATE("F",Tabela1[[#This Row],[FONTE_COD]],Tabela1[[#This Row],[IPU_COD]],"G",Tabela1[[#This Row],[GRUPO_COD]],"T",Tabela1[[#This Row],[TIPO]])</f>
        <v>FGT999</v>
      </c>
      <c r="Y4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5" s="19"/>
      <c r="AA415" s="29" t="str">
        <f>IFERROR(VLOOKUP(CONCATENATE("B",Tabela1[[#This Row],[BLOCO]],Tabela1[[#This Row],[UO_COD]]),qdd!$AW$2:$AX$1000,2,FALSE),"")</f>
        <v/>
      </c>
      <c r="AB415" s="30" t="str">
        <f>IFERROR(Tabela1[[#This Row],[VALOR]]/100,"")</f>
        <v/>
      </c>
      <c r="AC415" s="7" t="str" cm="1">
        <f t="array" aca="1" ref="AC415" ca="1">IF(Tabela1[[#This Row],[VALOR]]&lt;0,"",IFERROR(SUBSTITUTE(Converter_numero(Tabela1[[#This Row],[VALOR INCISO]]),",",""),""))</f>
        <v/>
      </c>
      <c r="AD415" s="29" t="str">
        <f>IF(Tabela1[[#This Row],[TIPO]]=REGRAS!$W$2,REGRAS!$X$2,IF(Tabela1[[#This Row],[TIPO]]=REGRAS!$W$4,REGRAS!$X$4,""))</f>
        <v/>
      </c>
      <c r="AE415" s="29" t="e">
        <f>VLOOKUP(Tabela1[[#This Row],[FONTE_COD]],REGRAS!$O$2:$P$69,2,FALSE)</f>
        <v>#N/A</v>
      </c>
      <c r="AF4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6" spans="1:32" ht="18.75" customHeight="1">
      <c r="A416" s="2" t="str">
        <f>IFERROR(IF('PREENCHER AQUI'!A416="","",'PREENCHER AQUI'!A416),"")</f>
        <v/>
      </c>
      <c r="B416" s="1" t="str">
        <f>IFERROR(IF('PREENCHER AQUI'!B416="","",PROPER('PREENCHER AQUI'!B416)),"")</f>
        <v/>
      </c>
      <c r="C416" s="1" t="str">
        <f>IFERROR(IF('PREENCHER AQUI'!C416="","",'PREENCHER AQUI'!C416),"")</f>
        <v/>
      </c>
      <c r="D416" s="2" t="str">
        <f>IFERROR(IF('PREENCHER AQUI'!D416="","",'PREENCHER AQUI'!D416),"")</f>
        <v/>
      </c>
      <c r="E416" s="2" t="str">
        <f>IFERROR(VLOOKUP(CONCATENATE(C416,D416),qdd!$C$2:$F$1000,2,FALSE),"")</f>
        <v/>
      </c>
      <c r="F416" s="2" t="str">
        <f>IFERROR(VLOOKUP(CONCATENATE(C416,D416),qdd!$C$2:$F$1000,3,FALSE),"")</f>
        <v/>
      </c>
      <c r="G416" s="2" t="str">
        <f>IFERROR(VLOOKUP(CONCATENATE(C416,D416),qdd!$C$2:$F$1000,4,FALSE),"")</f>
        <v/>
      </c>
      <c r="H416" s="6" t="str">
        <f t="shared" si="14"/>
        <v/>
      </c>
      <c r="I4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6" s="2" t="str">
        <f>IFERROR(IF('PREENCHER AQUI'!E416="","",'PREENCHER AQUI'!E416),"")</f>
        <v/>
      </c>
      <c r="K416" s="2" t="str">
        <f>IFERROR(IF('PREENCHER AQUI'!F416="","",'PREENCHER AQUI'!F416),"")</f>
        <v/>
      </c>
      <c r="L416" s="2" t="str">
        <f>IF(Tabela1[[#This Row],[IPU_COD]]=9,"91",IF(Tabela1[[#This Row],[ACAO_COD]]="","",VLOOKUP(CONCATENATE("G",J416,"M",K416),qdd!$BC$2:$BD$46,2,FALSE)))</f>
        <v/>
      </c>
      <c r="M416" s="2" t="str">
        <f>TEXT(IFERROR(VLOOKUP(CONCATENATE(C416,D416),qdd!$C$2:$G$1000,5,FALSE),""),0)</f>
        <v/>
      </c>
      <c r="N416" s="2" t="str">
        <f>IFERROR(IF('PREENCHER AQUI'!I416="","",'PREENCHER AQUI'!I416),"")</f>
        <v/>
      </c>
      <c r="O416" s="2" t="str">
        <f>IFERROR(IF('PREENCHER AQUI'!J416="","",'PREENCHER AQUI'!J416),"")</f>
        <v/>
      </c>
      <c r="P416" s="7" t="str">
        <f t="shared" si="15"/>
        <v/>
      </c>
      <c r="Q416" s="8" t="str">
        <f>IFERROR(IF(Tabela4[[#This Row],[VALOR]]="","",IF(Tabela1[[#This Row],[ORIENTACAO]]="Anular",'PREENCHER AQUI'!K416*-1*100,'PREENCHER AQUI'!K416*100)),"")</f>
        <v/>
      </c>
      <c r="T416" s="7" t="str">
        <f>IFERROR(IF('PREENCHER AQUI'!L416="","999",LEFT('PREENCHER AQUI'!L416,1)),"")</f>
        <v>999</v>
      </c>
      <c r="V416" s="19"/>
      <c r="W416" s="1" t="str">
        <f>IFERROR(VLOOKUP(Tabela1[[#This Row],[UO_COD]],qdd!$AT$1:$AU$102,2,FALSE),"")</f>
        <v/>
      </c>
      <c r="X416" s="1" t="str">
        <f>CONCATENATE("F",Tabela1[[#This Row],[FONTE_COD]],Tabela1[[#This Row],[IPU_COD]],"G",Tabela1[[#This Row],[GRUPO_COD]],"T",Tabela1[[#This Row],[TIPO]])</f>
        <v>FGT999</v>
      </c>
      <c r="Y4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6" s="19"/>
      <c r="AA416" s="29" t="str">
        <f>IFERROR(VLOOKUP(CONCATENATE("B",Tabela1[[#This Row],[BLOCO]],Tabela1[[#This Row],[UO_COD]]),qdd!$AW$2:$AX$1000,2,FALSE),"")</f>
        <v/>
      </c>
      <c r="AB416" s="30" t="str">
        <f>IFERROR(Tabela1[[#This Row],[VALOR]]/100,"")</f>
        <v/>
      </c>
      <c r="AC416" s="7" t="str" cm="1">
        <f t="array" aca="1" ref="AC416" ca="1">IF(Tabela1[[#This Row],[VALOR]]&lt;0,"",IFERROR(SUBSTITUTE(Converter_numero(Tabela1[[#This Row],[VALOR INCISO]]),",",""),""))</f>
        <v/>
      </c>
      <c r="AD416" s="29" t="str">
        <f>IF(Tabela1[[#This Row],[TIPO]]=REGRAS!$W$2,REGRAS!$X$2,IF(Tabela1[[#This Row],[TIPO]]=REGRAS!$W$4,REGRAS!$X$4,""))</f>
        <v/>
      </c>
      <c r="AE416" s="29" t="e">
        <f>VLOOKUP(Tabela1[[#This Row],[FONTE_COD]],REGRAS!$O$2:$P$69,2,FALSE)</f>
        <v>#N/A</v>
      </c>
      <c r="AF4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7" spans="1:32" ht="18.75" customHeight="1">
      <c r="A417" s="2" t="str">
        <f>IFERROR(IF('PREENCHER AQUI'!A417="","",'PREENCHER AQUI'!A417),"")</f>
        <v/>
      </c>
      <c r="B417" s="1" t="str">
        <f>IFERROR(IF('PREENCHER AQUI'!B417="","",PROPER('PREENCHER AQUI'!B417)),"")</f>
        <v/>
      </c>
      <c r="C417" s="1" t="str">
        <f>IFERROR(IF('PREENCHER AQUI'!C417="","",'PREENCHER AQUI'!C417),"")</f>
        <v/>
      </c>
      <c r="D417" s="2" t="str">
        <f>IFERROR(IF('PREENCHER AQUI'!D417="","",'PREENCHER AQUI'!D417),"")</f>
        <v/>
      </c>
      <c r="E417" s="2" t="str">
        <f>IFERROR(VLOOKUP(CONCATENATE(C417,D417),qdd!$C$2:$F$1000,2,FALSE),"")</f>
        <v/>
      </c>
      <c r="F417" s="2" t="str">
        <f>IFERROR(VLOOKUP(CONCATENATE(C417,D417),qdd!$C$2:$F$1000,3,FALSE),"")</f>
        <v/>
      </c>
      <c r="G417" s="2" t="str">
        <f>IFERROR(VLOOKUP(CONCATENATE(C417,D417),qdd!$C$2:$F$1000,4,FALSE),"")</f>
        <v/>
      </c>
      <c r="H417" s="6" t="str">
        <f t="shared" si="14"/>
        <v/>
      </c>
      <c r="I4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7" s="2" t="str">
        <f>IFERROR(IF('PREENCHER AQUI'!E417="","",'PREENCHER AQUI'!E417),"")</f>
        <v/>
      </c>
      <c r="K417" s="2" t="str">
        <f>IFERROR(IF('PREENCHER AQUI'!F417="","",'PREENCHER AQUI'!F417),"")</f>
        <v/>
      </c>
      <c r="L417" s="2" t="str">
        <f>IF(Tabela1[[#This Row],[IPU_COD]]=9,"91",IF(Tabela1[[#This Row],[ACAO_COD]]="","",VLOOKUP(CONCATENATE("G",J417,"M",K417),qdd!$BC$2:$BD$46,2,FALSE)))</f>
        <v/>
      </c>
      <c r="M417" s="2" t="str">
        <f>TEXT(IFERROR(VLOOKUP(CONCATENATE(C417,D417),qdd!$C$2:$G$1000,5,FALSE),""),0)</f>
        <v/>
      </c>
      <c r="N417" s="2" t="str">
        <f>IFERROR(IF('PREENCHER AQUI'!I417="","",'PREENCHER AQUI'!I417),"")</f>
        <v/>
      </c>
      <c r="O417" s="2" t="str">
        <f>IFERROR(IF('PREENCHER AQUI'!J417="","",'PREENCHER AQUI'!J417),"")</f>
        <v/>
      </c>
      <c r="P417" s="7" t="str">
        <f t="shared" si="15"/>
        <v/>
      </c>
      <c r="Q417" s="8" t="str">
        <f>IFERROR(IF(Tabela4[[#This Row],[VALOR]]="","",IF(Tabela1[[#This Row],[ORIENTACAO]]="Anular",'PREENCHER AQUI'!K417*-1*100,'PREENCHER AQUI'!K417*100)),"")</f>
        <v/>
      </c>
      <c r="T417" s="7" t="str">
        <f>IFERROR(IF('PREENCHER AQUI'!L417="","999",LEFT('PREENCHER AQUI'!L417,1)),"")</f>
        <v>999</v>
      </c>
      <c r="W417" s="1" t="str">
        <f>IFERROR(VLOOKUP(Tabela1[[#This Row],[UO_COD]],qdd!$AT$1:$AU$102,2,FALSE),"")</f>
        <v/>
      </c>
      <c r="X417" s="1" t="str">
        <f>CONCATENATE("F",Tabela1[[#This Row],[FONTE_COD]],Tabela1[[#This Row],[IPU_COD]],"G",Tabela1[[#This Row],[GRUPO_COD]],"T",Tabela1[[#This Row],[TIPO]])</f>
        <v>FGT999</v>
      </c>
      <c r="Y4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7" s="19"/>
      <c r="AA417" s="29" t="str">
        <f>IFERROR(VLOOKUP(CONCATENATE("B",Tabela1[[#This Row],[BLOCO]],Tabela1[[#This Row],[UO_COD]]),qdd!$AW$2:$AX$1000,2,FALSE),"")</f>
        <v/>
      </c>
      <c r="AB417" s="30" t="str">
        <f>IFERROR(Tabela1[[#This Row],[VALOR]]/100,"")</f>
        <v/>
      </c>
      <c r="AC417" s="7" t="str" cm="1">
        <f t="array" aca="1" ref="AC417" ca="1">IF(Tabela1[[#This Row],[VALOR]]&lt;0,"",IFERROR(SUBSTITUTE(Converter_numero(Tabela1[[#This Row],[VALOR INCISO]]),",",""),""))</f>
        <v/>
      </c>
      <c r="AD417" s="7" t="str">
        <f>IF(Tabela1[[#This Row],[TIPO]]=REGRAS!$W$2,REGRAS!$X$2,IF(Tabela1[[#This Row],[TIPO]]=REGRAS!$W$4,REGRAS!$X$4,""))</f>
        <v/>
      </c>
      <c r="AE417" s="29" t="e">
        <f>VLOOKUP(Tabela1[[#This Row],[FONTE_COD]],REGRAS!$O$2:$P$69,2,FALSE)</f>
        <v>#N/A</v>
      </c>
      <c r="AF4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8" spans="1:32" ht="18.75" customHeight="1">
      <c r="A418" s="2" t="str">
        <f>IFERROR(IF('PREENCHER AQUI'!A418="","",'PREENCHER AQUI'!A418),"")</f>
        <v/>
      </c>
      <c r="B418" s="1" t="str">
        <f>IFERROR(IF('PREENCHER AQUI'!B418="","",PROPER('PREENCHER AQUI'!B418)),"")</f>
        <v/>
      </c>
      <c r="C418" s="1" t="str">
        <f>IFERROR(IF('PREENCHER AQUI'!C418="","",'PREENCHER AQUI'!C418),"")</f>
        <v/>
      </c>
      <c r="D418" s="2" t="str">
        <f>IFERROR(IF('PREENCHER AQUI'!D418="","",'PREENCHER AQUI'!D418),"")</f>
        <v/>
      </c>
      <c r="E418" s="2" t="str">
        <f>IFERROR(VLOOKUP(CONCATENATE(C418,D418),qdd!$C$2:$F$1000,2,FALSE),"")</f>
        <v/>
      </c>
      <c r="F418" s="2" t="str">
        <f>IFERROR(VLOOKUP(CONCATENATE(C418,D418),qdd!$C$2:$F$1000,3,FALSE),"")</f>
        <v/>
      </c>
      <c r="G418" s="2" t="str">
        <f>IFERROR(VLOOKUP(CONCATENATE(C418,D418),qdd!$C$2:$F$1000,4,FALSE),"")</f>
        <v/>
      </c>
      <c r="H418" s="6" t="str">
        <f t="shared" si="14"/>
        <v/>
      </c>
      <c r="I4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8" s="2" t="str">
        <f>IFERROR(IF('PREENCHER AQUI'!E418="","",'PREENCHER AQUI'!E418),"")</f>
        <v/>
      </c>
      <c r="K418" s="2" t="str">
        <f>IFERROR(IF('PREENCHER AQUI'!F418="","",'PREENCHER AQUI'!F418),"")</f>
        <v/>
      </c>
      <c r="L418" s="2" t="str">
        <f>IF(Tabela1[[#This Row],[IPU_COD]]=9,"91",IF(Tabela1[[#This Row],[ACAO_COD]]="","",VLOOKUP(CONCATENATE("G",J418,"M",K418),qdd!$BC$2:$BD$46,2,FALSE)))</f>
        <v/>
      </c>
      <c r="M418" s="2" t="str">
        <f>TEXT(IFERROR(VLOOKUP(CONCATENATE(C418,D418),qdd!$C$2:$G$1000,5,FALSE),""),0)</f>
        <v/>
      </c>
      <c r="N418" s="2" t="str">
        <f>IFERROR(IF('PREENCHER AQUI'!I418="","",'PREENCHER AQUI'!I418),"")</f>
        <v/>
      </c>
      <c r="O418" s="2" t="str">
        <f>IFERROR(IF('PREENCHER AQUI'!J418="","",'PREENCHER AQUI'!J418),"")</f>
        <v/>
      </c>
      <c r="P418" s="7" t="str">
        <f t="shared" si="15"/>
        <v/>
      </c>
      <c r="Q418" s="8" t="str">
        <f>IFERROR(IF(Tabela4[[#This Row],[VALOR]]="","",IF(Tabela1[[#This Row],[ORIENTACAO]]="Anular",'PREENCHER AQUI'!K418*-1*100,'PREENCHER AQUI'!K418*100)),"")</f>
        <v/>
      </c>
      <c r="T418" s="7" t="str">
        <f>IFERROR(IF('PREENCHER AQUI'!L418="","999",LEFT('PREENCHER AQUI'!L418,1)),"")</f>
        <v>999</v>
      </c>
      <c r="V418" s="19"/>
      <c r="W418" s="1" t="str">
        <f>IFERROR(VLOOKUP(Tabela1[[#This Row],[UO_COD]],qdd!$AT$1:$AU$102,2,FALSE),"")</f>
        <v/>
      </c>
      <c r="X418" s="1" t="str">
        <f>CONCATENATE("F",Tabela1[[#This Row],[FONTE_COD]],Tabela1[[#This Row],[IPU_COD]],"G",Tabela1[[#This Row],[GRUPO_COD]],"T",Tabela1[[#This Row],[TIPO]])</f>
        <v>FGT999</v>
      </c>
      <c r="Y4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8" s="19"/>
      <c r="AA418" s="29" t="str">
        <f>IFERROR(VLOOKUP(CONCATENATE("B",Tabela1[[#This Row],[BLOCO]],Tabela1[[#This Row],[UO_COD]]),qdd!$AW$2:$AX$1000,2,FALSE),"")</f>
        <v/>
      </c>
      <c r="AB418" s="30" t="str">
        <f>IFERROR(Tabela1[[#This Row],[VALOR]]/100,"")</f>
        <v/>
      </c>
      <c r="AC418" s="7" t="str" cm="1">
        <f t="array" aca="1" ref="AC418" ca="1">IF(Tabela1[[#This Row],[VALOR]]&lt;0,"",IFERROR(SUBSTITUTE(Converter_numero(Tabela1[[#This Row],[VALOR INCISO]]),",",""),""))</f>
        <v/>
      </c>
      <c r="AD418" s="29" t="str">
        <f>IF(Tabela1[[#This Row],[TIPO]]=REGRAS!$W$2,REGRAS!$X$2,IF(Tabela1[[#This Row],[TIPO]]=REGRAS!$W$4,REGRAS!$X$4,""))</f>
        <v/>
      </c>
      <c r="AE418" s="29" t="e">
        <f>VLOOKUP(Tabela1[[#This Row],[FONTE_COD]],REGRAS!$O$2:$P$69,2,FALSE)</f>
        <v>#N/A</v>
      </c>
      <c r="AF4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9" spans="1:32" ht="18.75" customHeight="1">
      <c r="A419" s="2" t="str">
        <f>IFERROR(IF('PREENCHER AQUI'!A419="","",'PREENCHER AQUI'!A419),"")</f>
        <v/>
      </c>
      <c r="B419" s="1" t="str">
        <f>IFERROR(IF('PREENCHER AQUI'!B419="","",PROPER('PREENCHER AQUI'!B419)),"")</f>
        <v/>
      </c>
      <c r="C419" s="1" t="str">
        <f>IFERROR(IF('PREENCHER AQUI'!C419="","",'PREENCHER AQUI'!C419),"")</f>
        <v/>
      </c>
      <c r="D419" s="2" t="str">
        <f>IFERROR(IF('PREENCHER AQUI'!D419="","",'PREENCHER AQUI'!D419),"")</f>
        <v/>
      </c>
      <c r="E419" s="2" t="str">
        <f>IFERROR(VLOOKUP(CONCATENATE(C419,D419),qdd!$C$2:$F$1000,2,FALSE),"")</f>
        <v/>
      </c>
      <c r="F419" s="2" t="str">
        <f>IFERROR(VLOOKUP(CONCATENATE(C419,D419),qdd!$C$2:$F$1000,3,FALSE),"")</f>
        <v/>
      </c>
      <c r="G419" s="2" t="str">
        <f>IFERROR(VLOOKUP(CONCATENATE(C419,D419),qdd!$C$2:$F$1000,4,FALSE),"")</f>
        <v/>
      </c>
      <c r="H419" s="6" t="str">
        <f t="shared" si="14"/>
        <v/>
      </c>
      <c r="I4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9" s="2" t="str">
        <f>IFERROR(IF('PREENCHER AQUI'!E419="","",'PREENCHER AQUI'!E419),"")</f>
        <v/>
      </c>
      <c r="K419" s="2" t="str">
        <f>IFERROR(IF('PREENCHER AQUI'!F419="","",'PREENCHER AQUI'!F419),"")</f>
        <v/>
      </c>
      <c r="L419" s="2" t="str">
        <f>IF(Tabela1[[#This Row],[IPU_COD]]=9,"91",IF(Tabela1[[#This Row],[ACAO_COD]]="","",VLOOKUP(CONCATENATE("G",J419,"M",K419),qdd!$BC$2:$BD$46,2,FALSE)))</f>
        <v/>
      </c>
      <c r="M419" s="2" t="str">
        <f>TEXT(IFERROR(VLOOKUP(CONCATENATE(C419,D419),qdd!$C$2:$G$1000,5,FALSE),""),0)</f>
        <v/>
      </c>
      <c r="N419" s="2" t="str">
        <f>IFERROR(IF('PREENCHER AQUI'!I419="","",'PREENCHER AQUI'!I419),"")</f>
        <v/>
      </c>
      <c r="O419" s="2" t="str">
        <f>IFERROR(IF('PREENCHER AQUI'!J419="","",'PREENCHER AQUI'!J419),"")</f>
        <v/>
      </c>
      <c r="P419" s="7" t="str">
        <f t="shared" si="15"/>
        <v/>
      </c>
      <c r="Q419" s="8" t="str">
        <f>IFERROR(IF(Tabela4[[#This Row],[VALOR]]="","",IF(Tabela1[[#This Row],[ORIENTACAO]]="Anular",'PREENCHER AQUI'!K419*-1*100,'PREENCHER AQUI'!K419*100)),"")</f>
        <v/>
      </c>
      <c r="T419" s="7" t="str">
        <f>IFERROR(IF('PREENCHER AQUI'!L419="","999",LEFT('PREENCHER AQUI'!L419,1)),"")</f>
        <v>999</v>
      </c>
      <c r="V419" s="19"/>
      <c r="W419" s="1" t="str">
        <f>IFERROR(VLOOKUP(Tabela1[[#This Row],[UO_COD]],qdd!$AT$1:$AU$102,2,FALSE),"")</f>
        <v/>
      </c>
      <c r="X419" s="1" t="str">
        <f>CONCATENATE("F",Tabela1[[#This Row],[FONTE_COD]],Tabela1[[#This Row],[IPU_COD]],"G",Tabela1[[#This Row],[GRUPO_COD]],"T",Tabela1[[#This Row],[TIPO]])</f>
        <v>FGT999</v>
      </c>
      <c r="Y4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9" s="19"/>
      <c r="AA419" s="29" t="str">
        <f>IFERROR(VLOOKUP(CONCATENATE("B",Tabela1[[#This Row],[BLOCO]],Tabela1[[#This Row],[UO_COD]]),qdd!$AW$2:$AX$1000,2,FALSE),"")</f>
        <v/>
      </c>
      <c r="AB419" s="30" t="str">
        <f>IFERROR(Tabela1[[#This Row],[VALOR]]/100,"")</f>
        <v/>
      </c>
      <c r="AC419" s="7" t="str" cm="1">
        <f t="array" aca="1" ref="AC419" ca="1">IF(Tabela1[[#This Row],[VALOR]]&lt;0,"",IFERROR(SUBSTITUTE(Converter_numero(Tabela1[[#This Row],[VALOR INCISO]]),",",""),""))</f>
        <v/>
      </c>
      <c r="AD419" s="29" t="str">
        <f>IF(Tabela1[[#This Row],[TIPO]]=REGRAS!$W$2,REGRAS!$X$2,IF(Tabela1[[#This Row],[TIPO]]=REGRAS!$W$4,REGRAS!$X$4,""))</f>
        <v/>
      </c>
      <c r="AE419" s="29" t="e">
        <f>VLOOKUP(Tabela1[[#This Row],[FONTE_COD]],REGRAS!$O$2:$P$69,2,FALSE)</f>
        <v>#N/A</v>
      </c>
      <c r="AF4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0" spans="1:32" ht="18.75" customHeight="1">
      <c r="A420" s="2" t="str">
        <f>IFERROR(IF('PREENCHER AQUI'!A420="","",'PREENCHER AQUI'!A420),"")</f>
        <v/>
      </c>
      <c r="B420" s="1" t="str">
        <f>IFERROR(IF('PREENCHER AQUI'!B420="","",PROPER('PREENCHER AQUI'!B420)),"")</f>
        <v/>
      </c>
      <c r="C420" s="1" t="str">
        <f>IFERROR(IF('PREENCHER AQUI'!C420="","",'PREENCHER AQUI'!C420),"")</f>
        <v/>
      </c>
      <c r="D420" s="2" t="str">
        <f>IFERROR(IF('PREENCHER AQUI'!D420="","",'PREENCHER AQUI'!D420),"")</f>
        <v/>
      </c>
      <c r="E420" s="2" t="str">
        <f>IFERROR(VLOOKUP(CONCATENATE(C420,D420),qdd!$C$2:$F$1000,2,FALSE),"")</f>
        <v/>
      </c>
      <c r="F420" s="2" t="str">
        <f>IFERROR(VLOOKUP(CONCATENATE(C420,D420),qdd!$C$2:$F$1000,3,FALSE),"")</f>
        <v/>
      </c>
      <c r="G420" s="2" t="str">
        <f>IFERROR(VLOOKUP(CONCATENATE(C420,D420),qdd!$C$2:$F$1000,4,FALSE),"")</f>
        <v/>
      </c>
      <c r="H420" s="6" t="str">
        <f t="shared" si="14"/>
        <v/>
      </c>
      <c r="I4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0" s="2" t="str">
        <f>IFERROR(IF('PREENCHER AQUI'!E420="","",'PREENCHER AQUI'!E420),"")</f>
        <v/>
      </c>
      <c r="K420" s="2" t="str">
        <f>IFERROR(IF('PREENCHER AQUI'!F420="","",'PREENCHER AQUI'!F420),"")</f>
        <v/>
      </c>
      <c r="L420" s="2" t="str">
        <f>IF(Tabela1[[#This Row],[IPU_COD]]=9,"91",IF(Tabela1[[#This Row],[ACAO_COD]]="","",VLOOKUP(CONCATENATE("G",J420,"M",K420),qdd!$BC$2:$BD$46,2,FALSE)))</f>
        <v/>
      </c>
      <c r="M420" s="2" t="str">
        <f>TEXT(IFERROR(VLOOKUP(CONCATENATE(C420,D420),qdd!$C$2:$G$1000,5,FALSE),""),0)</f>
        <v/>
      </c>
      <c r="N420" s="2" t="str">
        <f>IFERROR(IF('PREENCHER AQUI'!I420="","",'PREENCHER AQUI'!I420),"")</f>
        <v/>
      </c>
      <c r="O420" s="2" t="str">
        <f>IFERROR(IF('PREENCHER AQUI'!J420="","",'PREENCHER AQUI'!J420),"")</f>
        <v/>
      </c>
      <c r="P420" s="7" t="str">
        <f t="shared" si="15"/>
        <v/>
      </c>
      <c r="Q420" s="8" t="str">
        <f>IFERROR(IF(Tabela4[[#This Row],[VALOR]]="","",IF(Tabela1[[#This Row],[ORIENTACAO]]="Anular",'PREENCHER AQUI'!K420*-1*100,'PREENCHER AQUI'!K420*100)),"")</f>
        <v/>
      </c>
      <c r="T420" s="7" t="str">
        <f>IFERROR(IF('PREENCHER AQUI'!L420="","999",LEFT('PREENCHER AQUI'!L420,1)),"")</f>
        <v>999</v>
      </c>
      <c r="V420" s="19"/>
      <c r="W420" s="20" t="str">
        <f>IFERROR(VLOOKUP(Tabela1[[#This Row],[UO_COD]],qdd!$AT$1:$AU$102,2,FALSE),"")</f>
        <v/>
      </c>
      <c r="X420" s="20" t="str">
        <f>CONCATENATE("F",Tabela1[[#This Row],[FONTE_COD]],Tabela1[[#This Row],[IPU_COD]],"G",Tabela1[[#This Row],[GRUPO_COD]],"T",Tabela1[[#This Row],[TIPO]])</f>
        <v>FGT999</v>
      </c>
      <c r="Y4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0" s="19"/>
      <c r="AA420" s="29" t="str">
        <f>IFERROR(VLOOKUP(CONCATENATE("B",Tabela1[[#This Row],[BLOCO]],Tabela1[[#This Row],[UO_COD]]),qdd!$AW$2:$AX$1000,2,FALSE),"")</f>
        <v/>
      </c>
      <c r="AB420" s="30" t="str">
        <f>IFERROR(Tabela1[[#This Row],[VALOR]]/100,"")</f>
        <v/>
      </c>
      <c r="AC420" s="7" t="str" cm="1">
        <f t="array" aca="1" ref="AC420" ca="1">IF(Tabela1[[#This Row],[VALOR]]&lt;0,"",IFERROR(SUBSTITUTE(Converter_numero(Tabela1[[#This Row],[VALOR INCISO]]),",",""),""))</f>
        <v/>
      </c>
      <c r="AD420" s="29" t="str">
        <f>IF(Tabela1[[#This Row],[TIPO]]=REGRAS!$W$2,REGRAS!$X$2,IF(Tabela1[[#This Row],[TIPO]]=REGRAS!$W$4,REGRAS!$X$4,""))</f>
        <v/>
      </c>
      <c r="AE420" s="29" t="e">
        <f>VLOOKUP(Tabela1[[#This Row],[FONTE_COD]],REGRAS!$O$2:$P$69,2,FALSE)</f>
        <v>#N/A</v>
      </c>
      <c r="AF4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1" spans="1:32" ht="18.75" customHeight="1">
      <c r="A421" s="2" t="str">
        <f>IFERROR(IF('PREENCHER AQUI'!A421="","",'PREENCHER AQUI'!A421),"")</f>
        <v/>
      </c>
      <c r="B421" s="1" t="str">
        <f>IFERROR(IF('PREENCHER AQUI'!B421="","",PROPER('PREENCHER AQUI'!B421)),"")</f>
        <v/>
      </c>
      <c r="C421" s="1" t="str">
        <f>IFERROR(IF('PREENCHER AQUI'!C421="","",'PREENCHER AQUI'!C421),"")</f>
        <v/>
      </c>
      <c r="D421" s="2" t="str">
        <f>IFERROR(IF('PREENCHER AQUI'!D421="","",'PREENCHER AQUI'!D421),"")</f>
        <v/>
      </c>
      <c r="E421" s="2" t="str">
        <f>IFERROR(VLOOKUP(CONCATENATE(C421,D421),qdd!$C$2:$F$1000,2,FALSE),"")</f>
        <v/>
      </c>
      <c r="F421" s="2" t="str">
        <f>IFERROR(VLOOKUP(CONCATENATE(C421,D421),qdd!$C$2:$F$1000,3,FALSE),"")</f>
        <v/>
      </c>
      <c r="G421" s="2" t="str">
        <f>IFERROR(VLOOKUP(CONCATENATE(C421,D421),qdd!$C$2:$F$1000,4,FALSE),"")</f>
        <v/>
      </c>
      <c r="H421" s="6" t="str">
        <f t="shared" si="14"/>
        <v/>
      </c>
      <c r="I4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1" s="2" t="str">
        <f>IFERROR(IF('PREENCHER AQUI'!E421="","",'PREENCHER AQUI'!E421),"")</f>
        <v/>
      </c>
      <c r="K421" s="2" t="str">
        <f>IFERROR(IF('PREENCHER AQUI'!F421="","",'PREENCHER AQUI'!F421),"")</f>
        <v/>
      </c>
      <c r="L421" s="2" t="str">
        <f>IF(Tabela1[[#This Row],[IPU_COD]]=9,"91",IF(Tabela1[[#This Row],[ACAO_COD]]="","",VLOOKUP(CONCATENATE("G",J421,"M",K421),qdd!$BC$2:$BD$46,2,FALSE)))</f>
        <v/>
      </c>
      <c r="M421" s="2" t="str">
        <f>TEXT(IFERROR(VLOOKUP(CONCATENATE(C421,D421),qdd!$C$2:$G$1000,5,FALSE),""),0)</f>
        <v/>
      </c>
      <c r="N421" s="2" t="str">
        <f>IFERROR(IF('PREENCHER AQUI'!I421="","",'PREENCHER AQUI'!I421),"")</f>
        <v/>
      </c>
      <c r="O421" s="2" t="str">
        <f>IFERROR(IF('PREENCHER AQUI'!J421="","",'PREENCHER AQUI'!J421),"")</f>
        <v/>
      </c>
      <c r="P421" s="7" t="str">
        <f t="shared" si="15"/>
        <v/>
      </c>
      <c r="Q421" s="8" t="str">
        <f>IFERROR(IF(Tabela4[[#This Row],[VALOR]]="","",IF(Tabela1[[#This Row],[ORIENTACAO]]="Anular",'PREENCHER AQUI'!K421*-1*100,'PREENCHER AQUI'!K421*100)),"")</f>
        <v/>
      </c>
      <c r="T421" s="7" t="str">
        <f>IFERROR(IF('PREENCHER AQUI'!L421="","999",LEFT('PREENCHER AQUI'!L421,1)),"")</f>
        <v>999</v>
      </c>
      <c r="V421" s="19"/>
      <c r="W421" s="1" t="str">
        <f>IFERROR(VLOOKUP(Tabela1[[#This Row],[UO_COD]],qdd!$AT$1:$AU$102,2,FALSE),"")</f>
        <v/>
      </c>
      <c r="X421" s="1" t="str">
        <f>CONCATENATE("F",Tabela1[[#This Row],[FONTE_COD]],Tabela1[[#This Row],[IPU_COD]],"G",Tabela1[[#This Row],[GRUPO_COD]],"T",Tabela1[[#This Row],[TIPO]])</f>
        <v>FGT999</v>
      </c>
      <c r="Y4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1" s="19"/>
      <c r="AA421" s="29" t="str">
        <f>IFERROR(VLOOKUP(CONCATENATE("B",Tabela1[[#This Row],[BLOCO]],Tabela1[[#This Row],[UO_COD]]),qdd!$AW$2:$AX$1000,2,FALSE),"")</f>
        <v/>
      </c>
      <c r="AB421" s="30" t="str">
        <f>IFERROR(Tabela1[[#This Row],[VALOR]]/100,"")</f>
        <v/>
      </c>
      <c r="AC421" s="7" t="str" cm="1">
        <f t="array" aca="1" ref="AC421" ca="1">IF(Tabela1[[#This Row],[VALOR]]&lt;0,"",IFERROR(SUBSTITUTE(Converter_numero(Tabela1[[#This Row],[VALOR INCISO]]),",",""),""))</f>
        <v/>
      </c>
      <c r="AD421" s="29" t="str">
        <f>IF(Tabela1[[#This Row],[TIPO]]=REGRAS!$W$2,REGRAS!$X$2,IF(Tabela1[[#This Row],[TIPO]]=REGRAS!$W$4,REGRAS!$X$4,""))</f>
        <v/>
      </c>
      <c r="AE421" s="29" t="e">
        <f>VLOOKUP(Tabela1[[#This Row],[FONTE_COD]],REGRAS!$O$2:$P$69,2,FALSE)</f>
        <v>#N/A</v>
      </c>
      <c r="AF4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2" spans="1:32" ht="18.75" customHeight="1">
      <c r="A422" s="2" t="str">
        <f>IFERROR(IF('PREENCHER AQUI'!A422="","",'PREENCHER AQUI'!A422),"")</f>
        <v/>
      </c>
      <c r="B422" s="1" t="str">
        <f>IFERROR(IF('PREENCHER AQUI'!B422="","",PROPER('PREENCHER AQUI'!B422)),"")</f>
        <v/>
      </c>
      <c r="C422" s="1" t="str">
        <f>IFERROR(IF('PREENCHER AQUI'!C422="","",'PREENCHER AQUI'!C422),"")</f>
        <v/>
      </c>
      <c r="D422" s="2" t="str">
        <f>IFERROR(IF('PREENCHER AQUI'!D422="","",'PREENCHER AQUI'!D422),"")</f>
        <v/>
      </c>
      <c r="E422" s="2" t="str">
        <f>IFERROR(VLOOKUP(CONCATENATE(C422,D422),qdd!$C$2:$F$1000,2,FALSE),"")</f>
        <v/>
      </c>
      <c r="F422" s="2" t="str">
        <f>IFERROR(VLOOKUP(CONCATENATE(C422,D422),qdd!$C$2:$F$1000,3,FALSE),"")</f>
        <v/>
      </c>
      <c r="G422" s="2" t="str">
        <f>IFERROR(VLOOKUP(CONCATENATE(C422,D422),qdd!$C$2:$F$1000,4,FALSE),"")</f>
        <v/>
      </c>
      <c r="H422" s="6" t="str">
        <f t="shared" si="14"/>
        <v/>
      </c>
      <c r="I4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2" s="2" t="str">
        <f>IFERROR(IF('PREENCHER AQUI'!E422="","",'PREENCHER AQUI'!E422),"")</f>
        <v/>
      </c>
      <c r="K422" s="2" t="str">
        <f>IFERROR(IF('PREENCHER AQUI'!F422="","",'PREENCHER AQUI'!F422),"")</f>
        <v/>
      </c>
      <c r="L422" s="2" t="str">
        <f>IF(Tabela1[[#This Row],[IPU_COD]]=9,"91",IF(Tabela1[[#This Row],[ACAO_COD]]="","",VLOOKUP(CONCATENATE("G",J422,"M",K422),qdd!$BC$2:$BD$46,2,FALSE)))</f>
        <v/>
      </c>
      <c r="M422" s="2" t="str">
        <f>TEXT(IFERROR(VLOOKUP(CONCATENATE(C422,D422),qdd!$C$2:$G$1000,5,FALSE),""),0)</f>
        <v/>
      </c>
      <c r="N422" s="2" t="str">
        <f>IFERROR(IF('PREENCHER AQUI'!I422="","",'PREENCHER AQUI'!I422),"")</f>
        <v/>
      </c>
      <c r="O422" s="2" t="str">
        <f>IFERROR(IF('PREENCHER AQUI'!J422="","",'PREENCHER AQUI'!J422),"")</f>
        <v/>
      </c>
      <c r="P422" s="7" t="str">
        <f t="shared" si="15"/>
        <v/>
      </c>
      <c r="Q422" s="8" t="str">
        <f>IFERROR(IF(Tabela4[[#This Row],[VALOR]]="","",IF(Tabela1[[#This Row],[ORIENTACAO]]="Anular",'PREENCHER AQUI'!K422*-1*100,'PREENCHER AQUI'!K422*100)),"")</f>
        <v/>
      </c>
      <c r="T422" s="7" t="str">
        <f>IFERROR(IF('PREENCHER AQUI'!L422="","999",LEFT('PREENCHER AQUI'!L422,1)),"")</f>
        <v>999</v>
      </c>
      <c r="W422" s="1" t="str">
        <f>IFERROR(VLOOKUP(Tabela1[[#This Row],[UO_COD]],qdd!$AT$1:$AU$102,2,FALSE),"")</f>
        <v/>
      </c>
      <c r="X422" s="1" t="str">
        <f>CONCATENATE("F",Tabela1[[#This Row],[FONTE_COD]],Tabela1[[#This Row],[IPU_COD]],"G",Tabela1[[#This Row],[GRUPO_COD]],"T",Tabela1[[#This Row],[TIPO]])</f>
        <v>FGT999</v>
      </c>
      <c r="Y4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2" s="19"/>
      <c r="AA422" s="29" t="str">
        <f>IFERROR(VLOOKUP(CONCATENATE("B",Tabela1[[#This Row],[BLOCO]],Tabela1[[#This Row],[UO_COD]]),qdd!$AW$2:$AX$1000,2,FALSE),"")</f>
        <v/>
      </c>
      <c r="AB422" s="30" t="str">
        <f>IFERROR(Tabela1[[#This Row],[VALOR]]/100,"")</f>
        <v/>
      </c>
      <c r="AC422" s="7" t="str" cm="1">
        <f t="array" aca="1" ref="AC422" ca="1">IF(Tabela1[[#This Row],[VALOR]]&lt;0,"",IFERROR(SUBSTITUTE(Converter_numero(Tabela1[[#This Row],[VALOR INCISO]]),",",""),""))</f>
        <v/>
      </c>
      <c r="AD422" s="7" t="str">
        <f>IF(Tabela1[[#This Row],[TIPO]]=REGRAS!$W$2,REGRAS!$X$2,IF(Tabela1[[#This Row],[TIPO]]=REGRAS!$W$4,REGRAS!$X$4,""))</f>
        <v/>
      </c>
      <c r="AE422" s="29" t="e">
        <f>VLOOKUP(Tabela1[[#This Row],[FONTE_COD]],REGRAS!$O$2:$P$69,2,FALSE)</f>
        <v>#N/A</v>
      </c>
      <c r="AF4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3" spans="1:32" ht="18.75" customHeight="1">
      <c r="A423" s="2" t="str">
        <f>IFERROR(IF('PREENCHER AQUI'!A423="","",'PREENCHER AQUI'!A423),"")</f>
        <v/>
      </c>
      <c r="B423" s="1" t="str">
        <f>IFERROR(IF('PREENCHER AQUI'!B423="","",PROPER('PREENCHER AQUI'!B423)),"")</f>
        <v/>
      </c>
      <c r="C423" s="1" t="str">
        <f>IFERROR(IF('PREENCHER AQUI'!C423="","",'PREENCHER AQUI'!C423),"")</f>
        <v/>
      </c>
      <c r="D423" s="2" t="str">
        <f>IFERROR(IF('PREENCHER AQUI'!D423="","",'PREENCHER AQUI'!D423),"")</f>
        <v/>
      </c>
      <c r="E423" s="2" t="str">
        <f>IFERROR(VLOOKUP(CONCATENATE(C423,D423),qdd!$C$2:$F$1000,2,FALSE),"")</f>
        <v/>
      </c>
      <c r="F423" s="2" t="str">
        <f>IFERROR(VLOOKUP(CONCATENATE(C423,D423),qdd!$C$2:$F$1000,3,FALSE),"")</f>
        <v/>
      </c>
      <c r="G423" s="2" t="str">
        <f>IFERROR(VLOOKUP(CONCATENATE(C423,D423),qdd!$C$2:$F$1000,4,FALSE),"")</f>
        <v/>
      </c>
      <c r="H423" s="6" t="str">
        <f t="shared" si="14"/>
        <v/>
      </c>
      <c r="I4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3" s="2" t="str">
        <f>IFERROR(IF('PREENCHER AQUI'!E423="","",'PREENCHER AQUI'!E423),"")</f>
        <v/>
      </c>
      <c r="K423" s="2" t="str">
        <f>IFERROR(IF('PREENCHER AQUI'!F423="","",'PREENCHER AQUI'!F423),"")</f>
        <v/>
      </c>
      <c r="L423" s="2" t="str">
        <f>IF(Tabela1[[#This Row],[IPU_COD]]=9,"91",IF(Tabela1[[#This Row],[ACAO_COD]]="","",VLOOKUP(CONCATENATE("G",J423,"M",K423),qdd!$BC$2:$BD$46,2,FALSE)))</f>
        <v/>
      </c>
      <c r="M423" s="2" t="str">
        <f>TEXT(IFERROR(VLOOKUP(CONCATENATE(C423,D423),qdd!$C$2:$G$1000,5,FALSE),""),0)</f>
        <v/>
      </c>
      <c r="N423" s="2" t="str">
        <f>IFERROR(IF('PREENCHER AQUI'!I423="","",'PREENCHER AQUI'!I423),"")</f>
        <v/>
      </c>
      <c r="O423" s="2" t="str">
        <f>IFERROR(IF('PREENCHER AQUI'!J423="","",'PREENCHER AQUI'!J423),"")</f>
        <v/>
      </c>
      <c r="P423" s="7" t="str">
        <f t="shared" si="15"/>
        <v/>
      </c>
      <c r="Q423" s="8" t="str">
        <f>IFERROR(IF(Tabela4[[#This Row],[VALOR]]="","",IF(Tabela1[[#This Row],[ORIENTACAO]]="Anular",'PREENCHER AQUI'!K423*-1*100,'PREENCHER AQUI'!K423*100)),"")</f>
        <v/>
      </c>
      <c r="T423" s="7" t="str">
        <f>IFERROR(IF('PREENCHER AQUI'!L423="","999",LEFT('PREENCHER AQUI'!L423,1)),"")</f>
        <v>999</v>
      </c>
      <c r="V423" s="19"/>
      <c r="W423" s="1" t="str">
        <f>IFERROR(VLOOKUP(Tabela1[[#This Row],[UO_COD]],qdd!$AT$1:$AU$102,2,FALSE),"")</f>
        <v/>
      </c>
      <c r="X423" s="1" t="str">
        <f>CONCATENATE("F",Tabela1[[#This Row],[FONTE_COD]],Tabela1[[#This Row],[IPU_COD]],"G",Tabela1[[#This Row],[GRUPO_COD]],"T",Tabela1[[#This Row],[TIPO]])</f>
        <v>FGT999</v>
      </c>
      <c r="Y4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3" s="19"/>
      <c r="AA423" s="29" t="str">
        <f>IFERROR(VLOOKUP(CONCATENATE("B",Tabela1[[#This Row],[BLOCO]],Tabela1[[#This Row],[UO_COD]]),qdd!$AW$2:$AX$1000,2,FALSE),"")</f>
        <v/>
      </c>
      <c r="AB423" s="30" t="str">
        <f>IFERROR(Tabela1[[#This Row],[VALOR]]/100,"")</f>
        <v/>
      </c>
      <c r="AC423" s="7" t="str" cm="1">
        <f t="array" aca="1" ref="AC423" ca="1">IF(Tabela1[[#This Row],[VALOR]]&lt;0,"",IFERROR(SUBSTITUTE(Converter_numero(Tabela1[[#This Row],[VALOR INCISO]]),",",""),""))</f>
        <v/>
      </c>
      <c r="AD423" s="29" t="str">
        <f>IF(Tabela1[[#This Row],[TIPO]]=REGRAS!$W$2,REGRAS!$X$2,IF(Tabela1[[#This Row],[TIPO]]=REGRAS!$W$4,REGRAS!$X$4,""))</f>
        <v/>
      </c>
      <c r="AE423" s="29" t="e">
        <f>VLOOKUP(Tabela1[[#This Row],[FONTE_COD]],REGRAS!$O$2:$P$69,2,FALSE)</f>
        <v>#N/A</v>
      </c>
      <c r="AF4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4" spans="1:32" ht="18.75" customHeight="1">
      <c r="A424" s="2" t="str">
        <f>IFERROR(IF('PREENCHER AQUI'!A424="","",'PREENCHER AQUI'!A424),"")</f>
        <v/>
      </c>
      <c r="B424" s="1" t="str">
        <f>IFERROR(IF('PREENCHER AQUI'!B424="","",PROPER('PREENCHER AQUI'!B424)),"")</f>
        <v/>
      </c>
      <c r="C424" s="1" t="str">
        <f>IFERROR(IF('PREENCHER AQUI'!C424="","",'PREENCHER AQUI'!C424),"")</f>
        <v/>
      </c>
      <c r="D424" s="2" t="str">
        <f>IFERROR(IF('PREENCHER AQUI'!D424="","",'PREENCHER AQUI'!D424),"")</f>
        <v/>
      </c>
      <c r="E424" s="2" t="str">
        <f>IFERROR(VLOOKUP(CONCATENATE(C424,D424),qdd!$C$2:$F$1000,2,FALSE),"")</f>
        <v/>
      </c>
      <c r="F424" s="2" t="str">
        <f>IFERROR(VLOOKUP(CONCATENATE(C424,D424),qdd!$C$2:$F$1000,3,FALSE),"")</f>
        <v/>
      </c>
      <c r="G424" s="2" t="str">
        <f>IFERROR(VLOOKUP(CONCATENATE(C424,D424),qdd!$C$2:$F$1000,4,FALSE),"")</f>
        <v/>
      </c>
      <c r="H424" s="6" t="str">
        <f t="shared" si="14"/>
        <v/>
      </c>
      <c r="I4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4" s="2" t="str">
        <f>IFERROR(IF('PREENCHER AQUI'!E424="","",'PREENCHER AQUI'!E424),"")</f>
        <v/>
      </c>
      <c r="K424" s="2" t="str">
        <f>IFERROR(IF('PREENCHER AQUI'!F424="","",'PREENCHER AQUI'!F424),"")</f>
        <v/>
      </c>
      <c r="L424" s="2" t="str">
        <f>IF(Tabela1[[#This Row],[IPU_COD]]=9,"91",IF(Tabela1[[#This Row],[ACAO_COD]]="","",VLOOKUP(CONCATENATE("G",J424,"M",K424),qdd!$BC$2:$BD$46,2,FALSE)))</f>
        <v/>
      </c>
      <c r="M424" s="2" t="str">
        <f>TEXT(IFERROR(VLOOKUP(CONCATENATE(C424,D424),qdd!$C$2:$G$1000,5,FALSE),""),0)</f>
        <v/>
      </c>
      <c r="N424" s="2" t="str">
        <f>IFERROR(IF('PREENCHER AQUI'!I424="","",'PREENCHER AQUI'!I424),"")</f>
        <v/>
      </c>
      <c r="O424" s="2" t="str">
        <f>IFERROR(IF('PREENCHER AQUI'!J424="","",'PREENCHER AQUI'!J424),"")</f>
        <v/>
      </c>
      <c r="P424" s="7" t="str">
        <f t="shared" si="15"/>
        <v/>
      </c>
      <c r="Q424" s="8" t="str">
        <f>IFERROR(IF(Tabela4[[#This Row],[VALOR]]="","",IF(Tabela1[[#This Row],[ORIENTACAO]]="Anular",'PREENCHER AQUI'!K424*-1*100,'PREENCHER AQUI'!K424*100)),"")</f>
        <v/>
      </c>
      <c r="T424" s="7" t="str">
        <f>IFERROR(IF('PREENCHER AQUI'!L424="","999",LEFT('PREENCHER AQUI'!L424,1)),"")</f>
        <v>999</v>
      </c>
      <c r="V424" s="19"/>
      <c r="W424" s="1" t="str">
        <f>IFERROR(VLOOKUP(Tabela1[[#This Row],[UO_COD]],qdd!$AT$1:$AU$102,2,FALSE),"")</f>
        <v/>
      </c>
      <c r="X424" s="1" t="str">
        <f>CONCATENATE("F",Tabela1[[#This Row],[FONTE_COD]],Tabela1[[#This Row],[IPU_COD]],"G",Tabela1[[#This Row],[GRUPO_COD]],"T",Tabela1[[#This Row],[TIPO]])</f>
        <v>FGT999</v>
      </c>
      <c r="Y4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4" s="19"/>
      <c r="AA424" s="29" t="str">
        <f>IFERROR(VLOOKUP(CONCATENATE("B",Tabela1[[#This Row],[BLOCO]],Tabela1[[#This Row],[UO_COD]]),qdd!$AW$2:$AX$1000,2,FALSE),"")</f>
        <v/>
      </c>
      <c r="AB424" s="30" t="str">
        <f>IFERROR(Tabela1[[#This Row],[VALOR]]/100,"")</f>
        <v/>
      </c>
      <c r="AC424" s="7" t="str" cm="1">
        <f t="array" aca="1" ref="AC424" ca="1">IF(Tabela1[[#This Row],[VALOR]]&lt;0,"",IFERROR(SUBSTITUTE(Converter_numero(Tabela1[[#This Row],[VALOR INCISO]]),",",""),""))</f>
        <v/>
      </c>
      <c r="AD424" s="29" t="str">
        <f>IF(Tabela1[[#This Row],[TIPO]]=REGRAS!$W$2,REGRAS!$X$2,IF(Tabela1[[#This Row],[TIPO]]=REGRAS!$W$4,REGRAS!$X$4,""))</f>
        <v/>
      </c>
      <c r="AE424" s="29" t="e">
        <f>VLOOKUP(Tabela1[[#This Row],[FONTE_COD]],REGRAS!$O$2:$P$69,2,FALSE)</f>
        <v>#N/A</v>
      </c>
      <c r="AF4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5" spans="1:32" ht="18.75" customHeight="1">
      <c r="A425" s="2" t="str">
        <f>IFERROR(IF('PREENCHER AQUI'!A425="","",'PREENCHER AQUI'!A425),"")</f>
        <v/>
      </c>
      <c r="B425" s="1" t="str">
        <f>IFERROR(IF('PREENCHER AQUI'!B425="","",PROPER('PREENCHER AQUI'!B425)),"")</f>
        <v/>
      </c>
      <c r="C425" s="1" t="str">
        <f>IFERROR(IF('PREENCHER AQUI'!C425="","",'PREENCHER AQUI'!C425),"")</f>
        <v/>
      </c>
      <c r="D425" s="2" t="str">
        <f>IFERROR(IF('PREENCHER AQUI'!D425="","",'PREENCHER AQUI'!D425),"")</f>
        <v/>
      </c>
      <c r="E425" s="2" t="str">
        <f>IFERROR(VLOOKUP(CONCATENATE(C425,D425),qdd!$C$2:$F$1000,2,FALSE),"")</f>
        <v/>
      </c>
      <c r="F425" s="2" t="str">
        <f>IFERROR(VLOOKUP(CONCATENATE(C425,D425),qdd!$C$2:$F$1000,3,FALSE),"")</f>
        <v/>
      </c>
      <c r="G425" s="2" t="str">
        <f>IFERROR(VLOOKUP(CONCATENATE(C425,D425),qdd!$C$2:$F$1000,4,FALSE),"")</f>
        <v/>
      </c>
      <c r="H425" s="6" t="str">
        <f t="shared" si="14"/>
        <v/>
      </c>
      <c r="I4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5" s="2" t="str">
        <f>IFERROR(IF('PREENCHER AQUI'!E425="","",'PREENCHER AQUI'!E425),"")</f>
        <v/>
      </c>
      <c r="K425" s="2" t="str">
        <f>IFERROR(IF('PREENCHER AQUI'!F425="","",'PREENCHER AQUI'!F425),"")</f>
        <v/>
      </c>
      <c r="L425" s="2" t="str">
        <f>IF(Tabela1[[#This Row],[IPU_COD]]=9,"91",IF(Tabela1[[#This Row],[ACAO_COD]]="","",VLOOKUP(CONCATENATE("G",J425,"M",K425),qdd!$BC$2:$BD$46,2,FALSE)))</f>
        <v/>
      </c>
      <c r="M425" s="2" t="str">
        <f>TEXT(IFERROR(VLOOKUP(CONCATENATE(C425,D425),qdd!$C$2:$G$1000,5,FALSE),""),0)</f>
        <v/>
      </c>
      <c r="N425" s="2" t="str">
        <f>IFERROR(IF('PREENCHER AQUI'!I425="","",'PREENCHER AQUI'!I425),"")</f>
        <v/>
      </c>
      <c r="O425" s="2" t="str">
        <f>IFERROR(IF('PREENCHER AQUI'!J425="","",'PREENCHER AQUI'!J425),"")</f>
        <v/>
      </c>
      <c r="P425" s="7" t="str">
        <f t="shared" si="15"/>
        <v/>
      </c>
      <c r="Q425" s="8" t="str">
        <f>IFERROR(IF(Tabela4[[#This Row],[VALOR]]="","",IF(Tabela1[[#This Row],[ORIENTACAO]]="Anular",'PREENCHER AQUI'!K425*-1*100,'PREENCHER AQUI'!K425*100)),"")</f>
        <v/>
      </c>
      <c r="T425" s="7" t="str">
        <f>IFERROR(IF('PREENCHER AQUI'!L425="","999",LEFT('PREENCHER AQUI'!L425,1)),"")</f>
        <v>999</v>
      </c>
      <c r="V425" s="19"/>
      <c r="W425" s="20" t="str">
        <f>IFERROR(VLOOKUP(Tabela1[[#This Row],[UO_COD]],qdd!$AT$1:$AU$102,2,FALSE),"")</f>
        <v/>
      </c>
      <c r="X425" s="20" t="str">
        <f>CONCATENATE("F",Tabela1[[#This Row],[FONTE_COD]],Tabela1[[#This Row],[IPU_COD]],"G",Tabela1[[#This Row],[GRUPO_COD]],"T",Tabela1[[#This Row],[TIPO]])</f>
        <v>FGT999</v>
      </c>
      <c r="Y4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5" s="19"/>
      <c r="AA425" s="29" t="str">
        <f>IFERROR(VLOOKUP(CONCATENATE("B",Tabela1[[#This Row],[BLOCO]],Tabela1[[#This Row],[UO_COD]]),qdd!$AW$2:$AX$1000,2,FALSE),"")</f>
        <v/>
      </c>
      <c r="AB425" s="30" t="str">
        <f>IFERROR(Tabela1[[#This Row],[VALOR]]/100,"")</f>
        <v/>
      </c>
      <c r="AC425" s="7" t="str" cm="1">
        <f t="array" aca="1" ref="AC425" ca="1">IF(Tabela1[[#This Row],[VALOR]]&lt;0,"",IFERROR(SUBSTITUTE(Converter_numero(Tabela1[[#This Row],[VALOR INCISO]]),",",""),""))</f>
        <v/>
      </c>
      <c r="AD425" s="29" t="str">
        <f>IF(Tabela1[[#This Row],[TIPO]]=REGRAS!$W$2,REGRAS!$X$2,IF(Tabela1[[#This Row],[TIPO]]=REGRAS!$W$4,REGRAS!$X$4,""))</f>
        <v/>
      </c>
      <c r="AE425" s="29" t="e">
        <f>VLOOKUP(Tabela1[[#This Row],[FONTE_COD]],REGRAS!$O$2:$P$69,2,FALSE)</f>
        <v>#N/A</v>
      </c>
      <c r="AF4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6" spans="1:32" ht="18.75" customHeight="1">
      <c r="A426" s="2" t="str">
        <f>IFERROR(IF('PREENCHER AQUI'!A426="","",'PREENCHER AQUI'!A426),"")</f>
        <v/>
      </c>
      <c r="B426" s="1" t="str">
        <f>IFERROR(IF('PREENCHER AQUI'!B426="","",PROPER('PREENCHER AQUI'!B426)),"")</f>
        <v/>
      </c>
      <c r="C426" s="1" t="str">
        <f>IFERROR(IF('PREENCHER AQUI'!C426="","",'PREENCHER AQUI'!C426),"")</f>
        <v/>
      </c>
      <c r="D426" s="2" t="str">
        <f>IFERROR(IF('PREENCHER AQUI'!D426="","",'PREENCHER AQUI'!D426),"")</f>
        <v/>
      </c>
      <c r="E426" s="2" t="str">
        <f>IFERROR(VLOOKUP(CONCATENATE(C426,D426),qdd!$C$2:$F$1000,2,FALSE),"")</f>
        <v/>
      </c>
      <c r="F426" s="2" t="str">
        <f>IFERROR(VLOOKUP(CONCATENATE(C426,D426),qdd!$C$2:$F$1000,3,FALSE),"")</f>
        <v/>
      </c>
      <c r="G426" s="2" t="str">
        <f>IFERROR(VLOOKUP(CONCATENATE(C426,D426),qdd!$C$2:$F$1000,4,FALSE),"")</f>
        <v/>
      </c>
      <c r="H426" s="6" t="str">
        <f t="shared" si="14"/>
        <v/>
      </c>
      <c r="I4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6" s="2" t="str">
        <f>IFERROR(IF('PREENCHER AQUI'!E426="","",'PREENCHER AQUI'!E426),"")</f>
        <v/>
      </c>
      <c r="K426" s="2" t="str">
        <f>IFERROR(IF('PREENCHER AQUI'!F426="","",'PREENCHER AQUI'!F426),"")</f>
        <v/>
      </c>
      <c r="L426" s="2" t="str">
        <f>IF(Tabela1[[#This Row],[IPU_COD]]=9,"91",IF(Tabela1[[#This Row],[ACAO_COD]]="","",VLOOKUP(CONCATENATE("G",J426,"M",K426),qdd!$BC$2:$BD$46,2,FALSE)))</f>
        <v/>
      </c>
      <c r="M426" s="2" t="str">
        <f>TEXT(IFERROR(VLOOKUP(CONCATENATE(C426,D426),qdd!$C$2:$G$1000,5,FALSE),""),0)</f>
        <v/>
      </c>
      <c r="N426" s="2" t="str">
        <f>IFERROR(IF('PREENCHER AQUI'!I426="","",'PREENCHER AQUI'!I426),"")</f>
        <v/>
      </c>
      <c r="O426" s="2" t="str">
        <f>IFERROR(IF('PREENCHER AQUI'!J426="","",'PREENCHER AQUI'!J426),"")</f>
        <v/>
      </c>
      <c r="P426" s="7" t="str">
        <f t="shared" si="15"/>
        <v/>
      </c>
      <c r="Q426" s="8" t="str">
        <f>IFERROR(IF(Tabela4[[#This Row],[VALOR]]="","",IF(Tabela1[[#This Row],[ORIENTACAO]]="Anular",'PREENCHER AQUI'!K426*-1*100,'PREENCHER AQUI'!K426*100)),"")</f>
        <v/>
      </c>
      <c r="T426" s="7" t="str">
        <f>IFERROR(IF('PREENCHER AQUI'!L426="","999",LEFT('PREENCHER AQUI'!L426,1)),"")</f>
        <v>999</v>
      </c>
      <c r="V426" s="19"/>
      <c r="W426" s="1" t="str">
        <f>IFERROR(VLOOKUP(Tabela1[[#This Row],[UO_COD]],qdd!$AT$1:$AU$102,2,FALSE),"")</f>
        <v/>
      </c>
      <c r="X426" s="1" t="str">
        <f>CONCATENATE("F",Tabela1[[#This Row],[FONTE_COD]],Tabela1[[#This Row],[IPU_COD]],"G",Tabela1[[#This Row],[GRUPO_COD]],"T",Tabela1[[#This Row],[TIPO]])</f>
        <v>FGT999</v>
      </c>
      <c r="Y4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6" s="19"/>
      <c r="AA426" s="29" t="str">
        <f>IFERROR(VLOOKUP(CONCATENATE("B",Tabela1[[#This Row],[BLOCO]],Tabela1[[#This Row],[UO_COD]]),qdd!$AW$2:$AX$1000,2,FALSE),"")</f>
        <v/>
      </c>
      <c r="AB426" s="30" t="str">
        <f>IFERROR(Tabela1[[#This Row],[VALOR]]/100,"")</f>
        <v/>
      </c>
      <c r="AC426" s="7" t="str" cm="1">
        <f t="array" aca="1" ref="AC426" ca="1">IF(Tabela1[[#This Row],[VALOR]]&lt;0,"",IFERROR(SUBSTITUTE(Converter_numero(Tabela1[[#This Row],[VALOR INCISO]]),",",""),""))</f>
        <v/>
      </c>
      <c r="AD426" s="29" t="str">
        <f>IF(Tabela1[[#This Row],[TIPO]]=REGRAS!$W$2,REGRAS!$X$2,IF(Tabela1[[#This Row],[TIPO]]=REGRAS!$W$4,REGRAS!$X$4,""))</f>
        <v/>
      </c>
      <c r="AE426" s="29" t="e">
        <f>VLOOKUP(Tabela1[[#This Row],[FONTE_COD]],REGRAS!$O$2:$P$69,2,FALSE)</f>
        <v>#N/A</v>
      </c>
      <c r="AF4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7" spans="1:32" ht="18.75" customHeight="1">
      <c r="A427" s="2" t="str">
        <f>IFERROR(IF('PREENCHER AQUI'!A427="","",'PREENCHER AQUI'!A427),"")</f>
        <v/>
      </c>
      <c r="B427" s="1" t="str">
        <f>IFERROR(IF('PREENCHER AQUI'!B427="","",PROPER('PREENCHER AQUI'!B427)),"")</f>
        <v/>
      </c>
      <c r="C427" s="1" t="str">
        <f>IFERROR(IF('PREENCHER AQUI'!C427="","",'PREENCHER AQUI'!C427),"")</f>
        <v/>
      </c>
      <c r="D427" s="2" t="str">
        <f>IFERROR(IF('PREENCHER AQUI'!D427="","",'PREENCHER AQUI'!D427),"")</f>
        <v/>
      </c>
      <c r="E427" s="2" t="str">
        <f>IFERROR(VLOOKUP(CONCATENATE(C427,D427),qdd!$C$2:$F$1000,2,FALSE),"")</f>
        <v/>
      </c>
      <c r="F427" s="2" t="str">
        <f>IFERROR(VLOOKUP(CONCATENATE(C427,D427),qdd!$C$2:$F$1000,3,FALSE),"")</f>
        <v/>
      </c>
      <c r="G427" s="2" t="str">
        <f>IFERROR(VLOOKUP(CONCATENATE(C427,D427),qdd!$C$2:$F$1000,4,FALSE),"")</f>
        <v/>
      </c>
      <c r="H427" s="6" t="str">
        <f t="shared" si="14"/>
        <v/>
      </c>
      <c r="I4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7" s="2" t="str">
        <f>IFERROR(IF('PREENCHER AQUI'!E427="","",'PREENCHER AQUI'!E427),"")</f>
        <v/>
      </c>
      <c r="K427" s="2" t="str">
        <f>IFERROR(IF('PREENCHER AQUI'!F427="","",'PREENCHER AQUI'!F427),"")</f>
        <v/>
      </c>
      <c r="L427" s="2" t="str">
        <f>IF(Tabela1[[#This Row],[IPU_COD]]=9,"91",IF(Tabela1[[#This Row],[ACAO_COD]]="","",VLOOKUP(CONCATENATE("G",J427,"M",K427),qdd!$BC$2:$BD$46,2,FALSE)))</f>
        <v/>
      </c>
      <c r="M427" s="2" t="str">
        <f>TEXT(IFERROR(VLOOKUP(CONCATENATE(C427,D427),qdd!$C$2:$G$1000,5,FALSE),""),0)</f>
        <v/>
      </c>
      <c r="N427" s="2" t="str">
        <f>IFERROR(IF('PREENCHER AQUI'!I427="","",'PREENCHER AQUI'!I427),"")</f>
        <v/>
      </c>
      <c r="O427" s="2" t="str">
        <f>IFERROR(IF('PREENCHER AQUI'!J427="","",'PREENCHER AQUI'!J427),"")</f>
        <v/>
      </c>
      <c r="P427" s="7" t="str">
        <f t="shared" si="15"/>
        <v/>
      </c>
      <c r="Q427" s="8" t="str">
        <f>IFERROR(IF(Tabela4[[#This Row],[VALOR]]="","",IF(Tabela1[[#This Row],[ORIENTACAO]]="Anular",'PREENCHER AQUI'!K427*-1*100,'PREENCHER AQUI'!K427*100)),"")</f>
        <v/>
      </c>
      <c r="T427" s="7" t="str">
        <f>IFERROR(IF('PREENCHER AQUI'!L427="","999",LEFT('PREENCHER AQUI'!L427,1)),"")</f>
        <v>999</v>
      </c>
      <c r="W427" s="1" t="str">
        <f>IFERROR(VLOOKUP(Tabela1[[#This Row],[UO_COD]],qdd!$AT$1:$AU$102,2,FALSE),"")</f>
        <v/>
      </c>
      <c r="X427" s="1" t="str">
        <f>CONCATENATE("F",Tabela1[[#This Row],[FONTE_COD]],Tabela1[[#This Row],[IPU_COD]],"G",Tabela1[[#This Row],[GRUPO_COD]],"T",Tabela1[[#This Row],[TIPO]])</f>
        <v>FGT999</v>
      </c>
      <c r="Y4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7" s="19"/>
      <c r="AA427" s="29" t="str">
        <f>IFERROR(VLOOKUP(CONCATENATE("B",Tabela1[[#This Row],[BLOCO]],Tabela1[[#This Row],[UO_COD]]),qdd!$AW$2:$AX$1000,2,FALSE),"")</f>
        <v/>
      </c>
      <c r="AB427" s="30" t="str">
        <f>IFERROR(Tabela1[[#This Row],[VALOR]]/100,"")</f>
        <v/>
      </c>
      <c r="AC427" s="7" t="str" cm="1">
        <f t="array" aca="1" ref="AC427" ca="1">IF(Tabela1[[#This Row],[VALOR]]&lt;0,"",IFERROR(SUBSTITUTE(Converter_numero(Tabela1[[#This Row],[VALOR INCISO]]),",",""),""))</f>
        <v/>
      </c>
      <c r="AD427" s="7" t="str">
        <f>IF(Tabela1[[#This Row],[TIPO]]=REGRAS!$W$2,REGRAS!$X$2,IF(Tabela1[[#This Row],[TIPO]]=REGRAS!$W$4,REGRAS!$X$4,""))</f>
        <v/>
      </c>
      <c r="AE427" s="29" t="e">
        <f>VLOOKUP(Tabela1[[#This Row],[FONTE_COD]],REGRAS!$O$2:$P$69,2,FALSE)</f>
        <v>#N/A</v>
      </c>
      <c r="AF4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8" spans="1:32" ht="18.75" customHeight="1">
      <c r="A428" s="2" t="str">
        <f>IFERROR(IF('PREENCHER AQUI'!A428="","",'PREENCHER AQUI'!A428),"")</f>
        <v/>
      </c>
      <c r="B428" s="1" t="str">
        <f>IFERROR(IF('PREENCHER AQUI'!B428="","",PROPER('PREENCHER AQUI'!B428)),"")</f>
        <v/>
      </c>
      <c r="C428" s="1" t="str">
        <f>IFERROR(IF('PREENCHER AQUI'!C428="","",'PREENCHER AQUI'!C428),"")</f>
        <v/>
      </c>
      <c r="D428" s="2" t="str">
        <f>IFERROR(IF('PREENCHER AQUI'!D428="","",'PREENCHER AQUI'!D428),"")</f>
        <v/>
      </c>
      <c r="E428" s="2" t="str">
        <f>IFERROR(VLOOKUP(CONCATENATE(C428,D428),qdd!$C$2:$F$1000,2,FALSE),"")</f>
        <v/>
      </c>
      <c r="F428" s="2" t="str">
        <f>IFERROR(VLOOKUP(CONCATENATE(C428,D428),qdd!$C$2:$F$1000,3,FALSE),"")</f>
        <v/>
      </c>
      <c r="G428" s="2" t="str">
        <f>IFERROR(VLOOKUP(CONCATENATE(C428,D428),qdd!$C$2:$F$1000,4,FALSE),"")</f>
        <v/>
      </c>
      <c r="H428" s="6" t="str">
        <f t="shared" si="14"/>
        <v/>
      </c>
      <c r="I4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8" s="2" t="str">
        <f>IFERROR(IF('PREENCHER AQUI'!E428="","",'PREENCHER AQUI'!E428),"")</f>
        <v/>
      </c>
      <c r="K428" s="2" t="str">
        <f>IFERROR(IF('PREENCHER AQUI'!F428="","",'PREENCHER AQUI'!F428),"")</f>
        <v/>
      </c>
      <c r="L428" s="2" t="str">
        <f>IF(Tabela1[[#This Row],[IPU_COD]]=9,"91",IF(Tabela1[[#This Row],[ACAO_COD]]="","",VLOOKUP(CONCATENATE("G",J428,"M",K428),qdd!$BC$2:$BD$46,2,FALSE)))</f>
        <v/>
      </c>
      <c r="M428" s="2" t="str">
        <f>TEXT(IFERROR(VLOOKUP(CONCATENATE(C428,D428),qdd!$C$2:$G$1000,5,FALSE),""),0)</f>
        <v/>
      </c>
      <c r="N428" s="2" t="str">
        <f>IFERROR(IF('PREENCHER AQUI'!I428="","",'PREENCHER AQUI'!I428),"")</f>
        <v/>
      </c>
      <c r="O428" s="2" t="str">
        <f>IFERROR(IF('PREENCHER AQUI'!J428="","",'PREENCHER AQUI'!J428),"")</f>
        <v/>
      </c>
      <c r="P428" s="7" t="str">
        <f t="shared" si="15"/>
        <v/>
      </c>
      <c r="Q428" s="8" t="str">
        <f>IFERROR(IF(Tabela4[[#This Row],[VALOR]]="","",IF(Tabela1[[#This Row],[ORIENTACAO]]="Anular",'PREENCHER AQUI'!K428*-1*100,'PREENCHER AQUI'!K428*100)),"")</f>
        <v/>
      </c>
      <c r="T428" s="7" t="str">
        <f>IFERROR(IF('PREENCHER AQUI'!L428="","999",LEFT('PREENCHER AQUI'!L428,1)),"")</f>
        <v>999</v>
      </c>
      <c r="V428" s="19"/>
      <c r="W428" s="1" t="str">
        <f>IFERROR(VLOOKUP(Tabela1[[#This Row],[UO_COD]],qdd!$AT$1:$AU$102,2,FALSE),"")</f>
        <v/>
      </c>
      <c r="X428" s="1" t="str">
        <f>CONCATENATE("F",Tabela1[[#This Row],[FONTE_COD]],Tabela1[[#This Row],[IPU_COD]],"G",Tabela1[[#This Row],[GRUPO_COD]],"T",Tabela1[[#This Row],[TIPO]])</f>
        <v>FGT999</v>
      </c>
      <c r="Y4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8" s="19"/>
      <c r="AA428" s="29" t="str">
        <f>IFERROR(VLOOKUP(CONCATENATE("B",Tabela1[[#This Row],[BLOCO]],Tabela1[[#This Row],[UO_COD]]),qdd!$AW$2:$AX$1000,2,FALSE),"")</f>
        <v/>
      </c>
      <c r="AB428" s="30" t="str">
        <f>IFERROR(Tabela1[[#This Row],[VALOR]]/100,"")</f>
        <v/>
      </c>
      <c r="AC428" s="7" t="str" cm="1">
        <f t="array" aca="1" ref="AC428" ca="1">IF(Tabela1[[#This Row],[VALOR]]&lt;0,"",IFERROR(SUBSTITUTE(Converter_numero(Tabela1[[#This Row],[VALOR INCISO]]),",",""),""))</f>
        <v/>
      </c>
      <c r="AD428" s="29" t="str">
        <f>IF(Tabela1[[#This Row],[TIPO]]=REGRAS!$W$2,REGRAS!$X$2,IF(Tabela1[[#This Row],[TIPO]]=REGRAS!$W$4,REGRAS!$X$4,""))</f>
        <v/>
      </c>
      <c r="AE428" s="29" t="e">
        <f>VLOOKUP(Tabela1[[#This Row],[FONTE_COD]],REGRAS!$O$2:$P$69,2,FALSE)</f>
        <v>#N/A</v>
      </c>
      <c r="AF4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9" spans="1:32" ht="18.75" customHeight="1">
      <c r="A429" s="2" t="str">
        <f>IFERROR(IF('PREENCHER AQUI'!A429="","",'PREENCHER AQUI'!A429),"")</f>
        <v/>
      </c>
      <c r="B429" s="1" t="str">
        <f>IFERROR(IF('PREENCHER AQUI'!B429="","",PROPER('PREENCHER AQUI'!B429)),"")</f>
        <v/>
      </c>
      <c r="C429" s="1" t="str">
        <f>IFERROR(IF('PREENCHER AQUI'!C429="","",'PREENCHER AQUI'!C429),"")</f>
        <v/>
      </c>
      <c r="D429" s="2" t="str">
        <f>IFERROR(IF('PREENCHER AQUI'!D429="","",'PREENCHER AQUI'!D429),"")</f>
        <v/>
      </c>
      <c r="E429" s="2" t="str">
        <f>IFERROR(VLOOKUP(CONCATENATE(C429,D429),qdd!$C$2:$F$1000,2,FALSE),"")</f>
        <v/>
      </c>
      <c r="F429" s="2" t="str">
        <f>IFERROR(VLOOKUP(CONCATENATE(C429,D429),qdd!$C$2:$F$1000,3,FALSE),"")</f>
        <v/>
      </c>
      <c r="G429" s="2" t="str">
        <f>IFERROR(VLOOKUP(CONCATENATE(C429,D429),qdd!$C$2:$F$1000,4,FALSE),"")</f>
        <v/>
      </c>
      <c r="H429" s="6" t="str">
        <f t="shared" si="14"/>
        <v/>
      </c>
      <c r="I4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9" s="2" t="str">
        <f>IFERROR(IF('PREENCHER AQUI'!E429="","",'PREENCHER AQUI'!E429),"")</f>
        <v/>
      </c>
      <c r="K429" s="2" t="str">
        <f>IFERROR(IF('PREENCHER AQUI'!F429="","",'PREENCHER AQUI'!F429),"")</f>
        <v/>
      </c>
      <c r="L429" s="2" t="str">
        <f>IF(Tabela1[[#This Row],[IPU_COD]]=9,"91",IF(Tabela1[[#This Row],[ACAO_COD]]="","",VLOOKUP(CONCATENATE("G",J429,"M",K429),qdd!$BC$2:$BD$46,2,FALSE)))</f>
        <v/>
      </c>
      <c r="M429" s="2" t="str">
        <f>TEXT(IFERROR(VLOOKUP(CONCATENATE(C429,D429),qdd!$C$2:$G$1000,5,FALSE),""),0)</f>
        <v/>
      </c>
      <c r="N429" s="2" t="str">
        <f>IFERROR(IF('PREENCHER AQUI'!I429="","",'PREENCHER AQUI'!I429),"")</f>
        <v/>
      </c>
      <c r="O429" s="2" t="str">
        <f>IFERROR(IF('PREENCHER AQUI'!J429="","",'PREENCHER AQUI'!J429),"")</f>
        <v/>
      </c>
      <c r="P429" s="7" t="str">
        <f t="shared" si="15"/>
        <v/>
      </c>
      <c r="Q429" s="8" t="str">
        <f>IFERROR(IF(Tabela4[[#This Row],[VALOR]]="","",IF(Tabela1[[#This Row],[ORIENTACAO]]="Anular",'PREENCHER AQUI'!K429*-1*100,'PREENCHER AQUI'!K429*100)),"")</f>
        <v/>
      </c>
      <c r="T429" s="7" t="str">
        <f>IFERROR(IF('PREENCHER AQUI'!L429="","999",LEFT('PREENCHER AQUI'!L429,1)),"")</f>
        <v>999</v>
      </c>
      <c r="V429" s="19"/>
      <c r="W429" s="1" t="str">
        <f>IFERROR(VLOOKUP(Tabela1[[#This Row],[UO_COD]],qdd!$AT$1:$AU$102,2,FALSE),"")</f>
        <v/>
      </c>
      <c r="X429" s="1" t="str">
        <f>CONCATENATE("F",Tabela1[[#This Row],[FONTE_COD]],Tabela1[[#This Row],[IPU_COD]],"G",Tabela1[[#This Row],[GRUPO_COD]],"T",Tabela1[[#This Row],[TIPO]])</f>
        <v>FGT999</v>
      </c>
      <c r="Y4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9" s="19"/>
      <c r="AA429" s="29" t="str">
        <f>IFERROR(VLOOKUP(CONCATENATE("B",Tabela1[[#This Row],[BLOCO]],Tabela1[[#This Row],[UO_COD]]),qdd!$AW$2:$AX$1000,2,FALSE),"")</f>
        <v/>
      </c>
      <c r="AB429" s="30" t="str">
        <f>IFERROR(Tabela1[[#This Row],[VALOR]]/100,"")</f>
        <v/>
      </c>
      <c r="AC429" s="7" t="str" cm="1">
        <f t="array" aca="1" ref="AC429" ca="1">IF(Tabela1[[#This Row],[VALOR]]&lt;0,"",IFERROR(SUBSTITUTE(Converter_numero(Tabela1[[#This Row],[VALOR INCISO]]),",",""),""))</f>
        <v/>
      </c>
      <c r="AD429" s="29" t="str">
        <f>IF(Tabela1[[#This Row],[TIPO]]=REGRAS!$W$2,REGRAS!$X$2,IF(Tabela1[[#This Row],[TIPO]]=REGRAS!$W$4,REGRAS!$X$4,""))</f>
        <v/>
      </c>
      <c r="AE429" s="29" t="e">
        <f>VLOOKUP(Tabela1[[#This Row],[FONTE_COD]],REGRAS!$O$2:$P$69,2,FALSE)</f>
        <v>#N/A</v>
      </c>
      <c r="AF4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0" spans="1:32" ht="18.75" customHeight="1">
      <c r="A430" s="2" t="str">
        <f>IFERROR(IF('PREENCHER AQUI'!A430="","",'PREENCHER AQUI'!A430),"")</f>
        <v/>
      </c>
      <c r="B430" s="1" t="str">
        <f>IFERROR(IF('PREENCHER AQUI'!B430="","",PROPER('PREENCHER AQUI'!B430)),"")</f>
        <v/>
      </c>
      <c r="C430" s="1" t="str">
        <f>IFERROR(IF('PREENCHER AQUI'!C430="","",'PREENCHER AQUI'!C430),"")</f>
        <v/>
      </c>
      <c r="D430" s="2" t="str">
        <f>IFERROR(IF('PREENCHER AQUI'!D430="","",'PREENCHER AQUI'!D430),"")</f>
        <v/>
      </c>
      <c r="E430" s="2" t="str">
        <f>IFERROR(VLOOKUP(CONCATENATE(C430,D430),qdd!$C$2:$F$1000,2,FALSE),"")</f>
        <v/>
      </c>
      <c r="F430" s="2" t="str">
        <f>IFERROR(VLOOKUP(CONCATENATE(C430,D430),qdd!$C$2:$F$1000,3,FALSE),"")</f>
        <v/>
      </c>
      <c r="G430" s="2" t="str">
        <f>IFERROR(VLOOKUP(CONCATENATE(C430,D430),qdd!$C$2:$F$1000,4,FALSE),"")</f>
        <v/>
      </c>
      <c r="H430" s="6" t="str">
        <f t="shared" si="14"/>
        <v/>
      </c>
      <c r="I4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0" s="2" t="str">
        <f>IFERROR(IF('PREENCHER AQUI'!E430="","",'PREENCHER AQUI'!E430),"")</f>
        <v/>
      </c>
      <c r="K430" s="2" t="str">
        <f>IFERROR(IF('PREENCHER AQUI'!F430="","",'PREENCHER AQUI'!F430),"")</f>
        <v/>
      </c>
      <c r="L430" s="2" t="str">
        <f>IF(Tabela1[[#This Row],[IPU_COD]]=9,"91",IF(Tabela1[[#This Row],[ACAO_COD]]="","",VLOOKUP(CONCATENATE("G",J430,"M",K430),qdd!$BC$2:$BD$46,2,FALSE)))</f>
        <v/>
      </c>
      <c r="M430" s="2" t="str">
        <f>TEXT(IFERROR(VLOOKUP(CONCATENATE(C430,D430),qdd!$C$2:$G$1000,5,FALSE),""),0)</f>
        <v/>
      </c>
      <c r="N430" s="2" t="str">
        <f>IFERROR(IF('PREENCHER AQUI'!I430="","",'PREENCHER AQUI'!I430),"")</f>
        <v/>
      </c>
      <c r="O430" s="2" t="str">
        <f>IFERROR(IF('PREENCHER AQUI'!J430="","",'PREENCHER AQUI'!J430),"")</f>
        <v/>
      </c>
      <c r="P430" s="7" t="str">
        <f t="shared" si="15"/>
        <v/>
      </c>
      <c r="Q430" s="8" t="str">
        <f>IFERROR(IF(Tabela4[[#This Row],[VALOR]]="","",IF(Tabela1[[#This Row],[ORIENTACAO]]="Anular",'PREENCHER AQUI'!K430*-1*100,'PREENCHER AQUI'!K430*100)),"")</f>
        <v/>
      </c>
      <c r="T430" s="7" t="str">
        <f>IFERROR(IF('PREENCHER AQUI'!L430="","999",LEFT('PREENCHER AQUI'!L430,1)),"")</f>
        <v>999</v>
      </c>
      <c r="V430" s="19"/>
      <c r="W430" s="20" t="str">
        <f>IFERROR(VLOOKUP(Tabela1[[#This Row],[UO_COD]],qdd!$AT$1:$AU$102,2,FALSE),"")</f>
        <v/>
      </c>
      <c r="X430" s="20" t="str">
        <f>CONCATENATE("F",Tabela1[[#This Row],[FONTE_COD]],Tabela1[[#This Row],[IPU_COD]],"G",Tabela1[[#This Row],[GRUPO_COD]],"T",Tabela1[[#This Row],[TIPO]])</f>
        <v>FGT999</v>
      </c>
      <c r="Y4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0" s="19"/>
      <c r="AA430" s="29" t="str">
        <f>IFERROR(VLOOKUP(CONCATENATE("B",Tabela1[[#This Row],[BLOCO]],Tabela1[[#This Row],[UO_COD]]),qdd!$AW$2:$AX$1000,2,FALSE),"")</f>
        <v/>
      </c>
      <c r="AB430" s="30" t="str">
        <f>IFERROR(Tabela1[[#This Row],[VALOR]]/100,"")</f>
        <v/>
      </c>
      <c r="AC430" s="7" t="str" cm="1">
        <f t="array" aca="1" ref="AC430" ca="1">IF(Tabela1[[#This Row],[VALOR]]&lt;0,"",IFERROR(SUBSTITUTE(Converter_numero(Tabela1[[#This Row],[VALOR INCISO]]),",",""),""))</f>
        <v/>
      </c>
      <c r="AD430" s="29" t="str">
        <f>IF(Tabela1[[#This Row],[TIPO]]=REGRAS!$W$2,REGRAS!$X$2,IF(Tabela1[[#This Row],[TIPO]]=REGRAS!$W$4,REGRAS!$X$4,""))</f>
        <v/>
      </c>
      <c r="AE430" s="29" t="e">
        <f>VLOOKUP(Tabela1[[#This Row],[FONTE_COD]],REGRAS!$O$2:$P$69,2,FALSE)</f>
        <v>#N/A</v>
      </c>
      <c r="AF4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1" spans="1:32" ht="18.75" customHeight="1">
      <c r="A431" s="2" t="str">
        <f>IFERROR(IF('PREENCHER AQUI'!A431="","",'PREENCHER AQUI'!A431),"")</f>
        <v/>
      </c>
      <c r="B431" s="1" t="str">
        <f>IFERROR(IF('PREENCHER AQUI'!B431="","",PROPER('PREENCHER AQUI'!B431)),"")</f>
        <v/>
      </c>
      <c r="C431" s="1" t="str">
        <f>IFERROR(IF('PREENCHER AQUI'!C431="","",'PREENCHER AQUI'!C431),"")</f>
        <v/>
      </c>
      <c r="D431" s="2" t="str">
        <f>IFERROR(IF('PREENCHER AQUI'!D431="","",'PREENCHER AQUI'!D431),"")</f>
        <v/>
      </c>
      <c r="E431" s="2" t="str">
        <f>IFERROR(VLOOKUP(CONCATENATE(C431,D431),qdd!$C$2:$F$1000,2,FALSE),"")</f>
        <v/>
      </c>
      <c r="F431" s="2" t="str">
        <f>IFERROR(VLOOKUP(CONCATENATE(C431,D431),qdd!$C$2:$F$1000,3,FALSE),"")</f>
        <v/>
      </c>
      <c r="G431" s="2" t="str">
        <f>IFERROR(VLOOKUP(CONCATENATE(C431,D431),qdd!$C$2:$F$1000,4,FALSE),"")</f>
        <v/>
      </c>
      <c r="H431" s="6" t="str">
        <f t="shared" si="14"/>
        <v/>
      </c>
      <c r="I4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1" s="2" t="str">
        <f>IFERROR(IF('PREENCHER AQUI'!E431="","",'PREENCHER AQUI'!E431),"")</f>
        <v/>
      </c>
      <c r="K431" s="2" t="str">
        <f>IFERROR(IF('PREENCHER AQUI'!F431="","",'PREENCHER AQUI'!F431),"")</f>
        <v/>
      </c>
      <c r="L431" s="2" t="str">
        <f>IF(Tabela1[[#This Row],[IPU_COD]]=9,"91",IF(Tabela1[[#This Row],[ACAO_COD]]="","",VLOOKUP(CONCATENATE("G",J431,"M",K431),qdd!$BC$2:$BD$46,2,FALSE)))</f>
        <v/>
      </c>
      <c r="M431" s="2" t="str">
        <f>TEXT(IFERROR(VLOOKUP(CONCATENATE(C431,D431),qdd!$C$2:$G$1000,5,FALSE),""),0)</f>
        <v/>
      </c>
      <c r="N431" s="2" t="str">
        <f>IFERROR(IF('PREENCHER AQUI'!I431="","",'PREENCHER AQUI'!I431),"")</f>
        <v/>
      </c>
      <c r="O431" s="2" t="str">
        <f>IFERROR(IF('PREENCHER AQUI'!J431="","",'PREENCHER AQUI'!J431),"")</f>
        <v/>
      </c>
      <c r="P431" s="7" t="str">
        <f t="shared" si="15"/>
        <v/>
      </c>
      <c r="Q431" s="8" t="str">
        <f>IFERROR(IF(Tabela4[[#This Row],[VALOR]]="","",IF(Tabela1[[#This Row],[ORIENTACAO]]="Anular",'PREENCHER AQUI'!K431*-1*100,'PREENCHER AQUI'!K431*100)),"")</f>
        <v/>
      </c>
      <c r="T431" s="7" t="str">
        <f>IFERROR(IF('PREENCHER AQUI'!L431="","999",LEFT('PREENCHER AQUI'!L431,1)),"")</f>
        <v>999</v>
      </c>
      <c r="V431" s="19"/>
      <c r="W431" s="1" t="str">
        <f>IFERROR(VLOOKUP(Tabela1[[#This Row],[UO_COD]],qdd!$AT$1:$AU$102,2,FALSE),"")</f>
        <v/>
      </c>
      <c r="X431" s="1" t="str">
        <f>CONCATENATE("F",Tabela1[[#This Row],[FONTE_COD]],Tabela1[[#This Row],[IPU_COD]],"G",Tabela1[[#This Row],[GRUPO_COD]],"T",Tabela1[[#This Row],[TIPO]])</f>
        <v>FGT999</v>
      </c>
      <c r="Y4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1" s="19"/>
      <c r="AA431" s="29" t="str">
        <f>IFERROR(VLOOKUP(CONCATENATE("B",Tabela1[[#This Row],[BLOCO]],Tabela1[[#This Row],[UO_COD]]),qdd!$AW$2:$AX$1000,2,FALSE),"")</f>
        <v/>
      </c>
      <c r="AB431" s="30" t="str">
        <f>IFERROR(Tabela1[[#This Row],[VALOR]]/100,"")</f>
        <v/>
      </c>
      <c r="AC431" s="7" t="str" cm="1">
        <f t="array" aca="1" ref="AC431" ca="1">IF(Tabela1[[#This Row],[VALOR]]&lt;0,"",IFERROR(SUBSTITUTE(Converter_numero(Tabela1[[#This Row],[VALOR INCISO]]),",",""),""))</f>
        <v/>
      </c>
      <c r="AD431" s="29" t="str">
        <f>IF(Tabela1[[#This Row],[TIPO]]=REGRAS!$W$2,REGRAS!$X$2,IF(Tabela1[[#This Row],[TIPO]]=REGRAS!$W$4,REGRAS!$X$4,""))</f>
        <v/>
      </c>
      <c r="AE431" s="29" t="e">
        <f>VLOOKUP(Tabela1[[#This Row],[FONTE_COD]],REGRAS!$O$2:$P$69,2,FALSE)</f>
        <v>#N/A</v>
      </c>
      <c r="AF4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2" spans="1:32" ht="18.75" customHeight="1">
      <c r="A432" s="2" t="str">
        <f>IFERROR(IF('PREENCHER AQUI'!A432="","",'PREENCHER AQUI'!A432),"")</f>
        <v/>
      </c>
      <c r="B432" s="1" t="str">
        <f>IFERROR(IF('PREENCHER AQUI'!B432="","",PROPER('PREENCHER AQUI'!B432)),"")</f>
        <v/>
      </c>
      <c r="C432" s="1" t="str">
        <f>IFERROR(IF('PREENCHER AQUI'!C432="","",'PREENCHER AQUI'!C432),"")</f>
        <v/>
      </c>
      <c r="D432" s="2" t="str">
        <f>IFERROR(IF('PREENCHER AQUI'!D432="","",'PREENCHER AQUI'!D432),"")</f>
        <v/>
      </c>
      <c r="E432" s="2" t="str">
        <f>IFERROR(VLOOKUP(CONCATENATE(C432,D432),qdd!$C$2:$F$1000,2,FALSE),"")</f>
        <v/>
      </c>
      <c r="F432" s="2" t="str">
        <f>IFERROR(VLOOKUP(CONCATENATE(C432,D432),qdd!$C$2:$F$1000,3,FALSE),"")</f>
        <v/>
      </c>
      <c r="G432" s="2" t="str">
        <f>IFERROR(VLOOKUP(CONCATENATE(C432,D432),qdd!$C$2:$F$1000,4,FALSE),"")</f>
        <v/>
      </c>
      <c r="H432" s="6" t="str">
        <f t="shared" si="14"/>
        <v/>
      </c>
      <c r="I4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2" s="2" t="str">
        <f>IFERROR(IF('PREENCHER AQUI'!E432="","",'PREENCHER AQUI'!E432),"")</f>
        <v/>
      </c>
      <c r="K432" s="2" t="str">
        <f>IFERROR(IF('PREENCHER AQUI'!F432="","",'PREENCHER AQUI'!F432),"")</f>
        <v/>
      </c>
      <c r="L432" s="2" t="str">
        <f>IF(Tabela1[[#This Row],[IPU_COD]]=9,"91",IF(Tabela1[[#This Row],[ACAO_COD]]="","",VLOOKUP(CONCATENATE("G",J432,"M",K432),qdd!$BC$2:$BD$46,2,FALSE)))</f>
        <v/>
      </c>
      <c r="M432" s="2" t="str">
        <f>TEXT(IFERROR(VLOOKUP(CONCATENATE(C432,D432),qdd!$C$2:$G$1000,5,FALSE),""),0)</f>
        <v/>
      </c>
      <c r="N432" s="2" t="str">
        <f>IFERROR(IF('PREENCHER AQUI'!I432="","",'PREENCHER AQUI'!I432),"")</f>
        <v/>
      </c>
      <c r="O432" s="2" t="str">
        <f>IFERROR(IF('PREENCHER AQUI'!J432="","",'PREENCHER AQUI'!J432),"")</f>
        <v/>
      </c>
      <c r="P432" s="7" t="str">
        <f t="shared" si="15"/>
        <v/>
      </c>
      <c r="Q432" s="8" t="str">
        <f>IFERROR(IF(Tabela4[[#This Row],[VALOR]]="","",IF(Tabela1[[#This Row],[ORIENTACAO]]="Anular",'PREENCHER AQUI'!K432*-1*100,'PREENCHER AQUI'!K432*100)),"")</f>
        <v/>
      </c>
      <c r="T432" s="7" t="str">
        <f>IFERROR(IF('PREENCHER AQUI'!L432="","999",LEFT('PREENCHER AQUI'!L432,1)),"")</f>
        <v>999</v>
      </c>
      <c r="W432" s="1" t="str">
        <f>IFERROR(VLOOKUP(Tabela1[[#This Row],[UO_COD]],qdd!$AT$1:$AU$102,2,FALSE),"")</f>
        <v/>
      </c>
      <c r="X432" s="1" t="str">
        <f>CONCATENATE("F",Tabela1[[#This Row],[FONTE_COD]],Tabela1[[#This Row],[IPU_COD]],"G",Tabela1[[#This Row],[GRUPO_COD]],"T",Tabela1[[#This Row],[TIPO]])</f>
        <v>FGT999</v>
      </c>
      <c r="Y4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2" s="19"/>
      <c r="AA432" s="29" t="str">
        <f>IFERROR(VLOOKUP(CONCATENATE("B",Tabela1[[#This Row],[BLOCO]],Tabela1[[#This Row],[UO_COD]]),qdd!$AW$2:$AX$1000,2,FALSE),"")</f>
        <v/>
      </c>
      <c r="AB432" s="30" t="str">
        <f>IFERROR(Tabela1[[#This Row],[VALOR]]/100,"")</f>
        <v/>
      </c>
      <c r="AC432" s="7" t="str" cm="1">
        <f t="array" aca="1" ref="AC432" ca="1">IF(Tabela1[[#This Row],[VALOR]]&lt;0,"",IFERROR(SUBSTITUTE(Converter_numero(Tabela1[[#This Row],[VALOR INCISO]]),",",""),""))</f>
        <v/>
      </c>
      <c r="AD432" s="7" t="str">
        <f>IF(Tabela1[[#This Row],[TIPO]]=REGRAS!$W$2,REGRAS!$X$2,IF(Tabela1[[#This Row],[TIPO]]=REGRAS!$W$4,REGRAS!$X$4,""))</f>
        <v/>
      </c>
      <c r="AE432" s="29" t="e">
        <f>VLOOKUP(Tabela1[[#This Row],[FONTE_COD]],REGRAS!$O$2:$P$69,2,FALSE)</f>
        <v>#N/A</v>
      </c>
      <c r="AF4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3" spans="1:32" ht="18.75" customHeight="1">
      <c r="A433" s="2" t="str">
        <f>IFERROR(IF('PREENCHER AQUI'!A433="","",'PREENCHER AQUI'!A433),"")</f>
        <v/>
      </c>
      <c r="B433" s="1" t="str">
        <f>IFERROR(IF('PREENCHER AQUI'!B433="","",PROPER('PREENCHER AQUI'!B433)),"")</f>
        <v/>
      </c>
      <c r="C433" s="1" t="str">
        <f>IFERROR(IF('PREENCHER AQUI'!C433="","",'PREENCHER AQUI'!C433),"")</f>
        <v/>
      </c>
      <c r="D433" s="2" t="str">
        <f>IFERROR(IF('PREENCHER AQUI'!D433="","",'PREENCHER AQUI'!D433),"")</f>
        <v/>
      </c>
      <c r="E433" s="2" t="str">
        <f>IFERROR(VLOOKUP(CONCATENATE(C433,D433),qdd!$C$2:$F$1000,2,FALSE),"")</f>
        <v/>
      </c>
      <c r="F433" s="2" t="str">
        <f>IFERROR(VLOOKUP(CONCATENATE(C433,D433),qdd!$C$2:$F$1000,3,FALSE),"")</f>
        <v/>
      </c>
      <c r="G433" s="2" t="str">
        <f>IFERROR(VLOOKUP(CONCATENATE(C433,D433),qdd!$C$2:$F$1000,4,FALSE),"")</f>
        <v/>
      </c>
      <c r="H433" s="6" t="str">
        <f t="shared" si="14"/>
        <v/>
      </c>
      <c r="I4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3" s="2" t="str">
        <f>IFERROR(IF('PREENCHER AQUI'!E433="","",'PREENCHER AQUI'!E433),"")</f>
        <v/>
      </c>
      <c r="K433" s="2" t="str">
        <f>IFERROR(IF('PREENCHER AQUI'!F433="","",'PREENCHER AQUI'!F433),"")</f>
        <v/>
      </c>
      <c r="L433" s="2" t="str">
        <f>IF(Tabela1[[#This Row],[IPU_COD]]=9,"91",IF(Tabela1[[#This Row],[ACAO_COD]]="","",VLOOKUP(CONCATENATE("G",J433,"M",K433),qdd!$BC$2:$BD$46,2,FALSE)))</f>
        <v/>
      </c>
      <c r="M433" s="2" t="str">
        <f>TEXT(IFERROR(VLOOKUP(CONCATENATE(C433,D433),qdd!$C$2:$G$1000,5,FALSE),""),0)</f>
        <v/>
      </c>
      <c r="N433" s="2" t="str">
        <f>IFERROR(IF('PREENCHER AQUI'!I433="","",'PREENCHER AQUI'!I433),"")</f>
        <v/>
      </c>
      <c r="O433" s="2" t="str">
        <f>IFERROR(IF('PREENCHER AQUI'!J433="","",'PREENCHER AQUI'!J433),"")</f>
        <v/>
      </c>
      <c r="P433" s="7" t="str">
        <f t="shared" si="15"/>
        <v/>
      </c>
      <c r="Q433" s="8" t="str">
        <f>IFERROR(IF(Tabela4[[#This Row],[VALOR]]="","",IF(Tabela1[[#This Row],[ORIENTACAO]]="Anular",'PREENCHER AQUI'!K433*-1*100,'PREENCHER AQUI'!K433*100)),"")</f>
        <v/>
      </c>
      <c r="T433" s="7" t="str">
        <f>IFERROR(IF('PREENCHER AQUI'!L433="","999",LEFT('PREENCHER AQUI'!L433,1)),"")</f>
        <v>999</v>
      </c>
      <c r="V433" s="19"/>
      <c r="W433" s="1" t="str">
        <f>IFERROR(VLOOKUP(Tabela1[[#This Row],[UO_COD]],qdd!$AT$1:$AU$102,2,FALSE),"")</f>
        <v/>
      </c>
      <c r="X433" s="1" t="str">
        <f>CONCATENATE("F",Tabela1[[#This Row],[FONTE_COD]],Tabela1[[#This Row],[IPU_COD]],"G",Tabela1[[#This Row],[GRUPO_COD]],"T",Tabela1[[#This Row],[TIPO]])</f>
        <v>FGT999</v>
      </c>
      <c r="Y4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3" s="19"/>
      <c r="AA433" s="29" t="str">
        <f>IFERROR(VLOOKUP(CONCATENATE("B",Tabela1[[#This Row],[BLOCO]],Tabela1[[#This Row],[UO_COD]]),qdd!$AW$2:$AX$1000,2,FALSE),"")</f>
        <v/>
      </c>
      <c r="AB433" s="30" t="str">
        <f>IFERROR(Tabela1[[#This Row],[VALOR]]/100,"")</f>
        <v/>
      </c>
      <c r="AC433" s="7" t="str" cm="1">
        <f t="array" aca="1" ref="AC433" ca="1">IF(Tabela1[[#This Row],[VALOR]]&lt;0,"",IFERROR(SUBSTITUTE(Converter_numero(Tabela1[[#This Row],[VALOR INCISO]]),",",""),""))</f>
        <v/>
      </c>
      <c r="AD433" s="29" t="str">
        <f>IF(Tabela1[[#This Row],[TIPO]]=REGRAS!$W$2,REGRAS!$X$2,IF(Tabela1[[#This Row],[TIPO]]=REGRAS!$W$4,REGRAS!$X$4,""))</f>
        <v/>
      </c>
      <c r="AE433" s="29" t="e">
        <f>VLOOKUP(Tabela1[[#This Row],[FONTE_COD]],REGRAS!$O$2:$P$69,2,FALSE)</f>
        <v>#N/A</v>
      </c>
      <c r="AF4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4" spans="1:32" ht="18.75" customHeight="1">
      <c r="A434" s="2" t="str">
        <f>IFERROR(IF('PREENCHER AQUI'!A434="","",'PREENCHER AQUI'!A434),"")</f>
        <v/>
      </c>
      <c r="B434" s="1" t="str">
        <f>IFERROR(IF('PREENCHER AQUI'!B434="","",PROPER('PREENCHER AQUI'!B434)),"")</f>
        <v/>
      </c>
      <c r="C434" s="1" t="str">
        <f>IFERROR(IF('PREENCHER AQUI'!C434="","",'PREENCHER AQUI'!C434),"")</f>
        <v/>
      </c>
      <c r="D434" s="2" t="str">
        <f>IFERROR(IF('PREENCHER AQUI'!D434="","",'PREENCHER AQUI'!D434),"")</f>
        <v/>
      </c>
      <c r="E434" s="2" t="str">
        <f>IFERROR(VLOOKUP(CONCATENATE(C434,D434),qdd!$C$2:$F$1000,2,FALSE),"")</f>
        <v/>
      </c>
      <c r="F434" s="2" t="str">
        <f>IFERROR(VLOOKUP(CONCATENATE(C434,D434),qdd!$C$2:$F$1000,3,FALSE),"")</f>
        <v/>
      </c>
      <c r="G434" s="2" t="str">
        <f>IFERROR(VLOOKUP(CONCATENATE(C434,D434),qdd!$C$2:$F$1000,4,FALSE),"")</f>
        <v/>
      </c>
      <c r="H434" s="6" t="str">
        <f t="shared" si="14"/>
        <v/>
      </c>
      <c r="I4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4" s="2" t="str">
        <f>IFERROR(IF('PREENCHER AQUI'!E434="","",'PREENCHER AQUI'!E434),"")</f>
        <v/>
      </c>
      <c r="K434" s="2" t="str">
        <f>IFERROR(IF('PREENCHER AQUI'!F434="","",'PREENCHER AQUI'!F434),"")</f>
        <v/>
      </c>
      <c r="L434" s="2" t="str">
        <f>IF(Tabela1[[#This Row],[IPU_COD]]=9,"91",IF(Tabela1[[#This Row],[ACAO_COD]]="","",VLOOKUP(CONCATENATE("G",J434,"M",K434),qdd!$BC$2:$BD$46,2,FALSE)))</f>
        <v/>
      </c>
      <c r="M434" s="2" t="str">
        <f>TEXT(IFERROR(VLOOKUP(CONCATENATE(C434,D434),qdd!$C$2:$G$1000,5,FALSE),""),0)</f>
        <v/>
      </c>
      <c r="N434" s="2" t="str">
        <f>IFERROR(IF('PREENCHER AQUI'!I434="","",'PREENCHER AQUI'!I434),"")</f>
        <v/>
      </c>
      <c r="O434" s="2" t="str">
        <f>IFERROR(IF('PREENCHER AQUI'!J434="","",'PREENCHER AQUI'!J434),"")</f>
        <v/>
      </c>
      <c r="P434" s="7" t="str">
        <f t="shared" si="15"/>
        <v/>
      </c>
      <c r="Q434" s="8" t="str">
        <f>IFERROR(IF(Tabela4[[#This Row],[VALOR]]="","",IF(Tabela1[[#This Row],[ORIENTACAO]]="Anular",'PREENCHER AQUI'!K434*-1*100,'PREENCHER AQUI'!K434*100)),"")</f>
        <v/>
      </c>
      <c r="T434" s="7" t="str">
        <f>IFERROR(IF('PREENCHER AQUI'!L434="","999",LEFT('PREENCHER AQUI'!L434,1)),"")</f>
        <v>999</v>
      </c>
      <c r="V434" s="19"/>
      <c r="W434" s="1" t="str">
        <f>IFERROR(VLOOKUP(Tabela1[[#This Row],[UO_COD]],qdd!$AT$1:$AU$102,2,FALSE),"")</f>
        <v/>
      </c>
      <c r="X434" s="1" t="str">
        <f>CONCATENATE("F",Tabela1[[#This Row],[FONTE_COD]],Tabela1[[#This Row],[IPU_COD]],"G",Tabela1[[#This Row],[GRUPO_COD]],"T",Tabela1[[#This Row],[TIPO]])</f>
        <v>FGT999</v>
      </c>
      <c r="Y4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4" s="19"/>
      <c r="AA434" s="29" t="str">
        <f>IFERROR(VLOOKUP(CONCATENATE("B",Tabela1[[#This Row],[BLOCO]],Tabela1[[#This Row],[UO_COD]]),qdd!$AW$2:$AX$1000,2,FALSE),"")</f>
        <v/>
      </c>
      <c r="AB434" s="30" t="str">
        <f>IFERROR(Tabela1[[#This Row],[VALOR]]/100,"")</f>
        <v/>
      </c>
      <c r="AC434" s="7" t="str" cm="1">
        <f t="array" aca="1" ref="AC434" ca="1">IF(Tabela1[[#This Row],[VALOR]]&lt;0,"",IFERROR(SUBSTITUTE(Converter_numero(Tabela1[[#This Row],[VALOR INCISO]]),",",""),""))</f>
        <v/>
      </c>
      <c r="AD434" s="29" t="str">
        <f>IF(Tabela1[[#This Row],[TIPO]]=REGRAS!$W$2,REGRAS!$X$2,IF(Tabela1[[#This Row],[TIPO]]=REGRAS!$W$4,REGRAS!$X$4,""))</f>
        <v/>
      </c>
      <c r="AE434" s="29" t="e">
        <f>VLOOKUP(Tabela1[[#This Row],[FONTE_COD]],REGRAS!$O$2:$P$69,2,FALSE)</f>
        <v>#N/A</v>
      </c>
      <c r="AF4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5" spans="1:32" ht="18.75" customHeight="1">
      <c r="A435" s="2" t="str">
        <f>IFERROR(IF('PREENCHER AQUI'!A435="","",'PREENCHER AQUI'!A435),"")</f>
        <v/>
      </c>
      <c r="B435" s="1" t="str">
        <f>IFERROR(IF('PREENCHER AQUI'!B435="","",PROPER('PREENCHER AQUI'!B435)),"")</f>
        <v/>
      </c>
      <c r="C435" s="1" t="str">
        <f>IFERROR(IF('PREENCHER AQUI'!C435="","",'PREENCHER AQUI'!C435),"")</f>
        <v/>
      </c>
      <c r="D435" s="2" t="str">
        <f>IFERROR(IF('PREENCHER AQUI'!D435="","",'PREENCHER AQUI'!D435),"")</f>
        <v/>
      </c>
      <c r="E435" s="2" t="str">
        <f>IFERROR(VLOOKUP(CONCATENATE(C435,D435),qdd!$C$2:$F$1000,2,FALSE),"")</f>
        <v/>
      </c>
      <c r="F435" s="2" t="str">
        <f>IFERROR(VLOOKUP(CONCATENATE(C435,D435),qdd!$C$2:$F$1000,3,FALSE),"")</f>
        <v/>
      </c>
      <c r="G435" s="2" t="str">
        <f>IFERROR(VLOOKUP(CONCATENATE(C435,D435),qdd!$C$2:$F$1000,4,FALSE),"")</f>
        <v/>
      </c>
      <c r="H435" s="6" t="str">
        <f t="shared" si="14"/>
        <v/>
      </c>
      <c r="I4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5" s="2" t="str">
        <f>IFERROR(IF('PREENCHER AQUI'!E435="","",'PREENCHER AQUI'!E435),"")</f>
        <v/>
      </c>
      <c r="K435" s="2" t="str">
        <f>IFERROR(IF('PREENCHER AQUI'!F435="","",'PREENCHER AQUI'!F435),"")</f>
        <v/>
      </c>
      <c r="L435" s="2" t="str">
        <f>IF(Tabela1[[#This Row],[IPU_COD]]=9,"91",IF(Tabela1[[#This Row],[ACAO_COD]]="","",VLOOKUP(CONCATENATE("G",J435,"M",K435),qdd!$BC$2:$BD$46,2,FALSE)))</f>
        <v/>
      </c>
      <c r="M435" s="2" t="str">
        <f>TEXT(IFERROR(VLOOKUP(CONCATENATE(C435,D435),qdd!$C$2:$G$1000,5,FALSE),""),0)</f>
        <v/>
      </c>
      <c r="N435" s="2" t="str">
        <f>IFERROR(IF('PREENCHER AQUI'!I435="","",'PREENCHER AQUI'!I435),"")</f>
        <v/>
      </c>
      <c r="O435" s="2" t="str">
        <f>IFERROR(IF('PREENCHER AQUI'!J435="","",'PREENCHER AQUI'!J435),"")</f>
        <v/>
      </c>
      <c r="P435" s="7" t="str">
        <f t="shared" si="15"/>
        <v/>
      </c>
      <c r="Q435" s="8" t="str">
        <f>IFERROR(IF(Tabela4[[#This Row],[VALOR]]="","",IF(Tabela1[[#This Row],[ORIENTACAO]]="Anular",'PREENCHER AQUI'!K435*-1*100,'PREENCHER AQUI'!K435*100)),"")</f>
        <v/>
      </c>
      <c r="T435" s="7" t="str">
        <f>IFERROR(IF('PREENCHER AQUI'!L435="","999",LEFT('PREENCHER AQUI'!L435,1)),"")</f>
        <v>999</v>
      </c>
      <c r="V435" s="19"/>
      <c r="W435" s="20" t="str">
        <f>IFERROR(VLOOKUP(Tabela1[[#This Row],[UO_COD]],qdd!$AT$1:$AU$102,2,FALSE),"")</f>
        <v/>
      </c>
      <c r="X435" s="20" t="str">
        <f>CONCATENATE("F",Tabela1[[#This Row],[FONTE_COD]],Tabela1[[#This Row],[IPU_COD]],"G",Tabela1[[#This Row],[GRUPO_COD]],"T",Tabela1[[#This Row],[TIPO]])</f>
        <v>FGT999</v>
      </c>
      <c r="Y4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5" s="19"/>
      <c r="AA435" s="29" t="str">
        <f>IFERROR(VLOOKUP(CONCATENATE("B",Tabela1[[#This Row],[BLOCO]],Tabela1[[#This Row],[UO_COD]]),qdd!$AW$2:$AX$1000,2,FALSE),"")</f>
        <v/>
      </c>
      <c r="AB435" s="30" t="str">
        <f>IFERROR(Tabela1[[#This Row],[VALOR]]/100,"")</f>
        <v/>
      </c>
      <c r="AC435" s="7" t="str" cm="1">
        <f t="array" aca="1" ref="AC435" ca="1">IF(Tabela1[[#This Row],[VALOR]]&lt;0,"",IFERROR(SUBSTITUTE(Converter_numero(Tabela1[[#This Row],[VALOR INCISO]]),",",""),""))</f>
        <v/>
      </c>
      <c r="AD435" s="29" t="str">
        <f>IF(Tabela1[[#This Row],[TIPO]]=REGRAS!$W$2,REGRAS!$X$2,IF(Tabela1[[#This Row],[TIPO]]=REGRAS!$W$4,REGRAS!$X$4,""))</f>
        <v/>
      </c>
      <c r="AE435" s="29" t="e">
        <f>VLOOKUP(Tabela1[[#This Row],[FONTE_COD]],REGRAS!$O$2:$P$69,2,FALSE)</f>
        <v>#N/A</v>
      </c>
      <c r="AF4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6" spans="1:32" ht="18.75" customHeight="1">
      <c r="A436" s="2" t="str">
        <f>IFERROR(IF('PREENCHER AQUI'!A436="","",'PREENCHER AQUI'!A436),"")</f>
        <v/>
      </c>
      <c r="B436" s="1" t="str">
        <f>IFERROR(IF('PREENCHER AQUI'!B436="","",PROPER('PREENCHER AQUI'!B436)),"")</f>
        <v/>
      </c>
      <c r="C436" s="1" t="str">
        <f>IFERROR(IF('PREENCHER AQUI'!C436="","",'PREENCHER AQUI'!C436),"")</f>
        <v/>
      </c>
      <c r="D436" s="2" t="str">
        <f>IFERROR(IF('PREENCHER AQUI'!D436="","",'PREENCHER AQUI'!D436),"")</f>
        <v/>
      </c>
      <c r="E436" s="2" t="str">
        <f>IFERROR(VLOOKUP(CONCATENATE(C436,D436),qdd!$C$2:$F$1000,2,FALSE),"")</f>
        <v/>
      </c>
      <c r="F436" s="2" t="str">
        <f>IFERROR(VLOOKUP(CONCATENATE(C436,D436),qdd!$C$2:$F$1000,3,FALSE),"")</f>
        <v/>
      </c>
      <c r="G436" s="2" t="str">
        <f>IFERROR(VLOOKUP(CONCATENATE(C436,D436),qdd!$C$2:$F$1000,4,FALSE),"")</f>
        <v/>
      </c>
      <c r="H436" s="6" t="str">
        <f t="shared" si="14"/>
        <v/>
      </c>
      <c r="I4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6" s="2" t="str">
        <f>IFERROR(IF('PREENCHER AQUI'!E436="","",'PREENCHER AQUI'!E436),"")</f>
        <v/>
      </c>
      <c r="K436" s="2" t="str">
        <f>IFERROR(IF('PREENCHER AQUI'!F436="","",'PREENCHER AQUI'!F436),"")</f>
        <v/>
      </c>
      <c r="L436" s="2" t="str">
        <f>IF(Tabela1[[#This Row],[IPU_COD]]=9,"91",IF(Tabela1[[#This Row],[ACAO_COD]]="","",VLOOKUP(CONCATENATE("G",J436,"M",K436),qdd!$BC$2:$BD$46,2,FALSE)))</f>
        <v/>
      </c>
      <c r="M436" s="2" t="str">
        <f>TEXT(IFERROR(VLOOKUP(CONCATENATE(C436,D436),qdd!$C$2:$G$1000,5,FALSE),""),0)</f>
        <v/>
      </c>
      <c r="N436" s="2" t="str">
        <f>IFERROR(IF('PREENCHER AQUI'!I436="","",'PREENCHER AQUI'!I436),"")</f>
        <v/>
      </c>
      <c r="O436" s="2" t="str">
        <f>IFERROR(IF('PREENCHER AQUI'!J436="","",'PREENCHER AQUI'!J436),"")</f>
        <v/>
      </c>
      <c r="P436" s="7" t="str">
        <f t="shared" si="15"/>
        <v/>
      </c>
      <c r="Q436" s="8" t="str">
        <f>IFERROR(IF(Tabela4[[#This Row],[VALOR]]="","",IF(Tabela1[[#This Row],[ORIENTACAO]]="Anular",'PREENCHER AQUI'!K436*-1*100,'PREENCHER AQUI'!K436*100)),"")</f>
        <v/>
      </c>
      <c r="T436" s="7" t="str">
        <f>IFERROR(IF('PREENCHER AQUI'!L436="","999",LEFT('PREENCHER AQUI'!L436,1)),"")</f>
        <v>999</v>
      </c>
      <c r="V436" s="19"/>
      <c r="W436" s="1" t="str">
        <f>IFERROR(VLOOKUP(Tabela1[[#This Row],[UO_COD]],qdd!$AT$1:$AU$102,2,FALSE),"")</f>
        <v/>
      </c>
      <c r="X436" s="1" t="str">
        <f>CONCATENATE("F",Tabela1[[#This Row],[FONTE_COD]],Tabela1[[#This Row],[IPU_COD]],"G",Tabela1[[#This Row],[GRUPO_COD]],"T",Tabela1[[#This Row],[TIPO]])</f>
        <v>FGT999</v>
      </c>
      <c r="Y4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6" s="19"/>
      <c r="AA436" s="29" t="str">
        <f>IFERROR(VLOOKUP(CONCATENATE("B",Tabela1[[#This Row],[BLOCO]],Tabela1[[#This Row],[UO_COD]]),qdd!$AW$2:$AX$1000,2,FALSE),"")</f>
        <v/>
      </c>
      <c r="AB436" s="30" t="str">
        <f>IFERROR(Tabela1[[#This Row],[VALOR]]/100,"")</f>
        <v/>
      </c>
      <c r="AC436" s="7" t="str" cm="1">
        <f t="array" aca="1" ref="AC436" ca="1">IF(Tabela1[[#This Row],[VALOR]]&lt;0,"",IFERROR(SUBSTITUTE(Converter_numero(Tabela1[[#This Row],[VALOR INCISO]]),",",""),""))</f>
        <v/>
      </c>
      <c r="AD436" s="29" t="str">
        <f>IF(Tabela1[[#This Row],[TIPO]]=REGRAS!$W$2,REGRAS!$X$2,IF(Tabela1[[#This Row],[TIPO]]=REGRAS!$W$4,REGRAS!$X$4,""))</f>
        <v/>
      </c>
      <c r="AE436" s="29" t="e">
        <f>VLOOKUP(Tabela1[[#This Row],[FONTE_COD]],REGRAS!$O$2:$P$69,2,FALSE)</f>
        <v>#N/A</v>
      </c>
      <c r="AF4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7" spans="1:32" ht="18.75" customHeight="1">
      <c r="A437" s="2" t="str">
        <f>IFERROR(IF('PREENCHER AQUI'!A437="","",'PREENCHER AQUI'!A437),"")</f>
        <v/>
      </c>
      <c r="B437" s="1" t="str">
        <f>IFERROR(IF('PREENCHER AQUI'!B437="","",PROPER('PREENCHER AQUI'!B437)),"")</f>
        <v/>
      </c>
      <c r="C437" s="1" t="str">
        <f>IFERROR(IF('PREENCHER AQUI'!C437="","",'PREENCHER AQUI'!C437),"")</f>
        <v/>
      </c>
      <c r="D437" s="2" t="str">
        <f>IFERROR(IF('PREENCHER AQUI'!D437="","",'PREENCHER AQUI'!D437),"")</f>
        <v/>
      </c>
      <c r="E437" s="2" t="str">
        <f>IFERROR(VLOOKUP(CONCATENATE(C437,D437),qdd!$C$2:$F$1000,2,FALSE),"")</f>
        <v/>
      </c>
      <c r="F437" s="2" t="str">
        <f>IFERROR(VLOOKUP(CONCATENATE(C437,D437),qdd!$C$2:$F$1000,3,FALSE),"")</f>
        <v/>
      </c>
      <c r="G437" s="2" t="str">
        <f>IFERROR(VLOOKUP(CONCATENATE(C437,D437),qdd!$C$2:$F$1000,4,FALSE),"")</f>
        <v/>
      </c>
      <c r="H437" s="6" t="str">
        <f t="shared" si="14"/>
        <v/>
      </c>
      <c r="I4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7" s="2" t="str">
        <f>IFERROR(IF('PREENCHER AQUI'!E437="","",'PREENCHER AQUI'!E437),"")</f>
        <v/>
      </c>
      <c r="K437" s="2" t="str">
        <f>IFERROR(IF('PREENCHER AQUI'!F437="","",'PREENCHER AQUI'!F437),"")</f>
        <v/>
      </c>
      <c r="L437" s="2" t="str">
        <f>IF(Tabela1[[#This Row],[IPU_COD]]=9,"91",IF(Tabela1[[#This Row],[ACAO_COD]]="","",VLOOKUP(CONCATENATE("G",J437,"M",K437),qdd!$BC$2:$BD$46,2,FALSE)))</f>
        <v/>
      </c>
      <c r="M437" s="2" t="str">
        <f>TEXT(IFERROR(VLOOKUP(CONCATENATE(C437,D437),qdd!$C$2:$G$1000,5,FALSE),""),0)</f>
        <v/>
      </c>
      <c r="N437" s="2" t="str">
        <f>IFERROR(IF('PREENCHER AQUI'!I437="","",'PREENCHER AQUI'!I437),"")</f>
        <v/>
      </c>
      <c r="O437" s="2" t="str">
        <f>IFERROR(IF('PREENCHER AQUI'!J437="","",'PREENCHER AQUI'!J437),"")</f>
        <v/>
      </c>
      <c r="P437" s="7" t="str">
        <f t="shared" si="15"/>
        <v/>
      </c>
      <c r="Q437" s="8" t="str">
        <f>IFERROR(IF(Tabela4[[#This Row],[VALOR]]="","",IF(Tabela1[[#This Row],[ORIENTACAO]]="Anular",'PREENCHER AQUI'!K437*-1*100,'PREENCHER AQUI'!K437*100)),"")</f>
        <v/>
      </c>
      <c r="T437" s="7" t="str">
        <f>IFERROR(IF('PREENCHER AQUI'!L437="","999",LEFT('PREENCHER AQUI'!L437,1)),"")</f>
        <v>999</v>
      </c>
      <c r="W437" s="1" t="str">
        <f>IFERROR(VLOOKUP(Tabela1[[#This Row],[UO_COD]],qdd!$AT$1:$AU$102,2,FALSE),"")</f>
        <v/>
      </c>
      <c r="X437" s="1" t="str">
        <f>CONCATENATE("F",Tabela1[[#This Row],[FONTE_COD]],Tabela1[[#This Row],[IPU_COD]],"G",Tabela1[[#This Row],[GRUPO_COD]],"T",Tabela1[[#This Row],[TIPO]])</f>
        <v>FGT999</v>
      </c>
      <c r="Y4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7" s="19"/>
      <c r="AA437" s="29" t="str">
        <f>IFERROR(VLOOKUP(CONCATENATE("B",Tabela1[[#This Row],[BLOCO]],Tabela1[[#This Row],[UO_COD]]),qdd!$AW$2:$AX$1000,2,FALSE),"")</f>
        <v/>
      </c>
      <c r="AB437" s="30" t="str">
        <f>IFERROR(Tabela1[[#This Row],[VALOR]]/100,"")</f>
        <v/>
      </c>
      <c r="AC437" s="7" t="str" cm="1">
        <f t="array" aca="1" ref="AC437" ca="1">IF(Tabela1[[#This Row],[VALOR]]&lt;0,"",IFERROR(SUBSTITUTE(Converter_numero(Tabela1[[#This Row],[VALOR INCISO]]),",",""),""))</f>
        <v/>
      </c>
      <c r="AD437" s="7" t="str">
        <f>IF(Tabela1[[#This Row],[TIPO]]=REGRAS!$W$2,REGRAS!$X$2,IF(Tabela1[[#This Row],[TIPO]]=REGRAS!$W$4,REGRAS!$X$4,""))</f>
        <v/>
      </c>
      <c r="AE437" s="29" t="e">
        <f>VLOOKUP(Tabela1[[#This Row],[FONTE_COD]],REGRAS!$O$2:$P$69,2,FALSE)</f>
        <v>#N/A</v>
      </c>
      <c r="AF4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8" spans="1:32" ht="18.75" customHeight="1">
      <c r="A438" s="2" t="str">
        <f>IFERROR(IF('PREENCHER AQUI'!A438="","",'PREENCHER AQUI'!A438),"")</f>
        <v/>
      </c>
      <c r="B438" s="1" t="str">
        <f>IFERROR(IF('PREENCHER AQUI'!B438="","",PROPER('PREENCHER AQUI'!B438)),"")</f>
        <v/>
      </c>
      <c r="C438" s="1" t="str">
        <f>IFERROR(IF('PREENCHER AQUI'!C438="","",'PREENCHER AQUI'!C438),"")</f>
        <v/>
      </c>
      <c r="D438" s="2" t="str">
        <f>IFERROR(IF('PREENCHER AQUI'!D438="","",'PREENCHER AQUI'!D438),"")</f>
        <v/>
      </c>
      <c r="E438" s="2" t="str">
        <f>IFERROR(VLOOKUP(CONCATENATE(C438,D438),qdd!$C$2:$F$1000,2,FALSE),"")</f>
        <v/>
      </c>
      <c r="F438" s="2" t="str">
        <f>IFERROR(VLOOKUP(CONCATENATE(C438,D438),qdd!$C$2:$F$1000,3,FALSE),"")</f>
        <v/>
      </c>
      <c r="G438" s="2" t="str">
        <f>IFERROR(VLOOKUP(CONCATENATE(C438,D438),qdd!$C$2:$F$1000,4,FALSE),"")</f>
        <v/>
      </c>
      <c r="H438" s="6" t="str">
        <f t="shared" si="14"/>
        <v/>
      </c>
      <c r="I4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8" s="2" t="str">
        <f>IFERROR(IF('PREENCHER AQUI'!E438="","",'PREENCHER AQUI'!E438),"")</f>
        <v/>
      </c>
      <c r="K438" s="2" t="str">
        <f>IFERROR(IF('PREENCHER AQUI'!F438="","",'PREENCHER AQUI'!F438),"")</f>
        <v/>
      </c>
      <c r="L438" s="2" t="str">
        <f>IF(Tabela1[[#This Row],[IPU_COD]]=9,"91",IF(Tabela1[[#This Row],[ACAO_COD]]="","",VLOOKUP(CONCATENATE("G",J438,"M",K438),qdd!$BC$2:$BD$46,2,FALSE)))</f>
        <v/>
      </c>
      <c r="M438" s="2" t="str">
        <f>TEXT(IFERROR(VLOOKUP(CONCATENATE(C438,D438),qdd!$C$2:$G$1000,5,FALSE),""),0)</f>
        <v/>
      </c>
      <c r="N438" s="2" t="str">
        <f>IFERROR(IF('PREENCHER AQUI'!I438="","",'PREENCHER AQUI'!I438),"")</f>
        <v/>
      </c>
      <c r="O438" s="2" t="str">
        <f>IFERROR(IF('PREENCHER AQUI'!J438="","",'PREENCHER AQUI'!J438),"")</f>
        <v/>
      </c>
      <c r="P438" s="7" t="str">
        <f t="shared" si="15"/>
        <v/>
      </c>
      <c r="Q438" s="8" t="str">
        <f>IFERROR(IF(Tabela4[[#This Row],[VALOR]]="","",IF(Tabela1[[#This Row],[ORIENTACAO]]="Anular",'PREENCHER AQUI'!K438*-1*100,'PREENCHER AQUI'!K438*100)),"")</f>
        <v/>
      </c>
      <c r="T438" s="7" t="str">
        <f>IFERROR(IF('PREENCHER AQUI'!L438="","999",LEFT('PREENCHER AQUI'!L438,1)),"")</f>
        <v>999</v>
      </c>
      <c r="V438" s="19"/>
      <c r="W438" s="1" t="str">
        <f>IFERROR(VLOOKUP(Tabela1[[#This Row],[UO_COD]],qdd!$AT$1:$AU$102,2,FALSE),"")</f>
        <v/>
      </c>
      <c r="X438" s="1" t="str">
        <f>CONCATENATE("F",Tabela1[[#This Row],[FONTE_COD]],Tabela1[[#This Row],[IPU_COD]],"G",Tabela1[[#This Row],[GRUPO_COD]],"T",Tabela1[[#This Row],[TIPO]])</f>
        <v>FGT999</v>
      </c>
      <c r="Y4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8" s="19"/>
      <c r="AA438" s="29" t="str">
        <f>IFERROR(VLOOKUP(CONCATENATE("B",Tabela1[[#This Row],[BLOCO]],Tabela1[[#This Row],[UO_COD]]),qdd!$AW$2:$AX$1000,2,FALSE),"")</f>
        <v/>
      </c>
      <c r="AB438" s="30" t="str">
        <f>IFERROR(Tabela1[[#This Row],[VALOR]]/100,"")</f>
        <v/>
      </c>
      <c r="AC438" s="7" t="str" cm="1">
        <f t="array" aca="1" ref="AC438" ca="1">IF(Tabela1[[#This Row],[VALOR]]&lt;0,"",IFERROR(SUBSTITUTE(Converter_numero(Tabela1[[#This Row],[VALOR INCISO]]),",",""),""))</f>
        <v/>
      </c>
      <c r="AD438" s="29" t="str">
        <f>IF(Tabela1[[#This Row],[TIPO]]=REGRAS!$W$2,REGRAS!$X$2,IF(Tabela1[[#This Row],[TIPO]]=REGRAS!$W$4,REGRAS!$X$4,""))</f>
        <v/>
      </c>
      <c r="AE438" s="29" t="e">
        <f>VLOOKUP(Tabela1[[#This Row],[FONTE_COD]],REGRAS!$O$2:$P$69,2,FALSE)</f>
        <v>#N/A</v>
      </c>
      <c r="AF4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9" spans="1:32" ht="18.75" customHeight="1">
      <c r="A439" s="2" t="str">
        <f>IFERROR(IF('PREENCHER AQUI'!A439="","",'PREENCHER AQUI'!A439),"")</f>
        <v/>
      </c>
      <c r="B439" s="1" t="str">
        <f>IFERROR(IF('PREENCHER AQUI'!B439="","",PROPER('PREENCHER AQUI'!B439)),"")</f>
        <v/>
      </c>
      <c r="C439" s="1" t="str">
        <f>IFERROR(IF('PREENCHER AQUI'!C439="","",'PREENCHER AQUI'!C439),"")</f>
        <v/>
      </c>
      <c r="D439" s="2" t="str">
        <f>IFERROR(IF('PREENCHER AQUI'!D439="","",'PREENCHER AQUI'!D439),"")</f>
        <v/>
      </c>
      <c r="E439" s="2" t="str">
        <f>IFERROR(VLOOKUP(CONCATENATE(C439,D439),qdd!$C$2:$F$1000,2,FALSE),"")</f>
        <v/>
      </c>
      <c r="F439" s="2" t="str">
        <f>IFERROR(VLOOKUP(CONCATENATE(C439,D439),qdd!$C$2:$F$1000,3,FALSE),"")</f>
        <v/>
      </c>
      <c r="G439" s="2" t="str">
        <f>IFERROR(VLOOKUP(CONCATENATE(C439,D439),qdd!$C$2:$F$1000,4,FALSE),"")</f>
        <v/>
      </c>
      <c r="H439" s="6" t="str">
        <f t="shared" si="14"/>
        <v/>
      </c>
      <c r="I4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9" s="2" t="str">
        <f>IFERROR(IF('PREENCHER AQUI'!E439="","",'PREENCHER AQUI'!E439),"")</f>
        <v/>
      </c>
      <c r="K439" s="2" t="str">
        <f>IFERROR(IF('PREENCHER AQUI'!F439="","",'PREENCHER AQUI'!F439),"")</f>
        <v/>
      </c>
      <c r="L439" s="2" t="str">
        <f>IF(Tabela1[[#This Row],[IPU_COD]]=9,"91",IF(Tabela1[[#This Row],[ACAO_COD]]="","",VLOOKUP(CONCATENATE("G",J439,"M",K439),qdd!$BC$2:$BD$46,2,FALSE)))</f>
        <v/>
      </c>
      <c r="M439" s="2" t="str">
        <f>TEXT(IFERROR(VLOOKUP(CONCATENATE(C439,D439),qdd!$C$2:$G$1000,5,FALSE),""),0)</f>
        <v/>
      </c>
      <c r="N439" s="2" t="str">
        <f>IFERROR(IF('PREENCHER AQUI'!I439="","",'PREENCHER AQUI'!I439),"")</f>
        <v/>
      </c>
      <c r="O439" s="2" t="str">
        <f>IFERROR(IF('PREENCHER AQUI'!J439="","",'PREENCHER AQUI'!J439),"")</f>
        <v/>
      </c>
      <c r="P439" s="7" t="str">
        <f t="shared" si="15"/>
        <v/>
      </c>
      <c r="Q439" s="8" t="str">
        <f>IFERROR(IF(Tabela4[[#This Row],[VALOR]]="","",IF(Tabela1[[#This Row],[ORIENTACAO]]="Anular",'PREENCHER AQUI'!K439*-1*100,'PREENCHER AQUI'!K439*100)),"")</f>
        <v/>
      </c>
      <c r="T439" s="7" t="str">
        <f>IFERROR(IF('PREENCHER AQUI'!L439="","999",LEFT('PREENCHER AQUI'!L439,1)),"")</f>
        <v>999</v>
      </c>
      <c r="V439" s="19"/>
      <c r="W439" s="1" t="str">
        <f>IFERROR(VLOOKUP(Tabela1[[#This Row],[UO_COD]],qdd!$AT$1:$AU$102,2,FALSE),"")</f>
        <v/>
      </c>
      <c r="X439" s="1" t="str">
        <f>CONCATENATE("F",Tabela1[[#This Row],[FONTE_COD]],Tabela1[[#This Row],[IPU_COD]],"G",Tabela1[[#This Row],[GRUPO_COD]],"T",Tabela1[[#This Row],[TIPO]])</f>
        <v>FGT999</v>
      </c>
      <c r="Y4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9" s="19"/>
      <c r="AA439" s="29" t="str">
        <f>IFERROR(VLOOKUP(CONCATENATE("B",Tabela1[[#This Row],[BLOCO]],Tabela1[[#This Row],[UO_COD]]),qdd!$AW$2:$AX$1000,2,FALSE),"")</f>
        <v/>
      </c>
      <c r="AB439" s="30" t="str">
        <f>IFERROR(Tabela1[[#This Row],[VALOR]]/100,"")</f>
        <v/>
      </c>
      <c r="AC439" s="7" t="str" cm="1">
        <f t="array" aca="1" ref="AC439" ca="1">IF(Tabela1[[#This Row],[VALOR]]&lt;0,"",IFERROR(SUBSTITUTE(Converter_numero(Tabela1[[#This Row],[VALOR INCISO]]),",",""),""))</f>
        <v/>
      </c>
      <c r="AD439" s="29" t="str">
        <f>IF(Tabela1[[#This Row],[TIPO]]=REGRAS!$W$2,REGRAS!$X$2,IF(Tabela1[[#This Row],[TIPO]]=REGRAS!$W$4,REGRAS!$X$4,""))</f>
        <v/>
      </c>
      <c r="AE439" s="29" t="e">
        <f>VLOOKUP(Tabela1[[#This Row],[FONTE_COD]],REGRAS!$O$2:$P$69,2,FALSE)</f>
        <v>#N/A</v>
      </c>
      <c r="AF4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0" spans="1:32" ht="18.75" customHeight="1">
      <c r="A440" s="2" t="str">
        <f>IFERROR(IF('PREENCHER AQUI'!A440="","",'PREENCHER AQUI'!A440),"")</f>
        <v/>
      </c>
      <c r="B440" s="1" t="str">
        <f>IFERROR(IF('PREENCHER AQUI'!B440="","",PROPER('PREENCHER AQUI'!B440)),"")</f>
        <v/>
      </c>
      <c r="C440" s="1" t="str">
        <f>IFERROR(IF('PREENCHER AQUI'!C440="","",'PREENCHER AQUI'!C440),"")</f>
        <v/>
      </c>
      <c r="D440" s="2" t="str">
        <f>IFERROR(IF('PREENCHER AQUI'!D440="","",'PREENCHER AQUI'!D440),"")</f>
        <v/>
      </c>
      <c r="E440" s="2" t="str">
        <f>IFERROR(VLOOKUP(CONCATENATE(C440,D440),qdd!$C$2:$F$1000,2,FALSE),"")</f>
        <v/>
      </c>
      <c r="F440" s="2" t="str">
        <f>IFERROR(VLOOKUP(CONCATENATE(C440,D440),qdd!$C$2:$F$1000,3,FALSE),"")</f>
        <v/>
      </c>
      <c r="G440" s="2" t="str">
        <f>IFERROR(VLOOKUP(CONCATENATE(C440,D440),qdd!$C$2:$F$1000,4,FALSE),"")</f>
        <v/>
      </c>
      <c r="H440" s="6" t="str">
        <f t="shared" si="14"/>
        <v/>
      </c>
      <c r="I4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0" s="2" t="str">
        <f>IFERROR(IF('PREENCHER AQUI'!E440="","",'PREENCHER AQUI'!E440),"")</f>
        <v/>
      </c>
      <c r="K440" s="2" t="str">
        <f>IFERROR(IF('PREENCHER AQUI'!F440="","",'PREENCHER AQUI'!F440),"")</f>
        <v/>
      </c>
      <c r="L440" s="2" t="str">
        <f>IF(Tabela1[[#This Row],[IPU_COD]]=9,"91",IF(Tabela1[[#This Row],[ACAO_COD]]="","",VLOOKUP(CONCATENATE("G",J440,"M",K440),qdd!$BC$2:$BD$46,2,FALSE)))</f>
        <v/>
      </c>
      <c r="M440" s="2" t="str">
        <f>TEXT(IFERROR(VLOOKUP(CONCATENATE(C440,D440),qdd!$C$2:$G$1000,5,FALSE),""),0)</f>
        <v/>
      </c>
      <c r="N440" s="2" t="str">
        <f>IFERROR(IF('PREENCHER AQUI'!I440="","",'PREENCHER AQUI'!I440),"")</f>
        <v/>
      </c>
      <c r="O440" s="2" t="str">
        <f>IFERROR(IF('PREENCHER AQUI'!J440="","",'PREENCHER AQUI'!J440),"")</f>
        <v/>
      </c>
      <c r="P440" s="7" t="str">
        <f t="shared" si="15"/>
        <v/>
      </c>
      <c r="Q440" s="8" t="str">
        <f>IFERROR(IF(Tabela4[[#This Row],[VALOR]]="","",IF(Tabela1[[#This Row],[ORIENTACAO]]="Anular",'PREENCHER AQUI'!K440*-1*100,'PREENCHER AQUI'!K440*100)),"")</f>
        <v/>
      </c>
      <c r="T440" s="7" t="str">
        <f>IFERROR(IF('PREENCHER AQUI'!L440="","999",LEFT('PREENCHER AQUI'!L440,1)),"")</f>
        <v>999</v>
      </c>
      <c r="V440" s="19"/>
      <c r="W440" s="20" t="str">
        <f>IFERROR(VLOOKUP(Tabela1[[#This Row],[UO_COD]],qdd!$AT$1:$AU$102,2,FALSE),"")</f>
        <v/>
      </c>
      <c r="X440" s="20" t="str">
        <f>CONCATENATE("F",Tabela1[[#This Row],[FONTE_COD]],Tabela1[[#This Row],[IPU_COD]],"G",Tabela1[[#This Row],[GRUPO_COD]],"T",Tabela1[[#This Row],[TIPO]])</f>
        <v>FGT999</v>
      </c>
      <c r="Y4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0" s="19"/>
      <c r="AA440" s="29" t="str">
        <f>IFERROR(VLOOKUP(CONCATENATE("B",Tabela1[[#This Row],[BLOCO]],Tabela1[[#This Row],[UO_COD]]),qdd!$AW$2:$AX$1000,2,FALSE),"")</f>
        <v/>
      </c>
      <c r="AB440" s="30" t="str">
        <f>IFERROR(Tabela1[[#This Row],[VALOR]]/100,"")</f>
        <v/>
      </c>
      <c r="AC440" s="7" t="str" cm="1">
        <f t="array" aca="1" ref="AC440" ca="1">IF(Tabela1[[#This Row],[VALOR]]&lt;0,"",IFERROR(SUBSTITUTE(Converter_numero(Tabela1[[#This Row],[VALOR INCISO]]),",",""),""))</f>
        <v/>
      </c>
      <c r="AD440" s="29" t="str">
        <f>IF(Tabela1[[#This Row],[TIPO]]=REGRAS!$W$2,REGRAS!$X$2,IF(Tabela1[[#This Row],[TIPO]]=REGRAS!$W$4,REGRAS!$X$4,""))</f>
        <v/>
      </c>
      <c r="AE440" s="29" t="e">
        <f>VLOOKUP(Tabela1[[#This Row],[FONTE_COD]],REGRAS!$O$2:$P$69,2,FALSE)</f>
        <v>#N/A</v>
      </c>
      <c r="AF4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1" spans="1:32" ht="18.75" customHeight="1">
      <c r="A441" s="2" t="str">
        <f>IFERROR(IF('PREENCHER AQUI'!A441="","",'PREENCHER AQUI'!A441),"")</f>
        <v/>
      </c>
      <c r="B441" s="1" t="str">
        <f>IFERROR(IF('PREENCHER AQUI'!B441="","",PROPER('PREENCHER AQUI'!B441)),"")</f>
        <v/>
      </c>
      <c r="C441" s="1" t="str">
        <f>IFERROR(IF('PREENCHER AQUI'!C441="","",'PREENCHER AQUI'!C441),"")</f>
        <v/>
      </c>
      <c r="D441" s="2" t="str">
        <f>IFERROR(IF('PREENCHER AQUI'!D441="","",'PREENCHER AQUI'!D441),"")</f>
        <v/>
      </c>
      <c r="E441" s="2" t="str">
        <f>IFERROR(VLOOKUP(CONCATENATE(C441,D441),qdd!$C$2:$F$1000,2,FALSE),"")</f>
        <v/>
      </c>
      <c r="F441" s="2" t="str">
        <f>IFERROR(VLOOKUP(CONCATENATE(C441,D441),qdd!$C$2:$F$1000,3,FALSE),"")</f>
        <v/>
      </c>
      <c r="G441" s="2" t="str">
        <f>IFERROR(VLOOKUP(CONCATENATE(C441,D441),qdd!$C$2:$F$1000,4,FALSE),"")</f>
        <v/>
      </c>
      <c r="H441" s="6" t="str">
        <f t="shared" si="14"/>
        <v/>
      </c>
      <c r="I4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1" s="2" t="str">
        <f>IFERROR(IF('PREENCHER AQUI'!E441="","",'PREENCHER AQUI'!E441),"")</f>
        <v/>
      </c>
      <c r="K441" s="2" t="str">
        <f>IFERROR(IF('PREENCHER AQUI'!F441="","",'PREENCHER AQUI'!F441),"")</f>
        <v/>
      </c>
      <c r="L441" s="2" t="str">
        <f>IF(Tabela1[[#This Row],[IPU_COD]]=9,"91",IF(Tabela1[[#This Row],[ACAO_COD]]="","",VLOOKUP(CONCATENATE("G",J441,"M",K441),qdd!$BC$2:$BD$46,2,FALSE)))</f>
        <v/>
      </c>
      <c r="M441" s="2" t="str">
        <f>TEXT(IFERROR(VLOOKUP(CONCATENATE(C441,D441),qdd!$C$2:$G$1000,5,FALSE),""),0)</f>
        <v/>
      </c>
      <c r="N441" s="2" t="str">
        <f>IFERROR(IF('PREENCHER AQUI'!I441="","",'PREENCHER AQUI'!I441),"")</f>
        <v/>
      </c>
      <c r="O441" s="2" t="str">
        <f>IFERROR(IF('PREENCHER AQUI'!J441="","",'PREENCHER AQUI'!J441),"")</f>
        <v/>
      </c>
      <c r="P441" s="7" t="str">
        <f t="shared" si="15"/>
        <v/>
      </c>
      <c r="Q441" s="8" t="str">
        <f>IFERROR(IF(Tabela4[[#This Row],[VALOR]]="","",IF(Tabela1[[#This Row],[ORIENTACAO]]="Anular",'PREENCHER AQUI'!K441*-1*100,'PREENCHER AQUI'!K441*100)),"")</f>
        <v/>
      </c>
      <c r="T441" s="7" t="str">
        <f>IFERROR(IF('PREENCHER AQUI'!L441="","999",LEFT('PREENCHER AQUI'!L441,1)),"")</f>
        <v>999</v>
      </c>
      <c r="V441" s="19"/>
      <c r="W441" s="1" t="str">
        <f>IFERROR(VLOOKUP(Tabela1[[#This Row],[UO_COD]],qdd!$AT$1:$AU$102,2,FALSE),"")</f>
        <v/>
      </c>
      <c r="X441" s="1" t="str">
        <f>CONCATENATE("F",Tabela1[[#This Row],[FONTE_COD]],Tabela1[[#This Row],[IPU_COD]],"G",Tabela1[[#This Row],[GRUPO_COD]],"T",Tabela1[[#This Row],[TIPO]])</f>
        <v>FGT999</v>
      </c>
      <c r="Y4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1" s="19"/>
      <c r="AA441" s="29" t="str">
        <f>IFERROR(VLOOKUP(CONCATENATE("B",Tabela1[[#This Row],[BLOCO]],Tabela1[[#This Row],[UO_COD]]),qdd!$AW$2:$AX$1000,2,FALSE),"")</f>
        <v/>
      </c>
      <c r="AB441" s="30" t="str">
        <f>IFERROR(Tabela1[[#This Row],[VALOR]]/100,"")</f>
        <v/>
      </c>
      <c r="AC441" s="7" t="str" cm="1">
        <f t="array" aca="1" ref="AC441" ca="1">IF(Tabela1[[#This Row],[VALOR]]&lt;0,"",IFERROR(SUBSTITUTE(Converter_numero(Tabela1[[#This Row],[VALOR INCISO]]),",",""),""))</f>
        <v/>
      </c>
      <c r="AD441" s="29" t="str">
        <f>IF(Tabela1[[#This Row],[TIPO]]=REGRAS!$W$2,REGRAS!$X$2,IF(Tabela1[[#This Row],[TIPO]]=REGRAS!$W$4,REGRAS!$X$4,""))</f>
        <v/>
      </c>
      <c r="AE441" s="29" t="e">
        <f>VLOOKUP(Tabela1[[#This Row],[FONTE_COD]],REGRAS!$O$2:$P$69,2,FALSE)</f>
        <v>#N/A</v>
      </c>
      <c r="AF4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2" spans="1:32" ht="18.75" customHeight="1">
      <c r="A442" s="2" t="str">
        <f>IFERROR(IF('PREENCHER AQUI'!A442="","",'PREENCHER AQUI'!A442),"")</f>
        <v/>
      </c>
      <c r="B442" s="1" t="str">
        <f>IFERROR(IF('PREENCHER AQUI'!B442="","",PROPER('PREENCHER AQUI'!B442)),"")</f>
        <v/>
      </c>
      <c r="C442" s="1" t="str">
        <f>IFERROR(IF('PREENCHER AQUI'!C442="","",'PREENCHER AQUI'!C442),"")</f>
        <v/>
      </c>
      <c r="D442" s="2" t="str">
        <f>IFERROR(IF('PREENCHER AQUI'!D442="","",'PREENCHER AQUI'!D442),"")</f>
        <v/>
      </c>
      <c r="E442" s="2" t="str">
        <f>IFERROR(VLOOKUP(CONCATENATE(C442,D442),qdd!$C$2:$F$1000,2,FALSE),"")</f>
        <v/>
      </c>
      <c r="F442" s="2" t="str">
        <f>IFERROR(VLOOKUP(CONCATENATE(C442,D442),qdd!$C$2:$F$1000,3,FALSE),"")</f>
        <v/>
      </c>
      <c r="G442" s="2" t="str">
        <f>IFERROR(VLOOKUP(CONCATENATE(C442,D442),qdd!$C$2:$F$1000,4,FALSE),"")</f>
        <v/>
      </c>
      <c r="H442" s="6" t="str">
        <f t="shared" si="14"/>
        <v/>
      </c>
      <c r="I4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2" s="2" t="str">
        <f>IFERROR(IF('PREENCHER AQUI'!E442="","",'PREENCHER AQUI'!E442),"")</f>
        <v/>
      </c>
      <c r="K442" s="2" t="str">
        <f>IFERROR(IF('PREENCHER AQUI'!F442="","",'PREENCHER AQUI'!F442),"")</f>
        <v/>
      </c>
      <c r="L442" s="2" t="str">
        <f>IF(Tabela1[[#This Row],[IPU_COD]]=9,"91",IF(Tabela1[[#This Row],[ACAO_COD]]="","",VLOOKUP(CONCATENATE("G",J442,"M",K442),qdd!$BC$2:$BD$46,2,FALSE)))</f>
        <v/>
      </c>
      <c r="M442" s="2" t="str">
        <f>TEXT(IFERROR(VLOOKUP(CONCATENATE(C442,D442),qdd!$C$2:$G$1000,5,FALSE),""),0)</f>
        <v/>
      </c>
      <c r="N442" s="2" t="str">
        <f>IFERROR(IF('PREENCHER AQUI'!I442="","",'PREENCHER AQUI'!I442),"")</f>
        <v/>
      </c>
      <c r="O442" s="2" t="str">
        <f>IFERROR(IF('PREENCHER AQUI'!J442="","",'PREENCHER AQUI'!J442),"")</f>
        <v/>
      </c>
      <c r="P442" s="7" t="str">
        <f t="shared" si="15"/>
        <v/>
      </c>
      <c r="Q442" s="8" t="str">
        <f>IFERROR(IF(Tabela4[[#This Row],[VALOR]]="","",IF(Tabela1[[#This Row],[ORIENTACAO]]="Anular",'PREENCHER AQUI'!K442*-1*100,'PREENCHER AQUI'!K442*100)),"")</f>
        <v/>
      </c>
      <c r="T442" s="7" t="str">
        <f>IFERROR(IF('PREENCHER AQUI'!L442="","999",LEFT('PREENCHER AQUI'!L442,1)),"")</f>
        <v>999</v>
      </c>
      <c r="W442" s="1" t="str">
        <f>IFERROR(VLOOKUP(Tabela1[[#This Row],[UO_COD]],qdd!$AT$1:$AU$102,2,FALSE),"")</f>
        <v/>
      </c>
      <c r="X442" s="1" t="str">
        <f>CONCATENATE("F",Tabela1[[#This Row],[FONTE_COD]],Tabela1[[#This Row],[IPU_COD]],"G",Tabela1[[#This Row],[GRUPO_COD]],"T",Tabela1[[#This Row],[TIPO]])</f>
        <v>FGT999</v>
      </c>
      <c r="Y4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2" s="19"/>
      <c r="AA442" s="29" t="str">
        <f>IFERROR(VLOOKUP(CONCATENATE("B",Tabela1[[#This Row],[BLOCO]],Tabela1[[#This Row],[UO_COD]]),qdd!$AW$2:$AX$1000,2,FALSE),"")</f>
        <v/>
      </c>
      <c r="AB442" s="30" t="str">
        <f>IFERROR(Tabela1[[#This Row],[VALOR]]/100,"")</f>
        <v/>
      </c>
      <c r="AC442" s="7" t="str" cm="1">
        <f t="array" aca="1" ref="AC442" ca="1">IF(Tabela1[[#This Row],[VALOR]]&lt;0,"",IFERROR(SUBSTITUTE(Converter_numero(Tabela1[[#This Row],[VALOR INCISO]]),",",""),""))</f>
        <v/>
      </c>
      <c r="AD442" s="7" t="str">
        <f>IF(Tabela1[[#This Row],[TIPO]]=REGRAS!$W$2,REGRAS!$X$2,IF(Tabela1[[#This Row],[TIPO]]=REGRAS!$W$4,REGRAS!$X$4,""))</f>
        <v/>
      </c>
      <c r="AE442" s="29" t="e">
        <f>VLOOKUP(Tabela1[[#This Row],[FONTE_COD]],REGRAS!$O$2:$P$69,2,FALSE)</f>
        <v>#N/A</v>
      </c>
      <c r="AF4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3" spans="1:32" ht="18.75" customHeight="1">
      <c r="A443" s="2" t="str">
        <f>IFERROR(IF('PREENCHER AQUI'!A443="","",'PREENCHER AQUI'!A443),"")</f>
        <v/>
      </c>
      <c r="B443" s="1" t="str">
        <f>IFERROR(IF('PREENCHER AQUI'!B443="","",PROPER('PREENCHER AQUI'!B443)),"")</f>
        <v/>
      </c>
      <c r="C443" s="1" t="str">
        <f>IFERROR(IF('PREENCHER AQUI'!C443="","",'PREENCHER AQUI'!C443),"")</f>
        <v/>
      </c>
      <c r="D443" s="2" t="str">
        <f>IFERROR(IF('PREENCHER AQUI'!D443="","",'PREENCHER AQUI'!D443),"")</f>
        <v/>
      </c>
      <c r="E443" s="2" t="str">
        <f>IFERROR(VLOOKUP(CONCATENATE(C443,D443),qdd!$C$2:$F$1000,2,FALSE),"")</f>
        <v/>
      </c>
      <c r="F443" s="2" t="str">
        <f>IFERROR(VLOOKUP(CONCATENATE(C443,D443),qdd!$C$2:$F$1000,3,FALSE),"")</f>
        <v/>
      </c>
      <c r="G443" s="2" t="str">
        <f>IFERROR(VLOOKUP(CONCATENATE(C443,D443),qdd!$C$2:$F$1000,4,FALSE),"")</f>
        <v/>
      </c>
      <c r="H443" s="6" t="str">
        <f t="shared" si="14"/>
        <v/>
      </c>
      <c r="I4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3" s="2" t="str">
        <f>IFERROR(IF('PREENCHER AQUI'!E443="","",'PREENCHER AQUI'!E443),"")</f>
        <v/>
      </c>
      <c r="K443" s="2" t="str">
        <f>IFERROR(IF('PREENCHER AQUI'!F443="","",'PREENCHER AQUI'!F443),"")</f>
        <v/>
      </c>
      <c r="L443" s="2" t="str">
        <f>IF(Tabela1[[#This Row],[IPU_COD]]=9,"91",IF(Tabela1[[#This Row],[ACAO_COD]]="","",VLOOKUP(CONCATENATE("G",J443,"M",K443),qdd!$BC$2:$BD$46,2,FALSE)))</f>
        <v/>
      </c>
      <c r="M443" s="2" t="str">
        <f>TEXT(IFERROR(VLOOKUP(CONCATENATE(C443,D443),qdd!$C$2:$G$1000,5,FALSE),""),0)</f>
        <v/>
      </c>
      <c r="N443" s="2" t="str">
        <f>IFERROR(IF('PREENCHER AQUI'!I443="","",'PREENCHER AQUI'!I443),"")</f>
        <v/>
      </c>
      <c r="O443" s="2" t="str">
        <f>IFERROR(IF('PREENCHER AQUI'!J443="","",'PREENCHER AQUI'!J443),"")</f>
        <v/>
      </c>
      <c r="P443" s="7" t="str">
        <f t="shared" si="15"/>
        <v/>
      </c>
      <c r="Q443" s="8" t="str">
        <f>IFERROR(IF(Tabela4[[#This Row],[VALOR]]="","",IF(Tabela1[[#This Row],[ORIENTACAO]]="Anular",'PREENCHER AQUI'!K443*-1*100,'PREENCHER AQUI'!K443*100)),"")</f>
        <v/>
      </c>
      <c r="T443" s="7" t="str">
        <f>IFERROR(IF('PREENCHER AQUI'!L443="","999",LEFT('PREENCHER AQUI'!L443,1)),"")</f>
        <v>999</v>
      </c>
      <c r="V443" s="19"/>
      <c r="W443" s="1" t="str">
        <f>IFERROR(VLOOKUP(Tabela1[[#This Row],[UO_COD]],qdd!$AT$1:$AU$102,2,FALSE),"")</f>
        <v/>
      </c>
      <c r="X443" s="1" t="str">
        <f>CONCATENATE("F",Tabela1[[#This Row],[FONTE_COD]],Tabela1[[#This Row],[IPU_COD]],"G",Tabela1[[#This Row],[GRUPO_COD]],"T",Tabela1[[#This Row],[TIPO]])</f>
        <v>FGT999</v>
      </c>
      <c r="Y4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3" s="19"/>
      <c r="AA443" s="29" t="str">
        <f>IFERROR(VLOOKUP(CONCATENATE("B",Tabela1[[#This Row],[BLOCO]],Tabela1[[#This Row],[UO_COD]]),qdd!$AW$2:$AX$1000,2,FALSE),"")</f>
        <v/>
      </c>
      <c r="AB443" s="30" t="str">
        <f>IFERROR(Tabela1[[#This Row],[VALOR]]/100,"")</f>
        <v/>
      </c>
      <c r="AC443" s="7" t="str" cm="1">
        <f t="array" aca="1" ref="AC443" ca="1">IF(Tabela1[[#This Row],[VALOR]]&lt;0,"",IFERROR(SUBSTITUTE(Converter_numero(Tabela1[[#This Row],[VALOR INCISO]]),",",""),""))</f>
        <v/>
      </c>
      <c r="AD443" s="29" t="str">
        <f>IF(Tabela1[[#This Row],[TIPO]]=REGRAS!$W$2,REGRAS!$X$2,IF(Tabela1[[#This Row],[TIPO]]=REGRAS!$W$4,REGRAS!$X$4,""))</f>
        <v/>
      </c>
      <c r="AE443" s="29" t="e">
        <f>VLOOKUP(Tabela1[[#This Row],[FONTE_COD]],REGRAS!$O$2:$P$69,2,FALSE)</f>
        <v>#N/A</v>
      </c>
      <c r="AF4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4" spans="1:32" ht="18.75" customHeight="1">
      <c r="A444" s="2" t="str">
        <f>IFERROR(IF('PREENCHER AQUI'!A444="","",'PREENCHER AQUI'!A444),"")</f>
        <v/>
      </c>
      <c r="B444" s="1" t="str">
        <f>IFERROR(IF('PREENCHER AQUI'!B444="","",PROPER('PREENCHER AQUI'!B444)),"")</f>
        <v/>
      </c>
      <c r="C444" s="1" t="str">
        <f>IFERROR(IF('PREENCHER AQUI'!C444="","",'PREENCHER AQUI'!C444),"")</f>
        <v/>
      </c>
      <c r="D444" s="2" t="str">
        <f>IFERROR(IF('PREENCHER AQUI'!D444="","",'PREENCHER AQUI'!D444),"")</f>
        <v/>
      </c>
      <c r="E444" s="2" t="str">
        <f>IFERROR(VLOOKUP(CONCATENATE(C444,D444),qdd!$C$2:$F$1000,2,FALSE),"")</f>
        <v/>
      </c>
      <c r="F444" s="2" t="str">
        <f>IFERROR(VLOOKUP(CONCATENATE(C444,D444),qdd!$C$2:$F$1000,3,FALSE),"")</f>
        <v/>
      </c>
      <c r="G444" s="2" t="str">
        <f>IFERROR(VLOOKUP(CONCATENATE(C444,D444),qdd!$C$2:$F$1000,4,FALSE),"")</f>
        <v/>
      </c>
      <c r="H444" s="6" t="str">
        <f t="shared" si="14"/>
        <v/>
      </c>
      <c r="I4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4" s="2" t="str">
        <f>IFERROR(IF('PREENCHER AQUI'!E444="","",'PREENCHER AQUI'!E444),"")</f>
        <v/>
      </c>
      <c r="K444" s="2" t="str">
        <f>IFERROR(IF('PREENCHER AQUI'!F444="","",'PREENCHER AQUI'!F444),"")</f>
        <v/>
      </c>
      <c r="L444" s="2" t="str">
        <f>IF(Tabela1[[#This Row],[IPU_COD]]=9,"91",IF(Tabela1[[#This Row],[ACAO_COD]]="","",VLOOKUP(CONCATENATE("G",J444,"M",K444),qdd!$BC$2:$BD$46,2,FALSE)))</f>
        <v/>
      </c>
      <c r="M444" s="2" t="str">
        <f>TEXT(IFERROR(VLOOKUP(CONCATENATE(C444,D444),qdd!$C$2:$G$1000,5,FALSE),""),0)</f>
        <v/>
      </c>
      <c r="N444" s="2" t="str">
        <f>IFERROR(IF('PREENCHER AQUI'!I444="","",'PREENCHER AQUI'!I444),"")</f>
        <v/>
      </c>
      <c r="O444" s="2" t="str">
        <f>IFERROR(IF('PREENCHER AQUI'!J444="","",'PREENCHER AQUI'!J444),"")</f>
        <v/>
      </c>
      <c r="P444" s="7" t="str">
        <f t="shared" si="15"/>
        <v/>
      </c>
      <c r="Q444" s="8" t="str">
        <f>IFERROR(IF(Tabela4[[#This Row],[VALOR]]="","",IF(Tabela1[[#This Row],[ORIENTACAO]]="Anular",'PREENCHER AQUI'!K444*-1*100,'PREENCHER AQUI'!K444*100)),"")</f>
        <v/>
      </c>
      <c r="T444" s="7" t="str">
        <f>IFERROR(IF('PREENCHER AQUI'!L444="","999",LEFT('PREENCHER AQUI'!L444,1)),"")</f>
        <v>999</v>
      </c>
      <c r="V444" s="19"/>
      <c r="W444" s="1" t="str">
        <f>IFERROR(VLOOKUP(Tabela1[[#This Row],[UO_COD]],qdd!$AT$1:$AU$102,2,FALSE),"")</f>
        <v/>
      </c>
      <c r="X444" s="1" t="str">
        <f>CONCATENATE("F",Tabela1[[#This Row],[FONTE_COD]],Tabela1[[#This Row],[IPU_COD]],"G",Tabela1[[#This Row],[GRUPO_COD]],"T",Tabela1[[#This Row],[TIPO]])</f>
        <v>FGT999</v>
      </c>
      <c r="Y4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4" s="19"/>
      <c r="AA444" s="29" t="str">
        <f>IFERROR(VLOOKUP(CONCATENATE("B",Tabela1[[#This Row],[BLOCO]],Tabela1[[#This Row],[UO_COD]]),qdd!$AW$2:$AX$1000,2,FALSE),"")</f>
        <v/>
      </c>
      <c r="AB444" s="30" t="str">
        <f>IFERROR(Tabela1[[#This Row],[VALOR]]/100,"")</f>
        <v/>
      </c>
      <c r="AC444" s="7" t="str" cm="1">
        <f t="array" aca="1" ref="AC444" ca="1">IF(Tabela1[[#This Row],[VALOR]]&lt;0,"",IFERROR(SUBSTITUTE(Converter_numero(Tabela1[[#This Row],[VALOR INCISO]]),",",""),""))</f>
        <v/>
      </c>
      <c r="AD444" s="29" t="str">
        <f>IF(Tabela1[[#This Row],[TIPO]]=REGRAS!$W$2,REGRAS!$X$2,IF(Tabela1[[#This Row],[TIPO]]=REGRAS!$W$4,REGRAS!$X$4,""))</f>
        <v/>
      </c>
      <c r="AE444" s="29" t="e">
        <f>VLOOKUP(Tabela1[[#This Row],[FONTE_COD]],REGRAS!$O$2:$P$69,2,FALSE)</f>
        <v>#N/A</v>
      </c>
      <c r="AF4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5" spans="1:32" ht="18.75" customHeight="1">
      <c r="A445" s="2" t="str">
        <f>IFERROR(IF('PREENCHER AQUI'!A445="","",'PREENCHER AQUI'!A445),"")</f>
        <v/>
      </c>
      <c r="B445" s="1" t="str">
        <f>IFERROR(IF('PREENCHER AQUI'!B445="","",PROPER('PREENCHER AQUI'!B445)),"")</f>
        <v/>
      </c>
      <c r="C445" s="1" t="str">
        <f>IFERROR(IF('PREENCHER AQUI'!C445="","",'PREENCHER AQUI'!C445),"")</f>
        <v/>
      </c>
      <c r="D445" s="2" t="str">
        <f>IFERROR(IF('PREENCHER AQUI'!D445="","",'PREENCHER AQUI'!D445),"")</f>
        <v/>
      </c>
      <c r="E445" s="2" t="str">
        <f>IFERROR(VLOOKUP(CONCATENATE(C445,D445),qdd!$C$2:$F$1000,2,FALSE),"")</f>
        <v/>
      </c>
      <c r="F445" s="2" t="str">
        <f>IFERROR(VLOOKUP(CONCATENATE(C445,D445),qdd!$C$2:$F$1000,3,FALSE),"")</f>
        <v/>
      </c>
      <c r="G445" s="2" t="str">
        <f>IFERROR(VLOOKUP(CONCATENATE(C445,D445),qdd!$C$2:$F$1000,4,FALSE),"")</f>
        <v/>
      </c>
      <c r="H445" s="6" t="str">
        <f t="shared" si="14"/>
        <v/>
      </c>
      <c r="I4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5" s="2" t="str">
        <f>IFERROR(IF('PREENCHER AQUI'!E445="","",'PREENCHER AQUI'!E445),"")</f>
        <v/>
      </c>
      <c r="K445" s="2" t="str">
        <f>IFERROR(IF('PREENCHER AQUI'!F445="","",'PREENCHER AQUI'!F445),"")</f>
        <v/>
      </c>
      <c r="L445" s="2" t="str">
        <f>IF(Tabela1[[#This Row],[IPU_COD]]=9,"91",IF(Tabela1[[#This Row],[ACAO_COD]]="","",VLOOKUP(CONCATENATE("G",J445,"M",K445),qdd!$BC$2:$BD$46,2,FALSE)))</f>
        <v/>
      </c>
      <c r="M445" s="2" t="str">
        <f>TEXT(IFERROR(VLOOKUP(CONCATENATE(C445,D445),qdd!$C$2:$G$1000,5,FALSE),""),0)</f>
        <v/>
      </c>
      <c r="N445" s="2" t="str">
        <f>IFERROR(IF('PREENCHER AQUI'!I445="","",'PREENCHER AQUI'!I445),"")</f>
        <v/>
      </c>
      <c r="O445" s="2" t="str">
        <f>IFERROR(IF('PREENCHER AQUI'!J445="","",'PREENCHER AQUI'!J445),"")</f>
        <v/>
      </c>
      <c r="P445" s="7" t="str">
        <f t="shared" si="15"/>
        <v/>
      </c>
      <c r="Q445" s="8" t="str">
        <f>IFERROR(IF(Tabela4[[#This Row],[VALOR]]="","",IF(Tabela1[[#This Row],[ORIENTACAO]]="Anular",'PREENCHER AQUI'!K445*-1*100,'PREENCHER AQUI'!K445*100)),"")</f>
        <v/>
      </c>
      <c r="T445" s="7" t="str">
        <f>IFERROR(IF('PREENCHER AQUI'!L445="","999",LEFT('PREENCHER AQUI'!L445,1)),"")</f>
        <v>999</v>
      </c>
      <c r="V445" s="19"/>
      <c r="W445" s="20" t="str">
        <f>IFERROR(VLOOKUP(Tabela1[[#This Row],[UO_COD]],qdd!$AT$1:$AU$102,2,FALSE),"")</f>
        <v/>
      </c>
      <c r="X445" s="20" t="str">
        <f>CONCATENATE("F",Tabela1[[#This Row],[FONTE_COD]],Tabela1[[#This Row],[IPU_COD]],"G",Tabela1[[#This Row],[GRUPO_COD]],"T",Tabela1[[#This Row],[TIPO]])</f>
        <v>FGT999</v>
      </c>
      <c r="Y4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5" s="19"/>
      <c r="AA445" s="29" t="str">
        <f>IFERROR(VLOOKUP(CONCATENATE("B",Tabela1[[#This Row],[BLOCO]],Tabela1[[#This Row],[UO_COD]]),qdd!$AW$2:$AX$1000,2,FALSE),"")</f>
        <v/>
      </c>
      <c r="AB445" s="30" t="str">
        <f>IFERROR(Tabela1[[#This Row],[VALOR]]/100,"")</f>
        <v/>
      </c>
      <c r="AC445" s="7" t="str" cm="1">
        <f t="array" aca="1" ref="AC445" ca="1">IF(Tabela1[[#This Row],[VALOR]]&lt;0,"",IFERROR(SUBSTITUTE(Converter_numero(Tabela1[[#This Row],[VALOR INCISO]]),",",""),""))</f>
        <v/>
      </c>
      <c r="AD445" s="29" t="str">
        <f>IF(Tabela1[[#This Row],[TIPO]]=REGRAS!$W$2,REGRAS!$X$2,IF(Tabela1[[#This Row],[TIPO]]=REGRAS!$W$4,REGRAS!$X$4,""))</f>
        <v/>
      </c>
      <c r="AE445" s="29" t="e">
        <f>VLOOKUP(Tabela1[[#This Row],[FONTE_COD]],REGRAS!$O$2:$P$69,2,FALSE)</f>
        <v>#N/A</v>
      </c>
      <c r="AF4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6" spans="1:32" ht="18.75" customHeight="1">
      <c r="A446" s="2" t="str">
        <f>IFERROR(IF('PREENCHER AQUI'!A446="","",'PREENCHER AQUI'!A446),"")</f>
        <v/>
      </c>
      <c r="B446" s="1" t="str">
        <f>IFERROR(IF('PREENCHER AQUI'!B446="","",PROPER('PREENCHER AQUI'!B446)),"")</f>
        <v/>
      </c>
      <c r="C446" s="1" t="str">
        <f>IFERROR(IF('PREENCHER AQUI'!C446="","",'PREENCHER AQUI'!C446),"")</f>
        <v/>
      </c>
      <c r="D446" s="2" t="str">
        <f>IFERROR(IF('PREENCHER AQUI'!D446="","",'PREENCHER AQUI'!D446),"")</f>
        <v/>
      </c>
      <c r="E446" s="2" t="str">
        <f>IFERROR(VLOOKUP(CONCATENATE(C446,D446),qdd!$C$2:$F$1000,2,FALSE),"")</f>
        <v/>
      </c>
      <c r="F446" s="2" t="str">
        <f>IFERROR(VLOOKUP(CONCATENATE(C446,D446),qdd!$C$2:$F$1000,3,FALSE),"")</f>
        <v/>
      </c>
      <c r="G446" s="2" t="str">
        <f>IFERROR(VLOOKUP(CONCATENATE(C446,D446),qdd!$C$2:$F$1000,4,FALSE),"")</f>
        <v/>
      </c>
      <c r="H446" s="6" t="str">
        <f t="shared" si="14"/>
        <v/>
      </c>
      <c r="I4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6" s="2" t="str">
        <f>IFERROR(IF('PREENCHER AQUI'!E446="","",'PREENCHER AQUI'!E446),"")</f>
        <v/>
      </c>
      <c r="K446" s="2" t="str">
        <f>IFERROR(IF('PREENCHER AQUI'!F446="","",'PREENCHER AQUI'!F446),"")</f>
        <v/>
      </c>
      <c r="L446" s="2" t="str">
        <f>IF(Tabela1[[#This Row],[IPU_COD]]=9,"91",IF(Tabela1[[#This Row],[ACAO_COD]]="","",VLOOKUP(CONCATENATE("G",J446,"M",K446),qdd!$BC$2:$BD$46,2,FALSE)))</f>
        <v/>
      </c>
      <c r="M446" s="2" t="str">
        <f>TEXT(IFERROR(VLOOKUP(CONCATENATE(C446,D446),qdd!$C$2:$G$1000,5,FALSE),""),0)</f>
        <v/>
      </c>
      <c r="N446" s="2" t="str">
        <f>IFERROR(IF('PREENCHER AQUI'!I446="","",'PREENCHER AQUI'!I446),"")</f>
        <v/>
      </c>
      <c r="O446" s="2" t="str">
        <f>IFERROR(IF('PREENCHER AQUI'!J446="","",'PREENCHER AQUI'!J446),"")</f>
        <v/>
      </c>
      <c r="P446" s="7" t="str">
        <f t="shared" si="15"/>
        <v/>
      </c>
      <c r="Q446" s="8" t="str">
        <f>IFERROR(IF(Tabela4[[#This Row],[VALOR]]="","",IF(Tabela1[[#This Row],[ORIENTACAO]]="Anular",'PREENCHER AQUI'!K446*-1*100,'PREENCHER AQUI'!K446*100)),"")</f>
        <v/>
      </c>
      <c r="T446" s="7" t="str">
        <f>IFERROR(IF('PREENCHER AQUI'!L446="","999",LEFT('PREENCHER AQUI'!L446,1)),"")</f>
        <v>999</v>
      </c>
      <c r="V446" s="19"/>
      <c r="W446" s="1" t="str">
        <f>IFERROR(VLOOKUP(Tabela1[[#This Row],[UO_COD]],qdd!$AT$1:$AU$102,2,FALSE),"")</f>
        <v/>
      </c>
      <c r="X446" s="1" t="str">
        <f>CONCATENATE("F",Tabela1[[#This Row],[FONTE_COD]],Tabela1[[#This Row],[IPU_COD]],"G",Tabela1[[#This Row],[GRUPO_COD]],"T",Tabela1[[#This Row],[TIPO]])</f>
        <v>FGT999</v>
      </c>
      <c r="Y4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6" s="19"/>
      <c r="AA446" s="29" t="str">
        <f>IFERROR(VLOOKUP(CONCATENATE("B",Tabela1[[#This Row],[BLOCO]],Tabela1[[#This Row],[UO_COD]]),qdd!$AW$2:$AX$1000,2,FALSE),"")</f>
        <v/>
      </c>
      <c r="AB446" s="30" t="str">
        <f>IFERROR(Tabela1[[#This Row],[VALOR]]/100,"")</f>
        <v/>
      </c>
      <c r="AC446" s="7" t="str" cm="1">
        <f t="array" aca="1" ref="AC446" ca="1">IF(Tabela1[[#This Row],[VALOR]]&lt;0,"",IFERROR(SUBSTITUTE(Converter_numero(Tabela1[[#This Row],[VALOR INCISO]]),",",""),""))</f>
        <v/>
      </c>
      <c r="AD446" s="29" t="str">
        <f>IF(Tabela1[[#This Row],[TIPO]]=REGRAS!$W$2,REGRAS!$X$2,IF(Tabela1[[#This Row],[TIPO]]=REGRAS!$W$4,REGRAS!$X$4,""))</f>
        <v/>
      </c>
      <c r="AE446" s="29" t="e">
        <f>VLOOKUP(Tabela1[[#This Row],[FONTE_COD]],REGRAS!$O$2:$P$69,2,FALSE)</f>
        <v>#N/A</v>
      </c>
      <c r="AF4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7" spans="1:32" ht="18.75" customHeight="1">
      <c r="A447" s="2" t="str">
        <f>IFERROR(IF('PREENCHER AQUI'!A447="","",'PREENCHER AQUI'!A447),"")</f>
        <v/>
      </c>
      <c r="B447" s="1" t="str">
        <f>IFERROR(IF('PREENCHER AQUI'!B447="","",PROPER('PREENCHER AQUI'!B447)),"")</f>
        <v/>
      </c>
      <c r="C447" s="1" t="str">
        <f>IFERROR(IF('PREENCHER AQUI'!C447="","",'PREENCHER AQUI'!C447),"")</f>
        <v/>
      </c>
      <c r="D447" s="2" t="str">
        <f>IFERROR(IF('PREENCHER AQUI'!D447="","",'PREENCHER AQUI'!D447),"")</f>
        <v/>
      </c>
      <c r="E447" s="2" t="str">
        <f>IFERROR(VLOOKUP(CONCATENATE(C447,D447),qdd!$C$2:$F$1000,2,FALSE),"")</f>
        <v/>
      </c>
      <c r="F447" s="2" t="str">
        <f>IFERROR(VLOOKUP(CONCATENATE(C447,D447),qdd!$C$2:$F$1000,3,FALSE),"")</f>
        <v/>
      </c>
      <c r="G447" s="2" t="str">
        <f>IFERROR(VLOOKUP(CONCATENATE(C447,D447),qdd!$C$2:$F$1000,4,FALSE),"")</f>
        <v/>
      </c>
      <c r="H447" s="6" t="str">
        <f t="shared" si="14"/>
        <v/>
      </c>
      <c r="I4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7" s="2" t="str">
        <f>IFERROR(IF('PREENCHER AQUI'!E447="","",'PREENCHER AQUI'!E447),"")</f>
        <v/>
      </c>
      <c r="K447" s="2" t="str">
        <f>IFERROR(IF('PREENCHER AQUI'!F447="","",'PREENCHER AQUI'!F447),"")</f>
        <v/>
      </c>
      <c r="L447" s="2" t="str">
        <f>IF(Tabela1[[#This Row],[IPU_COD]]=9,"91",IF(Tabela1[[#This Row],[ACAO_COD]]="","",VLOOKUP(CONCATENATE("G",J447,"M",K447),qdd!$BC$2:$BD$46,2,FALSE)))</f>
        <v/>
      </c>
      <c r="M447" s="2" t="str">
        <f>TEXT(IFERROR(VLOOKUP(CONCATENATE(C447,D447),qdd!$C$2:$G$1000,5,FALSE),""),0)</f>
        <v/>
      </c>
      <c r="N447" s="2" t="str">
        <f>IFERROR(IF('PREENCHER AQUI'!I447="","",'PREENCHER AQUI'!I447),"")</f>
        <v/>
      </c>
      <c r="O447" s="2" t="str">
        <f>IFERROR(IF('PREENCHER AQUI'!J447="","",'PREENCHER AQUI'!J447),"")</f>
        <v/>
      </c>
      <c r="P447" s="7" t="str">
        <f t="shared" si="15"/>
        <v/>
      </c>
      <c r="Q447" s="8" t="str">
        <f>IFERROR(IF(Tabela4[[#This Row],[VALOR]]="","",IF(Tabela1[[#This Row],[ORIENTACAO]]="Anular",'PREENCHER AQUI'!K447*-1*100,'PREENCHER AQUI'!K447*100)),"")</f>
        <v/>
      </c>
      <c r="T447" s="7" t="str">
        <f>IFERROR(IF('PREENCHER AQUI'!L447="","999",LEFT('PREENCHER AQUI'!L447,1)),"")</f>
        <v>999</v>
      </c>
      <c r="W447" s="1" t="str">
        <f>IFERROR(VLOOKUP(Tabela1[[#This Row],[UO_COD]],qdd!$AT$1:$AU$102,2,FALSE),"")</f>
        <v/>
      </c>
      <c r="X447" s="1" t="str">
        <f>CONCATENATE("F",Tabela1[[#This Row],[FONTE_COD]],Tabela1[[#This Row],[IPU_COD]],"G",Tabela1[[#This Row],[GRUPO_COD]],"T",Tabela1[[#This Row],[TIPO]])</f>
        <v>FGT999</v>
      </c>
      <c r="Y4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7" s="19"/>
      <c r="AA447" s="29" t="str">
        <f>IFERROR(VLOOKUP(CONCATENATE("B",Tabela1[[#This Row],[BLOCO]],Tabela1[[#This Row],[UO_COD]]),qdd!$AW$2:$AX$1000,2,FALSE),"")</f>
        <v/>
      </c>
      <c r="AB447" s="30" t="str">
        <f>IFERROR(Tabela1[[#This Row],[VALOR]]/100,"")</f>
        <v/>
      </c>
      <c r="AC447" s="7" t="str" cm="1">
        <f t="array" aca="1" ref="AC447" ca="1">IF(Tabela1[[#This Row],[VALOR]]&lt;0,"",IFERROR(SUBSTITUTE(Converter_numero(Tabela1[[#This Row],[VALOR INCISO]]),",",""),""))</f>
        <v/>
      </c>
      <c r="AD447" s="7" t="str">
        <f>IF(Tabela1[[#This Row],[TIPO]]=REGRAS!$W$2,REGRAS!$X$2,IF(Tabela1[[#This Row],[TIPO]]=REGRAS!$W$4,REGRAS!$X$4,""))</f>
        <v/>
      </c>
      <c r="AE447" s="29" t="e">
        <f>VLOOKUP(Tabela1[[#This Row],[FONTE_COD]],REGRAS!$O$2:$P$69,2,FALSE)</f>
        <v>#N/A</v>
      </c>
      <c r="AF4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8" spans="1:32" ht="18.75" customHeight="1">
      <c r="A448" s="2" t="str">
        <f>IFERROR(IF('PREENCHER AQUI'!A448="","",'PREENCHER AQUI'!A448),"")</f>
        <v/>
      </c>
      <c r="B448" s="1" t="str">
        <f>IFERROR(IF('PREENCHER AQUI'!B448="","",PROPER('PREENCHER AQUI'!B448)),"")</f>
        <v/>
      </c>
      <c r="C448" s="1" t="str">
        <f>IFERROR(IF('PREENCHER AQUI'!C448="","",'PREENCHER AQUI'!C448),"")</f>
        <v/>
      </c>
      <c r="D448" s="2" t="str">
        <f>IFERROR(IF('PREENCHER AQUI'!D448="","",'PREENCHER AQUI'!D448),"")</f>
        <v/>
      </c>
      <c r="E448" s="2" t="str">
        <f>IFERROR(VLOOKUP(CONCATENATE(C448,D448),qdd!$C$2:$F$1000,2,FALSE),"")</f>
        <v/>
      </c>
      <c r="F448" s="2" t="str">
        <f>IFERROR(VLOOKUP(CONCATENATE(C448,D448),qdd!$C$2:$F$1000,3,FALSE),"")</f>
        <v/>
      </c>
      <c r="G448" s="2" t="str">
        <f>IFERROR(VLOOKUP(CONCATENATE(C448,D448),qdd!$C$2:$F$1000,4,FALSE),"")</f>
        <v/>
      </c>
      <c r="H448" s="6" t="str">
        <f t="shared" si="14"/>
        <v/>
      </c>
      <c r="I4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8" s="2" t="str">
        <f>IFERROR(IF('PREENCHER AQUI'!E448="","",'PREENCHER AQUI'!E448),"")</f>
        <v/>
      </c>
      <c r="K448" s="2" t="str">
        <f>IFERROR(IF('PREENCHER AQUI'!F448="","",'PREENCHER AQUI'!F448),"")</f>
        <v/>
      </c>
      <c r="L448" s="2" t="str">
        <f>IF(Tabela1[[#This Row],[IPU_COD]]=9,"91",IF(Tabela1[[#This Row],[ACAO_COD]]="","",VLOOKUP(CONCATENATE("G",J448,"M",K448),qdd!$BC$2:$BD$46,2,FALSE)))</f>
        <v/>
      </c>
      <c r="M448" s="2" t="str">
        <f>TEXT(IFERROR(VLOOKUP(CONCATENATE(C448,D448),qdd!$C$2:$G$1000,5,FALSE),""),0)</f>
        <v/>
      </c>
      <c r="N448" s="2" t="str">
        <f>IFERROR(IF('PREENCHER AQUI'!I448="","",'PREENCHER AQUI'!I448),"")</f>
        <v/>
      </c>
      <c r="O448" s="2" t="str">
        <f>IFERROR(IF('PREENCHER AQUI'!J448="","",'PREENCHER AQUI'!J448),"")</f>
        <v/>
      </c>
      <c r="P448" s="7" t="str">
        <f t="shared" si="15"/>
        <v/>
      </c>
      <c r="Q448" s="8" t="str">
        <f>IFERROR(IF(Tabela4[[#This Row],[VALOR]]="","",IF(Tabela1[[#This Row],[ORIENTACAO]]="Anular",'PREENCHER AQUI'!K448*-1*100,'PREENCHER AQUI'!K448*100)),"")</f>
        <v/>
      </c>
      <c r="T448" s="7" t="str">
        <f>IFERROR(IF('PREENCHER AQUI'!L448="","999",LEFT('PREENCHER AQUI'!L448,1)),"")</f>
        <v>999</v>
      </c>
      <c r="V448" s="19"/>
      <c r="W448" s="1" t="str">
        <f>IFERROR(VLOOKUP(Tabela1[[#This Row],[UO_COD]],qdd!$AT$1:$AU$102,2,FALSE),"")</f>
        <v/>
      </c>
      <c r="X448" s="1" t="str">
        <f>CONCATENATE("F",Tabela1[[#This Row],[FONTE_COD]],Tabela1[[#This Row],[IPU_COD]],"G",Tabela1[[#This Row],[GRUPO_COD]],"T",Tabela1[[#This Row],[TIPO]])</f>
        <v>FGT999</v>
      </c>
      <c r="Y4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8" s="19"/>
      <c r="AA448" s="29" t="str">
        <f>IFERROR(VLOOKUP(CONCATENATE("B",Tabela1[[#This Row],[BLOCO]],Tabela1[[#This Row],[UO_COD]]),qdd!$AW$2:$AX$1000,2,FALSE),"")</f>
        <v/>
      </c>
      <c r="AB448" s="30" t="str">
        <f>IFERROR(Tabela1[[#This Row],[VALOR]]/100,"")</f>
        <v/>
      </c>
      <c r="AC448" s="7" t="str" cm="1">
        <f t="array" aca="1" ref="AC448" ca="1">IF(Tabela1[[#This Row],[VALOR]]&lt;0,"",IFERROR(SUBSTITUTE(Converter_numero(Tabela1[[#This Row],[VALOR INCISO]]),",",""),""))</f>
        <v/>
      </c>
      <c r="AD448" s="29" t="str">
        <f>IF(Tabela1[[#This Row],[TIPO]]=REGRAS!$W$2,REGRAS!$X$2,IF(Tabela1[[#This Row],[TIPO]]=REGRAS!$W$4,REGRAS!$X$4,""))</f>
        <v/>
      </c>
      <c r="AE448" s="29" t="e">
        <f>VLOOKUP(Tabela1[[#This Row],[FONTE_COD]],REGRAS!$O$2:$P$69,2,FALSE)</f>
        <v>#N/A</v>
      </c>
      <c r="AF4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9" spans="1:32" ht="18.75" customHeight="1">
      <c r="A449" s="2" t="str">
        <f>IFERROR(IF('PREENCHER AQUI'!A449="","",'PREENCHER AQUI'!A449),"")</f>
        <v/>
      </c>
      <c r="B449" s="1" t="str">
        <f>IFERROR(IF('PREENCHER AQUI'!B449="","",PROPER('PREENCHER AQUI'!B449)),"")</f>
        <v/>
      </c>
      <c r="C449" s="1" t="str">
        <f>IFERROR(IF('PREENCHER AQUI'!C449="","",'PREENCHER AQUI'!C449),"")</f>
        <v/>
      </c>
      <c r="D449" s="2" t="str">
        <f>IFERROR(IF('PREENCHER AQUI'!D449="","",'PREENCHER AQUI'!D449),"")</f>
        <v/>
      </c>
      <c r="E449" s="2" t="str">
        <f>IFERROR(VLOOKUP(CONCATENATE(C449,D449),qdd!$C$2:$F$1000,2,FALSE),"")</f>
        <v/>
      </c>
      <c r="F449" s="2" t="str">
        <f>IFERROR(VLOOKUP(CONCATENATE(C449,D449),qdd!$C$2:$F$1000,3,FALSE),"")</f>
        <v/>
      </c>
      <c r="G449" s="2" t="str">
        <f>IFERROR(VLOOKUP(CONCATENATE(C449,D449),qdd!$C$2:$F$1000,4,FALSE),"")</f>
        <v/>
      </c>
      <c r="H449" s="6" t="str">
        <f t="shared" si="14"/>
        <v/>
      </c>
      <c r="I4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9" s="2" t="str">
        <f>IFERROR(IF('PREENCHER AQUI'!E449="","",'PREENCHER AQUI'!E449),"")</f>
        <v/>
      </c>
      <c r="K449" s="2" t="str">
        <f>IFERROR(IF('PREENCHER AQUI'!F449="","",'PREENCHER AQUI'!F449),"")</f>
        <v/>
      </c>
      <c r="L449" s="2" t="str">
        <f>IF(Tabela1[[#This Row],[IPU_COD]]=9,"91",IF(Tabela1[[#This Row],[ACAO_COD]]="","",VLOOKUP(CONCATENATE("G",J449,"M",K449),qdd!$BC$2:$BD$46,2,FALSE)))</f>
        <v/>
      </c>
      <c r="M449" s="2" t="str">
        <f>TEXT(IFERROR(VLOOKUP(CONCATENATE(C449,D449),qdd!$C$2:$G$1000,5,FALSE),""),0)</f>
        <v/>
      </c>
      <c r="N449" s="2" t="str">
        <f>IFERROR(IF('PREENCHER AQUI'!I449="","",'PREENCHER AQUI'!I449),"")</f>
        <v/>
      </c>
      <c r="O449" s="2" t="str">
        <f>IFERROR(IF('PREENCHER AQUI'!J449="","",'PREENCHER AQUI'!J449),"")</f>
        <v/>
      </c>
      <c r="P449" s="7" t="str">
        <f t="shared" si="15"/>
        <v/>
      </c>
      <c r="Q449" s="8" t="str">
        <f>IFERROR(IF(Tabela4[[#This Row],[VALOR]]="","",IF(Tabela1[[#This Row],[ORIENTACAO]]="Anular",'PREENCHER AQUI'!K449*-1*100,'PREENCHER AQUI'!K449*100)),"")</f>
        <v/>
      </c>
      <c r="T449" s="7" t="str">
        <f>IFERROR(IF('PREENCHER AQUI'!L449="","999",LEFT('PREENCHER AQUI'!L449,1)),"")</f>
        <v>999</v>
      </c>
      <c r="V449" s="19"/>
      <c r="W449" s="1" t="str">
        <f>IFERROR(VLOOKUP(Tabela1[[#This Row],[UO_COD]],qdd!$AT$1:$AU$102,2,FALSE),"")</f>
        <v/>
      </c>
      <c r="X449" s="1" t="str">
        <f>CONCATENATE("F",Tabela1[[#This Row],[FONTE_COD]],Tabela1[[#This Row],[IPU_COD]],"G",Tabela1[[#This Row],[GRUPO_COD]],"T",Tabela1[[#This Row],[TIPO]])</f>
        <v>FGT999</v>
      </c>
      <c r="Y4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9" s="19"/>
      <c r="AA449" s="29" t="str">
        <f>IFERROR(VLOOKUP(CONCATENATE("B",Tabela1[[#This Row],[BLOCO]],Tabela1[[#This Row],[UO_COD]]),qdd!$AW$2:$AX$1000,2,FALSE),"")</f>
        <v/>
      </c>
      <c r="AB449" s="30" t="str">
        <f>IFERROR(Tabela1[[#This Row],[VALOR]]/100,"")</f>
        <v/>
      </c>
      <c r="AC449" s="7" t="str" cm="1">
        <f t="array" aca="1" ref="AC449" ca="1">IF(Tabela1[[#This Row],[VALOR]]&lt;0,"",IFERROR(SUBSTITUTE(Converter_numero(Tabela1[[#This Row],[VALOR INCISO]]),",",""),""))</f>
        <v/>
      </c>
      <c r="AD449" s="29" t="str">
        <f>IF(Tabela1[[#This Row],[TIPO]]=REGRAS!$W$2,REGRAS!$X$2,IF(Tabela1[[#This Row],[TIPO]]=REGRAS!$W$4,REGRAS!$X$4,""))</f>
        <v/>
      </c>
      <c r="AE449" s="29" t="e">
        <f>VLOOKUP(Tabela1[[#This Row],[FONTE_COD]],REGRAS!$O$2:$P$69,2,FALSE)</f>
        <v>#N/A</v>
      </c>
      <c r="AF4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0" spans="1:32" ht="18.75" customHeight="1">
      <c r="A450" s="2" t="str">
        <f>IFERROR(IF('PREENCHER AQUI'!A450="","",'PREENCHER AQUI'!A450),"")</f>
        <v/>
      </c>
      <c r="B450" s="1" t="str">
        <f>IFERROR(IF('PREENCHER AQUI'!B450="","",PROPER('PREENCHER AQUI'!B450)),"")</f>
        <v/>
      </c>
      <c r="C450" s="1" t="str">
        <f>IFERROR(IF('PREENCHER AQUI'!C450="","",'PREENCHER AQUI'!C450),"")</f>
        <v/>
      </c>
      <c r="D450" s="2" t="str">
        <f>IFERROR(IF('PREENCHER AQUI'!D450="","",'PREENCHER AQUI'!D450),"")</f>
        <v/>
      </c>
      <c r="E450" s="2" t="str">
        <f>IFERROR(VLOOKUP(CONCATENATE(C450,D450),qdd!$C$2:$F$1000,2,FALSE),"")</f>
        <v/>
      </c>
      <c r="F450" s="2" t="str">
        <f>IFERROR(VLOOKUP(CONCATENATE(C450,D450),qdd!$C$2:$F$1000,3,FALSE),"")</f>
        <v/>
      </c>
      <c r="G450" s="2" t="str">
        <f>IFERROR(VLOOKUP(CONCATENATE(C450,D450),qdd!$C$2:$F$1000,4,FALSE),"")</f>
        <v/>
      </c>
      <c r="H450" s="6" t="str">
        <f t="shared" si="14"/>
        <v/>
      </c>
      <c r="I4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0" s="2" t="str">
        <f>IFERROR(IF('PREENCHER AQUI'!E450="","",'PREENCHER AQUI'!E450),"")</f>
        <v/>
      </c>
      <c r="K450" s="2" t="str">
        <f>IFERROR(IF('PREENCHER AQUI'!F450="","",'PREENCHER AQUI'!F450),"")</f>
        <v/>
      </c>
      <c r="L450" s="2" t="str">
        <f>IF(Tabela1[[#This Row],[IPU_COD]]=9,"91",IF(Tabela1[[#This Row],[ACAO_COD]]="","",VLOOKUP(CONCATENATE("G",J450,"M",K450),qdd!$BC$2:$BD$46,2,FALSE)))</f>
        <v/>
      </c>
      <c r="M450" s="2" t="str">
        <f>TEXT(IFERROR(VLOOKUP(CONCATENATE(C450,D450),qdd!$C$2:$G$1000,5,FALSE),""),0)</f>
        <v/>
      </c>
      <c r="N450" s="2" t="str">
        <f>IFERROR(IF('PREENCHER AQUI'!I450="","",'PREENCHER AQUI'!I450),"")</f>
        <v/>
      </c>
      <c r="O450" s="2" t="str">
        <f>IFERROR(IF('PREENCHER AQUI'!J450="","",'PREENCHER AQUI'!J450),"")</f>
        <v/>
      </c>
      <c r="P450" s="7" t="str">
        <f t="shared" si="15"/>
        <v/>
      </c>
      <c r="Q450" s="8" t="str">
        <f>IFERROR(IF(Tabela4[[#This Row],[VALOR]]="","",IF(Tabela1[[#This Row],[ORIENTACAO]]="Anular",'PREENCHER AQUI'!K450*-1*100,'PREENCHER AQUI'!K450*100)),"")</f>
        <v/>
      </c>
      <c r="T450" s="7" t="str">
        <f>IFERROR(IF('PREENCHER AQUI'!L450="","999",LEFT('PREENCHER AQUI'!L450,1)),"")</f>
        <v>999</v>
      </c>
      <c r="V450" s="19"/>
      <c r="W450" s="20" t="str">
        <f>IFERROR(VLOOKUP(Tabela1[[#This Row],[UO_COD]],qdd!$AT$1:$AU$102,2,FALSE),"")</f>
        <v/>
      </c>
      <c r="X450" s="20" t="str">
        <f>CONCATENATE("F",Tabela1[[#This Row],[FONTE_COD]],Tabela1[[#This Row],[IPU_COD]],"G",Tabela1[[#This Row],[GRUPO_COD]],"T",Tabela1[[#This Row],[TIPO]])</f>
        <v>FGT999</v>
      </c>
      <c r="Y4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0" s="19"/>
      <c r="AA450" s="29" t="str">
        <f>IFERROR(VLOOKUP(CONCATENATE("B",Tabela1[[#This Row],[BLOCO]],Tabela1[[#This Row],[UO_COD]]),qdd!$AW$2:$AX$1000,2,FALSE),"")</f>
        <v/>
      </c>
      <c r="AB450" s="30" t="str">
        <f>IFERROR(Tabela1[[#This Row],[VALOR]]/100,"")</f>
        <v/>
      </c>
      <c r="AC450" s="7" t="str" cm="1">
        <f t="array" aca="1" ref="AC450" ca="1">IF(Tabela1[[#This Row],[VALOR]]&lt;0,"",IFERROR(SUBSTITUTE(Converter_numero(Tabela1[[#This Row],[VALOR INCISO]]),",",""),""))</f>
        <v/>
      </c>
      <c r="AD450" s="29" t="str">
        <f>IF(Tabela1[[#This Row],[TIPO]]=REGRAS!$W$2,REGRAS!$X$2,IF(Tabela1[[#This Row],[TIPO]]=REGRAS!$W$4,REGRAS!$X$4,""))</f>
        <v/>
      </c>
      <c r="AE450" s="29" t="e">
        <f>VLOOKUP(Tabela1[[#This Row],[FONTE_COD]],REGRAS!$O$2:$P$69,2,FALSE)</f>
        <v>#N/A</v>
      </c>
      <c r="AF4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1" spans="1:32" ht="18.75" customHeight="1">
      <c r="A451" s="2" t="str">
        <f>IFERROR(IF('PREENCHER AQUI'!A451="","",'PREENCHER AQUI'!A451),"")</f>
        <v/>
      </c>
      <c r="B451" s="1" t="str">
        <f>IFERROR(IF('PREENCHER AQUI'!B451="","",PROPER('PREENCHER AQUI'!B451)),"")</f>
        <v/>
      </c>
      <c r="C451" s="1" t="str">
        <f>IFERROR(IF('PREENCHER AQUI'!C451="","",'PREENCHER AQUI'!C451),"")</f>
        <v/>
      </c>
      <c r="D451" s="2" t="str">
        <f>IFERROR(IF('PREENCHER AQUI'!D451="","",'PREENCHER AQUI'!D451),"")</f>
        <v/>
      </c>
      <c r="E451" s="2" t="str">
        <f>IFERROR(VLOOKUP(CONCATENATE(C451,D451),qdd!$C$2:$F$1000,2,FALSE),"")</f>
        <v/>
      </c>
      <c r="F451" s="2" t="str">
        <f>IFERROR(VLOOKUP(CONCATENATE(C451,D451),qdd!$C$2:$F$1000,3,FALSE),"")</f>
        <v/>
      </c>
      <c r="G451" s="2" t="str">
        <f>IFERROR(VLOOKUP(CONCATENATE(C451,D451),qdd!$C$2:$F$1000,4,FALSE),"")</f>
        <v/>
      </c>
      <c r="H451" s="6" t="str">
        <f t="shared" ref="H451:H514" si="16">IF(E451="","","0001")</f>
        <v/>
      </c>
      <c r="I4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1" s="2" t="str">
        <f>IFERROR(IF('PREENCHER AQUI'!E451="","",'PREENCHER AQUI'!E451),"")</f>
        <v/>
      </c>
      <c r="K451" s="2" t="str">
        <f>IFERROR(IF('PREENCHER AQUI'!F451="","",'PREENCHER AQUI'!F451),"")</f>
        <v/>
      </c>
      <c r="L451" s="2" t="str">
        <f>IF(Tabela1[[#This Row],[IPU_COD]]=9,"91",IF(Tabela1[[#This Row],[ACAO_COD]]="","",VLOOKUP(CONCATENATE("G",J451,"M",K451),qdd!$BC$2:$BD$46,2,FALSE)))</f>
        <v/>
      </c>
      <c r="M451" s="2" t="str">
        <f>TEXT(IFERROR(VLOOKUP(CONCATENATE(C451,D451),qdd!$C$2:$G$1000,5,FALSE),""),0)</f>
        <v/>
      </c>
      <c r="N451" s="2" t="str">
        <f>IFERROR(IF('PREENCHER AQUI'!I451="","",'PREENCHER AQUI'!I451),"")</f>
        <v/>
      </c>
      <c r="O451" s="2" t="str">
        <f>IFERROR(IF('PREENCHER AQUI'!J451="","",'PREENCHER AQUI'!J451),"")</f>
        <v/>
      </c>
      <c r="P451" s="7" t="str">
        <f t="shared" ref="P451:P514" si="17">IFERROR(CONCATENATE(E451,F451,G451,D451,H451,I451,J451,K451,L451,M451,N451,O451),"")</f>
        <v/>
      </c>
      <c r="Q451" s="8" t="str">
        <f>IFERROR(IF(Tabela4[[#This Row],[VALOR]]="","",IF(Tabela1[[#This Row],[ORIENTACAO]]="Anular",'PREENCHER AQUI'!K451*-1*100,'PREENCHER AQUI'!K451*100)),"")</f>
        <v/>
      </c>
      <c r="T451" s="7" t="str">
        <f>IFERROR(IF('PREENCHER AQUI'!L451="","999",LEFT('PREENCHER AQUI'!L451,1)),"")</f>
        <v>999</v>
      </c>
      <c r="V451" s="19"/>
      <c r="W451" s="1" t="str">
        <f>IFERROR(VLOOKUP(Tabela1[[#This Row],[UO_COD]],qdd!$AT$1:$AU$102,2,FALSE),"")</f>
        <v/>
      </c>
      <c r="X451" s="1" t="str">
        <f>CONCATENATE("F",Tabela1[[#This Row],[FONTE_COD]],Tabela1[[#This Row],[IPU_COD]],"G",Tabela1[[#This Row],[GRUPO_COD]],"T",Tabela1[[#This Row],[TIPO]])</f>
        <v>FGT999</v>
      </c>
      <c r="Y4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1" s="19"/>
      <c r="AA451" s="29" t="str">
        <f>IFERROR(VLOOKUP(CONCATENATE("B",Tabela1[[#This Row],[BLOCO]],Tabela1[[#This Row],[UO_COD]]),qdd!$AW$2:$AX$1000,2,FALSE),"")</f>
        <v/>
      </c>
      <c r="AB451" s="30" t="str">
        <f>IFERROR(Tabela1[[#This Row],[VALOR]]/100,"")</f>
        <v/>
      </c>
      <c r="AC451" s="7" t="str" cm="1">
        <f t="array" aca="1" ref="AC451" ca="1">IF(Tabela1[[#This Row],[VALOR]]&lt;0,"",IFERROR(SUBSTITUTE(Converter_numero(Tabela1[[#This Row],[VALOR INCISO]]),",",""),""))</f>
        <v/>
      </c>
      <c r="AD451" s="29" t="str">
        <f>IF(Tabela1[[#This Row],[TIPO]]=REGRAS!$W$2,REGRAS!$X$2,IF(Tabela1[[#This Row],[TIPO]]=REGRAS!$W$4,REGRAS!$X$4,""))</f>
        <v/>
      </c>
      <c r="AE451" s="29" t="e">
        <f>VLOOKUP(Tabela1[[#This Row],[FONTE_COD]],REGRAS!$O$2:$P$69,2,FALSE)</f>
        <v>#N/A</v>
      </c>
      <c r="AF4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2" spans="1:32" ht="18.75" customHeight="1">
      <c r="A452" s="2" t="str">
        <f>IFERROR(IF('PREENCHER AQUI'!A452="","",'PREENCHER AQUI'!A452),"")</f>
        <v/>
      </c>
      <c r="B452" s="1" t="str">
        <f>IFERROR(IF('PREENCHER AQUI'!B452="","",PROPER('PREENCHER AQUI'!B452)),"")</f>
        <v/>
      </c>
      <c r="C452" s="1" t="str">
        <f>IFERROR(IF('PREENCHER AQUI'!C452="","",'PREENCHER AQUI'!C452),"")</f>
        <v/>
      </c>
      <c r="D452" s="2" t="str">
        <f>IFERROR(IF('PREENCHER AQUI'!D452="","",'PREENCHER AQUI'!D452),"")</f>
        <v/>
      </c>
      <c r="E452" s="2" t="str">
        <f>IFERROR(VLOOKUP(CONCATENATE(C452,D452),qdd!$C$2:$F$1000,2,FALSE),"")</f>
        <v/>
      </c>
      <c r="F452" s="2" t="str">
        <f>IFERROR(VLOOKUP(CONCATENATE(C452,D452),qdd!$C$2:$F$1000,3,FALSE),"")</f>
        <v/>
      </c>
      <c r="G452" s="2" t="str">
        <f>IFERROR(VLOOKUP(CONCATENATE(C452,D452),qdd!$C$2:$F$1000,4,FALSE),"")</f>
        <v/>
      </c>
      <c r="H452" s="6" t="str">
        <f t="shared" si="16"/>
        <v/>
      </c>
      <c r="I4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2" s="2" t="str">
        <f>IFERROR(IF('PREENCHER AQUI'!E452="","",'PREENCHER AQUI'!E452),"")</f>
        <v/>
      </c>
      <c r="K452" s="2" t="str">
        <f>IFERROR(IF('PREENCHER AQUI'!F452="","",'PREENCHER AQUI'!F452),"")</f>
        <v/>
      </c>
      <c r="L452" s="2" t="str">
        <f>IF(Tabela1[[#This Row],[IPU_COD]]=9,"91",IF(Tabela1[[#This Row],[ACAO_COD]]="","",VLOOKUP(CONCATENATE("G",J452,"M",K452),qdd!$BC$2:$BD$46,2,FALSE)))</f>
        <v/>
      </c>
      <c r="M452" s="2" t="str">
        <f>TEXT(IFERROR(VLOOKUP(CONCATENATE(C452,D452),qdd!$C$2:$G$1000,5,FALSE),""),0)</f>
        <v/>
      </c>
      <c r="N452" s="2" t="str">
        <f>IFERROR(IF('PREENCHER AQUI'!I452="","",'PREENCHER AQUI'!I452),"")</f>
        <v/>
      </c>
      <c r="O452" s="2" t="str">
        <f>IFERROR(IF('PREENCHER AQUI'!J452="","",'PREENCHER AQUI'!J452),"")</f>
        <v/>
      </c>
      <c r="P452" s="7" t="str">
        <f t="shared" si="17"/>
        <v/>
      </c>
      <c r="Q452" s="8" t="str">
        <f>IFERROR(IF(Tabela4[[#This Row],[VALOR]]="","",IF(Tabela1[[#This Row],[ORIENTACAO]]="Anular",'PREENCHER AQUI'!K452*-1*100,'PREENCHER AQUI'!K452*100)),"")</f>
        <v/>
      </c>
      <c r="T452" s="7" t="str">
        <f>IFERROR(IF('PREENCHER AQUI'!L452="","999",LEFT('PREENCHER AQUI'!L452,1)),"")</f>
        <v>999</v>
      </c>
      <c r="W452" s="1" t="str">
        <f>IFERROR(VLOOKUP(Tabela1[[#This Row],[UO_COD]],qdd!$AT$1:$AU$102,2,FALSE),"")</f>
        <v/>
      </c>
      <c r="X452" s="1" t="str">
        <f>CONCATENATE("F",Tabela1[[#This Row],[FONTE_COD]],Tabela1[[#This Row],[IPU_COD]],"G",Tabela1[[#This Row],[GRUPO_COD]],"T",Tabela1[[#This Row],[TIPO]])</f>
        <v>FGT999</v>
      </c>
      <c r="Y4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2" s="19"/>
      <c r="AA452" s="29" t="str">
        <f>IFERROR(VLOOKUP(CONCATENATE("B",Tabela1[[#This Row],[BLOCO]],Tabela1[[#This Row],[UO_COD]]),qdd!$AW$2:$AX$1000,2,FALSE),"")</f>
        <v/>
      </c>
      <c r="AB452" s="30" t="str">
        <f>IFERROR(Tabela1[[#This Row],[VALOR]]/100,"")</f>
        <v/>
      </c>
      <c r="AC452" s="7" t="str" cm="1">
        <f t="array" aca="1" ref="AC452" ca="1">IF(Tabela1[[#This Row],[VALOR]]&lt;0,"",IFERROR(SUBSTITUTE(Converter_numero(Tabela1[[#This Row],[VALOR INCISO]]),",",""),""))</f>
        <v/>
      </c>
      <c r="AD452" s="7" t="str">
        <f>IF(Tabela1[[#This Row],[TIPO]]=REGRAS!$W$2,REGRAS!$X$2,IF(Tabela1[[#This Row],[TIPO]]=REGRAS!$W$4,REGRAS!$X$4,""))</f>
        <v/>
      </c>
      <c r="AE452" s="29" t="e">
        <f>VLOOKUP(Tabela1[[#This Row],[FONTE_COD]],REGRAS!$O$2:$P$69,2,FALSE)</f>
        <v>#N/A</v>
      </c>
      <c r="AF4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3" spans="1:32" ht="18.75" customHeight="1">
      <c r="A453" s="2" t="str">
        <f>IFERROR(IF('PREENCHER AQUI'!A453="","",'PREENCHER AQUI'!A453),"")</f>
        <v/>
      </c>
      <c r="B453" s="1" t="str">
        <f>IFERROR(IF('PREENCHER AQUI'!B453="","",PROPER('PREENCHER AQUI'!B453)),"")</f>
        <v/>
      </c>
      <c r="C453" s="1" t="str">
        <f>IFERROR(IF('PREENCHER AQUI'!C453="","",'PREENCHER AQUI'!C453),"")</f>
        <v/>
      </c>
      <c r="D453" s="2" t="str">
        <f>IFERROR(IF('PREENCHER AQUI'!D453="","",'PREENCHER AQUI'!D453),"")</f>
        <v/>
      </c>
      <c r="E453" s="2" t="str">
        <f>IFERROR(VLOOKUP(CONCATENATE(C453,D453),qdd!$C$2:$F$1000,2,FALSE),"")</f>
        <v/>
      </c>
      <c r="F453" s="2" t="str">
        <f>IFERROR(VLOOKUP(CONCATENATE(C453,D453),qdd!$C$2:$F$1000,3,FALSE),"")</f>
        <v/>
      </c>
      <c r="G453" s="2" t="str">
        <f>IFERROR(VLOOKUP(CONCATENATE(C453,D453),qdd!$C$2:$F$1000,4,FALSE),"")</f>
        <v/>
      </c>
      <c r="H453" s="6" t="str">
        <f t="shared" si="16"/>
        <v/>
      </c>
      <c r="I4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3" s="2" t="str">
        <f>IFERROR(IF('PREENCHER AQUI'!E453="","",'PREENCHER AQUI'!E453),"")</f>
        <v/>
      </c>
      <c r="K453" s="2" t="str">
        <f>IFERROR(IF('PREENCHER AQUI'!F453="","",'PREENCHER AQUI'!F453),"")</f>
        <v/>
      </c>
      <c r="L453" s="2" t="str">
        <f>IF(Tabela1[[#This Row],[IPU_COD]]=9,"91",IF(Tabela1[[#This Row],[ACAO_COD]]="","",VLOOKUP(CONCATENATE("G",J453,"M",K453),qdd!$BC$2:$BD$46,2,FALSE)))</f>
        <v/>
      </c>
      <c r="M453" s="2" t="str">
        <f>TEXT(IFERROR(VLOOKUP(CONCATENATE(C453,D453),qdd!$C$2:$G$1000,5,FALSE),""),0)</f>
        <v/>
      </c>
      <c r="N453" s="2" t="str">
        <f>IFERROR(IF('PREENCHER AQUI'!I453="","",'PREENCHER AQUI'!I453),"")</f>
        <v/>
      </c>
      <c r="O453" s="2" t="str">
        <f>IFERROR(IF('PREENCHER AQUI'!J453="","",'PREENCHER AQUI'!J453),"")</f>
        <v/>
      </c>
      <c r="P453" s="7" t="str">
        <f t="shared" si="17"/>
        <v/>
      </c>
      <c r="Q453" s="8" t="str">
        <f>IFERROR(IF(Tabela4[[#This Row],[VALOR]]="","",IF(Tabela1[[#This Row],[ORIENTACAO]]="Anular",'PREENCHER AQUI'!K453*-1*100,'PREENCHER AQUI'!K453*100)),"")</f>
        <v/>
      </c>
      <c r="T453" s="7" t="str">
        <f>IFERROR(IF('PREENCHER AQUI'!L453="","999",LEFT('PREENCHER AQUI'!L453,1)),"")</f>
        <v>999</v>
      </c>
      <c r="V453" s="19"/>
      <c r="W453" s="1" t="str">
        <f>IFERROR(VLOOKUP(Tabela1[[#This Row],[UO_COD]],qdd!$AT$1:$AU$102,2,FALSE),"")</f>
        <v/>
      </c>
      <c r="X453" s="1" t="str">
        <f>CONCATENATE("F",Tabela1[[#This Row],[FONTE_COD]],Tabela1[[#This Row],[IPU_COD]],"G",Tabela1[[#This Row],[GRUPO_COD]],"T",Tabela1[[#This Row],[TIPO]])</f>
        <v>FGT999</v>
      </c>
      <c r="Y4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3" s="19"/>
      <c r="AA453" s="29" t="str">
        <f>IFERROR(VLOOKUP(CONCATENATE("B",Tabela1[[#This Row],[BLOCO]],Tabela1[[#This Row],[UO_COD]]),qdd!$AW$2:$AX$1000,2,FALSE),"")</f>
        <v/>
      </c>
      <c r="AB453" s="30" t="str">
        <f>IFERROR(Tabela1[[#This Row],[VALOR]]/100,"")</f>
        <v/>
      </c>
      <c r="AC453" s="7" t="str" cm="1">
        <f t="array" aca="1" ref="AC453" ca="1">IF(Tabela1[[#This Row],[VALOR]]&lt;0,"",IFERROR(SUBSTITUTE(Converter_numero(Tabela1[[#This Row],[VALOR INCISO]]),",",""),""))</f>
        <v/>
      </c>
      <c r="AD453" s="29" t="str">
        <f>IF(Tabela1[[#This Row],[TIPO]]=REGRAS!$W$2,REGRAS!$X$2,IF(Tabela1[[#This Row],[TIPO]]=REGRAS!$W$4,REGRAS!$X$4,""))</f>
        <v/>
      </c>
      <c r="AE453" s="29" t="e">
        <f>VLOOKUP(Tabela1[[#This Row],[FONTE_COD]],REGRAS!$O$2:$P$69,2,FALSE)</f>
        <v>#N/A</v>
      </c>
      <c r="AF4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4" spans="1:32" ht="18.75" customHeight="1">
      <c r="A454" s="2" t="str">
        <f>IFERROR(IF('PREENCHER AQUI'!A454="","",'PREENCHER AQUI'!A454),"")</f>
        <v/>
      </c>
      <c r="B454" s="1" t="str">
        <f>IFERROR(IF('PREENCHER AQUI'!B454="","",PROPER('PREENCHER AQUI'!B454)),"")</f>
        <v/>
      </c>
      <c r="C454" s="1" t="str">
        <f>IFERROR(IF('PREENCHER AQUI'!C454="","",'PREENCHER AQUI'!C454),"")</f>
        <v/>
      </c>
      <c r="D454" s="2" t="str">
        <f>IFERROR(IF('PREENCHER AQUI'!D454="","",'PREENCHER AQUI'!D454),"")</f>
        <v/>
      </c>
      <c r="E454" s="2" t="str">
        <f>IFERROR(VLOOKUP(CONCATENATE(C454,D454),qdd!$C$2:$F$1000,2,FALSE),"")</f>
        <v/>
      </c>
      <c r="F454" s="2" t="str">
        <f>IFERROR(VLOOKUP(CONCATENATE(C454,D454),qdd!$C$2:$F$1000,3,FALSE),"")</f>
        <v/>
      </c>
      <c r="G454" s="2" t="str">
        <f>IFERROR(VLOOKUP(CONCATENATE(C454,D454),qdd!$C$2:$F$1000,4,FALSE),"")</f>
        <v/>
      </c>
      <c r="H454" s="6" t="str">
        <f t="shared" si="16"/>
        <v/>
      </c>
      <c r="I4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4" s="2" t="str">
        <f>IFERROR(IF('PREENCHER AQUI'!E454="","",'PREENCHER AQUI'!E454),"")</f>
        <v/>
      </c>
      <c r="K454" s="2" t="str">
        <f>IFERROR(IF('PREENCHER AQUI'!F454="","",'PREENCHER AQUI'!F454),"")</f>
        <v/>
      </c>
      <c r="L454" s="2" t="str">
        <f>IF(Tabela1[[#This Row],[IPU_COD]]=9,"91",IF(Tabela1[[#This Row],[ACAO_COD]]="","",VLOOKUP(CONCATENATE("G",J454,"M",K454),qdd!$BC$2:$BD$46,2,FALSE)))</f>
        <v/>
      </c>
      <c r="M454" s="2" t="str">
        <f>TEXT(IFERROR(VLOOKUP(CONCATENATE(C454,D454),qdd!$C$2:$G$1000,5,FALSE),""),0)</f>
        <v/>
      </c>
      <c r="N454" s="2" t="str">
        <f>IFERROR(IF('PREENCHER AQUI'!I454="","",'PREENCHER AQUI'!I454),"")</f>
        <v/>
      </c>
      <c r="O454" s="2" t="str">
        <f>IFERROR(IF('PREENCHER AQUI'!J454="","",'PREENCHER AQUI'!J454),"")</f>
        <v/>
      </c>
      <c r="P454" s="7" t="str">
        <f t="shared" si="17"/>
        <v/>
      </c>
      <c r="Q454" s="8" t="str">
        <f>IFERROR(IF(Tabela4[[#This Row],[VALOR]]="","",IF(Tabela1[[#This Row],[ORIENTACAO]]="Anular",'PREENCHER AQUI'!K454*-1*100,'PREENCHER AQUI'!K454*100)),"")</f>
        <v/>
      </c>
      <c r="T454" s="7" t="str">
        <f>IFERROR(IF('PREENCHER AQUI'!L454="","999",LEFT('PREENCHER AQUI'!L454,1)),"")</f>
        <v>999</v>
      </c>
      <c r="V454" s="19"/>
      <c r="W454" s="1" t="str">
        <f>IFERROR(VLOOKUP(Tabela1[[#This Row],[UO_COD]],qdd!$AT$1:$AU$102,2,FALSE),"")</f>
        <v/>
      </c>
      <c r="X454" s="1" t="str">
        <f>CONCATENATE("F",Tabela1[[#This Row],[FONTE_COD]],Tabela1[[#This Row],[IPU_COD]],"G",Tabela1[[#This Row],[GRUPO_COD]],"T",Tabela1[[#This Row],[TIPO]])</f>
        <v>FGT999</v>
      </c>
      <c r="Y4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4" s="19"/>
      <c r="AA454" s="29" t="str">
        <f>IFERROR(VLOOKUP(CONCATENATE("B",Tabela1[[#This Row],[BLOCO]],Tabela1[[#This Row],[UO_COD]]),qdd!$AW$2:$AX$1000,2,FALSE),"")</f>
        <v/>
      </c>
      <c r="AB454" s="30" t="str">
        <f>IFERROR(Tabela1[[#This Row],[VALOR]]/100,"")</f>
        <v/>
      </c>
      <c r="AC454" s="7" t="str" cm="1">
        <f t="array" aca="1" ref="AC454" ca="1">IF(Tabela1[[#This Row],[VALOR]]&lt;0,"",IFERROR(SUBSTITUTE(Converter_numero(Tabela1[[#This Row],[VALOR INCISO]]),",",""),""))</f>
        <v/>
      </c>
      <c r="AD454" s="29" t="str">
        <f>IF(Tabela1[[#This Row],[TIPO]]=REGRAS!$W$2,REGRAS!$X$2,IF(Tabela1[[#This Row],[TIPO]]=REGRAS!$W$4,REGRAS!$X$4,""))</f>
        <v/>
      </c>
      <c r="AE454" s="29" t="e">
        <f>VLOOKUP(Tabela1[[#This Row],[FONTE_COD]],REGRAS!$O$2:$P$69,2,FALSE)</f>
        <v>#N/A</v>
      </c>
      <c r="AF4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5" spans="1:32" ht="18.75" customHeight="1">
      <c r="A455" s="2" t="str">
        <f>IFERROR(IF('PREENCHER AQUI'!A455="","",'PREENCHER AQUI'!A455),"")</f>
        <v/>
      </c>
      <c r="B455" s="1" t="str">
        <f>IFERROR(IF('PREENCHER AQUI'!B455="","",PROPER('PREENCHER AQUI'!B455)),"")</f>
        <v/>
      </c>
      <c r="C455" s="1" t="str">
        <f>IFERROR(IF('PREENCHER AQUI'!C455="","",'PREENCHER AQUI'!C455),"")</f>
        <v/>
      </c>
      <c r="D455" s="2" t="str">
        <f>IFERROR(IF('PREENCHER AQUI'!D455="","",'PREENCHER AQUI'!D455),"")</f>
        <v/>
      </c>
      <c r="E455" s="2" t="str">
        <f>IFERROR(VLOOKUP(CONCATENATE(C455,D455),qdd!$C$2:$F$1000,2,FALSE),"")</f>
        <v/>
      </c>
      <c r="F455" s="2" t="str">
        <f>IFERROR(VLOOKUP(CONCATENATE(C455,D455),qdd!$C$2:$F$1000,3,FALSE),"")</f>
        <v/>
      </c>
      <c r="G455" s="2" t="str">
        <f>IFERROR(VLOOKUP(CONCATENATE(C455,D455),qdd!$C$2:$F$1000,4,FALSE),"")</f>
        <v/>
      </c>
      <c r="H455" s="6" t="str">
        <f t="shared" si="16"/>
        <v/>
      </c>
      <c r="I4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5" s="2" t="str">
        <f>IFERROR(IF('PREENCHER AQUI'!E455="","",'PREENCHER AQUI'!E455),"")</f>
        <v/>
      </c>
      <c r="K455" s="2" t="str">
        <f>IFERROR(IF('PREENCHER AQUI'!F455="","",'PREENCHER AQUI'!F455),"")</f>
        <v/>
      </c>
      <c r="L455" s="2" t="str">
        <f>IF(Tabela1[[#This Row],[IPU_COD]]=9,"91",IF(Tabela1[[#This Row],[ACAO_COD]]="","",VLOOKUP(CONCATENATE("G",J455,"M",K455),qdd!$BC$2:$BD$46,2,FALSE)))</f>
        <v/>
      </c>
      <c r="M455" s="2" t="str">
        <f>TEXT(IFERROR(VLOOKUP(CONCATENATE(C455,D455),qdd!$C$2:$G$1000,5,FALSE),""),0)</f>
        <v/>
      </c>
      <c r="N455" s="2" t="str">
        <f>IFERROR(IF('PREENCHER AQUI'!I455="","",'PREENCHER AQUI'!I455),"")</f>
        <v/>
      </c>
      <c r="O455" s="2" t="str">
        <f>IFERROR(IF('PREENCHER AQUI'!J455="","",'PREENCHER AQUI'!J455),"")</f>
        <v/>
      </c>
      <c r="P455" s="7" t="str">
        <f t="shared" si="17"/>
        <v/>
      </c>
      <c r="Q455" s="8" t="str">
        <f>IFERROR(IF(Tabela4[[#This Row],[VALOR]]="","",IF(Tabela1[[#This Row],[ORIENTACAO]]="Anular",'PREENCHER AQUI'!K455*-1*100,'PREENCHER AQUI'!K455*100)),"")</f>
        <v/>
      </c>
      <c r="T455" s="7" t="str">
        <f>IFERROR(IF('PREENCHER AQUI'!L455="","999",LEFT('PREENCHER AQUI'!L455,1)),"")</f>
        <v>999</v>
      </c>
      <c r="V455" s="19"/>
      <c r="W455" s="20" t="str">
        <f>IFERROR(VLOOKUP(Tabela1[[#This Row],[UO_COD]],qdd!$AT$1:$AU$102,2,FALSE),"")</f>
        <v/>
      </c>
      <c r="X455" s="20" t="str">
        <f>CONCATENATE("F",Tabela1[[#This Row],[FONTE_COD]],Tabela1[[#This Row],[IPU_COD]],"G",Tabela1[[#This Row],[GRUPO_COD]],"T",Tabela1[[#This Row],[TIPO]])</f>
        <v>FGT999</v>
      </c>
      <c r="Y4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5" s="19"/>
      <c r="AA455" s="29" t="str">
        <f>IFERROR(VLOOKUP(CONCATENATE("B",Tabela1[[#This Row],[BLOCO]],Tabela1[[#This Row],[UO_COD]]),qdd!$AW$2:$AX$1000,2,FALSE),"")</f>
        <v/>
      </c>
      <c r="AB455" s="30" t="str">
        <f>IFERROR(Tabela1[[#This Row],[VALOR]]/100,"")</f>
        <v/>
      </c>
      <c r="AC455" s="7" t="str" cm="1">
        <f t="array" aca="1" ref="AC455" ca="1">IF(Tabela1[[#This Row],[VALOR]]&lt;0,"",IFERROR(SUBSTITUTE(Converter_numero(Tabela1[[#This Row],[VALOR INCISO]]),",",""),""))</f>
        <v/>
      </c>
      <c r="AD455" s="29" t="str">
        <f>IF(Tabela1[[#This Row],[TIPO]]=REGRAS!$W$2,REGRAS!$X$2,IF(Tabela1[[#This Row],[TIPO]]=REGRAS!$W$4,REGRAS!$X$4,""))</f>
        <v/>
      </c>
      <c r="AE455" s="29" t="e">
        <f>VLOOKUP(Tabela1[[#This Row],[FONTE_COD]],REGRAS!$O$2:$P$69,2,FALSE)</f>
        <v>#N/A</v>
      </c>
      <c r="AF4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6" spans="1:32" ht="18.75" customHeight="1">
      <c r="A456" s="2" t="str">
        <f>IFERROR(IF('PREENCHER AQUI'!A456="","",'PREENCHER AQUI'!A456),"")</f>
        <v/>
      </c>
      <c r="B456" s="1" t="str">
        <f>IFERROR(IF('PREENCHER AQUI'!B456="","",PROPER('PREENCHER AQUI'!B456)),"")</f>
        <v/>
      </c>
      <c r="C456" s="1" t="str">
        <f>IFERROR(IF('PREENCHER AQUI'!C456="","",'PREENCHER AQUI'!C456),"")</f>
        <v/>
      </c>
      <c r="D456" s="2" t="str">
        <f>IFERROR(IF('PREENCHER AQUI'!D456="","",'PREENCHER AQUI'!D456),"")</f>
        <v/>
      </c>
      <c r="E456" s="2" t="str">
        <f>IFERROR(VLOOKUP(CONCATENATE(C456,D456),qdd!$C$2:$F$1000,2,FALSE),"")</f>
        <v/>
      </c>
      <c r="F456" s="2" t="str">
        <f>IFERROR(VLOOKUP(CONCATENATE(C456,D456),qdd!$C$2:$F$1000,3,FALSE),"")</f>
        <v/>
      </c>
      <c r="G456" s="2" t="str">
        <f>IFERROR(VLOOKUP(CONCATENATE(C456,D456),qdd!$C$2:$F$1000,4,FALSE),"")</f>
        <v/>
      </c>
      <c r="H456" s="6" t="str">
        <f t="shared" si="16"/>
        <v/>
      </c>
      <c r="I4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6" s="2" t="str">
        <f>IFERROR(IF('PREENCHER AQUI'!E456="","",'PREENCHER AQUI'!E456),"")</f>
        <v/>
      </c>
      <c r="K456" s="2" t="str">
        <f>IFERROR(IF('PREENCHER AQUI'!F456="","",'PREENCHER AQUI'!F456),"")</f>
        <v/>
      </c>
      <c r="L456" s="2" t="str">
        <f>IF(Tabela1[[#This Row],[IPU_COD]]=9,"91",IF(Tabela1[[#This Row],[ACAO_COD]]="","",VLOOKUP(CONCATENATE("G",J456,"M",K456),qdd!$BC$2:$BD$46,2,FALSE)))</f>
        <v/>
      </c>
      <c r="M456" s="2" t="str">
        <f>TEXT(IFERROR(VLOOKUP(CONCATENATE(C456,D456),qdd!$C$2:$G$1000,5,FALSE),""),0)</f>
        <v/>
      </c>
      <c r="N456" s="2" t="str">
        <f>IFERROR(IF('PREENCHER AQUI'!I456="","",'PREENCHER AQUI'!I456),"")</f>
        <v/>
      </c>
      <c r="O456" s="2" t="str">
        <f>IFERROR(IF('PREENCHER AQUI'!J456="","",'PREENCHER AQUI'!J456),"")</f>
        <v/>
      </c>
      <c r="P456" s="7" t="str">
        <f t="shared" si="17"/>
        <v/>
      </c>
      <c r="Q456" s="8" t="str">
        <f>IFERROR(IF(Tabela4[[#This Row],[VALOR]]="","",IF(Tabela1[[#This Row],[ORIENTACAO]]="Anular",'PREENCHER AQUI'!K456*-1*100,'PREENCHER AQUI'!K456*100)),"")</f>
        <v/>
      </c>
      <c r="T456" s="7" t="str">
        <f>IFERROR(IF('PREENCHER AQUI'!L456="","999",LEFT('PREENCHER AQUI'!L456,1)),"")</f>
        <v>999</v>
      </c>
      <c r="V456" s="19"/>
      <c r="W456" s="1" t="str">
        <f>IFERROR(VLOOKUP(Tabela1[[#This Row],[UO_COD]],qdd!$AT$1:$AU$102,2,FALSE),"")</f>
        <v/>
      </c>
      <c r="X456" s="1" t="str">
        <f>CONCATENATE("F",Tabela1[[#This Row],[FONTE_COD]],Tabela1[[#This Row],[IPU_COD]],"G",Tabela1[[#This Row],[GRUPO_COD]],"T",Tabela1[[#This Row],[TIPO]])</f>
        <v>FGT999</v>
      </c>
      <c r="Y4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6" s="19"/>
      <c r="AA456" s="29" t="str">
        <f>IFERROR(VLOOKUP(CONCATENATE("B",Tabela1[[#This Row],[BLOCO]],Tabela1[[#This Row],[UO_COD]]),qdd!$AW$2:$AX$1000,2,FALSE),"")</f>
        <v/>
      </c>
      <c r="AB456" s="30" t="str">
        <f>IFERROR(Tabela1[[#This Row],[VALOR]]/100,"")</f>
        <v/>
      </c>
      <c r="AC456" s="7" t="str" cm="1">
        <f t="array" aca="1" ref="AC456" ca="1">IF(Tabela1[[#This Row],[VALOR]]&lt;0,"",IFERROR(SUBSTITUTE(Converter_numero(Tabela1[[#This Row],[VALOR INCISO]]),",",""),""))</f>
        <v/>
      </c>
      <c r="AD456" s="29" t="str">
        <f>IF(Tabela1[[#This Row],[TIPO]]=REGRAS!$W$2,REGRAS!$X$2,IF(Tabela1[[#This Row],[TIPO]]=REGRAS!$W$4,REGRAS!$X$4,""))</f>
        <v/>
      </c>
      <c r="AE456" s="29" t="e">
        <f>VLOOKUP(Tabela1[[#This Row],[FONTE_COD]],REGRAS!$O$2:$P$69,2,FALSE)</f>
        <v>#N/A</v>
      </c>
      <c r="AF4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7" spans="1:32" ht="18.75" customHeight="1">
      <c r="A457" s="2" t="str">
        <f>IFERROR(IF('PREENCHER AQUI'!A457="","",'PREENCHER AQUI'!A457),"")</f>
        <v/>
      </c>
      <c r="B457" s="1" t="str">
        <f>IFERROR(IF('PREENCHER AQUI'!B457="","",PROPER('PREENCHER AQUI'!B457)),"")</f>
        <v/>
      </c>
      <c r="C457" s="1" t="str">
        <f>IFERROR(IF('PREENCHER AQUI'!C457="","",'PREENCHER AQUI'!C457),"")</f>
        <v/>
      </c>
      <c r="D457" s="2" t="str">
        <f>IFERROR(IF('PREENCHER AQUI'!D457="","",'PREENCHER AQUI'!D457),"")</f>
        <v/>
      </c>
      <c r="E457" s="2" t="str">
        <f>IFERROR(VLOOKUP(CONCATENATE(C457,D457),qdd!$C$2:$F$1000,2,FALSE),"")</f>
        <v/>
      </c>
      <c r="F457" s="2" t="str">
        <f>IFERROR(VLOOKUP(CONCATENATE(C457,D457),qdd!$C$2:$F$1000,3,FALSE),"")</f>
        <v/>
      </c>
      <c r="G457" s="2" t="str">
        <f>IFERROR(VLOOKUP(CONCATENATE(C457,D457),qdd!$C$2:$F$1000,4,FALSE),"")</f>
        <v/>
      </c>
      <c r="H457" s="6" t="str">
        <f t="shared" si="16"/>
        <v/>
      </c>
      <c r="I4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7" s="2" t="str">
        <f>IFERROR(IF('PREENCHER AQUI'!E457="","",'PREENCHER AQUI'!E457),"")</f>
        <v/>
      </c>
      <c r="K457" s="2" t="str">
        <f>IFERROR(IF('PREENCHER AQUI'!F457="","",'PREENCHER AQUI'!F457),"")</f>
        <v/>
      </c>
      <c r="L457" s="2" t="str">
        <f>IF(Tabela1[[#This Row],[IPU_COD]]=9,"91",IF(Tabela1[[#This Row],[ACAO_COD]]="","",VLOOKUP(CONCATENATE("G",J457,"M",K457),qdd!$BC$2:$BD$46,2,FALSE)))</f>
        <v/>
      </c>
      <c r="M457" s="2" t="str">
        <f>TEXT(IFERROR(VLOOKUP(CONCATENATE(C457,D457),qdd!$C$2:$G$1000,5,FALSE),""),0)</f>
        <v/>
      </c>
      <c r="N457" s="2" t="str">
        <f>IFERROR(IF('PREENCHER AQUI'!I457="","",'PREENCHER AQUI'!I457),"")</f>
        <v/>
      </c>
      <c r="O457" s="2" t="str">
        <f>IFERROR(IF('PREENCHER AQUI'!J457="","",'PREENCHER AQUI'!J457),"")</f>
        <v/>
      </c>
      <c r="P457" s="7" t="str">
        <f t="shared" si="17"/>
        <v/>
      </c>
      <c r="Q457" s="8" t="str">
        <f>IFERROR(IF(Tabela4[[#This Row],[VALOR]]="","",IF(Tabela1[[#This Row],[ORIENTACAO]]="Anular",'PREENCHER AQUI'!K457*-1*100,'PREENCHER AQUI'!K457*100)),"")</f>
        <v/>
      </c>
      <c r="T457" s="7" t="str">
        <f>IFERROR(IF('PREENCHER AQUI'!L457="","999",LEFT('PREENCHER AQUI'!L457,1)),"")</f>
        <v>999</v>
      </c>
      <c r="W457" s="1" t="str">
        <f>IFERROR(VLOOKUP(Tabela1[[#This Row],[UO_COD]],qdd!$AT$1:$AU$102,2,FALSE),"")</f>
        <v/>
      </c>
      <c r="X457" s="1" t="str">
        <f>CONCATENATE("F",Tabela1[[#This Row],[FONTE_COD]],Tabela1[[#This Row],[IPU_COD]],"G",Tabela1[[#This Row],[GRUPO_COD]],"T",Tabela1[[#This Row],[TIPO]])</f>
        <v>FGT999</v>
      </c>
      <c r="Y4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7" s="19"/>
      <c r="AA457" s="29" t="str">
        <f>IFERROR(VLOOKUP(CONCATENATE("B",Tabela1[[#This Row],[BLOCO]],Tabela1[[#This Row],[UO_COD]]),qdd!$AW$2:$AX$1000,2,FALSE),"")</f>
        <v/>
      </c>
      <c r="AB457" s="30" t="str">
        <f>IFERROR(Tabela1[[#This Row],[VALOR]]/100,"")</f>
        <v/>
      </c>
      <c r="AC457" s="7" t="str" cm="1">
        <f t="array" aca="1" ref="AC457" ca="1">IF(Tabela1[[#This Row],[VALOR]]&lt;0,"",IFERROR(SUBSTITUTE(Converter_numero(Tabela1[[#This Row],[VALOR INCISO]]),",",""),""))</f>
        <v/>
      </c>
      <c r="AD457" s="7" t="str">
        <f>IF(Tabela1[[#This Row],[TIPO]]=REGRAS!$W$2,REGRAS!$X$2,IF(Tabela1[[#This Row],[TIPO]]=REGRAS!$W$4,REGRAS!$X$4,""))</f>
        <v/>
      </c>
      <c r="AE457" s="29" t="e">
        <f>VLOOKUP(Tabela1[[#This Row],[FONTE_COD]],REGRAS!$O$2:$P$69,2,FALSE)</f>
        <v>#N/A</v>
      </c>
      <c r="AF4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8" spans="1:32" ht="18.75" customHeight="1">
      <c r="A458" s="2" t="str">
        <f>IFERROR(IF('PREENCHER AQUI'!A458="","",'PREENCHER AQUI'!A458),"")</f>
        <v/>
      </c>
      <c r="B458" s="1" t="str">
        <f>IFERROR(IF('PREENCHER AQUI'!B458="","",PROPER('PREENCHER AQUI'!B458)),"")</f>
        <v/>
      </c>
      <c r="C458" s="1" t="str">
        <f>IFERROR(IF('PREENCHER AQUI'!C458="","",'PREENCHER AQUI'!C458),"")</f>
        <v/>
      </c>
      <c r="D458" s="2" t="str">
        <f>IFERROR(IF('PREENCHER AQUI'!D458="","",'PREENCHER AQUI'!D458),"")</f>
        <v/>
      </c>
      <c r="E458" s="2" t="str">
        <f>IFERROR(VLOOKUP(CONCATENATE(C458,D458),qdd!$C$2:$F$1000,2,FALSE),"")</f>
        <v/>
      </c>
      <c r="F458" s="2" t="str">
        <f>IFERROR(VLOOKUP(CONCATENATE(C458,D458),qdd!$C$2:$F$1000,3,FALSE),"")</f>
        <v/>
      </c>
      <c r="G458" s="2" t="str">
        <f>IFERROR(VLOOKUP(CONCATENATE(C458,D458),qdd!$C$2:$F$1000,4,FALSE),"")</f>
        <v/>
      </c>
      <c r="H458" s="6" t="str">
        <f t="shared" si="16"/>
        <v/>
      </c>
      <c r="I4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8" s="2" t="str">
        <f>IFERROR(IF('PREENCHER AQUI'!E458="","",'PREENCHER AQUI'!E458),"")</f>
        <v/>
      </c>
      <c r="K458" s="2" t="str">
        <f>IFERROR(IF('PREENCHER AQUI'!F458="","",'PREENCHER AQUI'!F458),"")</f>
        <v/>
      </c>
      <c r="L458" s="2" t="str">
        <f>IF(Tabela1[[#This Row],[IPU_COD]]=9,"91",IF(Tabela1[[#This Row],[ACAO_COD]]="","",VLOOKUP(CONCATENATE("G",J458,"M",K458),qdd!$BC$2:$BD$46,2,FALSE)))</f>
        <v/>
      </c>
      <c r="M458" s="2" t="str">
        <f>TEXT(IFERROR(VLOOKUP(CONCATENATE(C458,D458),qdd!$C$2:$G$1000,5,FALSE),""),0)</f>
        <v/>
      </c>
      <c r="N458" s="2" t="str">
        <f>IFERROR(IF('PREENCHER AQUI'!I458="","",'PREENCHER AQUI'!I458),"")</f>
        <v/>
      </c>
      <c r="O458" s="2" t="str">
        <f>IFERROR(IF('PREENCHER AQUI'!J458="","",'PREENCHER AQUI'!J458),"")</f>
        <v/>
      </c>
      <c r="P458" s="7" t="str">
        <f t="shared" si="17"/>
        <v/>
      </c>
      <c r="Q458" s="8" t="str">
        <f>IFERROR(IF(Tabela4[[#This Row],[VALOR]]="","",IF(Tabela1[[#This Row],[ORIENTACAO]]="Anular",'PREENCHER AQUI'!K458*-1*100,'PREENCHER AQUI'!K458*100)),"")</f>
        <v/>
      </c>
      <c r="T458" s="7" t="str">
        <f>IFERROR(IF('PREENCHER AQUI'!L458="","999",LEFT('PREENCHER AQUI'!L458,1)),"")</f>
        <v>999</v>
      </c>
      <c r="V458" s="19"/>
      <c r="W458" s="1" t="str">
        <f>IFERROR(VLOOKUP(Tabela1[[#This Row],[UO_COD]],qdd!$AT$1:$AU$102,2,FALSE),"")</f>
        <v/>
      </c>
      <c r="X458" s="1" t="str">
        <f>CONCATENATE("F",Tabela1[[#This Row],[FONTE_COD]],Tabela1[[#This Row],[IPU_COD]],"G",Tabela1[[#This Row],[GRUPO_COD]],"T",Tabela1[[#This Row],[TIPO]])</f>
        <v>FGT999</v>
      </c>
      <c r="Y4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8" s="19"/>
      <c r="AA458" s="29" t="str">
        <f>IFERROR(VLOOKUP(CONCATENATE("B",Tabela1[[#This Row],[BLOCO]],Tabela1[[#This Row],[UO_COD]]),qdd!$AW$2:$AX$1000,2,FALSE),"")</f>
        <v/>
      </c>
      <c r="AB458" s="30" t="str">
        <f>IFERROR(Tabela1[[#This Row],[VALOR]]/100,"")</f>
        <v/>
      </c>
      <c r="AC458" s="7" t="str" cm="1">
        <f t="array" aca="1" ref="AC458" ca="1">IF(Tabela1[[#This Row],[VALOR]]&lt;0,"",IFERROR(SUBSTITUTE(Converter_numero(Tabela1[[#This Row],[VALOR INCISO]]),",",""),""))</f>
        <v/>
      </c>
      <c r="AD458" s="29" t="str">
        <f>IF(Tabela1[[#This Row],[TIPO]]=REGRAS!$W$2,REGRAS!$X$2,IF(Tabela1[[#This Row],[TIPO]]=REGRAS!$W$4,REGRAS!$X$4,""))</f>
        <v/>
      </c>
      <c r="AE458" s="29" t="e">
        <f>VLOOKUP(Tabela1[[#This Row],[FONTE_COD]],REGRAS!$O$2:$P$69,2,FALSE)</f>
        <v>#N/A</v>
      </c>
      <c r="AF4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9" spans="1:32" ht="18.75" customHeight="1">
      <c r="A459" s="2" t="str">
        <f>IFERROR(IF('PREENCHER AQUI'!A459="","",'PREENCHER AQUI'!A459),"")</f>
        <v/>
      </c>
      <c r="B459" s="1" t="str">
        <f>IFERROR(IF('PREENCHER AQUI'!B459="","",PROPER('PREENCHER AQUI'!B459)),"")</f>
        <v/>
      </c>
      <c r="C459" s="1" t="str">
        <f>IFERROR(IF('PREENCHER AQUI'!C459="","",'PREENCHER AQUI'!C459),"")</f>
        <v/>
      </c>
      <c r="D459" s="2" t="str">
        <f>IFERROR(IF('PREENCHER AQUI'!D459="","",'PREENCHER AQUI'!D459),"")</f>
        <v/>
      </c>
      <c r="E459" s="2" t="str">
        <f>IFERROR(VLOOKUP(CONCATENATE(C459,D459),qdd!$C$2:$F$1000,2,FALSE),"")</f>
        <v/>
      </c>
      <c r="F459" s="2" t="str">
        <f>IFERROR(VLOOKUP(CONCATENATE(C459,D459),qdd!$C$2:$F$1000,3,FALSE),"")</f>
        <v/>
      </c>
      <c r="G459" s="2" t="str">
        <f>IFERROR(VLOOKUP(CONCATENATE(C459,D459),qdd!$C$2:$F$1000,4,FALSE),"")</f>
        <v/>
      </c>
      <c r="H459" s="6" t="str">
        <f t="shared" si="16"/>
        <v/>
      </c>
      <c r="I4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9" s="2" t="str">
        <f>IFERROR(IF('PREENCHER AQUI'!E459="","",'PREENCHER AQUI'!E459),"")</f>
        <v/>
      </c>
      <c r="K459" s="2" t="str">
        <f>IFERROR(IF('PREENCHER AQUI'!F459="","",'PREENCHER AQUI'!F459),"")</f>
        <v/>
      </c>
      <c r="L459" s="2" t="str">
        <f>IF(Tabela1[[#This Row],[IPU_COD]]=9,"91",IF(Tabela1[[#This Row],[ACAO_COD]]="","",VLOOKUP(CONCATENATE("G",J459,"M",K459),qdd!$BC$2:$BD$46,2,FALSE)))</f>
        <v/>
      </c>
      <c r="M459" s="2" t="str">
        <f>TEXT(IFERROR(VLOOKUP(CONCATENATE(C459,D459),qdd!$C$2:$G$1000,5,FALSE),""),0)</f>
        <v/>
      </c>
      <c r="N459" s="2" t="str">
        <f>IFERROR(IF('PREENCHER AQUI'!I459="","",'PREENCHER AQUI'!I459),"")</f>
        <v/>
      </c>
      <c r="O459" s="2" t="str">
        <f>IFERROR(IF('PREENCHER AQUI'!J459="","",'PREENCHER AQUI'!J459),"")</f>
        <v/>
      </c>
      <c r="P459" s="7" t="str">
        <f t="shared" si="17"/>
        <v/>
      </c>
      <c r="Q459" s="8" t="str">
        <f>IFERROR(IF(Tabela4[[#This Row],[VALOR]]="","",IF(Tabela1[[#This Row],[ORIENTACAO]]="Anular",'PREENCHER AQUI'!K459*-1*100,'PREENCHER AQUI'!K459*100)),"")</f>
        <v/>
      </c>
      <c r="T459" s="7" t="str">
        <f>IFERROR(IF('PREENCHER AQUI'!L459="","999",LEFT('PREENCHER AQUI'!L459,1)),"")</f>
        <v>999</v>
      </c>
      <c r="V459" s="19"/>
      <c r="W459" s="1" t="str">
        <f>IFERROR(VLOOKUP(Tabela1[[#This Row],[UO_COD]],qdd!$AT$1:$AU$102,2,FALSE),"")</f>
        <v/>
      </c>
      <c r="X459" s="1" t="str">
        <f>CONCATENATE("F",Tabela1[[#This Row],[FONTE_COD]],Tabela1[[#This Row],[IPU_COD]],"G",Tabela1[[#This Row],[GRUPO_COD]],"T",Tabela1[[#This Row],[TIPO]])</f>
        <v>FGT999</v>
      </c>
      <c r="Y4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9" s="19"/>
      <c r="AA459" s="29" t="str">
        <f>IFERROR(VLOOKUP(CONCATENATE("B",Tabela1[[#This Row],[BLOCO]],Tabela1[[#This Row],[UO_COD]]),qdd!$AW$2:$AX$1000,2,FALSE),"")</f>
        <v/>
      </c>
      <c r="AB459" s="30" t="str">
        <f>IFERROR(Tabela1[[#This Row],[VALOR]]/100,"")</f>
        <v/>
      </c>
      <c r="AC459" s="7" t="str" cm="1">
        <f t="array" aca="1" ref="AC459" ca="1">IF(Tabela1[[#This Row],[VALOR]]&lt;0,"",IFERROR(SUBSTITUTE(Converter_numero(Tabela1[[#This Row],[VALOR INCISO]]),",",""),""))</f>
        <v/>
      </c>
      <c r="AD459" s="29" t="str">
        <f>IF(Tabela1[[#This Row],[TIPO]]=REGRAS!$W$2,REGRAS!$X$2,IF(Tabela1[[#This Row],[TIPO]]=REGRAS!$W$4,REGRAS!$X$4,""))</f>
        <v/>
      </c>
      <c r="AE459" s="29" t="e">
        <f>VLOOKUP(Tabela1[[#This Row],[FONTE_COD]],REGRAS!$O$2:$P$69,2,FALSE)</f>
        <v>#N/A</v>
      </c>
      <c r="AF4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0" spans="1:32" ht="18.75" customHeight="1">
      <c r="A460" s="2" t="str">
        <f>IFERROR(IF('PREENCHER AQUI'!A460="","",'PREENCHER AQUI'!A460),"")</f>
        <v/>
      </c>
      <c r="B460" s="1" t="str">
        <f>IFERROR(IF('PREENCHER AQUI'!B460="","",PROPER('PREENCHER AQUI'!B460)),"")</f>
        <v/>
      </c>
      <c r="C460" s="1" t="str">
        <f>IFERROR(IF('PREENCHER AQUI'!C460="","",'PREENCHER AQUI'!C460),"")</f>
        <v/>
      </c>
      <c r="D460" s="2" t="str">
        <f>IFERROR(IF('PREENCHER AQUI'!D460="","",'PREENCHER AQUI'!D460),"")</f>
        <v/>
      </c>
      <c r="E460" s="2" t="str">
        <f>IFERROR(VLOOKUP(CONCATENATE(C460,D460),qdd!$C$2:$F$1000,2,FALSE),"")</f>
        <v/>
      </c>
      <c r="F460" s="2" t="str">
        <f>IFERROR(VLOOKUP(CONCATENATE(C460,D460),qdd!$C$2:$F$1000,3,FALSE),"")</f>
        <v/>
      </c>
      <c r="G460" s="2" t="str">
        <f>IFERROR(VLOOKUP(CONCATENATE(C460,D460),qdd!$C$2:$F$1000,4,FALSE),"")</f>
        <v/>
      </c>
      <c r="H460" s="6" t="str">
        <f t="shared" si="16"/>
        <v/>
      </c>
      <c r="I4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0" s="2" t="str">
        <f>IFERROR(IF('PREENCHER AQUI'!E460="","",'PREENCHER AQUI'!E460),"")</f>
        <v/>
      </c>
      <c r="K460" s="2" t="str">
        <f>IFERROR(IF('PREENCHER AQUI'!F460="","",'PREENCHER AQUI'!F460),"")</f>
        <v/>
      </c>
      <c r="L460" s="2" t="str">
        <f>IF(Tabela1[[#This Row],[IPU_COD]]=9,"91",IF(Tabela1[[#This Row],[ACAO_COD]]="","",VLOOKUP(CONCATENATE("G",J460,"M",K460),qdd!$BC$2:$BD$46,2,FALSE)))</f>
        <v/>
      </c>
      <c r="M460" s="2" t="str">
        <f>TEXT(IFERROR(VLOOKUP(CONCATENATE(C460,D460),qdd!$C$2:$G$1000,5,FALSE),""),0)</f>
        <v/>
      </c>
      <c r="N460" s="2" t="str">
        <f>IFERROR(IF('PREENCHER AQUI'!I460="","",'PREENCHER AQUI'!I460),"")</f>
        <v/>
      </c>
      <c r="O460" s="2" t="str">
        <f>IFERROR(IF('PREENCHER AQUI'!J460="","",'PREENCHER AQUI'!J460),"")</f>
        <v/>
      </c>
      <c r="P460" s="7" t="str">
        <f t="shared" si="17"/>
        <v/>
      </c>
      <c r="Q460" s="8" t="str">
        <f>IFERROR(IF(Tabela4[[#This Row],[VALOR]]="","",IF(Tabela1[[#This Row],[ORIENTACAO]]="Anular",'PREENCHER AQUI'!K460*-1*100,'PREENCHER AQUI'!K460*100)),"")</f>
        <v/>
      </c>
      <c r="T460" s="7" t="str">
        <f>IFERROR(IF('PREENCHER AQUI'!L460="","999",LEFT('PREENCHER AQUI'!L460,1)),"")</f>
        <v>999</v>
      </c>
      <c r="V460" s="19"/>
      <c r="W460" s="20" t="str">
        <f>IFERROR(VLOOKUP(Tabela1[[#This Row],[UO_COD]],qdd!$AT$1:$AU$102,2,FALSE),"")</f>
        <v/>
      </c>
      <c r="X460" s="20" t="str">
        <f>CONCATENATE("F",Tabela1[[#This Row],[FONTE_COD]],Tabela1[[#This Row],[IPU_COD]],"G",Tabela1[[#This Row],[GRUPO_COD]],"T",Tabela1[[#This Row],[TIPO]])</f>
        <v>FGT999</v>
      </c>
      <c r="Y4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0" s="19"/>
      <c r="AA460" s="29" t="str">
        <f>IFERROR(VLOOKUP(CONCATENATE("B",Tabela1[[#This Row],[BLOCO]],Tabela1[[#This Row],[UO_COD]]),qdd!$AW$2:$AX$1000,2,FALSE),"")</f>
        <v/>
      </c>
      <c r="AB460" s="30" t="str">
        <f>IFERROR(Tabela1[[#This Row],[VALOR]]/100,"")</f>
        <v/>
      </c>
      <c r="AC460" s="7" t="str" cm="1">
        <f t="array" aca="1" ref="AC460" ca="1">IF(Tabela1[[#This Row],[VALOR]]&lt;0,"",IFERROR(SUBSTITUTE(Converter_numero(Tabela1[[#This Row],[VALOR INCISO]]),",",""),""))</f>
        <v/>
      </c>
      <c r="AD460" s="29" t="str">
        <f>IF(Tabela1[[#This Row],[TIPO]]=REGRAS!$W$2,REGRAS!$X$2,IF(Tabela1[[#This Row],[TIPO]]=REGRAS!$W$4,REGRAS!$X$4,""))</f>
        <v/>
      </c>
      <c r="AE460" s="29" t="e">
        <f>VLOOKUP(Tabela1[[#This Row],[FONTE_COD]],REGRAS!$O$2:$P$69,2,FALSE)</f>
        <v>#N/A</v>
      </c>
      <c r="AF4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1" spans="1:32" ht="18.75" customHeight="1">
      <c r="A461" s="2" t="str">
        <f>IFERROR(IF('PREENCHER AQUI'!A461="","",'PREENCHER AQUI'!A461),"")</f>
        <v/>
      </c>
      <c r="B461" s="1" t="str">
        <f>IFERROR(IF('PREENCHER AQUI'!B461="","",PROPER('PREENCHER AQUI'!B461)),"")</f>
        <v/>
      </c>
      <c r="C461" s="1" t="str">
        <f>IFERROR(IF('PREENCHER AQUI'!C461="","",'PREENCHER AQUI'!C461),"")</f>
        <v/>
      </c>
      <c r="D461" s="2" t="str">
        <f>IFERROR(IF('PREENCHER AQUI'!D461="","",'PREENCHER AQUI'!D461),"")</f>
        <v/>
      </c>
      <c r="E461" s="2" t="str">
        <f>IFERROR(VLOOKUP(CONCATENATE(C461,D461),qdd!$C$2:$F$1000,2,FALSE),"")</f>
        <v/>
      </c>
      <c r="F461" s="2" t="str">
        <f>IFERROR(VLOOKUP(CONCATENATE(C461,D461),qdd!$C$2:$F$1000,3,FALSE),"")</f>
        <v/>
      </c>
      <c r="G461" s="2" t="str">
        <f>IFERROR(VLOOKUP(CONCATENATE(C461,D461),qdd!$C$2:$F$1000,4,FALSE),"")</f>
        <v/>
      </c>
      <c r="H461" s="6" t="str">
        <f t="shared" si="16"/>
        <v/>
      </c>
      <c r="I4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1" s="2" t="str">
        <f>IFERROR(IF('PREENCHER AQUI'!E461="","",'PREENCHER AQUI'!E461),"")</f>
        <v/>
      </c>
      <c r="K461" s="2" t="str">
        <f>IFERROR(IF('PREENCHER AQUI'!F461="","",'PREENCHER AQUI'!F461),"")</f>
        <v/>
      </c>
      <c r="L461" s="2" t="str">
        <f>IF(Tabela1[[#This Row],[IPU_COD]]=9,"91",IF(Tabela1[[#This Row],[ACAO_COD]]="","",VLOOKUP(CONCATENATE("G",J461,"M",K461),qdd!$BC$2:$BD$46,2,FALSE)))</f>
        <v/>
      </c>
      <c r="M461" s="2" t="str">
        <f>TEXT(IFERROR(VLOOKUP(CONCATENATE(C461,D461),qdd!$C$2:$G$1000,5,FALSE),""),0)</f>
        <v/>
      </c>
      <c r="N461" s="2" t="str">
        <f>IFERROR(IF('PREENCHER AQUI'!I461="","",'PREENCHER AQUI'!I461),"")</f>
        <v/>
      </c>
      <c r="O461" s="2" t="str">
        <f>IFERROR(IF('PREENCHER AQUI'!J461="","",'PREENCHER AQUI'!J461),"")</f>
        <v/>
      </c>
      <c r="P461" s="7" t="str">
        <f t="shared" si="17"/>
        <v/>
      </c>
      <c r="Q461" s="8" t="str">
        <f>IFERROR(IF(Tabela4[[#This Row],[VALOR]]="","",IF(Tabela1[[#This Row],[ORIENTACAO]]="Anular",'PREENCHER AQUI'!K461*-1*100,'PREENCHER AQUI'!K461*100)),"")</f>
        <v/>
      </c>
      <c r="T461" s="7" t="str">
        <f>IFERROR(IF('PREENCHER AQUI'!L461="","999",LEFT('PREENCHER AQUI'!L461,1)),"")</f>
        <v>999</v>
      </c>
      <c r="V461" s="19"/>
      <c r="W461" s="1" t="str">
        <f>IFERROR(VLOOKUP(Tabela1[[#This Row],[UO_COD]],qdd!$AT$1:$AU$102,2,FALSE),"")</f>
        <v/>
      </c>
      <c r="X461" s="1" t="str">
        <f>CONCATENATE("F",Tabela1[[#This Row],[FONTE_COD]],Tabela1[[#This Row],[IPU_COD]],"G",Tabela1[[#This Row],[GRUPO_COD]],"T",Tabela1[[#This Row],[TIPO]])</f>
        <v>FGT999</v>
      </c>
      <c r="Y4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1" s="19"/>
      <c r="AA461" s="29" t="str">
        <f>IFERROR(VLOOKUP(CONCATENATE("B",Tabela1[[#This Row],[BLOCO]],Tabela1[[#This Row],[UO_COD]]),qdd!$AW$2:$AX$1000,2,FALSE),"")</f>
        <v/>
      </c>
      <c r="AB461" s="30" t="str">
        <f>IFERROR(Tabela1[[#This Row],[VALOR]]/100,"")</f>
        <v/>
      </c>
      <c r="AC461" s="7" t="str" cm="1">
        <f t="array" aca="1" ref="AC461" ca="1">IF(Tabela1[[#This Row],[VALOR]]&lt;0,"",IFERROR(SUBSTITUTE(Converter_numero(Tabela1[[#This Row],[VALOR INCISO]]),",",""),""))</f>
        <v/>
      </c>
      <c r="AD461" s="29" t="str">
        <f>IF(Tabela1[[#This Row],[TIPO]]=REGRAS!$W$2,REGRAS!$X$2,IF(Tabela1[[#This Row],[TIPO]]=REGRAS!$W$4,REGRAS!$X$4,""))</f>
        <v/>
      </c>
      <c r="AE461" s="29" t="e">
        <f>VLOOKUP(Tabela1[[#This Row],[FONTE_COD]],REGRAS!$O$2:$P$69,2,FALSE)</f>
        <v>#N/A</v>
      </c>
      <c r="AF4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2" spans="1:32" ht="18.75" customHeight="1">
      <c r="A462" s="2" t="str">
        <f>IFERROR(IF('PREENCHER AQUI'!A462="","",'PREENCHER AQUI'!A462),"")</f>
        <v/>
      </c>
      <c r="B462" s="1" t="str">
        <f>IFERROR(IF('PREENCHER AQUI'!B462="","",PROPER('PREENCHER AQUI'!B462)),"")</f>
        <v/>
      </c>
      <c r="C462" s="1" t="str">
        <f>IFERROR(IF('PREENCHER AQUI'!C462="","",'PREENCHER AQUI'!C462),"")</f>
        <v/>
      </c>
      <c r="D462" s="2" t="str">
        <f>IFERROR(IF('PREENCHER AQUI'!D462="","",'PREENCHER AQUI'!D462),"")</f>
        <v/>
      </c>
      <c r="E462" s="2" t="str">
        <f>IFERROR(VLOOKUP(CONCATENATE(C462,D462),qdd!$C$2:$F$1000,2,FALSE),"")</f>
        <v/>
      </c>
      <c r="F462" s="2" t="str">
        <f>IFERROR(VLOOKUP(CONCATENATE(C462,D462),qdd!$C$2:$F$1000,3,FALSE),"")</f>
        <v/>
      </c>
      <c r="G462" s="2" t="str">
        <f>IFERROR(VLOOKUP(CONCATENATE(C462,D462),qdd!$C$2:$F$1000,4,FALSE),"")</f>
        <v/>
      </c>
      <c r="H462" s="6" t="str">
        <f t="shared" si="16"/>
        <v/>
      </c>
      <c r="I4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2" s="2" t="str">
        <f>IFERROR(IF('PREENCHER AQUI'!E462="","",'PREENCHER AQUI'!E462),"")</f>
        <v/>
      </c>
      <c r="K462" s="2" t="str">
        <f>IFERROR(IF('PREENCHER AQUI'!F462="","",'PREENCHER AQUI'!F462),"")</f>
        <v/>
      </c>
      <c r="L462" s="2" t="str">
        <f>IF(Tabela1[[#This Row],[IPU_COD]]=9,"91",IF(Tabela1[[#This Row],[ACAO_COD]]="","",VLOOKUP(CONCATENATE("G",J462,"M",K462),qdd!$BC$2:$BD$46,2,FALSE)))</f>
        <v/>
      </c>
      <c r="M462" s="2" t="str">
        <f>TEXT(IFERROR(VLOOKUP(CONCATENATE(C462,D462),qdd!$C$2:$G$1000,5,FALSE),""),0)</f>
        <v/>
      </c>
      <c r="N462" s="2" t="str">
        <f>IFERROR(IF('PREENCHER AQUI'!I462="","",'PREENCHER AQUI'!I462),"")</f>
        <v/>
      </c>
      <c r="O462" s="2" t="str">
        <f>IFERROR(IF('PREENCHER AQUI'!J462="","",'PREENCHER AQUI'!J462),"")</f>
        <v/>
      </c>
      <c r="P462" s="7" t="str">
        <f t="shared" si="17"/>
        <v/>
      </c>
      <c r="Q462" s="8" t="str">
        <f>IFERROR(IF(Tabela4[[#This Row],[VALOR]]="","",IF(Tabela1[[#This Row],[ORIENTACAO]]="Anular",'PREENCHER AQUI'!K462*-1*100,'PREENCHER AQUI'!K462*100)),"")</f>
        <v/>
      </c>
      <c r="T462" s="7" t="str">
        <f>IFERROR(IF('PREENCHER AQUI'!L462="","999",LEFT('PREENCHER AQUI'!L462,1)),"")</f>
        <v>999</v>
      </c>
      <c r="W462" s="1" t="str">
        <f>IFERROR(VLOOKUP(Tabela1[[#This Row],[UO_COD]],qdd!$AT$1:$AU$102,2,FALSE),"")</f>
        <v/>
      </c>
      <c r="X462" s="1" t="str">
        <f>CONCATENATE("F",Tabela1[[#This Row],[FONTE_COD]],Tabela1[[#This Row],[IPU_COD]],"G",Tabela1[[#This Row],[GRUPO_COD]],"T",Tabela1[[#This Row],[TIPO]])</f>
        <v>FGT999</v>
      </c>
      <c r="Y4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2" s="19"/>
      <c r="AA462" s="29" t="str">
        <f>IFERROR(VLOOKUP(CONCATENATE("B",Tabela1[[#This Row],[BLOCO]],Tabela1[[#This Row],[UO_COD]]),qdd!$AW$2:$AX$1000,2,FALSE),"")</f>
        <v/>
      </c>
      <c r="AB462" s="30" t="str">
        <f>IFERROR(Tabela1[[#This Row],[VALOR]]/100,"")</f>
        <v/>
      </c>
      <c r="AC462" s="7" t="str" cm="1">
        <f t="array" aca="1" ref="AC462" ca="1">IF(Tabela1[[#This Row],[VALOR]]&lt;0,"",IFERROR(SUBSTITUTE(Converter_numero(Tabela1[[#This Row],[VALOR INCISO]]),",",""),""))</f>
        <v/>
      </c>
      <c r="AD462" s="7" t="str">
        <f>IF(Tabela1[[#This Row],[TIPO]]=REGRAS!$W$2,REGRAS!$X$2,IF(Tabela1[[#This Row],[TIPO]]=REGRAS!$W$4,REGRAS!$X$4,""))</f>
        <v/>
      </c>
      <c r="AE462" s="29" t="e">
        <f>VLOOKUP(Tabela1[[#This Row],[FONTE_COD]],REGRAS!$O$2:$P$69,2,FALSE)</f>
        <v>#N/A</v>
      </c>
      <c r="AF4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3" spans="1:32" ht="18.75" customHeight="1">
      <c r="A463" s="2" t="str">
        <f>IFERROR(IF('PREENCHER AQUI'!A463="","",'PREENCHER AQUI'!A463),"")</f>
        <v/>
      </c>
      <c r="B463" s="1" t="str">
        <f>IFERROR(IF('PREENCHER AQUI'!B463="","",PROPER('PREENCHER AQUI'!B463)),"")</f>
        <v/>
      </c>
      <c r="C463" s="1" t="str">
        <f>IFERROR(IF('PREENCHER AQUI'!C463="","",'PREENCHER AQUI'!C463),"")</f>
        <v/>
      </c>
      <c r="D463" s="2" t="str">
        <f>IFERROR(IF('PREENCHER AQUI'!D463="","",'PREENCHER AQUI'!D463),"")</f>
        <v/>
      </c>
      <c r="E463" s="2" t="str">
        <f>IFERROR(VLOOKUP(CONCATENATE(C463,D463),qdd!$C$2:$F$1000,2,FALSE),"")</f>
        <v/>
      </c>
      <c r="F463" s="2" t="str">
        <f>IFERROR(VLOOKUP(CONCATENATE(C463,D463),qdd!$C$2:$F$1000,3,FALSE),"")</f>
        <v/>
      </c>
      <c r="G463" s="2" t="str">
        <f>IFERROR(VLOOKUP(CONCATENATE(C463,D463),qdd!$C$2:$F$1000,4,FALSE),"")</f>
        <v/>
      </c>
      <c r="H463" s="6" t="str">
        <f t="shared" si="16"/>
        <v/>
      </c>
      <c r="I4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3" s="2" t="str">
        <f>IFERROR(IF('PREENCHER AQUI'!E463="","",'PREENCHER AQUI'!E463),"")</f>
        <v/>
      </c>
      <c r="K463" s="2" t="str">
        <f>IFERROR(IF('PREENCHER AQUI'!F463="","",'PREENCHER AQUI'!F463),"")</f>
        <v/>
      </c>
      <c r="L463" s="2" t="str">
        <f>IF(Tabela1[[#This Row],[IPU_COD]]=9,"91",IF(Tabela1[[#This Row],[ACAO_COD]]="","",VLOOKUP(CONCATENATE("G",J463,"M",K463),qdd!$BC$2:$BD$46,2,FALSE)))</f>
        <v/>
      </c>
      <c r="M463" s="2" t="str">
        <f>TEXT(IFERROR(VLOOKUP(CONCATENATE(C463,D463),qdd!$C$2:$G$1000,5,FALSE),""),0)</f>
        <v/>
      </c>
      <c r="N463" s="2" t="str">
        <f>IFERROR(IF('PREENCHER AQUI'!I463="","",'PREENCHER AQUI'!I463),"")</f>
        <v/>
      </c>
      <c r="O463" s="2" t="str">
        <f>IFERROR(IF('PREENCHER AQUI'!J463="","",'PREENCHER AQUI'!J463),"")</f>
        <v/>
      </c>
      <c r="P463" s="7" t="str">
        <f t="shared" si="17"/>
        <v/>
      </c>
      <c r="Q463" s="8" t="str">
        <f>IFERROR(IF(Tabela4[[#This Row],[VALOR]]="","",IF(Tabela1[[#This Row],[ORIENTACAO]]="Anular",'PREENCHER AQUI'!K463*-1*100,'PREENCHER AQUI'!K463*100)),"")</f>
        <v/>
      </c>
      <c r="T463" s="7" t="str">
        <f>IFERROR(IF('PREENCHER AQUI'!L463="","999",LEFT('PREENCHER AQUI'!L463,1)),"")</f>
        <v>999</v>
      </c>
      <c r="V463" s="19"/>
      <c r="W463" s="1" t="str">
        <f>IFERROR(VLOOKUP(Tabela1[[#This Row],[UO_COD]],qdd!$AT$1:$AU$102,2,FALSE),"")</f>
        <v/>
      </c>
      <c r="X463" s="1" t="str">
        <f>CONCATENATE("F",Tabela1[[#This Row],[FONTE_COD]],Tabela1[[#This Row],[IPU_COD]],"G",Tabela1[[#This Row],[GRUPO_COD]],"T",Tabela1[[#This Row],[TIPO]])</f>
        <v>FGT999</v>
      </c>
      <c r="Y4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3" s="19"/>
      <c r="AA463" s="29" t="str">
        <f>IFERROR(VLOOKUP(CONCATENATE("B",Tabela1[[#This Row],[BLOCO]],Tabela1[[#This Row],[UO_COD]]),qdd!$AW$2:$AX$1000,2,FALSE),"")</f>
        <v/>
      </c>
      <c r="AB463" s="30" t="str">
        <f>IFERROR(Tabela1[[#This Row],[VALOR]]/100,"")</f>
        <v/>
      </c>
      <c r="AC463" s="7" t="str" cm="1">
        <f t="array" aca="1" ref="AC463" ca="1">IF(Tabela1[[#This Row],[VALOR]]&lt;0,"",IFERROR(SUBSTITUTE(Converter_numero(Tabela1[[#This Row],[VALOR INCISO]]),",",""),""))</f>
        <v/>
      </c>
      <c r="AD463" s="29" t="str">
        <f>IF(Tabela1[[#This Row],[TIPO]]=REGRAS!$W$2,REGRAS!$X$2,IF(Tabela1[[#This Row],[TIPO]]=REGRAS!$W$4,REGRAS!$X$4,""))</f>
        <v/>
      </c>
      <c r="AE463" s="29" t="e">
        <f>VLOOKUP(Tabela1[[#This Row],[FONTE_COD]],REGRAS!$O$2:$P$69,2,FALSE)</f>
        <v>#N/A</v>
      </c>
      <c r="AF4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4" spans="1:32" ht="18.75" customHeight="1">
      <c r="A464" s="2" t="str">
        <f>IFERROR(IF('PREENCHER AQUI'!A464="","",'PREENCHER AQUI'!A464),"")</f>
        <v/>
      </c>
      <c r="B464" s="1" t="str">
        <f>IFERROR(IF('PREENCHER AQUI'!B464="","",PROPER('PREENCHER AQUI'!B464)),"")</f>
        <v/>
      </c>
      <c r="C464" s="1" t="str">
        <f>IFERROR(IF('PREENCHER AQUI'!C464="","",'PREENCHER AQUI'!C464),"")</f>
        <v/>
      </c>
      <c r="D464" s="2" t="str">
        <f>IFERROR(IF('PREENCHER AQUI'!D464="","",'PREENCHER AQUI'!D464),"")</f>
        <v/>
      </c>
      <c r="E464" s="2" t="str">
        <f>IFERROR(VLOOKUP(CONCATENATE(C464,D464),qdd!$C$2:$F$1000,2,FALSE),"")</f>
        <v/>
      </c>
      <c r="F464" s="2" t="str">
        <f>IFERROR(VLOOKUP(CONCATENATE(C464,D464),qdd!$C$2:$F$1000,3,FALSE),"")</f>
        <v/>
      </c>
      <c r="G464" s="2" t="str">
        <f>IFERROR(VLOOKUP(CONCATENATE(C464,D464),qdd!$C$2:$F$1000,4,FALSE),"")</f>
        <v/>
      </c>
      <c r="H464" s="6" t="str">
        <f t="shared" si="16"/>
        <v/>
      </c>
      <c r="I4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4" s="2" t="str">
        <f>IFERROR(IF('PREENCHER AQUI'!E464="","",'PREENCHER AQUI'!E464),"")</f>
        <v/>
      </c>
      <c r="K464" s="2" t="str">
        <f>IFERROR(IF('PREENCHER AQUI'!F464="","",'PREENCHER AQUI'!F464),"")</f>
        <v/>
      </c>
      <c r="L464" s="2" t="str">
        <f>IF(Tabela1[[#This Row],[IPU_COD]]=9,"91",IF(Tabela1[[#This Row],[ACAO_COD]]="","",VLOOKUP(CONCATENATE("G",J464,"M",K464),qdd!$BC$2:$BD$46,2,FALSE)))</f>
        <v/>
      </c>
      <c r="M464" s="2" t="str">
        <f>TEXT(IFERROR(VLOOKUP(CONCATENATE(C464,D464),qdd!$C$2:$G$1000,5,FALSE),""),0)</f>
        <v/>
      </c>
      <c r="N464" s="2" t="str">
        <f>IFERROR(IF('PREENCHER AQUI'!I464="","",'PREENCHER AQUI'!I464),"")</f>
        <v/>
      </c>
      <c r="O464" s="2" t="str">
        <f>IFERROR(IF('PREENCHER AQUI'!J464="","",'PREENCHER AQUI'!J464),"")</f>
        <v/>
      </c>
      <c r="P464" s="7" t="str">
        <f t="shared" si="17"/>
        <v/>
      </c>
      <c r="Q464" s="8" t="str">
        <f>IFERROR(IF(Tabela4[[#This Row],[VALOR]]="","",IF(Tabela1[[#This Row],[ORIENTACAO]]="Anular",'PREENCHER AQUI'!K464*-1*100,'PREENCHER AQUI'!K464*100)),"")</f>
        <v/>
      </c>
      <c r="T464" s="7" t="str">
        <f>IFERROR(IF('PREENCHER AQUI'!L464="","999",LEFT('PREENCHER AQUI'!L464,1)),"")</f>
        <v>999</v>
      </c>
      <c r="V464" s="19"/>
      <c r="W464" s="1" t="str">
        <f>IFERROR(VLOOKUP(Tabela1[[#This Row],[UO_COD]],qdd!$AT$1:$AU$102,2,FALSE),"")</f>
        <v/>
      </c>
      <c r="X464" s="1" t="str">
        <f>CONCATENATE("F",Tabela1[[#This Row],[FONTE_COD]],Tabela1[[#This Row],[IPU_COD]],"G",Tabela1[[#This Row],[GRUPO_COD]],"T",Tabela1[[#This Row],[TIPO]])</f>
        <v>FGT999</v>
      </c>
      <c r="Y4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4" s="19"/>
      <c r="AA464" s="29" t="str">
        <f>IFERROR(VLOOKUP(CONCATENATE("B",Tabela1[[#This Row],[BLOCO]],Tabela1[[#This Row],[UO_COD]]),qdd!$AW$2:$AX$1000,2,FALSE),"")</f>
        <v/>
      </c>
      <c r="AB464" s="30" t="str">
        <f>IFERROR(Tabela1[[#This Row],[VALOR]]/100,"")</f>
        <v/>
      </c>
      <c r="AC464" s="7" t="str" cm="1">
        <f t="array" aca="1" ref="AC464" ca="1">IF(Tabela1[[#This Row],[VALOR]]&lt;0,"",IFERROR(SUBSTITUTE(Converter_numero(Tabela1[[#This Row],[VALOR INCISO]]),",",""),""))</f>
        <v/>
      </c>
      <c r="AD464" s="29" t="str">
        <f>IF(Tabela1[[#This Row],[TIPO]]=REGRAS!$W$2,REGRAS!$X$2,IF(Tabela1[[#This Row],[TIPO]]=REGRAS!$W$4,REGRAS!$X$4,""))</f>
        <v/>
      </c>
      <c r="AE464" s="29" t="e">
        <f>VLOOKUP(Tabela1[[#This Row],[FONTE_COD]],REGRAS!$O$2:$P$69,2,FALSE)</f>
        <v>#N/A</v>
      </c>
      <c r="AF4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5" spans="1:32" ht="18.75" customHeight="1">
      <c r="A465" s="2" t="str">
        <f>IFERROR(IF('PREENCHER AQUI'!A465="","",'PREENCHER AQUI'!A465),"")</f>
        <v/>
      </c>
      <c r="B465" s="1" t="str">
        <f>IFERROR(IF('PREENCHER AQUI'!B465="","",PROPER('PREENCHER AQUI'!B465)),"")</f>
        <v/>
      </c>
      <c r="C465" s="1" t="str">
        <f>IFERROR(IF('PREENCHER AQUI'!C465="","",'PREENCHER AQUI'!C465),"")</f>
        <v/>
      </c>
      <c r="D465" s="2" t="str">
        <f>IFERROR(IF('PREENCHER AQUI'!D465="","",'PREENCHER AQUI'!D465),"")</f>
        <v/>
      </c>
      <c r="E465" s="2" t="str">
        <f>IFERROR(VLOOKUP(CONCATENATE(C465,D465),qdd!$C$2:$F$1000,2,FALSE),"")</f>
        <v/>
      </c>
      <c r="F465" s="2" t="str">
        <f>IFERROR(VLOOKUP(CONCATENATE(C465,D465),qdd!$C$2:$F$1000,3,FALSE),"")</f>
        <v/>
      </c>
      <c r="G465" s="2" t="str">
        <f>IFERROR(VLOOKUP(CONCATENATE(C465,D465),qdd!$C$2:$F$1000,4,FALSE),"")</f>
        <v/>
      </c>
      <c r="H465" s="6" t="str">
        <f t="shared" si="16"/>
        <v/>
      </c>
      <c r="I4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5" s="2" t="str">
        <f>IFERROR(IF('PREENCHER AQUI'!E465="","",'PREENCHER AQUI'!E465),"")</f>
        <v/>
      </c>
      <c r="K465" s="2" t="str">
        <f>IFERROR(IF('PREENCHER AQUI'!F465="","",'PREENCHER AQUI'!F465),"")</f>
        <v/>
      </c>
      <c r="L465" s="2" t="str">
        <f>IF(Tabela1[[#This Row],[IPU_COD]]=9,"91",IF(Tabela1[[#This Row],[ACAO_COD]]="","",VLOOKUP(CONCATENATE("G",J465,"M",K465),qdd!$BC$2:$BD$46,2,FALSE)))</f>
        <v/>
      </c>
      <c r="M465" s="2" t="str">
        <f>TEXT(IFERROR(VLOOKUP(CONCATENATE(C465,D465),qdd!$C$2:$G$1000,5,FALSE),""),0)</f>
        <v/>
      </c>
      <c r="N465" s="2" t="str">
        <f>IFERROR(IF('PREENCHER AQUI'!I465="","",'PREENCHER AQUI'!I465),"")</f>
        <v/>
      </c>
      <c r="O465" s="2" t="str">
        <f>IFERROR(IF('PREENCHER AQUI'!J465="","",'PREENCHER AQUI'!J465),"")</f>
        <v/>
      </c>
      <c r="P465" s="7" t="str">
        <f t="shared" si="17"/>
        <v/>
      </c>
      <c r="Q465" s="8" t="str">
        <f>IFERROR(IF(Tabela4[[#This Row],[VALOR]]="","",IF(Tabela1[[#This Row],[ORIENTACAO]]="Anular",'PREENCHER AQUI'!K465*-1*100,'PREENCHER AQUI'!K465*100)),"")</f>
        <v/>
      </c>
      <c r="T465" s="7" t="str">
        <f>IFERROR(IF('PREENCHER AQUI'!L465="","999",LEFT('PREENCHER AQUI'!L465,1)),"")</f>
        <v>999</v>
      </c>
      <c r="V465" s="19"/>
      <c r="W465" s="20" t="str">
        <f>IFERROR(VLOOKUP(Tabela1[[#This Row],[UO_COD]],qdd!$AT$1:$AU$102,2,FALSE),"")</f>
        <v/>
      </c>
      <c r="X465" s="20" t="str">
        <f>CONCATENATE("F",Tabela1[[#This Row],[FONTE_COD]],Tabela1[[#This Row],[IPU_COD]],"G",Tabela1[[#This Row],[GRUPO_COD]],"T",Tabela1[[#This Row],[TIPO]])</f>
        <v>FGT999</v>
      </c>
      <c r="Y4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5" s="19"/>
      <c r="AA465" s="29" t="str">
        <f>IFERROR(VLOOKUP(CONCATENATE("B",Tabela1[[#This Row],[BLOCO]],Tabela1[[#This Row],[UO_COD]]),qdd!$AW$2:$AX$1000,2,FALSE),"")</f>
        <v/>
      </c>
      <c r="AB465" s="30" t="str">
        <f>IFERROR(Tabela1[[#This Row],[VALOR]]/100,"")</f>
        <v/>
      </c>
      <c r="AC465" s="7" t="str" cm="1">
        <f t="array" aca="1" ref="AC465" ca="1">IF(Tabela1[[#This Row],[VALOR]]&lt;0,"",IFERROR(SUBSTITUTE(Converter_numero(Tabela1[[#This Row],[VALOR INCISO]]),",",""),""))</f>
        <v/>
      </c>
      <c r="AD465" s="29" t="str">
        <f>IF(Tabela1[[#This Row],[TIPO]]=REGRAS!$W$2,REGRAS!$X$2,IF(Tabela1[[#This Row],[TIPO]]=REGRAS!$W$4,REGRAS!$X$4,""))</f>
        <v/>
      </c>
      <c r="AE465" s="29" t="e">
        <f>VLOOKUP(Tabela1[[#This Row],[FONTE_COD]],REGRAS!$O$2:$P$69,2,FALSE)</f>
        <v>#N/A</v>
      </c>
      <c r="AF4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6" spans="1:32" ht="18.75" customHeight="1">
      <c r="A466" s="2" t="str">
        <f>IFERROR(IF('PREENCHER AQUI'!A466="","",'PREENCHER AQUI'!A466),"")</f>
        <v/>
      </c>
      <c r="B466" s="1" t="str">
        <f>IFERROR(IF('PREENCHER AQUI'!B466="","",PROPER('PREENCHER AQUI'!B466)),"")</f>
        <v/>
      </c>
      <c r="C466" s="1" t="str">
        <f>IFERROR(IF('PREENCHER AQUI'!C466="","",'PREENCHER AQUI'!C466),"")</f>
        <v/>
      </c>
      <c r="D466" s="2" t="str">
        <f>IFERROR(IF('PREENCHER AQUI'!D466="","",'PREENCHER AQUI'!D466),"")</f>
        <v/>
      </c>
      <c r="E466" s="2" t="str">
        <f>IFERROR(VLOOKUP(CONCATENATE(C466,D466),qdd!$C$2:$F$1000,2,FALSE),"")</f>
        <v/>
      </c>
      <c r="F466" s="2" t="str">
        <f>IFERROR(VLOOKUP(CONCATENATE(C466,D466),qdd!$C$2:$F$1000,3,FALSE),"")</f>
        <v/>
      </c>
      <c r="G466" s="2" t="str">
        <f>IFERROR(VLOOKUP(CONCATENATE(C466,D466),qdd!$C$2:$F$1000,4,FALSE),"")</f>
        <v/>
      </c>
      <c r="H466" s="6" t="str">
        <f t="shared" si="16"/>
        <v/>
      </c>
      <c r="I4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6" s="2" t="str">
        <f>IFERROR(IF('PREENCHER AQUI'!E466="","",'PREENCHER AQUI'!E466),"")</f>
        <v/>
      </c>
      <c r="K466" s="2" t="str">
        <f>IFERROR(IF('PREENCHER AQUI'!F466="","",'PREENCHER AQUI'!F466),"")</f>
        <v/>
      </c>
      <c r="L466" s="2" t="str">
        <f>IF(Tabela1[[#This Row],[IPU_COD]]=9,"91",IF(Tabela1[[#This Row],[ACAO_COD]]="","",VLOOKUP(CONCATENATE("G",J466,"M",K466),qdd!$BC$2:$BD$46,2,FALSE)))</f>
        <v/>
      </c>
      <c r="M466" s="2" t="str">
        <f>TEXT(IFERROR(VLOOKUP(CONCATENATE(C466,D466),qdd!$C$2:$G$1000,5,FALSE),""),0)</f>
        <v/>
      </c>
      <c r="N466" s="2" t="str">
        <f>IFERROR(IF('PREENCHER AQUI'!I466="","",'PREENCHER AQUI'!I466),"")</f>
        <v/>
      </c>
      <c r="O466" s="2" t="str">
        <f>IFERROR(IF('PREENCHER AQUI'!J466="","",'PREENCHER AQUI'!J466),"")</f>
        <v/>
      </c>
      <c r="P466" s="7" t="str">
        <f t="shared" si="17"/>
        <v/>
      </c>
      <c r="Q466" s="8" t="str">
        <f>IFERROR(IF(Tabela4[[#This Row],[VALOR]]="","",IF(Tabela1[[#This Row],[ORIENTACAO]]="Anular",'PREENCHER AQUI'!K466*-1*100,'PREENCHER AQUI'!K466*100)),"")</f>
        <v/>
      </c>
      <c r="T466" s="7" t="str">
        <f>IFERROR(IF('PREENCHER AQUI'!L466="","999",LEFT('PREENCHER AQUI'!L466,1)),"")</f>
        <v>999</v>
      </c>
      <c r="V466" s="19"/>
      <c r="W466" s="1" t="str">
        <f>IFERROR(VLOOKUP(Tabela1[[#This Row],[UO_COD]],qdd!$AT$1:$AU$102,2,FALSE),"")</f>
        <v/>
      </c>
      <c r="X466" s="1" t="str">
        <f>CONCATENATE("F",Tabela1[[#This Row],[FONTE_COD]],Tabela1[[#This Row],[IPU_COD]],"G",Tabela1[[#This Row],[GRUPO_COD]],"T",Tabela1[[#This Row],[TIPO]])</f>
        <v>FGT999</v>
      </c>
      <c r="Y4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6" s="19"/>
      <c r="AA466" s="29" t="str">
        <f>IFERROR(VLOOKUP(CONCATENATE("B",Tabela1[[#This Row],[BLOCO]],Tabela1[[#This Row],[UO_COD]]),qdd!$AW$2:$AX$1000,2,FALSE),"")</f>
        <v/>
      </c>
      <c r="AB466" s="30" t="str">
        <f>IFERROR(Tabela1[[#This Row],[VALOR]]/100,"")</f>
        <v/>
      </c>
      <c r="AC466" s="7" t="str" cm="1">
        <f t="array" aca="1" ref="AC466" ca="1">IF(Tabela1[[#This Row],[VALOR]]&lt;0,"",IFERROR(SUBSTITUTE(Converter_numero(Tabela1[[#This Row],[VALOR INCISO]]),",",""),""))</f>
        <v/>
      </c>
      <c r="AD466" s="29" t="str">
        <f>IF(Tabela1[[#This Row],[TIPO]]=REGRAS!$W$2,REGRAS!$X$2,IF(Tabela1[[#This Row],[TIPO]]=REGRAS!$W$4,REGRAS!$X$4,""))</f>
        <v/>
      </c>
      <c r="AE466" s="29" t="e">
        <f>VLOOKUP(Tabela1[[#This Row],[FONTE_COD]],REGRAS!$O$2:$P$69,2,FALSE)</f>
        <v>#N/A</v>
      </c>
      <c r="AF4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7" spans="1:32" ht="18.75" customHeight="1">
      <c r="A467" s="2" t="str">
        <f>IFERROR(IF('PREENCHER AQUI'!A467="","",'PREENCHER AQUI'!A467),"")</f>
        <v/>
      </c>
      <c r="B467" s="1" t="str">
        <f>IFERROR(IF('PREENCHER AQUI'!B467="","",PROPER('PREENCHER AQUI'!B467)),"")</f>
        <v/>
      </c>
      <c r="C467" s="1" t="str">
        <f>IFERROR(IF('PREENCHER AQUI'!C467="","",'PREENCHER AQUI'!C467),"")</f>
        <v/>
      </c>
      <c r="D467" s="2" t="str">
        <f>IFERROR(IF('PREENCHER AQUI'!D467="","",'PREENCHER AQUI'!D467),"")</f>
        <v/>
      </c>
      <c r="E467" s="2" t="str">
        <f>IFERROR(VLOOKUP(CONCATENATE(C467,D467),qdd!$C$2:$F$1000,2,FALSE),"")</f>
        <v/>
      </c>
      <c r="F467" s="2" t="str">
        <f>IFERROR(VLOOKUP(CONCATENATE(C467,D467),qdd!$C$2:$F$1000,3,FALSE),"")</f>
        <v/>
      </c>
      <c r="G467" s="2" t="str">
        <f>IFERROR(VLOOKUP(CONCATENATE(C467,D467),qdd!$C$2:$F$1000,4,FALSE),"")</f>
        <v/>
      </c>
      <c r="H467" s="6" t="str">
        <f t="shared" si="16"/>
        <v/>
      </c>
      <c r="I4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7" s="2" t="str">
        <f>IFERROR(IF('PREENCHER AQUI'!E467="","",'PREENCHER AQUI'!E467),"")</f>
        <v/>
      </c>
      <c r="K467" s="2" t="str">
        <f>IFERROR(IF('PREENCHER AQUI'!F467="","",'PREENCHER AQUI'!F467),"")</f>
        <v/>
      </c>
      <c r="L467" s="2" t="str">
        <f>IF(Tabela1[[#This Row],[IPU_COD]]=9,"91",IF(Tabela1[[#This Row],[ACAO_COD]]="","",VLOOKUP(CONCATENATE("G",J467,"M",K467),qdd!$BC$2:$BD$46,2,FALSE)))</f>
        <v/>
      </c>
      <c r="M467" s="2" t="str">
        <f>TEXT(IFERROR(VLOOKUP(CONCATENATE(C467,D467),qdd!$C$2:$G$1000,5,FALSE),""),0)</f>
        <v/>
      </c>
      <c r="N467" s="2" t="str">
        <f>IFERROR(IF('PREENCHER AQUI'!I467="","",'PREENCHER AQUI'!I467),"")</f>
        <v/>
      </c>
      <c r="O467" s="2" t="str">
        <f>IFERROR(IF('PREENCHER AQUI'!J467="","",'PREENCHER AQUI'!J467),"")</f>
        <v/>
      </c>
      <c r="P467" s="7" t="str">
        <f t="shared" si="17"/>
        <v/>
      </c>
      <c r="Q467" s="8" t="str">
        <f>IFERROR(IF(Tabela4[[#This Row],[VALOR]]="","",IF(Tabela1[[#This Row],[ORIENTACAO]]="Anular",'PREENCHER AQUI'!K467*-1*100,'PREENCHER AQUI'!K467*100)),"")</f>
        <v/>
      </c>
      <c r="T467" s="7" t="str">
        <f>IFERROR(IF('PREENCHER AQUI'!L467="","999",LEFT('PREENCHER AQUI'!L467,1)),"")</f>
        <v>999</v>
      </c>
      <c r="W467" s="1" t="str">
        <f>IFERROR(VLOOKUP(Tabela1[[#This Row],[UO_COD]],qdd!$AT$1:$AU$102,2,FALSE),"")</f>
        <v/>
      </c>
      <c r="X467" s="1" t="str">
        <f>CONCATENATE("F",Tabela1[[#This Row],[FONTE_COD]],Tabela1[[#This Row],[IPU_COD]],"G",Tabela1[[#This Row],[GRUPO_COD]],"T",Tabela1[[#This Row],[TIPO]])</f>
        <v>FGT999</v>
      </c>
      <c r="Y4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7" s="19"/>
      <c r="AA467" s="29" t="str">
        <f>IFERROR(VLOOKUP(CONCATENATE("B",Tabela1[[#This Row],[BLOCO]],Tabela1[[#This Row],[UO_COD]]),qdd!$AW$2:$AX$1000,2,FALSE),"")</f>
        <v/>
      </c>
      <c r="AB467" s="30" t="str">
        <f>IFERROR(Tabela1[[#This Row],[VALOR]]/100,"")</f>
        <v/>
      </c>
      <c r="AC467" s="7" t="str" cm="1">
        <f t="array" aca="1" ref="AC467" ca="1">IF(Tabela1[[#This Row],[VALOR]]&lt;0,"",IFERROR(SUBSTITUTE(Converter_numero(Tabela1[[#This Row],[VALOR INCISO]]),",",""),""))</f>
        <v/>
      </c>
      <c r="AD467" s="7" t="str">
        <f>IF(Tabela1[[#This Row],[TIPO]]=REGRAS!$W$2,REGRAS!$X$2,IF(Tabela1[[#This Row],[TIPO]]=REGRAS!$W$4,REGRAS!$X$4,""))</f>
        <v/>
      </c>
      <c r="AE467" s="29" t="e">
        <f>VLOOKUP(Tabela1[[#This Row],[FONTE_COD]],REGRAS!$O$2:$P$69,2,FALSE)</f>
        <v>#N/A</v>
      </c>
      <c r="AF4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8" spans="1:32" ht="18.75" customHeight="1">
      <c r="A468" s="2" t="str">
        <f>IFERROR(IF('PREENCHER AQUI'!A468="","",'PREENCHER AQUI'!A468),"")</f>
        <v/>
      </c>
      <c r="B468" s="1" t="str">
        <f>IFERROR(IF('PREENCHER AQUI'!B468="","",PROPER('PREENCHER AQUI'!B468)),"")</f>
        <v/>
      </c>
      <c r="C468" s="1" t="str">
        <f>IFERROR(IF('PREENCHER AQUI'!C468="","",'PREENCHER AQUI'!C468),"")</f>
        <v/>
      </c>
      <c r="D468" s="2" t="str">
        <f>IFERROR(IF('PREENCHER AQUI'!D468="","",'PREENCHER AQUI'!D468),"")</f>
        <v/>
      </c>
      <c r="E468" s="2" t="str">
        <f>IFERROR(VLOOKUP(CONCATENATE(C468,D468),qdd!$C$2:$F$1000,2,FALSE),"")</f>
        <v/>
      </c>
      <c r="F468" s="2" t="str">
        <f>IFERROR(VLOOKUP(CONCATENATE(C468,D468),qdd!$C$2:$F$1000,3,FALSE),"")</f>
        <v/>
      </c>
      <c r="G468" s="2" t="str">
        <f>IFERROR(VLOOKUP(CONCATENATE(C468,D468),qdd!$C$2:$F$1000,4,FALSE),"")</f>
        <v/>
      </c>
      <c r="H468" s="6" t="str">
        <f t="shared" si="16"/>
        <v/>
      </c>
      <c r="I4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8" s="2" t="str">
        <f>IFERROR(IF('PREENCHER AQUI'!E468="","",'PREENCHER AQUI'!E468),"")</f>
        <v/>
      </c>
      <c r="K468" s="2" t="str">
        <f>IFERROR(IF('PREENCHER AQUI'!F468="","",'PREENCHER AQUI'!F468),"")</f>
        <v/>
      </c>
      <c r="L468" s="2" t="str">
        <f>IF(Tabela1[[#This Row],[IPU_COD]]=9,"91",IF(Tabela1[[#This Row],[ACAO_COD]]="","",VLOOKUP(CONCATENATE("G",J468,"M",K468),qdd!$BC$2:$BD$46,2,FALSE)))</f>
        <v/>
      </c>
      <c r="M468" s="2" t="str">
        <f>TEXT(IFERROR(VLOOKUP(CONCATENATE(C468,D468),qdd!$C$2:$G$1000,5,FALSE),""),0)</f>
        <v/>
      </c>
      <c r="N468" s="2" t="str">
        <f>IFERROR(IF('PREENCHER AQUI'!I468="","",'PREENCHER AQUI'!I468),"")</f>
        <v/>
      </c>
      <c r="O468" s="2" t="str">
        <f>IFERROR(IF('PREENCHER AQUI'!J468="","",'PREENCHER AQUI'!J468),"")</f>
        <v/>
      </c>
      <c r="P468" s="7" t="str">
        <f t="shared" si="17"/>
        <v/>
      </c>
      <c r="Q468" s="8" t="str">
        <f>IFERROR(IF(Tabela4[[#This Row],[VALOR]]="","",IF(Tabela1[[#This Row],[ORIENTACAO]]="Anular",'PREENCHER AQUI'!K468*-1*100,'PREENCHER AQUI'!K468*100)),"")</f>
        <v/>
      </c>
      <c r="T468" s="7" t="str">
        <f>IFERROR(IF('PREENCHER AQUI'!L468="","999",LEFT('PREENCHER AQUI'!L468,1)),"")</f>
        <v>999</v>
      </c>
      <c r="V468" s="19"/>
      <c r="W468" s="1" t="str">
        <f>IFERROR(VLOOKUP(Tabela1[[#This Row],[UO_COD]],qdd!$AT$1:$AU$102,2,FALSE),"")</f>
        <v/>
      </c>
      <c r="X468" s="1" t="str">
        <f>CONCATENATE("F",Tabela1[[#This Row],[FONTE_COD]],Tabela1[[#This Row],[IPU_COD]],"G",Tabela1[[#This Row],[GRUPO_COD]],"T",Tabela1[[#This Row],[TIPO]])</f>
        <v>FGT999</v>
      </c>
      <c r="Y4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8" s="19"/>
      <c r="AA468" s="29" t="str">
        <f>IFERROR(VLOOKUP(CONCATENATE("B",Tabela1[[#This Row],[BLOCO]],Tabela1[[#This Row],[UO_COD]]),qdd!$AW$2:$AX$1000,2,FALSE),"")</f>
        <v/>
      </c>
      <c r="AB468" s="30" t="str">
        <f>IFERROR(Tabela1[[#This Row],[VALOR]]/100,"")</f>
        <v/>
      </c>
      <c r="AC468" s="7" t="str" cm="1">
        <f t="array" aca="1" ref="AC468" ca="1">IF(Tabela1[[#This Row],[VALOR]]&lt;0,"",IFERROR(SUBSTITUTE(Converter_numero(Tabela1[[#This Row],[VALOR INCISO]]),",",""),""))</f>
        <v/>
      </c>
      <c r="AD468" s="29" t="str">
        <f>IF(Tabela1[[#This Row],[TIPO]]=REGRAS!$W$2,REGRAS!$X$2,IF(Tabela1[[#This Row],[TIPO]]=REGRAS!$W$4,REGRAS!$X$4,""))</f>
        <v/>
      </c>
      <c r="AE468" s="29" t="e">
        <f>VLOOKUP(Tabela1[[#This Row],[FONTE_COD]],REGRAS!$O$2:$P$69,2,FALSE)</f>
        <v>#N/A</v>
      </c>
      <c r="AF4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9" spans="1:32" ht="18.75" customHeight="1">
      <c r="A469" s="2" t="str">
        <f>IFERROR(IF('PREENCHER AQUI'!A469="","",'PREENCHER AQUI'!A469),"")</f>
        <v/>
      </c>
      <c r="B469" s="1" t="str">
        <f>IFERROR(IF('PREENCHER AQUI'!B469="","",PROPER('PREENCHER AQUI'!B469)),"")</f>
        <v/>
      </c>
      <c r="C469" s="1" t="str">
        <f>IFERROR(IF('PREENCHER AQUI'!C469="","",'PREENCHER AQUI'!C469),"")</f>
        <v/>
      </c>
      <c r="D469" s="2" t="str">
        <f>IFERROR(IF('PREENCHER AQUI'!D469="","",'PREENCHER AQUI'!D469),"")</f>
        <v/>
      </c>
      <c r="E469" s="2" t="str">
        <f>IFERROR(VLOOKUP(CONCATENATE(C469,D469),qdd!$C$2:$F$1000,2,FALSE),"")</f>
        <v/>
      </c>
      <c r="F469" s="2" t="str">
        <f>IFERROR(VLOOKUP(CONCATENATE(C469,D469),qdd!$C$2:$F$1000,3,FALSE),"")</f>
        <v/>
      </c>
      <c r="G469" s="2" t="str">
        <f>IFERROR(VLOOKUP(CONCATENATE(C469,D469),qdd!$C$2:$F$1000,4,FALSE),"")</f>
        <v/>
      </c>
      <c r="H469" s="6" t="str">
        <f t="shared" si="16"/>
        <v/>
      </c>
      <c r="I4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9" s="2" t="str">
        <f>IFERROR(IF('PREENCHER AQUI'!E469="","",'PREENCHER AQUI'!E469),"")</f>
        <v/>
      </c>
      <c r="K469" s="2" t="str">
        <f>IFERROR(IF('PREENCHER AQUI'!F469="","",'PREENCHER AQUI'!F469),"")</f>
        <v/>
      </c>
      <c r="L469" s="2" t="str">
        <f>IF(Tabela1[[#This Row],[IPU_COD]]=9,"91",IF(Tabela1[[#This Row],[ACAO_COD]]="","",VLOOKUP(CONCATENATE("G",J469,"M",K469),qdd!$BC$2:$BD$46,2,FALSE)))</f>
        <v/>
      </c>
      <c r="M469" s="2" t="str">
        <f>TEXT(IFERROR(VLOOKUP(CONCATENATE(C469,D469),qdd!$C$2:$G$1000,5,FALSE),""),0)</f>
        <v/>
      </c>
      <c r="N469" s="2" t="str">
        <f>IFERROR(IF('PREENCHER AQUI'!I469="","",'PREENCHER AQUI'!I469),"")</f>
        <v/>
      </c>
      <c r="O469" s="2" t="str">
        <f>IFERROR(IF('PREENCHER AQUI'!J469="","",'PREENCHER AQUI'!J469),"")</f>
        <v/>
      </c>
      <c r="P469" s="7" t="str">
        <f t="shared" si="17"/>
        <v/>
      </c>
      <c r="Q469" s="8" t="str">
        <f>IFERROR(IF(Tabela4[[#This Row],[VALOR]]="","",IF(Tabela1[[#This Row],[ORIENTACAO]]="Anular",'PREENCHER AQUI'!K469*-1*100,'PREENCHER AQUI'!K469*100)),"")</f>
        <v/>
      </c>
      <c r="T469" s="7" t="str">
        <f>IFERROR(IF('PREENCHER AQUI'!L469="","999",LEFT('PREENCHER AQUI'!L469,1)),"")</f>
        <v>999</v>
      </c>
      <c r="V469" s="19"/>
      <c r="W469" s="1" t="str">
        <f>IFERROR(VLOOKUP(Tabela1[[#This Row],[UO_COD]],qdd!$AT$1:$AU$102,2,FALSE),"")</f>
        <v/>
      </c>
      <c r="X469" s="1" t="str">
        <f>CONCATENATE("F",Tabela1[[#This Row],[FONTE_COD]],Tabela1[[#This Row],[IPU_COD]],"G",Tabela1[[#This Row],[GRUPO_COD]],"T",Tabela1[[#This Row],[TIPO]])</f>
        <v>FGT999</v>
      </c>
      <c r="Y4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9" s="19"/>
      <c r="AA469" s="29" t="str">
        <f>IFERROR(VLOOKUP(CONCATENATE("B",Tabela1[[#This Row],[BLOCO]],Tabela1[[#This Row],[UO_COD]]),qdd!$AW$2:$AX$1000,2,FALSE),"")</f>
        <v/>
      </c>
      <c r="AB469" s="30" t="str">
        <f>IFERROR(Tabela1[[#This Row],[VALOR]]/100,"")</f>
        <v/>
      </c>
      <c r="AC469" s="7" t="str" cm="1">
        <f t="array" aca="1" ref="AC469" ca="1">IF(Tabela1[[#This Row],[VALOR]]&lt;0,"",IFERROR(SUBSTITUTE(Converter_numero(Tabela1[[#This Row],[VALOR INCISO]]),",",""),""))</f>
        <v/>
      </c>
      <c r="AD469" s="29" t="str">
        <f>IF(Tabela1[[#This Row],[TIPO]]=REGRAS!$W$2,REGRAS!$X$2,IF(Tabela1[[#This Row],[TIPO]]=REGRAS!$W$4,REGRAS!$X$4,""))</f>
        <v/>
      </c>
      <c r="AE469" s="29" t="e">
        <f>VLOOKUP(Tabela1[[#This Row],[FONTE_COD]],REGRAS!$O$2:$P$69,2,FALSE)</f>
        <v>#N/A</v>
      </c>
      <c r="AF4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0" spans="1:32" ht="18.75" customHeight="1">
      <c r="A470" s="2" t="str">
        <f>IFERROR(IF('PREENCHER AQUI'!A470="","",'PREENCHER AQUI'!A470),"")</f>
        <v/>
      </c>
      <c r="B470" s="1" t="str">
        <f>IFERROR(IF('PREENCHER AQUI'!B470="","",PROPER('PREENCHER AQUI'!B470)),"")</f>
        <v/>
      </c>
      <c r="C470" s="1" t="str">
        <f>IFERROR(IF('PREENCHER AQUI'!C470="","",'PREENCHER AQUI'!C470),"")</f>
        <v/>
      </c>
      <c r="D470" s="2" t="str">
        <f>IFERROR(IF('PREENCHER AQUI'!D470="","",'PREENCHER AQUI'!D470),"")</f>
        <v/>
      </c>
      <c r="E470" s="2" t="str">
        <f>IFERROR(VLOOKUP(CONCATENATE(C470,D470),qdd!$C$2:$F$1000,2,FALSE),"")</f>
        <v/>
      </c>
      <c r="F470" s="2" t="str">
        <f>IFERROR(VLOOKUP(CONCATENATE(C470,D470),qdd!$C$2:$F$1000,3,FALSE),"")</f>
        <v/>
      </c>
      <c r="G470" s="2" t="str">
        <f>IFERROR(VLOOKUP(CONCATENATE(C470,D470),qdd!$C$2:$F$1000,4,FALSE),"")</f>
        <v/>
      </c>
      <c r="H470" s="6" t="str">
        <f t="shared" si="16"/>
        <v/>
      </c>
      <c r="I4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0" s="2" t="str">
        <f>IFERROR(IF('PREENCHER AQUI'!E470="","",'PREENCHER AQUI'!E470),"")</f>
        <v/>
      </c>
      <c r="K470" s="2" t="str">
        <f>IFERROR(IF('PREENCHER AQUI'!F470="","",'PREENCHER AQUI'!F470),"")</f>
        <v/>
      </c>
      <c r="L470" s="2" t="str">
        <f>IF(Tabela1[[#This Row],[IPU_COD]]=9,"91",IF(Tabela1[[#This Row],[ACAO_COD]]="","",VLOOKUP(CONCATENATE("G",J470,"M",K470),qdd!$BC$2:$BD$46,2,FALSE)))</f>
        <v/>
      </c>
      <c r="M470" s="2" t="str">
        <f>TEXT(IFERROR(VLOOKUP(CONCATENATE(C470,D470),qdd!$C$2:$G$1000,5,FALSE),""),0)</f>
        <v/>
      </c>
      <c r="N470" s="2" t="str">
        <f>IFERROR(IF('PREENCHER AQUI'!I470="","",'PREENCHER AQUI'!I470),"")</f>
        <v/>
      </c>
      <c r="O470" s="2" t="str">
        <f>IFERROR(IF('PREENCHER AQUI'!J470="","",'PREENCHER AQUI'!J470),"")</f>
        <v/>
      </c>
      <c r="P470" s="7" t="str">
        <f t="shared" si="17"/>
        <v/>
      </c>
      <c r="Q470" s="8" t="str">
        <f>IFERROR(IF(Tabela4[[#This Row],[VALOR]]="","",IF(Tabela1[[#This Row],[ORIENTACAO]]="Anular",'PREENCHER AQUI'!K470*-1*100,'PREENCHER AQUI'!K470*100)),"")</f>
        <v/>
      </c>
      <c r="T470" s="7" t="str">
        <f>IFERROR(IF('PREENCHER AQUI'!L470="","999",LEFT('PREENCHER AQUI'!L470,1)),"")</f>
        <v>999</v>
      </c>
      <c r="V470" s="19"/>
      <c r="W470" s="20" t="str">
        <f>IFERROR(VLOOKUP(Tabela1[[#This Row],[UO_COD]],qdd!$AT$1:$AU$102,2,FALSE),"")</f>
        <v/>
      </c>
      <c r="X470" s="20" t="str">
        <f>CONCATENATE("F",Tabela1[[#This Row],[FONTE_COD]],Tabela1[[#This Row],[IPU_COD]],"G",Tabela1[[#This Row],[GRUPO_COD]],"T",Tabela1[[#This Row],[TIPO]])</f>
        <v>FGT999</v>
      </c>
      <c r="Y4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0" s="19"/>
      <c r="AA470" s="29" t="str">
        <f>IFERROR(VLOOKUP(CONCATENATE("B",Tabela1[[#This Row],[BLOCO]],Tabela1[[#This Row],[UO_COD]]),qdd!$AW$2:$AX$1000,2,FALSE),"")</f>
        <v/>
      </c>
      <c r="AB470" s="30" t="str">
        <f>IFERROR(Tabela1[[#This Row],[VALOR]]/100,"")</f>
        <v/>
      </c>
      <c r="AC470" s="7" t="str" cm="1">
        <f t="array" aca="1" ref="AC470" ca="1">IF(Tabela1[[#This Row],[VALOR]]&lt;0,"",IFERROR(SUBSTITUTE(Converter_numero(Tabela1[[#This Row],[VALOR INCISO]]),",",""),""))</f>
        <v/>
      </c>
      <c r="AD470" s="29" t="str">
        <f>IF(Tabela1[[#This Row],[TIPO]]=REGRAS!$W$2,REGRAS!$X$2,IF(Tabela1[[#This Row],[TIPO]]=REGRAS!$W$4,REGRAS!$X$4,""))</f>
        <v/>
      </c>
      <c r="AE470" s="29" t="e">
        <f>VLOOKUP(Tabela1[[#This Row],[FONTE_COD]],REGRAS!$O$2:$P$69,2,FALSE)</f>
        <v>#N/A</v>
      </c>
      <c r="AF4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1" spans="1:32" ht="18.75" customHeight="1">
      <c r="A471" s="2" t="str">
        <f>IFERROR(IF('PREENCHER AQUI'!A471="","",'PREENCHER AQUI'!A471),"")</f>
        <v/>
      </c>
      <c r="B471" s="1" t="str">
        <f>IFERROR(IF('PREENCHER AQUI'!B471="","",PROPER('PREENCHER AQUI'!B471)),"")</f>
        <v/>
      </c>
      <c r="C471" s="1" t="str">
        <f>IFERROR(IF('PREENCHER AQUI'!C471="","",'PREENCHER AQUI'!C471),"")</f>
        <v/>
      </c>
      <c r="D471" s="2" t="str">
        <f>IFERROR(IF('PREENCHER AQUI'!D471="","",'PREENCHER AQUI'!D471),"")</f>
        <v/>
      </c>
      <c r="E471" s="2" t="str">
        <f>IFERROR(VLOOKUP(CONCATENATE(C471,D471),qdd!$C$2:$F$1000,2,FALSE),"")</f>
        <v/>
      </c>
      <c r="F471" s="2" t="str">
        <f>IFERROR(VLOOKUP(CONCATENATE(C471,D471),qdd!$C$2:$F$1000,3,FALSE),"")</f>
        <v/>
      </c>
      <c r="G471" s="2" t="str">
        <f>IFERROR(VLOOKUP(CONCATENATE(C471,D471),qdd!$C$2:$F$1000,4,FALSE),"")</f>
        <v/>
      </c>
      <c r="H471" s="6" t="str">
        <f t="shared" si="16"/>
        <v/>
      </c>
      <c r="I4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1" s="2" t="str">
        <f>IFERROR(IF('PREENCHER AQUI'!E471="","",'PREENCHER AQUI'!E471),"")</f>
        <v/>
      </c>
      <c r="K471" s="2" t="str">
        <f>IFERROR(IF('PREENCHER AQUI'!F471="","",'PREENCHER AQUI'!F471),"")</f>
        <v/>
      </c>
      <c r="L471" s="2" t="str">
        <f>IF(Tabela1[[#This Row],[IPU_COD]]=9,"91",IF(Tabela1[[#This Row],[ACAO_COD]]="","",VLOOKUP(CONCATENATE("G",J471,"M",K471),qdd!$BC$2:$BD$46,2,FALSE)))</f>
        <v/>
      </c>
      <c r="M471" s="2" t="str">
        <f>TEXT(IFERROR(VLOOKUP(CONCATENATE(C471,D471),qdd!$C$2:$G$1000,5,FALSE),""),0)</f>
        <v/>
      </c>
      <c r="N471" s="2" t="str">
        <f>IFERROR(IF('PREENCHER AQUI'!I471="","",'PREENCHER AQUI'!I471),"")</f>
        <v/>
      </c>
      <c r="O471" s="2" t="str">
        <f>IFERROR(IF('PREENCHER AQUI'!J471="","",'PREENCHER AQUI'!J471),"")</f>
        <v/>
      </c>
      <c r="P471" s="7" t="str">
        <f t="shared" si="17"/>
        <v/>
      </c>
      <c r="Q471" s="8" t="str">
        <f>IFERROR(IF(Tabela4[[#This Row],[VALOR]]="","",IF(Tabela1[[#This Row],[ORIENTACAO]]="Anular",'PREENCHER AQUI'!K471*-1*100,'PREENCHER AQUI'!K471*100)),"")</f>
        <v/>
      </c>
      <c r="T471" s="7" t="str">
        <f>IFERROR(IF('PREENCHER AQUI'!L471="","999",LEFT('PREENCHER AQUI'!L471,1)),"")</f>
        <v>999</v>
      </c>
      <c r="V471" s="19"/>
      <c r="W471" s="1" t="str">
        <f>IFERROR(VLOOKUP(Tabela1[[#This Row],[UO_COD]],qdd!$AT$1:$AU$102,2,FALSE),"")</f>
        <v/>
      </c>
      <c r="X471" s="1" t="str">
        <f>CONCATENATE("F",Tabela1[[#This Row],[FONTE_COD]],Tabela1[[#This Row],[IPU_COD]],"G",Tabela1[[#This Row],[GRUPO_COD]],"T",Tabela1[[#This Row],[TIPO]])</f>
        <v>FGT999</v>
      </c>
      <c r="Y4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1" s="19"/>
      <c r="AA471" s="29" t="str">
        <f>IFERROR(VLOOKUP(CONCATENATE("B",Tabela1[[#This Row],[BLOCO]],Tabela1[[#This Row],[UO_COD]]),qdd!$AW$2:$AX$1000,2,FALSE),"")</f>
        <v/>
      </c>
      <c r="AB471" s="30" t="str">
        <f>IFERROR(Tabela1[[#This Row],[VALOR]]/100,"")</f>
        <v/>
      </c>
      <c r="AC471" s="7" t="str" cm="1">
        <f t="array" aca="1" ref="AC471" ca="1">IF(Tabela1[[#This Row],[VALOR]]&lt;0,"",IFERROR(SUBSTITUTE(Converter_numero(Tabela1[[#This Row],[VALOR INCISO]]),",",""),""))</f>
        <v/>
      </c>
      <c r="AD471" s="29" t="str">
        <f>IF(Tabela1[[#This Row],[TIPO]]=REGRAS!$W$2,REGRAS!$X$2,IF(Tabela1[[#This Row],[TIPO]]=REGRAS!$W$4,REGRAS!$X$4,""))</f>
        <v/>
      </c>
      <c r="AE471" s="29" t="e">
        <f>VLOOKUP(Tabela1[[#This Row],[FONTE_COD]],REGRAS!$O$2:$P$69,2,FALSE)</f>
        <v>#N/A</v>
      </c>
      <c r="AF4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2" spans="1:32" ht="18.75" customHeight="1">
      <c r="A472" s="2" t="str">
        <f>IFERROR(IF('PREENCHER AQUI'!A472="","",'PREENCHER AQUI'!A472),"")</f>
        <v/>
      </c>
      <c r="B472" s="1" t="str">
        <f>IFERROR(IF('PREENCHER AQUI'!B472="","",PROPER('PREENCHER AQUI'!B472)),"")</f>
        <v/>
      </c>
      <c r="C472" s="1" t="str">
        <f>IFERROR(IF('PREENCHER AQUI'!C472="","",'PREENCHER AQUI'!C472),"")</f>
        <v/>
      </c>
      <c r="D472" s="2" t="str">
        <f>IFERROR(IF('PREENCHER AQUI'!D472="","",'PREENCHER AQUI'!D472),"")</f>
        <v/>
      </c>
      <c r="E472" s="2" t="str">
        <f>IFERROR(VLOOKUP(CONCATENATE(C472,D472),qdd!$C$2:$F$1000,2,FALSE),"")</f>
        <v/>
      </c>
      <c r="F472" s="2" t="str">
        <f>IFERROR(VLOOKUP(CONCATENATE(C472,D472),qdd!$C$2:$F$1000,3,FALSE),"")</f>
        <v/>
      </c>
      <c r="G472" s="2" t="str">
        <f>IFERROR(VLOOKUP(CONCATENATE(C472,D472),qdd!$C$2:$F$1000,4,FALSE),"")</f>
        <v/>
      </c>
      <c r="H472" s="6" t="str">
        <f t="shared" si="16"/>
        <v/>
      </c>
      <c r="I4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2" s="2" t="str">
        <f>IFERROR(IF('PREENCHER AQUI'!E472="","",'PREENCHER AQUI'!E472),"")</f>
        <v/>
      </c>
      <c r="K472" s="2" t="str">
        <f>IFERROR(IF('PREENCHER AQUI'!F472="","",'PREENCHER AQUI'!F472),"")</f>
        <v/>
      </c>
      <c r="L472" s="2" t="str">
        <f>IF(Tabela1[[#This Row],[IPU_COD]]=9,"91",IF(Tabela1[[#This Row],[ACAO_COD]]="","",VLOOKUP(CONCATENATE("G",J472,"M",K472),qdd!$BC$2:$BD$46,2,FALSE)))</f>
        <v/>
      </c>
      <c r="M472" s="2" t="str">
        <f>TEXT(IFERROR(VLOOKUP(CONCATENATE(C472,D472),qdd!$C$2:$G$1000,5,FALSE),""),0)</f>
        <v/>
      </c>
      <c r="N472" s="2" t="str">
        <f>IFERROR(IF('PREENCHER AQUI'!I472="","",'PREENCHER AQUI'!I472),"")</f>
        <v/>
      </c>
      <c r="O472" s="2" t="str">
        <f>IFERROR(IF('PREENCHER AQUI'!J472="","",'PREENCHER AQUI'!J472),"")</f>
        <v/>
      </c>
      <c r="P472" s="7" t="str">
        <f t="shared" si="17"/>
        <v/>
      </c>
      <c r="Q472" s="8" t="str">
        <f>IFERROR(IF(Tabela4[[#This Row],[VALOR]]="","",IF(Tabela1[[#This Row],[ORIENTACAO]]="Anular",'PREENCHER AQUI'!K472*-1*100,'PREENCHER AQUI'!K472*100)),"")</f>
        <v/>
      </c>
      <c r="T472" s="7" t="str">
        <f>IFERROR(IF('PREENCHER AQUI'!L472="","999",LEFT('PREENCHER AQUI'!L472,1)),"")</f>
        <v>999</v>
      </c>
      <c r="W472" s="1" t="str">
        <f>IFERROR(VLOOKUP(Tabela1[[#This Row],[UO_COD]],qdd!$AT$1:$AU$102,2,FALSE),"")</f>
        <v/>
      </c>
      <c r="X472" s="1" t="str">
        <f>CONCATENATE("F",Tabela1[[#This Row],[FONTE_COD]],Tabela1[[#This Row],[IPU_COD]],"G",Tabela1[[#This Row],[GRUPO_COD]],"T",Tabela1[[#This Row],[TIPO]])</f>
        <v>FGT999</v>
      </c>
      <c r="Y4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2" s="19"/>
      <c r="AA472" s="29" t="str">
        <f>IFERROR(VLOOKUP(CONCATENATE("B",Tabela1[[#This Row],[BLOCO]],Tabela1[[#This Row],[UO_COD]]),qdd!$AW$2:$AX$1000,2,FALSE),"")</f>
        <v/>
      </c>
      <c r="AB472" s="30" t="str">
        <f>IFERROR(Tabela1[[#This Row],[VALOR]]/100,"")</f>
        <v/>
      </c>
      <c r="AC472" s="7" t="str" cm="1">
        <f t="array" aca="1" ref="AC472" ca="1">IF(Tabela1[[#This Row],[VALOR]]&lt;0,"",IFERROR(SUBSTITUTE(Converter_numero(Tabela1[[#This Row],[VALOR INCISO]]),",",""),""))</f>
        <v/>
      </c>
      <c r="AD472" s="7" t="str">
        <f>IF(Tabela1[[#This Row],[TIPO]]=REGRAS!$W$2,REGRAS!$X$2,IF(Tabela1[[#This Row],[TIPO]]=REGRAS!$W$4,REGRAS!$X$4,""))</f>
        <v/>
      </c>
      <c r="AE472" s="29" t="e">
        <f>VLOOKUP(Tabela1[[#This Row],[FONTE_COD]],REGRAS!$O$2:$P$69,2,FALSE)</f>
        <v>#N/A</v>
      </c>
      <c r="AF4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3" spans="1:32" ht="18.75" customHeight="1">
      <c r="A473" s="2" t="str">
        <f>IFERROR(IF('PREENCHER AQUI'!A473="","",'PREENCHER AQUI'!A473),"")</f>
        <v/>
      </c>
      <c r="B473" s="1" t="str">
        <f>IFERROR(IF('PREENCHER AQUI'!B473="","",PROPER('PREENCHER AQUI'!B473)),"")</f>
        <v/>
      </c>
      <c r="C473" s="1" t="str">
        <f>IFERROR(IF('PREENCHER AQUI'!C473="","",'PREENCHER AQUI'!C473),"")</f>
        <v/>
      </c>
      <c r="D473" s="2" t="str">
        <f>IFERROR(IF('PREENCHER AQUI'!D473="","",'PREENCHER AQUI'!D473),"")</f>
        <v/>
      </c>
      <c r="E473" s="2" t="str">
        <f>IFERROR(VLOOKUP(CONCATENATE(C473,D473),qdd!$C$2:$F$1000,2,FALSE),"")</f>
        <v/>
      </c>
      <c r="F473" s="2" t="str">
        <f>IFERROR(VLOOKUP(CONCATENATE(C473,D473),qdd!$C$2:$F$1000,3,FALSE),"")</f>
        <v/>
      </c>
      <c r="G473" s="2" t="str">
        <f>IFERROR(VLOOKUP(CONCATENATE(C473,D473),qdd!$C$2:$F$1000,4,FALSE),"")</f>
        <v/>
      </c>
      <c r="H473" s="6" t="str">
        <f t="shared" si="16"/>
        <v/>
      </c>
      <c r="I4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3" s="2" t="str">
        <f>IFERROR(IF('PREENCHER AQUI'!E473="","",'PREENCHER AQUI'!E473),"")</f>
        <v/>
      </c>
      <c r="K473" s="2" t="str">
        <f>IFERROR(IF('PREENCHER AQUI'!F473="","",'PREENCHER AQUI'!F473),"")</f>
        <v/>
      </c>
      <c r="L473" s="2" t="str">
        <f>IF(Tabela1[[#This Row],[IPU_COD]]=9,"91",IF(Tabela1[[#This Row],[ACAO_COD]]="","",VLOOKUP(CONCATENATE("G",J473,"M",K473),qdd!$BC$2:$BD$46,2,FALSE)))</f>
        <v/>
      </c>
      <c r="M473" s="2" t="str">
        <f>TEXT(IFERROR(VLOOKUP(CONCATENATE(C473,D473),qdd!$C$2:$G$1000,5,FALSE),""),0)</f>
        <v/>
      </c>
      <c r="N473" s="2" t="str">
        <f>IFERROR(IF('PREENCHER AQUI'!I473="","",'PREENCHER AQUI'!I473),"")</f>
        <v/>
      </c>
      <c r="O473" s="2" t="str">
        <f>IFERROR(IF('PREENCHER AQUI'!J473="","",'PREENCHER AQUI'!J473),"")</f>
        <v/>
      </c>
      <c r="P473" s="7" t="str">
        <f t="shared" si="17"/>
        <v/>
      </c>
      <c r="Q473" s="8" t="str">
        <f>IFERROR(IF(Tabela4[[#This Row],[VALOR]]="","",IF(Tabela1[[#This Row],[ORIENTACAO]]="Anular",'PREENCHER AQUI'!K473*-1*100,'PREENCHER AQUI'!K473*100)),"")</f>
        <v/>
      </c>
      <c r="T473" s="7" t="str">
        <f>IFERROR(IF('PREENCHER AQUI'!L473="","999",LEFT('PREENCHER AQUI'!L473,1)),"")</f>
        <v>999</v>
      </c>
      <c r="V473" s="19"/>
      <c r="W473" s="1" t="str">
        <f>IFERROR(VLOOKUP(Tabela1[[#This Row],[UO_COD]],qdd!$AT$1:$AU$102,2,FALSE),"")</f>
        <v/>
      </c>
      <c r="X473" s="1" t="str">
        <f>CONCATENATE("F",Tabela1[[#This Row],[FONTE_COD]],Tabela1[[#This Row],[IPU_COD]],"G",Tabela1[[#This Row],[GRUPO_COD]],"T",Tabela1[[#This Row],[TIPO]])</f>
        <v>FGT999</v>
      </c>
      <c r="Y4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3" s="19"/>
      <c r="AA473" s="29" t="str">
        <f>IFERROR(VLOOKUP(CONCATENATE("B",Tabela1[[#This Row],[BLOCO]],Tabela1[[#This Row],[UO_COD]]),qdd!$AW$2:$AX$1000,2,FALSE),"")</f>
        <v/>
      </c>
      <c r="AB473" s="30" t="str">
        <f>IFERROR(Tabela1[[#This Row],[VALOR]]/100,"")</f>
        <v/>
      </c>
      <c r="AC473" s="7" t="str" cm="1">
        <f t="array" aca="1" ref="AC473" ca="1">IF(Tabela1[[#This Row],[VALOR]]&lt;0,"",IFERROR(SUBSTITUTE(Converter_numero(Tabela1[[#This Row],[VALOR INCISO]]),",",""),""))</f>
        <v/>
      </c>
      <c r="AD473" s="29" t="str">
        <f>IF(Tabela1[[#This Row],[TIPO]]=REGRAS!$W$2,REGRAS!$X$2,IF(Tabela1[[#This Row],[TIPO]]=REGRAS!$W$4,REGRAS!$X$4,""))</f>
        <v/>
      </c>
      <c r="AE473" s="29" t="e">
        <f>VLOOKUP(Tabela1[[#This Row],[FONTE_COD]],REGRAS!$O$2:$P$69,2,FALSE)</f>
        <v>#N/A</v>
      </c>
      <c r="AF4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4" spans="1:32" ht="18.75" customHeight="1">
      <c r="A474" s="2" t="str">
        <f>IFERROR(IF('PREENCHER AQUI'!A474="","",'PREENCHER AQUI'!A474),"")</f>
        <v/>
      </c>
      <c r="B474" s="1" t="str">
        <f>IFERROR(IF('PREENCHER AQUI'!B474="","",PROPER('PREENCHER AQUI'!B474)),"")</f>
        <v/>
      </c>
      <c r="C474" s="1" t="str">
        <f>IFERROR(IF('PREENCHER AQUI'!C474="","",'PREENCHER AQUI'!C474),"")</f>
        <v/>
      </c>
      <c r="D474" s="2" t="str">
        <f>IFERROR(IF('PREENCHER AQUI'!D474="","",'PREENCHER AQUI'!D474),"")</f>
        <v/>
      </c>
      <c r="E474" s="2" t="str">
        <f>IFERROR(VLOOKUP(CONCATENATE(C474,D474),qdd!$C$2:$F$1000,2,FALSE),"")</f>
        <v/>
      </c>
      <c r="F474" s="2" t="str">
        <f>IFERROR(VLOOKUP(CONCATENATE(C474,D474),qdd!$C$2:$F$1000,3,FALSE),"")</f>
        <v/>
      </c>
      <c r="G474" s="2" t="str">
        <f>IFERROR(VLOOKUP(CONCATENATE(C474,D474),qdd!$C$2:$F$1000,4,FALSE),"")</f>
        <v/>
      </c>
      <c r="H474" s="6" t="str">
        <f t="shared" si="16"/>
        <v/>
      </c>
      <c r="I4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4" s="2" t="str">
        <f>IFERROR(IF('PREENCHER AQUI'!E474="","",'PREENCHER AQUI'!E474),"")</f>
        <v/>
      </c>
      <c r="K474" s="2" t="str">
        <f>IFERROR(IF('PREENCHER AQUI'!F474="","",'PREENCHER AQUI'!F474),"")</f>
        <v/>
      </c>
      <c r="L474" s="2" t="str">
        <f>IF(Tabela1[[#This Row],[IPU_COD]]=9,"91",IF(Tabela1[[#This Row],[ACAO_COD]]="","",VLOOKUP(CONCATENATE("G",J474,"M",K474),qdd!$BC$2:$BD$46,2,FALSE)))</f>
        <v/>
      </c>
      <c r="M474" s="2" t="str">
        <f>TEXT(IFERROR(VLOOKUP(CONCATENATE(C474,D474),qdd!$C$2:$G$1000,5,FALSE),""),0)</f>
        <v/>
      </c>
      <c r="N474" s="2" t="str">
        <f>IFERROR(IF('PREENCHER AQUI'!I474="","",'PREENCHER AQUI'!I474),"")</f>
        <v/>
      </c>
      <c r="O474" s="2" t="str">
        <f>IFERROR(IF('PREENCHER AQUI'!J474="","",'PREENCHER AQUI'!J474),"")</f>
        <v/>
      </c>
      <c r="P474" s="7" t="str">
        <f t="shared" si="17"/>
        <v/>
      </c>
      <c r="Q474" s="8" t="str">
        <f>IFERROR(IF(Tabela4[[#This Row],[VALOR]]="","",IF(Tabela1[[#This Row],[ORIENTACAO]]="Anular",'PREENCHER AQUI'!K474*-1*100,'PREENCHER AQUI'!K474*100)),"")</f>
        <v/>
      </c>
      <c r="T474" s="7" t="str">
        <f>IFERROR(IF('PREENCHER AQUI'!L474="","999",LEFT('PREENCHER AQUI'!L474,1)),"")</f>
        <v>999</v>
      </c>
      <c r="V474" s="19"/>
      <c r="W474" s="1" t="str">
        <f>IFERROR(VLOOKUP(Tabela1[[#This Row],[UO_COD]],qdd!$AT$1:$AU$102,2,FALSE),"")</f>
        <v/>
      </c>
      <c r="X474" s="1" t="str">
        <f>CONCATENATE("F",Tabela1[[#This Row],[FONTE_COD]],Tabela1[[#This Row],[IPU_COD]],"G",Tabela1[[#This Row],[GRUPO_COD]],"T",Tabela1[[#This Row],[TIPO]])</f>
        <v>FGT999</v>
      </c>
      <c r="Y4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4" s="19"/>
      <c r="AA474" s="29" t="str">
        <f>IFERROR(VLOOKUP(CONCATENATE("B",Tabela1[[#This Row],[BLOCO]],Tabela1[[#This Row],[UO_COD]]),qdd!$AW$2:$AX$1000,2,FALSE),"")</f>
        <v/>
      </c>
      <c r="AB474" s="30" t="str">
        <f>IFERROR(Tabela1[[#This Row],[VALOR]]/100,"")</f>
        <v/>
      </c>
      <c r="AC474" s="7" t="str" cm="1">
        <f t="array" aca="1" ref="AC474" ca="1">IF(Tabela1[[#This Row],[VALOR]]&lt;0,"",IFERROR(SUBSTITUTE(Converter_numero(Tabela1[[#This Row],[VALOR INCISO]]),",",""),""))</f>
        <v/>
      </c>
      <c r="AD474" s="29" t="str">
        <f>IF(Tabela1[[#This Row],[TIPO]]=REGRAS!$W$2,REGRAS!$X$2,IF(Tabela1[[#This Row],[TIPO]]=REGRAS!$W$4,REGRAS!$X$4,""))</f>
        <v/>
      </c>
      <c r="AE474" s="29" t="e">
        <f>VLOOKUP(Tabela1[[#This Row],[FONTE_COD]],REGRAS!$O$2:$P$69,2,FALSE)</f>
        <v>#N/A</v>
      </c>
      <c r="AF4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5" spans="1:32" ht="18.75" customHeight="1">
      <c r="A475" s="2" t="str">
        <f>IFERROR(IF('PREENCHER AQUI'!A475="","",'PREENCHER AQUI'!A475),"")</f>
        <v/>
      </c>
      <c r="B475" s="1" t="str">
        <f>IFERROR(IF('PREENCHER AQUI'!B475="","",PROPER('PREENCHER AQUI'!B475)),"")</f>
        <v/>
      </c>
      <c r="C475" s="1" t="str">
        <f>IFERROR(IF('PREENCHER AQUI'!C475="","",'PREENCHER AQUI'!C475),"")</f>
        <v/>
      </c>
      <c r="D475" s="2" t="str">
        <f>IFERROR(IF('PREENCHER AQUI'!D475="","",'PREENCHER AQUI'!D475),"")</f>
        <v/>
      </c>
      <c r="E475" s="2" t="str">
        <f>IFERROR(VLOOKUP(CONCATENATE(C475,D475),qdd!$C$2:$F$1000,2,FALSE),"")</f>
        <v/>
      </c>
      <c r="F475" s="2" t="str">
        <f>IFERROR(VLOOKUP(CONCATENATE(C475,D475),qdd!$C$2:$F$1000,3,FALSE),"")</f>
        <v/>
      </c>
      <c r="G475" s="2" t="str">
        <f>IFERROR(VLOOKUP(CONCATENATE(C475,D475),qdd!$C$2:$F$1000,4,FALSE),"")</f>
        <v/>
      </c>
      <c r="H475" s="6" t="str">
        <f t="shared" si="16"/>
        <v/>
      </c>
      <c r="I4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5" s="2" t="str">
        <f>IFERROR(IF('PREENCHER AQUI'!E475="","",'PREENCHER AQUI'!E475),"")</f>
        <v/>
      </c>
      <c r="K475" s="2" t="str">
        <f>IFERROR(IF('PREENCHER AQUI'!F475="","",'PREENCHER AQUI'!F475),"")</f>
        <v/>
      </c>
      <c r="L475" s="2" t="str">
        <f>IF(Tabela1[[#This Row],[IPU_COD]]=9,"91",IF(Tabela1[[#This Row],[ACAO_COD]]="","",VLOOKUP(CONCATENATE("G",J475,"M",K475),qdd!$BC$2:$BD$46,2,FALSE)))</f>
        <v/>
      </c>
      <c r="M475" s="2" t="str">
        <f>TEXT(IFERROR(VLOOKUP(CONCATENATE(C475,D475),qdd!$C$2:$G$1000,5,FALSE),""),0)</f>
        <v/>
      </c>
      <c r="N475" s="2" t="str">
        <f>IFERROR(IF('PREENCHER AQUI'!I475="","",'PREENCHER AQUI'!I475),"")</f>
        <v/>
      </c>
      <c r="O475" s="2" t="str">
        <f>IFERROR(IF('PREENCHER AQUI'!J475="","",'PREENCHER AQUI'!J475),"")</f>
        <v/>
      </c>
      <c r="P475" s="7" t="str">
        <f t="shared" si="17"/>
        <v/>
      </c>
      <c r="Q475" s="8" t="str">
        <f>IFERROR(IF(Tabela4[[#This Row],[VALOR]]="","",IF(Tabela1[[#This Row],[ORIENTACAO]]="Anular",'PREENCHER AQUI'!K475*-1*100,'PREENCHER AQUI'!K475*100)),"")</f>
        <v/>
      </c>
      <c r="T475" s="7" t="str">
        <f>IFERROR(IF('PREENCHER AQUI'!L475="","999",LEFT('PREENCHER AQUI'!L475,1)),"")</f>
        <v>999</v>
      </c>
      <c r="V475" s="19"/>
      <c r="W475" s="20" t="str">
        <f>IFERROR(VLOOKUP(Tabela1[[#This Row],[UO_COD]],qdd!$AT$1:$AU$102,2,FALSE),"")</f>
        <v/>
      </c>
      <c r="X475" s="20" t="str">
        <f>CONCATENATE("F",Tabela1[[#This Row],[FONTE_COD]],Tabela1[[#This Row],[IPU_COD]],"G",Tabela1[[#This Row],[GRUPO_COD]],"T",Tabela1[[#This Row],[TIPO]])</f>
        <v>FGT999</v>
      </c>
      <c r="Y4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5" s="19"/>
      <c r="AA475" s="29" t="str">
        <f>IFERROR(VLOOKUP(CONCATENATE("B",Tabela1[[#This Row],[BLOCO]],Tabela1[[#This Row],[UO_COD]]),qdd!$AW$2:$AX$1000,2,FALSE),"")</f>
        <v/>
      </c>
      <c r="AB475" s="30" t="str">
        <f>IFERROR(Tabela1[[#This Row],[VALOR]]/100,"")</f>
        <v/>
      </c>
      <c r="AC475" s="7" t="str" cm="1">
        <f t="array" aca="1" ref="AC475" ca="1">IF(Tabela1[[#This Row],[VALOR]]&lt;0,"",IFERROR(SUBSTITUTE(Converter_numero(Tabela1[[#This Row],[VALOR INCISO]]),",",""),""))</f>
        <v/>
      </c>
      <c r="AD475" s="29" t="str">
        <f>IF(Tabela1[[#This Row],[TIPO]]=REGRAS!$W$2,REGRAS!$X$2,IF(Tabela1[[#This Row],[TIPO]]=REGRAS!$W$4,REGRAS!$X$4,""))</f>
        <v/>
      </c>
      <c r="AE475" s="29" t="e">
        <f>VLOOKUP(Tabela1[[#This Row],[FONTE_COD]],REGRAS!$O$2:$P$69,2,FALSE)</f>
        <v>#N/A</v>
      </c>
      <c r="AF4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6" spans="1:32" ht="18.75" customHeight="1">
      <c r="A476" s="2" t="str">
        <f>IFERROR(IF('PREENCHER AQUI'!A476="","",'PREENCHER AQUI'!A476),"")</f>
        <v/>
      </c>
      <c r="B476" s="1" t="str">
        <f>IFERROR(IF('PREENCHER AQUI'!B476="","",PROPER('PREENCHER AQUI'!B476)),"")</f>
        <v/>
      </c>
      <c r="C476" s="1" t="str">
        <f>IFERROR(IF('PREENCHER AQUI'!C476="","",'PREENCHER AQUI'!C476),"")</f>
        <v/>
      </c>
      <c r="D476" s="2" t="str">
        <f>IFERROR(IF('PREENCHER AQUI'!D476="","",'PREENCHER AQUI'!D476),"")</f>
        <v/>
      </c>
      <c r="E476" s="2" t="str">
        <f>IFERROR(VLOOKUP(CONCATENATE(C476,D476),qdd!$C$2:$F$1000,2,FALSE),"")</f>
        <v/>
      </c>
      <c r="F476" s="2" t="str">
        <f>IFERROR(VLOOKUP(CONCATENATE(C476,D476),qdd!$C$2:$F$1000,3,FALSE),"")</f>
        <v/>
      </c>
      <c r="G476" s="2" t="str">
        <f>IFERROR(VLOOKUP(CONCATENATE(C476,D476),qdd!$C$2:$F$1000,4,FALSE),"")</f>
        <v/>
      </c>
      <c r="H476" s="6" t="str">
        <f t="shared" si="16"/>
        <v/>
      </c>
      <c r="I4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6" s="2" t="str">
        <f>IFERROR(IF('PREENCHER AQUI'!E476="","",'PREENCHER AQUI'!E476),"")</f>
        <v/>
      </c>
      <c r="K476" s="2" t="str">
        <f>IFERROR(IF('PREENCHER AQUI'!F476="","",'PREENCHER AQUI'!F476),"")</f>
        <v/>
      </c>
      <c r="L476" s="2" t="str">
        <f>IF(Tabela1[[#This Row],[IPU_COD]]=9,"91",IF(Tabela1[[#This Row],[ACAO_COD]]="","",VLOOKUP(CONCATENATE("G",J476,"M",K476),qdd!$BC$2:$BD$46,2,FALSE)))</f>
        <v/>
      </c>
      <c r="M476" s="2" t="str">
        <f>TEXT(IFERROR(VLOOKUP(CONCATENATE(C476,D476),qdd!$C$2:$G$1000,5,FALSE),""),0)</f>
        <v/>
      </c>
      <c r="N476" s="2" t="str">
        <f>IFERROR(IF('PREENCHER AQUI'!I476="","",'PREENCHER AQUI'!I476),"")</f>
        <v/>
      </c>
      <c r="O476" s="2" t="str">
        <f>IFERROR(IF('PREENCHER AQUI'!J476="","",'PREENCHER AQUI'!J476),"")</f>
        <v/>
      </c>
      <c r="P476" s="7" t="str">
        <f t="shared" si="17"/>
        <v/>
      </c>
      <c r="Q476" s="8" t="str">
        <f>IFERROR(IF(Tabela4[[#This Row],[VALOR]]="","",IF(Tabela1[[#This Row],[ORIENTACAO]]="Anular",'PREENCHER AQUI'!K476*-1*100,'PREENCHER AQUI'!K476*100)),"")</f>
        <v/>
      </c>
      <c r="T476" s="7" t="str">
        <f>IFERROR(IF('PREENCHER AQUI'!L476="","999",LEFT('PREENCHER AQUI'!L476,1)),"")</f>
        <v>999</v>
      </c>
      <c r="V476" s="19"/>
      <c r="W476" s="1" t="str">
        <f>IFERROR(VLOOKUP(Tabela1[[#This Row],[UO_COD]],qdd!$AT$1:$AU$102,2,FALSE),"")</f>
        <v/>
      </c>
      <c r="X476" s="1" t="str">
        <f>CONCATENATE("F",Tabela1[[#This Row],[FONTE_COD]],Tabela1[[#This Row],[IPU_COD]],"G",Tabela1[[#This Row],[GRUPO_COD]],"T",Tabela1[[#This Row],[TIPO]])</f>
        <v>FGT999</v>
      </c>
      <c r="Y4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6" s="19"/>
      <c r="AA476" s="29" t="str">
        <f>IFERROR(VLOOKUP(CONCATENATE("B",Tabela1[[#This Row],[BLOCO]],Tabela1[[#This Row],[UO_COD]]),qdd!$AW$2:$AX$1000,2,FALSE),"")</f>
        <v/>
      </c>
      <c r="AB476" s="30" t="str">
        <f>IFERROR(Tabela1[[#This Row],[VALOR]]/100,"")</f>
        <v/>
      </c>
      <c r="AC476" s="7" t="str" cm="1">
        <f t="array" aca="1" ref="AC476" ca="1">IF(Tabela1[[#This Row],[VALOR]]&lt;0,"",IFERROR(SUBSTITUTE(Converter_numero(Tabela1[[#This Row],[VALOR INCISO]]),",",""),""))</f>
        <v/>
      </c>
      <c r="AD476" s="29" t="str">
        <f>IF(Tabela1[[#This Row],[TIPO]]=REGRAS!$W$2,REGRAS!$X$2,IF(Tabela1[[#This Row],[TIPO]]=REGRAS!$W$4,REGRAS!$X$4,""))</f>
        <v/>
      </c>
      <c r="AE476" s="29" t="e">
        <f>VLOOKUP(Tabela1[[#This Row],[FONTE_COD]],REGRAS!$O$2:$P$69,2,FALSE)</f>
        <v>#N/A</v>
      </c>
      <c r="AF4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7" spans="1:32" ht="18.75" customHeight="1">
      <c r="A477" s="2" t="str">
        <f>IFERROR(IF('PREENCHER AQUI'!A477="","",'PREENCHER AQUI'!A477),"")</f>
        <v/>
      </c>
      <c r="B477" s="1" t="str">
        <f>IFERROR(IF('PREENCHER AQUI'!B477="","",PROPER('PREENCHER AQUI'!B477)),"")</f>
        <v/>
      </c>
      <c r="C477" s="1" t="str">
        <f>IFERROR(IF('PREENCHER AQUI'!C477="","",'PREENCHER AQUI'!C477),"")</f>
        <v/>
      </c>
      <c r="D477" s="2" t="str">
        <f>IFERROR(IF('PREENCHER AQUI'!D477="","",'PREENCHER AQUI'!D477),"")</f>
        <v/>
      </c>
      <c r="E477" s="2" t="str">
        <f>IFERROR(VLOOKUP(CONCATENATE(C477,D477),qdd!$C$2:$F$1000,2,FALSE),"")</f>
        <v/>
      </c>
      <c r="F477" s="2" t="str">
        <f>IFERROR(VLOOKUP(CONCATENATE(C477,D477),qdd!$C$2:$F$1000,3,FALSE),"")</f>
        <v/>
      </c>
      <c r="G477" s="2" t="str">
        <f>IFERROR(VLOOKUP(CONCATENATE(C477,D477),qdd!$C$2:$F$1000,4,FALSE),"")</f>
        <v/>
      </c>
      <c r="H477" s="6" t="str">
        <f t="shared" si="16"/>
        <v/>
      </c>
      <c r="I4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7" s="2" t="str">
        <f>IFERROR(IF('PREENCHER AQUI'!E477="","",'PREENCHER AQUI'!E477),"")</f>
        <v/>
      </c>
      <c r="K477" s="2" t="str">
        <f>IFERROR(IF('PREENCHER AQUI'!F477="","",'PREENCHER AQUI'!F477),"")</f>
        <v/>
      </c>
      <c r="L477" s="2" t="str">
        <f>IF(Tabela1[[#This Row],[IPU_COD]]=9,"91",IF(Tabela1[[#This Row],[ACAO_COD]]="","",VLOOKUP(CONCATENATE("G",J477,"M",K477),qdd!$BC$2:$BD$46,2,FALSE)))</f>
        <v/>
      </c>
      <c r="M477" s="2" t="str">
        <f>TEXT(IFERROR(VLOOKUP(CONCATENATE(C477,D477),qdd!$C$2:$G$1000,5,FALSE),""),0)</f>
        <v/>
      </c>
      <c r="N477" s="2" t="str">
        <f>IFERROR(IF('PREENCHER AQUI'!I477="","",'PREENCHER AQUI'!I477),"")</f>
        <v/>
      </c>
      <c r="O477" s="2" t="str">
        <f>IFERROR(IF('PREENCHER AQUI'!J477="","",'PREENCHER AQUI'!J477),"")</f>
        <v/>
      </c>
      <c r="P477" s="7" t="str">
        <f t="shared" si="17"/>
        <v/>
      </c>
      <c r="Q477" s="8" t="str">
        <f>IFERROR(IF(Tabela4[[#This Row],[VALOR]]="","",IF(Tabela1[[#This Row],[ORIENTACAO]]="Anular",'PREENCHER AQUI'!K477*-1*100,'PREENCHER AQUI'!K477*100)),"")</f>
        <v/>
      </c>
      <c r="T477" s="7" t="str">
        <f>IFERROR(IF('PREENCHER AQUI'!L477="","999",LEFT('PREENCHER AQUI'!L477,1)),"")</f>
        <v>999</v>
      </c>
      <c r="W477" s="1" t="str">
        <f>IFERROR(VLOOKUP(Tabela1[[#This Row],[UO_COD]],qdd!$AT$1:$AU$102,2,FALSE),"")</f>
        <v/>
      </c>
      <c r="X477" s="1" t="str">
        <f>CONCATENATE("F",Tabela1[[#This Row],[FONTE_COD]],Tabela1[[#This Row],[IPU_COD]],"G",Tabela1[[#This Row],[GRUPO_COD]],"T",Tabela1[[#This Row],[TIPO]])</f>
        <v>FGT999</v>
      </c>
      <c r="Y4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7" s="19"/>
      <c r="AA477" s="29" t="str">
        <f>IFERROR(VLOOKUP(CONCATENATE("B",Tabela1[[#This Row],[BLOCO]],Tabela1[[#This Row],[UO_COD]]),qdd!$AW$2:$AX$1000,2,FALSE),"")</f>
        <v/>
      </c>
      <c r="AB477" s="30" t="str">
        <f>IFERROR(Tabela1[[#This Row],[VALOR]]/100,"")</f>
        <v/>
      </c>
      <c r="AC477" s="7" t="str" cm="1">
        <f t="array" aca="1" ref="AC477" ca="1">IF(Tabela1[[#This Row],[VALOR]]&lt;0,"",IFERROR(SUBSTITUTE(Converter_numero(Tabela1[[#This Row],[VALOR INCISO]]),",",""),""))</f>
        <v/>
      </c>
      <c r="AD477" s="7" t="str">
        <f>IF(Tabela1[[#This Row],[TIPO]]=REGRAS!$W$2,REGRAS!$X$2,IF(Tabela1[[#This Row],[TIPO]]=REGRAS!$W$4,REGRAS!$X$4,""))</f>
        <v/>
      </c>
      <c r="AE477" s="29" t="e">
        <f>VLOOKUP(Tabela1[[#This Row],[FONTE_COD]],REGRAS!$O$2:$P$69,2,FALSE)</f>
        <v>#N/A</v>
      </c>
      <c r="AF4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8" spans="1:32" ht="18.75" customHeight="1">
      <c r="A478" s="2" t="str">
        <f>IFERROR(IF('PREENCHER AQUI'!A478="","",'PREENCHER AQUI'!A478),"")</f>
        <v/>
      </c>
      <c r="B478" s="1" t="str">
        <f>IFERROR(IF('PREENCHER AQUI'!B478="","",PROPER('PREENCHER AQUI'!B478)),"")</f>
        <v/>
      </c>
      <c r="C478" s="1" t="str">
        <f>IFERROR(IF('PREENCHER AQUI'!C478="","",'PREENCHER AQUI'!C478),"")</f>
        <v/>
      </c>
      <c r="D478" s="2" t="str">
        <f>IFERROR(IF('PREENCHER AQUI'!D478="","",'PREENCHER AQUI'!D478),"")</f>
        <v/>
      </c>
      <c r="E478" s="2" t="str">
        <f>IFERROR(VLOOKUP(CONCATENATE(C478,D478),qdd!$C$2:$F$1000,2,FALSE),"")</f>
        <v/>
      </c>
      <c r="F478" s="2" t="str">
        <f>IFERROR(VLOOKUP(CONCATENATE(C478,D478),qdd!$C$2:$F$1000,3,FALSE),"")</f>
        <v/>
      </c>
      <c r="G478" s="2" t="str">
        <f>IFERROR(VLOOKUP(CONCATENATE(C478,D478),qdd!$C$2:$F$1000,4,FALSE),"")</f>
        <v/>
      </c>
      <c r="H478" s="6" t="str">
        <f t="shared" si="16"/>
        <v/>
      </c>
      <c r="I4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8" s="2" t="str">
        <f>IFERROR(IF('PREENCHER AQUI'!E478="","",'PREENCHER AQUI'!E478),"")</f>
        <v/>
      </c>
      <c r="K478" s="2" t="str">
        <f>IFERROR(IF('PREENCHER AQUI'!F478="","",'PREENCHER AQUI'!F478),"")</f>
        <v/>
      </c>
      <c r="L478" s="2" t="str">
        <f>IF(Tabela1[[#This Row],[IPU_COD]]=9,"91",IF(Tabela1[[#This Row],[ACAO_COD]]="","",VLOOKUP(CONCATENATE("G",J478,"M",K478),qdd!$BC$2:$BD$46,2,FALSE)))</f>
        <v/>
      </c>
      <c r="M478" s="2" t="str">
        <f>TEXT(IFERROR(VLOOKUP(CONCATENATE(C478,D478),qdd!$C$2:$G$1000,5,FALSE),""),0)</f>
        <v/>
      </c>
      <c r="N478" s="2" t="str">
        <f>IFERROR(IF('PREENCHER AQUI'!I478="","",'PREENCHER AQUI'!I478),"")</f>
        <v/>
      </c>
      <c r="O478" s="2" t="str">
        <f>IFERROR(IF('PREENCHER AQUI'!J478="","",'PREENCHER AQUI'!J478),"")</f>
        <v/>
      </c>
      <c r="P478" s="7" t="str">
        <f t="shared" si="17"/>
        <v/>
      </c>
      <c r="Q478" s="8" t="str">
        <f>IFERROR(IF(Tabela4[[#This Row],[VALOR]]="","",IF(Tabela1[[#This Row],[ORIENTACAO]]="Anular",'PREENCHER AQUI'!K478*-1*100,'PREENCHER AQUI'!K478*100)),"")</f>
        <v/>
      </c>
      <c r="T478" s="7" t="str">
        <f>IFERROR(IF('PREENCHER AQUI'!L478="","999",LEFT('PREENCHER AQUI'!L478,1)),"")</f>
        <v>999</v>
      </c>
      <c r="V478" s="19"/>
      <c r="W478" s="1" t="str">
        <f>IFERROR(VLOOKUP(Tabela1[[#This Row],[UO_COD]],qdd!$AT$1:$AU$102,2,FALSE),"")</f>
        <v/>
      </c>
      <c r="X478" s="1" t="str">
        <f>CONCATENATE("F",Tabela1[[#This Row],[FONTE_COD]],Tabela1[[#This Row],[IPU_COD]],"G",Tabela1[[#This Row],[GRUPO_COD]],"T",Tabela1[[#This Row],[TIPO]])</f>
        <v>FGT999</v>
      </c>
      <c r="Y4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8" s="19"/>
      <c r="AA478" s="29" t="str">
        <f>IFERROR(VLOOKUP(CONCATENATE("B",Tabela1[[#This Row],[BLOCO]],Tabela1[[#This Row],[UO_COD]]),qdd!$AW$2:$AX$1000,2,FALSE),"")</f>
        <v/>
      </c>
      <c r="AB478" s="30" t="str">
        <f>IFERROR(Tabela1[[#This Row],[VALOR]]/100,"")</f>
        <v/>
      </c>
      <c r="AC478" s="7" t="str" cm="1">
        <f t="array" aca="1" ref="AC478" ca="1">IF(Tabela1[[#This Row],[VALOR]]&lt;0,"",IFERROR(SUBSTITUTE(Converter_numero(Tabela1[[#This Row],[VALOR INCISO]]),",",""),""))</f>
        <v/>
      </c>
      <c r="AD478" s="29" t="str">
        <f>IF(Tabela1[[#This Row],[TIPO]]=REGRAS!$W$2,REGRAS!$X$2,IF(Tabela1[[#This Row],[TIPO]]=REGRAS!$W$4,REGRAS!$X$4,""))</f>
        <v/>
      </c>
      <c r="AE478" s="29" t="e">
        <f>VLOOKUP(Tabela1[[#This Row],[FONTE_COD]],REGRAS!$O$2:$P$69,2,FALSE)</f>
        <v>#N/A</v>
      </c>
      <c r="AF4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9" spans="1:32" ht="18.75" customHeight="1">
      <c r="A479" s="2" t="str">
        <f>IFERROR(IF('PREENCHER AQUI'!A479="","",'PREENCHER AQUI'!A479),"")</f>
        <v/>
      </c>
      <c r="B479" s="1" t="str">
        <f>IFERROR(IF('PREENCHER AQUI'!B479="","",PROPER('PREENCHER AQUI'!B479)),"")</f>
        <v/>
      </c>
      <c r="C479" s="1" t="str">
        <f>IFERROR(IF('PREENCHER AQUI'!C479="","",'PREENCHER AQUI'!C479),"")</f>
        <v/>
      </c>
      <c r="D479" s="2" t="str">
        <f>IFERROR(IF('PREENCHER AQUI'!D479="","",'PREENCHER AQUI'!D479),"")</f>
        <v/>
      </c>
      <c r="E479" s="2" t="str">
        <f>IFERROR(VLOOKUP(CONCATENATE(C479,D479),qdd!$C$2:$F$1000,2,FALSE),"")</f>
        <v/>
      </c>
      <c r="F479" s="2" t="str">
        <f>IFERROR(VLOOKUP(CONCATENATE(C479,D479),qdd!$C$2:$F$1000,3,FALSE),"")</f>
        <v/>
      </c>
      <c r="G479" s="2" t="str">
        <f>IFERROR(VLOOKUP(CONCATENATE(C479,D479),qdd!$C$2:$F$1000,4,FALSE),"")</f>
        <v/>
      </c>
      <c r="H479" s="6" t="str">
        <f t="shared" si="16"/>
        <v/>
      </c>
      <c r="I4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9" s="2" t="str">
        <f>IFERROR(IF('PREENCHER AQUI'!E479="","",'PREENCHER AQUI'!E479),"")</f>
        <v/>
      </c>
      <c r="K479" s="2" t="str">
        <f>IFERROR(IF('PREENCHER AQUI'!F479="","",'PREENCHER AQUI'!F479),"")</f>
        <v/>
      </c>
      <c r="L479" s="2" t="str">
        <f>IF(Tabela1[[#This Row],[IPU_COD]]=9,"91",IF(Tabela1[[#This Row],[ACAO_COD]]="","",VLOOKUP(CONCATENATE("G",J479,"M",K479),qdd!$BC$2:$BD$46,2,FALSE)))</f>
        <v/>
      </c>
      <c r="M479" s="2" t="str">
        <f>TEXT(IFERROR(VLOOKUP(CONCATENATE(C479,D479),qdd!$C$2:$G$1000,5,FALSE),""),0)</f>
        <v/>
      </c>
      <c r="N479" s="2" t="str">
        <f>IFERROR(IF('PREENCHER AQUI'!I479="","",'PREENCHER AQUI'!I479),"")</f>
        <v/>
      </c>
      <c r="O479" s="2" t="str">
        <f>IFERROR(IF('PREENCHER AQUI'!J479="","",'PREENCHER AQUI'!J479),"")</f>
        <v/>
      </c>
      <c r="P479" s="7" t="str">
        <f t="shared" si="17"/>
        <v/>
      </c>
      <c r="Q479" s="8" t="str">
        <f>IFERROR(IF(Tabela4[[#This Row],[VALOR]]="","",IF(Tabela1[[#This Row],[ORIENTACAO]]="Anular",'PREENCHER AQUI'!K479*-1*100,'PREENCHER AQUI'!K479*100)),"")</f>
        <v/>
      </c>
      <c r="T479" s="7" t="str">
        <f>IFERROR(IF('PREENCHER AQUI'!L479="","999",LEFT('PREENCHER AQUI'!L479,1)),"")</f>
        <v>999</v>
      </c>
      <c r="V479" s="19"/>
      <c r="W479" s="1" t="str">
        <f>IFERROR(VLOOKUP(Tabela1[[#This Row],[UO_COD]],qdd!$AT$1:$AU$102,2,FALSE),"")</f>
        <v/>
      </c>
      <c r="X479" s="1" t="str">
        <f>CONCATENATE("F",Tabela1[[#This Row],[FONTE_COD]],Tabela1[[#This Row],[IPU_COD]],"G",Tabela1[[#This Row],[GRUPO_COD]],"T",Tabela1[[#This Row],[TIPO]])</f>
        <v>FGT999</v>
      </c>
      <c r="Y4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9" s="19"/>
      <c r="AA479" s="29" t="str">
        <f>IFERROR(VLOOKUP(CONCATENATE("B",Tabela1[[#This Row],[BLOCO]],Tabela1[[#This Row],[UO_COD]]),qdd!$AW$2:$AX$1000,2,FALSE),"")</f>
        <v/>
      </c>
      <c r="AB479" s="30" t="str">
        <f>IFERROR(Tabela1[[#This Row],[VALOR]]/100,"")</f>
        <v/>
      </c>
      <c r="AC479" s="7" t="str" cm="1">
        <f t="array" aca="1" ref="AC479" ca="1">IF(Tabela1[[#This Row],[VALOR]]&lt;0,"",IFERROR(SUBSTITUTE(Converter_numero(Tabela1[[#This Row],[VALOR INCISO]]),",",""),""))</f>
        <v/>
      </c>
      <c r="AD479" s="29" t="str">
        <f>IF(Tabela1[[#This Row],[TIPO]]=REGRAS!$W$2,REGRAS!$X$2,IF(Tabela1[[#This Row],[TIPO]]=REGRAS!$W$4,REGRAS!$X$4,""))</f>
        <v/>
      </c>
      <c r="AE479" s="29" t="e">
        <f>VLOOKUP(Tabela1[[#This Row],[FONTE_COD]],REGRAS!$O$2:$P$69,2,FALSE)</f>
        <v>#N/A</v>
      </c>
      <c r="AF4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0" spans="1:32" ht="18.75" customHeight="1">
      <c r="A480" s="2" t="str">
        <f>IFERROR(IF('PREENCHER AQUI'!A480="","",'PREENCHER AQUI'!A480),"")</f>
        <v/>
      </c>
      <c r="B480" s="1" t="str">
        <f>IFERROR(IF('PREENCHER AQUI'!B480="","",PROPER('PREENCHER AQUI'!B480)),"")</f>
        <v/>
      </c>
      <c r="C480" s="1" t="str">
        <f>IFERROR(IF('PREENCHER AQUI'!C480="","",'PREENCHER AQUI'!C480),"")</f>
        <v/>
      </c>
      <c r="D480" s="2" t="str">
        <f>IFERROR(IF('PREENCHER AQUI'!D480="","",'PREENCHER AQUI'!D480),"")</f>
        <v/>
      </c>
      <c r="E480" s="2" t="str">
        <f>IFERROR(VLOOKUP(CONCATENATE(C480,D480),qdd!$C$2:$F$1000,2,FALSE),"")</f>
        <v/>
      </c>
      <c r="F480" s="2" t="str">
        <f>IFERROR(VLOOKUP(CONCATENATE(C480,D480),qdd!$C$2:$F$1000,3,FALSE),"")</f>
        <v/>
      </c>
      <c r="G480" s="2" t="str">
        <f>IFERROR(VLOOKUP(CONCATENATE(C480,D480),qdd!$C$2:$F$1000,4,FALSE),"")</f>
        <v/>
      </c>
      <c r="H480" s="6" t="str">
        <f t="shared" si="16"/>
        <v/>
      </c>
      <c r="I4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0" s="2" t="str">
        <f>IFERROR(IF('PREENCHER AQUI'!E480="","",'PREENCHER AQUI'!E480),"")</f>
        <v/>
      </c>
      <c r="K480" s="2" t="str">
        <f>IFERROR(IF('PREENCHER AQUI'!F480="","",'PREENCHER AQUI'!F480),"")</f>
        <v/>
      </c>
      <c r="L480" s="2" t="str">
        <f>IF(Tabela1[[#This Row],[IPU_COD]]=9,"91",IF(Tabela1[[#This Row],[ACAO_COD]]="","",VLOOKUP(CONCATENATE("G",J480,"M",K480),qdd!$BC$2:$BD$46,2,FALSE)))</f>
        <v/>
      </c>
      <c r="M480" s="2" t="str">
        <f>TEXT(IFERROR(VLOOKUP(CONCATENATE(C480,D480),qdd!$C$2:$G$1000,5,FALSE),""),0)</f>
        <v/>
      </c>
      <c r="N480" s="2" t="str">
        <f>IFERROR(IF('PREENCHER AQUI'!I480="","",'PREENCHER AQUI'!I480),"")</f>
        <v/>
      </c>
      <c r="O480" s="2" t="str">
        <f>IFERROR(IF('PREENCHER AQUI'!J480="","",'PREENCHER AQUI'!J480),"")</f>
        <v/>
      </c>
      <c r="P480" s="7" t="str">
        <f t="shared" si="17"/>
        <v/>
      </c>
      <c r="Q480" s="8" t="str">
        <f>IFERROR(IF(Tabela4[[#This Row],[VALOR]]="","",IF(Tabela1[[#This Row],[ORIENTACAO]]="Anular",'PREENCHER AQUI'!K480*-1*100,'PREENCHER AQUI'!K480*100)),"")</f>
        <v/>
      </c>
      <c r="T480" s="7" t="str">
        <f>IFERROR(IF('PREENCHER AQUI'!L480="","999",LEFT('PREENCHER AQUI'!L480,1)),"")</f>
        <v>999</v>
      </c>
      <c r="V480" s="19"/>
      <c r="W480" s="20" t="str">
        <f>IFERROR(VLOOKUP(Tabela1[[#This Row],[UO_COD]],qdd!$AT$1:$AU$102,2,FALSE),"")</f>
        <v/>
      </c>
      <c r="X480" s="20" t="str">
        <f>CONCATENATE("F",Tabela1[[#This Row],[FONTE_COD]],Tabela1[[#This Row],[IPU_COD]],"G",Tabela1[[#This Row],[GRUPO_COD]],"T",Tabela1[[#This Row],[TIPO]])</f>
        <v>FGT999</v>
      </c>
      <c r="Y4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0" s="19"/>
      <c r="AA480" s="29" t="str">
        <f>IFERROR(VLOOKUP(CONCATENATE("B",Tabela1[[#This Row],[BLOCO]],Tabela1[[#This Row],[UO_COD]]),qdd!$AW$2:$AX$1000,2,FALSE),"")</f>
        <v/>
      </c>
      <c r="AB480" s="30" t="str">
        <f>IFERROR(Tabela1[[#This Row],[VALOR]]/100,"")</f>
        <v/>
      </c>
      <c r="AC480" s="7" t="str" cm="1">
        <f t="array" aca="1" ref="AC480" ca="1">IF(Tabela1[[#This Row],[VALOR]]&lt;0,"",IFERROR(SUBSTITUTE(Converter_numero(Tabela1[[#This Row],[VALOR INCISO]]),",",""),""))</f>
        <v/>
      </c>
      <c r="AD480" s="29" t="str">
        <f>IF(Tabela1[[#This Row],[TIPO]]=REGRAS!$W$2,REGRAS!$X$2,IF(Tabela1[[#This Row],[TIPO]]=REGRAS!$W$4,REGRAS!$X$4,""))</f>
        <v/>
      </c>
      <c r="AE480" s="29" t="e">
        <f>VLOOKUP(Tabela1[[#This Row],[FONTE_COD]],REGRAS!$O$2:$P$69,2,FALSE)</f>
        <v>#N/A</v>
      </c>
      <c r="AF4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1" spans="1:32" ht="18.75" customHeight="1">
      <c r="A481" s="2" t="str">
        <f>IFERROR(IF('PREENCHER AQUI'!A481="","",'PREENCHER AQUI'!A481),"")</f>
        <v/>
      </c>
      <c r="B481" s="1" t="str">
        <f>IFERROR(IF('PREENCHER AQUI'!B481="","",PROPER('PREENCHER AQUI'!B481)),"")</f>
        <v/>
      </c>
      <c r="C481" s="1" t="str">
        <f>IFERROR(IF('PREENCHER AQUI'!C481="","",'PREENCHER AQUI'!C481),"")</f>
        <v/>
      </c>
      <c r="D481" s="2" t="str">
        <f>IFERROR(IF('PREENCHER AQUI'!D481="","",'PREENCHER AQUI'!D481),"")</f>
        <v/>
      </c>
      <c r="E481" s="2" t="str">
        <f>IFERROR(VLOOKUP(CONCATENATE(C481,D481),qdd!$C$2:$F$1000,2,FALSE),"")</f>
        <v/>
      </c>
      <c r="F481" s="2" t="str">
        <f>IFERROR(VLOOKUP(CONCATENATE(C481,D481),qdd!$C$2:$F$1000,3,FALSE),"")</f>
        <v/>
      </c>
      <c r="G481" s="2" t="str">
        <f>IFERROR(VLOOKUP(CONCATENATE(C481,D481),qdd!$C$2:$F$1000,4,FALSE),"")</f>
        <v/>
      </c>
      <c r="H481" s="6" t="str">
        <f t="shared" si="16"/>
        <v/>
      </c>
      <c r="I4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1" s="2" t="str">
        <f>IFERROR(IF('PREENCHER AQUI'!E481="","",'PREENCHER AQUI'!E481),"")</f>
        <v/>
      </c>
      <c r="K481" s="2" t="str">
        <f>IFERROR(IF('PREENCHER AQUI'!F481="","",'PREENCHER AQUI'!F481),"")</f>
        <v/>
      </c>
      <c r="L481" s="2" t="str">
        <f>IF(Tabela1[[#This Row],[IPU_COD]]=9,"91",IF(Tabela1[[#This Row],[ACAO_COD]]="","",VLOOKUP(CONCATENATE("G",J481,"M",K481),qdd!$BC$2:$BD$46,2,FALSE)))</f>
        <v/>
      </c>
      <c r="M481" s="2" t="str">
        <f>TEXT(IFERROR(VLOOKUP(CONCATENATE(C481,D481),qdd!$C$2:$G$1000,5,FALSE),""),0)</f>
        <v/>
      </c>
      <c r="N481" s="2" t="str">
        <f>IFERROR(IF('PREENCHER AQUI'!I481="","",'PREENCHER AQUI'!I481),"")</f>
        <v/>
      </c>
      <c r="O481" s="2" t="str">
        <f>IFERROR(IF('PREENCHER AQUI'!J481="","",'PREENCHER AQUI'!J481),"")</f>
        <v/>
      </c>
      <c r="P481" s="7" t="str">
        <f t="shared" si="17"/>
        <v/>
      </c>
      <c r="Q481" s="8" t="str">
        <f>IFERROR(IF(Tabela4[[#This Row],[VALOR]]="","",IF(Tabela1[[#This Row],[ORIENTACAO]]="Anular",'PREENCHER AQUI'!K481*-1*100,'PREENCHER AQUI'!K481*100)),"")</f>
        <v/>
      </c>
      <c r="T481" s="7" t="str">
        <f>IFERROR(IF('PREENCHER AQUI'!L481="","999",LEFT('PREENCHER AQUI'!L481,1)),"")</f>
        <v>999</v>
      </c>
      <c r="V481" s="19"/>
      <c r="W481" s="1" t="str">
        <f>IFERROR(VLOOKUP(Tabela1[[#This Row],[UO_COD]],qdd!$AT$1:$AU$102,2,FALSE),"")</f>
        <v/>
      </c>
      <c r="X481" s="1" t="str">
        <f>CONCATENATE("F",Tabela1[[#This Row],[FONTE_COD]],Tabela1[[#This Row],[IPU_COD]],"G",Tabela1[[#This Row],[GRUPO_COD]],"T",Tabela1[[#This Row],[TIPO]])</f>
        <v>FGT999</v>
      </c>
      <c r="Y4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1" s="19"/>
      <c r="AA481" s="29" t="str">
        <f>IFERROR(VLOOKUP(CONCATENATE("B",Tabela1[[#This Row],[BLOCO]],Tabela1[[#This Row],[UO_COD]]),qdd!$AW$2:$AX$1000,2,FALSE),"")</f>
        <v/>
      </c>
      <c r="AB481" s="30" t="str">
        <f>IFERROR(Tabela1[[#This Row],[VALOR]]/100,"")</f>
        <v/>
      </c>
      <c r="AC481" s="7" t="str" cm="1">
        <f t="array" aca="1" ref="AC481" ca="1">IF(Tabela1[[#This Row],[VALOR]]&lt;0,"",IFERROR(SUBSTITUTE(Converter_numero(Tabela1[[#This Row],[VALOR INCISO]]),",",""),""))</f>
        <v/>
      </c>
      <c r="AD481" s="29" t="str">
        <f>IF(Tabela1[[#This Row],[TIPO]]=REGRAS!$W$2,REGRAS!$X$2,IF(Tabela1[[#This Row],[TIPO]]=REGRAS!$W$4,REGRAS!$X$4,""))</f>
        <v/>
      </c>
      <c r="AE481" s="29" t="e">
        <f>VLOOKUP(Tabela1[[#This Row],[FONTE_COD]],REGRAS!$O$2:$P$69,2,FALSE)</f>
        <v>#N/A</v>
      </c>
      <c r="AF4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2" spans="1:32" ht="18.75" customHeight="1">
      <c r="A482" s="2" t="str">
        <f>IFERROR(IF('PREENCHER AQUI'!A482="","",'PREENCHER AQUI'!A482),"")</f>
        <v/>
      </c>
      <c r="B482" s="1" t="str">
        <f>IFERROR(IF('PREENCHER AQUI'!B482="","",PROPER('PREENCHER AQUI'!B482)),"")</f>
        <v/>
      </c>
      <c r="C482" s="1" t="str">
        <f>IFERROR(IF('PREENCHER AQUI'!C482="","",'PREENCHER AQUI'!C482),"")</f>
        <v/>
      </c>
      <c r="D482" s="2" t="str">
        <f>IFERROR(IF('PREENCHER AQUI'!D482="","",'PREENCHER AQUI'!D482),"")</f>
        <v/>
      </c>
      <c r="E482" s="2" t="str">
        <f>IFERROR(VLOOKUP(CONCATENATE(C482,D482),qdd!$C$2:$F$1000,2,FALSE),"")</f>
        <v/>
      </c>
      <c r="F482" s="2" t="str">
        <f>IFERROR(VLOOKUP(CONCATENATE(C482,D482),qdd!$C$2:$F$1000,3,FALSE),"")</f>
        <v/>
      </c>
      <c r="G482" s="2" t="str">
        <f>IFERROR(VLOOKUP(CONCATENATE(C482,D482),qdd!$C$2:$F$1000,4,FALSE),"")</f>
        <v/>
      </c>
      <c r="H482" s="6" t="str">
        <f t="shared" si="16"/>
        <v/>
      </c>
      <c r="I4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2" s="2" t="str">
        <f>IFERROR(IF('PREENCHER AQUI'!E482="","",'PREENCHER AQUI'!E482),"")</f>
        <v/>
      </c>
      <c r="K482" s="2" t="str">
        <f>IFERROR(IF('PREENCHER AQUI'!F482="","",'PREENCHER AQUI'!F482),"")</f>
        <v/>
      </c>
      <c r="L482" s="2" t="str">
        <f>IF(Tabela1[[#This Row],[IPU_COD]]=9,"91",IF(Tabela1[[#This Row],[ACAO_COD]]="","",VLOOKUP(CONCATENATE("G",J482,"M",K482),qdd!$BC$2:$BD$46,2,FALSE)))</f>
        <v/>
      </c>
      <c r="M482" s="2" t="str">
        <f>TEXT(IFERROR(VLOOKUP(CONCATENATE(C482,D482),qdd!$C$2:$G$1000,5,FALSE),""),0)</f>
        <v/>
      </c>
      <c r="N482" s="2" t="str">
        <f>IFERROR(IF('PREENCHER AQUI'!I482="","",'PREENCHER AQUI'!I482),"")</f>
        <v/>
      </c>
      <c r="O482" s="2" t="str">
        <f>IFERROR(IF('PREENCHER AQUI'!J482="","",'PREENCHER AQUI'!J482),"")</f>
        <v/>
      </c>
      <c r="P482" s="7" t="str">
        <f t="shared" si="17"/>
        <v/>
      </c>
      <c r="Q482" s="8" t="str">
        <f>IFERROR(IF(Tabela4[[#This Row],[VALOR]]="","",IF(Tabela1[[#This Row],[ORIENTACAO]]="Anular",'PREENCHER AQUI'!K482*-1*100,'PREENCHER AQUI'!K482*100)),"")</f>
        <v/>
      </c>
      <c r="T482" s="7" t="str">
        <f>IFERROR(IF('PREENCHER AQUI'!L482="","999",LEFT('PREENCHER AQUI'!L482,1)),"")</f>
        <v>999</v>
      </c>
      <c r="W482" s="1" t="str">
        <f>IFERROR(VLOOKUP(Tabela1[[#This Row],[UO_COD]],qdd!$AT$1:$AU$102,2,FALSE),"")</f>
        <v/>
      </c>
      <c r="X482" s="1" t="str">
        <f>CONCATENATE("F",Tabela1[[#This Row],[FONTE_COD]],Tabela1[[#This Row],[IPU_COD]],"G",Tabela1[[#This Row],[GRUPO_COD]],"T",Tabela1[[#This Row],[TIPO]])</f>
        <v>FGT999</v>
      </c>
      <c r="Y4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2" s="19"/>
      <c r="AA482" s="29" t="str">
        <f>IFERROR(VLOOKUP(CONCATENATE("B",Tabela1[[#This Row],[BLOCO]],Tabela1[[#This Row],[UO_COD]]),qdd!$AW$2:$AX$1000,2,FALSE),"")</f>
        <v/>
      </c>
      <c r="AB482" s="30" t="str">
        <f>IFERROR(Tabela1[[#This Row],[VALOR]]/100,"")</f>
        <v/>
      </c>
      <c r="AC482" s="7" t="str" cm="1">
        <f t="array" aca="1" ref="AC482" ca="1">IF(Tabela1[[#This Row],[VALOR]]&lt;0,"",IFERROR(SUBSTITUTE(Converter_numero(Tabela1[[#This Row],[VALOR INCISO]]),",",""),""))</f>
        <v/>
      </c>
      <c r="AD482" s="7" t="str">
        <f>IF(Tabela1[[#This Row],[TIPO]]=REGRAS!$W$2,REGRAS!$X$2,IF(Tabela1[[#This Row],[TIPO]]=REGRAS!$W$4,REGRAS!$X$4,""))</f>
        <v/>
      </c>
      <c r="AE482" s="29" t="e">
        <f>VLOOKUP(Tabela1[[#This Row],[FONTE_COD]],REGRAS!$O$2:$P$69,2,FALSE)</f>
        <v>#N/A</v>
      </c>
      <c r="AF4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3" spans="1:32" ht="18.75" customHeight="1">
      <c r="A483" s="2" t="str">
        <f>IFERROR(IF('PREENCHER AQUI'!A483="","",'PREENCHER AQUI'!A483),"")</f>
        <v/>
      </c>
      <c r="B483" s="1" t="str">
        <f>IFERROR(IF('PREENCHER AQUI'!B483="","",PROPER('PREENCHER AQUI'!B483)),"")</f>
        <v/>
      </c>
      <c r="C483" s="1" t="str">
        <f>IFERROR(IF('PREENCHER AQUI'!C483="","",'PREENCHER AQUI'!C483),"")</f>
        <v/>
      </c>
      <c r="D483" s="2" t="str">
        <f>IFERROR(IF('PREENCHER AQUI'!D483="","",'PREENCHER AQUI'!D483),"")</f>
        <v/>
      </c>
      <c r="E483" s="2" t="str">
        <f>IFERROR(VLOOKUP(CONCATENATE(C483,D483),qdd!$C$2:$F$1000,2,FALSE),"")</f>
        <v/>
      </c>
      <c r="F483" s="2" t="str">
        <f>IFERROR(VLOOKUP(CONCATENATE(C483,D483),qdd!$C$2:$F$1000,3,FALSE),"")</f>
        <v/>
      </c>
      <c r="G483" s="2" t="str">
        <f>IFERROR(VLOOKUP(CONCATENATE(C483,D483),qdd!$C$2:$F$1000,4,FALSE),"")</f>
        <v/>
      </c>
      <c r="H483" s="6" t="str">
        <f t="shared" si="16"/>
        <v/>
      </c>
      <c r="I4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3" s="2" t="str">
        <f>IFERROR(IF('PREENCHER AQUI'!E483="","",'PREENCHER AQUI'!E483),"")</f>
        <v/>
      </c>
      <c r="K483" s="2" t="str">
        <f>IFERROR(IF('PREENCHER AQUI'!F483="","",'PREENCHER AQUI'!F483),"")</f>
        <v/>
      </c>
      <c r="L483" s="2" t="str">
        <f>IF(Tabela1[[#This Row],[IPU_COD]]=9,"91",IF(Tabela1[[#This Row],[ACAO_COD]]="","",VLOOKUP(CONCATENATE("G",J483,"M",K483),qdd!$BC$2:$BD$46,2,FALSE)))</f>
        <v/>
      </c>
      <c r="M483" s="2" t="str">
        <f>TEXT(IFERROR(VLOOKUP(CONCATENATE(C483,D483),qdd!$C$2:$G$1000,5,FALSE),""),0)</f>
        <v/>
      </c>
      <c r="N483" s="2" t="str">
        <f>IFERROR(IF('PREENCHER AQUI'!I483="","",'PREENCHER AQUI'!I483),"")</f>
        <v/>
      </c>
      <c r="O483" s="2" t="str">
        <f>IFERROR(IF('PREENCHER AQUI'!J483="","",'PREENCHER AQUI'!J483),"")</f>
        <v/>
      </c>
      <c r="P483" s="7" t="str">
        <f t="shared" si="17"/>
        <v/>
      </c>
      <c r="Q483" s="8" t="str">
        <f>IFERROR(IF(Tabela4[[#This Row],[VALOR]]="","",IF(Tabela1[[#This Row],[ORIENTACAO]]="Anular",'PREENCHER AQUI'!K483*-1*100,'PREENCHER AQUI'!K483*100)),"")</f>
        <v/>
      </c>
      <c r="T483" s="7" t="str">
        <f>IFERROR(IF('PREENCHER AQUI'!L483="","999",LEFT('PREENCHER AQUI'!L483,1)),"")</f>
        <v>999</v>
      </c>
      <c r="V483" s="19"/>
      <c r="W483" s="1" t="str">
        <f>IFERROR(VLOOKUP(Tabela1[[#This Row],[UO_COD]],qdd!$AT$1:$AU$102,2,FALSE),"")</f>
        <v/>
      </c>
      <c r="X483" s="1" t="str">
        <f>CONCATENATE("F",Tabela1[[#This Row],[FONTE_COD]],Tabela1[[#This Row],[IPU_COD]],"G",Tabela1[[#This Row],[GRUPO_COD]],"T",Tabela1[[#This Row],[TIPO]])</f>
        <v>FGT999</v>
      </c>
      <c r="Y4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3" s="19"/>
      <c r="AA483" s="29" t="str">
        <f>IFERROR(VLOOKUP(CONCATENATE("B",Tabela1[[#This Row],[BLOCO]],Tabela1[[#This Row],[UO_COD]]),qdd!$AW$2:$AX$1000,2,FALSE),"")</f>
        <v/>
      </c>
      <c r="AB483" s="30" t="str">
        <f>IFERROR(Tabela1[[#This Row],[VALOR]]/100,"")</f>
        <v/>
      </c>
      <c r="AC483" s="7" t="str" cm="1">
        <f t="array" aca="1" ref="AC483" ca="1">IF(Tabela1[[#This Row],[VALOR]]&lt;0,"",IFERROR(SUBSTITUTE(Converter_numero(Tabela1[[#This Row],[VALOR INCISO]]),",",""),""))</f>
        <v/>
      </c>
      <c r="AD483" s="29" t="str">
        <f>IF(Tabela1[[#This Row],[TIPO]]=REGRAS!$W$2,REGRAS!$X$2,IF(Tabela1[[#This Row],[TIPO]]=REGRAS!$W$4,REGRAS!$X$4,""))</f>
        <v/>
      </c>
      <c r="AE483" s="29" t="e">
        <f>VLOOKUP(Tabela1[[#This Row],[FONTE_COD]],REGRAS!$O$2:$P$69,2,FALSE)</f>
        <v>#N/A</v>
      </c>
      <c r="AF4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4" spans="1:32" ht="18.75" customHeight="1">
      <c r="A484" s="2" t="str">
        <f>IFERROR(IF('PREENCHER AQUI'!A484="","",'PREENCHER AQUI'!A484),"")</f>
        <v/>
      </c>
      <c r="B484" s="1" t="str">
        <f>IFERROR(IF('PREENCHER AQUI'!B484="","",PROPER('PREENCHER AQUI'!B484)),"")</f>
        <v/>
      </c>
      <c r="C484" s="1" t="str">
        <f>IFERROR(IF('PREENCHER AQUI'!C484="","",'PREENCHER AQUI'!C484),"")</f>
        <v/>
      </c>
      <c r="D484" s="2" t="str">
        <f>IFERROR(IF('PREENCHER AQUI'!D484="","",'PREENCHER AQUI'!D484),"")</f>
        <v/>
      </c>
      <c r="E484" s="2" t="str">
        <f>IFERROR(VLOOKUP(CONCATENATE(C484,D484),qdd!$C$2:$F$1000,2,FALSE),"")</f>
        <v/>
      </c>
      <c r="F484" s="2" t="str">
        <f>IFERROR(VLOOKUP(CONCATENATE(C484,D484),qdd!$C$2:$F$1000,3,FALSE),"")</f>
        <v/>
      </c>
      <c r="G484" s="2" t="str">
        <f>IFERROR(VLOOKUP(CONCATENATE(C484,D484),qdd!$C$2:$F$1000,4,FALSE),"")</f>
        <v/>
      </c>
      <c r="H484" s="6" t="str">
        <f t="shared" si="16"/>
        <v/>
      </c>
      <c r="I4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4" s="2" t="str">
        <f>IFERROR(IF('PREENCHER AQUI'!E484="","",'PREENCHER AQUI'!E484),"")</f>
        <v/>
      </c>
      <c r="K484" s="2" t="str">
        <f>IFERROR(IF('PREENCHER AQUI'!F484="","",'PREENCHER AQUI'!F484),"")</f>
        <v/>
      </c>
      <c r="L484" s="2" t="str">
        <f>IF(Tabela1[[#This Row],[IPU_COD]]=9,"91",IF(Tabela1[[#This Row],[ACAO_COD]]="","",VLOOKUP(CONCATENATE("G",J484,"M",K484),qdd!$BC$2:$BD$46,2,FALSE)))</f>
        <v/>
      </c>
      <c r="M484" s="2" t="str">
        <f>TEXT(IFERROR(VLOOKUP(CONCATENATE(C484,D484),qdd!$C$2:$G$1000,5,FALSE),""),0)</f>
        <v/>
      </c>
      <c r="N484" s="2" t="str">
        <f>IFERROR(IF('PREENCHER AQUI'!I484="","",'PREENCHER AQUI'!I484),"")</f>
        <v/>
      </c>
      <c r="O484" s="2" t="str">
        <f>IFERROR(IF('PREENCHER AQUI'!J484="","",'PREENCHER AQUI'!J484),"")</f>
        <v/>
      </c>
      <c r="P484" s="7" t="str">
        <f t="shared" si="17"/>
        <v/>
      </c>
      <c r="Q484" s="8" t="str">
        <f>IFERROR(IF(Tabela4[[#This Row],[VALOR]]="","",IF(Tabela1[[#This Row],[ORIENTACAO]]="Anular",'PREENCHER AQUI'!K484*-1*100,'PREENCHER AQUI'!K484*100)),"")</f>
        <v/>
      </c>
      <c r="T484" s="7" t="str">
        <f>IFERROR(IF('PREENCHER AQUI'!L484="","999",LEFT('PREENCHER AQUI'!L484,1)),"")</f>
        <v>999</v>
      </c>
      <c r="V484" s="19"/>
      <c r="W484" s="1" t="str">
        <f>IFERROR(VLOOKUP(Tabela1[[#This Row],[UO_COD]],qdd!$AT$1:$AU$102,2,FALSE),"")</f>
        <v/>
      </c>
      <c r="X484" s="1" t="str">
        <f>CONCATENATE("F",Tabela1[[#This Row],[FONTE_COD]],Tabela1[[#This Row],[IPU_COD]],"G",Tabela1[[#This Row],[GRUPO_COD]],"T",Tabela1[[#This Row],[TIPO]])</f>
        <v>FGT999</v>
      </c>
      <c r="Y4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4" s="19"/>
      <c r="AA484" s="29" t="str">
        <f>IFERROR(VLOOKUP(CONCATENATE("B",Tabela1[[#This Row],[BLOCO]],Tabela1[[#This Row],[UO_COD]]),qdd!$AW$2:$AX$1000,2,FALSE),"")</f>
        <v/>
      </c>
      <c r="AB484" s="30" t="str">
        <f>IFERROR(Tabela1[[#This Row],[VALOR]]/100,"")</f>
        <v/>
      </c>
      <c r="AC484" s="7" t="str" cm="1">
        <f t="array" aca="1" ref="AC484" ca="1">IF(Tabela1[[#This Row],[VALOR]]&lt;0,"",IFERROR(SUBSTITUTE(Converter_numero(Tabela1[[#This Row],[VALOR INCISO]]),",",""),""))</f>
        <v/>
      </c>
      <c r="AD484" s="29" t="str">
        <f>IF(Tabela1[[#This Row],[TIPO]]=REGRAS!$W$2,REGRAS!$X$2,IF(Tabela1[[#This Row],[TIPO]]=REGRAS!$W$4,REGRAS!$X$4,""))</f>
        <v/>
      </c>
      <c r="AE484" s="29" t="e">
        <f>VLOOKUP(Tabela1[[#This Row],[FONTE_COD]],REGRAS!$O$2:$P$69,2,FALSE)</f>
        <v>#N/A</v>
      </c>
      <c r="AF4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5" spans="1:32" ht="18.75" customHeight="1">
      <c r="A485" s="2" t="str">
        <f>IFERROR(IF('PREENCHER AQUI'!A485="","",'PREENCHER AQUI'!A485),"")</f>
        <v/>
      </c>
      <c r="B485" s="1" t="str">
        <f>IFERROR(IF('PREENCHER AQUI'!B485="","",PROPER('PREENCHER AQUI'!B485)),"")</f>
        <v/>
      </c>
      <c r="C485" s="1" t="str">
        <f>IFERROR(IF('PREENCHER AQUI'!C485="","",'PREENCHER AQUI'!C485),"")</f>
        <v/>
      </c>
      <c r="D485" s="2" t="str">
        <f>IFERROR(IF('PREENCHER AQUI'!D485="","",'PREENCHER AQUI'!D485),"")</f>
        <v/>
      </c>
      <c r="E485" s="2" t="str">
        <f>IFERROR(VLOOKUP(CONCATENATE(C485,D485),qdd!$C$2:$F$1000,2,FALSE),"")</f>
        <v/>
      </c>
      <c r="F485" s="2" t="str">
        <f>IFERROR(VLOOKUP(CONCATENATE(C485,D485),qdd!$C$2:$F$1000,3,FALSE),"")</f>
        <v/>
      </c>
      <c r="G485" s="2" t="str">
        <f>IFERROR(VLOOKUP(CONCATENATE(C485,D485),qdd!$C$2:$F$1000,4,FALSE),"")</f>
        <v/>
      </c>
      <c r="H485" s="6" t="str">
        <f t="shared" si="16"/>
        <v/>
      </c>
      <c r="I4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5" s="2" t="str">
        <f>IFERROR(IF('PREENCHER AQUI'!E485="","",'PREENCHER AQUI'!E485),"")</f>
        <v/>
      </c>
      <c r="K485" s="2" t="str">
        <f>IFERROR(IF('PREENCHER AQUI'!F485="","",'PREENCHER AQUI'!F485),"")</f>
        <v/>
      </c>
      <c r="L485" s="2" t="str">
        <f>IF(Tabela1[[#This Row],[IPU_COD]]=9,"91",IF(Tabela1[[#This Row],[ACAO_COD]]="","",VLOOKUP(CONCATENATE("G",J485,"M",K485),qdd!$BC$2:$BD$46,2,FALSE)))</f>
        <v/>
      </c>
      <c r="M485" s="2" t="str">
        <f>TEXT(IFERROR(VLOOKUP(CONCATENATE(C485,D485),qdd!$C$2:$G$1000,5,FALSE),""),0)</f>
        <v/>
      </c>
      <c r="N485" s="2" t="str">
        <f>IFERROR(IF('PREENCHER AQUI'!I485="","",'PREENCHER AQUI'!I485),"")</f>
        <v/>
      </c>
      <c r="O485" s="2" t="str">
        <f>IFERROR(IF('PREENCHER AQUI'!J485="","",'PREENCHER AQUI'!J485),"")</f>
        <v/>
      </c>
      <c r="P485" s="7" t="str">
        <f t="shared" si="17"/>
        <v/>
      </c>
      <c r="Q485" s="8" t="str">
        <f>IFERROR(IF(Tabela4[[#This Row],[VALOR]]="","",IF(Tabela1[[#This Row],[ORIENTACAO]]="Anular",'PREENCHER AQUI'!K485*-1*100,'PREENCHER AQUI'!K485*100)),"")</f>
        <v/>
      </c>
      <c r="T485" s="7" t="str">
        <f>IFERROR(IF('PREENCHER AQUI'!L485="","999",LEFT('PREENCHER AQUI'!L485,1)),"")</f>
        <v>999</v>
      </c>
      <c r="V485" s="19"/>
      <c r="W485" s="20" t="str">
        <f>IFERROR(VLOOKUP(Tabela1[[#This Row],[UO_COD]],qdd!$AT$1:$AU$102,2,FALSE),"")</f>
        <v/>
      </c>
      <c r="X485" s="20" t="str">
        <f>CONCATENATE("F",Tabela1[[#This Row],[FONTE_COD]],Tabela1[[#This Row],[IPU_COD]],"G",Tabela1[[#This Row],[GRUPO_COD]],"T",Tabela1[[#This Row],[TIPO]])</f>
        <v>FGT999</v>
      </c>
      <c r="Y4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5" s="19"/>
      <c r="AA485" s="29" t="str">
        <f>IFERROR(VLOOKUP(CONCATENATE("B",Tabela1[[#This Row],[BLOCO]],Tabela1[[#This Row],[UO_COD]]),qdd!$AW$2:$AX$1000,2,FALSE),"")</f>
        <v/>
      </c>
      <c r="AB485" s="30" t="str">
        <f>IFERROR(Tabela1[[#This Row],[VALOR]]/100,"")</f>
        <v/>
      </c>
      <c r="AC485" s="7" t="str" cm="1">
        <f t="array" aca="1" ref="AC485" ca="1">IF(Tabela1[[#This Row],[VALOR]]&lt;0,"",IFERROR(SUBSTITUTE(Converter_numero(Tabela1[[#This Row],[VALOR INCISO]]),",",""),""))</f>
        <v/>
      </c>
      <c r="AD485" s="29" t="str">
        <f>IF(Tabela1[[#This Row],[TIPO]]=REGRAS!$W$2,REGRAS!$X$2,IF(Tabela1[[#This Row],[TIPO]]=REGRAS!$W$4,REGRAS!$X$4,""))</f>
        <v/>
      </c>
      <c r="AE485" s="29" t="e">
        <f>VLOOKUP(Tabela1[[#This Row],[FONTE_COD]],REGRAS!$O$2:$P$69,2,FALSE)</f>
        <v>#N/A</v>
      </c>
      <c r="AF4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6" spans="1:32" ht="18.75" customHeight="1">
      <c r="A486" s="2" t="str">
        <f>IFERROR(IF('PREENCHER AQUI'!A486="","",'PREENCHER AQUI'!A486),"")</f>
        <v/>
      </c>
      <c r="B486" s="1" t="str">
        <f>IFERROR(IF('PREENCHER AQUI'!B486="","",PROPER('PREENCHER AQUI'!B486)),"")</f>
        <v/>
      </c>
      <c r="C486" s="1" t="str">
        <f>IFERROR(IF('PREENCHER AQUI'!C486="","",'PREENCHER AQUI'!C486),"")</f>
        <v/>
      </c>
      <c r="D486" s="2" t="str">
        <f>IFERROR(IF('PREENCHER AQUI'!D486="","",'PREENCHER AQUI'!D486),"")</f>
        <v/>
      </c>
      <c r="E486" s="2" t="str">
        <f>IFERROR(VLOOKUP(CONCATENATE(C486,D486),qdd!$C$2:$F$1000,2,FALSE),"")</f>
        <v/>
      </c>
      <c r="F486" s="2" t="str">
        <f>IFERROR(VLOOKUP(CONCATENATE(C486,D486),qdd!$C$2:$F$1000,3,FALSE),"")</f>
        <v/>
      </c>
      <c r="G486" s="2" t="str">
        <f>IFERROR(VLOOKUP(CONCATENATE(C486,D486),qdd!$C$2:$F$1000,4,FALSE),"")</f>
        <v/>
      </c>
      <c r="H486" s="6" t="str">
        <f t="shared" si="16"/>
        <v/>
      </c>
      <c r="I4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6" s="2" t="str">
        <f>IFERROR(IF('PREENCHER AQUI'!E486="","",'PREENCHER AQUI'!E486),"")</f>
        <v/>
      </c>
      <c r="K486" s="2" t="str">
        <f>IFERROR(IF('PREENCHER AQUI'!F486="","",'PREENCHER AQUI'!F486),"")</f>
        <v/>
      </c>
      <c r="L486" s="2" t="str">
        <f>IF(Tabela1[[#This Row],[IPU_COD]]=9,"91",IF(Tabela1[[#This Row],[ACAO_COD]]="","",VLOOKUP(CONCATENATE("G",J486,"M",K486),qdd!$BC$2:$BD$46,2,FALSE)))</f>
        <v/>
      </c>
      <c r="M486" s="2" t="str">
        <f>TEXT(IFERROR(VLOOKUP(CONCATENATE(C486,D486),qdd!$C$2:$G$1000,5,FALSE),""),0)</f>
        <v/>
      </c>
      <c r="N486" s="2" t="str">
        <f>IFERROR(IF('PREENCHER AQUI'!I486="","",'PREENCHER AQUI'!I486),"")</f>
        <v/>
      </c>
      <c r="O486" s="2" t="str">
        <f>IFERROR(IF('PREENCHER AQUI'!J486="","",'PREENCHER AQUI'!J486),"")</f>
        <v/>
      </c>
      <c r="P486" s="7" t="str">
        <f t="shared" si="17"/>
        <v/>
      </c>
      <c r="Q486" s="8" t="str">
        <f>IFERROR(IF(Tabela4[[#This Row],[VALOR]]="","",IF(Tabela1[[#This Row],[ORIENTACAO]]="Anular",'PREENCHER AQUI'!K486*-1*100,'PREENCHER AQUI'!K486*100)),"")</f>
        <v/>
      </c>
      <c r="T486" s="7" t="str">
        <f>IFERROR(IF('PREENCHER AQUI'!L486="","999",LEFT('PREENCHER AQUI'!L486,1)),"")</f>
        <v>999</v>
      </c>
      <c r="V486" s="19"/>
      <c r="W486" s="1" t="str">
        <f>IFERROR(VLOOKUP(Tabela1[[#This Row],[UO_COD]],qdd!$AT$1:$AU$102,2,FALSE),"")</f>
        <v/>
      </c>
      <c r="X486" s="1" t="str">
        <f>CONCATENATE("F",Tabela1[[#This Row],[FONTE_COD]],Tabela1[[#This Row],[IPU_COD]],"G",Tabela1[[#This Row],[GRUPO_COD]],"T",Tabela1[[#This Row],[TIPO]])</f>
        <v>FGT999</v>
      </c>
      <c r="Y4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6" s="19"/>
      <c r="AA486" s="29" t="str">
        <f>IFERROR(VLOOKUP(CONCATENATE("B",Tabela1[[#This Row],[BLOCO]],Tabela1[[#This Row],[UO_COD]]),qdd!$AW$2:$AX$1000,2,FALSE),"")</f>
        <v/>
      </c>
      <c r="AB486" s="30" t="str">
        <f>IFERROR(Tabela1[[#This Row],[VALOR]]/100,"")</f>
        <v/>
      </c>
      <c r="AC486" s="7" t="str" cm="1">
        <f t="array" aca="1" ref="AC486" ca="1">IF(Tabela1[[#This Row],[VALOR]]&lt;0,"",IFERROR(SUBSTITUTE(Converter_numero(Tabela1[[#This Row],[VALOR INCISO]]),",",""),""))</f>
        <v/>
      </c>
      <c r="AD486" s="29" t="str">
        <f>IF(Tabela1[[#This Row],[TIPO]]=REGRAS!$W$2,REGRAS!$X$2,IF(Tabela1[[#This Row],[TIPO]]=REGRAS!$W$4,REGRAS!$X$4,""))</f>
        <v/>
      </c>
      <c r="AE486" s="29" t="e">
        <f>VLOOKUP(Tabela1[[#This Row],[FONTE_COD]],REGRAS!$O$2:$P$69,2,FALSE)</f>
        <v>#N/A</v>
      </c>
      <c r="AF4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7" spans="1:32" ht="18.75" customHeight="1">
      <c r="A487" s="2" t="str">
        <f>IFERROR(IF('PREENCHER AQUI'!A487="","",'PREENCHER AQUI'!A487),"")</f>
        <v/>
      </c>
      <c r="B487" s="1" t="str">
        <f>IFERROR(IF('PREENCHER AQUI'!B487="","",PROPER('PREENCHER AQUI'!B487)),"")</f>
        <v/>
      </c>
      <c r="C487" s="1" t="str">
        <f>IFERROR(IF('PREENCHER AQUI'!C487="","",'PREENCHER AQUI'!C487),"")</f>
        <v/>
      </c>
      <c r="D487" s="2" t="str">
        <f>IFERROR(IF('PREENCHER AQUI'!D487="","",'PREENCHER AQUI'!D487),"")</f>
        <v/>
      </c>
      <c r="E487" s="2" t="str">
        <f>IFERROR(VLOOKUP(CONCATENATE(C487,D487),qdd!$C$2:$F$1000,2,FALSE),"")</f>
        <v/>
      </c>
      <c r="F487" s="2" t="str">
        <f>IFERROR(VLOOKUP(CONCATENATE(C487,D487),qdd!$C$2:$F$1000,3,FALSE),"")</f>
        <v/>
      </c>
      <c r="G487" s="2" t="str">
        <f>IFERROR(VLOOKUP(CONCATENATE(C487,D487),qdd!$C$2:$F$1000,4,FALSE),"")</f>
        <v/>
      </c>
      <c r="H487" s="6" t="str">
        <f t="shared" si="16"/>
        <v/>
      </c>
      <c r="I4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7" s="2" t="str">
        <f>IFERROR(IF('PREENCHER AQUI'!E487="","",'PREENCHER AQUI'!E487),"")</f>
        <v/>
      </c>
      <c r="K487" s="2" t="str">
        <f>IFERROR(IF('PREENCHER AQUI'!F487="","",'PREENCHER AQUI'!F487),"")</f>
        <v/>
      </c>
      <c r="L487" s="2" t="str">
        <f>IF(Tabela1[[#This Row],[IPU_COD]]=9,"91",IF(Tabela1[[#This Row],[ACAO_COD]]="","",VLOOKUP(CONCATENATE("G",J487,"M",K487),qdd!$BC$2:$BD$46,2,FALSE)))</f>
        <v/>
      </c>
      <c r="M487" s="2" t="str">
        <f>TEXT(IFERROR(VLOOKUP(CONCATENATE(C487,D487),qdd!$C$2:$G$1000,5,FALSE),""),0)</f>
        <v/>
      </c>
      <c r="N487" s="2" t="str">
        <f>IFERROR(IF('PREENCHER AQUI'!I487="","",'PREENCHER AQUI'!I487),"")</f>
        <v/>
      </c>
      <c r="O487" s="2" t="str">
        <f>IFERROR(IF('PREENCHER AQUI'!J487="","",'PREENCHER AQUI'!J487),"")</f>
        <v/>
      </c>
      <c r="P487" s="7" t="str">
        <f t="shared" si="17"/>
        <v/>
      </c>
      <c r="Q487" s="8" t="str">
        <f>IFERROR(IF(Tabela4[[#This Row],[VALOR]]="","",IF(Tabela1[[#This Row],[ORIENTACAO]]="Anular",'PREENCHER AQUI'!K487*-1*100,'PREENCHER AQUI'!K487*100)),"")</f>
        <v/>
      </c>
      <c r="T487" s="7" t="str">
        <f>IFERROR(IF('PREENCHER AQUI'!L487="","999",LEFT('PREENCHER AQUI'!L487,1)),"")</f>
        <v>999</v>
      </c>
      <c r="W487" s="1" t="str">
        <f>IFERROR(VLOOKUP(Tabela1[[#This Row],[UO_COD]],qdd!$AT$1:$AU$102,2,FALSE),"")</f>
        <v/>
      </c>
      <c r="X487" s="1" t="str">
        <f>CONCATENATE("F",Tabela1[[#This Row],[FONTE_COD]],Tabela1[[#This Row],[IPU_COD]],"G",Tabela1[[#This Row],[GRUPO_COD]],"T",Tabela1[[#This Row],[TIPO]])</f>
        <v>FGT999</v>
      </c>
      <c r="Y4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7" s="19"/>
      <c r="AA487" s="29" t="str">
        <f>IFERROR(VLOOKUP(CONCATENATE("B",Tabela1[[#This Row],[BLOCO]],Tabela1[[#This Row],[UO_COD]]),qdd!$AW$2:$AX$1000,2,FALSE),"")</f>
        <v/>
      </c>
      <c r="AB487" s="30" t="str">
        <f>IFERROR(Tabela1[[#This Row],[VALOR]]/100,"")</f>
        <v/>
      </c>
      <c r="AC487" s="7" t="str" cm="1">
        <f t="array" aca="1" ref="AC487" ca="1">IF(Tabela1[[#This Row],[VALOR]]&lt;0,"",IFERROR(SUBSTITUTE(Converter_numero(Tabela1[[#This Row],[VALOR INCISO]]),",",""),""))</f>
        <v/>
      </c>
      <c r="AD487" s="7" t="str">
        <f>IF(Tabela1[[#This Row],[TIPO]]=REGRAS!$W$2,REGRAS!$X$2,IF(Tabela1[[#This Row],[TIPO]]=REGRAS!$W$4,REGRAS!$X$4,""))</f>
        <v/>
      </c>
      <c r="AE487" s="29" t="e">
        <f>VLOOKUP(Tabela1[[#This Row],[FONTE_COD]],REGRAS!$O$2:$P$69,2,FALSE)</f>
        <v>#N/A</v>
      </c>
      <c r="AF4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8" spans="1:32" ht="18.75" customHeight="1">
      <c r="A488" s="2" t="str">
        <f>IFERROR(IF('PREENCHER AQUI'!A488="","",'PREENCHER AQUI'!A488),"")</f>
        <v/>
      </c>
      <c r="B488" s="1" t="str">
        <f>IFERROR(IF('PREENCHER AQUI'!B488="","",PROPER('PREENCHER AQUI'!B488)),"")</f>
        <v/>
      </c>
      <c r="C488" s="1" t="str">
        <f>IFERROR(IF('PREENCHER AQUI'!C488="","",'PREENCHER AQUI'!C488),"")</f>
        <v/>
      </c>
      <c r="D488" s="2" t="str">
        <f>IFERROR(IF('PREENCHER AQUI'!D488="","",'PREENCHER AQUI'!D488),"")</f>
        <v/>
      </c>
      <c r="E488" s="2" t="str">
        <f>IFERROR(VLOOKUP(CONCATENATE(C488,D488),qdd!$C$2:$F$1000,2,FALSE),"")</f>
        <v/>
      </c>
      <c r="F488" s="2" t="str">
        <f>IFERROR(VLOOKUP(CONCATENATE(C488,D488),qdd!$C$2:$F$1000,3,FALSE),"")</f>
        <v/>
      </c>
      <c r="G488" s="2" t="str">
        <f>IFERROR(VLOOKUP(CONCATENATE(C488,D488),qdd!$C$2:$F$1000,4,FALSE),"")</f>
        <v/>
      </c>
      <c r="H488" s="6" t="str">
        <f t="shared" si="16"/>
        <v/>
      </c>
      <c r="I4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8" s="2" t="str">
        <f>IFERROR(IF('PREENCHER AQUI'!E488="","",'PREENCHER AQUI'!E488),"")</f>
        <v/>
      </c>
      <c r="K488" s="2" t="str">
        <f>IFERROR(IF('PREENCHER AQUI'!F488="","",'PREENCHER AQUI'!F488),"")</f>
        <v/>
      </c>
      <c r="L488" s="2" t="str">
        <f>IF(Tabela1[[#This Row],[IPU_COD]]=9,"91",IF(Tabela1[[#This Row],[ACAO_COD]]="","",VLOOKUP(CONCATENATE("G",J488,"M",K488),qdd!$BC$2:$BD$46,2,FALSE)))</f>
        <v/>
      </c>
      <c r="M488" s="2" t="str">
        <f>TEXT(IFERROR(VLOOKUP(CONCATENATE(C488,D488),qdd!$C$2:$G$1000,5,FALSE),""),0)</f>
        <v/>
      </c>
      <c r="N488" s="2" t="str">
        <f>IFERROR(IF('PREENCHER AQUI'!I488="","",'PREENCHER AQUI'!I488),"")</f>
        <v/>
      </c>
      <c r="O488" s="2" t="str">
        <f>IFERROR(IF('PREENCHER AQUI'!J488="","",'PREENCHER AQUI'!J488),"")</f>
        <v/>
      </c>
      <c r="P488" s="7" t="str">
        <f t="shared" si="17"/>
        <v/>
      </c>
      <c r="Q488" s="8" t="str">
        <f>IFERROR(IF(Tabela4[[#This Row],[VALOR]]="","",IF(Tabela1[[#This Row],[ORIENTACAO]]="Anular",'PREENCHER AQUI'!K488*-1*100,'PREENCHER AQUI'!K488*100)),"")</f>
        <v/>
      </c>
      <c r="T488" s="7" t="str">
        <f>IFERROR(IF('PREENCHER AQUI'!L488="","999",LEFT('PREENCHER AQUI'!L488,1)),"")</f>
        <v>999</v>
      </c>
      <c r="V488" s="19"/>
      <c r="W488" s="1" t="str">
        <f>IFERROR(VLOOKUP(Tabela1[[#This Row],[UO_COD]],qdd!$AT$1:$AU$102,2,FALSE),"")</f>
        <v/>
      </c>
      <c r="X488" s="1" t="str">
        <f>CONCATENATE("F",Tabela1[[#This Row],[FONTE_COD]],Tabela1[[#This Row],[IPU_COD]],"G",Tabela1[[#This Row],[GRUPO_COD]],"T",Tabela1[[#This Row],[TIPO]])</f>
        <v>FGT999</v>
      </c>
      <c r="Y4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8" s="19"/>
      <c r="AA488" s="29" t="str">
        <f>IFERROR(VLOOKUP(CONCATENATE("B",Tabela1[[#This Row],[BLOCO]],Tabela1[[#This Row],[UO_COD]]),qdd!$AW$2:$AX$1000,2,FALSE),"")</f>
        <v/>
      </c>
      <c r="AB488" s="30" t="str">
        <f>IFERROR(Tabela1[[#This Row],[VALOR]]/100,"")</f>
        <v/>
      </c>
      <c r="AC488" s="7" t="str" cm="1">
        <f t="array" aca="1" ref="AC488" ca="1">IF(Tabela1[[#This Row],[VALOR]]&lt;0,"",IFERROR(SUBSTITUTE(Converter_numero(Tabela1[[#This Row],[VALOR INCISO]]),",",""),""))</f>
        <v/>
      </c>
      <c r="AD488" s="29" t="str">
        <f>IF(Tabela1[[#This Row],[TIPO]]=REGRAS!$W$2,REGRAS!$X$2,IF(Tabela1[[#This Row],[TIPO]]=REGRAS!$W$4,REGRAS!$X$4,""))</f>
        <v/>
      </c>
      <c r="AE488" s="29" t="e">
        <f>VLOOKUP(Tabela1[[#This Row],[FONTE_COD]],REGRAS!$O$2:$P$69,2,FALSE)</f>
        <v>#N/A</v>
      </c>
      <c r="AF4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9" spans="1:32" ht="18.75" customHeight="1">
      <c r="A489" s="2" t="str">
        <f>IFERROR(IF('PREENCHER AQUI'!A489="","",'PREENCHER AQUI'!A489),"")</f>
        <v/>
      </c>
      <c r="B489" s="1" t="str">
        <f>IFERROR(IF('PREENCHER AQUI'!B489="","",PROPER('PREENCHER AQUI'!B489)),"")</f>
        <v/>
      </c>
      <c r="C489" s="1" t="str">
        <f>IFERROR(IF('PREENCHER AQUI'!C489="","",'PREENCHER AQUI'!C489),"")</f>
        <v/>
      </c>
      <c r="D489" s="2" t="str">
        <f>IFERROR(IF('PREENCHER AQUI'!D489="","",'PREENCHER AQUI'!D489),"")</f>
        <v/>
      </c>
      <c r="E489" s="2" t="str">
        <f>IFERROR(VLOOKUP(CONCATENATE(C489,D489),qdd!$C$2:$F$1000,2,FALSE),"")</f>
        <v/>
      </c>
      <c r="F489" s="2" t="str">
        <f>IFERROR(VLOOKUP(CONCATENATE(C489,D489),qdd!$C$2:$F$1000,3,FALSE),"")</f>
        <v/>
      </c>
      <c r="G489" s="2" t="str">
        <f>IFERROR(VLOOKUP(CONCATENATE(C489,D489),qdd!$C$2:$F$1000,4,FALSE),"")</f>
        <v/>
      </c>
      <c r="H489" s="6" t="str">
        <f t="shared" si="16"/>
        <v/>
      </c>
      <c r="I4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9" s="2" t="str">
        <f>IFERROR(IF('PREENCHER AQUI'!E489="","",'PREENCHER AQUI'!E489),"")</f>
        <v/>
      </c>
      <c r="K489" s="2" t="str">
        <f>IFERROR(IF('PREENCHER AQUI'!F489="","",'PREENCHER AQUI'!F489),"")</f>
        <v/>
      </c>
      <c r="L489" s="2" t="str">
        <f>IF(Tabela1[[#This Row],[IPU_COD]]=9,"91",IF(Tabela1[[#This Row],[ACAO_COD]]="","",VLOOKUP(CONCATENATE("G",J489,"M",K489),qdd!$BC$2:$BD$46,2,FALSE)))</f>
        <v/>
      </c>
      <c r="M489" s="2" t="str">
        <f>TEXT(IFERROR(VLOOKUP(CONCATENATE(C489,D489),qdd!$C$2:$G$1000,5,FALSE),""),0)</f>
        <v/>
      </c>
      <c r="N489" s="2" t="str">
        <f>IFERROR(IF('PREENCHER AQUI'!I489="","",'PREENCHER AQUI'!I489),"")</f>
        <v/>
      </c>
      <c r="O489" s="2" t="str">
        <f>IFERROR(IF('PREENCHER AQUI'!J489="","",'PREENCHER AQUI'!J489),"")</f>
        <v/>
      </c>
      <c r="P489" s="7" t="str">
        <f t="shared" si="17"/>
        <v/>
      </c>
      <c r="Q489" s="8" t="str">
        <f>IFERROR(IF(Tabela4[[#This Row],[VALOR]]="","",IF(Tabela1[[#This Row],[ORIENTACAO]]="Anular",'PREENCHER AQUI'!K489*-1*100,'PREENCHER AQUI'!K489*100)),"")</f>
        <v/>
      </c>
      <c r="T489" s="7" t="str">
        <f>IFERROR(IF('PREENCHER AQUI'!L489="","999",LEFT('PREENCHER AQUI'!L489,1)),"")</f>
        <v>999</v>
      </c>
      <c r="V489" s="19"/>
      <c r="W489" s="1" t="str">
        <f>IFERROR(VLOOKUP(Tabela1[[#This Row],[UO_COD]],qdd!$AT$1:$AU$102,2,FALSE),"")</f>
        <v/>
      </c>
      <c r="X489" s="1" t="str">
        <f>CONCATENATE("F",Tabela1[[#This Row],[FONTE_COD]],Tabela1[[#This Row],[IPU_COD]],"G",Tabela1[[#This Row],[GRUPO_COD]],"T",Tabela1[[#This Row],[TIPO]])</f>
        <v>FGT999</v>
      </c>
      <c r="Y4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9" s="19"/>
      <c r="AA489" s="29" t="str">
        <f>IFERROR(VLOOKUP(CONCATENATE("B",Tabela1[[#This Row],[BLOCO]],Tabela1[[#This Row],[UO_COD]]),qdd!$AW$2:$AX$1000,2,FALSE),"")</f>
        <v/>
      </c>
      <c r="AB489" s="30" t="str">
        <f>IFERROR(Tabela1[[#This Row],[VALOR]]/100,"")</f>
        <v/>
      </c>
      <c r="AC489" s="7" t="str" cm="1">
        <f t="array" aca="1" ref="AC489" ca="1">IF(Tabela1[[#This Row],[VALOR]]&lt;0,"",IFERROR(SUBSTITUTE(Converter_numero(Tabela1[[#This Row],[VALOR INCISO]]),",",""),""))</f>
        <v/>
      </c>
      <c r="AD489" s="29" t="str">
        <f>IF(Tabela1[[#This Row],[TIPO]]=REGRAS!$W$2,REGRAS!$X$2,IF(Tabela1[[#This Row],[TIPO]]=REGRAS!$W$4,REGRAS!$X$4,""))</f>
        <v/>
      </c>
      <c r="AE489" s="29" t="e">
        <f>VLOOKUP(Tabela1[[#This Row],[FONTE_COD]],REGRAS!$O$2:$P$69,2,FALSE)</f>
        <v>#N/A</v>
      </c>
      <c r="AF4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0" spans="1:32" ht="18.75" customHeight="1">
      <c r="A490" s="2" t="str">
        <f>IFERROR(IF('PREENCHER AQUI'!A490="","",'PREENCHER AQUI'!A490),"")</f>
        <v/>
      </c>
      <c r="B490" s="1" t="str">
        <f>IFERROR(IF('PREENCHER AQUI'!B490="","",PROPER('PREENCHER AQUI'!B490)),"")</f>
        <v/>
      </c>
      <c r="C490" s="1" t="str">
        <f>IFERROR(IF('PREENCHER AQUI'!C490="","",'PREENCHER AQUI'!C490),"")</f>
        <v/>
      </c>
      <c r="D490" s="2" t="str">
        <f>IFERROR(IF('PREENCHER AQUI'!D490="","",'PREENCHER AQUI'!D490),"")</f>
        <v/>
      </c>
      <c r="E490" s="2" t="str">
        <f>IFERROR(VLOOKUP(CONCATENATE(C490,D490),qdd!$C$2:$F$1000,2,FALSE),"")</f>
        <v/>
      </c>
      <c r="F490" s="2" t="str">
        <f>IFERROR(VLOOKUP(CONCATENATE(C490,D490),qdd!$C$2:$F$1000,3,FALSE),"")</f>
        <v/>
      </c>
      <c r="G490" s="2" t="str">
        <f>IFERROR(VLOOKUP(CONCATENATE(C490,D490),qdd!$C$2:$F$1000,4,FALSE),"")</f>
        <v/>
      </c>
      <c r="H490" s="6" t="str">
        <f t="shared" si="16"/>
        <v/>
      </c>
      <c r="I4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0" s="2" t="str">
        <f>IFERROR(IF('PREENCHER AQUI'!E490="","",'PREENCHER AQUI'!E490),"")</f>
        <v/>
      </c>
      <c r="K490" s="2" t="str">
        <f>IFERROR(IF('PREENCHER AQUI'!F490="","",'PREENCHER AQUI'!F490),"")</f>
        <v/>
      </c>
      <c r="L490" s="2" t="str">
        <f>IF(Tabela1[[#This Row],[IPU_COD]]=9,"91",IF(Tabela1[[#This Row],[ACAO_COD]]="","",VLOOKUP(CONCATENATE("G",J490,"M",K490),qdd!$BC$2:$BD$46,2,FALSE)))</f>
        <v/>
      </c>
      <c r="M490" s="2" t="str">
        <f>TEXT(IFERROR(VLOOKUP(CONCATENATE(C490,D490),qdd!$C$2:$G$1000,5,FALSE),""),0)</f>
        <v/>
      </c>
      <c r="N490" s="2" t="str">
        <f>IFERROR(IF('PREENCHER AQUI'!I490="","",'PREENCHER AQUI'!I490),"")</f>
        <v/>
      </c>
      <c r="O490" s="2" t="str">
        <f>IFERROR(IF('PREENCHER AQUI'!J490="","",'PREENCHER AQUI'!J490),"")</f>
        <v/>
      </c>
      <c r="P490" s="7" t="str">
        <f t="shared" si="17"/>
        <v/>
      </c>
      <c r="Q490" s="8" t="str">
        <f>IFERROR(IF(Tabela4[[#This Row],[VALOR]]="","",IF(Tabela1[[#This Row],[ORIENTACAO]]="Anular",'PREENCHER AQUI'!K490*-1*100,'PREENCHER AQUI'!K490*100)),"")</f>
        <v/>
      </c>
      <c r="T490" s="7" t="str">
        <f>IFERROR(IF('PREENCHER AQUI'!L490="","999",LEFT('PREENCHER AQUI'!L490,1)),"")</f>
        <v>999</v>
      </c>
      <c r="V490" s="19"/>
      <c r="W490" s="20" t="str">
        <f>IFERROR(VLOOKUP(Tabela1[[#This Row],[UO_COD]],qdd!$AT$1:$AU$102,2,FALSE),"")</f>
        <v/>
      </c>
      <c r="X490" s="20" t="str">
        <f>CONCATENATE("F",Tabela1[[#This Row],[FONTE_COD]],Tabela1[[#This Row],[IPU_COD]],"G",Tabela1[[#This Row],[GRUPO_COD]],"T",Tabela1[[#This Row],[TIPO]])</f>
        <v>FGT999</v>
      </c>
      <c r="Y4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0" s="19"/>
      <c r="AA490" s="29" t="str">
        <f>IFERROR(VLOOKUP(CONCATENATE("B",Tabela1[[#This Row],[BLOCO]],Tabela1[[#This Row],[UO_COD]]),qdd!$AW$2:$AX$1000,2,FALSE),"")</f>
        <v/>
      </c>
      <c r="AB490" s="30" t="str">
        <f>IFERROR(Tabela1[[#This Row],[VALOR]]/100,"")</f>
        <v/>
      </c>
      <c r="AC490" s="7" t="str" cm="1">
        <f t="array" aca="1" ref="AC490" ca="1">IF(Tabela1[[#This Row],[VALOR]]&lt;0,"",IFERROR(SUBSTITUTE(Converter_numero(Tabela1[[#This Row],[VALOR INCISO]]),",",""),""))</f>
        <v/>
      </c>
      <c r="AD490" s="29" t="str">
        <f>IF(Tabela1[[#This Row],[TIPO]]=REGRAS!$W$2,REGRAS!$X$2,IF(Tabela1[[#This Row],[TIPO]]=REGRAS!$W$4,REGRAS!$X$4,""))</f>
        <v/>
      </c>
      <c r="AE490" s="29" t="e">
        <f>VLOOKUP(Tabela1[[#This Row],[FONTE_COD]],REGRAS!$O$2:$P$69,2,FALSE)</f>
        <v>#N/A</v>
      </c>
      <c r="AF4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1" spans="1:32" ht="18.75" customHeight="1">
      <c r="A491" s="2" t="str">
        <f>IFERROR(IF('PREENCHER AQUI'!A491="","",'PREENCHER AQUI'!A491),"")</f>
        <v/>
      </c>
      <c r="B491" s="1" t="str">
        <f>IFERROR(IF('PREENCHER AQUI'!B491="","",PROPER('PREENCHER AQUI'!B491)),"")</f>
        <v/>
      </c>
      <c r="C491" s="1" t="str">
        <f>IFERROR(IF('PREENCHER AQUI'!C491="","",'PREENCHER AQUI'!C491),"")</f>
        <v/>
      </c>
      <c r="D491" s="2" t="str">
        <f>IFERROR(IF('PREENCHER AQUI'!D491="","",'PREENCHER AQUI'!D491),"")</f>
        <v/>
      </c>
      <c r="E491" s="2" t="str">
        <f>IFERROR(VLOOKUP(CONCATENATE(C491,D491),qdd!$C$2:$F$1000,2,FALSE),"")</f>
        <v/>
      </c>
      <c r="F491" s="2" t="str">
        <f>IFERROR(VLOOKUP(CONCATENATE(C491,D491),qdd!$C$2:$F$1000,3,FALSE),"")</f>
        <v/>
      </c>
      <c r="G491" s="2" t="str">
        <f>IFERROR(VLOOKUP(CONCATENATE(C491,D491),qdd!$C$2:$F$1000,4,FALSE),"")</f>
        <v/>
      </c>
      <c r="H491" s="6" t="str">
        <f t="shared" si="16"/>
        <v/>
      </c>
      <c r="I4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1" s="2" t="str">
        <f>IFERROR(IF('PREENCHER AQUI'!E491="","",'PREENCHER AQUI'!E491),"")</f>
        <v/>
      </c>
      <c r="K491" s="2" t="str">
        <f>IFERROR(IF('PREENCHER AQUI'!F491="","",'PREENCHER AQUI'!F491),"")</f>
        <v/>
      </c>
      <c r="L491" s="2" t="str">
        <f>IF(Tabela1[[#This Row],[IPU_COD]]=9,"91",IF(Tabela1[[#This Row],[ACAO_COD]]="","",VLOOKUP(CONCATENATE("G",J491,"M",K491),qdd!$BC$2:$BD$46,2,FALSE)))</f>
        <v/>
      </c>
      <c r="M491" s="2" t="str">
        <f>TEXT(IFERROR(VLOOKUP(CONCATENATE(C491,D491),qdd!$C$2:$G$1000,5,FALSE),""),0)</f>
        <v/>
      </c>
      <c r="N491" s="2" t="str">
        <f>IFERROR(IF('PREENCHER AQUI'!I491="","",'PREENCHER AQUI'!I491),"")</f>
        <v/>
      </c>
      <c r="O491" s="2" t="str">
        <f>IFERROR(IF('PREENCHER AQUI'!J491="","",'PREENCHER AQUI'!J491),"")</f>
        <v/>
      </c>
      <c r="P491" s="7" t="str">
        <f t="shared" si="17"/>
        <v/>
      </c>
      <c r="Q491" s="8" t="str">
        <f>IFERROR(IF(Tabela4[[#This Row],[VALOR]]="","",IF(Tabela1[[#This Row],[ORIENTACAO]]="Anular",'PREENCHER AQUI'!K491*-1*100,'PREENCHER AQUI'!K491*100)),"")</f>
        <v/>
      </c>
      <c r="T491" s="7" t="str">
        <f>IFERROR(IF('PREENCHER AQUI'!L491="","999",LEFT('PREENCHER AQUI'!L491,1)),"")</f>
        <v>999</v>
      </c>
      <c r="V491" s="19"/>
      <c r="W491" s="1" t="str">
        <f>IFERROR(VLOOKUP(Tabela1[[#This Row],[UO_COD]],qdd!$AT$1:$AU$102,2,FALSE),"")</f>
        <v/>
      </c>
      <c r="X491" s="1" t="str">
        <f>CONCATENATE("F",Tabela1[[#This Row],[FONTE_COD]],Tabela1[[#This Row],[IPU_COD]],"G",Tabela1[[#This Row],[GRUPO_COD]],"T",Tabela1[[#This Row],[TIPO]])</f>
        <v>FGT999</v>
      </c>
      <c r="Y4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1" s="19"/>
      <c r="AA491" s="29" t="str">
        <f>IFERROR(VLOOKUP(CONCATENATE("B",Tabela1[[#This Row],[BLOCO]],Tabela1[[#This Row],[UO_COD]]),qdd!$AW$2:$AX$1000,2,FALSE),"")</f>
        <v/>
      </c>
      <c r="AB491" s="30" t="str">
        <f>IFERROR(Tabela1[[#This Row],[VALOR]]/100,"")</f>
        <v/>
      </c>
      <c r="AC491" s="7" t="str" cm="1">
        <f t="array" aca="1" ref="AC491" ca="1">IF(Tabela1[[#This Row],[VALOR]]&lt;0,"",IFERROR(SUBSTITUTE(Converter_numero(Tabela1[[#This Row],[VALOR INCISO]]),",",""),""))</f>
        <v/>
      </c>
      <c r="AD491" s="29" t="str">
        <f>IF(Tabela1[[#This Row],[TIPO]]=REGRAS!$W$2,REGRAS!$X$2,IF(Tabela1[[#This Row],[TIPO]]=REGRAS!$W$4,REGRAS!$X$4,""))</f>
        <v/>
      </c>
      <c r="AE491" s="29" t="e">
        <f>VLOOKUP(Tabela1[[#This Row],[FONTE_COD]],REGRAS!$O$2:$P$69,2,FALSE)</f>
        <v>#N/A</v>
      </c>
      <c r="AF4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2" spans="1:32" ht="18.75" customHeight="1">
      <c r="A492" s="2" t="str">
        <f>IFERROR(IF('PREENCHER AQUI'!A492="","",'PREENCHER AQUI'!A492),"")</f>
        <v/>
      </c>
      <c r="B492" s="1" t="str">
        <f>IFERROR(IF('PREENCHER AQUI'!B492="","",PROPER('PREENCHER AQUI'!B492)),"")</f>
        <v/>
      </c>
      <c r="C492" s="1" t="str">
        <f>IFERROR(IF('PREENCHER AQUI'!C492="","",'PREENCHER AQUI'!C492),"")</f>
        <v/>
      </c>
      <c r="D492" s="2" t="str">
        <f>IFERROR(IF('PREENCHER AQUI'!D492="","",'PREENCHER AQUI'!D492),"")</f>
        <v/>
      </c>
      <c r="E492" s="2" t="str">
        <f>IFERROR(VLOOKUP(CONCATENATE(C492,D492),qdd!$C$2:$F$1000,2,FALSE),"")</f>
        <v/>
      </c>
      <c r="F492" s="2" t="str">
        <f>IFERROR(VLOOKUP(CONCATENATE(C492,D492),qdd!$C$2:$F$1000,3,FALSE),"")</f>
        <v/>
      </c>
      <c r="G492" s="2" t="str">
        <f>IFERROR(VLOOKUP(CONCATENATE(C492,D492),qdd!$C$2:$F$1000,4,FALSE),"")</f>
        <v/>
      </c>
      <c r="H492" s="6" t="str">
        <f t="shared" si="16"/>
        <v/>
      </c>
      <c r="I4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2" s="2" t="str">
        <f>IFERROR(IF('PREENCHER AQUI'!E492="","",'PREENCHER AQUI'!E492),"")</f>
        <v/>
      </c>
      <c r="K492" s="2" t="str">
        <f>IFERROR(IF('PREENCHER AQUI'!F492="","",'PREENCHER AQUI'!F492),"")</f>
        <v/>
      </c>
      <c r="L492" s="2" t="str">
        <f>IF(Tabela1[[#This Row],[IPU_COD]]=9,"91",IF(Tabela1[[#This Row],[ACAO_COD]]="","",VLOOKUP(CONCATENATE("G",J492,"M",K492),qdd!$BC$2:$BD$46,2,FALSE)))</f>
        <v/>
      </c>
      <c r="M492" s="2" t="str">
        <f>TEXT(IFERROR(VLOOKUP(CONCATENATE(C492,D492),qdd!$C$2:$G$1000,5,FALSE),""),0)</f>
        <v/>
      </c>
      <c r="N492" s="2" t="str">
        <f>IFERROR(IF('PREENCHER AQUI'!I492="","",'PREENCHER AQUI'!I492),"")</f>
        <v/>
      </c>
      <c r="O492" s="2" t="str">
        <f>IFERROR(IF('PREENCHER AQUI'!J492="","",'PREENCHER AQUI'!J492),"")</f>
        <v/>
      </c>
      <c r="P492" s="7" t="str">
        <f t="shared" si="17"/>
        <v/>
      </c>
      <c r="Q492" s="8" t="str">
        <f>IFERROR(IF(Tabela4[[#This Row],[VALOR]]="","",IF(Tabela1[[#This Row],[ORIENTACAO]]="Anular",'PREENCHER AQUI'!K492*-1*100,'PREENCHER AQUI'!K492*100)),"")</f>
        <v/>
      </c>
      <c r="T492" s="7" t="str">
        <f>IFERROR(IF('PREENCHER AQUI'!L492="","999",LEFT('PREENCHER AQUI'!L492,1)),"")</f>
        <v>999</v>
      </c>
      <c r="W492" s="1" t="str">
        <f>IFERROR(VLOOKUP(Tabela1[[#This Row],[UO_COD]],qdd!$AT$1:$AU$102,2,FALSE),"")</f>
        <v/>
      </c>
      <c r="X492" s="1" t="str">
        <f>CONCATENATE("F",Tabela1[[#This Row],[FONTE_COD]],Tabela1[[#This Row],[IPU_COD]],"G",Tabela1[[#This Row],[GRUPO_COD]],"T",Tabela1[[#This Row],[TIPO]])</f>
        <v>FGT999</v>
      </c>
      <c r="Y4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2" s="19"/>
      <c r="AA492" s="29" t="str">
        <f>IFERROR(VLOOKUP(CONCATENATE("B",Tabela1[[#This Row],[BLOCO]],Tabela1[[#This Row],[UO_COD]]),qdd!$AW$2:$AX$1000,2,FALSE),"")</f>
        <v/>
      </c>
      <c r="AB492" s="30" t="str">
        <f>IFERROR(Tabela1[[#This Row],[VALOR]]/100,"")</f>
        <v/>
      </c>
      <c r="AC492" s="7" t="str" cm="1">
        <f t="array" aca="1" ref="AC492" ca="1">IF(Tabela1[[#This Row],[VALOR]]&lt;0,"",IFERROR(SUBSTITUTE(Converter_numero(Tabela1[[#This Row],[VALOR INCISO]]),",",""),""))</f>
        <v/>
      </c>
      <c r="AD492" s="7" t="str">
        <f>IF(Tabela1[[#This Row],[TIPO]]=REGRAS!$W$2,REGRAS!$X$2,IF(Tabela1[[#This Row],[TIPO]]=REGRAS!$W$4,REGRAS!$X$4,""))</f>
        <v/>
      </c>
      <c r="AE492" s="29" t="e">
        <f>VLOOKUP(Tabela1[[#This Row],[FONTE_COD]],REGRAS!$O$2:$P$69,2,FALSE)</f>
        <v>#N/A</v>
      </c>
      <c r="AF4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3" spans="1:32" ht="18.75" customHeight="1">
      <c r="A493" s="2" t="str">
        <f>IFERROR(IF('PREENCHER AQUI'!A493="","",'PREENCHER AQUI'!A493),"")</f>
        <v/>
      </c>
      <c r="B493" s="1" t="str">
        <f>IFERROR(IF('PREENCHER AQUI'!B493="","",PROPER('PREENCHER AQUI'!B493)),"")</f>
        <v/>
      </c>
      <c r="C493" s="1" t="str">
        <f>IFERROR(IF('PREENCHER AQUI'!C493="","",'PREENCHER AQUI'!C493),"")</f>
        <v/>
      </c>
      <c r="D493" s="2" t="str">
        <f>IFERROR(IF('PREENCHER AQUI'!D493="","",'PREENCHER AQUI'!D493),"")</f>
        <v/>
      </c>
      <c r="E493" s="2" t="str">
        <f>IFERROR(VLOOKUP(CONCATENATE(C493,D493),qdd!$C$2:$F$1000,2,FALSE),"")</f>
        <v/>
      </c>
      <c r="F493" s="2" t="str">
        <f>IFERROR(VLOOKUP(CONCATENATE(C493,D493),qdd!$C$2:$F$1000,3,FALSE),"")</f>
        <v/>
      </c>
      <c r="G493" s="2" t="str">
        <f>IFERROR(VLOOKUP(CONCATENATE(C493,D493),qdd!$C$2:$F$1000,4,FALSE),"")</f>
        <v/>
      </c>
      <c r="H493" s="6" t="str">
        <f t="shared" si="16"/>
        <v/>
      </c>
      <c r="I4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3" s="2" t="str">
        <f>IFERROR(IF('PREENCHER AQUI'!E493="","",'PREENCHER AQUI'!E493),"")</f>
        <v/>
      </c>
      <c r="K493" s="2" t="str">
        <f>IFERROR(IF('PREENCHER AQUI'!F493="","",'PREENCHER AQUI'!F493),"")</f>
        <v/>
      </c>
      <c r="L493" s="2" t="str">
        <f>IF(Tabela1[[#This Row],[IPU_COD]]=9,"91",IF(Tabela1[[#This Row],[ACAO_COD]]="","",VLOOKUP(CONCATENATE("G",J493,"M",K493),qdd!$BC$2:$BD$46,2,FALSE)))</f>
        <v/>
      </c>
      <c r="M493" s="2" t="str">
        <f>TEXT(IFERROR(VLOOKUP(CONCATENATE(C493,D493),qdd!$C$2:$G$1000,5,FALSE),""),0)</f>
        <v/>
      </c>
      <c r="N493" s="2" t="str">
        <f>IFERROR(IF('PREENCHER AQUI'!I493="","",'PREENCHER AQUI'!I493),"")</f>
        <v/>
      </c>
      <c r="O493" s="2" t="str">
        <f>IFERROR(IF('PREENCHER AQUI'!J493="","",'PREENCHER AQUI'!J493),"")</f>
        <v/>
      </c>
      <c r="P493" s="7" t="str">
        <f t="shared" si="17"/>
        <v/>
      </c>
      <c r="Q493" s="8" t="str">
        <f>IFERROR(IF(Tabela4[[#This Row],[VALOR]]="","",IF(Tabela1[[#This Row],[ORIENTACAO]]="Anular",'PREENCHER AQUI'!K493*-1*100,'PREENCHER AQUI'!K493*100)),"")</f>
        <v/>
      </c>
      <c r="T493" s="7" t="str">
        <f>IFERROR(IF('PREENCHER AQUI'!L493="","999",LEFT('PREENCHER AQUI'!L493,1)),"")</f>
        <v>999</v>
      </c>
      <c r="V493" s="19"/>
      <c r="W493" s="1" t="str">
        <f>IFERROR(VLOOKUP(Tabela1[[#This Row],[UO_COD]],qdd!$AT$1:$AU$102,2,FALSE),"")</f>
        <v/>
      </c>
      <c r="X493" s="1" t="str">
        <f>CONCATENATE("F",Tabela1[[#This Row],[FONTE_COD]],Tabela1[[#This Row],[IPU_COD]],"G",Tabela1[[#This Row],[GRUPO_COD]],"T",Tabela1[[#This Row],[TIPO]])</f>
        <v>FGT999</v>
      </c>
      <c r="Y4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3" s="19"/>
      <c r="AA493" s="29" t="str">
        <f>IFERROR(VLOOKUP(CONCATENATE("B",Tabela1[[#This Row],[BLOCO]],Tabela1[[#This Row],[UO_COD]]),qdd!$AW$2:$AX$1000,2,FALSE),"")</f>
        <v/>
      </c>
      <c r="AB493" s="30" t="str">
        <f>IFERROR(Tabela1[[#This Row],[VALOR]]/100,"")</f>
        <v/>
      </c>
      <c r="AC493" s="7" t="str" cm="1">
        <f t="array" aca="1" ref="AC493" ca="1">IF(Tabela1[[#This Row],[VALOR]]&lt;0,"",IFERROR(SUBSTITUTE(Converter_numero(Tabela1[[#This Row],[VALOR INCISO]]),",",""),""))</f>
        <v/>
      </c>
      <c r="AD493" s="29" t="str">
        <f>IF(Tabela1[[#This Row],[TIPO]]=REGRAS!$W$2,REGRAS!$X$2,IF(Tabela1[[#This Row],[TIPO]]=REGRAS!$W$4,REGRAS!$X$4,""))</f>
        <v/>
      </c>
      <c r="AE493" s="29" t="e">
        <f>VLOOKUP(Tabela1[[#This Row],[FONTE_COD]],REGRAS!$O$2:$P$69,2,FALSE)</f>
        <v>#N/A</v>
      </c>
      <c r="AF4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4" spans="1:32" ht="18.75" customHeight="1">
      <c r="A494" s="2" t="str">
        <f>IFERROR(IF('PREENCHER AQUI'!A494="","",'PREENCHER AQUI'!A494),"")</f>
        <v/>
      </c>
      <c r="B494" s="1" t="str">
        <f>IFERROR(IF('PREENCHER AQUI'!B494="","",PROPER('PREENCHER AQUI'!B494)),"")</f>
        <v/>
      </c>
      <c r="C494" s="1" t="str">
        <f>IFERROR(IF('PREENCHER AQUI'!C494="","",'PREENCHER AQUI'!C494),"")</f>
        <v/>
      </c>
      <c r="D494" s="2" t="str">
        <f>IFERROR(IF('PREENCHER AQUI'!D494="","",'PREENCHER AQUI'!D494),"")</f>
        <v/>
      </c>
      <c r="E494" s="2" t="str">
        <f>IFERROR(VLOOKUP(CONCATENATE(C494,D494),qdd!$C$2:$F$1000,2,FALSE),"")</f>
        <v/>
      </c>
      <c r="F494" s="2" t="str">
        <f>IFERROR(VLOOKUP(CONCATENATE(C494,D494),qdd!$C$2:$F$1000,3,FALSE),"")</f>
        <v/>
      </c>
      <c r="G494" s="2" t="str">
        <f>IFERROR(VLOOKUP(CONCATENATE(C494,D494),qdd!$C$2:$F$1000,4,FALSE),"")</f>
        <v/>
      </c>
      <c r="H494" s="6" t="str">
        <f t="shared" si="16"/>
        <v/>
      </c>
      <c r="I4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4" s="2" t="str">
        <f>IFERROR(IF('PREENCHER AQUI'!E494="","",'PREENCHER AQUI'!E494),"")</f>
        <v/>
      </c>
      <c r="K494" s="2" t="str">
        <f>IFERROR(IF('PREENCHER AQUI'!F494="","",'PREENCHER AQUI'!F494),"")</f>
        <v/>
      </c>
      <c r="L494" s="2" t="str">
        <f>IF(Tabela1[[#This Row],[IPU_COD]]=9,"91",IF(Tabela1[[#This Row],[ACAO_COD]]="","",VLOOKUP(CONCATENATE("G",J494,"M",K494),qdd!$BC$2:$BD$46,2,FALSE)))</f>
        <v/>
      </c>
      <c r="M494" s="2" t="str">
        <f>TEXT(IFERROR(VLOOKUP(CONCATENATE(C494,D494),qdd!$C$2:$G$1000,5,FALSE),""),0)</f>
        <v/>
      </c>
      <c r="N494" s="2" t="str">
        <f>IFERROR(IF('PREENCHER AQUI'!I494="","",'PREENCHER AQUI'!I494),"")</f>
        <v/>
      </c>
      <c r="O494" s="2" t="str">
        <f>IFERROR(IF('PREENCHER AQUI'!J494="","",'PREENCHER AQUI'!J494),"")</f>
        <v/>
      </c>
      <c r="P494" s="7" t="str">
        <f t="shared" si="17"/>
        <v/>
      </c>
      <c r="Q494" s="8" t="str">
        <f>IFERROR(IF(Tabela4[[#This Row],[VALOR]]="","",IF(Tabela1[[#This Row],[ORIENTACAO]]="Anular",'PREENCHER AQUI'!K494*-1*100,'PREENCHER AQUI'!K494*100)),"")</f>
        <v/>
      </c>
      <c r="T494" s="7" t="str">
        <f>IFERROR(IF('PREENCHER AQUI'!L494="","999",LEFT('PREENCHER AQUI'!L494,1)),"")</f>
        <v>999</v>
      </c>
      <c r="V494" s="19"/>
      <c r="W494" s="1" t="str">
        <f>IFERROR(VLOOKUP(Tabela1[[#This Row],[UO_COD]],qdd!$AT$1:$AU$102,2,FALSE),"")</f>
        <v/>
      </c>
      <c r="X494" s="1" t="str">
        <f>CONCATENATE("F",Tabela1[[#This Row],[FONTE_COD]],Tabela1[[#This Row],[IPU_COD]],"G",Tabela1[[#This Row],[GRUPO_COD]],"T",Tabela1[[#This Row],[TIPO]])</f>
        <v>FGT999</v>
      </c>
      <c r="Y4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4" s="19"/>
      <c r="AA494" s="29" t="str">
        <f>IFERROR(VLOOKUP(CONCATENATE("B",Tabela1[[#This Row],[BLOCO]],Tabela1[[#This Row],[UO_COD]]),qdd!$AW$2:$AX$1000,2,FALSE),"")</f>
        <v/>
      </c>
      <c r="AB494" s="30" t="str">
        <f>IFERROR(Tabela1[[#This Row],[VALOR]]/100,"")</f>
        <v/>
      </c>
      <c r="AC494" s="7" t="str" cm="1">
        <f t="array" aca="1" ref="AC494" ca="1">IF(Tabela1[[#This Row],[VALOR]]&lt;0,"",IFERROR(SUBSTITUTE(Converter_numero(Tabela1[[#This Row],[VALOR INCISO]]),",",""),""))</f>
        <v/>
      </c>
      <c r="AD494" s="29" t="str">
        <f>IF(Tabela1[[#This Row],[TIPO]]=REGRAS!$W$2,REGRAS!$X$2,IF(Tabela1[[#This Row],[TIPO]]=REGRAS!$W$4,REGRAS!$X$4,""))</f>
        <v/>
      </c>
      <c r="AE494" s="29" t="e">
        <f>VLOOKUP(Tabela1[[#This Row],[FONTE_COD]],REGRAS!$O$2:$P$69,2,FALSE)</f>
        <v>#N/A</v>
      </c>
      <c r="AF4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5" spans="1:32" ht="18.75" customHeight="1">
      <c r="A495" s="2" t="str">
        <f>IFERROR(IF('PREENCHER AQUI'!A495="","",'PREENCHER AQUI'!A495),"")</f>
        <v/>
      </c>
      <c r="B495" s="1" t="str">
        <f>IFERROR(IF('PREENCHER AQUI'!B495="","",PROPER('PREENCHER AQUI'!B495)),"")</f>
        <v/>
      </c>
      <c r="C495" s="1" t="str">
        <f>IFERROR(IF('PREENCHER AQUI'!C495="","",'PREENCHER AQUI'!C495),"")</f>
        <v/>
      </c>
      <c r="D495" s="2" t="str">
        <f>IFERROR(IF('PREENCHER AQUI'!D495="","",'PREENCHER AQUI'!D495),"")</f>
        <v/>
      </c>
      <c r="E495" s="2" t="str">
        <f>IFERROR(VLOOKUP(CONCATENATE(C495,D495),qdd!$C$2:$F$1000,2,FALSE),"")</f>
        <v/>
      </c>
      <c r="F495" s="2" t="str">
        <f>IFERROR(VLOOKUP(CONCATENATE(C495,D495),qdd!$C$2:$F$1000,3,FALSE),"")</f>
        <v/>
      </c>
      <c r="G495" s="2" t="str">
        <f>IFERROR(VLOOKUP(CONCATENATE(C495,D495),qdd!$C$2:$F$1000,4,FALSE),"")</f>
        <v/>
      </c>
      <c r="H495" s="6" t="str">
        <f t="shared" si="16"/>
        <v/>
      </c>
      <c r="I4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5" s="2" t="str">
        <f>IFERROR(IF('PREENCHER AQUI'!E495="","",'PREENCHER AQUI'!E495),"")</f>
        <v/>
      </c>
      <c r="K495" s="2" t="str">
        <f>IFERROR(IF('PREENCHER AQUI'!F495="","",'PREENCHER AQUI'!F495),"")</f>
        <v/>
      </c>
      <c r="L495" s="2" t="str">
        <f>IF(Tabela1[[#This Row],[IPU_COD]]=9,"91",IF(Tabela1[[#This Row],[ACAO_COD]]="","",VLOOKUP(CONCATENATE("G",J495,"M",K495),qdd!$BC$2:$BD$46,2,FALSE)))</f>
        <v/>
      </c>
      <c r="M495" s="2" t="str">
        <f>TEXT(IFERROR(VLOOKUP(CONCATENATE(C495,D495),qdd!$C$2:$G$1000,5,FALSE),""),0)</f>
        <v/>
      </c>
      <c r="N495" s="2" t="str">
        <f>IFERROR(IF('PREENCHER AQUI'!I495="","",'PREENCHER AQUI'!I495),"")</f>
        <v/>
      </c>
      <c r="O495" s="2" t="str">
        <f>IFERROR(IF('PREENCHER AQUI'!J495="","",'PREENCHER AQUI'!J495),"")</f>
        <v/>
      </c>
      <c r="P495" s="7" t="str">
        <f t="shared" si="17"/>
        <v/>
      </c>
      <c r="Q495" s="8" t="str">
        <f>IFERROR(IF(Tabela4[[#This Row],[VALOR]]="","",IF(Tabela1[[#This Row],[ORIENTACAO]]="Anular",'PREENCHER AQUI'!K495*-1*100,'PREENCHER AQUI'!K495*100)),"")</f>
        <v/>
      </c>
      <c r="T495" s="7" t="str">
        <f>IFERROR(IF('PREENCHER AQUI'!L495="","999",LEFT('PREENCHER AQUI'!L495,1)),"")</f>
        <v>999</v>
      </c>
      <c r="V495" s="19"/>
      <c r="W495" s="20" t="str">
        <f>IFERROR(VLOOKUP(Tabela1[[#This Row],[UO_COD]],qdd!$AT$1:$AU$102,2,FALSE),"")</f>
        <v/>
      </c>
      <c r="X495" s="20" t="str">
        <f>CONCATENATE("F",Tabela1[[#This Row],[FONTE_COD]],Tabela1[[#This Row],[IPU_COD]],"G",Tabela1[[#This Row],[GRUPO_COD]],"T",Tabela1[[#This Row],[TIPO]])</f>
        <v>FGT999</v>
      </c>
      <c r="Y4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5" s="19"/>
      <c r="AA495" s="29" t="str">
        <f>IFERROR(VLOOKUP(CONCATENATE("B",Tabela1[[#This Row],[BLOCO]],Tabela1[[#This Row],[UO_COD]]),qdd!$AW$2:$AX$1000,2,FALSE),"")</f>
        <v/>
      </c>
      <c r="AB495" s="30" t="str">
        <f>IFERROR(Tabela1[[#This Row],[VALOR]]/100,"")</f>
        <v/>
      </c>
      <c r="AC495" s="7" t="str" cm="1">
        <f t="array" aca="1" ref="AC495" ca="1">IF(Tabela1[[#This Row],[VALOR]]&lt;0,"",IFERROR(SUBSTITUTE(Converter_numero(Tabela1[[#This Row],[VALOR INCISO]]),",",""),""))</f>
        <v/>
      </c>
      <c r="AD495" s="29" t="str">
        <f>IF(Tabela1[[#This Row],[TIPO]]=REGRAS!$W$2,REGRAS!$X$2,IF(Tabela1[[#This Row],[TIPO]]=REGRAS!$W$4,REGRAS!$X$4,""))</f>
        <v/>
      </c>
      <c r="AE495" s="29" t="e">
        <f>VLOOKUP(Tabela1[[#This Row],[FONTE_COD]],REGRAS!$O$2:$P$69,2,FALSE)</f>
        <v>#N/A</v>
      </c>
      <c r="AF4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6" spans="1:32" ht="18.75" customHeight="1">
      <c r="A496" s="2" t="str">
        <f>IFERROR(IF('PREENCHER AQUI'!A496="","",'PREENCHER AQUI'!A496),"")</f>
        <v/>
      </c>
      <c r="B496" s="1" t="str">
        <f>IFERROR(IF('PREENCHER AQUI'!B496="","",PROPER('PREENCHER AQUI'!B496)),"")</f>
        <v/>
      </c>
      <c r="C496" s="1" t="str">
        <f>IFERROR(IF('PREENCHER AQUI'!C496="","",'PREENCHER AQUI'!C496),"")</f>
        <v/>
      </c>
      <c r="D496" s="2" t="str">
        <f>IFERROR(IF('PREENCHER AQUI'!D496="","",'PREENCHER AQUI'!D496),"")</f>
        <v/>
      </c>
      <c r="E496" s="2" t="str">
        <f>IFERROR(VLOOKUP(CONCATENATE(C496,D496),qdd!$C$2:$F$1000,2,FALSE),"")</f>
        <v/>
      </c>
      <c r="F496" s="2" t="str">
        <f>IFERROR(VLOOKUP(CONCATENATE(C496,D496),qdd!$C$2:$F$1000,3,FALSE),"")</f>
        <v/>
      </c>
      <c r="G496" s="2" t="str">
        <f>IFERROR(VLOOKUP(CONCATENATE(C496,D496),qdd!$C$2:$F$1000,4,FALSE),"")</f>
        <v/>
      </c>
      <c r="H496" s="6" t="str">
        <f t="shared" si="16"/>
        <v/>
      </c>
      <c r="I4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6" s="2" t="str">
        <f>IFERROR(IF('PREENCHER AQUI'!E496="","",'PREENCHER AQUI'!E496),"")</f>
        <v/>
      </c>
      <c r="K496" s="2" t="str">
        <f>IFERROR(IF('PREENCHER AQUI'!F496="","",'PREENCHER AQUI'!F496),"")</f>
        <v/>
      </c>
      <c r="L496" s="2" t="str">
        <f>IF(Tabela1[[#This Row],[IPU_COD]]=9,"91",IF(Tabela1[[#This Row],[ACAO_COD]]="","",VLOOKUP(CONCATENATE("G",J496,"M",K496),qdd!$BC$2:$BD$46,2,FALSE)))</f>
        <v/>
      </c>
      <c r="M496" s="2" t="str">
        <f>TEXT(IFERROR(VLOOKUP(CONCATENATE(C496,D496),qdd!$C$2:$G$1000,5,FALSE),""),0)</f>
        <v/>
      </c>
      <c r="N496" s="2" t="str">
        <f>IFERROR(IF('PREENCHER AQUI'!I496="","",'PREENCHER AQUI'!I496),"")</f>
        <v/>
      </c>
      <c r="O496" s="2" t="str">
        <f>IFERROR(IF('PREENCHER AQUI'!J496="","",'PREENCHER AQUI'!J496),"")</f>
        <v/>
      </c>
      <c r="P496" s="7" t="str">
        <f t="shared" si="17"/>
        <v/>
      </c>
      <c r="Q496" s="8" t="str">
        <f>IFERROR(IF(Tabela4[[#This Row],[VALOR]]="","",IF(Tabela1[[#This Row],[ORIENTACAO]]="Anular",'PREENCHER AQUI'!K496*-1*100,'PREENCHER AQUI'!K496*100)),"")</f>
        <v/>
      </c>
      <c r="T496" s="7" t="str">
        <f>IFERROR(IF('PREENCHER AQUI'!L496="","999",LEFT('PREENCHER AQUI'!L496,1)),"")</f>
        <v>999</v>
      </c>
      <c r="V496" s="19"/>
      <c r="W496" s="1" t="str">
        <f>IFERROR(VLOOKUP(Tabela1[[#This Row],[UO_COD]],qdd!$AT$1:$AU$102,2,FALSE),"")</f>
        <v/>
      </c>
      <c r="X496" s="1" t="str">
        <f>CONCATENATE("F",Tabela1[[#This Row],[FONTE_COD]],Tabela1[[#This Row],[IPU_COD]],"G",Tabela1[[#This Row],[GRUPO_COD]],"T",Tabela1[[#This Row],[TIPO]])</f>
        <v>FGT999</v>
      </c>
      <c r="Y4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6" s="19"/>
      <c r="AA496" s="29" t="str">
        <f>IFERROR(VLOOKUP(CONCATENATE("B",Tabela1[[#This Row],[BLOCO]],Tabela1[[#This Row],[UO_COD]]),qdd!$AW$2:$AX$1000,2,FALSE),"")</f>
        <v/>
      </c>
      <c r="AB496" s="30" t="str">
        <f>IFERROR(Tabela1[[#This Row],[VALOR]]/100,"")</f>
        <v/>
      </c>
      <c r="AC496" s="7" t="str" cm="1">
        <f t="array" aca="1" ref="AC496" ca="1">IF(Tabela1[[#This Row],[VALOR]]&lt;0,"",IFERROR(SUBSTITUTE(Converter_numero(Tabela1[[#This Row],[VALOR INCISO]]),",",""),""))</f>
        <v/>
      </c>
      <c r="AD496" s="29" t="str">
        <f>IF(Tabela1[[#This Row],[TIPO]]=REGRAS!$W$2,REGRAS!$X$2,IF(Tabela1[[#This Row],[TIPO]]=REGRAS!$W$4,REGRAS!$X$4,""))</f>
        <v/>
      </c>
      <c r="AE496" s="29" t="e">
        <f>VLOOKUP(Tabela1[[#This Row],[FONTE_COD]],REGRAS!$O$2:$P$69,2,FALSE)</f>
        <v>#N/A</v>
      </c>
      <c r="AF4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7" spans="1:32" ht="18.75" customHeight="1">
      <c r="A497" s="2" t="str">
        <f>IFERROR(IF('PREENCHER AQUI'!A497="","",'PREENCHER AQUI'!A497),"")</f>
        <v/>
      </c>
      <c r="B497" s="1" t="str">
        <f>IFERROR(IF('PREENCHER AQUI'!B497="","",PROPER('PREENCHER AQUI'!B497)),"")</f>
        <v/>
      </c>
      <c r="C497" s="1" t="str">
        <f>IFERROR(IF('PREENCHER AQUI'!C497="","",'PREENCHER AQUI'!C497),"")</f>
        <v/>
      </c>
      <c r="D497" s="2" t="str">
        <f>IFERROR(IF('PREENCHER AQUI'!D497="","",'PREENCHER AQUI'!D497),"")</f>
        <v/>
      </c>
      <c r="E497" s="2" t="str">
        <f>IFERROR(VLOOKUP(CONCATENATE(C497,D497),qdd!$C$2:$F$1000,2,FALSE),"")</f>
        <v/>
      </c>
      <c r="F497" s="2" t="str">
        <f>IFERROR(VLOOKUP(CONCATENATE(C497,D497),qdd!$C$2:$F$1000,3,FALSE),"")</f>
        <v/>
      </c>
      <c r="G497" s="2" t="str">
        <f>IFERROR(VLOOKUP(CONCATENATE(C497,D497),qdd!$C$2:$F$1000,4,FALSE),"")</f>
        <v/>
      </c>
      <c r="H497" s="6" t="str">
        <f t="shared" si="16"/>
        <v/>
      </c>
      <c r="I4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7" s="2" t="str">
        <f>IFERROR(IF('PREENCHER AQUI'!E497="","",'PREENCHER AQUI'!E497),"")</f>
        <v/>
      </c>
      <c r="K497" s="2" t="str">
        <f>IFERROR(IF('PREENCHER AQUI'!F497="","",'PREENCHER AQUI'!F497),"")</f>
        <v/>
      </c>
      <c r="L497" s="2" t="str">
        <f>IF(Tabela1[[#This Row],[IPU_COD]]=9,"91",IF(Tabela1[[#This Row],[ACAO_COD]]="","",VLOOKUP(CONCATENATE("G",J497,"M",K497),qdd!$BC$2:$BD$46,2,FALSE)))</f>
        <v/>
      </c>
      <c r="M497" s="2" t="str">
        <f>TEXT(IFERROR(VLOOKUP(CONCATENATE(C497,D497),qdd!$C$2:$G$1000,5,FALSE),""),0)</f>
        <v/>
      </c>
      <c r="N497" s="2" t="str">
        <f>IFERROR(IF('PREENCHER AQUI'!I497="","",'PREENCHER AQUI'!I497),"")</f>
        <v/>
      </c>
      <c r="O497" s="2" t="str">
        <f>IFERROR(IF('PREENCHER AQUI'!J497="","",'PREENCHER AQUI'!J497),"")</f>
        <v/>
      </c>
      <c r="P497" s="7" t="str">
        <f t="shared" si="17"/>
        <v/>
      </c>
      <c r="Q497" s="8" t="str">
        <f>IFERROR(IF(Tabela4[[#This Row],[VALOR]]="","",IF(Tabela1[[#This Row],[ORIENTACAO]]="Anular",'PREENCHER AQUI'!K497*-1*100,'PREENCHER AQUI'!K497*100)),"")</f>
        <v/>
      </c>
      <c r="T497" s="7" t="str">
        <f>IFERROR(IF('PREENCHER AQUI'!L497="","999",LEFT('PREENCHER AQUI'!L497,1)),"")</f>
        <v>999</v>
      </c>
      <c r="W497" s="1" t="str">
        <f>IFERROR(VLOOKUP(Tabela1[[#This Row],[UO_COD]],qdd!$AT$1:$AU$102,2,FALSE),"")</f>
        <v/>
      </c>
      <c r="X497" s="1" t="str">
        <f>CONCATENATE("F",Tabela1[[#This Row],[FONTE_COD]],Tabela1[[#This Row],[IPU_COD]],"G",Tabela1[[#This Row],[GRUPO_COD]],"T",Tabela1[[#This Row],[TIPO]])</f>
        <v>FGT999</v>
      </c>
      <c r="Y4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7" s="19"/>
      <c r="AA497" s="29" t="str">
        <f>IFERROR(VLOOKUP(CONCATENATE("B",Tabela1[[#This Row],[BLOCO]],Tabela1[[#This Row],[UO_COD]]),qdd!$AW$2:$AX$1000,2,FALSE),"")</f>
        <v/>
      </c>
      <c r="AB497" s="30" t="str">
        <f>IFERROR(Tabela1[[#This Row],[VALOR]]/100,"")</f>
        <v/>
      </c>
      <c r="AC497" s="7" t="str" cm="1">
        <f t="array" aca="1" ref="AC497" ca="1">IF(Tabela1[[#This Row],[VALOR]]&lt;0,"",IFERROR(SUBSTITUTE(Converter_numero(Tabela1[[#This Row],[VALOR INCISO]]),",",""),""))</f>
        <v/>
      </c>
      <c r="AD497" s="7" t="str">
        <f>IF(Tabela1[[#This Row],[TIPO]]=REGRAS!$W$2,REGRAS!$X$2,IF(Tabela1[[#This Row],[TIPO]]=REGRAS!$W$4,REGRAS!$X$4,""))</f>
        <v/>
      </c>
      <c r="AE497" s="29" t="e">
        <f>VLOOKUP(Tabela1[[#This Row],[FONTE_COD]],REGRAS!$O$2:$P$69,2,FALSE)</f>
        <v>#N/A</v>
      </c>
      <c r="AF4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8" spans="1:32" ht="18.75" customHeight="1">
      <c r="A498" s="2" t="str">
        <f>IFERROR(IF('PREENCHER AQUI'!A498="","",'PREENCHER AQUI'!A498),"")</f>
        <v/>
      </c>
      <c r="B498" s="1" t="str">
        <f>IFERROR(IF('PREENCHER AQUI'!B498="","",PROPER('PREENCHER AQUI'!B498)),"")</f>
        <v/>
      </c>
      <c r="C498" s="1" t="str">
        <f>IFERROR(IF('PREENCHER AQUI'!C498="","",'PREENCHER AQUI'!C498),"")</f>
        <v/>
      </c>
      <c r="D498" s="2" t="str">
        <f>IFERROR(IF('PREENCHER AQUI'!D498="","",'PREENCHER AQUI'!D498),"")</f>
        <v/>
      </c>
      <c r="E498" s="2" t="str">
        <f>IFERROR(VLOOKUP(CONCATENATE(C498,D498),qdd!$C$2:$F$1000,2,FALSE),"")</f>
        <v/>
      </c>
      <c r="F498" s="2" t="str">
        <f>IFERROR(VLOOKUP(CONCATENATE(C498,D498),qdd!$C$2:$F$1000,3,FALSE),"")</f>
        <v/>
      </c>
      <c r="G498" s="2" t="str">
        <f>IFERROR(VLOOKUP(CONCATENATE(C498,D498),qdd!$C$2:$F$1000,4,FALSE),"")</f>
        <v/>
      </c>
      <c r="H498" s="6" t="str">
        <f t="shared" si="16"/>
        <v/>
      </c>
      <c r="I4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8" s="2" t="str">
        <f>IFERROR(IF('PREENCHER AQUI'!E498="","",'PREENCHER AQUI'!E498),"")</f>
        <v/>
      </c>
      <c r="K498" s="2" t="str">
        <f>IFERROR(IF('PREENCHER AQUI'!F498="","",'PREENCHER AQUI'!F498),"")</f>
        <v/>
      </c>
      <c r="L498" s="2" t="str">
        <f>IF(Tabela1[[#This Row],[IPU_COD]]=9,"91",IF(Tabela1[[#This Row],[ACAO_COD]]="","",VLOOKUP(CONCATENATE("G",J498,"M",K498),qdd!$BC$2:$BD$46,2,FALSE)))</f>
        <v/>
      </c>
      <c r="M498" s="2" t="str">
        <f>TEXT(IFERROR(VLOOKUP(CONCATENATE(C498,D498),qdd!$C$2:$G$1000,5,FALSE),""),0)</f>
        <v/>
      </c>
      <c r="N498" s="2" t="str">
        <f>IFERROR(IF('PREENCHER AQUI'!I498="","",'PREENCHER AQUI'!I498),"")</f>
        <v/>
      </c>
      <c r="O498" s="2" t="str">
        <f>IFERROR(IF('PREENCHER AQUI'!J498="","",'PREENCHER AQUI'!J498),"")</f>
        <v/>
      </c>
      <c r="P498" s="7" t="str">
        <f t="shared" si="17"/>
        <v/>
      </c>
      <c r="Q498" s="8" t="str">
        <f>IFERROR(IF(Tabela4[[#This Row],[VALOR]]="","",IF(Tabela1[[#This Row],[ORIENTACAO]]="Anular",'PREENCHER AQUI'!K498*-1*100,'PREENCHER AQUI'!K498*100)),"")</f>
        <v/>
      </c>
      <c r="T498" s="7" t="str">
        <f>IFERROR(IF('PREENCHER AQUI'!L498="","999",LEFT('PREENCHER AQUI'!L498,1)),"")</f>
        <v>999</v>
      </c>
      <c r="V498" s="19"/>
      <c r="W498" s="1" t="str">
        <f>IFERROR(VLOOKUP(Tabela1[[#This Row],[UO_COD]],qdd!$AT$1:$AU$102,2,FALSE),"")</f>
        <v/>
      </c>
      <c r="X498" s="1" t="str">
        <f>CONCATENATE("F",Tabela1[[#This Row],[FONTE_COD]],Tabela1[[#This Row],[IPU_COD]],"G",Tabela1[[#This Row],[GRUPO_COD]],"T",Tabela1[[#This Row],[TIPO]])</f>
        <v>FGT999</v>
      </c>
      <c r="Y4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8" s="19"/>
      <c r="AA498" s="29" t="str">
        <f>IFERROR(VLOOKUP(CONCATENATE("B",Tabela1[[#This Row],[BLOCO]],Tabela1[[#This Row],[UO_COD]]),qdd!$AW$2:$AX$1000,2,FALSE),"")</f>
        <v/>
      </c>
      <c r="AB498" s="30" t="str">
        <f>IFERROR(Tabela1[[#This Row],[VALOR]]/100,"")</f>
        <v/>
      </c>
      <c r="AC498" s="7" t="str" cm="1">
        <f t="array" aca="1" ref="AC498" ca="1">IF(Tabela1[[#This Row],[VALOR]]&lt;0,"",IFERROR(SUBSTITUTE(Converter_numero(Tabela1[[#This Row],[VALOR INCISO]]),",",""),""))</f>
        <v/>
      </c>
      <c r="AD498" s="29" t="str">
        <f>IF(Tabela1[[#This Row],[TIPO]]=REGRAS!$W$2,REGRAS!$X$2,IF(Tabela1[[#This Row],[TIPO]]=REGRAS!$W$4,REGRAS!$X$4,""))</f>
        <v/>
      </c>
      <c r="AE498" s="29" t="e">
        <f>VLOOKUP(Tabela1[[#This Row],[FONTE_COD]],REGRAS!$O$2:$P$69,2,FALSE)</f>
        <v>#N/A</v>
      </c>
      <c r="AF4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9" spans="1:32" ht="18.75" customHeight="1">
      <c r="A499" s="2" t="str">
        <f>IFERROR(IF('PREENCHER AQUI'!A499="","",'PREENCHER AQUI'!A499),"")</f>
        <v/>
      </c>
      <c r="B499" s="1" t="str">
        <f>IFERROR(IF('PREENCHER AQUI'!B499="","",PROPER('PREENCHER AQUI'!B499)),"")</f>
        <v/>
      </c>
      <c r="C499" s="1" t="str">
        <f>IFERROR(IF('PREENCHER AQUI'!C499="","",'PREENCHER AQUI'!C499),"")</f>
        <v/>
      </c>
      <c r="D499" s="2" t="str">
        <f>IFERROR(IF('PREENCHER AQUI'!D499="","",'PREENCHER AQUI'!D499),"")</f>
        <v/>
      </c>
      <c r="E499" s="2" t="str">
        <f>IFERROR(VLOOKUP(CONCATENATE(C499,D499),qdd!$C$2:$F$1000,2,FALSE),"")</f>
        <v/>
      </c>
      <c r="F499" s="2" t="str">
        <f>IFERROR(VLOOKUP(CONCATENATE(C499,D499),qdd!$C$2:$F$1000,3,FALSE),"")</f>
        <v/>
      </c>
      <c r="G499" s="2" t="str">
        <f>IFERROR(VLOOKUP(CONCATENATE(C499,D499),qdd!$C$2:$F$1000,4,FALSE),"")</f>
        <v/>
      </c>
      <c r="H499" s="6" t="str">
        <f t="shared" si="16"/>
        <v/>
      </c>
      <c r="I4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9" s="2" t="str">
        <f>IFERROR(IF('PREENCHER AQUI'!E499="","",'PREENCHER AQUI'!E499),"")</f>
        <v/>
      </c>
      <c r="K499" s="2" t="str">
        <f>IFERROR(IF('PREENCHER AQUI'!F499="","",'PREENCHER AQUI'!F499),"")</f>
        <v/>
      </c>
      <c r="L499" s="2" t="str">
        <f>IF(Tabela1[[#This Row],[IPU_COD]]=9,"91",IF(Tabela1[[#This Row],[ACAO_COD]]="","",VLOOKUP(CONCATENATE("G",J499,"M",K499),qdd!$BC$2:$BD$46,2,FALSE)))</f>
        <v/>
      </c>
      <c r="M499" s="2" t="str">
        <f>TEXT(IFERROR(VLOOKUP(CONCATENATE(C499,D499),qdd!$C$2:$G$1000,5,FALSE),""),0)</f>
        <v/>
      </c>
      <c r="N499" s="2" t="str">
        <f>IFERROR(IF('PREENCHER AQUI'!I499="","",'PREENCHER AQUI'!I499),"")</f>
        <v/>
      </c>
      <c r="O499" s="2" t="str">
        <f>IFERROR(IF('PREENCHER AQUI'!J499="","",'PREENCHER AQUI'!J499),"")</f>
        <v/>
      </c>
      <c r="P499" s="7" t="str">
        <f t="shared" si="17"/>
        <v/>
      </c>
      <c r="Q499" s="8" t="str">
        <f>IFERROR(IF(Tabela4[[#This Row],[VALOR]]="","",IF(Tabela1[[#This Row],[ORIENTACAO]]="Anular",'PREENCHER AQUI'!K499*-1*100,'PREENCHER AQUI'!K499*100)),"")</f>
        <v/>
      </c>
      <c r="T499" s="7" t="str">
        <f>IFERROR(IF('PREENCHER AQUI'!L499="","999",LEFT('PREENCHER AQUI'!L499,1)),"")</f>
        <v>999</v>
      </c>
      <c r="V499" s="19"/>
      <c r="W499" s="1" t="str">
        <f>IFERROR(VLOOKUP(Tabela1[[#This Row],[UO_COD]],qdd!$AT$1:$AU$102,2,FALSE),"")</f>
        <v/>
      </c>
      <c r="X499" s="1" t="str">
        <f>CONCATENATE("F",Tabela1[[#This Row],[FONTE_COD]],Tabela1[[#This Row],[IPU_COD]],"G",Tabela1[[#This Row],[GRUPO_COD]],"T",Tabela1[[#This Row],[TIPO]])</f>
        <v>FGT999</v>
      </c>
      <c r="Y4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9" s="19"/>
      <c r="AA499" s="29" t="str">
        <f>IFERROR(VLOOKUP(CONCATENATE("B",Tabela1[[#This Row],[BLOCO]],Tabela1[[#This Row],[UO_COD]]),qdd!$AW$2:$AX$1000,2,FALSE),"")</f>
        <v/>
      </c>
      <c r="AB499" s="30" t="str">
        <f>IFERROR(Tabela1[[#This Row],[VALOR]]/100,"")</f>
        <v/>
      </c>
      <c r="AC499" s="7" t="str" cm="1">
        <f t="array" aca="1" ref="AC499" ca="1">IF(Tabela1[[#This Row],[VALOR]]&lt;0,"",IFERROR(SUBSTITUTE(Converter_numero(Tabela1[[#This Row],[VALOR INCISO]]),",",""),""))</f>
        <v/>
      </c>
      <c r="AD499" s="29" t="str">
        <f>IF(Tabela1[[#This Row],[TIPO]]=REGRAS!$W$2,REGRAS!$X$2,IF(Tabela1[[#This Row],[TIPO]]=REGRAS!$W$4,REGRAS!$X$4,""))</f>
        <v/>
      </c>
      <c r="AE499" s="29" t="e">
        <f>VLOOKUP(Tabela1[[#This Row],[FONTE_COD]],REGRAS!$O$2:$P$69,2,FALSE)</f>
        <v>#N/A</v>
      </c>
      <c r="AF4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0" spans="1:32" ht="18.75" customHeight="1">
      <c r="A500" s="2" t="str">
        <f>IFERROR(IF('PREENCHER AQUI'!A500="","",'PREENCHER AQUI'!A500),"")</f>
        <v/>
      </c>
      <c r="B500" s="1" t="str">
        <f>IFERROR(IF('PREENCHER AQUI'!B500="","",PROPER('PREENCHER AQUI'!B500)),"")</f>
        <v/>
      </c>
      <c r="C500" s="1" t="str">
        <f>IFERROR(IF('PREENCHER AQUI'!C500="","",'PREENCHER AQUI'!C500),"")</f>
        <v/>
      </c>
      <c r="D500" s="2" t="str">
        <f>IFERROR(IF('PREENCHER AQUI'!D500="","",'PREENCHER AQUI'!D500),"")</f>
        <v/>
      </c>
      <c r="E500" s="2" t="str">
        <f>IFERROR(VLOOKUP(CONCATENATE(C500,D500),qdd!$C$2:$F$1000,2,FALSE),"")</f>
        <v/>
      </c>
      <c r="F500" s="2" t="str">
        <f>IFERROR(VLOOKUP(CONCATENATE(C500,D500),qdd!$C$2:$F$1000,3,FALSE),"")</f>
        <v/>
      </c>
      <c r="G500" s="2" t="str">
        <f>IFERROR(VLOOKUP(CONCATENATE(C500,D500),qdd!$C$2:$F$1000,4,FALSE),"")</f>
        <v/>
      </c>
      <c r="H500" s="6" t="str">
        <f t="shared" si="16"/>
        <v/>
      </c>
      <c r="I5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0" s="2" t="str">
        <f>IFERROR(IF('PREENCHER AQUI'!E500="","",'PREENCHER AQUI'!E500),"")</f>
        <v/>
      </c>
      <c r="K500" s="2" t="str">
        <f>IFERROR(IF('PREENCHER AQUI'!F500="","",'PREENCHER AQUI'!F500),"")</f>
        <v/>
      </c>
      <c r="L500" s="2" t="str">
        <f>IF(Tabela1[[#This Row],[IPU_COD]]=9,"91",IF(Tabela1[[#This Row],[ACAO_COD]]="","",VLOOKUP(CONCATENATE("G",J500,"M",K500),qdd!$BC$2:$BD$46,2,FALSE)))</f>
        <v/>
      </c>
      <c r="M500" s="2" t="str">
        <f>TEXT(IFERROR(VLOOKUP(CONCATENATE(C500,D500),qdd!$C$2:$G$1000,5,FALSE),""),0)</f>
        <v/>
      </c>
      <c r="N500" s="2" t="str">
        <f>IFERROR(IF('PREENCHER AQUI'!I500="","",'PREENCHER AQUI'!I500),"")</f>
        <v/>
      </c>
      <c r="O500" s="2" t="str">
        <f>IFERROR(IF('PREENCHER AQUI'!J500="","",'PREENCHER AQUI'!J500),"")</f>
        <v/>
      </c>
      <c r="P500" s="7" t="str">
        <f t="shared" si="17"/>
        <v/>
      </c>
      <c r="Q500" s="8" t="str">
        <f>IFERROR(IF(Tabela4[[#This Row],[VALOR]]="","",IF(Tabela1[[#This Row],[ORIENTACAO]]="Anular",'PREENCHER AQUI'!K500*-1*100,'PREENCHER AQUI'!K500*100)),"")</f>
        <v/>
      </c>
      <c r="T500" s="7" t="str">
        <f>IFERROR(IF('PREENCHER AQUI'!L500="","999",LEFT('PREENCHER AQUI'!L500,1)),"")</f>
        <v>999</v>
      </c>
      <c r="V500" s="19"/>
      <c r="W500" s="20" t="str">
        <f>IFERROR(VLOOKUP(Tabela1[[#This Row],[UO_COD]],qdd!$AT$1:$AU$102,2,FALSE),"")</f>
        <v/>
      </c>
      <c r="X500" s="20" t="str">
        <f>CONCATENATE("F",Tabela1[[#This Row],[FONTE_COD]],Tabela1[[#This Row],[IPU_COD]],"G",Tabela1[[#This Row],[GRUPO_COD]],"T",Tabela1[[#This Row],[TIPO]])</f>
        <v>FGT999</v>
      </c>
      <c r="Y5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0" s="19"/>
      <c r="AA500" s="29" t="str">
        <f>IFERROR(VLOOKUP(CONCATENATE("B",Tabela1[[#This Row],[BLOCO]],Tabela1[[#This Row],[UO_COD]]),qdd!$AW$2:$AX$1000,2,FALSE),"")</f>
        <v/>
      </c>
      <c r="AB500" s="30" t="str">
        <f>IFERROR(Tabela1[[#This Row],[VALOR]]/100,"")</f>
        <v/>
      </c>
      <c r="AC500" s="7" t="str" cm="1">
        <f t="array" aca="1" ref="AC500" ca="1">IF(Tabela1[[#This Row],[VALOR]]&lt;0,"",IFERROR(SUBSTITUTE(Converter_numero(Tabela1[[#This Row],[VALOR INCISO]]),",",""),""))</f>
        <v/>
      </c>
      <c r="AD500" s="29" t="str">
        <f>IF(Tabela1[[#This Row],[TIPO]]=REGRAS!$W$2,REGRAS!$X$2,IF(Tabela1[[#This Row],[TIPO]]=REGRAS!$W$4,REGRAS!$X$4,""))</f>
        <v/>
      </c>
      <c r="AE500" s="29" t="e">
        <f>VLOOKUP(Tabela1[[#This Row],[FONTE_COD]],REGRAS!$O$2:$P$69,2,FALSE)</f>
        <v>#N/A</v>
      </c>
      <c r="AF5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1" spans="1:32" ht="18.75" customHeight="1">
      <c r="A501" s="2" t="str">
        <f>IFERROR(IF('PREENCHER AQUI'!A501="","",'PREENCHER AQUI'!A501),"")</f>
        <v/>
      </c>
      <c r="B501" s="1" t="str">
        <f>IFERROR(IF('PREENCHER AQUI'!B501="","",PROPER('PREENCHER AQUI'!B501)),"")</f>
        <v/>
      </c>
      <c r="C501" s="1" t="str">
        <f>IFERROR(IF('PREENCHER AQUI'!C501="","",'PREENCHER AQUI'!C501),"")</f>
        <v/>
      </c>
      <c r="D501" s="2" t="str">
        <f>IFERROR(IF('PREENCHER AQUI'!D501="","",'PREENCHER AQUI'!D501),"")</f>
        <v/>
      </c>
      <c r="E501" s="2" t="str">
        <f>IFERROR(VLOOKUP(CONCATENATE(C501,D501),qdd!$C$2:$F$1000,2,FALSE),"")</f>
        <v/>
      </c>
      <c r="F501" s="2" t="str">
        <f>IFERROR(VLOOKUP(CONCATENATE(C501,D501),qdd!$C$2:$F$1000,3,FALSE),"")</f>
        <v/>
      </c>
      <c r="G501" s="2" t="str">
        <f>IFERROR(VLOOKUP(CONCATENATE(C501,D501),qdd!$C$2:$F$1000,4,FALSE),"")</f>
        <v/>
      </c>
      <c r="H501" s="6" t="str">
        <f t="shared" si="16"/>
        <v/>
      </c>
      <c r="I5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1" s="2" t="str">
        <f>IFERROR(IF('PREENCHER AQUI'!E501="","",'PREENCHER AQUI'!E501),"")</f>
        <v/>
      </c>
      <c r="K501" s="2" t="str">
        <f>IFERROR(IF('PREENCHER AQUI'!F501="","",'PREENCHER AQUI'!F501),"")</f>
        <v/>
      </c>
      <c r="L501" s="2" t="str">
        <f>IF(Tabela1[[#This Row],[IPU_COD]]=9,"91",IF(Tabela1[[#This Row],[ACAO_COD]]="","",VLOOKUP(CONCATENATE("G",J501,"M",K501),qdd!$BC$2:$BD$46,2,FALSE)))</f>
        <v/>
      </c>
      <c r="M501" s="2" t="str">
        <f>TEXT(IFERROR(VLOOKUP(CONCATENATE(C501,D501),qdd!$C$2:$G$1000,5,FALSE),""),0)</f>
        <v/>
      </c>
      <c r="N501" s="2" t="str">
        <f>IFERROR(IF('PREENCHER AQUI'!I501="","",'PREENCHER AQUI'!I501),"")</f>
        <v/>
      </c>
      <c r="O501" s="2" t="str">
        <f>IFERROR(IF('PREENCHER AQUI'!J501="","",'PREENCHER AQUI'!J501),"")</f>
        <v/>
      </c>
      <c r="P501" s="7" t="str">
        <f t="shared" si="17"/>
        <v/>
      </c>
      <c r="Q501" s="8" t="str">
        <f>IFERROR(IF(Tabela4[[#This Row],[VALOR]]="","",IF(Tabela1[[#This Row],[ORIENTACAO]]="Anular",'PREENCHER AQUI'!K501*-1*100,'PREENCHER AQUI'!K501*100)),"")</f>
        <v/>
      </c>
      <c r="T501" s="7" t="str">
        <f>IFERROR(IF('PREENCHER AQUI'!L501="","999",LEFT('PREENCHER AQUI'!L501,1)),"")</f>
        <v>999</v>
      </c>
      <c r="V501" s="19"/>
      <c r="W501" s="1" t="str">
        <f>IFERROR(VLOOKUP(Tabela1[[#This Row],[UO_COD]],qdd!$AT$1:$AU$102,2,FALSE),"")</f>
        <v/>
      </c>
      <c r="X501" s="1" t="str">
        <f>CONCATENATE("F",Tabela1[[#This Row],[FONTE_COD]],Tabela1[[#This Row],[IPU_COD]],"G",Tabela1[[#This Row],[GRUPO_COD]],"T",Tabela1[[#This Row],[TIPO]])</f>
        <v>FGT999</v>
      </c>
      <c r="Y5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1" s="19"/>
      <c r="AA501" s="29" t="str">
        <f>IFERROR(VLOOKUP(CONCATENATE("B",Tabela1[[#This Row],[BLOCO]],Tabela1[[#This Row],[UO_COD]]),qdd!$AW$2:$AX$1000,2,FALSE),"")</f>
        <v/>
      </c>
      <c r="AB501" s="30" t="str">
        <f>IFERROR(Tabela1[[#This Row],[VALOR]]/100,"")</f>
        <v/>
      </c>
      <c r="AC501" s="7" t="str" cm="1">
        <f t="array" aca="1" ref="AC501" ca="1">IF(Tabela1[[#This Row],[VALOR]]&lt;0,"",IFERROR(SUBSTITUTE(Converter_numero(Tabela1[[#This Row],[VALOR INCISO]]),",",""),""))</f>
        <v/>
      </c>
      <c r="AD501" s="29" t="str">
        <f>IF(Tabela1[[#This Row],[TIPO]]=REGRAS!$W$2,REGRAS!$X$2,IF(Tabela1[[#This Row],[TIPO]]=REGRAS!$W$4,REGRAS!$X$4,""))</f>
        <v/>
      </c>
      <c r="AE501" s="29" t="e">
        <f>VLOOKUP(Tabela1[[#This Row],[FONTE_COD]],REGRAS!$O$2:$P$69,2,FALSE)</f>
        <v>#N/A</v>
      </c>
      <c r="AF5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2" spans="1:32" ht="18.75" customHeight="1">
      <c r="A502" s="2" t="str">
        <f>IFERROR(IF('PREENCHER AQUI'!A502="","",'PREENCHER AQUI'!A502),"")</f>
        <v/>
      </c>
      <c r="B502" s="1" t="str">
        <f>IFERROR(IF('PREENCHER AQUI'!B502="","",PROPER('PREENCHER AQUI'!B502)),"")</f>
        <v/>
      </c>
      <c r="C502" s="1" t="str">
        <f>IFERROR(IF('PREENCHER AQUI'!C502="","",'PREENCHER AQUI'!C502),"")</f>
        <v/>
      </c>
      <c r="D502" s="2" t="str">
        <f>IFERROR(IF('PREENCHER AQUI'!D502="","",'PREENCHER AQUI'!D502),"")</f>
        <v/>
      </c>
      <c r="E502" s="2" t="str">
        <f>IFERROR(VLOOKUP(CONCATENATE(C502,D502),qdd!$C$2:$F$1000,2,FALSE),"")</f>
        <v/>
      </c>
      <c r="F502" s="2" t="str">
        <f>IFERROR(VLOOKUP(CONCATENATE(C502,D502),qdd!$C$2:$F$1000,3,FALSE),"")</f>
        <v/>
      </c>
      <c r="G502" s="2" t="str">
        <f>IFERROR(VLOOKUP(CONCATENATE(C502,D502),qdd!$C$2:$F$1000,4,FALSE),"")</f>
        <v/>
      </c>
      <c r="H502" s="6" t="str">
        <f t="shared" si="16"/>
        <v/>
      </c>
      <c r="I5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2" s="2" t="str">
        <f>IFERROR(IF('PREENCHER AQUI'!E502="","",'PREENCHER AQUI'!E502),"")</f>
        <v/>
      </c>
      <c r="K502" s="2" t="str">
        <f>IFERROR(IF('PREENCHER AQUI'!F502="","",'PREENCHER AQUI'!F502),"")</f>
        <v/>
      </c>
      <c r="L502" s="2" t="str">
        <f>IF(Tabela1[[#This Row],[IPU_COD]]=9,"91",IF(Tabela1[[#This Row],[ACAO_COD]]="","",VLOOKUP(CONCATENATE("G",J502,"M",K502),qdd!$BC$2:$BD$46,2,FALSE)))</f>
        <v/>
      </c>
      <c r="M502" s="2" t="str">
        <f>TEXT(IFERROR(VLOOKUP(CONCATENATE(C502,D502),qdd!$C$2:$G$1000,5,FALSE),""),0)</f>
        <v/>
      </c>
      <c r="N502" s="2" t="str">
        <f>IFERROR(IF('PREENCHER AQUI'!I502="","",'PREENCHER AQUI'!I502),"")</f>
        <v/>
      </c>
      <c r="O502" s="2" t="str">
        <f>IFERROR(IF('PREENCHER AQUI'!J502="","",'PREENCHER AQUI'!J502),"")</f>
        <v/>
      </c>
      <c r="P502" s="7" t="str">
        <f t="shared" si="17"/>
        <v/>
      </c>
      <c r="Q502" s="8" t="str">
        <f>IFERROR(IF(Tabela4[[#This Row],[VALOR]]="","",IF(Tabela1[[#This Row],[ORIENTACAO]]="Anular",'PREENCHER AQUI'!K502*-1*100,'PREENCHER AQUI'!K502*100)),"")</f>
        <v/>
      </c>
      <c r="T502" s="7" t="str">
        <f>IFERROR(IF('PREENCHER AQUI'!L502="","999",LEFT('PREENCHER AQUI'!L502,1)),"")</f>
        <v>999</v>
      </c>
      <c r="W502" s="1" t="str">
        <f>IFERROR(VLOOKUP(Tabela1[[#This Row],[UO_COD]],qdd!$AT$1:$AU$102,2,FALSE),"")</f>
        <v/>
      </c>
      <c r="X502" s="1" t="str">
        <f>CONCATENATE("F",Tabela1[[#This Row],[FONTE_COD]],Tabela1[[#This Row],[IPU_COD]],"G",Tabela1[[#This Row],[GRUPO_COD]],"T",Tabela1[[#This Row],[TIPO]])</f>
        <v>FGT999</v>
      </c>
      <c r="Y5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2" s="19"/>
      <c r="AA502" s="29" t="str">
        <f>IFERROR(VLOOKUP(CONCATENATE("B",Tabela1[[#This Row],[BLOCO]],Tabela1[[#This Row],[UO_COD]]),qdd!$AW$2:$AX$1000,2,FALSE),"")</f>
        <v/>
      </c>
      <c r="AB502" s="30" t="str">
        <f>IFERROR(Tabela1[[#This Row],[VALOR]]/100,"")</f>
        <v/>
      </c>
      <c r="AC502" s="7" t="str" cm="1">
        <f t="array" aca="1" ref="AC502" ca="1">IF(Tabela1[[#This Row],[VALOR]]&lt;0,"",IFERROR(SUBSTITUTE(Converter_numero(Tabela1[[#This Row],[VALOR INCISO]]),",",""),""))</f>
        <v/>
      </c>
      <c r="AD502" s="7" t="str">
        <f>IF(Tabela1[[#This Row],[TIPO]]=REGRAS!$W$2,REGRAS!$X$2,IF(Tabela1[[#This Row],[TIPO]]=REGRAS!$W$4,REGRAS!$X$4,""))</f>
        <v/>
      </c>
      <c r="AE502" s="29" t="e">
        <f>VLOOKUP(Tabela1[[#This Row],[FONTE_COD]],REGRAS!$O$2:$P$69,2,FALSE)</f>
        <v>#N/A</v>
      </c>
      <c r="AF5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3" spans="1:32" ht="18.75" customHeight="1">
      <c r="A503" s="2" t="str">
        <f>IFERROR(IF('PREENCHER AQUI'!A503="","",'PREENCHER AQUI'!A503),"")</f>
        <v/>
      </c>
      <c r="B503" s="1" t="str">
        <f>IFERROR(IF('PREENCHER AQUI'!B503="","",PROPER('PREENCHER AQUI'!B503)),"")</f>
        <v/>
      </c>
      <c r="C503" s="1" t="str">
        <f>IFERROR(IF('PREENCHER AQUI'!C503="","",'PREENCHER AQUI'!C503),"")</f>
        <v/>
      </c>
      <c r="D503" s="2" t="str">
        <f>IFERROR(IF('PREENCHER AQUI'!D503="","",'PREENCHER AQUI'!D503),"")</f>
        <v/>
      </c>
      <c r="E503" s="2" t="str">
        <f>IFERROR(VLOOKUP(CONCATENATE(C503,D503),qdd!$C$2:$F$1000,2,FALSE),"")</f>
        <v/>
      </c>
      <c r="F503" s="2" t="str">
        <f>IFERROR(VLOOKUP(CONCATENATE(C503,D503),qdd!$C$2:$F$1000,3,FALSE),"")</f>
        <v/>
      </c>
      <c r="G503" s="2" t="str">
        <f>IFERROR(VLOOKUP(CONCATENATE(C503,D503),qdd!$C$2:$F$1000,4,FALSE),"")</f>
        <v/>
      </c>
      <c r="H503" s="6" t="str">
        <f t="shared" si="16"/>
        <v/>
      </c>
      <c r="I5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3" s="2" t="str">
        <f>IFERROR(IF('PREENCHER AQUI'!E503="","",'PREENCHER AQUI'!E503),"")</f>
        <v/>
      </c>
      <c r="K503" s="2" t="str">
        <f>IFERROR(IF('PREENCHER AQUI'!F503="","",'PREENCHER AQUI'!F503),"")</f>
        <v/>
      </c>
      <c r="L503" s="2" t="str">
        <f>IF(Tabela1[[#This Row],[IPU_COD]]=9,"91",IF(Tabela1[[#This Row],[ACAO_COD]]="","",VLOOKUP(CONCATENATE("G",J503,"M",K503),qdd!$BC$2:$BD$46,2,FALSE)))</f>
        <v/>
      </c>
      <c r="M503" s="2" t="str">
        <f>TEXT(IFERROR(VLOOKUP(CONCATENATE(C503,D503),qdd!$C$2:$G$1000,5,FALSE),""),0)</f>
        <v/>
      </c>
      <c r="N503" s="2" t="str">
        <f>IFERROR(IF('PREENCHER AQUI'!I503="","",'PREENCHER AQUI'!I503),"")</f>
        <v/>
      </c>
      <c r="O503" s="2" t="str">
        <f>IFERROR(IF('PREENCHER AQUI'!J503="","",'PREENCHER AQUI'!J503),"")</f>
        <v/>
      </c>
      <c r="P503" s="7" t="str">
        <f t="shared" si="17"/>
        <v/>
      </c>
      <c r="Q503" s="8" t="str">
        <f>IFERROR(IF(Tabela4[[#This Row],[VALOR]]="","",IF(Tabela1[[#This Row],[ORIENTACAO]]="Anular",'PREENCHER AQUI'!K503*-1*100,'PREENCHER AQUI'!K503*100)),"")</f>
        <v/>
      </c>
      <c r="T503" s="7" t="str">
        <f>IFERROR(IF('PREENCHER AQUI'!L503="","999",LEFT('PREENCHER AQUI'!L503,1)),"")</f>
        <v>999</v>
      </c>
      <c r="V503" s="19"/>
      <c r="W503" s="1" t="str">
        <f>IFERROR(VLOOKUP(Tabela1[[#This Row],[UO_COD]],qdd!$AT$1:$AU$102,2,FALSE),"")</f>
        <v/>
      </c>
      <c r="X503" s="1" t="str">
        <f>CONCATENATE("F",Tabela1[[#This Row],[FONTE_COD]],Tabela1[[#This Row],[IPU_COD]],"G",Tabela1[[#This Row],[GRUPO_COD]],"T",Tabela1[[#This Row],[TIPO]])</f>
        <v>FGT999</v>
      </c>
      <c r="Y5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3" s="19"/>
      <c r="AA503" s="29" t="str">
        <f>IFERROR(VLOOKUP(CONCATENATE("B",Tabela1[[#This Row],[BLOCO]],Tabela1[[#This Row],[UO_COD]]),qdd!$AW$2:$AX$1000,2,FALSE),"")</f>
        <v/>
      </c>
      <c r="AB503" s="30" t="str">
        <f>IFERROR(Tabela1[[#This Row],[VALOR]]/100,"")</f>
        <v/>
      </c>
      <c r="AC503" s="7" t="str" cm="1">
        <f t="array" aca="1" ref="AC503" ca="1">IF(Tabela1[[#This Row],[VALOR]]&lt;0,"",IFERROR(SUBSTITUTE(Converter_numero(Tabela1[[#This Row],[VALOR INCISO]]),",",""),""))</f>
        <v/>
      </c>
      <c r="AD503" s="29" t="str">
        <f>IF(Tabela1[[#This Row],[TIPO]]=REGRAS!$W$2,REGRAS!$X$2,IF(Tabela1[[#This Row],[TIPO]]=REGRAS!$W$4,REGRAS!$X$4,""))</f>
        <v/>
      </c>
      <c r="AE503" s="29" t="e">
        <f>VLOOKUP(Tabela1[[#This Row],[FONTE_COD]],REGRAS!$O$2:$P$69,2,FALSE)</f>
        <v>#N/A</v>
      </c>
      <c r="AF5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4" spans="1:32" ht="18.75" customHeight="1">
      <c r="A504" s="2" t="str">
        <f>IFERROR(IF('PREENCHER AQUI'!A504="","",'PREENCHER AQUI'!A504),"")</f>
        <v/>
      </c>
      <c r="B504" s="1" t="str">
        <f>IFERROR(IF('PREENCHER AQUI'!B504="","",PROPER('PREENCHER AQUI'!B504)),"")</f>
        <v/>
      </c>
      <c r="C504" s="1" t="str">
        <f>IFERROR(IF('PREENCHER AQUI'!C504="","",'PREENCHER AQUI'!C504),"")</f>
        <v/>
      </c>
      <c r="D504" s="2" t="str">
        <f>IFERROR(IF('PREENCHER AQUI'!D504="","",'PREENCHER AQUI'!D504),"")</f>
        <v/>
      </c>
      <c r="E504" s="2" t="str">
        <f>IFERROR(VLOOKUP(CONCATENATE(C504,D504),qdd!$C$2:$F$1000,2,FALSE),"")</f>
        <v/>
      </c>
      <c r="F504" s="2" t="str">
        <f>IFERROR(VLOOKUP(CONCATENATE(C504,D504),qdd!$C$2:$F$1000,3,FALSE),"")</f>
        <v/>
      </c>
      <c r="G504" s="2" t="str">
        <f>IFERROR(VLOOKUP(CONCATENATE(C504,D504),qdd!$C$2:$F$1000,4,FALSE),"")</f>
        <v/>
      </c>
      <c r="H504" s="6" t="str">
        <f t="shared" si="16"/>
        <v/>
      </c>
      <c r="I5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4" s="2" t="str">
        <f>IFERROR(IF('PREENCHER AQUI'!E504="","",'PREENCHER AQUI'!E504),"")</f>
        <v/>
      </c>
      <c r="K504" s="2" t="str">
        <f>IFERROR(IF('PREENCHER AQUI'!F504="","",'PREENCHER AQUI'!F504),"")</f>
        <v/>
      </c>
      <c r="L504" s="2" t="str">
        <f>IF(Tabela1[[#This Row],[IPU_COD]]=9,"91",IF(Tabela1[[#This Row],[ACAO_COD]]="","",VLOOKUP(CONCATENATE("G",J504,"M",K504),qdd!$BC$2:$BD$46,2,FALSE)))</f>
        <v/>
      </c>
      <c r="M504" s="2" t="str">
        <f>TEXT(IFERROR(VLOOKUP(CONCATENATE(C504,D504),qdd!$C$2:$G$1000,5,FALSE),""),0)</f>
        <v/>
      </c>
      <c r="N504" s="2" t="str">
        <f>IFERROR(IF('PREENCHER AQUI'!I504="","",'PREENCHER AQUI'!I504),"")</f>
        <v/>
      </c>
      <c r="O504" s="2" t="str">
        <f>IFERROR(IF('PREENCHER AQUI'!J504="","",'PREENCHER AQUI'!J504),"")</f>
        <v/>
      </c>
      <c r="P504" s="7" t="str">
        <f t="shared" si="17"/>
        <v/>
      </c>
      <c r="Q504" s="8" t="str">
        <f>IFERROR(IF(Tabela4[[#This Row],[VALOR]]="","",IF(Tabela1[[#This Row],[ORIENTACAO]]="Anular",'PREENCHER AQUI'!K504*-1*100,'PREENCHER AQUI'!K504*100)),"")</f>
        <v/>
      </c>
      <c r="T504" s="7" t="str">
        <f>IFERROR(IF('PREENCHER AQUI'!L504="","999",LEFT('PREENCHER AQUI'!L504,1)),"")</f>
        <v>999</v>
      </c>
      <c r="V504" s="19"/>
      <c r="W504" s="1" t="str">
        <f>IFERROR(VLOOKUP(Tabela1[[#This Row],[UO_COD]],qdd!$AT$1:$AU$102,2,FALSE),"")</f>
        <v/>
      </c>
      <c r="X504" s="1" t="str">
        <f>CONCATENATE("F",Tabela1[[#This Row],[FONTE_COD]],Tabela1[[#This Row],[IPU_COD]],"G",Tabela1[[#This Row],[GRUPO_COD]],"T",Tabela1[[#This Row],[TIPO]])</f>
        <v>FGT999</v>
      </c>
      <c r="Y5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4" s="19"/>
      <c r="AA504" s="29" t="str">
        <f>IFERROR(VLOOKUP(CONCATENATE("B",Tabela1[[#This Row],[BLOCO]],Tabela1[[#This Row],[UO_COD]]),qdd!$AW$2:$AX$1000,2,FALSE),"")</f>
        <v/>
      </c>
      <c r="AB504" s="30" t="str">
        <f>IFERROR(Tabela1[[#This Row],[VALOR]]/100,"")</f>
        <v/>
      </c>
      <c r="AC504" s="7" t="str" cm="1">
        <f t="array" aca="1" ref="AC504" ca="1">IF(Tabela1[[#This Row],[VALOR]]&lt;0,"",IFERROR(SUBSTITUTE(Converter_numero(Tabela1[[#This Row],[VALOR INCISO]]),",",""),""))</f>
        <v/>
      </c>
      <c r="AD504" s="29" t="str">
        <f>IF(Tabela1[[#This Row],[TIPO]]=REGRAS!$W$2,REGRAS!$X$2,IF(Tabela1[[#This Row],[TIPO]]=REGRAS!$W$4,REGRAS!$X$4,""))</f>
        <v/>
      </c>
      <c r="AE504" s="29" t="e">
        <f>VLOOKUP(Tabela1[[#This Row],[FONTE_COD]],REGRAS!$O$2:$P$69,2,FALSE)</f>
        <v>#N/A</v>
      </c>
      <c r="AF5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5" spans="1:32" ht="18.75" customHeight="1">
      <c r="A505" s="2" t="str">
        <f>IFERROR(IF('PREENCHER AQUI'!A505="","",'PREENCHER AQUI'!A505),"")</f>
        <v/>
      </c>
      <c r="B505" s="1" t="str">
        <f>IFERROR(IF('PREENCHER AQUI'!B505="","",PROPER('PREENCHER AQUI'!B505)),"")</f>
        <v/>
      </c>
      <c r="C505" s="1" t="str">
        <f>IFERROR(IF('PREENCHER AQUI'!C505="","",'PREENCHER AQUI'!C505),"")</f>
        <v/>
      </c>
      <c r="D505" s="2" t="str">
        <f>IFERROR(IF('PREENCHER AQUI'!D505="","",'PREENCHER AQUI'!D505),"")</f>
        <v/>
      </c>
      <c r="E505" s="2" t="str">
        <f>IFERROR(VLOOKUP(CONCATENATE(C505,D505),qdd!$C$2:$F$1000,2,FALSE),"")</f>
        <v/>
      </c>
      <c r="F505" s="2" t="str">
        <f>IFERROR(VLOOKUP(CONCATENATE(C505,D505),qdd!$C$2:$F$1000,3,FALSE),"")</f>
        <v/>
      </c>
      <c r="G505" s="2" t="str">
        <f>IFERROR(VLOOKUP(CONCATENATE(C505,D505),qdd!$C$2:$F$1000,4,FALSE),"")</f>
        <v/>
      </c>
      <c r="H505" s="6" t="str">
        <f t="shared" si="16"/>
        <v/>
      </c>
      <c r="I5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5" s="2" t="str">
        <f>IFERROR(IF('PREENCHER AQUI'!E505="","",'PREENCHER AQUI'!E505),"")</f>
        <v/>
      </c>
      <c r="K505" s="2" t="str">
        <f>IFERROR(IF('PREENCHER AQUI'!F505="","",'PREENCHER AQUI'!F505),"")</f>
        <v/>
      </c>
      <c r="L505" s="2" t="str">
        <f>IF(Tabela1[[#This Row],[IPU_COD]]=9,"91",IF(Tabela1[[#This Row],[ACAO_COD]]="","",VLOOKUP(CONCATENATE("G",J505,"M",K505),qdd!$BC$2:$BD$46,2,FALSE)))</f>
        <v/>
      </c>
      <c r="M505" s="2" t="str">
        <f>TEXT(IFERROR(VLOOKUP(CONCATENATE(C505,D505),qdd!$C$2:$G$1000,5,FALSE),""),0)</f>
        <v/>
      </c>
      <c r="N505" s="2" t="str">
        <f>IFERROR(IF('PREENCHER AQUI'!I505="","",'PREENCHER AQUI'!I505),"")</f>
        <v/>
      </c>
      <c r="O505" s="2" t="str">
        <f>IFERROR(IF('PREENCHER AQUI'!J505="","",'PREENCHER AQUI'!J505),"")</f>
        <v/>
      </c>
      <c r="P505" s="7" t="str">
        <f t="shared" si="17"/>
        <v/>
      </c>
      <c r="Q505" s="8" t="str">
        <f>IFERROR(IF(Tabela4[[#This Row],[VALOR]]="","",IF(Tabela1[[#This Row],[ORIENTACAO]]="Anular",'PREENCHER AQUI'!K505*-1*100,'PREENCHER AQUI'!K505*100)),"")</f>
        <v/>
      </c>
      <c r="T505" s="7" t="str">
        <f>IFERROR(IF('PREENCHER AQUI'!L505="","999",LEFT('PREENCHER AQUI'!L505,1)),"")</f>
        <v>999</v>
      </c>
      <c r="V505" s="19"/>
      <c r="W505" s="20" t="str">
        <f>IFERROR(VLOOKUP(Tabela1[[#This Row],[UO_COD]],qdd!$AT$1:$AU$102,2,FALSE),"")</f>
        <v/>
      </c>
      <c r="X505" s="20" t="str">
        <f>CONCATENATE("F",Tabela1[[#This Row],[FONTE_COD]],Tabela1[[#This Row],[IPU_COD]],"G",Tabela1[[#This Row],[GRUPO_COD]],"T",Tabela1[[#This Row],[TIPO]])</f>
        <v>FGT999</v>
      </c>
      <c r="Y5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5" s="19"/>
      <c r="AA505" s="29" t="str">
        <f>IFERROR(VLOOKUP(CONCATENATE("B",Tabela1[[#This Row],[BLOCO]],Tabela1[[#This Row],[UO_COD]]),qdd!$AW$2:$AX$1000,2,FALSE),"")</f>
        <v/>
      </c>
      <c r="AB505" s="30" t="str">
        <f>IFERROR(Tabela1[[#This Row],[VALOR]]/100,"")</f>
        <v/>
      </c>
      <c r="AC505" s="7" t="str" cm="1">
        <f t="array" aca="1" ref="AC505" ca="1">IF(Tabela1[[#This Row],[VALOR]]&lt;0,"",IFERROR(SUBSTITUTE(Converter_numero(Tabela1[[#This Row],[VALOR INCISO]]),",",""),""))</f>
        <v/>
      </c>
      <c r="AD505" s="29" t="str">
        <f>IF(Tabela1[[#This Row],[TIPO]]=REGRAS!$W$2,REGRAS!$X$2,IF(Tabela1[[#This Row],[TIPO]]=REGRAS!$W$4,REGRAS!$X$4,""))</f>
        <v/>
      </c>
      <c r="AE505" s="29" t="e">
        <f>VLOOKUP(Tabela1[[#This Row],[FONTE_COD]],REGRAS!$O$2:$P$69,2,FALSE)</f>
        <v>#N/A</v>
      </c>
      <c r="AF5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6" spans="1:32" ht="18.75" customHeight="1">
      <c r="A506" s="2" t="str">
        <f>IFERROR(IF('PREENCHER AQUI'!A506="","",'PREENCHER AQUI'!A506),"")</f>
        <v/>
      </c>
      <c r="B506" s="1" t="str">
        <f>IFERROR(IF('PREENCHER AQUI'!B506="","",PROPER('PREENCHER AQUI'!B506)),"")</f>
        <v/>
      </c>
      <c r="C506" s="1" t="str">
        <f>IFERROR(IF('PREENCHER AQUI'!C506="","",'PREENCHER AQUI'!C506),"")</f>
        <v/>
      </c>
      <c r="D506" s="2" t="str">
        <f>IFERROR(IF('PREENCHER AQUI'!D506="","",'PREENCHER AQUI'!D506),"")</f>
        <v/>
      </c>
      <c r="E506" s="2" t="str">
        <f>IFERROR(VLOOKUP(CONCATENATE(C506,D506),qdd!$C$2:$F$1000,2,FALSE),"")</f>
        <v/>
      </c>
      <c r="F506" s="2" t="str">
        <f>IFERROR(VLOOKUP(CONCATENATE(C506,D506),qdd!$C$2:$F$1000,3,FALSE),"")</f>
        <v/>
      </c>
      <c r="G506" s="2" t="str">
        <f>IFERROR(VLOOKUP(CONCATENATE(C506,D506),qdd!$C$2:$F$1000,4,FALSE),"")</f>
        <v/>
      </c>
      <c r="H506" s="6" t="str">
        <f t="shared" si="16"/>
        <v/>
      </c>
      <c r="I5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6" s="2" t="str">
        <f>IFERROR(IF('PREENCHER AQUI'!E506="","",'PREENCHER AQUI'!E506),"")</f>
        <v/>
      </c>
      <c r="K506" s="2" t="str">
        <f>IFERROR(IF('PREENCHER AQUI'!F506="","",'PREENCHER AQUI'!F506),"")</f>
        <v/>
      </c>
      <c r="L506" s="2" t="str">
        <f>IF(Tabela1[[#This Row],[IPU_COD]]=9,"91",IF(Tabela1[[#This Row],[ACAO_COD]]="","",VLOOKUP(CONCATENATE("G",J506,"M",K506),qdd!$BC$2:$BD$46,2,FALSE)))</f>
        <v/>
      </c>
      <c r="M506" s="2" t="str">
        <f>TEXT(IFERROR(VLOOKUP(CONCATENATE(C506,D506),qdd!$C$2:$G$1000,5,FALSE),""),0)</f>
        <v/>
      </c>
      <c r="N506" s="2" t="str">
        <f>IFERROR(IF('PREENCHER AQUI'!I506="","",'PREENCHER AQUI'!I506),"")</f>
        <v/>
      </c>
      <c r="O506" s="2" t="str">
        <f>IFERROR(IF('PREENCHER AQUI'!J506="","",'PREENCHER AQUI'!J506),"")</f>
        <v/>
      </c>
      <c r="P506" s="7" t="str">
        <f t="shared" si="17"/>
        <v/>
      </c>
      <c r="Q506" s="8" t="str">
        <f>IFERROR(IF(Tabela4[[#This Row],[VALOR]]="","",IF(Tabela1[[#This Row],[ORIENTACAO]]="Anular",'PREENCHER AQUI'!K506*-1*100,'PREENCHER AQUI'!K506*100)),"")</f>
        <v/>
      </c>
      <c r="T506" s="7" t="str">
        <f>IFERROR(IF('PREENCHER AQUI'!L506="","999",LEFT('PREENCHER AQUI'!L506,1)),"")</f>
        <v>999</v>
      </c>
      <c r="V506" s="19"/>
      <c r="W506" s="1" t="str">
        <f>IFERROR(VLOOKUP(Tabela1[[#This Row],[UO_COD]],qdd!$AT$1:$AU$102,2,FALSE),"")</f>
        <v/>
      </c>
      <c r="X506" s="1" t="str">
        <f>CONCATENATE("F",Tabela1[[#This Row],[FONTE_COD]],Tabela1[[#This Row],[IPU_COD]],"G",Tabela1[[#This Row],[GRUPO_COD]],"T",Tabela1[[#This Row],[TIPO]])</f>
        <v>FGT999</v>
      </c>
      <c r="Y5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6" s="19"/>
      <c r="AA506" s="29" t="str">
        <f>IFERROR(VLOOKUP(CONCATENATE("B",Tabela1[[#This Row],[BLOCO]],Tabela1[[#This Row],[UO_COD]]),qdd!$AW$2:$AX$1000,2,FALSE),"")</f>
        <v/>
      </c>
      <c r="AB506" s="30" t="str">
        <f>IFERROR(Tabela1[[#This Row],[VALOR]]/100,"")</f>
        <v/>
      </c>
      <c r="AC506" s="7" t="str" cm="1">
        <f t="array" aca="1" ref="AC506" ca="1">IF(Tabela1[[#This Row],[VALOR]]&lt;0,"",IFERROR(SUBSTITUTE(Converter_numero(Tabela1[[#This Row],[VALOR INCISO]]),",",""),""))</f>
        <v/>
      </c>
      <c r="AD506" s="29" t="str">
        <f>IF(Tabela1[[#This Row],[TIPO]]=REGRAS!$W$2,REGRAS!$X$2,IF(Tabela1[[#This Row],[TIPO]]=REGRAS!$W$4,REGRAS!$X$4,""))</f>
        <v/>
      </c>
      <c r="AE506" s="29" t="e">
        <f>VLOOKUP(Tabela1[[#This Row],[FONTE_COD]],REGRAS!$O$2:$P$69,2,FALSE)</f>
        <v>#N/A</v>
      </c>
      <c r="AF5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7" spans="1:32" ht="18.75" customHeight="1">
      <c r="A507" s="2" t="str">
        <f>IFERROR(IF('PREENCHER AQUI'!A507="","",'PREENCHER AQUI'!A507),"")</f>
        <v/>
      </c>
      <c r="B507" s="1" t="str">
        <f>IFERROR(IF('PREENCHER AQUI'!B507="","",PROPER('PREENCHER AQUI'!B507)),"")</f>
        <v/>
      </c>
      <c r="C507" s="1" t="str">
        <f>IFERROR(IF('PREENCHER AQUI'!C507="","",'PREENCHER AQUI'!C507),"")</f>
        <v/>
      </c>
      <c r="D507" s="2" t="str">
        <f>IFERROR(IF('PREENCHER AQUI'!D507="","",'PREENCHER AQUI'!D507),"")</f>
        <v/>
      </c>
      <c r="E507" s="2" t="str">
        <f>IFERROR(VLOOKUP(CONCATENATE(C507,D507),qdd!$C$2:$F$1000,2,FALSE),"")</f>
        <v/>
      </c>
      <c r="F507" s="2" t="str">
        <f>IFERROR(VLOOKUP(CONCATENATE(C507,D507),qdd!$C$2:$F$1000,3,FALSE),"")</f>
        <v/>
      </c>
      <c r="G507" s="2" t="str">
        <f>IFERROR(VLOOKUP(CONCATENATE(C507,D507),qdd!$C$2:$F$1000,4,FALSE),"")</f>
        <v/>
      </c>
      <c r="H507" s="6" t="str">
        <f t="shared" si="16"/>
        <v/>
      </c>
      <c r="I5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7" s="2" t="str">
        <f>IFERROR(IF('PREENCHER AQUI'!E507="","",'PREENCHER AQUI'!E507),"")</f>
        <v/>
      </c>
      <c r="K507" s="2" t="str">
        <f>IFERROR(IF('PREENCHER AQUI'!F507="","",'PREENCHER AQUI'!F507),"")</f>
        <v/>
      </c>
      <c r="L507" s="2" t="str">
        <f>IF(Tabela1[[#This Row],[IPU_COD]]=9,"91",IF(Tabela1[[#This Row],[ACAO_COD]]="","",VLOOKUP(CONCATENATE("G",J507,"M",K507),qdd!$BC$2:$BD$46,2,FALSE)))</f>
        <v/>
      </c>
      <c r="M507" s="2" t="str">
        <f>TEXT(IFERROR(VLOOKUP(CONCATENATE(C507,D507),qdd!$C$2:$G$1000,5,FALSE),""),0)</f>
        <v/>
      </c>
      <c r="N507" s="2" t="str">
        <f>IFERROR(IF('PREENCHER AQUI'!I507="","",'PREENCHER AQUI'!I507),"")</f>
        <v/>
      </c>
      <c r="O507" s="2" t="str">
        <f>IFERROR(IF('PREENCHER AQUI'!J507="","",'PREENCHER AQUI'!J507),"")</f>
        <v/>
      </c>
      <c r="P507" s="7" t="str">
        <f t="shared" si="17"/>
        <v/>
      </c>
      <c r="Q507" s="8" t="str">
        <f>IFERROR(IF(Tabela4[[#This Row],[VALOR]]="","",IF(Tabela1[[#This Row],[ORIENTACAO]]="Anular",'PREENCHER AQUI'!K507*-1*100,'PREENCHER AQUI'!K507*100)),"")</f>
        <v/>
      </c>
      <c r="T507" s="7" t="str">
        <f>IFERROR(IF('PREENCHER AQUI'!L507="","999",LEFT('PREENCHER AQUI'!L507,1)),"")</f>
        <v>999</v>
      </c>
      <c r="W507" s="1" t="str">
        <f>IFERROR(VLOOKUP(Tabela1[[#This Row],[UO_COD]],qdd!$AT$1:$AU$102,2,FALSE),"")</f>
        <v/>
      </c>
      <c r="X507" s="1" t="str">
        <f>CONCATENATE("F",Tabela1[[#This Row],[FONTE_COD]],Tabela1[[#This Row],[IPU_COD]],"G",Tabela1[[#This Row],[GRUPO_COD]],"T",Tabela1[[#This Row],[TIPO]])</f>
        <v>FGT999</v>
      </c>
      <c r="Y5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7" s="19"/>
      <c r="AA507" s="29" t="str">
        <f>IFERROR(VLOOKUP(CONCATENATE("B",Tabela1[[#This Row],[BLOCO]],Tabela1[[#This Row],[UO_COD]]),qdd!$AW$2:$AX$1000,2,FALSE),"")</f>
        <v/>
      </c>
      <c r="AB507" s="30" t="str">
        <f>IFERROR(Tabela1[[#This Row],[VALOR]]/100,"")</f>
        <v/>
      </c>
      <c r="AC507" s="7" t="str" cm="1">
        <f t="array" aca="1" ref="AC507" ca="1">IF(Tabela1[[#This Row],[VALOR]]&lt;0,"",IFERROR(SUBSTITUTE(Converter_numero(Tabela1[[#This Row],[VALOR INCISO]]),",",""),""))</f>
        <v/>
      </c>
      <c r="AD507" s="7" t="str">
        <f>IF(Tabela1[[#This Row],[TIPO]]=REGRAS!$W$2,REGRAS!$X$2,IF(Tabela1[[#This Row],[TIPO]]=REGRAS!$W$4,REGRAS!$X$4,""))</f>
        <v/>
      </c>
      <c r="AE507" s="29" t="e">
        <f>VLOOKUP(Tabela1[[#This Row],[FONTE_COD]],REGRAS!$O$2:$P$69,2,FALSE)</f>
        <v>#N/A</v>
      </c>
      <c r="AF5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8" spans="1:32" ht="18.75" customHeight="1">
      <c r="A508" s="2" t="str">
        <f>IFERROR(IF('PREENCHER AQUI'!A508="","",'PREENCHER AQUI'!A508),"")</f>
        <v/>
      </c>
      <c r="B508" s="1" t="str">
        <f>IFERROR(IF('PREENCHER AQUI'!B508="","",PROPER('PREENCHER AQUI'!B508)),"")</f>
        <v/>
      </c>
      <c r="C508" s="1" t="str">
        <f>IFERROR(IF('PREENCHER AQUI'!C508="","",'PREENCHER AQUI'!C508),"")</f>
        <v/>
      </c>
      <c r="D508" s="2" t="str">
        <f>IFERROR(IF('PREENCHER AQUI'!D508="","",'PREENCHER AQUI'!D508),"")</f>
        <v/>
      </c>
      <c r="E508" s="2" t="str">
        <f>IFERROR(VLOOKUP(CONCATENATE(C508,D508),qdd!$C$2:$F$1000,2,FALSE),"")</f>
        <v/>
      </c>
      <c r="F508" s="2" t="str">
        <f>IFERROR(VLOOKUP(CONCATENATE(C508,D508),qdd!$C$2:$F$1000,3,FALSE),"")</f>
        <v/>
      </c>
      <c r="G508" s="2" t="str">
        <f>IFERROR(VLOOKUP(CONCATENATE(C508,D508),qdd!$C$2:$F$1000,4,FALSE),"")</f>
        <v/>
      </c>
      <c r="H508" s="6" t="str">
        <f t="shared" si="16"/>
        <v/>
      </c>
      <c r="I5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8" s="2" t="str">
        <f>IFERROR(IF('PREENCHER AQUI'!E508="","",'PREENCHER AQUI'!E508),"")</f>
        <v/>
      </c>
      <c r="K508" s="2" t="str">
        <f>IFERROR(IF('PREENCHER AQUI'!F508="","",'PREENCHER AQUI'!F508),"")</f>
        <v/>
      </c>
      <c r="L508" s="2" t="str">
        <f>IF(Tabela1[[#This Row],[IPU_COD]]=9,"91",IF(Tabela1[[#This Row],[ACAO_COD]]="","",VLOOKUP(CONCATENATE("G",J508,"M",K508),qdd!$BC$2:$BD$46,2,FALSE)))</f>
        <v/>
      </c>
      <c r="M508" s="2" t="str">
        <f>TEXT(IFERROR(VLOOKUP(CONCATENATE(C508,D508),qdd!$C$2:$G$1000,5,FALSE),""),0)</f>
        <v/>
      </c>
      <c r="N508" s="2" t="str">
        <f>IFERROR(IF('PREENCHER AQUI'!I508="","",'PREENCHER AQUI'!I508),"")</f>
        <v/>
      </c>
      <c r="O508" s="2" t="str">
        <f>IFERROR(IF('PREENCHER AQUI'!J508="","",'PREENCHER AQUI'!J508),"")</f>
        <v/>
      </c>
      <c r="P508" s="7" t="str">
        <f t="shared" si="17"/>
        <v/>
      </c>
      <c r="Q508" s="8" t="str">
        <f>IFERROR(IF(Tabela4[[#This Row],[VALOR]]="","",IF(Tabela1[[#This Row],[ORIENTACAO]]="Anular",'PREENCHER AQUI'!K508*-1*100,'PREENCHER AQUI'!K508*100)),"")</f>
        <v/>
      </c>
      <c r="T508" s="7" t="str">
        <f>IFERROR(IF('PREENCHER AQUI'!L508="","999",LEFT('PREENCHER AQUI'!L508,1)),"")</f>
        <v>999</v>
      </c>
      <c r="V508" s="19"/>
      <c r="W508" s="1" t="str">
        <f>IFERROR(VLOOKUP(Tabela1[[#This Row],[UO_COD]],qdd!$AT$1:$AU$102,2,FALSE),"")</f>
        <v/>
      </c>
      <c r="X508" s="1" t="str">
        <f>CONCATENATE("F",Tabela1[[#This Row],[FONTE_COD]],Tabela1[[#This Row],[IPU_COD]],"G",Tabela1[[#This Row],[GRUPO_COD]],"T",Tabela1[[#This Row],[TIPO]])</f>
        <v>FGT999</v>
      </c>
      <c r="Y5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8" s="19"/>
      <c r="AA508" s="29" t="str">
        <f>IFERROR(VLOOKUP(CONCATENATE("B",Tabela1[[#This Row],[BLOCO]],Tabela1[[#This Row],[UO_COD]]),qdd!$AW$2:$AX$1000,2,FALSE),"")</f>
        <v/>
      </c>
      <c r="AB508" s="30" t="str">
        <f>IFERROR(Tabela1[[#This Row],[VALOR]]/100,"")</f>
        <v/>
      </c>
      <c r="AC508" s="7" t="str" cm="1">
        <f t="array" aca="1" ref="AC508" ca="1">IF(Tabela1[[#This Row],[VALOR]]&lt;0,"",IFERROR(SUBSTITUTE(Converter_numero(Tabela1[[#This Row],[VALOR INCISO]]),",",""),""))</f>
        <v/>
      </c>
      <c r="AD508" s="29" t="str">
        <f>IF(Tabela1[[#This Row],[TIPO]]=REGRAS!$W$2,REGRAS!$X$2,IF(Tabela1[[#This Row],[TIPO]]=REGRAS!$W$4,REGRAS!$X$4,""))</f>
        <v/>
      </c>
      <c r="AE508" s="29" t="e">
        <f>VLOOKUP(Tabela1[[#This Row],[FONTE_COD]],REGRAS!$O$2:$P$69,2,FALSE)</f>
        <v>#N/A</v>
      </c>
      <c r="AF5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9" spans="1:32" ht="18.75" customHeight="1">
      <c r="A509" s="2" t="str">
        <f>IFERROR(IF('PREENCHER AQUI'!A509="","",'PREENCHER AQUI'!A509),"")</f>
        <v/>
      </c>
      <c r="B509" s="1" t="str">
        <f>IFERROR(IF('PREENCHER AQUI'!B509="","",PROPER('PREENCHER AQUI'!B509)),"")</f>
        <v/>
      </c>
      <c r="C509" s="1" t="str">
        <f>IFERROR(IF('PREENCHER AQUI'!C509="","",'PREENCHER AQUI'!C509),"")</f>
        <v/>
      </c>
      <c r="D509" s="2" t="str">
        <f>IFERROR(IF('PREENCHER AQUI'!D509="","",'PREENCHER AQUI'!D509),"")</f>
        <v/>
      </c>
      <c r="E509" s="2" t="str">
        <f>IFERROR(VLOOKUP(CONCATENATE(C509,D509),qdd!$C$2:$F$1000,2,FALSE),"")</f>
        <v/>
      </c>
      <c r="F509" s="2" t="str">
        <f>IFERROR(VLOOKUP(CONCATENATE(C509,D509),qdd!$C$2:$F$1000,3,FALSE),"")</f>
        <v/>
      </c>
      <c r="G509" s="2" t="str">
        <f>IFERROR(VLOOKUP(CONCATENATE(C509,D509),qdd!$C$2:$F$1000,4,FALSE),"")</f>
        <v/>
      </c>
      <c r="H509" s="6" t="str">
        <f t="shared" si="16"/>
        <v/>
      </c>
      <c r="I5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9" s="2" t="str">
        <f>IFERROR(IF('PREENCHER AQUI'!E509="","",'PREENCHER AQUI'!E509),"")</f>
        <v/>
      </c>
      <c r="K509" s="2" t="str">
        <f>IFERROR(IF('PREENCHER AQUI'!F509="","",'PREENCHER AQUI'!F509),"")</f>
        <v/>
      </c>
      <c r="L509" s="2" t="str">
        <f>IF(Tabela1[[#This Row],[IPU_COD]]=9,"91",IF(Tabela1[[#This Row],[ACAO_COD]]="","",VLOOKUP(CONCATENATE("G",J509,"M",K509),qdd!$BC$2:$BD$46,2,FALSE)))</f>
        <v/>
      </c>
      <c r="M509" s="2" t="str">
        <f>TEXT(IFERROR(VLOOKUP(CONCATENATE(C509,D509),qdd!$C$2:$G$1000,5,FALSE),""),0)</f>
        <v/>
      </c>
      <c r="N509" s="2" t="str">
        <f>IFERROR(IF('PREENCHER AQUI'!I509="","",'PREENCHER AQUI'!I509),"")</f>
        <v/>
      </c>
      <c r="O509" s="2" t="str">
        <f>IFERROR(IF('PREENCHER AQUI'!J509="","",'PREENCHER AQUI'!J509),"")</f>
        <v/>
      </c>
      <c r="P509" s="7" t="str">
        <f t="shared" si="17"/>
        <v/>
      </c>
      <c r="Q509" s="8" t="str">
        <f>IFERROR(IF(Tabela4[[#This Row],[VALOR]]="","",IF(Tabela1[[#This Row],[ORIENTACAO]]="Anular",'PREENCHER AQUI'!K509*-1*100,'PREENCHER AQUI'!K509*100)),"")</f>
        <v/>
      </c>
      <c r="T509" s="7" t="str">
        <f>IFERROR(IF('PREENCHER AQUI'!L509="","999",LEFT('PREENCHER AQUI'!L509,1)),"")</f>
        <v>999</v>
      </c>
      <c r="V509" s="19"/>
      <c r="W509" s="1" t="str">
        <f>IFERROR(VLOOKUP(Tabela1[[#This Row],[UO_COD]],qdd!$AT$1:$AU$102,2,FALSE),"")</f>
        <v/>
      </c>
      <c r="X509" s="1" t="str">
        <f>CONCATENATE("F",Tabela1[[#This Row],[FONTE_COD]],Tabela1[[#This Row],[IPU_COD]],"G",Tabela1[[#This Row],[GRUPO_COD]],"T",Tabela1[[#This Row],[TIPO]])</f>
        <v>FGT999</v>
      </c>
      <c r="Y5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9" s="19"/>
      <c r="AA509" s="29" t="str">
        <f>IFERROR(VLOOKUP(CONCATENATE("B",Tabela1[[#This Row],[BLOCO]],Tabela1[[#This Row],[UO_COD]]),qdd!$AW$2:$AX$1000,2,FALSE),"")</f>
        <v/>
      </c>
      <c r="AB509" s="30" t="str">
        <f>IFERROR(Tabela1[[#This Row],[VALOR]]/100,"")</f>
        <v/>
      </c>
      <c r="AC509" s="7" t="str" cm="1">
        <f t="array" aca="1" ref="AC509" ca="1">IF(Tabela1[[#This Row],[VALOR]]&lt;0,"",IFERROR(SUBSTITUTE(Converter_numero(Tabela1[[#This Row],[VALOR INCISO]]),",",""),""))</f>
        <v/>
      </c>
      <c r="AD509" s="29" t="str">
        <f>IF(Tabela1[[#This Row],[TIPO]]=REGRAS!$W$2,REGRAS!$X$2,IF(Tabela1[[#This Row],[TIPO]]=REGRAS!$W$4,REGRAS!$X$4,""))</f>
        <v/>
      </c>
      <c r="AE509" s="29" t="e">
        <f>VLOOKUP(Tabela1[[#This Row],[FONTE_COD]],REGRAS!$O$2:$P$69,2,FALSE)</f>
        <v>#N/A</v>
      </c>
      <c r="AF5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0" spans="1:32" ht="18.75" customHeight="1">
      <c r="A510" s="2" t="str">
        <f>IFERROR(IF('PREENCHER AQUI'!A510="","",'PREENCHER AQUI'!A510),"")</f>
        <v/>
      </c>
      <c r="B510" s="1" t="str">
        <f>IFERROR(IF('PREENCHER AQUI'!B510="","",PROPER('PREENCHER AQUI'!B510)),"")</f>
        <v/>
      </c>
      <c r="C510" s="1" t="str">
        <f>IFERROR(IF('PREENCHER AQUI'!C510="","",'PREENCHER AQUI'!C510),"")</f>
        <v/>
      </c>
      <c r="D510" s="2" t="str">
        <f>IFERROR(IF('PREENCHER AQUI'!D510="","",'PREENCHER AQUI'!D510),"")</f>
        <v/>
      </c>
      <c r="E510" s="2" t="str">
        <f>IFERROR(VLOOKUP(CONCATENATE(C510,D510),qdd!$C$2:$F$1000,2,FALSE),"")</f>
        <v/>
      </c>
      <c r="F510" s="2" t="str">
        <f>IFERROR(VLOOKUP(CONCATENATE(C510,D510),qdd!$C$2:$F$1000,3,FALSE),"")</f>
        <v/>
      </c>
      <c r="G510" s="2" t="str">
        <f>IFERROR(VLOOKUP(CONCATENATE(C510,D510),qdd!$C$2:$F$1000,4,FALSE),"")</f>
        <v/>
      </c>
      <c r="H510" s="6" t="str">
        <f t="shared" si="16"/>
        <v/>
      </c>
      <c r="I5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0" s="2" t="str">
        <f>IFERROR(IF('PREENCHER AQUI'!E510="","",'PREENCHER AQUI'!E510),"")</f>
        <v/>
      </c>
      <c r="K510" s="2" t="str">
        <f>IFERROR(IF('PREENCHER AQUI'!F510="","",'PREENCHER AQUI'!F510),"")</f>
        <v/>
      </c>
      <c r="L510" s="2" t="str">
        <f>IF(Tabela1[[#This Row],[IPU_COD]]=9,"91",IF(Tabela1[[#This Row],[ACAO_COD]]="","",VLOOKUP(CONCATENATE("G",J510,"M",K510),qdd!$BC$2:$BD$46,2,FALSE)))</f>
        <v/>
      </c>
      <c r="M510" s="2" t="str">
        <f>TEXT(IFERROR(VLOOKUP(CONCATENATE(C510,D510),qdd!$C$2:$G$1000,5,FALSE),""),0)</f>
        <v/>
      </c>
      <c r="N510" s="2" t="str">
        <f>IFERROR(IF('PREENCHER AQUI'!I510="","",'PREENCHER AQUI'!I510),"")</f>
        <v/>
      </c>
      <c r="O510" s="2" t="str">
        <f>IFERROR(IF('PREENCHER AQUI'!J510="","",'PREENCHER AQUI'!J510),"")</f>
        <v/>
      </c>
      <c r="P510" s="7" t="str">
        <f t="shared" si="17"/>
        <v/>
      </c>
      <c r="Q510" s="8" t="str">
        <f>IFERROR(IF(Tabela4[[#This Row],[VALOR]]="","",IF(Tabela1[[#This Row],[ORIENTACAO]]="Anular",'PREENCHER AQUI'!K510*-1*100,'PREENCHER AQUI'!K510*100)),"")</f>
        <v/>
      </c>
      <c r="T510" s="7" t="str">
        <f>IFERROR(IF('PREENCHER AQUI'!L510="","999",LEFT('PREENCHER AQUI'!L510,1)),"")</f>
        <v>999</v>
      </c>
      <c r="V510" s="19"/>
      <c r="W510" s="20" t="str">
        <f>IFERROR(VLOOKUP(Tabela1[[#This Row],[UO_COD]],qdd!$AT$1:$AU$102,2,FALSE),"")</f>
        <v/>
      </c>
      <c r="X510" s="20" t="str">
        <f>CONCATENATE("F",Tabela1[[#This Row],[FONTE_COD]],Tabela1[[#This Row],[IPU_COD]],"G",Tabela1[[#This Row],[GRUPO_COD]],"T",Tabela1[[#This Row],[TIPO]])</f>
        <v>FGT999</v>
      </c>
      <c r="Y5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0" s="19"/>
      <c r="AA510" s="29" t="str">
        <f>IFERROR(VLOOKUP(CONCATENATE("B",Tabela1[[#This Row],[BLOCO]],Tabela1[[#This Row],[UO_COD]]),qdd!$AW$2:$AX$1000,2,FALSE),"")</f>
        <v/>
      </c>
      <c r="AB510" s="30" t="str">
        <f>IFERROR(Tabela1[[#This Row],[VALOR]]/100,"")</f>
        <v/>
      </c>
      <c r="AC510" s="7" t="str" cm="1">
        <f t="array" aca="1" ref="AC510" ca="1">IF(Tabela1[[#This Row],[VALOR]]&lt;0,"",IFERROR(SUBSTITUTE(Converter_numero(Tabela1[[#This Row],[VALOR INCISO]]),",",""),""))</f>
        <v/>
      </c>
      <c r="AD510" s="29" t="str">
        <f>IF(Tabela1[[#This Row],[TIPO]]=REGRAS!$W$2,REGRAS!$X$2,IF(Tabela1[[#This Row],[TIPO]]=REGRAS!$W$4,REGRAS!$X$4,""))</f>
        <v/>
      </c>
      <c r="AE510" s="29" t="e">
        <f>VLOOKUP(Tabela1[[#This Row],[FONTE_COD]],REGRAS!$O$2:$P$69,2,FALSE)</f>
        <v>#N/A</v>
      </c>
      <c r="AF5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1" spans="1:32" ht="18.75" customHeight="1">
      <c r="A511" s="2" t="str">
        <f>IFERROR(IF('PREENCHER AQUI'!A511="","",'PREENCHER AQUI'!A511),"")</f>
        <v/>
      </c>
      <c r="B511" s="1" t="str">
        <f>IFERROR(IF('PREENCHER AQUI'!B511="","",PROPER('PREENCHER AQUI'!B511)),"")</f>
        <v/>
      </c>
      <c r="C511" s="1" t="str">
        <f>IFERROR(IF('PREENCHER AQUI'!C511="","",'PREENCHER AQUI'!C511),"")</f>
        <v/>
      </c>
      <c r="D511" s="2" t="str">
        <f>IFERROR(IF('PREENCHER AQUI'!D511="","",'PREENCHER AQUI'!D511),"")</f>
        <v/>
      </c>
      <c r="E511" s="2" t="str">
        <f>IFERROR(VLOOKUP(CONCATENATE(C511,D511),qdd!$C$2:$F$1000,2,FALSE),"")</f>
        <v/>
      </c>
      <c r="F511" s="2" t="str">
        <f>IFERROR(VLOOKUP(CONCATENATE(C511,D511),qdd!$C$2:$F$1000,3,FALSE),"")</f>
        <v/>
      </c>
      <c r="G511" s="2" t="str">
        <f>IFERROR(VLOOKUP(CONCATENATE(C511,D511),qdd!$C$2:$F$1000,4,FALSE),"")</f>
        <v/>
      </c>
      <c r="H511" s="6" t="str">
        <f t="shared" si="16"/>
        <v/>
      </c>
      <c r="I5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1" s="2" t="str">
        <f>IFERROR(IF('PREENCHER AQUI'!E511="","",'PREENCHER AQUI'!E511),"")</f>
        <v/>
      </c>
      <c r="K511" s="2" t="str">
        <f>IFERROR(IF('PREENCHER AQUI'!F511="","",'PREENCHER AQUI'!F511),"")</f>
        <v/>
      </c>
      <c r="L511" s="2" t="str">
        <f>IF(Tabela1[[#This Row],[IPU_COD]]=9,"91",IF(Tabela1[[#This Row],[ACAO_COD]]="","",VLOOKUP(CONCATENATE("G",J511,"M",K511),qdd!$BC$2:$BD$46,2,FALSE)))</f>
        <v/>
      </c>
      <c r="M511" s="2" t="str">
        <f>TEXT(IFERROR(VLOOKUP(CONCATENATE(C511,D511),qdd!$C$2:$G$1000,5,FALSE),""),0)</f>
        <v/>
      </c>
      <c r="N511" s="2" t="str">
        <f>IFERROR(IF('PREENCHER AQUI'!I511="","",'PREENCHER AQUI'!I511),"")</f>
        <v/>
      </c>
      <c r="O511" s="2" t="str">
        <f>IFERROR(IF('PREENCHER AQUI'!J511="","",'PREENCHER AQUI'!J511),"")</f>
        <v/>
      </c>
      <c r="P511" s="7" t="str">
        <f t="shared" si="17"/>
        <v/>
      </c>
      <c r="Q511" s="8" t="str">
        <f>IFERROR(IF(Tabela4[[#This Row],[VALOR]]="","",IF(Tabela1[[#This Row],[ORIENTACAO]]="Anular",'PREENCHER AQUI'!K511*-1*100,'PREENCHER AQUI'!K511*100)),"")</f>
        <v/>
      </c>
      <c r="T511" s="7" t="str">
        <f>IFERROR(IF('PREENCHER AQUI'!L511="","999",LEFT('PREENCHER AQUI'!L511,1)),"")</f>
        <v>999</v>
      </c>
      <c r="V511" s="19"/>
      <c r="W511" s="1" t="str">
        <f>IFERROR(VLOOKUP(Tabela1[[#This Row],[UO_COD]],qdd!$AT$1:$AU$102,2,FALSE),"")</f>
        <v/>
      </c>
      <c r="X511" s="1" t="str">
        <f>CONCATENATE("F",Tabela1[[#This Row],[FONTE_COD]],Tabela1[[#This Row],[IPU_COD]],"G",Tabela1[[#This Row],[GRUPO_COD]],"T",Tabela1[[#This Row],[TIPO]])</f>
        <v>FGT999</v>
      </c>
      <c r="Y5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1" s="19"/>
      <c r="AA511" s="29" t="str">
        <f>IFERROR(VLOOKUP(CONCATENATE("B",Tabela1[[#This Row],[BLOCO]],Tabela1[[#This Row],[UO_COD]]),qdd!$AW$2:$AX$1000,2,FALSE),"")</f>
        <v/>
      </c>
      <c r="AB511" s="30" t="str">
        <f>IFERROR(Tabela1[[#This Row],[VALOR]]/100,"")</f>
        <v/>
      </c>
      <c r="AC511" s="7" t="str" cm="1">
        <f t="array" aca="1" ref="AC511" ca="1">IF(Tabela1[[#This Row],[VALOR]]&lt;0,"",IFERROR(SUBSTITUTE(Converter_numero(Tabela1[[#This Row],[VALOR INCISO]]),",",""),""))</f>
        <v/>
      </c>
      <c r="AD511" s="29" t="str">
        <f>IF(Tabela1[[#This Row],[TIPO]]=REGRAS!$W$2,REGRAS!$X$2,IF(Tabela1[[#This Row],[TIPO]]=REGRAS!$W$4,REGRAS!$X$4,""))</f>
        <v/>
      </c>
      <c r="AE511" s="29" t="e">
        <f>VLOOKUP(Tabela1[[#This Row],[FONTE_COD]],REGRAS!$O$2:$P$69,2,FALSE)</f>
        <v>#N/A</v>
      </c>
      <c r="AF5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2" spans="1:32" ht="18.75" customHeight="1">
      <c r="A512" s="2" t="str">
        <f>IFERROR(IF('PREENCHER AQUI'!A512="","",'PREENCHER AQUI'!A512),"")</f>
        <v/>
      </c>
      <c r="B512" s="1" t="str">
        <f>IFERROR(IF('PREENCHER AQUI'!B512="","",PROPER('PREENCHER AQUI'!B512)),"")</f>
        <v/>
      </c>
      <c r="C512" s="1" t="str">
        <f>IFERROR(IF('PREENCHER AQUI'!C512="","",'PREENCHER AQUI'!C512),"")</f>
        <v/>
      </c>
      <c r="D512" s="2" t="str">
        <f>IFERROR(IF('PREENCHER AQUI'!D512="","",'PREENCHER AQUI'!D512),"")</f>
        <v/>
      </c>
      <c r="E512" s="2" t="str">
        <f>IFERROR(VLOOKUP(CONCATENATE(C512,D512),qdd!$C$2:$F$1000,2,FALSE),"")</f>
        <v/>
      </c>
      <c r="F512" s="2" t="str">
        <f>IFERROR(VLOOKUP(CONCATENATE(C512,D512),qdd!$C$2:$F$1000,3,FALSE),"")</f>
        <v/>
      </c>
      <c r="G512" s="2" t="str">
        <f>IFERROR(VLOOKUP(CONCATENATE(C512,D512),qdd!$C$2:$F$1000,4,FALSE),"")</f>
        <v/>
      </c>
      <c r="H512" s="6" t="str">
        <f t="shared" si="16"/>
        <v/>
      </c>
      <c r="I5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2" s="2" t="str">
        <f>IFERROR(IF('PREENCHER AQUI'!E512="","",'PREENCHER AQUI'!E512),"")</f>
        <v/>
      </c>
      <c r="K512" s="2" t="str">
        <f>IFERROR(IF('PREENCHER AQUI'!F512="","",'PREENCHER AQUI'!F512),"")</f>
        <v/>
      </c>
      <c r="L512" s="2" t="str">
        <f>IF(Tabela1[[#This Row],[IPU_COD]]=9,"91",IF(Tabela1[[#This Row],[ACAO_COD]]="","",VLOOKUP(CONCATENATE("G",J512,"M",K512),qdd!$BC$2:$BD$46,2,FALSE)))</f>
        <v/>
      </c>
      <c r="M512" s="2" t="str">
        <f>TEXT(IFERROR(VLOOKUP(CONCATENATE(C512,D512),qdd!$C$2:$G$1000,5,FALSE),""),0)</f>
        <v/>
      </c>
      <c r="N512" s="2" t="str">
        <f>IFERROR(IF('PREENCHER AQUI'!I512="","",'PREENCHER AQUI'!I512),"")</f>
        <v/>
      </c>
      <c r="O512" s="2" t="str">
        <f>IFERROR(IF('PREENCHER AQUI'!J512="","",'PREENCHER AQUI'!J512),"")</f>
        <v/>
      </c>
      <c r="P512" s="7" t="str">
        <f t="shared" si="17"/>
        <v/>
      </c>
      <c r="Q512" s="8" t="str">
        <f>IFERROR(IF(Tabela4[[#This Row],[VALOR]]="","",IF(Tabela1[[#This Row],[ORIENTACAO]]="Anular",'PREENCHER AQUI'!K512*-1*100,'PREENCHER AQUI'!K512*100)),"")</f>
        <v/>
      </c>
      <c r="T512" s="7" t="str">
        <f>IFERROR(IF('PREENCHER AQUI'!L512="","999",LEFT('PREENCHER AQUI'!L512,1)),"")</f>
        <v>999</v>
      </c>
      <c r="W512" s="1" t="str">
        <f>IFERROR(VLOOKUP(Tabela1[[#This Row],[UO_COD]],qdd!$AT$1:$AU$102,2,FALSE),"")</f>
        <v/>
      </c>
      <c r="X512" s="1" t="str">
        <f>CONCATENATE("F",Tabela1[[#This Row],[FONTE_COD]],Tabela1[[#This Row],[IPU_COD]],"G",Tabela1[[#This Row],[GRUPO_COD]],"T",Tabela1[[#This Row],[TIPO]])</f>
        <v>FGT999</v>
      </c>
      <c r="Y5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2" s="19"/>
      <c r="AA512" s="29" t="str">
        <f>IFERROR(VLOOKUP(CONCATENATE("B",Tabela1[[#This Row],[BLOCO]],Tabela1[[#This Row],[UO_COD]]),qdd!$AW$2:$AX$1000,2,FALSE),"")</f>
        <v/>
      </c>
      <c r="AB512" s="30" t="str">
        <f>IFERROR(Tabela1[[#This Row],[VALOR]]/100,"")</f>
        <v/>
      </c>
      <c r="AC512" s="7" t="str" cm="1">
        <f t="array" aca="1" ref="AC512" ca="1">IF(Tabela1[[#This Row],[VALOR]]&lt;0,"",IFERROR(SUBSTITUTE(Converter_numero(Tabela1[[#This Row],[VALOR INCISO]]),",",""),""))</f>
        <v/>
      </c>
      <c r="AD512" s="7" t="str">
        <f>IF(Tabela1[[#This Row],[TIPO]]=REGRAS!$W$2,REGRAS!$X$2,IF(Tabela1[[#This Row],[TIPO]]=REGRAS!$W$4,REGRAS!$X$4,""))</f>
        <v/>
      </c>
      <c r="AE512" s="29" t="e">
        <f>VLOOKUP(Tabela1[[#This Row],[FONTE_COD]],REGRAS!$O$2:$P$69,2,FALSE)</f>
        <v>#N/A</v>
      </c>
      <c r="AF5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3" spans="1:32" ht="18.75" customHeight="1">
      <c r="A513" s="2" t="str">
        <f>IFERROR(IF('PREENCHER AQUI'!A513="","",'PREENCHER AQUI'!A513),"")</f>
        <v/>
      </c>
      <c r="B513" s="1" t="str">
        <f>IFERROR(IF('PREENCHER AQUI'!B513="","",PROPER('PREENCHER AQUI'!B513)),"")</f>
        <v/>
      </c>
      <c r="C513" s="1" t="str">
        <f>IFERROR(IF('PREENCHER AQUI'!C513="","",'PREENCHER AQUI'!C513),"")</f>
        <v/>
      </c>
      <c r="D513" s="2" t="str">
        <f>IFERROR(IF('PREENCHER AQUI'!D513="","",'PREENCHER AQUI'!D513),"")</f>
        <v/>
      </c>
      <c r="E513" s="2" t="str">
        <f>IFERROR(VLOOKUP(CONCATENATE(C513,D513),qdd!$C$2:$F$1000,2,FALSE),"")</f>
        <v/>
      </c>
      <c r="F513" s="2" t="str">
        <f>IFERROR(VLOOKUP(CONCATENATE(C513,D513),qdd!$C$2:$F$1000,3,FALSE),"")</f>
        <v/>
      </c>
      <c r="G513" s="2" t="str">
        <f>IFERROR(VLOOKUP(CONCATENATE(C513,D513),qdd!$C$2:$F$1000,4,FALSE),"")</f>
        <v/>
      </c>
      <c r="H513" s="6" t="str">
        <f t="shared" si="16"/>
        <v/>
      </c>
      <c r="I5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3" s="2" t="str">
        <f>IFERROR(IF('PREENCHER AQUI'!E513="","",'PREENCHER AQUI'!E513),"")</f>
        <v/>
      </c>
      <c r="K513" s="2" t="str">
        <f>IFERROR(IF('PREENCHER AQUI'!F513="","",'PREENCHER AQUI'!F513),"")</f>
        <v/>
      </c>
      <c r="L513" s="2" t="str">
        <f>IF(Tabela1[[#This Row],[IPU_COD]]=9,"91",IF(Tabela1[[#This Row],[ACAO_COD]]="","",VLOOKUP(CONCATENATE("G",J513,"M",K513),qdd!$BC$2:$BD$46,2,FALSE)))</f>
        <v/>
      </c>
      <c r="M513" s="2" t="str">
        <f>TEXT(IFERROR(VLOOKUP(CONCATENATE(C513,D513),qdd!$C$2:$G$1000,5,FALSE),""),0)</f>
        <v/>
      </c>
      <c r="N513" s="2" t="str">
        <f>IFERROR(IF('PREENCHER AQUI'!I513="","",'PREENCHER AQUI'!I513),"")</f>
        <v/>
      </c>
      <c r="O513" s="2" t="str">
        <f>IFERROR(IF('PREENCHER AQUI'!J513="","",'PREENCHER AQUI'!J513),"")</f>
        <v/>
      </c>
      <c r="P513" s="7" t="str">
        <f t="shared" si="17"/>
        <v/>
      </c>
      <c r="Q513" s="8" t="str">
        <f>IFERROR(IF(Tabela4[[#This Row],[VALOR]]="","",IF(Tabela1[[#This Row],[ORIENTACAO]]="Anular",'PREENCHER AQUI'!K513*-1*100,'PREENCHER AQUI'!K513*100)),"")</f>
        <v/>
      </c>
      <c r="T513" s="7" t="str">
        <f>IFERROR(IF('PREENCHER AQUI'!L513="","999",LEFT('PREENCHER AQUI'!L513,1)),"")</f>
        <v>999</v>
      </c>
      <c r="V513" s="19"/>
      <c r="W513" s="1" t="str">
        <f>IFERROR(VLOOKUP(Tabela1[[#This Row],[UO_COD]],qdd!$AT$1:$AU$102,2,FALSE),"")</f>
        <v/>
      </c>
      <c r="X513" s="1" t="str">
        <f>CONCATENATE("F",Tabela1[[#This Row],[FONTE_COD]],Tabela1[[#This Row],[IPU_COD]],"G",Tabela1[[#This Row],[GRUPO_COD]],"T",Tabela1[[#This Row],[TIPO]])</f>
        <v>FGT999</v>
      </c>
      <c r="Y5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3" s="19"/>
      <c r="AA513" s="29" t="str">
        <f>IFERROR(VLOOKUP(CONCATENATE("B",Tabela1[[#This Row],[BLOCO]],Tabela1[[#This Row],[UO_COD]]),qdd!$AW$2:$AX$1000,2,FALSE),"")</f>
        <v/>
      </c>
      <c r="AB513" s="30" t="str">
        <f>IFERROR(Tabela1[[#This Row],[VALOR]]/100,"")</f>
        <v/>
      </c>
      <c r="AC513" s="7" t="str" cm="1">
        <f t="array" aca="1" ref="AC513" ca="1">IF(Tabela1[[#This Row],[VALOR]]&lt;0,"",IFERROR(SUBSTITUTE(Converter_numero(Tabela1[[#This Row],[VALOR INCISO]]),",",""),""))</f>
        <v/>
      </c>
      <c r="AD513" s="29" t="str">
        <f>IF(Tabela1[[#This Row],[TIPO]]=REGRAS!$W$2,REGRAS!$X$2,IF(Tabela1[[#This Row],[TIPO]]=REGRAS!$W$4,REGRAS!$X$4,""))</f>
        <v/>
      </c>
      <c r="AE513" s="29" t="e">
        <f>VLOOKUP(Tabela1[[#This Row],[FONTE_COD]],REGRAS!$O$2:$P$69,2,FALSE)</f>
        <v>#N/A</v>
      </c>
      <c r="AF5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4" spans="1:32" ht="18.75" customHeight="1">
      <c r="A514" s="2" t="str">
        <f>IFERROR(IF('PREENCHER AQUI'!A514="","",'PREENCHER AQUI'!A514),"")</f>
        <v/>
      </c>
      <c r="B514" s="1" t="str">
        <f>IFERROR(IF('PREENCHER AQUI'!B514="","",PROPER('PREENCHER AQUI'!B514)),"")</f>
        <v/>
      </c>
      <c r="C514" s="1" t="str">
        <f>IFERROR(IF('PREENCHER AQUI'!C514="","",'PREENCHER AQUI'!C514),"")</f>
        <v/>
      </c>
      <c r="D514" s="2" t="str">
        <f>IFERROR(IF('PREENCHER AQUI'!D514="","",'PREENCHER AQUI'!D514),"")</f>
        <v/>
      </c>
      <c r="E514" s="2" t="str">
        <f>IFERROR(VLOOKUP(CONCATENATE(C514,D514),qdd!$C$2:$F$1000,2,FALSE),"")</f>
        <v/>
      </c>
      <c r="F514" s="2" t="str">
        <f>IFERROR(VLOOKUP(CONCATENATE(C514,D514),qdd!$C$2:$F$1000,3,FALSE),"")</f>
        <v/>
      </c>
      <c r="G514" s="2" t="str">
        <f>IFERROR(VLOOKUP(CONCATENATE(C514,D514),qdd!$C$2:$F$1000,4,FALSE),"")</f>
        <v/>
      </c>
      <c r="H514" s="6" t="str">
        <f t="shared" si="16"/>
        <v/>
      </c>
      <c r="I5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4" s="2" t="str">
        <f>IFERROR(IF('PREENCHER AQUI'!E514="","",'PREENCHER AQUI'!E514),"")</f>
        <v/>
      </c>
      <c r="K514" s="2" t="str">
        <f>IFERROR(IF('PREENCHER AQUI'!F514="","",'PREENCHER AQUI'!F514),"")</f>
        <v/>
      </c>
      <c r="L514" s="2" t="str">
        <f>IF(Tabela1[[#This Row],[IPU_COD]]=9,"91",IF(Tabela1[[#This Row],[ACAO_COD]]="","",VLOOKUP(CONCATENATE("G",J514,"M",K514),qdd!$BC$2:$BD$46,2,FALSE)))</f>
        <v/>
      </c>
      <c r="M514" s="2" t="str">
        <f>TEXT(IFERROR(VLOOKUP(CONCATENATE(C514,D514),qdd!$C$2:$G$1000,5,FALSE),""),0)</f>
        <v/>
      </c>
      <c r="N514" s="2" t="str">
        <f>IFERROR(IF('PREENCHER AQUI'!I514="","",'PREENCHER AQUI'!I514),"")</f>
        <v/>
      </c>
      <c r="O514" s="2" t="str">
        <f>IFERROR(IF('PREENCHER AQUI'!J514="","",'PREENCHER AQUI'!J514),"")</f>
        <v/>
      </c>
      <c r="P514" s="7" t="str">
        <f t="shared" si="17"/>
        <v/>
      </c>
      <c r="Q514" s="8" t="str">
        <f>IFERROR(IF(Tabela4[[#This Row],[VALOR]]="","",IF(Tabela1[[#This Row],[ORIENTACAO]]="Anular",'PREENCHER AQUI'!K514*-1*100,'PREENCHER AQUI'!K514*100)),"")</f>
        <v/>
      </c>
      <c r="T514" s="7" t="str">
        <f>IFERROR(IF('PREENCHER AQUI'!L514="","999",LEFT('PREENCHER AQUI'!L514,1)),"")</f>
        <v>999</v>
      </c>
      <c r="V514" s="19"/>
      <c r="W514" s="1" t="str">
        <f>IFERROR(VLOOKUP(Tabela1[[#This Row],[UO_COD]],qdd!$AT$1:$AU$102,2,FALSE),"")</f>
        <v/>
      </c>
      <c r="X514" s="1" t="str">
        <f>CONCATENATE("F",Tabela1[[#This Row],[FONTE_COD]],Tabela1[[#This Row],[IPU_COD]],"G",Tabela1[[#This Row],[GRUPO_COD]],"T",Tabela1[[#This Row],[TIPO]])</f>
        <v>FGT999</v>
      </c>
      <c r="Y5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4" s="19"/>
      <c r="AA514" s="29" t="str">
        <f>IFERROR(VLOOKUP(CONCATENATE("B",Tabela1[[#This Row],[BLOCO]],Tabela1[[#This Row],[UO_COD]]),qdd!$AW$2:$AX$1000,2,FALSE),"")</f>
        <v/>
      </c>
      <c r="AB514" s="30" t="str">
        <f>IFERROR(Tabela1[[#This Row],[VALOR]]/100,"")</f>
        <v/>
      </c>
      <c r="AC514" s="7" t="str" cm="1">
        <f t="array" aca="1" ref="AC514" ca="1">IF(Tabela1[[#This Row],[VALOR]]&lt;0,"",IFERROR(SUBSTITUTE(Converter_numero(Tabela1[[#This Row],[VALOR INCISO]]),",",""),""))</f>
        <v/>
      </c>
      <c r="AD514" s="29" t="str">
        <f>IF(Tabela1[[#This Row],[TIPO]]=REGRAS!$W$2,REGRAS!$X$2,IF(Tabela1[[#This Row],[TIPO]]=REGRAS!$W$4,REGRAS!$X$4,""))</f>
        <v/>
      </c>
      <c r="AE514" s="29" t="e">
        <f>VLOOKUP(Tabela1[[#This Row],[FONTE_COD]],REGRAS!$O$2:$P$69,2,FALSE)</f>
        <v>#N/A</v>
      </c>
      <c r="AF5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5" spans="1:32" ht="18.75" customHeight="1">
      <c r="A515" s="2" t="str">
        <f>IFERROR(IF('PREENCHER AQUI'!A515="","",'PREENCHER AQUI'!A515),"")</f>
        <v/>
      </c>
      <c r="B515" s="1" t="str">
        <f>IFERROR(IF('PREENCHER AQUI'!B515="","",PROPER('PREENCHER AQUI'!B515)),"")</f>
        <v/>
      </c>
      <c r="C515" s="1" t="str">
        <f>IFERROR(IF('PREENCHER AQUI'!C515="","",'PREENCHER AQUI'!C515),"")</f>
        <v/>
      </c>
      <c r="D515" s="2" t="str">
        <f>IFERROR(IF('PREENCHER AQUI'!D515="","",'PREENCHER AQUI'!D515),"")</f>
        <v/>
      </c>
      <c r="E515" s="2" t="str">
        <f>IFERROR(VLOOKUP(CONCATENATE(C515,D515),qdd!$C$2:$F$1000,2,FALSE),"")</f>
        <v/>
      </c>
      <c r="F515" s="2" t="str">
        <f>IFERROR(VLOOKUP(CONCATENATE(C515,D515),qdd!$C$2:$F$1000,3,FALSE),"")</f>
        <v/>
      </c>
      <c r="G515" s="2" t="str">
        <f>IFERROR(VLOOKUP(CONCATENATE(C515,D515),qdd!$C$2:$F$1000,4,FALSE),"")</f>
        <v/>
      </c>
      <c r="H515" s="6" t="str">
        <f t="shared" ref="H515:H578" si="18">IF(E515="","","0001")</f>
        <v/>
      </c>
      <c r="I5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5" s="2" t="str">
        <f>IFERROR(IF('PREENCHER AQUI'!E515="","",'PREENCHER AQUI'!E515),"")</f>
        <v/>
      </c>
      <c r="K515" s="2" t="str">
        <f>IFERROR(IF('PREENCHER AQUI'!F515="","",'PREENCHER AQUI'!F515),"")</f>
        <v/>
      </c>
      <c r="L515" s="2" t="str">
        <f>IF(Tabela1[[#This Row],[IPU_COD]]=9,"91",IF(Tabela1[[#This Row],[ACAO_COD]]="","",VLOOKUP(CONCATENATE("G",J515,"M",K515),qdd!$BC$2:$BD$46,2,FALSE)))</f>
        <v/>
      </c>
      <c r="M515" s="2" t="str">
        <f>TEXT(IFERROR(VLOOKUP(CONCATENATE(C515,D515),qdd!$C$2:$G$1000,5,FALSE),""),0)</f>
        <v/>
      </c>
      <c r="N515" s="2" t="str">
        <f>IFERROR(IF('PREENCHER AQUI'!I515="","",'PREENCHER AQUI'!I515),"")</f>
        <v/>
      </c>
      <c r="O515" s="2" t="str">
        <f>IFERROR(IF('PREENCHER AQUI'!J515="","",'PREENCHER AQUI'!J515),"")</f>
        <v/>
      </c>
      <c r="P515" s="7" t="str">
        <f t="shared" ref="P515:P578" si="19">IFERROR(CONCATENATE(E515,F515,G515,D515,H515,I515,J515,K515,L515,M515,N515,O515),"")</f>
        <v/>
      </c>
      <c r="Q515" s="8" t="str">
        <f>IFERROR(IF(Tabela4[[#This Row],[VALOR]]="","",IF(Tabela1[[#This Row],[ORIENTACAO]]="Anular",'PREENCHER AQUI'!K515*-1*100,'PREENCHER AQUI'!K515*100)),"")</f>
        <v/>
      </c>
      <c r="T515" s="7" t="str">
        <f>IFERROR(IF('PREENCHER AQUI'!L515="","999",LEFT('PREENCHER AQUI'!L515,1)),"")</f>
        <v>999</v>
      </c>
      <c r="V515" s="19"/>
      <c r="W515" s="20" t="str">
        <f>IFERROR(VLOOKUP(Tabela1[[#This Row],[UO_COD]],qdd!$AT$1:$AU$102,2,FALSE),"")</f>
        <v/>
      </c>
      <c r="X515" s="20" t="str">
        <f>CONCATENATE("F",Tabela1[[#This Row],[FONTE_COD]],Tabela1[[#This Row],[IPU_COD]],"G",Tabela1[[#This Row],[GRUPO_COD]],"T",Tabela1[[#This Row],[TIPO]])</f>
        <v>FGT999</v>
      </c>
      <c r="Y5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5" s="19"/>
      <c r="AA515" s="29" t="str">
        <f>IFERROR(VLOOKUP(CONCATENATE("B",Tabela1[[#This Row],[BLOCO]],Tabela1[[#This Row],[UO_COD]]),qdd!$AW$2:$AX$1000,2,FALSE),"")</f>
        <v/>
      </c>
      <c r="AB515" s="30" t="str">
        <f>IFERROR(Tabela1[[#This Row],[VALOR]]/100,"")</f>
        <v/>
      </c>
      <c r="AC515" s="7" t="str" cm="1">
        <f t="array" aca="1" ref="AC515" ca="1">IF(Tabela1[[#This Row],[VALOR]]&lt;0,"",IFERROR(SUBSTITUTE(Converter_numero(Tabela1[[#This Row],[VALOR INCISO]]),",",""),""))</f>
        <v/>
      </c>
      <c r="AD515" s="29" t="str">
        <f>IF(Tabela1[[#This Row],[TIPO]]=REGRAS!$W$2,REGRAS!$X$2,IF(Tabela1[[#This Row],[TIPO]]=REGRAS!$W$4,REGRAS!$X$4,""))</f>
        <v/>
      </c>
      <c r="AE515" s="29" t="e">
        <f>VLOOKUP(Tabela1[[#This Row],[FONTE_COD]],REGRAS!$O$2:$P$69,2,FALSE)</f>
        <v>#N/A</v>
      </c>
      <c r="AF5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6" spans="1:32" ht="18.75" customHeight="1">
      <c r="A516" s="2" t="str">
        <f>IFERROR(IF('PREENCHER AQUI'!A516="","",'PREENCHER AQUI'!A516),"")</f>
        <v/>
      </c>
      <c r="B516" s="1" t="str">
        <f>IFERROR(IF('PREENCHER AQUI'!B516="","",PROPER('PREENCHER AQUI'!B516)),"")</f>
        <v/>
      </c>
      <c r="C516" s="1" t="str">
        <f>IFERROR(IF('PREENCHER AQUI'!C516="","",'PREENCHER AQUI'!C516),"")</f>
        <v/>
      </c>
      <c r="D516" s="2" t="str">
        <f>IFERROR(IF('PREENCHER AQUI'!D516="","",'PREENCHER AQUI'!D516),"")</f>
        <v/>
      </c>
      <c r="E516" s="2" t="str">
        <f>IFERROR(VLOOKUP(CONCATENATE(C516,D516),qdd!$C$2:$F$1000,2,FALSE),"")</f>
        <v/>
      </c>
      <c r="F516" s="2" t="str">
        <f>IFERROR(VLOOKUP(CONCATENATE(C516,D516),qdd!$C$2:$F$1000,3,FALSE),"")</f>
        <v/>
      </c>
      <c r="G516" s="2" t="str">
        <f>IFERROR(VLOOKUP(CONCATENATE(C516,D516),qdd!$C$2:$F$1000,4,FALSE),"")</f>
        <v/>
      </c>
      <c r="H516" s="6" t="str">
        <f t="shared" si="18"/>
        <v/>
      </c>
      <c r="I5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6" s="2" t="str">
        <f>IFERROR(IF('PREENCHER AQUI'!E516="","",'PREENCHER AQUI'!E516),"")</f>
        <v/>
      </c>
      <c r="K516" s="2" t="str">
        <f>IFERROR(IF('PREENCHER AQUI'!F516="","",'PREENCHER AQUI'!F516),"")</f>
        <v/>
      </c>
      <c r="L516" s="2" t="str">
        <f>IF(Tabela1[[#This Row],[IPU_COD]]=9,"91",IF(Tabela1[[#This Row],[ACAO_COD]]="","",VLOOKUP(CONCATENATE("G",J516,"M",K516),qdd!$BC$2:$BD$46,2,FALSE)))</f>
        <v/>
      </c>
      <c r="M516" s="2" t="str">
        <f>TEXT(IFERROR(VLOOKUP(CONCATENATE(C516,D516),qdd!$C$2:$G$1000,5,FALSE),""),0)</f>
        <v/>
      </c>
      <c r="N516" s="2" t="str">
        <f>IFERROR(IF('PREENCHER AQUI'!I516="","",'PREENCHER AQUI'!I516),"")</f>
        <v/>
      </c>
      <c r="O516" s="2" t="str">
        <f>IFERROR(IF('PREENCHER AQUI'!J516="","",'PREENCHER AQUI'!J516),"")</f>
        <v/>
      </c>
      <c r="P516" s="7" t="str">
        <f t="shared" si="19"/>
        <v/>
      </c>
      <c r="Q516" s="8" t="str">
        <f>IFERROR(IF(Tabela4[[#This Row],[VALOR]]="","",IF(Tabela1[[#This Row],[ORIENTACAO]]="Anular",'PREENCHER AQUI'!K516*-1*100,'PREENCHER AQUI'!K516*100)),"")</f>
        <v/>
      </c>
      <c r="T516" s="7" t="str">
        <f>IFERROR(IF('PREENCHER AQUI'!L516="","999",LEFT('PREENCHER AQUI'!L516,1)),"")</f>
        <v>999</v>
      </c>
      <c r="V516" s="19"/>
      <c r="W516" s="1" t="str">
        <f>IFERROR(VLOOKUP(Tabela1[[#This Row],[UO_COD]],qdd!$AT$1:$AU$102,2,FALSE),"")</f>
        <v/>
      </c>
      <c r="X516" s="1" t="str">
        <f>CONCATENATE("F",Tabela1[[#This Row],[FONTE_COD]],Tabela1[[#This Row],[IPU_COD]],"G",Tabela1[[#This Row],[GRUPO_COD]],"T",Tabela1[[#This Row],[TIPO]])</f>
        <v>FGT999</v>
      </c>
      <c r="Y5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6" s="19"/>
      <c r="AA516" s="29" t="str">
        <f>IFERROR(VLOOKUP(CONCATENATE("B",Tabela1[[#This Row],[BLOCO]],Tabela1[[#This Row],[UO_COD]]),qdd!$AW$2:$AX$1000,2,FALSE),"")</f>
        <v/>
      </c>
      <c r="AB516" s="30" t="str">
        <f>IFERROR(Tabela1[[#This Row],[VALOR]]/100,"")</f>
        <v/>
      </c>
      <c r="AC516" s="7" t="str" cm="1">
        <f t="array" aca="1" ref="AC516" ca="1">IF(Tabela1[[#This Row],[VALOR]]&lt;0,"",IFERROR(SUBSTITUTE(Converter_numero(Tabela1[[#This Row],[VALOR INCISO]]),",",""),""))</f>
        <v/>
      </c>
      <c r="AD516" s="29" t="str">
        <f>IF(Tabela1[[#This Row],[TIPO]]=REGRAS!$W$2,REGRAS!$X$2,IF(Tabela1[[#This Row],[TIPO]]=REGRAS!$W$4,REGRAS!$X$4,""))</f>
        <v/>
      </c>
      <c r="AE516" s="29" t="e">
        <f>VLOOKUP(Tabela1[[#This Row],[FONTE_COD]],REGRAS!$O$2:$P$69,2,FALSE)</f>
        <v>#N/A</v>
      </c>
      <c r="AF5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7" spans="1:32" ht="18.75" customHeight="1">
      <c r="A517" s="2" t="str">
        <f>IFERROR(IF('PREENCHER AQUI'!A517="","",'PREENCHER AQUI'!A517),"")</f>
        <v/>
      </c>
      <c r="B517" s="1" t="str">
        <f>IFERROR(IF('PREENCHER AQUI'!B517="","",PROPER('PREENCHER AQUI'!B517)),"")</f>
        <v/>
      </c>
      <c r="C517" s="1" t="str">
        <f>IFERROR(IF('PREENCHER AQUI'!C517="","",'PREENCHER AQUI'!C517),"")</f>
        <v/>
      </c>
      <c r="D517" s="2" t="str">
        <f>IFERROR(IF('PREENCHER AQUI'!D517="","",'PREENCHER AQUI'!D517),"")</f>
        <v/>
      </c>
      <c r="E517" s="2" t="str">
        <f>IFERROR(VLOOKUP(CONCATENATE(C517,D517),qdd!$C$2:$F$1000,2,FALSE),"")</f>
        <v/>
      </c>
      <c r="F517" s="2" t="str">
        <f>IFERROR(VLOOKUP(CONCATENATE(C517,D517),qdd!$C$2:$F$1000,3,FALSE),"")</f>
        <v/>
      </c>
      <c r="G517" s="2" t="str">
        <f>IFERROR(VLOOKUP(CONCATENATE(C517,D517),qdd!$C$2:$F$1000,4,FALSE),"")</f>
        <v/>
      </c>
      <c r="H517" s="6" t="str">
        <f t="shared" si="18"/>
        <v/>
      </c>
      <c r="I5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7" s="2" t="str">
        <f>IFERROR(IF('PREENCHER AQUI'!E517="","",'PREENCHER AQUI'!E517),"")</f>
        <v/>
      </c>
      <c r="K517" s="2" t="str">
        <f>IFERROR(IF('PREENCHER AQUI'!F517="","",'PREENCHER AQUI'!F517),"")</f>
        <v/>
      </c>
      <c r="L517" s="2" t="str">
        <f>IF(Tabela1[[#This Row],[IPU_COD]]=9,"91",IF(Tabela1[[#This Row],[ACAO_COD]]="","",VLOOKUP(CONCATENATE("G",J517,"M",K517),qdd!$BC$2:$BD$46,2,FALSE)))</f>
        <v/>
      </c>
      <c r="M517" s="2" t="str">
        <f>TEXT(IFERROR(VLOOKUP(CONCATENATE(C517,D517),qdd!$C$2:$G$1000,5,FALSE),""),0)</f>
        <v/>
      </c>
      <c r="N517" s="2" t="str">
        <f>IFERROR(IF('PREENCHER AQUI'!I517="","",'PREENCHER AQUI'!I517),"")</f>
        <v/>
      </c>
      <c r="O517" s="2" t="str">
        <f>IFERROR(IF('PREENCHER AQUI'!J517="","",'PREENCHER AQUI'!J517),"")</f>
        <v/>
      </c>
      <c r="P517" s="7" t="str">
        <f t="shared" si="19"/>
        <v/>
      </c>
      <c r="Q517" s="8" t="str">
        <f>IFERROR(IF(Tabela4[[#This Row],[VALOR]]="","",IF(Tabela1[[#This Row],[ORIENTACAO]]="Anular",'PREENCHER AQUI'!K517*-1*100,'PREENCHER AQUI'!K517*100)),"")</f>
        <v/>
      </c>
      <c r="T517" s="7" t="str">
        <f>IFERROR(IF('PREENCHER AQUI'!L517="","999",LEFT('PREENCHER AQUI'!L517,1)),"")</f>
        <v>999</v>
      </c>
      <c r="W517" s="1" t="str">
        <f>IFERROR(VLOOKUP(Tabela1[[#This Row],[UO_COD]],qdd!$AT$1:$AU$102,2,FALSE),"")</f>
        <v/>
      </c>
      <c r="X517" s="1" t="str">
        <f>CONCATENATE("F",Tabela1[[#This Row],[FONTE_COD]],Tabela1[[#This Row],[IPU_COD]],"G",Tabela1[[#This Row],[GRUPO_COD]],"T",Tabela1[[#This Row],[TIPO]])</f>
        <v>FGT999</v>
      </c>
      <c r="Y5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7" s="19"/>
      <c r="AA517" s="29" t="str">
        <f>IFERROR(VLOOKUP(CONCATENATE("B",Tabela1[[#This Row],[BLOCO]],Tabela1[[#This Row],[UO_COD]]),qdd!$AW$2:$AX$1000,2,FALSE),"")</f>
        <v/>
      </c>
      <c r="AB517" s="30" t="str">
        <f>IFERROR(Tabela1[[#This Row],[VALOR]]/100,"")</f>
        <v/>
      </c>
      <c r="AC517" s="7" t="str" cm="1">
        <f t="array" aca="1" ref="AC517" ca="1">IF(Tabela1[[#This Row],[VALOR]]&lt;0,"",IFERROR(SUBSTITUTE(Converter_numero(Tabela1[[#This Row],[VALOR INCISO]]),",",""),""))</f>
        <v/>
      </c>
      <c r="AD517" s="7" t="str">
        <f>IF(Tabela1[[#This Row],[TIPO]]=REGRAS!$W$2,REGRAS!$X$2,IF(Tabela1[[#This Row],[TIPO]]=REGRAS!$W$4,REGRAS!$X$4,""))</f>
        <v/>
      </c>
      <c r="AE517" s="29" t="e">
        <f>VLOOKUP(Tabela1[[#This Row],[FONTE_COD]],REGRAS!$O$2:$P$69,2,FALSE)</f>
        <v>#N/A</v>
      </c>
      <c r="AF5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8" spans="1:32" ht="18.75" customHeight="1">
      <c r="A518" s="2" t="str">
        <f>IFERROR(IF('PREENCHER AQUI'!A518="","",'PREENCHER AQUI'!A518),"")</f>
        <v/>
      </c>
      <c r="B518" s="1" t="str">
        <f>IFERROR(IF('PREENCHER AQUI'!B518="","",PROPER('PREENCHER AQUI'!B518)),"")</f>
        <v/>
      </c>
      <c r="C518" s="1" t="str">
        <f>IFERROR(IF('PREENCHER AQUI'!C518="","",'PREENCHER AQUI'!C518),"")</f>
        <v/>
      </c>
      <c r="D518" s="2" t="str">
        <f>IFERROR(IF('PREENCHER AQUI'!D518="","",'PREENCHER AQUI'!D518),"")</f>
        <v/>
      </c>
      <c r="E518" s="2" t="str">
        <f>IFERROR(VLOOKUP(CONCATENATE(C518,D518),qdd!$C$2:$F$1000,2,FALSE),"")</f>
        <v/>
      </c>
      <c r="F518" s="2" t="str">
        <f>IFERROR(VLOOKUP(CONCATENATE(C518,D518),qdd!$C$2:$F$1000,3,FALSE),"")</f>
        <v/>
      </c>
      <c r="G518" s="2" t="str">
        <f>IFERROR(VLOOKUP(CONCATENATE(C518,D518),qdd!$C$2:$F$1000,4,FALSE),"")</f>
        <v/>
      </c>
      <c r="H518" s="6" t="str">
        <f t="shared" si="18"/>
        <v/>
      </c>
      <c r="I5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8" s="2" t="str">
        <f>IFERROR(IF('PREENCHER AQUI'!E518="","",'PREENCHER AQUI'!E518),"")</f>
        <v/>
      </c>
      <c r="K518" s="2" t="str">
        <f>IFERROR(IF('PREENCHER AQUI'!F518="","",'PREENCHER AQUI'!F518),"")</f>
        <v/>
      </c>
      <c r="L518" s="2" t="str">
        <f>IF(Tabela1[[#This Row],[IPU_COD]]=9,"91",IF(Tabela1[[#This Row],[ACAO_COD]]="","",VLOOKUP(CONCATENATE("G",J518,"M",K518),qdd!$BC$2:$BD$46,2,FALSE)))</f>
        <v/>
      </c>
      <c r="M518" s="2" t="str">
        <f>TEXT(IFERROR(VLOOKUP(CONCATENATE(C518,D518),qdd!$C$2:$G$1000,5,FALSE),""),0)</f>
        <v/>
      </c>
      <c r="N518" s="2" t="str">
        <f>IFERROR(IF('PREENCHER AQUI'!I518="","",'PREENCHER AQUI'!I518),"")</f>
        <v/>
      </c>
      <c r="O518" s="2" t="str">
        <f>IFERROR(IF('PREENCHER AQUI'!J518="","",'PREENCHER AQUI'!J518),"")</f>
        <v/>
      </c>
      <c r="P518" s="7" t="str">
        <f t="shared" si="19"/>
        <v/>
      </c>
      <c r="Q518" s="8" t="str">
        <f>IFERROR(IF(Tabela4[[#This Row],[VALOR]]="","",IF(Tabela1[[#This Row],[ORIENTACAO]]="Anular",'PREENCHER AQUI'!K518*-1*100,'PREENCHER AQUI'!K518*100)),"")</f>
        <v/>
      </c>
      <c r="T518" s="7" t="str">
        <f>IFERROR(IF('PREENCHER AQUI'!L518="","999",LEFT('PREENCHER AQUI'!L518,1)),"")</f>
        <v>999</v>
      </c>
      <c r="V518" s="19"/>
      <c r="W518" s="1" t="str">
        <f>IFERROR(VLOOKUP(Tabela1[[#This Row],[UO_COD]],qdd!$AT$1:$AU$102,2,FALSE),"")</f>
        <v/>
      </c>
      <c r="X518" s="1" t="str">
        <f>CONCATENATE("F",Tabela1[[#This Row],[FONTE_COD]],Tabela1[[#This Row],[IPU_COD]],"G",Tabela1[[#This Row],[GRUPO_COD]],"T",Tabela1[[#This Row],[TIPO]])</f>
        <v>FGT999</v>
      </c>
      <c r="Y5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8" s="19"/>
      <c r="AA518" s="29" t="str">
        <f>IFERROR(VLOOKUP(CONCATENATE("B",Tabela1[[#This Row],[BLOCO]],Tabela1[[#This Row],[UO_COD]]),qdd!$AW$2:$AX$1000,2,FALSE),"")</f>
        <v/>
      </c>
      <c r="AB518" s="30" t="str">
        <f>IFERROR(Tabela1[[#This Row],[VALOR]]/100,"")</f>
        <v/>
      </c>
      <c r="AC518" s="7" t="str" cm="1">
        <f t="array" aca="1" ref="AC518" ca="1">IF(Tabela1[[#This Row],[VALOR]]&lt;0,"",IFERROR(SUBSTITUTE(Converter_numero(Tabela1[[#This Row],[VALOR INCISO]]),",",""),""))</f>
        <v/>
      </c>
      <c r="AD518" s="29" t="str">
        <f>IF(Tabela1[[#This Row],[TIPO]]=REGRAS!$W$2,REGRAS!$X$2,IF(Tabela1[[#This Row],[TIPO]]=REGRAS!$W$4,REGRAS!$X$4,""))</f>
        <v/>
      </c>
      <c r="AE518" s="29" t="e">
        <f>VLOOKUP(Tabela1[[#This Row],[FONTE_COD]],REGRAS!$O$2:$P$69,2,FALSE)</f>
        <v>#N/A</v>
      </c>
      <c r="AF5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9" spans="1:32" ht="18.75" customHeight="1">
      <c r="A519" s="2" t="str">
        <f>IFERROR(IF('PREENCHER AQUI'!A519="","",'PREENCHER AQUI'!A519),"")</f>
        <v/>
      </c>
      <c r="B519" s="1" t="str">
        <f>IFERROR(IF('PREENCHER AQUI'!B519="","",PROPER('PREENCHER AQUI'!B519)),"")</f>
        <v/>
      </c>
      <c r="C519" s="1" t="str">
        <f>IFERROR(IF('PREENCHER AQUI'!C519="","",'PREENCHER AQUI'!C519),"")</f>
        <v/>
      </c>
      <c r="D519" s="2" t="str">
        <f>IFERROR(IF('PREENCHER AQUI'!D519="","",'PREENCHER AQUI'!D519),"")</f>
        <v/>
      </c>
      <c r="E519" s="2" t="str">
        <f>IFERROR(VLOOKUP(CONCATENATE(C519,D519),qdd!$C$2:$F$1000,2,FALSE),"")</f>
        <v/>
      </c>
      <c r="F519" s="2" t="str">
        <f>IFERROR(VLOOKUP(CONCATENATE(C519,D519),qdd!$C$2:$F$1000,3,FALSE),"")</f>
        <v/>
      </c>
      <c r="G519" s="2" t="str">
        <f>IFERROR(VLOOKUP(CONCATENATE(C519,D519),qdd!$C$2:$F$1000,4,FALSE),"")</f>
        <v/>
      </c>
      <c r="H519" s="6" t="str">
        <f t="shared" si="18"/>
        <v/>
      </c>
      <c r="I5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9" s="2" t="str">
        <f>IFERROR(IF('PREENCHER AQUI'!E519="","",'PREENCHER AQUI'!E519),"")</f>
        <v/>
      </c>
      <c r="K519" s="2" t="str">
        <f>IFERROR(IF('PREENCHER AQUI'!F519="","",'PREENCHER AQUI'!F519),"")</f>
        <v/>
      </c>
      <c r="L519" s="2" t="str">
        <f>IF(Tabela1[[#This Row],[IPU_COD]]=9,"91",IF(Tabela1[[#This Row],[ACAO_COD]]="","",VLOOKUP(CONCATENATE("G",J519,"M",K519),qdd!$BC$2:$BD$46,2,FALSE)))</f>
        <v/>
      </c>
      <c r="M519" s="2" t="str">
        <f>TEXT(IFERROR(VLOOKUP(CONCATENATE(C519,D519),qdd!$C$2:$G$1000,5,FALSE),""),0)</f>
        <v/>
      </c>
      <c r="N519" s="2" t="str">
        <f>IFERROR(IF('PREENCHER AQUI'!I519="","",'PREENCHER AQUI'!I519),"")</f>
        <v/>
      </c>
      <c r="O519" s="2" t="str">
        <f>IFERROR(IF('PREENCHER AQUI'!J519="","",'PREENCHER AQUI'!J519),"")</f>
        <v/>
      </c>
      <c r="P519" s="7" t="str">
        <f t="shared" si="19"/>
        <v/>
      </c>
      <c r="Q519" s="8" t="str">
        <f>IFERROR(IF(Tabela4[[#This Row],[VALOR]]="","",IF(Tabela1[[#This Row],[ORIENTACAO]]="Anular",'PREENCHER AQUI'!K519*-1*100,'PREENCHER AQUI'!K519*100)),"")</f>
        <v/>
      </c>
      <c r="T519" s="7" t="str">
        <f>IFERROR(IF('PREENCHER AQUI'!L519="","999",LEFT('PREENCHER AQUI'!L519,1)),"")</f>
        <v>999</v>
      </c>
      <c r="V519" s="19"/>
      <c r="W519" s="1" t="str">
        <f>IFERROR(VLOOKUP(Tabela1[[#This Row],[UO_COD]],qdd!$AT$1:$AU$102,2,FALSE),"")</f>
        <v/>
      </c>
      <c r="X519" s="1" t="str">
        <f>CONCATENATE("F",Tabela1[[#This Row],[FONTE_COD]],Tabela1[[#This Row],[IPU_COD]],"G",Tabela1[[#This Row],[GRUPO_COD]],"T",Tabela1[[#This Row],[TIPO]])</f>
        <v>FGT999</v>
      </c>
      <c r="Y5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9" s="19"/>
      <c r="AA519" s="29" t="str">
        <f>IFERROR(VLOOKUP(CONCATENATE("B",Tabela1[[#This Row],[BLOCO]],Tabela1[[#This Row],[UO_COD]]),qdd!$AW$2:$AX$1000,2,FALSE),"")</f>
        <v/>
      </c>
      <c r="AB519" s="30" t="str">
        <f>IFERROR(Tabela1[[#This Row],[VALOR]]/100,"")</f>
        <v/>
      </c>
      <c r="AC519" s="7" t="str" cm="1">
        <f t="array" aca="1" ref="AC519" ca="1">IF(Tabela1[[#This Row],[VALOR]]&lt;0,"",IFERROR(SUBSTITUTE(Converter_numero(Tabela1[[#This Row],[VALOR INCISO]]),",",""),""))</f>
        <v/>
      </c>
      <c r="AD519" s="29" t="str">
        <f>IF(Tabela1[[#This Row],[TIPO]]=REGRAS!$W$2,REGRAS!$X$2,IF(Tabela1[[#This Row],[TIPO]]=REGRAS!$W$4,REGRAS!$X$4,""))</f>
        <v/>
      </c>
      <c r="AE519" s="29" t="e">
        <f>VLOOKUP(Tabela1[[#This Row],[FONTE_COD]],REGRAS!$O$2:$P$69,2,FALSE)</f>
        <v>#N/A</v>
      </c>
      <c r="AF5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0" spans="1:32" ht="18.75" customHeight="1">
      <c r="A520" s="2" t="str">
        <f>IFERROR(IF('PREENCHER AQUI'!A520="","",'PREENCHER AQUI'!A520),"")</f>
        <v/>
      </c>
      <c r="B520" s="1" t="str">
        <f>IFERROR(IF('PREENCHER AQUI'!B520="","",PROPER('PREENCHER AQUI'!B520)),"")</f>
        <v/>
      </c>
      <c r="C520" s="1" t="str">
        <f>IFERROR(IF('PREENCHER AQUI'!C520="","",'PREENCHER AQUI'!C520),"")</f>
        <v/>
      </c>
      <c r="D520" s="2" t="str">
        <f>IFERROR(IF('PREENCHER AQUI'!D520="","",'PREENCHER AQUI'!D520),"")</f>
        <v/>
      </c>
      <c r="E520" s="2" t="str">
        <f>IFERROR(VLOOKUP(CONCATENATE(C520,D520),qdd!$C$2:$F$1000,2,FALSE),"")</f>
        <v/>
      </c>
      <c r="F520" s="2" t="str">
        <f>IFERROR(VLOOKUP(CONCATENATE(C520,D520),qdd!$C$2:$F$1000,3,FALSE),"")</f>
        <v/>
      </c>
      <c r="G520" s="2" t="str">
        <f>IFERROR(VLOOKUP(CONCATENATE(C520,D520),qdd!$C$2:$F$1000,4,FALSE),"")</f>
        <v/>
      </c>
      <c r="H520" s="6" t="str">
        <f t="shared" si="18"/>
        <v/>
      </c>
      <c r="I5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0" s="2" t="str">
        <f>IFERROR(IF('PREENCHER AQUI'!E520="","",'PREENCHER AQUI'!E520),"")</f>
        <v/>
      </c>
      <c r="K520" s="2" t="str">
        <f>IFERROR(IF('PREENCHER AQUI'!F520="","",'PREENCHER AQUI'!F520),"")</f>
        <v/>
      </c>
      <c r="L520" s="2" t="str">
        <f>IF(Tabela1[[#This Row],[IPU_COD]]=9,"91",IF(Tabela1[[#This Row],[ACAO_COD]]="","",VLOOKUP(CONCATENATE("G",J520,"M",K520),qdd!$BC$2:$BD$46,2,FALSE)))</f>
        <v/>
      </c>
      <c r="M520" s="2" t="str">
        <f>TEXT(IFERROR(VLOOKUP(CONCATENATE(C520,D520),qdd!$C$2:$G$1000,5,FALSE),""),0)</f>
        <v/>
      </c>
      <c r="N520" s="2" t="str">
        <f>IFERROR(IF('PREENCHER AQUI'!I520="","",'PREENCHER AQUI'!I520),"")</f>
        <v/>
      </c>
      <c r="O520" s="2" t="str">
        <f>IFERROR(IF('PREENCHER AQUI'!J520="","",'PREENCHER AQUI'!J520),"")</f>
        <v/>
      </c>
      <c r="P520" s="7" t="str">
        <f t="shared" si="19"/>
        <v/>
      </c>
      <c r="Q520" s="8" t="str">
        <f>IFERROR(IF(Tabela4[[#This Row],[VALOR]]="","",IF(Tabela1[[#This Row],[ORIENTACAO]]="Anular",'PREENCHER AQUI'!K520*-1*100,'PREENCHER AQUI'!K520*100)),"")</f>
        <v/>
      </c>
      <c r="T520" s="7" t="str">
        <f>IFERROR(IF('PREENCHER AQUI'!L520="","999",LEFT('PREENCHER AQUI'!L520,1)),"")</f>
        <v>999</v>
      </c>
      <c r="V520" s="19"/>
      <c r="W520" s="20" t="str">
        <f>IFERROR(VLOOKUP(Tabela1[[#This Row],[UO_COD]],qdd!$AT$1:$AU$102,2,FALSE),"")</f>
        <v/>
      </c>
      <c r="X520" s="20" t="str">
        <f>CONCATENATE("F",Tabela1[[#This Row],[FONTE_COD]],Tabela1[[#This Row],[IPU_COD]],"G",Tabela1[[#This Row],[GRUPO_COD]],"T",Tabela1[[#This Row],[TIPO]])</f>
        <v>FGT999</v>
      </c>
      <c r="Y5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0" s="19"/>
      <c r="AA520" s="29" t="str">
        <f>IFERROR(VLOOKUP(CONCATENATE("B",Tabela1[[#This Row],[BLOCO]],Tabela1[[#This Row],[UO_COD]]),qdd!$AW$2:$AX$1000,2,FALSE),"")</f>
        <v/>
      </c>
      <c r="AB520" s="30" t="str">
        <f>IFERROR(Tabela1[[#This Row],[VALOR]]/100,"")</f>
        <v/>
      </c>
      <c r="AC520" s="7" t="str" cm="1">
        <f t="array" aca="1" ref="AC520" ca="1">IF(Tabela1[[#This Row],[VALOR]]&lt;0,"",IFERROR(SUBSTITUTE(Converter_numero(Tabela1[[#This Row],[VALOR INCISO]]),",",""),""))</f>
        <v/>
      </c>
      <c r="AD520" s="29" t="str">
        <f>IF(Tabela1[[#This Row],[TIPO]]=REGRAS!$W$2,REGRAS!$X$2,IF(Tabela1[[#This Row],[TIPO]]=REGRAS!$W$4,REGRAS!$X$4,""))</f>
        <v/>
      </c>
      <c r="AE520" s="29" t="e">
        <f>VLOOKUP(Tabela1[[#This Row],[FONTE_COD]],REGRAS!$O$2:$P$69,2,FALSE)</f>
        <v>#N/A</v>
      </c>
      <c r="AF5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1" spans="1:32" ht="18.75" customHeight="1">
      <c r="A521" s="2" t="str">
        <f>IFERROR(IF('PREENCHER AQUI'!A521="","",'PREENCHER AQUI'!A521),"")</f>
        <v/>
      </c>
      <c r="B521" s="1" t="str">
        <f>IFERROR(IF('PREENCHER AQUI'!B521="","",PROPER('PREENCHER AQUI'!B521)),"")</f>
        <v/>
      </c>
      <c r="C521" s="1" t="str">
        <f>IFERROR(IF('PREENCHER AQUI'!C521="","",'PREENCHER AQUI'!C521),"")</f>
        <v/>
      </c>
      <c r="D521" s="2" t="str">
        <f>IFERROR(IF('PREENCHER AQUI'!D521="","",'PREENCHER AQUI'!D521),"")</f>
        <v/>
      </c>
      <c r="E521" s="2" t="str">
        <f>IFERROR(VLOOKUP(CONCATENATE(C521,D521),qdd!$C$2:$F$1000,2,FALSE),"")</f>
        <v/>
      </c>
      <c r="F521" s="2" t="str">
        <f>IFERROR(VLOOKUP(CONCATENATE(C521,D521),qdd!$C$2:$F$1000,3,FALSE),"")</f>
        <v/>
      </c>
      <c r="G521" s="2" t="str">
        <f>IFERROR(VLOOKUP(CONCATENATE(C521,D521),qdd!$C$2:$F$1000,4,FALSE),"")</f>
        <v/>
      </c>
      <c r="H521" s="6" t="str">
        <f t="shared" si="18"/>
        <v/>
      </c>
      <c r="I5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1" s="2" t="str">
        <f>IFERROR(IF('PREENCHER AQUI'!E521="","",'PREENCHER AQUI'!E521),"")</f>
        <v/>
      </c>
      <c r="K521" s="2" t="str">
        <f>IFERROR(IF('PREENCHER AQUI'!F521="","",'PREENCHER AQUI'!F521),"")</f>
        <v/>
      </c>
      <c r="L521" s="2" t="str">
        <f>IF(Tabela1[[#This Row],[IPU_COD]]=9,"91",IF(Tabela1[[#This Row],[ACAO_COD]]="","",VLOOKUP(CONCATENATE("G",J521,"M",K521),qdd!$BC$2:$BD$46,2,FALSE)))</f>
        <v/>
      </c>
      <c r="M521" s="2" t="str">
        <f>TEXT(IFERROR(VLOOKUP(CONCATENATE(C521,D521),qdd!$C$2:$G$1000,5,FALSE),""),0)</f>
        <v/>
      </c>
      <c r="N521" s="2" t="str">
        <f>IFERROR(IF('PREENCHER AQUI'!I521="","",'PREENCHER AQUI'!I521),"")</f>
        <v/>
      </c>
      <c r="O521" s="2" t="str">
        <f>IFERROR(IF('PREENCHER AQUI'!J521="","",'PREENCHER AQUI'!J521),"")</f>
        <v/>
      </c>
      <c r="P521" s="7" t="str">
        <f t="shared" si="19"/>
        <v/>
      </c>
      <c r="Q521" s="8" t="str">
        <f>IFERROR(IF(Tabela4[[#This Row],[VALOR]]="","",IF(Tabela1[[#This Row],[ORIENTACAO]]="Anular",'PREENCHER AQUI'!K521*-1*100,'PREENCHER AQUI'!K521*100)),"")</f>
        <v/>
      </c>
      <c r="T521" s="7" t="str">
        <f>IFERROR(IF('PREENCHER AQUI'!L521="","999",LEFT('PREENCHER AQUI'!L521,1)),"")</f>
        <v>999</v>
      </c>
      <c r="V521" s="19"/>
      <c r="W521" s="1" t="str">
        <f>IFERROR(VLOOKUP(Tabela1[[#This Row],[UO_COD]],qdd!$AT$1:$AU$102,2,FALSE),"")</f>
        <v/>
      </c>
      <c r="X521" s="1" t="str">
        <f>CONCATENATE("F",Tabela1[[#This Row],[FONTE_COD]],Tabela1[[#This Row],[IPU_COD]],"G",Tabela1[[#This Row],[GRUPO_COD]],"T",Tabela1[[#This Row],[TIPO]])</f>
        <v>FGT999</v>
      </c>
      <c r="Y5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1" s="19"/>
      <c r="AA521" s="29" t="str">
        <f>IFERROR(VLOOKUP(CONCATENATE("B",Tabela1[[#This Row],[BLOCO]],Tabela1[[#This Row],[UO_COD]]),qdd!$AW$2:$AX$1000,2,FALSE),"")</f>
        <v/>
      </c>
      <c r="AB521" s="30" t="str">
        <f>IFERROR(Tabela1[[#This Row],[VALOR]]/100,"")</f>
        <v/>
      </c>
      <c r="AC521" s="7" t="str" cm="1">
        <f t="array" aca="1" ref="AC521" ca="1">IF(Tabela1[[#This Row],[VALOR]]&lt;0,"",IFERROR(SUBSTITUTE(Converter_numero(Tabela1[[#This Row],[VALOR INCISO]]),",",""),""))</f>
        <v/>
      </c>
      <c r="AD521" s="29" t="str">
        <f>IF(Tabela1[[#This Row],[TIPO]]=REGRAS!$W$2,REGRAS!$X$2,IF(Tabela1[[#This Row],[TIPO]]=REGRAS!$W$4,REGRAS!$X$4,""))</f>
        <v/>
      </c>
      <c r="AE521" s="29" t="e">
        <f>VLOOKUP(Tabela1[[#This Row],[FONTE_COD]],REGRAS!$O$2:$P$69,2,FALSE)</f>
        <v>#N/A</v>
      </c>
      <c r="AF5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2" spans="1:32" ht="18.75" customHeight="1">
      <c r="A522" s="2" t="str">
        <f>IFERROR(IF('PREENCHER AQUI'!A522="","",'PREENCHER AQUI'!A522),"")</f>
        <v/>
      </c>
      <c r="B522" s="1" t="str">
        <f>IFERROR(IF('PREENCHER AQUI'!B522="","",PROPER('PREENCHER AQUI'!B522)),"")</f>
        <v/>
      </c>
      <c r="C522" s="1" t="str">
        <f>IFERROR(IF('PREENCHER AQUI'!C522="","",'PREENCHER AQUI'!C522),"")</f>
        <v/>
      </c>
      <c r="D522" s="2" t="str">
        <f>IFERROR(IF('PREENCHER AQUI'!D522="","",'PREENCHER AQUI'!D522),"")</f>
        <v/>
      </c>
      <c r="E522" s="2" t="str">
        <f>IFERROR(VLOOKUP(CONCATENATE(C522,D522),qdd!$C$2:$F$1000,2,FALSE),"")</f>
        <v/>
      </c>
      <c r="F522" s="2" t="str">
        <f>IFERROR(VLOOKUP(CONCATENATE(C522,D522),qdd!$C$2:$F$1000,3,FALSE),"")</f>
        <v/>
      </c>
      <c r="G522" s="2" t="str">
        <f>IFERROR(VLOOKUP(CONCATENATE(C522,D522),qdd!$C$2:$F$1000,4,FALSE),"")</f>
        <v/>
      </c>
      <c r="H522" s="6" t="str">
        <f t="shared" si="18"/>
        <v/>
      </c>
      <c r="I5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2" s="2" t="str">
        <f>IFERROR(IF('PREENCHER AQUI'!E522="","",'PREENCHER AQUI'!E522),"")</f>
        <v/>
      </c>
      <c r="K522" s="2" t="str">
        <f>IFERROR(IF('PREENCHER AQUI'!F522="","",'PREENCHER AQUI'!F522),"")</f>
        <v/>
      </c>
      <c r="L522" s="2" t="str">
        <f>IF(Tabela1[[#This Row],[IPU_COD]]=9,"91",IF(Tabela1[[#This Row],[ACAO_COD]]="","",VLOOKUP(CONCATENATE("G",J522,"M",K522),qdd!$BC$2:$BD$46,2,FALSE)))</f>
        <v/>
      </c>
      <c r="M522" s="2" t="str">
        <f>TEXT(IFERROR(VLOOKUP(CONCATENATE(C522,D522),qdd!$C$2:$G$1000,5,FALSE),""),0)</f>
        <v/>
      </c>
      <c r="N522" s="2" t="str">
        <f>IFERROR(IF('PREENCHER AQUI'!I522="","",'PREENCHER AQUI'!I522),"")</f>
        <v/>
      </c>
      <c r="O522" s="2" t="str">
        <f>IFERROR(IF('PREENCHER AQUI'!J522="","",'PREENCHER AQUI'!J522),"")</f>
        <v/>
      </c>
      <c r="P522" s="7" t="str">
        <f t="shared" si="19"/>
        <v/>
      </c>
      <c r="Q522" s="8" t="str">
        <f>IFERROR(IF(Tabela4[[#This Row],[VALOR]]="","",IF(Tabela1[[#This Row],[ORIENTACAO]]="Anular",'PREENCHER AQUI'!K522*-1*100,'PREENCHER AQUI'!K522*100)),"")</f>
        <v/>
      </c>
      <c r="T522" s="7" t="str">
        <f>IFERROR(IF('PREENCHER AQUI'!L522="","999",LEFT('PREENCHER AQUI'!L522,1)),"")</f>
        <v>999</v>
      </c>
      <c r="W522" s="1" t="str">
        <f>IFERROR(VLOOKUP(Tabela1[[#This Row],[UO_COD]],qdd!$AT$1:$AU$102,2,FALSE),"")</f>
        <v/>
      </c>
      <c r="X522" s="1" t="str">
        <f>CONCATENATE("F",Tabela1[[#This Row],[FONTE_COD]],Tabela1[[#This Row],[IPU_COD]],"G",Tabela1[[#This Row],[GRUPO_COD]],"T",Tabela1[[#This Row],[TIPO]])</f>
        <v>FGT999</v>
      </c>
      <c r="Y5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2" s="19"/>
      <c r="AA522" s="29" t="str">
        <f>IFERROR(VLOOKUP(CONCATENATE("B",Tabela1[[#This Row],[BLOCO]],Tabela1[[#This Row],[UO_COD]]),qdd!$AW$2:$AX$1000,2,FALSE),"")</f>
        <v/>
      </c>
      <c r="AB522" s="30" t="str">
        <f>IFERROR(Tabela1[[#This Row],[VALOR]]/100,"")</f>
        <v/>
      </c>
      <c r="AC522" s="7" t="str" cm="1">
        <f t="array" aca="1" ref="AC522" ca="1">IF(Tabela1[[#This Row],[VALOR]]&lt;0,"",IFERROR(SUBSTITUTE(Converter_numero(Tabela1[[#This Row],[VALOR INCISO]]),",",""),""))</f>
        <v/>
      </c>
      <c r="AD522" s="7" t="str">
        <f>IF(Tabela1[[#This Row],[TIPO]]=REGRAS!$W$2,REGRAS!$X$2,IF(Tabela1[[#This Row],[TIPO]]=REGRAS!$W$4,REGRAS!$X$4,""))</f>
        <v/>
      </c>
      <c r="AE522" s="29" t="e">
        <f>VLOOKUP(Tabela1[[#This Row],[FONTE_COD]],REGRAS!$O$2:$P$69,2,FALSE)</f>
        <v>#N/A</v>
      </c>
      <c r="AF5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3" spans="1:32" ht="18.75" customHeight="1">
      <c r="A523" s="2" t="str">
        <f>IFERROR(IF('PREENCHER AQUI'!A523="","",'PREENCHER AQUI'!A523),"")</f>
        <v/>
      </c>
      <c r="B523" s="1" t="str">
        <f>IFERROR(IF('PREENCHER AQUI'!B523="","",PROPER('PREENCHER AQUI'!B523)),"")</f>
        <v/>
      </c>
      <c r="C523" s="1" t="str">
        <f>IFERROR(IF('PREENCHER AQUI'!C523="","",'PREENCHER AQUI'!C523),"")</f>
        <v/>
      </c>
      <c r="D523" s="2" t="str">
        <f>IFERROR(IF('PREENCHER AQUI'!D523="","",'PREENCHER AQUI'!D523),"")</f>
        <v/>
      </c>
      <c r="E523" s="2" t="str">
        <f>IFERROR(VLOOKUP(CONCATENATE(C523,D523),qdd!$C$2:$F$1000,2,FALSE),"")</f>
        <v/>
      </c>
      <c r="F523" s="2" t="str">
        <f>IFERROR(VLOOKUP(CONCATENATE(C523,D523),qdd!$C$2:$F$1000,3,FALSE),"")</f>
        <v/>
      </c>
      <c r="G523" s="2" t="str">
        <f>IFERROR(VLOOKUP(CONCATENATE(C523,D523),qdd!$C$2:$F$1000,4,FALSE),"")</f>
        <v/>
      </c>
      <c r="H523" s="6" t="str">
        <f t="shared" si="18"/>
        <v/>
      </c>
      <c r="I5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3" s="2" t="str">
        <f>IFERROR(IF('PREENCHER AQUI'!E523="","",'PREENCHER AQUI'!E523),"")</f>
        <v/>
      </c>
      <c r="K523" s="2" t="str">
        <f>IFERROR(IF('PREENCHER AQUI'!F523="","",'PREENCHER AQUI'!F523),"")</f>
        <v/>
      </c>
      <c r="L523" s="2" t="str">
        <f>IF(Tabela1[[#This Row],[IPU_COD]]=9,"91",IF(Tabela1[[#This Row],[ACAO_COD]]="","",VLOOKUP(CONCATENATE("G",J523,"M",K523),qdd!$BC$2:$BD$46,2,FALSE)))</f>
        <v/>
      </c>
      <c r="M523" s="2" t="str">
        <f>TEXT(IFERROR(VLOOKUP(CONCATENATE(C523,D523),qdd!$C$2:$G$1000,5,FALSE),""),0)</f>
        <v/>
      </c>
      <c r="N523" s="2" t="str">
        <f>IFERROR(IF('PREENCHER AQUI'!I523="","",'PREENCHER AQUI'!I523),"")</f>
        <v/>
      </c>
      <c r="O523" s="2" t="str">
        <f>IFERROR(IF('PREENCHER AQUI'!J523="","",'PREENCHER AQUI'!J523),"")</f>
        <v/>
      </c>
      <c r="P523" s="7" t="str">
        <f t="shared" si="19"/>
        <v/>
      </c>
      <c r="Q523" s="8" t="str">
        <f>IFERROR(IF(Tabela4[[#This Row],[VALOR]]="","",IF(Tabela1[[#This Row],[ORIENTACAO]]="Anular",'PREENCHER AQUI'!K523*-1*100,'PREENCHER AQUI'!K523*100)),"")</f>
        <v/>
      </c>
      <c r="T523" s="7" t="str">
        <f>IFERROR(IF('PREENCHER AQUI'!L523="","999",LEFT('PREENCHER AQUI'!L523,1)),"")</f>
        <v>999</v>
      </c>
      <c r="V523" s="19"/>
      <c r="W523" s="1" t="str">
        <f>IFERROR(VLOOKUP(Tabela1[[#This Row],[UO_COD]],qdd!$AT$1:$AU$102,2,FALSE),"")</f>
        <v/>
      </c>
      <c r="X523" s="1" t="str">
        <f>CONCATENATE("F",Tabela1[[#This Row],[FONTE_COD]],Tabela1[[#This Row],[IPU_COD]],"G",Tabela1[[#This Row],[GRUPO_COD]],"T",Tabela1[[#This Row],[TIPO]])</f>
        <v>FGT999</v>
      </c>
      <c r="Y5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3" s="19"/>
      <c r="AA523" s="29" t="str">
        <f>IFERROR(VLOOKUP(CONCATENATE("B",Tabela1[[#This Row],[BLOCO]],Tabela1[[#This Row],[UO_COD]]),qdd!$AW$2:$AX$1000,2,FALSE),"")</f>
        <v/>
      </c>
      <c r="AB523" s="30" t="str">
        <f>IFERROR(Tabela1[[#This Row],[VALOR]]/100,"")</f>
        <v/>
      </c>
      <c r="AC523" s="7" t="str" cm="1">
        <f t="array" aca="1" ref="AC523" ca="1">IF(Tabela1[[#This Row],[VALOR]]&lt;0,"",IFERROR(SUBSTITUTE(Converter_numero(Tabela1[[#This Row],[VALOR INCISO]]),",",""),""))</f>
        <v/>
      </c>
      <c r="AD523" s="29" t="str">
        <f>IF(Tabela1[[#This Row],[TIPO]]=REGRAS!$W$2,REGRAS!$X$2,IF(Tabela1[[#This Row],[TIPO]]=REGRAS!$W$4,REGRAS!$X$4,""))</f>
        <v/>
      </c>
      <c r="AE523" s="29" t="e">
        <f>VLOOKUP(Tabela1[[#This Row],[FONTE_COD]],REGRAS!$O$2:$P$69,2,FALSE)</f>
        <v>#N/A</v>
      </c>
      <c r="AF5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4" spans="1:32" ht="18.75" customHeight="1">
      <c r="A524" s="2" t="str">
        <f>IFERROR(IF('PREENCHER AQUI'!A524="","",'PREENCHER AQUI'!A524),"")</f>
        <v/>
      </c>
      <c r="B524" s="1" t="str">
        <f>IFERROR(IF('PREENCHER AQUI'!B524="","",PROPER('PREENCHER AQUI'!B524)),"")</f>
        <v/>
      </c>
      <c r="C524" s="1" t="str">
        <f>IFERROR(IF('PREENCHER AQUI'!C524="","",'PREENCHER AQUI'!C524),"")</f>
        <v/>
      </c>
      <c r="D524" s="2" t="str">
        <f>IFERROR(IF('PREENCHER AQUI'!D524="","",'PREENCHER AQUI'!D524),"")</f>
        <v/>
      </c>
      <c r="E524" s="2" t="str">
        <f>IFERROR(VLOOKUP(CONCATENATE(C524,D524),qdd!$C$2:$F$1000,2,FALSE),"")</f>
        <v/>
      </c>
      <c r="F524" s="2" t="str">
        <f>IFERROR(VLOOKUP(CONCATENATE(C524,D524),qdd!$C$2:$F$1000,3,FALSE),"")</f>
        <v/>
      </c>
      <c r="G524" s="2" t="str">
        <f>IFERROR(VLOOKUP(CONCATENATE(C524,D524),qdd!$C$2:$F$1000,4,FALSE),"")</f>
        <v/>
      </c>
      <c r="H524" s="6" t="str">
        <f t="shared" si="18"/>
        <v/>
      </c>
      <c r="I5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4" s="2" t="str">
        <f>IFERROR(IF('PREENCHER AQUI'!E524="","",'PREENCHER AQUI'!E524),"")</f>
        <v/>
      </c>
      <c r="K524" s="2" t="str">
        <f>IFERROR(IF('PREENCHER AQUI'!F524="","",'PREENCHER AQUI'!F524),"")</f>
        <v/>
      </c>
      <c r="L524" s="2" t="str">
        <f>IF(Tabela1[[#This Row],[IPU_COD]]=9,"91",IF(Tabela1[[#This Row],[ACAO_COD]]="","",VLOOKUP(CONCATENATE("G",J524,"M",K524),qdd!$BC$2:$BD$46,2,FALSE)))</f>
        <v/>
      </c>
      <c r="M524" s="2" t="str">
        <f>TEXT(IFERROR(VLOOKUP(CONCATENATE(C524,D524),qdd!$C$2:$G$1000,5,FALSE),""),0)</f>
        <v/>
      </c>
      <c r="N524" s="2" t="str">
        <f>IFERROR(IF('PREENCHER AQUI'!I524="","",'PREENCHER AQUI'!I524),"")</f>
        <v/>
      </c>
      <c r="O524" s="2" t="str">
        <f>IFERROR(IF('PREENCHER AQUI'!J524="","",'PREENCHER AQUI'!J524),"")</f>
        <v/>
      </c>
      <c r="P524" s="7" t="str">
        <f t="shared" si="19"/>
        <v/>
      </c>
      <c r="Q524" s="8" t="str">
        <f>IFERROR(IF(Tabela4[[#This Row],[VALOR]]="","",IF(Tabela1[[#This Row],[ORIENTACAO]]="Anular",'PREENCHER AQUI'!K524*-1*100,'PREENCHER AQUI'!K524*100)),"")</f>
        <v/>
      </c>
      <c r="T524" s="7" t="str">
        <f>IFERROR(IF('PREENCHER AQUI'!L524="","999",LEFT('PREENCHER AQUI'!L524,1)),"")</f>
        <v>999</v>
      </c>
      <c r="V524" s="19"/>
      <c r="W524" s="1" t="str">
        <f>IFERROR(VLOOKUP(Tabela1[[#This Row],[UO_COD]],qdd!$AT$1:$AU$102,2,FALSE),"")</f>
        <v/>
      </c>
      <c r="X524" s="1" t="str">
        <f>CONCATENATE("F",Tabela1[[#This Row],[FONTE_COD]],Tabela1[[#This Row],[IPU_COD]],"G",Tabela1[[#This Row],[GRUPO_COD]],"T",Tabela1[[#This Row],[TIPO]])</f>
        <v>FGT999</v>
      </c>
      <c r="Y5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4" s="19"/>
      <c r="AA524" s="29" t="str">
        <f>IFERROR(VLOOKUP(CONCATENATE("B",Tabela1[[#This Row],[BLOCO]],Tabela1[[#This Row],[UO_COD]]),qdd!$AW$2:$AX$1000,2,FALSE),"")</f>
        <v/>
      </c>
      <c r="AB524" s="30" t="str">
        <f>IFERROR(Tabela1[[#This Row],[VALOR]]/100,"")</f>
        <v/>
      </c>
      <c r="AC524" s="7" t="str" cm="1">
        <f t="array" aca="1" ref="AC524" ca="1">IF(Tabela1[[#This Row],[VALOR]]&lt;0,"",IFERROR(SUBSTITUTE(Converter_numero(Tabela1[[#This Row],[VALOR INCISO]]),",",""),""))</f>
        <v/>
      </c>
      <c r="AD524" s="29" t="str">
        <f>IF(Tabela1[[#This Row],[TIPO]]=REGRAS!$W$2,REGRAS!$X$2,IF(Tabela1[[#This Row],[TIPO]]=REGRAS!$W$4,REGRAS!$X$4,""))</f>
        <v/>
      </c>
      <c r="AE524" s="29" t="e">
        <f>VLOOKUP(Tabela1[[#This Row],[FONTE_COD]],REGRAS!$O$2:$P$69,2,FALSE)</f>
        <v>#N/A</v>
      </c>
      <c r="AF5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5" spans="1:32" ht="18.75" customHeight="1">
      <c r="A525" s="2" t="str">
        <f>IFERROR(IF('PREENCHER AQUI'!A525="","",'PREENCHER AQUI'!A525),"")</f>
        <v/>
      </c>
      <c r="B525" s="1" t="str">
        <f>IFERROR(IF('PREENCHER AQUI'!B525="","",PROPER('PREENCHER AQUI'!B525)),"")</f>
        <v/>
      </c>
      <c r="C525" s="1" t="str">
        <f>IFERROR(IF('PREENCHER AQUI'!C525="","",'PREENCHER AQUI'!C525),"")</f>
        <v/>
      </c>
      <c r="D525" s="2" t="str">
        <f>IFERROR(IF('PREENCHER AQUI'!D525="","",'PREENCHER AQUI'!D525),"")</f>
        <v/>
      </c>
      <c r="E525" s="2" t="str">
        <f>IFERROR(VLOOKUP(CONCATENATE(C525,D525),qdd!$C$2:$F$1000,2,FALSE),"")</f>
        <v/>
      </c>
      <c r="F525" s="2" t="str">
        <f>IFERROR(VLOOKUP(CONCATENATE(C525,D525),qdd!$C$2:$F$1000,3,FALSE),"")</f>
        <v/>
      </c>
      <c r="G525" s="2" t="str">
        <f>IFERROR(VLOOKUP(CONCATENATE(C525,D525),qdd!$C$2:$F$1000,4,FALSE),"")</f>
        <v/>
      </c>
      <c r="H525" s="6" t="str">
        <f t="shared" si="18"/>
        <v/>
      </c>
      <c r="I5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5" s="2" t="str">
        <f>IFERROR(IF('PREENCHER AQUI'!E525="","",'PREENCHER AQUI'!E525),"")</f>
        <v/>
      </c>
      <c r="K525" s="2" t="str">
        <f>IFERROR(IF('PREENCHER AQUI'!F525="","",'PREENCHER AQUI'!F525),"")</f>
        <v/>
      </c>
      <c r="L525" s="2" t="str">
        <f>IF(Tabela1[[#This Row],[IPU_COD]]=9,"91",IF(Tabela1[[#This Row],[ACAO_COD]]="","",VLOOKUP(CONCATENATE("G",J525,"M",K525),qdd!$BC$2:$BD$46,2,FALSE)))</f>
        <v/>
      </c>
      <c r="M525" s="2" t="str">
        <f>TEXT(IFERROR(VLOOKUP(CONCATENATE(C525,D525),qdd!$C$2:$G$1000,5,FALSE),""),0)</f>
        <v/>
      </c>
      <c r="N525" s="2" t="str">
        <f>IFERROR(IF('PREENCHER AQUI'!I525="","",'PREENCHER AQUI'!I525),"")</f>
        <v/>
      </c>
      <c r="O525" s="2" t="str">
        <f>IFERROR(IF('PREENCHER AQUI'!J525="","",'PREENCHER AQUI'!J525),"")</f>
        <v/>
      </c>
      <c r="P525" s="7" t="str">
        <f t="shared" si="19"/>
        <v/>
      </c>
      <c r="Q525" s="8" t="str">
        <f>IFERROR(IF(Tabela4[[#This Row],[VALOR]]="","",IF(Tabela1[[#This Row],[ORIENTACAO]]="Anular",'PREENCHER AQUI'!K525*-1*100,'PREENCHER AQUI'!K525*100)),"")</f>
        <v/>
      </c>
      <c r="T525" s="7" t="str">
        <f>IFERROR(IF('PREENCHER AQUI'!L525="","999",LEFT('PREENCHER AQUI'!L525,1)),"")</f>
        <v>999</v>
      </c>
      <c r="V525" s="19"/>
      <c r="W525" s="20" t="str">
        <f>IFERROR(VLOOKUP(Tabela1[[#This Row],[UO_COD]],qdd!$AT$1:$AU$102,2,FALSE),"")</f>
        <v/>
      </c>
      <c r="X525" s="20" t="str">
        <f>CONCATENATE("F",Tabela1[[#This Row],[FONTE_COD]],Tabela1[[#This Row],[IPU_COD]],"G",Tabela1[[#This Row],[GRUPO_COD]],"T",Tabela1[[#This Row],[TIPO]])</f>
        <v>FGT999</v>
      </c>
      <c r="Y5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5" s="19"/>
      <c r="AA525" s="29" t="str">
        <f>IFERROR(VLOOKUP(CONCATENATE("B",Tabela1[[#This Row],[BLOCO]],Tabela1[[#This Row],[UO_COD]]),qdd!$AW$2:$AX$1000,2,FALSE),"")</f>
        <v/>
      </c>
      <c r="AB525" s="30" t="str">
        <f>IFERROR(Tabela1[[#This Row],[VALOR]]/100,"")</f>
        <v/>
      </c>
      <c r="AC525" s="7" t="str" cm="1">
        <f t="array" aca="1" ref="AC525" ca="1">IF(Tabela1[[#This Row],[VALOR]]&lt;0,"",IFERROR(SUBSTITUTE(Converter_numero(Tabela1[[#This Row],[VALOR INCISO]]),",",""),""))</f>
        <v/>
      </c>
      <c r="AD525" s="29" t="str">
        <f>IF(Tabela1[[#This Row],[TIPO]]=REGRAS!$W$2,REGRAS!$X$2,IF(Tabela1[[#This Row],[TIPO]]=REGRAS!$W$4,REGRAS!$X$4,""))</f>
        <v/>
      </c>
      <c r="AE525" s="29" t="e">
        <f>VLOOKUP(Tabela1[[#This Row],[FONTE_COD]],REGRAS!$O$2:$P$69,2,FALSE)</f>
        <v>#N/A</v>
      </c>
      <c r="AF5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6" spans="1:32" ht="18.75" customHeight="1">
      <c r="A526" s="2" t="str">
        <f>IFERROR(IF('PREENCHER AQUI'!A526="","",'PREENCHER AQUI'!A526),"")</f>
        <v/>
      </c>
      <c r="B526" s="1" t="str">
        <f>IFERROR(IF('PREENCHER AQUI'!B526="","",PROPER('PREENCHER AQUI'!B526)),"")</f>
        <v/>
      </c>
      <c r="C526" s="1" t="str">
        <f>IFERROR(IF('PREENCHER AQUI'!C526="","",'PREENCHER AQUI'!C526),"")</f>
        <v/>
      </c>
      <c r="D526" s="2" t="str">
        <f>IFERROR(IF('PREENCHER AQUI'!D526="","",'PREENCHER AQUI'!D526),"")</f>
        <v/>
      </c>
      <c r="E526" s="2" t="str">
        <f>IFERROR(VLOOKUP(CONCATENATE(C526,D526),qdd!$C$2:$F$1000,2,FALSE),"")</f>
        <v/>
      </c>
      <c r="F526" s="2" t="str">
        <f>IFERROR(VLOOKUP(CONCATENATE(C526,D526),qdd!$C$2:$F$1000,3,FALSE),"")</f>
        <v/>
      </c>
      <c r="G526" s="2" t="str">
        <f>IFERROR(VLOOKUP(CONCATENATE(C526,D526),qdd!$C$2:$F$1000,4,FALSE),"")</f>
        <v/>
      </c>
      <c r="H526" s="6" t="str">
        <f t="shared" si="18"/>
        <v/>
      </c>
      <c r="I5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6" s="2" t="str">
        <f>IFERROR(IF('PREENCHER AQUI'!E526="","",'PREENCHER AQUI'!E526),"")</f>
        <v/>
      </c>
      <c r="K526" s="2" t="str">
        <f>IFERROR(IF('PREENCHER AQUI'!F526="","",'PREENCHER AQUI'!F526),"")</f>
        <v/>
      </c>
      <c r="L526" s="2" t="str">
        <f>IF(Tabela1[[#This Row],[IPU_COD]]=9,"91",IF(Tabela1[[#This Row],[ACAO_COD]]="","",VLOOKUP(CONCATENATE("G",J526,"M",K526),qdd!$BC$2:$BD$46,2,FALSE)))</f>
        <v/>
      </c>
      <c r="M526" s="2" t="str">
        <f>TEXT(IFERROR(VLOOKUP(CONCATENATE(C526,D526),qdd!$C$2:$G$1000,5,FALSE),""),0)</f>
        <v/>
      </c>
      <c r="N526" s="2" t="str">
        <f>IFERROR(IF('PREENCHER AQUI'!I526="","",'PREENCHER AQUI'!I526),"")</f>
        <v/>
      </c>
      <c r="O526" s="2" t="str">
        <f>IFERROR(IF('PREENCHER AQUI'!J526="","",'PREENCHER AQUI'!J526),"")</f>
        <v/>
      </c>
      <c r="P526" s="7" t="str">
        <f t="shared" si="19"/>
        <v/>
      </c>
      <c r="Q526" s="8" t="str">
        <f>IFERROR(IF(Tabela4[[#This Row],[VALOR]]="","",IF(Tabela1[[#This Row],[ORIENTACAO]]="Anular",'PREENCHER AQUI'!K526*-1*100,'PREENCHER AQUI'!K526*100)),"")</f>
        <v/>
      </c>
      <c r="T526" s="7" t="str">
        <f>IFERROR(IF('PREENCHER AQUI'!L526="","999",LEFT('PREENCHER AQUI'!L526,1)),"")</f>
        <v>999</v>
      </c>
      <c r="V526" s="19"/>
      <c r="W526" s="1" t="str">
        <f>IFERROR(VLOOKUP(Tabela1[[#This Row],[UO_COD]],qdd!$AT$1:$AU$102,2,FALSE),"")</f>
        <v/>
      </c>
      <c r="X526" s="1" t="str">
        <f>CONCATENATE("F",Tabela1[[#This Row],[FONTE_COD]],Tabela1[[#This Row],[IPU_COD]],"G",Tabela1[[#This Row],[GRUPO_COD]],"T",Tabela1[[#This Row],[TIPO]])</f>
        <v>FGT999</v>
      </c>
      <c r="Y5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6" s="19"/>
      <c r="AA526" s="29" t="str">
        <f>IFERROR(VLOOKUP(CONCATENATE("B",Tabela1[[#This Row],[BLOCO]],Tabela1[[#This Row],[UO_COD]]),qdd!$AW$2:$AX$1000,2,FALSE),"")</f>
        <v/>
      </c>
      <c r="AB526" s="30" t="str">
        <f>IFERROR(Tabela1[[#This Row],[VALOR]]/100,"")</f>
        <v/>
      </c>
      <c r="AC526" s="7" t="str" cm="1">
        <f t="array" aca="1" ref="AC526" ca="1">IF(Tabela1[[#This Row],[VALOR]]&lt;0,"",IFERROR(SUBSTITUTE(Converter_numero(Tabela1[[#This Row],[VALOR INCISO]]),",",""),""))</f>
        <v/>
      </c>
      <c r="AD526" s="29" t="str">
        <f>IF(Tabela1[[#This Row],[TIPO]]=REGRAS!$W$2,REGRAS!$X$2,IF(Tabela1[[#This Row],[TIPO]]=REGRAS!$W$4,REGRAS!$X$4,""))</f>
        <v/>
      </c>
      <c r="AE526" s="29" t="e">
        <f>VLOOKUP(Tabela1[[#This Row],[FONTE_COD]],REGRAS!$O$2:$P$69,2,FALSE)</f>
        <v>#N/A</v>
      </c>
      <c r="AF5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7" spans="1:32" ht="18.75" customHeight="1">
      <c r="A527" s="2" t="str">
        <f>IFERROR(IF('PREENCHER AQUI'!A527="","",'PREENCHER AQUI'!A527),"")</f>
        <v/>
      </c>
      <c r="B527" s="1" t="str">
        <f>IFERROR(IF('PREENCHER AQUI'!B527="","",PROPER('PREENCHER AQUI'!B527)),"")</f>
        <v/>
      </c>
      <c r="C527" s="1" t="str">
        <f>IFERROR(IF('PREENCHER AQUI'!C527="","",'PREENCHER AQUI'!C527),"")</f>
        <v/>
      </c>
      <c r="D527" s="2" t="str">
        <f>IFERROR(IF('PREENCHER AQUI'!D527="","",'PREENCHER AQUI'!D527),"")</f>
        <v/>
      </c>
      <c r="E527" s="2" t="str">
        <f>IFERROR(VLOOKUP(CONCATENATE(C527,D527),qdd!$C$2:$F$1000,2,FALSE),"")</f>
        <v/>
      </c>
      <c r="F527" s="2" t="str">
        <f>IFERROR(VLOOKUP(CONCATENATE(C527,D527),qdd!$C$2:$F$1000,3,FALSE),"")</f>
        <v/>
      </c>
      <c r="G527" s="2" t="str">
        <f>IFERROR(VLOOKUP(CONCATENATE(C527,D527),qdd!$C$2:$F$1000,4,FALSE),"")</f>
        <v/>
      </c>
      <c r="H527" s="6" t="str">
        <f t="shared" si="18"/>
        <v/>
      </c>
      <c r="I5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7" s="2" t="str">
        <f>IFERROR(IF('PREENCHER AQUI'!E527="","",'PREENCHER AQUI'!E527),"")</f>
        <v/>
      </c>
      <c r="K527" s="2" t="str">
        <f>IFERROR(IF('PREENCHER AQUI'!F527="","",'PREENCHER AQUI'!F527),"")</f>
        <v/>
      </c>
      <c r="L527" s="2" t="str">
        <f>IF(Tabela1[[#This Row],[IPU_COD]]=9,"91",IF(Tabela1[[#This Row],[ACAO_COD]]="","",VLOOKUP(CONCATENATE("G",J527,"M",K527),qdd!$BC$2:$BD$46,2,FALSE)))</f>
        <v/>
      </c>
      <c r="M527" s="2" t="str">
        <f>TEXT(IFERROR(VLOOKUP(CONCATENATE(C527,D527),qdd!$C$2:$G$1000,5,FALSE),""),0)</f>
        <v/>
      </c>
      <c r="N527" s="2" t="str">
        <f>IFERROR(IF('PREENCHER AQUI'!I527="","",'PREENCHER AQUI'!I527),"")</f>
        <v/>
      </c>
      <c r="O527" s="2" t="str">
        <f>IFERROR(IF('PREENCHER AQUI'!J527="","",'PREENCHER AQUI'!J527),"")</f>
        <v/>
      </c>
      <c r="P527" s="7" t="str">
        <f t="shared" si="19"/>
        <v/>
      </c>
      <c r="Q527" s="8" t="str">
        <f>IFERROR(IF(Tabela4[[#This Row],[VALOR]]="","",IF(Tabela1[[#This Row],[ORIENTACAO]]="Anular",'PREENCHER AQUI'!K527*-1*100,'PREENCHER AQUI'!K527*100)),"")</f>
        <v/>
      </c>
      <c r="T527" s="7" t="str">
        <f>IFERROR(IF('PREENCHER AQUI'!L527="","999",LEFT('PREENCHER AQUI'!L527,1)),"")</f>
        <v>999</v>
      </c>
      <c r="W527" s="1" t="str">
        <f>IFERROR(VLOOKUP(Tabela1[[#This Row],[UO_COD]],qdd!$AT$1:$AU$102,2,FALSE),"")</f>
        <v/>
      </c>
      <c r="X527" s="1" t="str">
        <f>CONCATENATE("F",Tabela1[[#This Row],[FONTE_COD]],Tabela1[[#This Row],[IPU_COD]],"G",Tabela1[[#This Row],[GRUPO_COD]],"T",Tabela1[[#This Row],[TIPO]])</f>
        <v>FGT999</v>
      </c>
      <c r="Y5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7" s="19"/>
      <c r="AA527" s="29" t="str">
        <f>IFERROR(VLOOKUP(CONCATENATE("B",Tabela1[[#This Row],[BLOCO]],Tabela1[[#This Row],[UO_COD]]),qdd!$AW$2:$AX$1000,2,FALSE),"")</f>
        <v/>
      </c>
      <c r="AB527" s="30" t="str">
        <f>IFERROR(Tabela1[[#This Row],[VALOR]]/100,"")</f>
        <v/>
      </c>
      <c r="AC527" s="7" t="str" cm="1">
        <f t="array" aca="1" ref="AC527" ca="1">IF(Tabela1[[#This Row],[VALOR]]&lt;0,"",IFERROR(SUBSTITUTE(Converter_numero(Tabela1[[#This Row],[VALOR INCISO]]),",",""),""))</f>
        <v/>
      </c>
      <c r="AD527" s="7" t="str">
        <f>IF(Tabela1[[#This Row],[TIPO]]=REGRAS!$W$2,REGRAS!$X$2,IF(Tabela1[[#This Row],[TIPO]]=REGRAS!$W$4,REGRAS!$X$4,""))</f>
        <v/>
      </c>
      <c r="AE527" s="29" t="e">
        <f>VLOOKUP(Tabela1[[#This Row],[FONTE_COD]],REGRAS!$O$2:$P$69,2,FALSE)</f>
        <v>#N/A</v>
      </c>
      <c r="AF5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8" spans="1:32" ht="18.75" customHeight="1">
      <c r="A528" s="2" t="str">
        <f>IFERROR(IF('PREENCHER AQUI'!A528="","",'PREENCHER AQUI'!A528),"")</f>
        <v/>
      </c>
      <c r="B528" s="1" t="str">
        <f>IFERROR(IF('PREENCHER AQUI'!B528="","",PROPER('PREENCHER AQUI'!B528)),"")</f>
        <v/>
      </c>
      <c r="C528" s="1" t="str">
        <f>IFERROR(IF('PREENCHER AQUI'!C528="","",'PREENCHER AQUI'!C528),"")</f>
        <v/>
      </c>
      <c r="D528" s="2" t="str">
        <f>IFERROR(IF('PREENCHER AQUI'!D528="","",'PREENCHER AQUI'!D528),"")</f>
        <v/>
      </c>
      <c r="E528" s="2" t="str">
        <f>IFERROR(VLOOKUP(CONCATENATE(C528,D528),qdd!$C$2:$F$1000,2,FALSE),"")</f>
        <v/>
      </c>
      <c r="F528" s="2" t="str">
        <f>IFERROR(VLOOKUP(CONCATENATE(C528,D528),qdd!$C$2:$F$1000,3,FALSE),"")</f>
        <v/>
      </c>
      <c r="G528" s="2" t="str">
        <f>IFERROR(VLOOKUP(CONCATENATE(C528,D528),qdd!$C$2:$F$1000,4,FALSE),"")</f>
        <v/>
      </c>
      <c r="H528" s="6" t="str">
        <f t="shared" si="18"/>
        <v/>
      </c>
      <c r="I5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8" s="2" t="str">
        <f>IFERROR(IF('PREENCHER AQUI'!E528="","",'PREENCHER AQUI'!E528),"")</f>
        <v/>
      </c>
      <c r="K528" s="2" t="str">
        <f>IFERROR(IF('PREENCHER AQUI'!F528="","",'PREENCHER AQUI'!F528),"")</f>
        <v/>
      </c>
      <c r="L528" s="2" t="str">
        <f>IF(Tabela1[[#This Row],[IPU_COD]]=9,"91",IF(Tabela1[[#This Row],[ACAO_COD]]="","",VLOOKUP(CONCATENATE("G",J528,"M",K528),qdd!$BC$2:$BD$46,2,FALSE)))</f>
        <v/>
      </c>
      <c r="M528" s="2" t="str">
        <f>TEXT(IFERROR(VLOOKUP(CONCATENATE(C528,D528),qdd!$C$2:$G$1000,5,FALSE),""),0)</f>
        <v/>
      </c>
      <c r="N528" s="2" t="str">
        <f>IFERROR(IF('PREENCHER AQUI'!I528="","",'PREENCHER AQUI'!I528),"")</f>
        <v/>
      </c>
      <c r="O528" s="2" t="str">
        <f>IFERROR(IF('PREENCHER AQUI'!J528="","",'PREENCHER AQUI'!J528),"")</f>
        <v/>
      </c>
      <c r="P528" s="7" t="str">
        <f t="shared" si="19"/>
        <v/>
      </c>
      <c r="Q528" s="8" t="str">
        <f>IFERROR(IF(Tabela4[[#This Row],[VALOR]]="","",IF(Tabela1[[#This Row],[ORIENTACAO]]="Anular",'PREENCHER AQUI'!K528*-1*100,'PREENCHER AQUI'!K528*100)),"")</f>
        <v/>
      </c>
      <c r="T528" s="7" t="str">
        <f>IFERROR(IF('PREENCHER AQUI'!L528="","999",LEFT('PREENCHER AQUI'!L528,1)),"")</f>
        <v>999</v>
      </c>
      <c r="V528" s="19"/>
      <c r="W528" s="1" t="str">
        <f>IFERROR(VLOOKUP(Tabela1[[#This Row],[UO_COD]],qdd!$AT$1:$AU$102,2,FALSE),"")</f>
        <v/>
      </c>
      <c r="X528" s="1" t="str">
        <f>CONCATENATE("F",Tabela1[[#This Row],[FONTE_COD]],Tabela1[[#This Row],[IPU_COD]],"G",Tabela1[[#This Row],[GRUPO_COD]],"T",Tabela1[[#This Row],[TIPO]])</f>
        <v>FGT999</v>
      </c>
      <c r="Y5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8" s="19"/>
      <c r="AA528" s="29" t="str">
        <f>IFERROR(VLOOKUP(CONCATENATE("B",Tabela1[[#This Row],[BLOCO]],Tabela1[[#This Row],[UO_COD]]),qdd!$AW$2:$AX$1000,2,FALSE),"")</f>
        <v/>
      </c>
      <c r="AB528" s="30" t="str">
        <f>IFERROR(Tabela1[[#This Row],[VALOR]]/100,"")</f>
        <v/>
      </c>
      <c r="AC528" s="7" t="str" cm="1">
        <f t="array" aca="1" ref="AC528" ca="1">IF(Tabela1[[#This Row],[VALOR]]&lt;0,"",IFERROR(SUBSTITUTE(Converter_numero(Tabela1[[#This Row],[VALOR INCISO]]),",",""),""))</f>
        <v/>
      </c>
      <c r="AD528" s="29" t="str">
        <f>IF(Tabela1[[#This Row],[TIPO]]=REGRAS!$W$2,REGRAS!$X$2,IF(Tabela1[[#This Row],[TIPO]]=REGRAS!$W$4,REGRAS!$X$4,""))</f>
        <v/>
      </c>
      <c r="AE528" s="29" t="e">
        <f>VLOOKUP(Tabela1[[#This Row],[FONTE_COD]],REGRAS!$O$2:$P$69,2,FALSE)</f>
        <v>#N/A</v>
      </c>
      <c r="AF5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9" spans="1:32" ht="18.75" customHeight="1">
      <c r="A529" s="2" t="str">
        <f>IFERROR(IF('PREENCHER AQUI'!A529="","",'PREENCHER AQUI'!A529),"")</f>
        <v/>
      </c>
      <c r="B529" s="1" t="str">
        <f>IFERROR(IF('PREENCHER AQUI'!B529="","",PROPER('PREENCHER AQUI'!B529)),"")</f>
        <v/>
      </c>
      <c r="C529" s="1" t="str">
        <f>IFERROR(IF('PREENCHER AQUI'!C529="","",'PREENCHER AQUI'!C529),"")</f>
        <v/>
      </c>
      <c r="D529" s="2" t="str">
        <f>IFERROR(IF('PREENCHER AQUI'!D529="","",'PREENCHER AQUI'!D529),"")</f>
        <v/>
      </c>
      <c r="E529" s="2" t="str">
        <f>IFERROR(VLOOKUP(CONCATENATE(C529,D529),qdd!$C$2:$F$1000,2,FALSE),"")</f>
        <v/>
      </c>
      <c r="F529" s="2" t="str">
        <f>IFERROR(VLOOKUP(CONCATENATE(C529,D529),qdd!$C$2:$F$1000,3,FALSE),"")</f>
        <v/>
      </c>
      <c r="G529" s="2" t="str">
        <f>IFERROR(VLOOKUP(CONCATENATE(C529,D529),qdd!$C$2:$F$1000,4,FALSE),"")</f>
        <v/>
      </c>
      <c r="H529" s="6" t="str">
        <f t="shared" si="18"/>
        <v/>
      </c>
      <c r="I5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9" s="2" t="str">
        <f>IFERROR(IF('PREENCHER AQUI'!E529="","",'PREENCHER AQUI'!E529),"")</f>
        <v/>
      </c>
      <c r="K529" s="2" t="str">
        <f>IFERROR(IF('PREENCHER AQUI'!F529="","",'PREENCHER AQUI'!F529),"")</f>
        <v/>
      </c>
      <c r="L529" s="2" t="str">
        <f>IF(Tabela1[[#This Row],[IPU_COD]]=9,"91",IF(Tabela1[[#This Row],[ACAO_COD]]="","",VLOOKUP(CONCATENATE("G",J529,"M",K529),qdd!$BC$2:$BD$46,2,FALSE)))</f>
        <v/>
      </c>
      <c r="M529" s="2" t="str">
        <f>TEXT(IFERROR(VLOOKUP(CONCATENATE(C529,D529),qdd!$C$2:$G$1000,5,FALSE),""),0)</f>
        <v/>
      </c>
      <c r="N529" s="2" t="str">
        <f>IFERROR(IF('PREENCHER AQUI'!I529="","",'PREENCHER AQUI'!I529),"")</f>
        <v/>
      </c>
      <c r="O529" s="2" t="str">
        <f>IFERROR(IF('PREENCHER AQUI'!J529="","",'PREENCHER AQUI'!J529),"")</f>
        <v/>
      </c>
      <c r="P529" s="7" t="str">
        <f t="shared" si="19"/>
        <v/>
      </c>
      <c r="Q529" s="8" t="str">
        <f>IFERROR(IF(Tabela4[[#This Row],[VALOR]]="","",IF(Tabela1[[#This Row],[ORIENTACAO]]="Anular",'PREENCHER AQUI'!K529*-1*100,'PREENCHER AQUI'!K529*100)),"")</f>
        <v/>
      </c>
      <c r="T529" s="7" t="str">
        <f>IFERROR(IF('PREENCHER AQUI'!L529="","999",LEFT('PREENCHER AQUI'!L529,1)),"")</f>
        <v>999</v>
      </c>
      <c r="V529" s="19"/>
      <c r="W529" s="1" t="str">
        <f>IFERROR(VLOOKUP(Tabela1[[#This Row],[UO_COD]],qdd!$AT$1:$AU$102,2,FALSE),"")</f>
        <v/>
      </c>
      <c r="X529" s="1" t="str">
        <f>CONCATENATE("F",Tabela1[[#This Row],[FONTE_COD]],Tabela1[[#This Row],[IPU_COD]],"G",Tabela1[[#This Row],[GRUPO_COD]],"T",Tabela1[[#This Row],[TIPO]])</f>
        <v>FGT999</v>
      </c>
      <c r="Y5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9" s="19"/>
      <c r="AA529" s="29" t="str">
        <f>IFERROR(VLOOKUP(CONCATENATE("B",Tabela1[[#This Row],[BLOCO]],Tabela1[[#This Row],[UO_COD]]),qdd!$AW$2:$AX$1000,2,FALSE),"")</f>
        <v/>
      </c>
      <c r="AB529" s="30" t="str">
        <f>IFERROR(Tabela1[[#This Row],[VALOR]]/100,"")</f>
        <v/>
      </c>
      <c r="AC529" s="7" t="str" cm="1">
        <f t="array" aca="1" ref="AC529" ca="1">IF(Tabela1[[#This Row],[VALOR]]&lt;0,"",IFERROR(SUBSTITUTE(Converter_numero(Tabela1[[#This Row],[VALOR INCISO]]),",",""),""))</f>
        <v/>
      </c>
      <c r="AD529" s="29" t="str">
        <f>IF(Tabela1[[#This Row],[TIPO]]=REGRAS!$W$2,REGRAS!$X$2,IF(Tabela1[[#This Row],[TIPO]]=REGRAS!$W$4,REGRAS!$X$4,""))</f>
        <v/>
      </c>
      <c r="AE529" s="29" t="e">
        <f>VLOOKUP(Tabela1[[#This Row],[FONTE_COD]],REGRAS!$O$2:$P$69,2,FALSE)</f>
        <v>#N/A</v>
      </c>
      <c r="AF5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0" spans="1:32" ht="18.75" customHeight="1">
      <c r="A530" s="2" t="str">
        <f>IFERROR(IF('PREENCHER AQUI'!A530="","",'PREENCHER AQUI'!A530),"")</f>
        <v/>
      </c>
      <c r="B530" s="1" t="str">
        <f>IFERROR(IF('PREENCHER AQUI'!B530="","",PROPER('PREENCHER AQUI'!B530)),"")</f>
        <v/>
      </c>
      <c r="C530" s="1" t="str">
        <f>IFERROR(IF('PREENCHER AQUI'!C530="","",'PREENCHER AQUI'!C530),"")</f>
        <v/>
      </c>
      <c r="D530" s="2" t="str">
        <f>IFERROR(IF('PREENCHER AQUI'!D530="","",'PREENCHER AQUI'!D530),"")</f>
        <v/>
      </c>
      <c r="E530" s="2" t="str">
        <f>IFERROR(VLOOKUP(CONCATENATE(C530,D530),qdd!$C$2:$F$1000,2,FALSE),"")</f>
        <v/>
      </c>
      <c r="F530" s="2" t="str">
        <f>IFERROR(VLOOKUP(CONCATENATE(C530,D530),qdd!$C$2:$F$1000,3,FALSE),"")</f>
        <v/>
      </c>
      <c r="G530" s="2" t="str">
        <f>IFERROR(VLOOKUP(CONCATENATE(C530,D530),qdd!$C$2:$F$1000,4,FALSE),"")</f>
        <v/>
      </c>
      <c r="H530" s="6" t="str">
        <f t="shared" si="18"/>
        <v/>
      </c>
      <c r="I5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0" s="2" t="str">
        <f>IFERROR(IF('PREENCHER AQUI'!E530="","",'PREENCHER AQUI'!E530),"")</f>
        <v/>
      </c>
      <c r="K530" s="2" t="str">
        <f>IFERROR(IF('PREENCHER AQUI'!F530="","",'PREENCHER AQUI'!F530),"")</f>
        <v/>
      </c>
      <c r="L530" s="2" t="str">
        <f>IF(Tabela1[[#This Row],[IPU_COD]]=9,"91",IF(Tabela1[[#This Row],[ACAO_COD]]="","",VLOOKUP(CONCATENATE("G",J530,"M",K530),qdd!$BC$2:$BD$46,2,FALSE)))</f>
        <v/>
      </c>
      <c r="M530" s="2" t="str">
        <f>TEXT(IFERROR(VLOOKUP(CONCATENATE(C530,D530),qdd!$C$2:$G$1000,5,FALSE),""),0)</f>
        <v/>
      </c>
      <c r="N530" s="2" t="str">
        <f>IFERROR(IF('PREENCHER AQUI'!I530="","",'PREENCHER AQUI'!I530),"")</f>
        <v/>
      </c>
      <c r="O530" s="2" t="str">
        <f>IFERROR(IF('PREENCHER AQUI'!J530="","",'PREENCHER AQUI'!J530),"")</f>
        <v/>
      </c>
      <c r="P530" s="7" t="str">
        <f t="shared" si="19"/>
        <v/>
      </c>
      <c r="Q530" s="8" t="str">
        <f>IFERROR(IF(Tabela4[[#This Row],[VALOR]]="","",IF(Tabela1[[#This Row],[ORIENTACAO]]="Anular",'PREENCHER AQUI'!K530*-1*100,'PREENCHER AQUI'!K530*100)),"")</f>
        <v/>
      </c>
      <c r="T530" s="7" t="str">
        <f>IFERROR(IF('PREENCHER AQUI'!L530="","999",LEFT('PREENCHER AQUI'!L530,1)),"")</f>
        <v>999</v>
      </c>
      <c r="V530" s="19"/>
      <c r="W530" s="20" t="str">
        <f>IFERROR(VLOOKUP(Tabela1[[#This Row],[UO_COD]],qdd!$AT$1:$AU$102,2,FALSE),"")</f>
        <v/>
      </c>
      <c r="X530" s="20" t="str">
        <f>CONCATENATE("F",Tabela1[[#This Row],[FONTE_COD]],Tabela1[[#This Row],[IPU_COD]],"G",Tabela1[[#This Row],[GRUPO_COD]],"T",Tabela1[[#This Row],[TIPO]])</f>
        <v>FGT999</v>
      </c>
      <c r="Y5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0" s="19"/>
      <c r="AA530" s="29" t="str">
        <f>IFERROR(VLOOKUP(CONCATENATE("B",Tabela1[[#This Row],[BLOCO]],Tabela1[[#This Row],[UO_COD]]),qdd!$AW$2:$AX$1000,2,FALSE),"")</f>
        <v/>
      </c>
      <c r="AB530" s="30" t="str">
        <f>IFERROR(Tabela1[[#This Row],[VALOR]]/100,"")</f>
        <v/>
      </c>
      <c r="AC530" s="7" t="str" cm="1">
        <f t="array" aca="1" ref="AC530" ca="1">IF(Tabela1[[#This Row],[VALOR]]&lt;0,"",IFERROR(SUBSTITUTE(Converter_numero(Tabela1[[#This Row],[VALOR INCISO]]),",",""),""))</f>
        <v/>
      </c>
      <c r="AD530" s="29" t="str">
        <f>IF(Tabela1[[#This Row],[TIPO]]=REGRAS!$W$2,REGRAS!$X$2,IF(Tabela1[[#This Row],[TIPO]]=REGRAS!$W$4,REGRAS!$X$4,""))</f>
        <v/>
      </c>
      <c r="AE530" s="29" t="e">
        <f>VLOOKUP(Tabela1[[#This Row],[FONTE_COD]],REGRAS!$O$2:$P$69,2,FALSE)</f>
        <v>#N/A</v>
      </c>
      <c r="AF5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1" spans="1:32" ht="18.75" customHeight="1">
      <c r="A531" s="2" t="str">
        <f>IFERROR(IF('PREENCHER AQUI'!A531="","",'PREENCHER AQUI'!A531),"")</f>
        <v/>
      </c>
      <c r="B531" s="1" t="str">
        <f>IFERROR(IF('PREENCHER AQUI'!B531="","",PROPER('PREENCHER AQUI'!B531)),"")</f>
        <v/>
      </c>
      <c r="C531" s="1" t="str">
        <f>IFERROR(IF('PREENCHER AQUI'!C531="","",'PREENCHER AQUI'!C531),"")</f>
        <v/>
      </c>
      <c r="D531" s="2" t="str">
        <f>IFERROR(IF('PREENCHER AQUI'!D531="","",'PREENCHER AQUI'!D531),"")</f>
        <v/>
      </c>
      <c r="E531" s="2" t="str">
        <f>IFERROR(VLOOKUP(CONCATENATE(C531,D531),qdd!$C$2:$F$1000,2,FALSE),"")</f>
        <v/>
      </c>
      <c r="F531" s="2" t="str">
        <f>IFERROR(VLOOKUP(CONCATENATE(C531,D531),qdd!$C$2:$F$1000,3,FALSE),"")</f>
        <v/>
      </c>
      <c r="G531" s="2" t="str">
        <f>IFERROR(VLOOKUP(CONCATENATE(C531,D531),qdd!$C$2:$F$1000,4,FALSE),"")</f>
        <v/>
      </c>
      <c r="H531" s="6" t="str">
        <f t="shared" si="18"/>
        <v/>
      </c>
      <c r="I5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1" s="2" t="str">
        <f>IFERROR(IF('PREENCHER AQUI'!E531="","",'PREENCHER AQUI'!E531),"")</f>
        <v/>
      </c>
      <c r="K531" s="2" t="str">
        <f>IFERROR(IF('PREENCHER AQUI'!F531="","",'PREENCHER AQUI'!F531),"")</f>
        <v/>
      </c>
      <c r="L531" s="2" t="str">
        <f>IF(Tabela1[[#This Row],[IPU_COD]]=9,"91",IF(Tabela1[[#This Row],[ACAO_COD]]="","",VLOOKUP(CONCATENATE("G",J531,"M",K531),qdd!$BC$2:$BD$46,2,FALSE)))</f>
        <v/>
      </c>
      <c r="M531" s="2" t="str">
        <f>TEXT(IFERROR(VLOOKUP(CONCATENATE(C531,D531),qdd!$C$2:$G$1000,5,FALSE),""),0)</f>
        <v/>
      </c>
      <c r="N531" s="2" t="str">
        <f>IFERROR(IF('PREENCHER AQUI'!I531="","",'PREENCHER AQUI'!I531),"")</f>
        <v/>
      </c>
      <c r="O531" s="2" t="str">
        <f>IFERROR(IF('PREENCHER AQUI'!J531="","",'PREENCHER AQUI'!J531),"")</f>
        <v/>
      </c>
      <c r="P531" s="7" t="str">
        <f t="shared" si="19"/>
        <v/>
      </c>
      <c r="Q531" s="8" t="str">
        <f>IFERROR(IF(Tabela4[[#This Row],[VALOR]]="","",IF(Tabela1[[#This Row],[ORIENTACAO]]="Anular",'PREENCHER AQUI'!K531*-1*100,'PREENCHER AQUI'!K531*100)),"")</f>
        <v/>
      </c>
      <c r="T531" s="7" t="str">
        <f>IFERROR(IF('PREENCHER AQUI'!L531="","999",LEFT('PREENCHER AQUI'!L531,1)),"")</f>
        <v>999</v>
      </c>
      <c r="V531" s="19"/>
      <c r="W531" s="1" t="str">
        <f>IFERROR(VLOOKUP(Tabela1[[#This Row],[UO_COD]],qdd!$AT$1:$AU$102,2,FALSE),"")</f>
        <v/>
      </c>
      <c r="X531" s="1" t="str">
        <f>CONCATENATE("F",Tabela1[[#This Row],[FONTE_COD]],Tabela1[[#This Row],[IPU_COD]],"G",Tabela1[[#This Row],[GRUPO_COD]],"T",Tabela1[[#This Row],[TIPO]])</f>
        <v>FGT999</v>
      </c>
      <c r="Y5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1" s="19"/>
      <c r="AA531" s="29" t="str">
        <f>IFERROR(VLOOKUP(CONCATENATE("B",Tabela1[[#This Row],[BLOCO]],Tabela1[[#This Row],[UO_COD]]),qdd!$AW$2:$AX$1000,2,FALSE),"")</f>
        <v/>
      </c>
      <c r="AB531" s="30" t="str">
        <f>IFERROR(Tabela1[[#This Row],[VALOR]]/100,"")</f>
        <v/>
      </c>
      <c r="AC531" s="7" t="str" cm="1">
        <f t="array" aca="1" ref="AC531" ca="1">IF(Tabela1[[#This Row],[VALOR]]&lt;0,"",IFERROR(SUBSTITUTE(Converter_numero(Tabela1[[#This Row],[VALOR INCISO]]),",",""),""))</f>
        <v/>
      </c>
      <c r="AD531" s="29" t="str">
        <f>IF(Tabela1[[#This Row],[TIPO]]=REGRAS!$W$2,REGRAS!$X$2,IF(Tabela1[[#This Row],[TIPO]]=REGRAS!$W$4,REGRAS!$X$4,""))</f>
        <v/>
      </c>
      <c r="AE531" s="29" t="e">
        <f>VLOOKUP(Tabela1[[#This Row],[FONTE_COD]],REGRAS!$O$2:$P$69,2,FALSE)</f>
        <v>#N/A</v>
      </c>
      <c r="AF5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2" spans="1:32" ht="18.75" customHeight="1">
      <c r="A532" s="2" t="str">
        <f>IFERROR(IF('PREENCHER AQUI'!A532="","",'PREENCHER AQUI'!A532),"")</f>
        <v/>
      </c>
      <c r="B532" s="1" t="str">
        <f>IFERROR(IF('PREENCHER AQUI'!B532="","",PROPER('PREENCHER AQUI'!B532)),"")</f>
        <v/>
      </c>
      <c r="C532" s="1" t="str">
        <f>IFERROR(IF('PREENCHER AQUI'!C532="","",'PREENCHER AQUI'!C532),"")</f>
        <v/>
      </c>
      <c r="D532" s="2" t="str">
        <f>IFERROR(IF('PREENCHER AQUI'!D532="","",'PREENCHER AQUI'!D532),"")</f>
        <v/>
      </c>
      <c r="E532" s="2" t="str">
        <f>IFERROR(VLOOKUP(CONCATENATE(C532,D532),qdd!$C$2:$F$1000,2,FALSE),"")</f>
        <v/>
      </c>
      <c r="F532" s="2" t="str">
        <f>IFERROR(VLOOKUP(CONCATENATE(C532,D532),qdd!$C$2:$F$1000,3,FALSE),"")</f>
        <v/>
      </c>
      <c r="G532" s="2" t="str">
        <f>IFERROR(VLOOKUP(CONCATENATE(C532,D532),qdd!$C$2:$F$1000,4,FALSE),"")</f>
        <v/>
      </c>
      <c r="H532" s="6" t="str">
        <f t="shared" si="18"/>
        <v/>
      </c>
      <c r="I5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2" s="2" t="str">
        <f>IFERROR(IF('PREENCHER AQUI'!E532="","",'PREENCHER AQUI'!E532),"")</f>
        <v/>
      </c>
      <c r="K532" s="2" t="str">
        <f>IFERROR(IF('PREENCHER AQUI'!F532="","",'PREENCHER AQUI'!F532),"")</f>
        <v/>
      </c>
      <c r="L532" s="2" t="str">
        <f>IF(Tabela1[[#This Row],[IPU_COD]]=9,"91",IF(Tabela1[[#This Row],[ACAO_COD]]="","",VLOOKUP(CONCATENATE("G",J532,"M",K532),qdd!$BC$2:$BD$46,2,FALSE)))</f>
        <v/>
      </c>
      <c r="M532" s="2" t="str">
        <f>TEXT(IFERROR(VLOOKUP(CONCATENATE(C532,D532),qdd!$C$2:$G$1000,5,FALSE),""),0)</f>
        <v/>
      </c>
      <c r="N532" s="2" t="str">
        <f>IFERROR(IF('PREENCHER AQUI'!I532="","",'PREENCHER AQUI'!I532),"")</f>
        <v/>
      </c>
      <c r="O532" s="2" t="str">
        <f>IFERROR(IF('PREENCHER AQUI'!J532="","",'PREENCHER AQUI'!J532),"")</f>
        <v/>
      </c>
      <c r="P532" s="7" t="str">
        <f t="shared" si="19"/>
        <v/>
      </c>
      <c r="Q532" s="8" t="str">
        <f>IFERROR(IF(Tabela4[[#This Row],[VALOR]]="","",IF(Tabela1[[#This Row],[ORIENTACAO]]="Anular",'PREENCHER AQUI'!K532*-1*100,'PREENCHER AQUI'!K532*100)),"")</f>
        <v/>
      </c>
      <c r="T532" s="7" t="str">
        <f>IFERROR(IF('PREENCHER AQUI'!L532="","999",LEFT('PREENCHER AQUI'!L532,1)),"")</f>
        <v>999</v>
      </c>
      <c r="W532" s="1" t="str">
        <f>IFERROR(VLOOKUP(Tabela1[[#This Row],[UO_COD]],qdd!$AT$1:$AU$102,2,FALSE),"")</f>
        <v/>
      </c>
      <c r="X532" s="1" t="str">
        <f>CONCATENATE("F",Tabela1[[#This Row],[FONTE_COD]],Tabela1[[#This Row],[IPU_COD]],"G",Tabela1[[#This Row],[GRUPO_COD]],"T",Tabela1[[#This Row],[TIPO]])</f>
        <v>FGT999</v>
      </c>
      <c r="Y5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2" s="19"/>
      <c r="AA532" s="29" t="str">
        <f>IFERROR(VLOOKUP(CONCATENATE("B",Tabela1[[#This Row],[BLOCO]],Tabela1[[#This Row],[UO_COD]]),qdd!$AW$2:$AX$1000,2,FALSE),"")</f>
        <v/>
      </c>
      <c r="AB532" s="30" t="str">
        <f>IFERROR(Tabela1[[#This Row],[VALOR]]/100,"")</f>
        <v/>
      </c>
      <c r="AC532" s="7" t="str" cm="1">
        <f t="array" aca="1" ref="AC532" ca="1">IF(Tabela1[[#This Row],[VALOR]]&lt;0,"",IFERROR(SUBSTITUTE(Converter_numero(Tabela1[[#This Row],[VALOR INCISO]]),",",""),""))</f>
        <v/>
      </c>
      <c r="AD532" s="7" t="str">
        <f>IF(Tabela1[[#This Row],[TIPO]]=REGRAS!$W$2,REGRAS!$X$2,IF(Tabela1[[#This Row],[TIPO]]=REGRAS!$W$4,REGRAS!$X$4,""))</f>
        <v/>
      </c>
      <c r="AE532" s="29" t="e">
        <f>VLOOKUP(Tabela1[[#This Row],[FONTE_COD]],REGRAS!$O$2:$P$69,2,FALSE)</f>
        <v>#N/A</v>
      </c>
      <c r="AF5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3" spans="1:32" ht="18.75" customHeight="1">
      <c r="A533" s="2" t="str">
        <f>IFERROR(IF('PREENCHER AQUI'!A533="","",'PREENCHER AQUI'!A533),"")</f>
        <v/>
      </c>
      <c r="B533" s="1" t="str">
        <f>IFERROR(IF('PREENCHER AQUI'!B533="","",PROPER('PREENCHER AQUI'!B533)),"")</f>
        <v/>
      </c>
      <c r="C533" s="1" t="str">
        <f>IFERROR(IF('PREENCHER AQUI'!C533="","",'PREENCHER AQUI'!C533),"")</f>
        <v/>
      </c>
      <c r="D533" s="2" t="str">
        <f>IFERROR(IF('PREENCHER AQUI'!D533="","",'PREENCHER AQUI'!D533),"")</f>
        <v/>
      </c>
      <c r="E533" s="2" t="str">
        <f>IFERROR(VLOOKUP(CONCATENATE(C533,D533),qdd!$C$2:$F$1000,2,FALSE),"")</f>
        <v/>
      </c>
      <c r="F533" s="2" t="str">
        <f>IFERROR(VLOOKUP(CONCATENATE(C533,D533),qdd!$C$2:$F$1000,3,FALSE),"")</f>
        <v/>
      </c>
      <c r="G533" s="2" t="str">
        <f>IFERROR(VLOOKUP(CONCATENATE(C533,D533),qdd!$C$2:$F$1000,4,FALSE),"")</f>
        <v/>
      </c>
      <c r="H533" s="6" t="str">
        <f t="shared" si="18"/>
        <v/>
      </c>
      <c r="I5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3" s="2" t="str">
        <f>IFERROR(IF('PREENCHER AQUI'!E533="","",'PREENCHER AQUI'!E533),"")</f>
        <v/>
      </c>
      <c r="K533" s="2" t="str">
        <f>IFERROR(IF('PREENCHER AQUI'!F533="","",'PREENCHER AQUI'!F533),"")</f>
        <v/>
      </c>
      <c r="L533" s="2" t="str">
        <f>IF(Tabela1[[#This Row],[IPU_COD]]=9,"91",IF(Tabela1[[#This Row],[ACAO_COD]]="","",VLOOKUP(CONCATENATE("G",J533,"M",K533),qdd!$BC$2:$BD$46,2,FALSE)))</f>
        <v/>
      </c>
      <c r="M533" s="2" t="str">
        <f>TEXT(IFERROR(VLOOKUP(CONCATENATE(C533,D533),qdd!$C$2:$G$1000,5,FALSE),""),0)</f>
        <v/>
      </c>
      <c r="N533" s="2" t="str">
        <f>IFERROR(IF('PREENCHER AQUI'!I533="","",'PREENCHER AQUI'!I533),"")</f>
        <v/>
      </c>
      <c r="O533" s="2" t="str">
        <f>IFERROR(IF('PREENCHER AQUI'!J533="","",'PREENCHER AQUI'!J533),"")</f>
        <v/>
      </c>
      <c r="P533" s="7" t="str">
        <f t="shared" si="19"/>
        <v/>
      </c>
      <c r="Q533" s="8" t="str">
        <f>IFERROR(IF(Tabela4[[#This Row],[VALOR]]="","",IF(Tabela1[[#This Row],[ORIENTACAO]]="Anular",'PREENCHER AQUI'!K533*-1*100,'PREENCHER AQUI'!K533*100)),"")</f>
        <v/>
      </c>
      <c r="T533" s="7" t="str">
        <f>IFERROR(IF('PREENCHER AQUI'!L533="","999",LEFT('PREENCHER AQUI'!L533,1)),"")</f>
        <v>999</v>
      </c>
      <c r="V533" s="19"/>
      <c r="W533" s="1" t="str">
        <f>IFERROR(VLOOKUP(Tabela1[[#This Row],[UO_COD]],qdd!$AT$1:$AU$102,2,FALSE),"")</f>
        <v/>
      </c>
      <c r="X533" s="1" t="str">
        <f>CONCATENATE("F",Tabela1[[#This Row],[FONTE_COD]],Tabela1[[#This Row],[IPU_COD]],"G",Tabela1[[#This Row],[GRUPO_COD]],"T",Tabela1[[#This Row],[TIPO]])</f>
        <v>FGT999</v>
      </c>
      <c r="Y5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3" s="19"/>
      <c r="AA533" s="29" t="str">
        <f>IFERROR(VLOOKUP(CONCATENATE("B",Tabela1[[#This Row],[BLOCO]],Tabela1[[#This Row],[UO_COD]]),qdd!$AW$2:$AX$1000,2,FALSE),"")</f>
        <v/>
      </c>
      <c r="AB533" s="30" t="str">
        <f>IFERROR(Tabela1[[#This Row],[VALOR]]/100,"")</f>
        <v/>
      </c>
      <c r="AC533" s="7" t="str" cm="1">
        <f t="array" aca="1" ref="AC533" ca="1">IF(Tabela1[[#This Row],[VALOR]]&lt;0,"",IFERROR(SUBSTITUTE(Converter_numero(Tabela1[[#This Row],[VALOR INCISO]]),",",""),""))</f>
        <v/>
      </c>
      <c r="AD533" s="29" t="str">
        <f>IF(Tabela1[[#This Row],[TIPO]]=REGRAS!$W$2,REGRAS!$X$2,IF(Tabela1[[#This Row],[TIPO]]=REGRAS!$W$4,REGRAS!$X$4,""))</f>
        <v/>
      </c>
      <c r="AE533" s="29" t="e">
        <f>VLOOKUP(Tabela1[[#This Row],[FONTE_COD]],REGRAS!$O$2:$P$69,2,FALSE)</f>
        <v>#N/A</v>
      </c>
      <c r="AF5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4" spans="1:32" ht="18.75" customHeight="1">
      <c r="A534" s="2" t="str">
        <f>IFERROR(IF('PREENCHER AQUI'!A534="","",'PREENCHER AQUI'!A534),"")</f>
        <v/>
      </c>
      <c r="B534" s="1" t="str">
        <f>IFERROR(IF('PREENCHER AQUI'!B534="","",PROPER('PREENCHER AQUI'!B534)),"")</f>
        <v/>
      </c>
      <c r="C534" s="1" t="str">
        <f>IFERROR(IF('PREENCHER AQUI'!C534="","",'PREENCHER AQUI'!C534),"")</f>
        <v/>
      </c>
      <c r="D534" s="2" t="str">
        <f>IFERROR(IF('PREENCHER AQUI'!D534="","",'PREENCHER AQUI'!D534),"")</f>
        <v/>
      </c>
      <c r="E534" s="2" t="str">
        <f>IFERROR(VLOOKUP(CONCATENATE(C534,D534),qdd!$C$2:$F$1000,2,FALSE),"")</f>
        <v/>
      </c>
      <c r="F534" s="2" t="str">
        <f>IFERROR(VLOOKUP(CONCATENATE(C534,D534),qdd!$C$2:$F$1000,3,FALSE),"")</f>
        <v/>
      </c>
      <c r="G534" s="2" t="str">
        <f>IFERROR(VLOOKUP(CONCATENATE(C534,D534),qdd!$C$2:$F$1000,4,FALSE),"")</f>
        <v/>
      </c>
      <c r="H534" s="6" t="str">
        <f t="shared" si="18"/>
        <v/>
      </c>
      <c r="I5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4" s="2" t="str">
        <f>IFERROR(IF('PREENCHER AQUI'!E534="","",'PREENCHER AQUI'!E534),"")</f>
        <v/>
      </c>
      <c r="K534" s="2" t="str">
        <f>IFERROR(IF('PREENCHER AQUI'!F534="","",'PREENCHER AQUI'!F534),"")</f>
        <v/>
      </c>
      <c r="L534" s="2" t="str">
        <f>IF(Tabela1[[#This Row],[IPU_COD]]=9,"91",IF(Tabela1[[#This Row],[ACAO_COD]]="","",VLOOKUP(CONCATENATE("G",J534,"M",K534),qdd!$BC$2:$BD$46,2,FALSE)))</f>
        <v/>
      </c>
      <c r="M534" s="2" t="str">
        <f>TEXT(IFERROR(VLOOKUP(CONCATENATE(C534,D534),qdd!$C$2:$G$1000,5,FALSE),""),0)</f>
        <v/>
      </c>
      <c r="N534" s="2" t="str">
        <f>IFERROR(IF('PREENCHER AQUI'!I534="","",'PREENCHER AQUI'!I534),"")</f>
        <v/>
      </c>
      <c r="O534" s="2" t="str">
        <f>IFERROR(IF('PREENCHER AQUI'!J534="","",'PREENCHER AQUI'!J534),"")</f>
        <v/>
      </c>
      <c r="P534" s="7" t="str">
        <f t="shared" si="19"/>
        <v/>
      </c>
      <c r="Q534" s="8" t="str">
        <f>IFERROR(IF(Tabela4[[#This Row],[VALOR]]="","",IF(Tabela1[[#This Row],[ORIENTACAO]]="Anular",'PREENCHER AQUI'!K534*-1*100,'PREENCHER AQUI'!K534*100)),"")</f>
        <v/>
      </c>
      <c r="T534" s="7" t="str">
        <f>IFERROR(IF('PREENCHER AQUI'!L534="","999",LEFT('PREENCHER AQUI'!L534,1)),"")</f>
        <v>999</v>
      </c>
      <c r="V534" s="19"/>
      <c r="W534" s="1" t="str">
        <f>IFERROR(VLOOKUP(Tabela1[[#This Row],[UO_COD]],qdd!$AT$1:$AU$102,2,FALSE),"")</f>
        <v/>
      </c>
      <c r="X534" s="1" t="str">
        <f>CONCATENATE("F",Tabela1[[#This Row],[FONTE_COD]],Tabela1[[#This Row],[IPU_COD]],"G",Tabela1[[#This Row],[GRUPO_COD]],"T",Tabela1[[#This Row],[TIPO]])</f>
        <v>FGT999</v>
      </c>
      <c r="Y5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4" s="19"/>
      <c r="AA534" s="29" t="str">
        <f>IFERROR(VLOOKUP(CONCATENATE("B",Tabela1[[#This Row],[BLOCO]],Tabela1[[#This Row],[UO_COD]]),qdd!$AW$2:$AX$1000,2,FALSE),"")</f>
        <v/>
      </c>
      <c r="AB534" s="30" t="str">
        <f>IFERROR(Tabela1[[#This Row],[VALOR]]/100,"")</f>
        <v/>
      </c>
      <c r="AC534" s="7" t="str" cm="1">
        <f t="array" aca="1" ref="AC534" ca="1">IF(Tabela1[[#This Row],[VALOR]]&lt;0,"",IFERROR(SUBSTITUTE(Converter_numero(Tabela1[[#This Row],[VALOR INCISO]]),",",""),""))</f>
        <v/>
      </c>
      <c r="AD534" s="29" t="str">
        <f>IF(Tabela1[[#This Row],[TIPO]]=REGRAS!$W$2,REGRAS!$X$2,IF(Tabela1[[#This Row],[TIPO]]=REGRAS!$W$4,REGRAS!$X$4,""))</f>
        <v/>
      </c>
      <c r="AE534" s="29" t="e">
        <f>VLOOKUP(Tabela1[[#This Row],[FONTE_COD]],REGRAS!$O$2:$P$69,2,FALSE)</f>
        <v>#N/A</v>
      </c>
      <c r="AF5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5" spans="1:32" ht="18.75" customHeight="1">
      <c r="A535" s="2" t="str">
        <f>IFERROR(IF('PREENCHER AQUI'!A535="","",'PREENCHER AQUI'!A535),"")</f>
        <v/>
      </c>
      <c r="B535" s="1" t="str">
        <f>IFERROR(IF('PREENCHER AQUI'!B535="","",PROPER('PREENCHER AQUI'!B535)),"")</f>
        <v/>
      </c>
      <c r="C535" s="1" t="str">
        <f>IFERROR(IF('PREENCHER AQUI'!C535="","",'PREENCHER AQUI'!C535),"")</f>
        <v/>
      </c>
      <c r="D535" s="2" t="str">
        <f>IFERROR(IF('PREENCHER AQUI'!D535="","",'PREENCHER AQUI'!D535),"")</f>
        <v/>
      </c>
      <c r="E535" s="2" t="str">
        <f>IFERROR(VLOOKUP(CONCATENATE(C535,D535),qdd!$C$2:$F$1000,2,FALSE),"")</f>
        <v/>
      </c>
      <c r="F535" s="2" t="str">
        <f>IFERROR(VLOOKUP(CONCATENATE(C535,D535),qdd!$C$2:$F$1000,3,FALSE),"")</f>
        <v/>
      </c>
      <c r="G535" s="2" t="str">
        <f>IFERROR(VLOOKUP(CONCATENATE(C535,D535),qdd!$C$2:$F$1000,4,FALSE),"")</f>
        <v/>
      </c>
      <c r="H535" s="6" t="str">
        <f t="shared" si="18"/>
        <v/>
      </c>
      <c r="I5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5" s="2" t="str">
        <f>IFERROR(IF('PREENCHER AQUI'!E535="","",'PREENCHER AQUI'!E535),"")</f>
        <v/>
      </c>
      <c r="K535" s="2" t="str">
        <f>IFERROR(IF('PREENCHER AQUI'!F535="","",'PREENCHER AQUI'!F535),"")</f>
        <v/>
      </c>
      <c r="L535" s="2" t="str">
        <f>IF(Tabela1[[#This Row],[IPU_COD]]=9,"91",IF(Tabela1[[#This Row],[ACAO_COD]]="","",VLOOKUP(CONCATENATE("G",J535,"M",K535),qdd!$BC$2:$BD$46,2,FALSE)))</f>
        <v/>
      </c>
      <c r="M535" s="2" t="str">
        <f>TEXT(IFERROR(VLOOKUP(CONCATENATE(C535,D535),qdd!$C$2:$G$1000,5,FALSE),""),0)</f>
        <v/>
      </c>
      <c r="N535" s="2" t="str">
        <f>IFERROR(IF('PREENCHER AQUI'!I535="","",'PREENCHER AQUI'!I535),"")</f>
        <v/>
      </c>
      <c r="O535" s="2" t="str">
        <f>IFERROR(IF('PREENCHER AQUI'!J535="","",'PREENCHER AQUI'!J535),"")</f>
        <v/>
      </c>
      <c r="P535" s="7" t="str">
        <f t="shared" si="19"/>
        <v/>
      </c>
      <c r="Q535" s="8" t="str">
        <f>IFERROR(IF(Tabela4[[#This Row],[VALOR]]="","",IF(Tabela1[[#This Row],[ORIENTACAO]]="Anular",'PREENCHER AQUI'!K535*-1*100,'PREENCHER AQUI'!K535*100)),"")</f>
        <v/>
      </c>
      <c r="T535" s="7" t="str">
        <f>IFERROR(IF('PREENCHER AQUI'!L535="","999",LEFT('PREENCHER AQUI'!L535,1)),"")</f>
        <v>999</v>
      </c>
      <c r="V535" s="19"/>
      <c r="W535" s="20" t="str">
        <f>IFERROR(VLOOKUP(Tabela1[[#This Row],[UO_COD]],qdd!$AT$1:$AU$102,2,FALSE),"")</f>
        <v/>
      </c>
      <c r="X535" s="20" t="str">
        <f>CONCATENATE("F",Tabela1[[#This Row],[FONTE_COD]],Tabela1[[#This Row],[IPU_COD]],"G",Tabela1[[#This Row],[GRUPO_COD]],"T",Tabela1[[#This Row],[TIPO]])</f>
        <v>FGT999</v>
      </c>
      <c r="Y5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5" s="19"/>
      <c r="AA535" s="29" t="str">
        <f>IFERROR(VLOOKUP(CONCATENATE("B",Tabela1[[#This Row],[BLOCO]],Tabela1[[#This Row],[UO_COD]]),qdd!$AW$2:$AX$1000,2,FALSE),"")</f>
        <v/>
      </c>
      <c r="AB535" s="30" t="str">
        <f>IFERROR(Tabela1[[#This Row],[VALOR]]/100,"")</f>
        <v/>
      </c>
      <c r="AC535" s="7" t="str" cm="1">
        <f t="array" aca="1" ref="AC535" ca="1">IF(Tabela1[[#This Row],[VALOR]]&lt;0,"",IFERROR(SUBSTITUTE(Converter_numero(Tabela1[[#This Row],[VALOR INCISO]]),",",""),""))</f>
        <v/>
      </c>
      <c r="AD535" s="29" t="str">
        <f>IF(Tabela1[[#This Row],[TIPO]]=REGRAS!$W$2,REGRAS!$X$2,IF(Tabela1[[#This Row],[TIPO]]=REGRAS!$W$4,REGRAS!$X$4,""))</f>
        <v/>
      </c>
      <c r="AE535" s="29" t="e">
        <f>VLOOKUP(Tabela1[[#This Row],[FONTE_COD]],REGRAS!$O$2:$P$69,2,FALSE)</f>
        <v>#N/A</v>
      </c>
      <c r="AF5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6" spans="1:32" ht="18.75" customHeight="1">
      <c r="A536" s="2" t="str">
        <f>IFERROR(IF('PREENCHER AQUI'!A536="","",'PREENCHER AQUI'!A536),"")</f>
        <v/>
      </c>
      <c r="B536" s="1" t="str">
        <f>IFERROR(IF('PREENCHER AQUI'!B536="","",PROPER('PREENCHER AQUI'!B536)),"")</f>
        <v/>
      </c>
      <c r="C536" s="1" t="str">
        <f>IFERROR(IF('PREENCHER AQUI'!C536="","",'PREENCHER AQUI'!C536),"")</f>
        <v/>
      </c>
      <c r="D536" s="2" t="str">
        <f>IFERROR(IF('PREENCHER AQUI'!D536="","",'PREENCHER AQUI'!D536),"")</f>
        <v/>
      </c>
      <c r="E536" s="2" t="str">
        <f>IFERROR(VLOOKUP(CONCATENATE(C536,D536),qdd!$C$2:$F$1000,2,FALSE),"")</f>
        <v/>
      </c>
      <c r="F536" s="2" t="str">
        <f>IFERROR(VLOOKUP(CONCATENATE(C536,D536),qdd!$C$2:$F$1000,3,FALSE),"")</f>
        <v/>
      </c>
      <c r="G536" s="2" t="str">
        <f>IFERROR(VLOOKUP(CONCATENATE(C536,D536),qdd!$C$2:$F$1000,4,FALSE),"")</f>
        <v/>
      </c>
      <c r="H536" s="6" t="str">
        <f t="shared" si="18"/>
        <v/>
      </c>
      <c r="I5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6" s="2" t="str">
        <f>IFERROR(IF('PREENCHER AQUI'!E536="","",'PREENCHER AQUI'!E536),"")</f>
        <v/>
      </c>
      <c r="K536" s="2" t="str">
        <f>IFERROR(IF('PREENCHER AQUI'!F536="","",'PREENCHER AQUI'!F536),"")</f>
        <v/>
      </c>
      <c r="L536" s="2" t="str">
        <f>IF(Tabela1[[#This Row],[IPU_COD]]=9,"91",IF(Tabela1[[#This Row],[ACAO_COD]]="","",VLOOKUP(CONCATENATE("G",J536,"M",K536),qdd!$BC$2:$BD$46,2,FALSE)))</f>
        <v/>
      </c>
      <c r="M536" s="2" t="str">
        <f>TEXT(IFERROR(VLOOKUP(CONCATENATE(C536,D536),qdd!$C$2:$G$1000,5,FALSE),""),0)</f>
        <v/>
      </c>
      <c r="N536" s="2" t="str">
        <f>IFERROR(IF('PREENCHER AQUI'!I536="","",'PREENCHER AQUI'!I536),"")</f>
        <v/>
      </c>
      <c r="O536" s="2" t="str">
        <f>IFERROR(IF('PREENCHER AQUI'!J536="","",'PREENCHER AQUI'!J536),"")</f>
        <v/>
      </c>
      <c r="P536" s="7" t="str">
        <f t="shared" si="19"/>
        <v/>
      </c>
      <c r="Q536" s="8" t="str">
        <f>IFERROR(IF(Tabela4[[#This Row],[VALOR]]="","",IF(Tabela1[[#This Row],[ORIENTACAO]]="Anular",'PREENCHER AQUI'!K536*-1*100,'PREENCHER AQUI'!K536*100)),"")</f>
        <v/>
      </c>
      <c r="T536" s="7" t="str">
        <f>IFERROR(IF('PREENCHER AQUI'!L536="","999",LEFT('PREENCHER AQUI'!L536,1)),"")</f>
        <v>999</v>
      </c>
      <c r="V536" s="19"/>
      <c r="W536" s="1" t="str">
        <f>IFERROR(VLOOKUP(Tabela1[[#This Row],[UO_COD]],qdd!$AT$1:$AU$102,2,FALSE),"")</f>
        <v/>
      </c>
      <c r="X536" s="1" t="str">
        <f>CONCATENATE("F",Tabela1[[#This Row],[FONTE_COD]],Tabela1[[#This Row],[IPU_COD]],"G",Tabela1[[#This Row],[GRUPO_COD]],"T",Tabela1[[#This Row],[TIPO]])</f>
        <v>FGT999</v>
      </c>
      <c r="Y5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6" s="19"/>
      <c r="AA536" s="29" t="str">
        <f>IFERROR(VLOOKUP(CONCATENATE("B",Tabela1[[#This Row],[BLOCO]],Tabela1[[#This Row],[UO_COD]]),qdd!$AW$2:$AX$1000,2,FALSE),"")</f>
        <v/>
      </c>
      <c r="AB536" s="30" t="str">
        <f>IFERROR(Tabela1[[#This Row],[VALOR]]/100,"")</f>
        <v/>
      </c>
      <c r="AC536" s="7" t="str" cm="1">
        <f t="array" aca="1" ref="AC536" ca="1">IF(Tabela1[[#This Row],[VALOR]]&lt;0,"",IFERROR(SUBSTITUTE(Converter_numero(Tabela1[[#This Row],[VALOR INCISO]]),",",""),""))</f>
        <v/>
      </c>
      <c r="AD536" s="29" t="str">
        <f>IF(Tabela1[[#This Row],[TIPO]]=REGRAS!$W$2,REGRAS!$X$2,IF(Tabela1[[#This Row],[TIPO]]=REGRAS!$W$4,REGRAS!$X$4,""))</f>
        <v/>
      </c>
      <c r="AE536" s="29" t="e">
        <f>VLOOKUP(Tabela1[[#This Row],[FONTE_COD]],REGRAS!$O$2:$P$69,2,FALSE)</f>
        <v>#N/A</v>
      </c>
      <c r="AF5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7" spans="1:32" ht="18.75" customHeight="1">
      <c r="A537" s="2" t="str">
        <f>IFERROR(IF('PREENCHER AQUI'!A537="","",'PREENCHER AQUI'!A537),"")</f>
        <v/>
      </c>
      <c r="B537" s="1" t="str">
        <f>IFERROR(IF('PREENCHER AQUI'!B537="","",PROPER('PREENCHER AQUI'!B537)),"")</f>
        <v/>
      </c>
      <c r="C537" s="1" t="str">
        <f>IFERROR(IF('PREENCHER AQUI'!C537="","",'PREENCHER AQUI'!C537),"")</f>
        <v/>
      </c>
      <c r="D537" s="2" t="str">
        <f>IFERROR(IF('PREENCHER AQUI'!D537="","",'PREENCHER AQUI'!D537),"")</f>
        <v/>
      </c>
      <c r="E537" s="2" t="str">
        <f>IFERROR(VLOOKUP(CONCATENATE(C537,D537),qdd!$C$2:$F$1000,2,FALSE),"")</f>
        <v/>
      </c>
      <c r="F537" s="2" t="str">
        <f>IFERROR(VLOOKUP(CONCATENATE(C537,D537),qdd!$C$2:$F$1000,3,FALSE),"")</f>
        <v/>
      </c>
      <c r="G537" s="2" t="str">
        <f>IFERROR(VLOOKUP(CONCATENATE(C537,D537),qdd!$C$2:$F$1000,4,FALSE),"")</f>
        <v/>
      </c>
      <c r="H537" s="6" t="str">
        <f t="shared" si="18"/>
        <v/>
      </c>
      <c r="I5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7" s="2" t="str">
        <f>IFERROR(IF('PREENCHER AQUI'!E537="","",'PREENCHER AQUI'!E537),"")</f>
        <v/>
      </c>
      <c r="K537" s="2" t="str">
        <f>IFERROR(IF('PREENCHER AQUI'!F537="","",'PREENCHER AQUI'!F537),"")</f>
        <v/>
      </c>
      <c r="L537" s="2" t="str">
        <f>IF(Tabela1[[#This Row],[IPU_COD]]=9,"91",IF(Tabela1[[#This Row],[ACAO_COD]]="","",VLOOKUP(CONCATENATE("G",J537,"M",K537),qdd!$BC$2:$BD$46,2,FALSE)))</f>
        <v/>
      </c>
      <c r="M537" s="2" t="str">
        <f>TEXT(IFERROR(VLOOKUP(CONCATENATE(C537,D537),qdd!$C$2:$G$1000,5,FALSE),""),0)</f>
        <v/>
      </c>
      <c r="N537" s="2" t="str">
        <f>IFERROR(IF('PREENCHER AQUI'!I537="","",'PREENCHER AQUI'!I537),"")</f>
        <v/>
      </c>
      <c r="O537" s="2" t="str">
        <f>IFERROR(IF('PREENCHER AQUI'!J537="","",'PREENCHER AQUI'!J537),"")</f>
        <v/>
      </c>
      <c r="P537" s="7" t="str">
        <f t="shared" si="19"/>
        <v/>
      </c>
      <c r="Q537" s="8" t="str">
        <f>IFERROR(IF(Tabela4[[#This Row],[VALOR]]="","",IF(Tabela1[[#This Row],[ORIENTACAO]]="Anular",'PREENCHER AQUI'!K537*-1*100,'PREENCHER AQUI'!K537*100)),"")</f>
        <v/>
      </c>
      <c r="T537" s="7" t="str">
        <f>IFERROR(IF('PREENCHER AQUI'!L537="","999",LEFT('PREENCHER AQUI'!L537,1)),"")</f>
        <v>999</v>
      </c>
      <c r="W537" s="1" t="str">
        <f>IFERROR(VLOOKUP(Tabela1[[#This Row],[UO_COD]],qdd!$AT$1:$AU$102,2,FALSE),"")</f>
        <v/>
      </c>
      <c r="X537" s="1" t="str">
        <f>CONCATENATE("F",Tabela1[[#This Row],[FONTE_COD]],Tabela1[[#This Row],[IPU_COD]],"G",Tabela1[[#This Row],[GRUPO_COD]],"T",Tabela1[[#This Row],[TIPO]])</f>
        <v>FGT999</v>
      </c>
      <c r="Y5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7" s="19"/>
      <c r="AA537" s="29" t="str">
        <f>IFERROR(VLOOKUP(CONCATENATE("B",Tabela1[[#This Row],[BLOCO]],Tabela1[[#This Row],[UO_COD]]),qdd!$AW$2:$AX$1000,2,FALSE),"")</f>
        <v/>
      </c>
      <c r="AB537" s="30" t="str">
        <f>IFERROR(Tabela1[[#This Row],[VALOR]]/100,"")</f>
        <v/>
      </c>
      <c r="AC537" s="7" t="str" cm="1">
        <f t="array" aca="1" ref="AC537" ca="1">IF(Tabela1[[#This Row],[VALOR]]&lt;0,"",IFERROR(SUBSTITUTE(Converter_numero(Tabela1[[#This Row],[VALOR INCISO]]),",",""),""))</f>
        <v/>
      </c>
      <c r="AD537" s="7" t="str">
        <f>IF(Tabela1[[#This Row],[TIPO]]=REGRAS!$W$2,REGRAS!$X$2,IF(Tabela1[[#This Row],[TIPO]]=REGRAS!$W$4,REGRAS!$X$4,""))</f>
        <v/>
      </c>
      <c r="AE537" s="29" t="e">
        <f>VLOOKUP(Tabela1[[#This Row],[FONTE_COD]],REGRAS!$O$2:$P$69,2,FALSE)</f>
        <v>#N/A</v>
      </c>
      <c r="AF5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8" spans="1:32" ht="18.75" customHeight="1">
      <c r="A538" s="2" t="str">
        <f>IFERROR(IF('PREENCHER AQUI'!A538="","",'PREENCHER AQUI'!A538),"")</f>
        <v/>
      </c>
      <c r="B538" s="1" t="str">
        <f>IFERROR(IF('PREENCHER AQUI'!B538="","",PROPER('PREENCHER AQUI'!B538)),"")</f>
        <v/>
      </c>
      <c r="C538" s="1" t="str">
        <f>IFERROR(IF('PREENCHER AQUI'!C538="","",'PREENCHER AQUI'!C538),"")</f>
        <v/>
      </c>
      <c r="D538" s="2" t="str">
        <f>IFERROR(IF('PREENCHER AQUI'!D538="","",'PREENCHER AQUI'!D538),"")</f>
        <v/>
      </c>
      <c r="E538" s="2" t="str">
        <f>IFERROR(VLOOKUP(CONCATENATE(C538,D538),qdd!$C$2:$F$1000,2,FALSE),"")</f>
        <v/>
      </c>
      <c r="F538" s="2" t="str">
        <f>IFERROR(VLOOKUP(CONCATENATE(C538,D538),qdd!$C$2:$F$1000,3,FALSE),"")</f>
        <v/>
      </c>
      <c r="G538" s="2" t="str">
        <f>IFERROR(VLOOKUP(CONCATENATE(C538,D538),qdd!$C$2:$F$1000,4,FALSE),"")</f>
        <v/>
      </c>
      <c r="H538" s="6" t="str">
        <f t="shared" si="18"/>
        <v/>
      </c>
      <c r="I5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8" s="2" t="str">
        <f>IFERROR(IF('PREENCHER AQUI'!E538="","",'PREENCHER AQUI'!E538),"")</f>
        <v/>
      </c>
      <c r="K538" s="2" t="str">
        <f>IFERROR(IF('PREENCHER AQUI'!F538="","",'PREENCHER AQUI'!F538),"")</f>
        <v/>
      </c>
      <c r="L538" s="2" t="str">
        <f>IF(Tabela1[[#This Row],[IPU_COD]]=9,"91",IF(Tabela1[[#This Row],[ACAO_COD]]="","",VLOOKUP(CONCATENATE("G",J538,"M",K538),qdd!$BC$2:$BD$46,2,FALSE)))</f>
        <v/>
      </c>
      <c r="M538" s="2" t="str">
        <f>TEXT(IFERROR(VLOOKUP(CONCATENATE(C538,D538),qdd!$C$2:$G$1000,5,FALSE),""),0)</f>
        <v/>
      </c>
      <c r="N538" s="2" t="str">
        <f>IFERROR(IF('PREENCHER AQUI'!I538="","",'PREENCHER AQUI'!I538),"")</f>
        <v/>
      </c>
      <c r="O538" s="2" t="str">
        <f>IFERROR(IF('PREENCHER AQUI'!J538="","",'PREENCHER AQUI'!J538),"")</f>
        <v/>
      </c>
      <c r="P538" s="7" t="str">
        <f t="shared" si="19"/>
        <v/>
      </c>
      <c r="Q538" s="8" t="str">
        <f>IFERROR(IF(Tabela4[[#This Row],[VALOR]]="","",IF(Tabela1[[#This Row],[ORIENTACAO]]="Anular",'PREENCHER AQUI'!K538*-1*100,'PREENCHER AQUI'!K538*100)),"")</f>
        <v/>
      </c>
      <c r="T538" s="7" t="str">
        <f>IFERROR(IF('PREENCHER AQUI'!L538="","999",LEFT('PREENCHER AQUI'!L538,1)),"")</f>
        <v>999</v>
      </c>
      <c r="V538" s="19"/>
      <c r="W538" s="1" t="str">
        <f>IFERROR(VLOOKUP(Tabela1[[#This Row],[UO_COD]],qdd!$AT$1:$AU$102,2,FALSE),"")</f>
        <v/>
      </c>
      <c r="X538" s="1" t="str">
        <f>CONCATENATE("F",Tabela1[[#This Row],[FONTE_COD]],Tabela1[[#This Row],[IPU_COD]],"G",Tabela1[[#This Row],[GRUPO_COD]],"T",Tabela1[[#This Row],[TIPO]])</f>
        <v>FGT999</v>
      </c>
      <c r="Y5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8" s="19"/>
      <c r="AA538" s="29" t="str">
        <f>IFERROR(VLOOKUP(CONCATENATE("B",Tabela1[[#This Row],[BLOCO]],Tabela1[[#This Row],[UO_COD]]),qdd!$AW$2:$AX$1000,2,FALSE),"")</f>
        <v/>
      </c>
      <c r="AB538" s="30" t="str">
        <f>IFERROR(Tabela1[[#This Row],[VALOR]]/100,"")</f>
        <v/>
      </c>
      <c r="AC538" s="7" t="str" cm="1">
        <f t="array" aca="1" ref="AC538" ca="1">IF(Tabela1[[#This Row],[VALOR]]&lt;0,"",IFERROR(SUBSTITUTE(Converter_numero(Tabela1[[#This Row],[VALOR INCISO]]),",",""),""))</f>
        <v/>
      </c>
      <c r="AD538" s="29" t="str">
        <f>IF(Tabela1[[#This Row],[TIPO]]=REGRAS!$W$2,REGRAS!$X$2,IF(Tabela1[[#This Row],[TIPO]]=REGRAS!$W$4,REGRAS!$X$4,""))</f>
        <v/>
      </c>
      <c r="AE538" s="29" t="e">
        <f>VLOOKUP(Tabela1[[#This Row],[FONTE_COD]],REGRAS!$O$2:$P$69,2,FALSE)</f>
        <v>#N/A</v>
      </c>
      <c r="AF5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9" spans="1:32" ht="18.75" customHeight="1">
      <c r="A539" s="2" t="str">
        <f>IFERROR(IF('PREENCHER AQUI'!A539="","",'PREENCHER AQUI'!A539),"")</f>
        <v/>
      </c>
      <c r="B539" s="1" t="str">
        <f>IFERROR(IF('PREENCHER AQUI'!B539="","",PROPER('PREENCHER AQUI'!B539)),"")</f>
        <v/>
      </c>
      <c r="C539" s="1" t="str">
        <f>IFERROR(IF('PREENCHER AQUI'!C539="","",'PREENCHER AQUI'!C539),"")</f>
        <v/>
      </c>
      <c r="D539" s="2" t="str">
        <f>IFERROR(IF('PREENCHER AQUI'!D539="","",'PREENCHER AQUI'!D539),"")</f>
        <v/>
      </c>
      <c r="E539" s="2" t="str">
        <f>IFERROR(VLOOKUP(CONCATENATE(C539,D539),qdd!$C$2:$F$1000,2,FALSE),"")</f>
        <v/>
      </c>
      <c r="F539" s="2" t="str">
        <f>IFERROR(VLOOKUP(CONCATENATE(C539,D539),qdd!$C$2:$F$1000,3,FALSE),"")</f>
        <v/>
      </c>
      <c r="G539" s="2" t="str">
        <f>IFERROR(VLOOKUP(CONCATENATE(C539,D539),qdd!$C$2:$F$1000,4,FALSE),"")</f>
        <v/>
      </c>
      <c r="H539" s="6" t="str">
        <f t="shared" si="18"/>
        <v/>
      </c>
      <c r="I5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9" s="2" t="str">
        <f>IFERROR(IF('PREENCHER AQUI'!E539="","",'PREENCHER AQUI'!E539),"")</f>
        <v/>
      </c>
      <c r="K539" s="2" t="str">
        <f>IFERROR(IF('PREENCHER AQUI'!F539="","",'PREENCHER AQUI'!F539),"")</f>
        <v/>
      </c>
      <c r="L539" s="2" t="str">
        <f>IF(Tabela1[[#This Row],[IPU_COD]]=9,"91",IF(Tabela1[[#This Row],[ACAO_COD]]="","",VLOOKUP(CONCATENATE("G",J539,"M",K539),qdd!$BC$2:$BD$46,2,FALSE)))</f>
        <v/>
      </c>
      <c r="M539" s="2" t="str">
        <f>TEXT(IFERROR(VLOOKUP(CONCATENATE(C539,D539),qdd!$C$2:$G$1000,5,FALSE),""),0)</f>
        <v/>
      </c>
      <c r="N539" s="2" t="str">
        <f>IFERROR(IF('PREENCHER AQUI'!I539="","",'PREENCHER AQUI'!I539),"")</f>
        <v/>
      </c>
      <c r="O539" s="2" t="str">
        <f>IFERROR(IF('PREENCHER AQUI'!J539="","",'PREENCHER AQUI'!J539),"")</f>
        <v/>
      </c>
      <c r="P539" s="7" t="str">
        <f t="shared" si="19"/>
        <v/>
      </c>
      <c r="Q539" s="8" t="str">
        <f>IFERROR(IF(Tabela4[[#This Row],[VALOR]]="","",IF(Tabela1[[#This Row],[ORIENTACAO]]="Anular",'PREENCHER AQUI'!K539*-1*100,'PREENCHER AQUI'!K539*100)),"")</f>
        <v/>
      </c>
      <c r="T539" s="7" t="str">
        <f>IFERROR(IF('PREENCHER AQUI'!L539="","999",LEFT('PREENCHER AQUI'!L539,1)),"")</f>
        <v>999</v>
      </c>
      <c r="V539" s="19"/>
      <c r="W539" s="1" t="str">
        <f>IFERROR(VLOOKUP(Tabela1[[#This Row],[UO_COD]],qdd!$AT$1:$AU$102,2,FALSE),"")</f>
        <v/>
      </c>
      <c r="X539" s="1" t="str">
        <f>CONCATENATE("F",Tabela1[[#This Row],[FONTE_COD]],Tabela1[[#This Row],[IPU_COD]],"G",Tabela1[[#This Row],[GRUPO_COD]],"T",Tabela1[[#This Row],[TIPO]])</f>
        <v>FGT999</v>
      </c>
      <c r="Y5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9" s="19"/>
      <c r="AA539" s="29" t="str">
        <f>IFERROR(VLOOKUP(CONCATENATE("B",Tabela1[[#This Row],[BLOCO]],Tabela1[[#This Row],[UO_COD]]),qdd!$AW$2:$AX$1000,2,FALSE),"")</f>
        <v/>
      </c>
      <c r="AB539" s="30" t="str">
        <f>IFERROR(Tabela1[[#This Row],[VALOR]]/100,"")</f>
        <v/>
      </c>
      <c r="AC539" s="7" t="str" cm="1">
        <f t="array" aca="1" ref="AC539" ca="1">IF(Tabela1[[#This Row],[VALOR]]&lt;0,"",IFERROR(SUBSTITUTE(Converter_numero(Tabela1[[#This Row],[VALOR INCISO]]),",",""),""))</f>
        <v/>
      </c>
      <c r="AD539" s="29" t="str">
        <f>IF(Tabela1[[#This Row],[TIPO]]=REGRAS!$W$2,REGRAS!$X$2,IF(Tabela1[[#This Row],[TIPO]]=REGRAS!$W$4,REGRAS!$X$4,""))</f>
        <v/>
      </c>
      <c r="AE539" s="29" t="e">
        <f>VLOOKUP(Tabela1[[#This Row],[FONTE_COD]],REGRAS!$O$2:$P$69,2,FALSE)</f>
        <v>#N/A</v>
      </c>
      <c r="AF5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0" spans="1:32" ht="18.75" customHeight="1">
      <c r="A540" s="2" t="str">
        <f>IFERROR(IF('PREENCHER AQUI'!A540="","",'PREENCHER AQUI'!A540),"")</f>
        <v/>
      </c>
      <c r="B540" s="1" t="str">
        <f>IFERROR(IF('PREENCHER AQUI'!B540="","",PROPER('PREENCHER AQUI'!B540)),"")</f>
        <v/>
      </c>
      <c r="C540" s="1" t="str">
        <f>IFERROR(IF('PREENCHER AQUI'!C540="","",'PREENCHER AQUI'!C540),"")</f>
        <v/>
      </c>
      <c r="D540" s="2" t="str">
        <f>IFERROR(IF('PREENCHER AQUI'!D540="","",'PREENCHER AQUI'!D540),"")</f>
        <v/>
      </c>
      <c r="E540" s="2" t="str">
        <f>IFERROR(VLOOKUP(CONCATENATE(C540,D540),qdd!$C$2:$F$1000,2,FALSE),"")</f>
        <v/>
      </c>
      <c r="F540" s="2" t="str">
        <f>IFERROR(VLOOKUP(CONCATENATE(C540,D540),qdd!$C$2:$F$1000,3,FALSE),"")</f>
        <v/>
      </c>
      <c r="G540" s="2" t="str">
        <f>IFERROR(VLOOKUP(CONCATENATE(C540,D540),qdd!$C$2:$F$1000,4,FALSE),"")</f>
        <v/>
      </c>
      <c r="H540" s="6" t="str">
        <f t="shared" si="18"/>
        <v/>
      </c>
      <c r="I5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0" s="2" t="str">
        <f>IFERROR(IF('PREENCHER AQUI'!E540="","",'PREENCHER AQUI'!E540),"")</f>
        <v/>
      </c>
      <c r="K540" s="2" t="str">
        <f>IFERROR(IF('PREENCHER AQUI'!F540="","",'PREENCHER AQUI'!F540),"")</f>
        <v/>
      </c>
      <c r="L540" s="2" t="str">
        <f>IF(Tabela1[[#This Row],[IPU_COD]]=9,"91",IF(Tabela1[[#This Row],[ACAO_COD]]="","",VLOOKUP(CONCATENATE("G",J540,"M",K540),qdd!$BC$2:$BD$46,2,FALSE)))</f>
        <v/>
      </c>
      <c r="M540" s="2" t="str">
        <f>TEXT(IFERROR(VLOOKUP(CONCATENATE(C540,D540),qdd!$C$2:$G$1000,5,FALSE),""),0)</f>
        <v/>
      </c>
      <c r="N540" s="2" t="str">
        <f>IFERROR(IF('PREENCHER AQUI'!I540="","",'PREENCHER AQUI'!I540),"")</f>
        <v/>
      </c>
      <c r="O540" s="2" t="str">
        <f>IFERROR(IF('PREENCHER AQUI'!J540="","",'PREENCHER AQUI'!J540),"")</f>
        <v/>
      </c>
      <c r="P540" s="7" t="str">
        <f t="shared" si="19"/>
        <v/>
      </c>
      <c r="Q540" s="8" t="str">
        <f>IFERROR(IF(Tabela4[[#This Row],[VALOR]]="","",IF(Tabela1[[#This Row],[ORIENTACAO]]="Anular",'PREENCHER AQUI'!K540*-1*100,'PREENCHER AQUI'!K540*100)),"")</f>
        <v/>
      </c>
      <c r="T540" s="7" t="str">
        <f>IFERROR(IF('PREENCHER AQUI'!L540="","999",LEFT('PREENCHER AQUI'!L540,1)),"")</f>
        <v>999</v>
      </c>
      <c r="V540" s="19"/>
      <c r="W540" s="20" t="str">
        <f>IFERROR(VLOOKUP(Tabela1[[#This Row],[UO_COD]],qdd!$AT$1:$AU$102,2,FALSE),"")</f>
        <v/>
      </c>
      <c r="X540" s="20" t="str">
        <f>CONCATENATE("F",Tabela1[[#This Row],[FONTE_COD]],Tabela1[[#This Row],[IPU_COD]],"G",Tabela1[[#This Row],[GRUPO_COD]],"T",Tabela1[[#This Row],[TIPO]])</f>
        <v>FGT999</v>
      </c>
      <c r="Y5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0" s="19"/>
      <c r="AA540" s="29" t="str">
        <f>IFERROR(VLOOKUP(CONCATENATE("B",Tabela1[[#This Row],[BLOCO]],Tabela1[[#This Row],[UO_COD]]),qdd!$AW$2:$AX$1000,2,FALSE),"")</f>
        <v/>
      </c>
      <c r="AB540" s="30" t="str">
        <f>IFERROR(Tabela1[[#This Row],[VALOR]]/100,"")</f>
        <v/>
      </c>
      <c r="AC540" s="7" t="str" cm="1">
        <f t="array" aca="1" ref="AC540" ca="1">IF(Tabela1[[#This Row],[VALOR]]&lt;0,"",IFERROR(SUBSTITUTE(Converter_numero(Tabela1[[#This Row],[VALOR INCISO]]),",",""),""))</f>
        <v/>
      </c>
      <c r="AD540" s="29" t="str">
        <f>IF(Tabela1[[#This Row],[TIPO]]=REGRAS!$W$2,REGRAS!$X$2,IF(Tabela1[[#This Row],[TIPO]]=REGRAS!$W$4,REGRAS!$X$4,""))</f>
        <v/>
      </c>
      <c r="AE540" s="29" t="e">
        <f>VLOOKUP(Tabela1[[#This Row],[FONTE_COD]],REGRAS!$O$2:$P$69,2,FALSE)</f>
        <v>#N/A</v>
      </c>
      <c r="AF5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1" spans="1:32" ht="18.75" customHeight="1">
      <c r="A541" s="2" t="str">
        <f>IFERROR(IF('PREENCHER AQUI'!A541="","",'PREENCHER AQUI'!A541),"")</f>
        <v/>
      </c>
      <c r="B541" s="1" t="str">
        <f>IFERROR(IF('PREENCHER AQUI'!B541="","",PROPER('PREENCHER AQUI'!B541)),"")</f>
        <v/>
      </c>
      <c r="C541" s="1" t="str">
        <f>IFERROR(IF('PREENCHER AQUI'!C541="","",'PREENCHER AQUI'!C541),"")</f>
        <v/>
      </c>
      <c r="D541" s="2" t="str">
        <f>IFERROR(IF('PREENCHER AQUI'!D541="","",'PREENCHER AQUI'!D541),"")</f>
        <v/>
      </c>
      <c r="E541" s="2" t="str">
        <f>IFERROR(VLOOKUP(CONCATENATE(C541,D541),qdd!$C$2:$F$1000,2,FALSE),"")</f>
        <v/>
      </c>
      <c r="F541" s="2" t="str">
        <f>IFERROR(VLOOKUP(CONCATENATE(C541,D541),qdd!$C$2:$F$1000,3,FALSE),"")</f>
        <v/>
      </c>
      <c r="G541" s="2" t="str">
        <f>IFERROR(VLOOKUP(CONCATENATE(C541,D541),qdd!$C$2:$F$1000,4,FALSE),"")</f>
        <v/>
      </c>
      <c r="H541" s="6" t="str">
        <f t="shared" si="18"/>
        <v/>
      </c>
      <c r="I5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1" s="2" t="str">
        <f>IFERROR(IF('PREENCHER AQUI'!E541="","",'PREENCHER AQUI'!E541),"")</f>
        <v/>
      </c>
      <c r="K541" s="2" t="str">
        <f>IFERROR(IF('PREENCHER AQUI'!F541="","",'PREENCHER AQUI'!F541),"")</f>
        <v/>
      </c>
      <c r="L541" s="2" t="str">
        <f>IF(Tabela1[[#This Row],[IPU_COD]]=9,"91",IF(Tabela1[[#This Row],[ACAO_COD]]="","",VLOOKUP(CONCATENATE("G",J541,"M",K541),qdd!$BC$2:$BD$46,2,FALSE)))</f>
        <v/>
      </c>
      <c r="M541" s="2" t="str">
        <f>TEXT(IFERROR(VLOOKUP(CONCATENATE(C541,D541),qdd!$C$2:$G$1000,5,FALSE),""),0)</f>
        <v/>
      </c>
      <c r="N541" s="2" t="str">
        <f>IFERROR(IF('PREENCHER AQUI'!I541="","",'PREENCHER AQUI'!I541),"")</f>
        <v/>
      </c>
      <c r="O541" s="2" t="str">
        <f>IFERROR(IF('PREENCHER AQUI'!J541="","",'PREENCHER AQUI'!J541),"")</f>
        <v/>
      </c>
      <c r="P541" s="7" t="str">
        <f t="shared" si="19"/>
        <v/>
      </c>
      <c r="Q541" s="8" t="str">
        <f>IFERROR(IF(Tabela4[[#This Row],[VALOR]]="","",IF(Tabela1[[#This Row],[ORIENTACAO]]="Anular",'PREENCHER AQUI'!K541*-1*100,'PREENCHER AQUI'!K541*100)),"")</f>
        <v/>
      </c>
      <c r="T541" s="7" t="str">
        <f>IFERROR(IF('PREENCHER AQUI'!L541="","999",LEFT('PREENCHER AQUI'!L541,1)),"")</f>
        <v>999</v>
      </c>
      <c r="V541" s="19"/>
      <c r="W541" s="1" t="str">
        <f>IFERROR(VLOOKUP(Tabela1[[#This Row],[UO_COD]],qdd!$AT$1:$AU$102,2,FALSE),"")</f>
        <v/>
      </c>
      <c r="X541" s="1" t="str">
        <f>CONCATENATE("F",Tabela1[[#This Row],[FONTE_COD]],Tabela1[[#This Row],[IPU_COD]],"G",Tabela1[[#This Row],[GRUPO_COD]],"T",Tabela1[[#This Row],[TIPO]])</f>
        <v>FGT999</v>
      </c>
      <c r="Y5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1" s="19"/>
      <c r="AA541" s="29" t="str">
        <f>IFERROR(VLOOKUP(CONCATENATE("B",Tabela1[[#This Row],[BLOCO]],Tabela1[[#This Row],[UO_COD]]),qdd!$AW$2:$AX$1000,2,FALSE),"")</f>
        <v/>
      </c>
      <c r="AB541" s="30" t="str">
        <f>IFERROR(Tabela1[[#This Row],[VALOR]]/100,"")</f>
        <v/>
      </c>
      <c r="AC541" s="7" t="str" cm="1">
        <f t="array" aca="1" ref="AC541" ca="1">IF(Tabela1[[#This Row],[VALOR]]&lt;0,"",IFERROR(SUBSTITUTE(Converter_numero(Tabela1[[#This Row],[VALOR INCISO]]),",",""),""))</f>
        <v/>
      </c>
      <c r="AD541" s="29" t="str">
        <f>IF(Tabela1[[#This Row],[TIPO]]=REGRAS!$W$2,REGRAS!$X$2,IF(Tabela1[[#This Row],[TIPO]]=REGRAS!$W$4,REGRAS!$X$4,""))</f>
        <v/>
      </c>
      <c r="AE541" s="29" t="e">
        <f>VLOOKUP(Tabela1[[#This Row],[FONTE_COD]],REGRAS!$O$2:$P$69,2,FALSE)</f>
        <v>#N/A</v>
      </c>
      <c r="AF5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2" spans="1:32" ht="18.75" customHeight="1">
      <c r="A542" s="2" t="str">
        <f>IFERROR(IF('PREENCHER AQUI'!A542="","",'PREENCHER AQUI'!A542),"")</f>
        <v/>
      </c>
      <c r="B542" s="1" t="str">
        <f>IFERROR(IF('PREENCHER AQUI'!B542="","",PROPER('PREENCHER AQUI'!B542)),"")</f>
        <v/>
      </c>
      <c r="C542" s="1" t="str">
        <f>IFERROR(IF('PREENCHER AQUI'!C542="","",'PREENCHER AQUI'!C542),"")</f>
        <v/>
      </c>
      <c r="D542" s="2" t="str">
        <f>IFERROR(IF('PREENCHER AQUI'!D542="","",'PREENCHER AQUI'!D542),"")</f>
        <v/>
      </c>
      <c r="E542" s="2" t="str">
        <f>IFERROR(VLOOKUP(CONCATENATE(C542,D542),qdd!$C$2:$F$1000,2,FALSE),"")</f>
        <v/>
      </c>
      <c r="F542" s="2" t="str">
        <f>IFERROR(VLOOKUP(CONCATENATE(C542,D542),qdd!$C$2:$F$1000,3,FALSE),"")</f>
        <v/>
      </c>
      <c r="G542" s="2" t="str">
        <f>IFERROR(VLOOKUP(CONCATENATE(C542,D542),qdd!$C$2:$F$1000,4,FALSE),"")</f>
        <v/>
      </c>
      <c r="H542" s="6" t="str">
        <f t="shared" si="18"/>
        <v/>
      </c>
      <c r="I5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2" s="2" t="str">
        <f>IFERROR(IF('PREENCHER AQUI'!E542="","",'PREENCHER AQUI'!E542),"")</f>
        <v/>
      </c>
      <c r="K542" s="2" t="str">
        <f>IFERROR(IF('PREENCHER AQUI'!F542="","",'PREENCHER AQUI'!F542),"")</f>
        <v/>
      </c>
      <c r="L542" s="2" t="str">
        <f>IF(Tabela1[[#This Row],[IPU_COD]]=9,"91",IF(Tabela1[[#This Row],[ACAO_COD]]="","",VLOOKUP(CONCATENATE("G",J542,"M",K542),qdd!$BC$2:$BD$46,2,FALSE)))</f>
        <v/>
      </c>
      <c r="M542" s="2" t="str">
        <f>TEXT(IFERROR(VLOOKUP(CONCATENATE(C542,D542),qdd!$C$2:$G$1000,5,FALSE),""),0)</f>
        <v/>
      </c>
      <c r="N542" s="2" t="str">
        <f>IFERROR(IF('PREENCHER AQUI'!I542="","",'PREENCHER AQUI'!I542),"")</f>
        <v/>
      </c>
      <c r="O542" s="2" t="str">
        <f>IFERROR(IF('PREENCHER AQUI'!J542="","",'PREENCHER AQUI'!J542),"")</f>
        <v/>
      </c>
      <c r="P542" s="7" t="str">
        <f t="shared" si="19"/>
        <v/>
      </c>
      <c r="Q542" s="8" t="str">
        <f>IFERROR(IF(Tabela4[[#This Row],[VALOR]]="","",IF(Tabela1[[#This Row],[ORIENTACAO]]="Anular",'PREENCHER AQUI'!K542*-1*100,'PREENCHER AQUI'!K542*100)),"")</f>
        <v/>
      </c>
      <c r="T542" s="7" t="str">
        <f>IFERROR(IF('PREENCHER AQUI'!L542="","999",LEFT('PREENCHER AQUI'!L542,1)),"")</f>
        <v>999</v>
      </c>
      <c r="W542" s="1" t="str">
        <f>IFERROR(VLOOKUP(Tabela1[[#This Row],[UO_COD]],qdd!$AT$1:$AU$102,2,FALSE),"")</f>
        <v/>
      </c>
      <c r="X542" s="1" t="str">
        <f>CONCATENATE("F",Tabela1[[#This Row],[FONTE_COD]],Tabela1[[#This Row],[IPU_COD]],"G",Tabela1[[#This Row],[GRUPO_COD]],"T",Tabela1[[#This Row],[TIPO]])</f>
        <v>FGT999</v>
      </c>
      <c r="Y5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2" s="19"/>
      <c r="AA542" s="29" t="str">
        <f>IFERROR(VLOOKUP(CONCATENATE("B",Tabela1[[#This Row],[BLOCO]],Tabela1[[#This Row],[UO_COD]]),qdd!$AW$2:$AX$1000,2,FALSE),"")</f>
        <v/>
      </c>
      <c r="AB542" s="30" t="str">
        <f>IFERROR(Tabela1[[#This Row],[VALOR]]/100,"")</f>
        <v/>
      </c>
      <c r="AC542" s="7" t="str" cm="1">
        <f t="array" aca="1" ref="AC542" ca="1">IF(Tabela1[[#This Row],[VALOR]]&lt;0,"",IFERROR(SUBSTITUTE(Converter_numero(Tabela1[[#This Row],[VALOR INCISO]]),",",""),""))</f>
        <v/>
      </c>
      <c r="AD542" s="7" t="str">
        <f>IF(Tabela1[[#This Row],[TIPO]]=REGRAS!$W$2,REGRAS!$X$2,IF(Tabela1[[#This Row],[TIPO]]=REGRAS!$W$4,REGRAS!$X$4,""))</f>
        <v/>
      </c>
      <c r="AE542" s="29" t="e">
        <f>VLOOKUP(Tabela1[[#This Row],[FONTE_COD]],REGRAS!$O$2:$P$69,2,FALSE)</f>
        <v>#N/A</v>
      </c>
      <c r="AF5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3" spans="1:32" ht="18.75" customHeight="1">
      <c r="A543" s="2" t="str">
        <f>IFERROR(IF('PREENCHER AQUI'!A543="","",'PREENCHER AQUI'!A543),"")</f>
        <v/>
      </c>
      <c r="B543" s="1" t="str">
        <f>IFERROR(IF('PREENCHER AQUI'!B543="","",PROPER('PREENCHER AQUI'!B543)),"")</f>
        <v/>
      </c>
      <c r="C543" s="1" t="str">
        <f>IFERROR(IF('PREENCHER AQUI'!C543="","",'PREENCHER AQUI'!C543),"")</f>
        <v/>
      </c>
      <c r="D543" s="2" t="str">
        <f>IFERROR(IF('PREENCHER AQUI'!D543="","",'PREENCHER AQUI'!D543),"")</f>
        <v/>
      </c>
      <c r="E543" s="2" t="str">
        <f>IFERROR(VLOOKUP(CONCATENATE(C543,D543),qdd!$C$2:$F$1000,2,FALSE),"")</f>
        <v/>
      </c>
      <c r="F543" s="2" t="str">
        <f>IFERROR(VLOOKUP(CONCATENATE(C543,D543),qdd!$C$2:$F$1000,3,FALSE),"")</f>
        <v/>
      </c>
      <c r="G543" s="2" t="str">
        <f>IFERROR(VLOOKUP(CONCATENATE(C543,D543),qdd!$C$2:$F$1000,4,FALSE),"")</f>
        <v/>
      </c>
      <c r="H543" s="6" t="str">
        <f t="shared" si="18"/>
        <v/>
      </c>
      <c r="I5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3" s="2" t="str">
        <f>IFERROR(IF('PREENCHER AQUI'!E543="","",'PREENCHER AQUI'!E543),"")</f>
        <v/>
      </c>
      <c r="K543" s="2" t="str">
        <f>IFERROR(IF('PREENCHER AQUI'!F543="","",'PREENCHER AQUI'!F543),"")</f>
        <v/>
      </c>
      <c r="L543" s="2" t="str">
        <f>IF(Tabela1[[#This Row],[IPU_COD]]=9,"91",IF(Tabela1[[#This Row],[ACAO_COD]]="","",VLOOKUP(CONCATENATE("G",J543,"M",K543),qdd!$BC$2:$BD$46,2,FALSE)))</f>
        <v/>
      </c>
      <c r="M543" s="2" t="str">
        <f>TEXT(IFERROR(VLOOKUP(CONCATENATE(C543,D543),qdd!$C$2:$G$1000,5,FALSE),""),0)</f>
        <v/>
      </c>
      <c r="N543" s="2" t="str">
        <f>IFERROR(IF('PREENCHER AQUI'!I543="","",'PREENCHER AQUI'!I543),"")</f>
        <v/>
      </c>
      <c r="O543" s="2" t="str">
        <f>IFERROR(IF('PREENCHER AQUI'!J543="","",'PREENCHER AQUI'!J543),"")</f>
        <v/>
      </c>
      <c r="P543" s="7" t="str">
        <f t="shared" si="19"/>
        <v/>
      </c>
      <c r="Q543" s="8" t="str">
        <f>IFERROR(IF(Tabela4[[#This Row],[VALOR]]="","",IF(Tabela1[[#This Row],[ORIENTACAO]]="Anular",'PREENCHER AQUI'!K543*-1*100,'PREENCHER AQUI'!K543*100)),"")</f>
        <v/>
      </c>
      <c r="T543" s="7" t="str">
        <f>IFERROR(IF('PREENCHER AQUI'!L543="","999",LEFT('PREENCHER AQUI'!L543,1)),"")</f>
        <v>999</v>
      </c>
      <c r="V543" s="19"/>
      <c r="W543" s="1" t="str">
        <f>IFERROR(VLOOKUP(Tabela1[[#This Row],[UO_COD]],qdd!$AT$1:$AU$102,2,FALSE),"")</f>
        <v/>
      </c>
      <c r="X543" s="1" t="str">
        <f>CONCATENATE("F",Tabela1[[#This Row],[FONTE_COD]],Tabela1[[#This Row],[IPU_COD]],"G",Tabela1[[#This Row],[GRUPO_COD]],"T",Tabela1[[#This Row],[TIPO]])</f>
        <v>FGT999</v>
      </c>
      <c r="Y5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3" s="19"/>
      <c r="AA543" s="29" t="str">
        <f>IFERROR(VLOOKUP(CONCATENATE("B",Tabela1[[#This Row],[BLOCO]],Tabela1[[#This Row],[UO_COD]]),qdd!$AW$2:$AX$1000,2,FALSE),"")</f>
        <v/>
      </c>
      <c r="AB543" s="30" t="str">
        <f>IFERROR(Tabela1[[#This Row],[VALOR]]/100,"")</f>
        <v/>
      </c>
      <c r="AC543" s="7" t="str" cm="1">
        <f t="array" aca="1" ref="AC543" ca="1">IF(Tabela1[[#This Row],[VALOR]]&lt;0,"",IFERROR(SUBSTITUTE(Converter_numero(Tabela1[[#This Row],[VALOR INCISO]]),",",""),""))</f>
        <v/>
      </c>
      <c r="AD543" s="29" t="str">
        <f>IF(Tabela1[[#This Row],[TIPO]]=REGRAS!$W$2,REGRAS!$X$2,IF(Tabela1[[#This Row],[TIPO]]=REGRAS!$W$4,REGRAS!$X$4,""))</f>
        <v/>
      </c>
      <c r="AE543" s="29" t="e">
        <f>VLOOKUP(Tabela1[[#This Row],[FONTE_COD]],REGRAS!$O$2:$P$69,2,FALSE)</f>
        <v>#N/A</v>
      </c>
      <c r="AF5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4" spans="1:32" ht="18.75" customHeight="1">
      <c r="A544" s="2" t="str">
        <f>IFERROR(IF('PREENCHER AQUI'!A544="","",'PREENCHER AQUI'!A544),"")</f>
        <v/>
      </c>
      <c r="B544" s="1" t="str">
        <f>IFERROR(IF('PREENCHER AQUI'!B544="","",PROPER('PREENCHER AQUI'!B544)),"")</f>
        <v/>
      </c>
      <c r="C544" s="1" t="str">
        <f>IFERROR(IF('PREENCHER AQUI'!C544="","",'PREENCHER AQUI'!C544),"")</f>
        <v/>
      </c>
      <c r="D544" s="2" t="str">
        <f>IFERROR(IF('PREENCHER AQUI'!D544="","",'PREENCHER AQUI'!D544),"")</f>
        <v/>
      </c>
      <c r="E544" s="2" t="str">
        <f>IFERROR(VLOOKUP(CONCATENATE(C544,D544),qdd!$C$2:$F$1000,2,FALSE),"")</f>
        <v/>
      </c>
      <c r="F544" s="2" t="str">
        <f>IFERROR(VLOOKUP(CONCATENATE(C544,D544),qdd!$C$2:$F$1000,3,FALSE),"")</f>
        <v/>
      </c>
      <c r="G544" s="2" t="str">
        <f>IFERROR(VLOOKUP(CONCATENATE(C544,D544),qdd!$C$2:$F$1000,4,FALSE),"")</f>
        <v/>
      </c>
      <c r="H544" s="6" t="str">
        <f t="shared" si="18"/>
        <v/>
      </c>
      <c r="I5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4" s="2" t="str">
        <f>IFERROR(IF('PREENCHER AQUI'!E544="","",'PREENCHER AQUI'!E544),"")</f>
        <v/>
      </c>
      <c r="K544" s="2" t="str">
        <f>IFERROR(IF('PREENCHER AQUI'!F544="","",'PREENCHER AQUI'!F544),"")</f>
        <v/>
      </c>
      <c r="L544" s="2" t="str">
        <f>IF(Tabela1[[#This Row],[IPU_COD]]=9,"91",IF(Tabela1[[#This Row],[ACAO_COD]]="","",VLOOKUP(CONCATENATE("G",J544,"M",K544),qdd!$BC$2:$BD$46,2,FALSE)))</f>
        <v/>
      </c>
      <c r="M544" s="2" t="str">
        <f>TEXT(IFERROR(VLOOKUP(CONCATENATE(C544,D544),qdd!$C$2:$G$1000,5,FALSE),""),0)</f>
        <v/>
      </c>
      <c r="N544" s="2" t="str">
        <f>IFERROR(IF('PREENCHER AQUI'!I544="","",'PREENCHER AQUI'!I544),"")</f>
        <v/>
      </c>
      <c r="O544" s="2" t="str">
        <f>IFERROR(IF('PREENCHER AQUI'!J544="","",'PREENCHER AQUI'!J544),"")</f>
        <v/>
      </c>
      <c r="P544" s="7" t="str">
        <f t="shared" si="19"/>
        <v/>
      </c>
      <c r="Q544" s="8" t="str">
        <f>IFERROR(IF(Tabela4[[#This Row],[VALOR]]="","",IF(Tabela1[[#This Row],[ORIENTACAO]]="Anular",'PREENCHER AQUI'!K544*-1*100,'PREENCHER AQUI'!K544*100)),"")</f>
        <v/>
      </c>
      <c r="T544" s="7" t="str">
        <f>IFERROR(IF('PREENCHER AQUI'!L544="","999",LEFT('PREENCHER AQUI'!L544,1)),"")</f>
        <v>999</v>
      </c>
      <c r="V544" s="19"/>
      <c r="W544" s="1" t="str">
        <f>IFERROR(VLOOKUP(Tabela1[[#This Row],[UO_COD]],qdd!$AT$1:$AU$102,2,FALSE),"")</f>
        <v/>
      </c>
      <c r="X544" s="1" t="str">
        <f>CONCATENATE("F",Tabela1[[#This Row],[FONTE_COD]],Tabela1[[#This Row],[IPU_COD]],"G",Tabela1[[#This Row],[GRUPO_COD]],"T",Tabela1[[#This Row],[TIPO]])</f>
        <v>FGT999</v>
      </c>
      <c r="Y5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4" s="19"/>
      <c r="AA544" s="29" t="str">
        <f>IFERROR(VLOOKUP(CONCATENATE("B",Tabela1[[#This Row],[BLOCO]],Tabela1[[#This Row],[UO_COD]]),qdd!$AW$2:$AX$1000,2,FALSE),"")</f>
        <v/>
      </c>
      <c r="AB544" s="30" t="str">
        <f>IFERROR(Tabela1[[#This Row],[VALOR]]/100,"")</f>
        <v/>
      </c>
      <c r="AC544" s="7" t="str" cm="1">
        <f t="array" aca="1" ref="AC544" ca="1">IF(Tabela1[[#This Row],[VALOR]]&lt;0,"",IFERROR(SUBSTITUTE(Converter_numero(Tabela1[[#This Row],[VALOR INCISO]]),",",""),""))</f>
        <v/>
      </c>
      <c r="AD544" s="29" t="str">
        <f>IF(Tabela1[[#This Row],[TIPO]]=REGRAS!$W$2,REGRAS!$X$2,IF(Tabela1[[#This Row],[TIPO]]=REGRAS!$W$4,REGRAS!$X$4,""))</f>
        <v/>
      </c>
      <c r="AE544" s="29" t="e">
        <f>VLOOKUP(Tabela1[[#This Row],[FONTE_COD]],REGRAS!$O$2:$P$69,2,FALSE)</f>
        <v>#N/A</v>
      </c>
      <c r="AF5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5" spans="1:32" ht="18.75" customHeight="1">
      <c r="A545" s="2" t="str">
        <f>IFERROR(IF('PREENCHER AQUI'!A545="","",'PREENCHER AQUI'!A545),"")</f>
        <v/>
      </c>
      <c r="B545" s="1" t="str">
        <f>IFERROR(IF('PREENCHER AQUI'!B545="","",PROPER('PREENCHER AQUI'!B545)),"")</f>
        <v/>
      </c>
      <c r="C545" s="1" t="str">
        <f>IFERROR(IF('PREENCHER AQUI'!C545="","",'PREENCHER AQUI'!C545),"")</f>
        <v/>
      </c>
      <c r="D545" s="2" t="str">
        <f>IFERROR(IF('PREENCHER AQUI'!D545="","",'PREENCHER AQUI'!D545),"")</f>
        <v/>
      </c>
      <c r="E545" s="2" t="str">
        <f>IFERROR(VLOOKUP(CONCATENATE(C545,D545),qdd!$C$2:$F$1000,2,FALSE),"")</f>
        <v/>
      </c>
      <c r="F545" s="2" t="str">
        <f>IFERROR(VLOOKUP(CONCATENATE(C545,D545),qdd!$C$2:$F$1000,3,FALSE),"")</f>
        <v/>
      </c>
      <c r="G545" s="2" t="str">
        <f>IFERROR(VLOOKUP(CONCATENATE(C545,D545),qdd!$C$2:$F$1000,4,FALSE),"")</f>
        <v/>
      </c>
      <c r="H545" s="6" t="str">
        <f t="shared" si="18"/>
        <v/>
      </c>
      <c r="I5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5" s="2" t="str">
        <f>IFERROR(IF('PREENCHER AQUI'!E545="","",'PREENCHER AQUI'!E545),"")</f>
        <v/>
      </c>
      <c r="K545" s="2" t="str">
        <f>IFERROR(IF('PREENCHER AQUI'!F545="","",'PREENCHER AQUI'!F545),"")</f>
        <v/>
      </c>
      <c r="L545" s="2" t="str">
        <f>IF(Tabela1[[#This Row],[IPU_COD]]=9,"91",IF(Tabela1[[#This Row],[ACAO_COD]]="","",VLOOKUP(CONCATENATE("G",J545,"M",K545),qdd!$BC$2:$BD$46,2,FALSE)))</f>
        <v/>
      </c>
      <c r="M545" s="2" t="str">
        <f>TEXT(IFERROR(VLOOKUP(CONCATENATE(C545,D545),qdd!$C$2:$G$1000,5,FALSE),""),0)</f>
        <v/>
      </c>
      <c r="N545" s="2" t="str">
        <f>IFERROR(IF('PREENCHER AQUI'!I545="","",'PREENCHER AQUI'!I545),"")</f>
        <v/>
      </c>
      <c r="O545" s="2" t="str">
        <f>IFERROR(IF('PREENCHER AQUI'!J545="","",'PREENCHER AQUI'!J545),"")</f>
        <v/>
      </c>
      <c r="P545" s="7" t="str">
        <f t="shared" si="19"/>
        <v/>
      </c>
      <c r="Q545" s="8" t="str">
        <f>IFERROR(IF(Tabela4[[#This Row],[VALOR]]="","",IF(Tabela1[[#This Row],[ORIENTACAO]]="Anular",'PREENCHER AQUI'!K545*-1*100,'PREENCHER AQUI'!K545*100)),"")</f>
        <v/>
      </c>
      <c r="T545" s="7" t="str">
        <f>IFERROR(IF('PREENCHER AQUI'!L545="","999",LEFT('PREENCHER AQUI'!L545,1)),"")</f>
        <v>999</v>
      </c>
      <c r="V545" s="19"/>
      <c r="W545" s="20" t="str">
        <f>IFERROR(VLOOKUP(Tabela1[[#This Row],[UO_COD]],qdd!$AT$1:$AU$102,2,FALSE),"")</f>
        <v/>
      </c>
      <c r="X545" s="20" t="str">
        <f>CONCATENATE("F",Tabela1[[#This Row],[FONTE_COD]],Tabela1[[#This Row],[IPU_COD]],"G",Tabela1[[#This Row],[GRUPO_COD]],"T",Tabela1[[#This Row],[TIPO]])</f>
        <v>FGT999</v>
      </c>
      <c r="Y5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5" s="19"/>
      <c r="AA545" s="29" t="str">
        <f>IFERROR(VLOOKUP(CONCATENATE("B",Tabela1[[#This Row],[BLOCO]],Tabela1[[#This Row],[UO_COD]]),qdd!$AW$2:$AX$1000,2,FALSE),"")</f>
        <v/>
      </c>
      <c r="AB545" s="30" t="str">
        <f>IFERROR(Tabela1[[#This Row],[VALOR]]/100,"")</f>
        <v/>
      </c>
      <c r="AC545" s="7" t="str" cm="1">
        <f t="array" aca="1" ref="AC545" ca="1">IF(Tabela1[[#This Row],[VALOR]]&lt;0,"",IFERROR(SUBSTITUTE(Converter_numero(Tabela1[[#This Row],[VALOR INCISO]]),",",""),""))</f>
        <v/>
      </c>
      <c r="AD545" s="29" t="str">
        <f>IF(Tabela1[[#This Row],[TIPO]]=REGRAS!$W$2,REGRAS!$X$2,IF(Tabela1[[#This Row],[TIPO]]=REGRAS!$W$4,REGRAS!$X$4,""))</f>
        <v/>
      </c>
      <c r="AE545" s="29" t="e">
        <f>VLOOKUP(Tabela1[[#This Row],[FONTE_COD]],REGRAS!$O$2:$P$69,2,FALSE)</f>
        <v>#N/A</v>
      </c>
      <c r="AF5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6" spans="1:32" ht="18.75" customHeight="1">
      <c r="A546" s="2" t="str">
        <f>IFERROR(IF('PREENCHER AQUI'!A546="","",'PREENCHER AQUI'!A546),"")</f>
        <v/>
      </c>
      <c r="B546" s="1" t="str">
        <f>IFERROR(IF('PREENCHER AQUI'!B546="","",PROPER('PREENCHER AQUI'!B546)),"")</f>
        <v/>
      </c>
      <c r="C546" s="1" t="str">
        <f>IFERROR(IF('PREENCHER AQUI'!C546="","",'PREENCHER AQUI'!C546),"")</f>
        <v/>
      </c>
      <c r="D546" s="2" t="str">
        <f>IFERROR(IF('PREENCHER AQUI'!D546="","",'PREENCHER AQUI'!D546),"")</f>
        <v/>
      </c>
      <c r="E546" s="2" t="str">
        <f>IFERROR(VLOOKUP(CONCATENATE(C546,D546),qdd!$C$2:$F$1000,2,FALSE),"")</f>
        <v/>
      </c>
      <c r="F546" s="2" t="str">
        <f>IFERROR(VLOOKUP(CONCATENATE(C546,D546),qdd!$C$2:$F$1000,3,FALSE),"")</f>
        <v/>
      </c>
      <c r="G546" s="2" t="str">
        <f>IFERROR(VLOOKUP(CONCATENATE(C546,D546),qdd!$C$2:$F$1000,4,FALSE),"")</f>
        <v/>
      </c>
      <c r="H546" s="6" t="str">
        <f t="shared" si="18"/>
        <v/>
      </c>
      <c r="I5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6" s="2" t="str">
        <f>IFERROR(IF('PREENCHER AQUI'!E546="","",'PREENCHER AQUI'!E546),"")</f>
        <v/>
      </c>
      <c r="K546" s="2" t="str">
        <f>IFERROR(IF('PREENCHER AQUI'!F546="","",'PREENCHER AQUI'!F546),"")</f>
        <v/>
      </c>
      <c r="L546" s="2" t="str">
        <f>IF(Tabela1[[#This Row],[IPU_COD]]=9,"91",IF(Tabela1[[#This Row],[ACAO_COD]]="","",VLOOKUP(CONCATENATE("G",J546,"M",K546),qdd!$BC$2:$BD$46,2,FALSE)))</f>
        <v/>
      </c>
      <c r="M546" s="2" t="str">
        <f>TEXT(IFERROR(VLOOKUP(CONCATENATE(C546,D546),qdd!$C$2:$G$1000,5,FALSE),""),0)</f>
        <v/>
      </c>
      <c r="N546" s="2" t="str">
        <f>IFERROR(IF('PREENCHER AQUI'!I546="","",'PREENCHER AQUI'!I546),"")</f>
        <v/>
      </c>
      <c r="O546" s="2" t="str">
        <f>IFERROR(IF('PREENCHER AQUI'!J546="","",'PREENCHER AQUI'!J546),"")</f>
        <v/>
      </c>
      <c r="P546" s="7" t="str">
        <f t="shared" si="19"/>
        <v/>
      </c>
      <c r="Q546" s="8" t="str">
        <f>IFERROR(IF(Tabela4[[#This Row],[VALOR]]="","",IF(Tabela1[[#This Row],[ORIENTACAO]]="Anular",'PREENCHER AQUI'!K546*-1*100,'PREENCHER AQUI'!K546*100)),"")</f>
        <v/>
      </c>
      <c r="T546" s="7" t="str">
        <f>IFERROR(IF('PREENCHER AQUI'!L546="","999",LEFT('PREENCHER AQUI'!L546,1)),"")</f>
        <v>999</v>
      </c>
      <c r="V546" s="19"/>
      <c r="W546" s="1" t="str">
        <f>IFERROR(VLOOKUP(Tabela1[[#This Row],[UO_COD]],qdd!$AT$1:$AU$102,2,FALSE),"")</f>
        <v/>
      </c>
      <c r="X546" s="1" t="str">
        <f>CONCATENATE("F",Tabela1[[#This Row],[FONTE_COD]],Tabela1[[#This Row],[IPU_COD]],"G",Tabela1[[#This Row],[GRUPO_COD]],"T",Tabela1[[#This Row],[TIPO]])</f>
        <v>FGT999</v>
      </c>
      <c r="Y5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6" s="19"/>
      <c r="AA546" s="29" t="str">
        <f>IFERROR(VLOOKUP(CONCATENATE("B",Tabela1[[#This Row],[BLOCO]],Tabela1[[#This Row],[UO_COD]]),qdd!$AW$2:$AX$1000,2,FALSE),"")</f>
        <v/>
      </c>
      <c r="AB546" s="30" t="str">
        <f>IFERROR(Tabela1[[#This Row],[VALOR]]/100,"")</f>
        <v/>
      </c>
      <c r="AC546" s="7" t="str" cm="1">
        <f t="array" aca="1" ref="AC546" ca="1">IF(Tabela1[[#This Row],[VALOR]]&lt;0,"",IFERROR(SUBSTITUTE(Converter_numero(Tabela1[[#This Row],[VALOR INCISO]]),",",""),""))</f>
        <v/>
      </c>
      <c r="AD546" s="29" t="str">
        <f>IF(Tabela1[[#This Row],[TIPO]]=REGRAS!$W$2,REGRAS!$X$2,IF(Tabela1[[#This Row],[TIPO]]=REGRAS!$W$4,REGRAS!$X$4,""))</f>
        <v/>
      </c>
      <c r="AE546" s="29" t="e">
        <f>VLOOKUP(Tabela1[[#This Row],[FONTE_COD]],REGRAS!$O$2:$P$69,2,FALSE)</f>
        <v>#N/A</v>
      </c>
      <c r="AF5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7" spans="1:32" ht="18.75" customHeight="1">
      <c r="A547" s="2" t="str">
        <f>IFERROR(IF('PREENCHER AQUI'!A547="","",'PREENCHER AQUI'!A547),"")</f>
        <v/>
      </c>
      <c r="B547" s="1" t="str">
        <f>IFERROR(IF('PREENCHER AQUI'!B547="","",PROPER('PREENCHER AQUI'!B547)),"")</f>
        <v/>
      </c>
      <c r="C547" s="1" t="str">
        <f>IFERROR(IF('PREENCHER AQUI'!C547="","",'PREENCHER AQUI'!C547),"")</f>
        <v/>
      </c>
      <c r="D547" s="2" t="str">
        <f>IFERROR(IF('PREENCHER AQUI'!D547="","",'PREENCHER AQUI'!D547),"")</f>
        <v/>
      </c>
      <c r="E547" s="2" t="str">
        <f>IFERROR(VLOOKUP(CONCATENATE(C547,D547),qdd!$C$2:$F$1000,2,FALSE),"")</f>
        <v/>
      </c>
      <c r="F547" s="2" t="str">
        <f>IFERROR(VLOOKUP(CONCATENATE(C547,D547),qdd!$C$2:$F$1000,3,FALSE),"")</f>
        <v/>
      </c>
      <c r="G547" s="2" t="str">
        <f>IFERROR(VLOOKUP(CONCATENATE(C547,D547),qdd!$C$2:$F$1000,4,FALSE),"")</f>
        <v/>
      </c>
      <c r="H547" s="6" t="str">
        <f t="shared" si="18"/>
        <v/>
      </c>
      <c r="I5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7" s="2" t="str">
        <f>IFERROR(IF('PREENCHER AQUI'!E547="","",'PREENCHER AQUI'!E547),"")</f>
        <v/>
      </c>
      <c r="K547" s="2" t="str">
        <f>IFERROR(IF('PREENCHER AQUI'!F547="","",'PREENCHER AQUI'!F547),"")</f>
        <v/>
      </c>
      <c r="L547" s="2" t="str">
        <f>IF(Tabela1[[#This Row],[IPU_COD]]=9,"91",IF(Tabela1[[#This Row],[ACAO_COD]]="","",VLOOKUP(CONCATENATE("G",J547,"M",K547),qdd!$BC$2:$BD$46,2,FALSE)))</f>
        <v/>
      </c>
      <c r="M547" s="2" t="str">
        <f>TEXT(IFERROR(VLOOKUP(CONCATENATE(C547,D547),qdd!$C$2:$G$1000,5,FALSE),""),0)</f>
        <v/>
      </c>
      <c r="N547" s="2" t="str">
        <f>IFERROR(IF('PREENCHER AQUI'!I547="","",'PREENCHER AQUI'!I547),"")</f>
        <v/>
      </c>
      <c r="O547" s="2" t="str">
        <f>IFERROR(IF('PREENCHER AQUI'!J547="","",'PREENCHER AQUI'!J547),"")</f>
        <v/>
      </c>
      <c r="P547" s="7" t="str">
        <f t="shared" si="19"/>
        <v/>
      </c>
      <c r="Q547" s="8" t="str">
        <f>IFERROR(IF(Tabela4[[#This Row],[VALOR]]="","",IF(Tabela1[[#This Row],[ORIENTACAO]]="Anular",'PREENCHER AQUI'!K547*-1*100,'PREENCHER AQUI'!K547*100)),"")</f>
        <v/>
      </c>
      <c r="T547" s="7" t="str">
        <f>IFERROR(IF('PREENCHER AQUI'!L547="","999",LEFT('PREENCHER AQUI'!L547,1)),"")</f>
        <v>999</v>
      </c>
      <c r="W547" s="1" t="str">
        <f>IFERROR(VLOOKUP(Tabela1[[#This Row],[UO_COD]],qdd!$AT$1:$AU$102,2,FALSE),"")</f>
        <v/>
      </c>
      <c r="X547" s="1" t="str">
        <f>CONCATENATE("F",Tabela1[[#This Row],[FONTE_COD]],Tabela1[[#This Row],[IPU_COD]],"G",Tabela1[[#This Row],[GRUPO_COD]],"T",Tabela1[[#This Row],[TIPO]])</f>
        <v>FGT999</v>
      </c>
      <c r="Y5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7" s="19"/>
      <c r="AA547" s="29" t="str">
        <f>IFERROR(VLOOKUP(CONCATENATE("B",Tabela1[[#This Row],[BLOCO]],Tabela1[[#This Row],[UO_COD]]),qdd!$AW$2:$AX$1000,2,FALSE),"")</f>
        <v/>
      </c>
      <c r="AB547" s="30" t="str">
        <f>IFERROR(Tabela1[[#This Row],[VALOR]]/100,"")</f>
        <v/>
      </c>
      <c r="AC547" s="7" t="str" cm="1">
        <f t="array" aca="1" ref="AC547" ca="1">IF(Tabela1[[#This Row],[VALOR]]&lt;0,"",IFERROR(SUBSTITUTE(Converter_numero(Tabela1[[#This Row],[VALOR INCISO]]),",",""),""))</f>
        <v/>
      </c>
      <c r="AD547" s="7" t="str">
        <f>IF(Tabela1[[#This Row],[TIPO]]=REGRAS!$W$2,REGRAS!$X$2,IF(Tabela1[[#This Row],[TIPO]]=REGRAS!$W$4,REGRAS!$X$4,""))</f>
        <v/>
      </c>
      <c r="AE547" s="29" t="e">
        <f>VLOOKUP(Tabela1[[#This Row],[FONTE_COD]],REGRAS!$O$2:$P$69,2,FALSE)</f>
        <v>#N/A</v>
      </c>
      <c r="AF5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8" spans="1:32" ht="18.75" customHeight="1">
      <c r="A548" s="2" t="str">
        <f>IFERROR(IF('PREENCHER AQUI'!A548="","",'PREENCHER AQUI'!A548),"")</f>
        <v/>
      </c>
      <c r="B548" s="1" t="str">
        <f>IFERROR(IF('PREENCHER AQUI'!B548="","",PROPER('PREENCHER AQUI'!B548)),"")</f>
        <v/>
      </c>
      <c r="C548" s="1" t="str">
        <f>IFERROR(IF('PREENCHER AQUI'!C548="","",'PREENCHER AQUI'!C548),"")</f>
        <v/>
      </c>
      <c r="D548" s="2" t="str">
        <f>IFERROR(IF('PREENCHER AQUI'!D548="","",'PREENCHER AQUI'!D548),"")</f>
        <v/>
      </c>
      <c r="E548" s="2" t="str">
        <f>IFERROR(VLOOKUP(CONCATENATE(C548,D548),qdd!$C$2:$F$1000,2,FALSE),"")</f>
        <v/>
      </c>
      <c r="F548" s="2" t="str">
        <f>IFERROR(VLOOKUP(CONCATENATE(C548,D548),qdd!$C$2:$F$1000,3,FALSE),"")</f>
        <v/>
      </c>
      <c r="G548" s="2" t="str">
        <f>IFERROR(VLOOKUP(CONCATENATE(C548,D548),qdd!$C$2:$F$1000,4,FALSE),"")</f>
        <v/>
      </c>
      <c r="H548" s="6" t="str">
        <f t="shared" si="18"/>
        <v/>
      </c>
      <c r="I5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8" s="2" t="str">
        <f>IFERROR(IF('PREENCHER AQUI'!E548="","",'PREENCHER AQUI'!E548),"")</f>
        <v/>
      </c>
      <c r="K548" s="2" t="str">
        <f>IFERROR(IF('PREENCHER AQUI'!F548="","",'PREENCHER AQUI'!F548),"")</f>
        <v/>
      </c>
      <c r="L548" s="2" t="str">
        <f>IF(Tabela1[[#This Row],[IPU_COD]]=9,"91",IF(Tabela1[[#This Row],[ACAO_COD]]="","",VLOOKUP(CONCATENATE("G",J548,"M",K548),qdd!$BC$2:$BD$46,2,FALSE)))</f>
        <v/>
      </c>
      <c r="M548" s="2" t="str">
        <f>TEXT(IFERROR(VLOOKUP(CONCATENATE(C548,D548),qdd!$C$2:$G$1000,5,FALSE),""),0)</f>
        <v/>
      </c>
      <c r="N548" s="2" t="str">
        <f>IFERROR(IF('PREENCHER AQUI'!I548="","",'PREENCHER AQUI'!I548),"")</f>
        <v/>
      </c>
      <c r="O548" s="2" t="str">
        <f>IFERROR(IF('PREENCHER AQUI'!J548="","",'PREENCHER AQUI'!J548),"")</f>
        <v/>
      </c>
      <c r="P548" s="7" t="str">
        <f t="shared" si="19"/>
        <v/>
      </c>
      <c r="Q548" s="8" t="str">
        <f>IFERROR(IF(Tabela4[[#This Row],[VALOR]]="","",IF(Tabela1[[#This Row],[ORIENTACAO]]="Anular",'PREENCHER AQUI'!K548*-1*100,'PREENCHER AQUI'!K548*100)),"")</f>
        <v/>
      </c>
      <c r="T548" s="7" t="str">
        <f>IFERROR(IF('PREENCHER AQUI'!L548="","999",LEFT('PREENCHER AQUI'!L548,1)),"")</f>
        <v>999</v>
      </c>
      <c r="V548" s="19"/>
      <c r="W548" s="1" t="str">
        <f>IFERROR(VLOOKUP(Tabela1[[#This Row],[UO_COD]],qdd!$AT$1:$AU$102,2,FALSE),"")</f>
        <v/>
      </c>
      <c r="X548" s="1" t="str">
        <f>CONCATENATE("F",Tabela1[[#This Row],[FONTE_COD]],Tabela1[[#This Row],[IPU_COD]],"G",Tabela1[[#This Row],[GRUPO_COD]],"T",Tabela1[[#This Row],[TIPO]])</f>
        <v>FGT999</v>
      </c>
      <c r="Y5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8" s="19"/>
      <c r="AA548" s="29" t="str">
        <f>IFERROR(VLOOKUP(CONCATENATE("B",Tabela1[[#This Row],[BLOCO]],Tabela1[[#This Row],[UO_COD]]),qdd!$AW$2:$AX$1000,2,FALSE),"")</f>
        <v/>
      </c>
      <c r="AB548" s="30" t="str">
        <f>IFERROR(Tabela1[[#This Row],[VALOR]]/100,"")</f>
        <v/>
      </c>
      <c r="AC548" s="7" t="str" cm="1">
        <f t="array" aca="1" ref="AC548" ca="1">IF(Tabela1[[#This Row],[VALOR]]&lt;0,"",IFERROR(SUBSTITUTE(Converter_numero(Tabela1[[#This Row],[VALOR INCISO]]),",",""),""))</f>
        <v/>
      </c>
      <c r="AD548" s="29" t="str">
        <f>IF(Tabela1[[#This Row],[TIPO]]=REGRAS!$W$2,REGRAS!$X$2,IF(Tabela1[[#This Row],[TIPO]]=REGRAS!$W$4,REGRAS!$X$4,""))</f>
        <v/>
      </c>
      <c r="AE548" s="29" t="e">
        <f>VLOOKUP(Tabela1[[#This Row],[FONTE_COD]],REGRAS!$O$2:$P$69,2,FALSE)</f>
        <v>#N/A</v>
      </c>
      <c r="AF5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9" spans="1:32" ht="18.75" customHeight="1">
      <c r="A549" s="2" t="str">
        <f>IFERROR(IF('PREENCHER AQUI'!A549="","",'PREENCHER AQUI'!A549),"")</f>
        <v/>
      </c>
      <c r="B549" s="1" t="str">
        <f>IFERROR(IF('PREENCHER AQUI'!B549="","",PROPER('PREENCHER AQUI'!B549)),"")</f>
        <v/>
      </c>
      <c r="C549" s="1" t="str">
        <f>IFERROR(IF('PREENCHER AQUI'!C549="","",'PREENCHER AQUI'!C549),"")</f>
        <v/>
      </c>
      <c r="D549" s="2" t="str">
        <f>IFERROR(IF('PREENCHER AQUI'!D549="","",'PREENCHER AQUI'!D549),"")</f>
        <v/>
      </c>
      <c r="E549" s="2" t="str">
        <f>IFERROR(VLOOKUP(CONCATENATE(C549,D549),qdd!$C$2:$F$1000,2,FALSE),"")</f>
        <v/>
      </c>
      <c r="F549" s="2" t="str">
        <f>IFERROR(VLOOKUP(CONCATENATE(C549,D549),qdd!$C$2:$F$1000,3,FALSE),"")</f>
        <v/>
      </c>
      <c r="G549" s="2" t="str">
        <f>IFERROR(VLOOKUP(CONCATENATE(C549,D549),qdd!$C$2:$F$1000,4,FALSE),"")</f>
        <v/>
      </c>
      <c r="H549" s="6" t="str">
        <f t="shared" si="18"/>
        <v/>
      </c>
      <c r="I5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9" s="2" t="str">
        <f>IFERROR(IF('PREENCHER AQUI'!E549="","",'PREENCHER AQUI'!E549),"")</f>
        <v/>
      </c>
      <c r="K549" s="2" t="str">
        <f>IFERROR(IF('PREENCHER AQUI'!F549="","",'PREENCHER AQUI'!F549),"")</f>
        <v/>
      </c>
      <c r="L549" s="2" t="str">
        <f>IF(Tabela1[[#This Row],[IPU_COD]]=9,"91",IF(Tabela1[[#This Row],[ACAO_COD]]="","",VLOOKUP(CONCATENATE("G",J549,"M",K549),qdd!$BC$2:$BD$46,2,FALSE)))</f>
        <v/>
      </c>
      <c r="M549" s="2" t="str">
        <f>TEXT(IFERROR(VLOOKUP(CONCATENATE(C549,D549),qdd!$C$2:$G$1000,5,FALSE),""),0)</f>
        <v/>
      </c>
      <c r="N549" s="2" t="str">
        <f>IFERROR(IF('PREENCHER AQUI'!I549="","",'PREENCHER AQUI'!I549),"")</f>
        <v/>
      </c>
      <c r="O549" s="2" t="str">
        <f>IFERROR(IF('PREENCHER AQUI'!J549="","",'PREENCHER AQUI'!J549),"")</f>
        <v/>
      </c>
      <c r="P549" s="7" t="str">
        <f t="shared" si="19"/>
        <v/>
      </c>
      <c r="Q549" s="8" t="str">
        <f>IFERROR(IF(Tabela4[[#This Row],[VALOR]]="","",IF(Tabela1[[#This Row],[ORIENTACAO]]="Anular",'PREENCHER AQUI'!K549*-1*100,'PREENCHER AQUI'!K549*100)),"")</f>
        <v/>
      </c>
      <c r="T549" s="7" t="str">
        <f>IFERROR(IF('PREENCHER AQUI'!L549="","999",LEFT('PREENCHER AQUI'!L549,1)),"")</f>
        <v>999</v>
      </c>
      <c r="V549" s="19"/>
      <c r="W549" s="1" t="str">
        <f>IFERROR(VLOOKUP(Tabela1[[#This Row],[UO_COD]],qdd!$AT$1:$AU$102,2,FALSE),"")</f>
        <v/>
      </c>
      <c r="X549" s="1" t="str">
        <f>CONCATENATE("F",Tabela1[[#This Row],[FONTE_COD]],Tabela1[[#This Row],[IPU_COD]],"G",Tabela1[[#This Row],[GRUPO_COD]],"T",Tabela1[[#This Row],[TIPO]])</f>
        <v>FGT999</v>
      </c>
      <c r="Y5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9" s="19"/>
      <c r="AA549" s="29" t="str">
        <f>IFERROR(VLOOKUP(CONCATENATE("B",Tabela1[[#This Row],[BLOCO]],Tabela1[[#This Row],[UO_COD]]),qdd!$AW$2:$AX$1000,2,FALSE),"")</f>
        <v/>
      </c>
      <c r="AB549" s="30" t="str">
        <f>IFERROR(Tabela1[[#This Row],[VALOR]]/100,"")</f>
        <v/>
      </c>
      <c r="AC549" s="7" t="str" cm="1">
        <f t="array" aca="1" ref="AC549" ca="1">IF(Tabela1[[#This Row],[VALOR]]&lt;0,"",IFERROR(SUBSTITUTE(Converter_numero(Tabela1[[#This Row],[VALOR INCISO]]),",",""),""))</f>
        <v/>
      </c>
      <c r="AD549" s="29" t="str">
        <f>IF(Tabela1[[#This Row],[TIPO]]=REGRAS!$W$2,REGRAS!$X$2,IF(Tabela1[[#This Row],[TIPO]]=REGRAS!$W$4,REGRAS!$X$4,""))</f>
        <v/>
      </c>
      <c r="AE549" s="29" t="e">
        <f>VLOOKUP(Tabela1[[#This Row],[FONTE_COD]],REGRAS!$O$2:$P$69,2,FALSE)</f>
        <v>#N/A</v>
      </c>
      <c r="AF5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0" spans="1:32" ht="18.75" customHeight="1">
      <c r="A550" s="2" t="str">
        <f>IFERROR(IF('PREENCHER AQUI'!A550="","",'PREENCHER AQUI'!A550),"")</f>
        <v/>
      </c>
      <c r="B550" s="1" t="str">
        <f>IFERROR(IF('PREENCHER AQUI'!B550="","",PROPER('PREENCHER AQUI'!B550)),"")</f>
        <v/>
      </c>
      <c r="C550" s="1" t="str">
        <f>IFERROR(IF('PREENCHER AQUI'!C550="","",'PREENCHER AQUI'!C550),"")</f>
        <v/>
      </c>
      <c r="D550" s="2" t="str">
        <f>IFERROR(IF('PREENCHER AQUI'!D550="","",'PREENCHER AQUI'!D550),"")</f>
        <v/>
      </c>
      <c r="E550" s="2" t="str">
        <f>IFERROR(VLOOKUP(CONCATENATE(C550,D550),qdd!$C$2:$F$1000,2,FALSE),"")</f>
        <v/>
      </c>
      <c r="F550" s="2" t="str">
        <f>IFERROR(VLOOKUP(CONCATENATE(C550,D550),qdd!$C$2:$F$1000,3,FALSE),"")</f>
        <v/>
      </c>
      <c r="G550" s="2" t="str">
        <f>IFERROR(VLOOKUP(CONCATENATE(C550,D550),qdd!$C$2:$F$1000,4,FALSE),"")</f>
        <v/>
      </c>
      <c r="H550" s="6" t="str">
        <f t="shared" si="18"/>
        <v/>
      </c>
      <c r="I5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0" s="2" t="str">
        <f>IFERROR(IF('PREENCHER AQUI'!E550="","",'PREENCHER AQUI'!E550),"")</f>
        <v/>
      </c>
      <c r="K550" s="2" t="str">
        <f>IFERROR(IF('PREENCHER AQUI'!F550="","",'PREENCHER AQUI'!F550),"")</f>
        <v/>
      </c>
      <c r="L550" s="2" t="str">
        <f>IF(Tabela1[[#This Row],[IPU_COD]]=9,"91",IF(Tabela1[[#This Row],[ACAO_COD]]="","",VLOOKUP(CONCATENATE("G",J550,"M",K550),qdd!$BC$2:$BD$46,2,FALSE)))</f>
        <v/>
      </c>
      <c r="M550" s="2" t="str">
        <f>TEXT(IFERROR(VLOOKUP(CONCATENATE(C550,D550),qdd!$C$2:$G$1000,5,FALSE),""),0)</f>
        <v/>
      </c>
      <c r="N550" s="2" t="str">
        <f>IFERROR(IF('PREENCHER AQUI'!I550="","",'PREENCHER AQUI'!I550),"")</f>
        <v/>
      </c>
      <c r="O550" s="2" t="str">
        <f>IFERROR(IF('PREENCHER AQUI'!J550="","",'PREENCHER AQUI'!J550),"")</f>
        <v/>
      </c>
      <c r="P550" s="7" t="str">
        <f t="shared" si="19"/>
        <v/>
      </c>
      <c r="Q550" s="8" t="str">
        <f>IFERROR(IF(Tabela4[[#This Row],[VALOR]]="","",IF(Tabela1[[#This Row],[ORIENTACAO]]="Anular",'PREENCHER AQUI'!K550*-1*100,'PREENCHER AQUI'!K550*100)),"")</f>
        <v/>
      </c>
      <c r="T550" s="7" t="str">
        <f>IFERROR(IF('PREENCHER AQUI'!L550="","999",LEFT('PREENCHER AQUI'!L550,1)),"")</f>
        <v>999</v>
      </c>
      <c r="V550" s="19"/>
      <c r="W550" s="20" t="str">
        <f>IFERROR(VLOOKUP(Tabela1[[#This Row],[UO_COD]],qdd!$AT$1:$AU$102,2,FALSE),"")</f>
        <v/>
      </c>
      <c r="X550" s="20" t="str">
        <f>CONCATENATE("F",Tabela1[[#This Row],[FONTE_COD]],Tabela1[[#This Row],[IPU_COD]],"G",Tabela1[[#This Row],[GRUPO_COD]],"T",Tabela1[[#This Row],[TIPO]])</f>
        <v>FGT999</v>
      </c>
      <c r="Y5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0" s="19"/>
      <c r="AA550" s="29" t="str">
        <f>IFERROR(VLOOKUP(CONCATENATE("B",Tabela1[[#This Row],[BLOCO]],Tabela1[[#This Row],[UO_COD]]),qdd!$AW$2:$AX$1000,2,FALSE),"")</f>
        <v/>
      </c>
      <c r="AB550" s="30" t="str">
        <f>IFERROR(Tabela1[[#This Row],[VALOR]]/100,"")</f>
        <v/>
      </c>
      <c r="AC550" s="7" t="str" cm="1">
        <f t="array" aca="1" ref="AC550" ca="1">IF(Tabela1[[#This Row],[VALOR]]&lt;0,"",IFERROR(SUBSTITUTE(Converter_numero(Tabela1[[#This Row],[VALOR INCISO]]),",",""),""))</f>
        <v/>
      </c>
      <c r="AD550" s="29" t="str">
        <f>IF(Tabela1[[#This Row],[TIPO]]=REGRAS!$W$2,REGRAS!$X$2,IF(Tabela1[[#This Row],[TIPO]]=REGRAS!$W$4,REGRAS!$X$4,""))</f>
        <v/>
      </c>
      <c r="AE550" s="29" t="e">
        <f>VLOOKUP(Tabela1[[#This Row],[FONTE_COD]],REGRAS!$O$2:$P$69,2,FALSE)</f>
        <v>#N/A</v>
      </c>
      <c r="AF5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1" spans="1:32" ht="18.75" customHeight="1">
      <c r="A551" s="2" t="str">
        <f>IFERROR(IF('PREENCHER AQUI'!A551="","",'PREENCHER AQUI'!A551),"")</f>
        <v/>
      </c>
      <c r="B551" s="1" t="str">
        <f>IFERROR(IF('PREENCHER AQUI'!B551="","",PROPER('PREENCHER AQUI'!B551)),"")</f>
        <v/>
      </c>
      <c r="C551" s="1" t="str">
        <f>IFERROR(IF('PREENCHER AQUI'!C551="","",'PREENCHER AQUI'!C551),"")</f>
        <v/>
      </c>
      <c r="D551" s="2" t="str">
        <f>IFERROR(IF('PREENCHER AQUI'!D551="","",'PREENCHER AQUI'!D551),"")</f>
        <v/>
      </c>
      <c r="E551" s="2" t="str">
        <f>IFERROR(VLOOKUP(CONCATENATE(C551,D551),qdd!$C$2:$F$1000,2,FALSE),"")</f>
        <v/>
      </c>
      <c r="F551" s="2" t="str">
        <f>IFERROR(VLOOKUP(CONCATENATE(C551,D551),qdd!$C$2:$F$1000,3,FALSE),"")</f>
        <v/>
      </c>
      <c r="G551" s="2" t="str">
        <f>IFERROR(VLOOKUP(CONCATENATE(C551,D551),qdd!$C$2:$F$1000,4,FALSE),"")</f>
        <v/>
      </c>
      <c r="H551" s="6" t="str">
        <f t="shared" si="18"/>
        <v/>
      </c>
      <c r="I5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1" s="2" t="str">
        <f>IFERROR(IF('PREENCHER AQUI'!E551="","",'PREENCHER AQUI'!E551),"")</f>
        <v/>
      </c>
      <c r="K551" s="2" t="str">
        <f>IFERROR(IF('PREENCHER AQUI'!F551="","",'PREENCHER AQUI'!F551),"")</f>
        <v/>
      </c>
      <c r="L551" s="2" t="str">
        <f>IF(Tabela1[[#This Row],[IPU_COD]]=9,"91",IF(Tabela1[[#This Row],[ACAO_COD]]="","",VLOOKUP(CONCATENATE("G",J551,"M",K551),qdd!$BC$2:$BD$46,2,FALSE)))</f>
        <v/>
      </c>
      <c r="M551" s="2" t="str">
        <f>TEXT(IFERROR(VLOOKUP(CONCATENATE(C551,D551),qdd!$C$2:$G$1000,5,FALSE),""),0)</f>
        <v/>
      </c>
      <c r="N551" s="2" t="str">
        <f>IFERROR(IF('PREENCHER AQUI'!I551="","",'PREENCHER AQUI'!I551),"")</f>
        <v/>
      </c>
      <c r="O551" s="2" t="str">
        <f>IFERROR(IF('PREENCHER AQUI'!J551="","",'PREENCHER AQUI'!J551),"")</f>
        <v/>
      </c>
      <c r="P551" s="7" t="str">
        <f t="shared" si="19"/>
        <v/>
      </c>
      <c r="Q551" s="8" t="str">
        <f>IFERROR(IF(Tabela4[[#This Row],[VALOR]]="","",IF(Tabela1[[#This Row],[ORIENTACAO]]="Anular",'PREENCHER AQUI'!K551*-1*100,'PREENCHER AQUI'!K551*100)),"")</f>
        <v/>
      </c>
      <c r="T551" s="7" t="str">
        <f>IFERROR(IF('PREENCHER AQUI'!L551="","999",LEFT('PREENCHER AQUI'!L551,1)),"")</f>
        <v>999</v>
      </c>
      <c r="V551" s="19"/>
      <c r="W551" s="1" t="str">
        <f>IFERROR(VLOOKUP(Tabela1[[#This Row],[UO_COD]],qdd!$AT$1:$AU$102,2,FALSE),"")</f>
        <v/>
      </c>
      <c r="X551" s="1" t="str">
        <f>CONCATENATE("F",Tabela1[[#This Row],[FONTE_COD]],Tabela1[[#This Row],[IPU_COD]],"G",Tabela1[[#This Row],[GRUPO_COD]],"T",Tabela1[[#This Row],[TIPO]])</f>
        <v>FGT999</v>
      </c>
      <c r="Y5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1" s="19"/>
      <c r="AA551" s="29" t="str">
        <f>IFERROR(VLOOKUP(CONCATENATE("B",Tabela1[[#This Row],[BLOCO]],Tabela1[[#This Row],[UO_COD]]),qdd!$AW$2:$AX$1000,2,FALSE),"")</f>
        <v/>
      </c>
      <c r="AB551" s="30" t="str">
        <f>IFERROR(Tabela1[[#This Row],[VALOR]]/100,"")</f>
        <v/>
      </c>
      <c r="AC551" s="7" t="str" cm="1">
        <f t="array" aca="1" ref="AC551" ca="1">IF(Tabela1[[#This Row],[VALOR]]&lt;0,"",IFERROR(SUBSTITUTE(Converter_numero(Tabela1[[#This Row],[VALOR INCISO]]),",",""),""))</f>
        <v/>
      </c>
      <c r="AD551" s="29" t="str">
        <f>IF(Tabela1[[#This Row],[TIPO]]=REGRAS!$W$2,REGRAS!$X$2,IF(Tabela1[[#This Row],[TIPO]]=REGRAS!$W$4,REGRAS!$X$4,""))</f>
        <v/>
      </c>
      <c r="AE551" s="29" t="e">
        <f>VLOOKUP(Tabela1[[#This Row],[FONTE_COD]],REGRAS!$O$2:$P$69,2,FALSE)</f>
        <v>#N/A</v>
      </c>
      <c r="AF5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2" spans="1:32" ht="18.75" customHeight="1">
      <c r="A552" s="2" t="str">
        <f>IFERROR(IF('PREENCHER AQUI'!A552="","",'PREENCHER AQUI'!A552),"")</f>
        <v/>
      </c>
      <c r="B552" s="1" t="str">
        <f>IFERROR(IF('PREENCHER AQUI'!B552="","",PROPER('PREENCHER AQUI'!B552)),"")</f>
        <v/>
      </c>
      <c r="C552" s="1" t="str">
        <f>IFERROR(IF('PREENCHER AQUI'!C552="","",'PREENCHER AQUI'!C552),"")</f>
        <v/>
      </c>
      <c r="D552" s="2" t="str">
        <f>IFERROR(IF('PREENCHER AQUI'!D552="","",'PREENCHER AQUI'!D552),"")</f>
        <v/>
      </c>
      <c r="E552" s="2" t="str">
        <f>IFERROR(VLOOKUP(CONCATENATE(C552,D552),qdd!$C$2:$F$1000,2,FALSE),"")</f>
        <v/>
      </c>
      <c r="F552" s="2" t="str">
        <f>IFERROR(VLOOKUP(CONCATENATE(C552,D552),qdd!$C$2:$F$1000,3,FALSE),"")</f>
        <v/>
      </c>
      <c r="G552" s="2" t="str">
        <f>IFERROR(VLOOKUP(CONCATENATE(C552,D552),qdd!$C$2:$F$1000,4,FALSE),"")</f>
        <v/>
      </c>
      <c r="H552" s="6" t="str">
        <f t="shared" si="18"/>
        <v/>
      </c>
      <c r="I5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2" s="2" t="str">
        <f>IFERROR(IF('PREENCHER AQUI'!E552="","",'PREENCHER AQUI'!E552),"")</f>
        <v/>
      </c>
      <c r="K552" s="2" t="str">
        <f>IFERROR(IF('PREENCHER AQUI'!F552="","",'PREENCHER AQUI'!F552),"")</f>
        <v/>
      </c>
      <c r="L552" s="2" t="str">
        <f>IF(Tabela1[[#This Row],[IPU_COD]]=9,"91",IF(Tabela1[[#This Row],[ACAO_COD]]="","",VLOOKUP(CONCATENATE("G",J552,"M",K552),qdd!$BC$2:$BD$46,2,FALSE)))</f>
        <v/>
      </c>
      <c r="M552" s="2" t="str">
        <f>TEXT(IFERROR(VLOOKUP(CONCATENATE(C552,D552),qdd!$C$2:$G$1000,5,FALSE),""),0)</f>
        <v/>
      </c>
      <c r="N552" s="2" t="str">
        <f>IFERROR(IF('PREENCHER AQUI'!I552="","",'PREENCHER AQUI'!I552),"")</f>
        <v/>
      </c>
      <c r="O552" s="2" t="str">
        <f>IFERROR(IF('PREENCHER AQUI'!J552="","",'PREENCHER AQUI'!J552),"")</f>
        <v/>
      </c>
      <c r="P552" s="7" t="str">
        <f t="shared" si="19"/>
        <v/>
      </c>
      <c r="Q552" s="8" t="str">
        <f>IFERROR(IF(Tabela4[[#This Row],[VALOR]]="","",IF(Tabela1[[#This Row],[ORIENTACAO]]="Anular",'PREENCHER AQUI'!K552*-1*100,'PREENCHER AQUI'!K552*100)),"")</f>
        <v/>
      </c>
      <c r="T552" s="7" t="str">
        <f>IFERROR(IF('PREENCHER AQUI'!L552="","999",LEFT('PREENCHER AQUI'!L552,1)),"")</f>
        <v>999</v>
      </c>
      <c r="W552" s="1" t="str">
        <f>IFERROR(VLOOKUP(Tabela1[[#This Row],[UO_COD]],qdd!$AT$1:$AU$102,2,FALSE),"")</f>
        <v/>
      </c>
      <c r="X552" s="1" t="str">
        <f>CONCATENATE("F",Tabela1[[#This Row],[FONTE_COD]],Tabela1[[#This Row],[IPU_COD]],"G",Tabela1[[#This Row],[GRUPO_COD]],"T",Tabela1[[#This Row],[TIPO]])</f>
        <v>FGT999</v>
      </c>
      <c r="Y5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2" s="19"/>
      <c r="AA552" s="29" t="str">
        <f>IFERROR(VLOOKUP(CONCATENATE("B",Tabela1[[#This Row],[BLOCO]],Tabela1[[#This Row],[UO_COD]]),qdd!$AW$2:$AX$1000,2,FALSE),"")</f>
        <v/>
      </c>
      <c r="AB552" s="30" t="str">
        <f>IFERROR(Tabela1[[#This Row],[VALOR]]/100,"")</f>
        <v/>
      </c>
      <c r="AC552" s="7" t="str" cm="1">
        <f t="array" aca="1" ref="AC552" ca="1">IF(Tabela1[[#This Row],[VALOR]]&lt;0,"",IFERROR(SUBSTITUTE(Converter_numero(Tabela1[[#This Row],[VALOR INCISO]]),",",""),""))</f>
        <v/>
      </c>
      <c r="AD552" s="7" t="str">
        <f>IF(Tabela1[[#This Row],[TIPO]]=REGRAS!$W$2,REGRAS!$X$2,IF(Tabela1[[#This Row],[TIPO]]=REGRAS!$W$4,REGRAS!$X$4,""))</f>
        <v/>
      </c>
      <c r="AE552" s="29" t="e">
        <f>VLOOKUP(Tabela1[[#This Row],[FONTE_COD]],REGRAS!$O$2:$P$69,2,FALSE)</f>
        <v>#N/A</v>
      </c>
      <c r="AF5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3" spans="1:32" ht="18.75" customHeight="1">
      <c r="A553" s="2" t="str">
        <f>IFERROR(IF('PREENCHER AQUI'!A553="","",'PREENCHER AQUI'!A553),"")</f>
        <v/>
      </c>
      <c r="B553" s="1" t="str">
        <f>IFERROR(IF('PREENCHER AQUI'!B553="","",PROPER('PREENCHER AQUI'!B553)),"")</f>
        <v/>
      </c>
      <c r="C553" s="1" t="str">
        <f>IFERROR(IF('PREENCHER AQUI'!C553="","",'PREENCHER AQUI'!C553),"")</f>
        <v/>
      </c>
      <c r="D553" s="2" t="str">
        <f>IFERROR(IF('PREENCHER AQUI'!D553="","",'PREENCHER AQUI'!D553),"")</f>
        <v/>
      </c>
      <c r="E553" s="2" t="str">
        <f>IFERROR(VLOOKUP(CONCATENATE(C553,D553),qdd!$C$2:$F$1000,2,FALSE),"")</f>
        <v/>
      </c>
      <c r="F553" s="2" t="str">
        <f>IFERROR(VLOOKUP(CONCATENATE(C553,D553),qdd!$C$2:$F$1000,3,FALSE),"")</f>
        <v/>
      </c>
      <c r="G553" s="2" t="str">
        <f>IFERROR(VLOOKUP(CONCATENATE(C553,D553),qdd!$C$2:$F$1000,4,FALSE),"")</f>
        <v/>
      </c>
      <c r="H553" s="6" t="str">
        <f t="shared" si="18"/>
        <v/>
      </c>
      <c r="I5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3" s="2" t="str">
        <f>IFERROR(IF('PREENCHER AQUI'!E553="","",'PREENCHER AQUI'!E553),"")</f>
        <v/>
      </c>
      <c r="K553" s="2" t="str">
        <f>IFERROR(IF('PREENCHER AQUI'!F553="","",'PREENCHER AQUI'!F553),"")</f>
        <v/>
      </c>
      <c r="L553" s="2" t="str">
        <f>IF(Tabela1[[#This Row],[IPU_COD]]=9,"91",IF(Tabela1[[#This Row],[ACAO_COD]]="","",VLOOKUP(CONCATENATE("G",J553,"M",K553),qdd!$BC$2:$BD$46,2,FALSE)))</f>
        <v/>
      </c>
      <c r="M553" s="2" t="str">
        <f>TEXT(IFERROR(VLOOKUP(CONCATENATE(C553,D553),qdd!$C$2:$G$1000,5,FALSE),""),0)</f>
        <v/>
      </c>
      <c r="N553" s="2" t="str">
        <f>IFERROR(IF('PREENCHER AQUI'!I553="","",'PREENCHER AQUI'!I553),"")</f>
        <v/>
      </c>
      <c r="O553" s="2" t="str">
        <f>IFERROR(IF('PREENCHER AQUI'!J553="","",'PREENCHER AQUI'!J553),"")</f>
        <v/>
      </c>
      <c r="P553" s="7" t="str">
        <f t="shared" si="19"/>
        <v/>
      </c>
      <c r="Q553" s="8" t="str">
        <f>IFERROR(IF(Tabela4[[#This Row],[VALOR]]="","",IF(Tabela1[[#This Row],[ORIENTACAO]]="Anular",'PREENCHER AQUI'!K553*-1*100,'PREENCHER AQUI'!K553*100)),"")</f>
        <v/>
      </c>
      <c r="T553" s="7" t="str">
        <f>IFERROR(IF('PREENCHER AQUI'!L553="","999",LEFT('PREENCHER AQUI'!L553,1)),"")</f>
        <v>999</v>
      </c>
      <c r="V553" s="19"/>
      <c r="W553" s="1" t="str">
        <f>IFERROR(VLOOKUP(Tabela1[[#This Row],[UO_COD]],qdd!$AT$1:$AU$102,2,FALSE),"")</f>
        <v/>
      </c>
      <c r="X553" s="1" t="str">
        <f>CONCATENATE("F",Tabela1[[#This Row],[FONTE_COD]],Tabela1[[#This Row],[IPU_COD]],"G",Tabela1[[#This Row],[GRUPO_COD]],"T",Tabela1[[#This Row],[TIPO]])</f>
        <v>FGT999</v>
      </c>
      <c r="Y5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3" s="19"/>
      <c r="AA553" s="29" t="str">
        <f>IFERROR(VLOOKUP(CONCATENATE("B",Tabela1[[#This Row],[BLOCO]],Tabela1[[#This Row],[UO_COD]]),qdd!$AW$2:$AX$1000,2,FALSE),"")</f>
        <v/>
      </c>
      <c r="AB553" s="30" t="str">
        <f>IFERROR(Tabela1[[#This Row],[VALOR]]/100,"")</f>
        <v/>
      </c>
      <c r="AC553" s="7" t="str" cm="1">
        <f t="array" aca="1" ref="AC553" ca="1">IF(Tabela1[[#This Row],[VALOR]]&lt;0,"",IFERROR(SUBSTITUTE(Converter_numero(Tabela1[[#This Row],[VALOR INCISO]]),",",""),""))</f>
        <v/>
      </c>
      <c r="AD553" s="29" t="str">
        <f>IF(Tabela1[[#This Row],[TIPO]]=REGRAS!$W$2,REGRAS!$X$2,IF(Tabela1[[#This Row],[TIPO]]=REGRAS!$W$4,REGRAS!$X$4,""))</f>
        <v/>
      </c>
      <c r="AE553" s="29" t="e">
        <f>VLOOKUP(Tabela1[[#This Row],[FONTE_COD]],REGRAS!$O$2:$P$69,2,FALSE)</f>
        <v>#N/A</v>
      </c>
      <c r="AF5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4" spans="1:32" ht="18.75" customHeight="1">
      <c r="A554" s="2" t="str">
        <f>IFERROR(IF('PREENCHER AQUI'!A554="","",'PREENCHER AQUI'!A554),"")</f>
        <v/>
      </c>
      <c r="B554" s="1" t="str">
        <f>IFERROR(IF('PREENCHER AQUI'!B554="","",PROPER('PREENCHER AQUI'!B554)),"")</f>
        <v/>
      </c>
      <c r="C554" s="1" t="str">
        <f>IFERROR(IF('PREENCHER AQUI'!C554="","",'PREENCHER AQUI'!C554),"")</f>
        <v/>
      </c>
      <c r="D554" s="2" t="str">
        <f>IFERROR(IF('PREENCHER AQUI'!D554="","",'PREENCHER AQUI'!D554),"")</f>
        <v/>
      </c>
      <c r="E554" s="2" t="str">
        <f>IFERROR(VLOOKUP(CONCATENATE(C554,D554),qdd!$C$2:$F$1000,2,FALSE),"")</f>
        <v/>
      </c>
      <c r="F554" s="2" t="str">
        <f>IFERROR(VLOOKUP(CONCATENATE(C554,D554),qdd!$C$2:$F$1000,3,FALSE),"")</f>
        <v/>
      </c>
      <c r="G554" s="2" t="str">
        <f>IFERROR(VLOOKUP(CONCATENATE(C554,D554),qdd!$C$2:$F$1000,4,FALSE),"")</f>
        <v/>
      </c>
      <c r="H554" s="6" t="str">
        <f t="shared" si="18"/>
        <v/>
      </c>
      <c r="I5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4" s="2" t="str">
        <f>IFERROR(IF('PREENCHER AQUI'!E554="","",'PREENCHER AQUI'!E554),"")</f>
        <v/>
      </c>
      <c r="K554" s="2" t="str">
        <f>IFERROR(IF('PREENCHER AQUI'!F554="","",'PREENCHER AQUI'!F554),"")</f>
        <v/>
      </c>
      <c r="L554" s="2" t="str">
        <f>IF(Tabela1[[#This Row],[IPU_COD]]=9,"91",IF(Tabela1[[#This Row],[ACAO_COD]]="","",VLOOKUP(CONCATENATE("G",J554,"M",K554),qdd!$BC$2:$BD$46,2,FALSE)))</f>
        <v/>
      </c>
      <c r="M554" s="2" t="str">
        <f>TEXT(IFERROR(VLOOKUP(CONCATENATE(C554,D554),qdd!$C$2:$G$1000,5,FALSE),""),0)</f>
        <v/>
      </c>
      <c r="N554" s="2" t="str">
        <f>IFERROR(IF('PREENCHER AQUI'!I554="","",'PREENCHER AQUI'!I554),"")</f>
        <v/>
      </c>
      <c r="O554" s="2" t="str">
        <f>IFERROR(IF('PREENCHER AQUI'!J554="","",'PREENCHER AQUI'!J554),"")</f>
        <v/>
      </c>
      <c r="P554" s="7" t="str">
        <f t="shared" si="19"/>
        <v/>
      </c>
      <c r="Q554" s="8" t="str">
        <f>IFERROR(IF(Tabela4[[#This Row],[VALOR]]="","",IF(Tabela1[[#This Row],[ORIENTACAO]]="Anular",'PREENCHER AQUI'!K554*-1*100,'PREENCHER AQUI'!K554*100)),"")</f>
        <v/>
      </c>
      <c r="T554" s="7" t="str">
        <f>IFERROR(IF('PREENCHER AQUI'!L554="","999",LEFT('PREENCHER AQUI'!L554,1)),"")</f>
        <v>999</v>
      </c>
      <c r="V554" s="19"/>
      <c r="W554" s="1" t="str">
        <f>IFERROR(VLOOKUP(Tabela1[[#This Row],[UO_COD]],qdd!$AT$1:$AU$102,2,FALSE),"")</f>
        <v/>
      </c>
      <c r="X554" s="1" t="str">
        <f>CONCATENATE("F",Tabela1[[#This Row],[FONTE_COD]],Tabela1[[#This Row],[IPU_COD]],"G",Tabela1[[#This Row],[GRUPO_COD]],"T",Tabela1[[#This Row],[TIPO]])</f>
        <v>FGT999</v>
      </c>
      <c r="Y5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4" s="19"/>
      <c r="AA554" s="29" t="str">
        <f>IFERROR(VLOOKUP(CONCATENATE("B",Tabela1[[#This Row],[BLOCO]],Tabela1[[#This Row],[UO_COD]]),qdd!$AW$2:$AX$1000,2,FALSE),"")</f>
        <v/>
      </c>
      <c r="AB554" s="30" t="str">
        <f>IFERROR(Tabela1[[#This Row],[VALOR]]/100,"")</f>
        <v/>
      </c>
      <c r="AC554" s="7" t="str" cm="1">
        <f t="array" aca="1" ref="AC554" ca="1">IF(Tabela1[[#This Row],[VALOR]]&lt;0,"",IFERROR(SUBSTITUTE(Converter_numero(Tabela1[[#This Row],[VALOR INCISO]]),",",""),""))</f>
        <v/>
      </c>
      <c r="AD554" s="29" t="str">
        <f>IF(Tabela1[[#This Row],[TIPO]]=REGRAS!$W$2,REGRAS!$X$2,IF(Tabela1[[#This Row],[TIPO]]=REGRAS!$W$4,REGRAS!$X$4,""))</f>
        <v/>
      </c>
      <c r="AE554" s="29" t="e">
        <f>VLOOKUP(Tabela1[[#This Row],[FONTE_COD]],REGRAS!$O$2:$P$69,2,FALSE)</f>
        <v>#N/A</v>
      </c>
      <c r="AF5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5" spans="1:32" ht="18.75" customHeight="1">
      <c r="A555" s="2" t="str">
        <f>IFERROR(IF('PREENCHER AQUI'!A555="","",'PREENCHER AQUI'!A555),"")</f>
        <v/>
      </c>
      <c r="B555" s="1" t="str">
        <f>IFERROR(IF('PREENCHER AQUI'!B555="","",PROPER('PREENCHER AQUI'!B555)),"")</f>
        <v/>
      </c>
      <c r="C555" s="1" t="str">
        <f>IFERROR(IF('PREENCHER AQUI'!C555="","",'PREENCHER AQUI'!C555),"")</f>
        <v/>
      </c>
      <c r="D555" s="2" t="str">
        <f>IFERROR(IF('PREENCHER AQUI'!D555="","",'PREENCHER AQUI'!D555),"")</f>
        <v/>
      </c>
      <c r="E555" s="2" t="str">
        <f>IFERROR(VLOOKUP(CONCATENATE(C555,D555),qdd!$C$2:$F$1000,2,FALSE),"")</f>
        <v/>
      </c>
      <c r="F555" s="2" t="str">
        <f>IFERROR(VLOOKUP(CONCATENATE(C555,D555),qdd!$C$2:$F$1000,3,FALSE),"")</f>
        <v/>
      </c>
      <c r="G555" s="2" t="str">
        <f>IFERROR(VLOOKUP(CONCATENATE(C555,D555),qdd!$C$2:$F$1000,4,FALSE),"")</f>
        <v/>
      </c>
      <c r="H555" s="6" t="str">
        <f t="shared" si="18"/>
        <v/>
      </c>
      <c r="I5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5" s="2" t="str">
        <f>IFERROR(IF('PREENCHER AQUI'!E555="","",'PREENCHER AQUI'!E555),"")</f>
        <v/>
      </c>
      <c r="K555" s="2" t="str">
        <f>IFERROR(IF('PREENCHER AQUI'!F555="","",'PREENCHER AQUI'!F555),"")</f>
        <v/>
      </c>
      <c r="L555" s="2" t="str">
        <f>IF(Tabela1[[#This Row],[IPU_COD]]=9,"91",IF(Tabela1[[#This Row],[ACAO_COD]]="","",VLOOKUP(CONCATENATE("G",J555,"M",K555),qdd!$BC$2:$BD$46,2,FALSE)))</f>
        <v/>
      </c>
      <c r="M555" s="2" t="str">
        <f>TEXT(IFERROR(VLOOKUP(CONCATENATE(C555,D555),qdd!$C$2:$G$1000,5,FALSE),""),0)</f>
        <v/>
      </c>
      <c r="N555" s="2" t="str">
        <f>IFERROR(IF('PREENCHER AQUI'!I555="","",'PREENCHER AQUI'!I555),"")</f>
        <v/>
      </c>
      <c r="O555" s="2" t="str">
        <f>IFERROR(IF('PREENCHER AQUI'!J555="","",'PREENCHER AQUI'!J555),"")</f>
        <v/>
      </c>
      <c r="P555" s="7" t="str">
        <f t="shared" si="19"/>
        <v/>
      </c>
      <c r="Q555" s="8" t="str">
        <f>IFERROR(IF(Tabela4[[#This Row],[VALOR]]="","",IF(Tabela1[[#This Row],[ORIENTACAO]]="Anular",'PREENCHER AQUI'!K555*-1*100,'PREENCHER AQUI'!K555*100)),"")</f>
        <v/>
      </c>
      <c r="T555" s="7" t="str">
        <f>IFERROR(IF('PREENCHER AQUI'!L555="","999",LEFT('PREENCHER AQUI'!L555,1)),"")</f>
        <v>999</v>
      </c>
      <c r="V555" s="19"/>
      <c r="W555" s="20" t="str">
        <f>IFERROR(VLOOKUP(Tabela1[[#This Row],[UO_COD]],qdd!$AT$1:$AU$102,2,FALSE),"")</f>
        <v/>
      </c>
      <c r="X555" s="20" t="str">
        <f>CONCATENATE("F",Tabela1[[#This Row],[FONTE_COD]],Tabela1[[#This Row],[IPU_COD]],"G",Tabela1[[#This Row],[GRUPO_COD]],"T",Tabela1[[#This Row],[TIPO]])</f>
        <v>FGT999</v>
      </c>
      <c r="Y5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5" s="19"/>
      <c r="AA555" s="29" t="str">
        <f>IFERROR(VLOOKUP(CONCATENATE("B",Tabela1[[#This Row],[BLOCO]],Tabela1[[#This Row],[UO_COD]]),qdd!$AW$2:$AX$1000,2,FALSE),"")</f>
        <v/>
      </c>
      <c r="AB555" s="30" t="str">
        <f>IFERROR(Tabela1[[#This Row],[VALOR]]/100,"")</f>
        <v/>
      </c>
      <c r="AC555" s="7" t="str" cm="1">
        <f t="array" aca="1" ref="AC555" ca="1">IF(Tabela1[[#This Row],[VALOR]]&lt;0,"",IFERROR(SUBSTITUTE(Converter_numero(Tabela1[[#This Row],[VALOR INCISO]]),",",""),""))</f>
        <v/>
      </c>
      <c r="AD555" s="29" t="str">
        <f>IF(Tabela1[[#This Row],[TIPO]]=REGRAS!$W$2,REGRAS!$X$2,IF(Tabela1[[#This Row],[TIPO]]=REGRAS!$W$4,REGRAS!$X$4,""))</f>
        <v/>
      </c>
      <c r="AE555" s="29" t="e">
        <f>VLOOKUP(Tabela1[[#This Row],[FONTE_COD]],REGRAS!$O$2:$P$69,2,FALSE)</f>
        <v>#N/A</v>
      </c>
      <c r="AF5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6" spans="1:32" ht="18.75" customHeight="1">
      <c r="A556" s="2" t="str">
        <f>IFERROR(IF('PREENCHER AQUI'!A556="","",'PREENCHER AQUI'!A556),"")</f>
        <v/>
      </c>
      <c r="B556" s="1" t="str">
        <f>IFERROR(IF('PREENCHER AQUI'!B556="","",PROPER('PREENCHER AQUI'!B556)),"")</f>
        <v/>
      </c>
      <c r="C556" s="1" t="str">
        <f>IFERROR(IF('PREENCHER AQUI'!C556="","",'PREENCHER AQUI'!C556),"")</f>
        <v/>
      </c>
      <c r="D556" s="2" t="str">
        <f>IFERROR(IF('PREENCHER AQUI'!D556="","",'PREENCHER AQUI'!D556),"")</f>
        <v/>
      </c>
      <c r="E556" s="2" t="str">
        <f>IFERROR(VLOOKUP(CONCATENATE(C556,D556),qdd!$C$2:$F$1000,2,FALSE),"")</f>
        <v/>
      </c>
      <c r="F556" s="2" t="str">
        <f>IFERROR(VLOOKUP(CONCATENATE(C556,D556),qdd!$C$2:$F$1000,3,FALSE),"")</f>
        <v/>
      </c>
      <c r="G556" s="2" t="str">
        <f>IFERROR(VLOOKUP(CONCATENATE(C556,D556),qdd!$C$2:$F$1000,4,FALSE),"")</f>
        <v/>
      </c>
      <c r="H556" s="6" t="str">
        <f t="shared" si="18"/>
        <v/>
      </c>
      <c r="I5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6" s="2" t="str">
        <f>IFERROR(IF('PREENCHER AQUI'!E556="","",'PREENCHER AQUI'!E556),"")</f>
        <v/>
      </c>
      <c r="K556" s="2" t="str">
        <f>IFERROR(IF('PREENCHER AQUI'!F556="","",'PREENCHER AQUI'!F556),"")</f>
        <v/>
      </c>
      <c r="L556" s="2" t="str">
        <f>IF(Tabela1[[#This Row],[IPU_COD]]=9,"91",IF(Tabela1[[#This Row],[ACAO_COD]]="","",VLOOKUP(CONCATENATE("G",J556,"M",K556),qdd!$BC$2:$BD$46,2,FALSE)))</f>
        <v/>
      </c>
      <c r="M556" s="2" t="str">
        <f>TEXT(IFERROR(VLOOKUP(CONCATENATE(C556,D556),qdd!$C$2:$G$1000,5,FALSE),""),0)</f>
        <v/>
      </c>
      <c r="N556" s="2" t="str">
        <f>IFERROR(IF('PREENCHER AQUI'!I556="","",'PREENCHER AQUI'!I556),"")</f>
        <v/>
      </c>
      <c r="O556" s="2" t="str">
        <f>IFERROR(IF('PREENCHER AQUI'!J556="","",'PREENCHER AQUI'!J556),"")</f>
        <v/>
      </c>
      <c r="P556" s="7" t="str">
        <f t="shared" si="19"/>
        <v/>
      </c>
      <c r="Q556" s="8" t="str">
        <f>IFERROR(IF(Tabela4[[#This Row],[VALOR]]="","",IF(Tabela1[[#This Row],[ORIENTACAO]]="Anular",'PREENCHER AQUI'!K556*-1*100,'PREENCHER AQUI'!K556*100)),"")</f>
        <v/>
      </c>
      <c r="T556" s="7" t="str">
        <f>IFERROR(IF('PREENCHER AQUI'!L556="","999",LEFT('PREENCHER AQUI'!L556,1)),"")</f>
        <v>999</v>
      </c>
      <c r="V556" s="19"/>
      <c r="W556" s="1" t="str">
        <f>IFERROR(VLOOKUP(Tabela1[[#This Row],[UO_COD]],qdd!$AT$1:$AU$102,2,FALSE),"")</f>
        <v/>
      </c>
      <c r="X556" s="1" t="str">
        <f>CONCATENATE("F",Tabela1[[#This Row],[FONTE_COD]],Tabela1[[#This Row],[IPU_COD]],"G",Tabela1[[#This Row],[GRUPO_COD]],"T",Tabela1[[#This Row],[TIPO]])</f>
        <v>FGT999</v>
      </c>
      <c r="Y5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6" s="19"/>
      <c r="AA556" s="29" t="str">
        <f>IFERROR(VLOOKUP(CONCATENATE("B",Tabela1[[#This Row],[BLOCO]],Tabela1[[#This Row],[UO_COD]]),qdd!$AW$2:$AX$1000,2,FALSE),"")</f>
        <v/>
      </c>
      <c r="AB556" s="30" t="str">
        <f>IFERROR(Tabela1[[#This Row],[VALOR]]/100,"")</f>
        <v/>
      </c>
      <c r="AC556" s="7" t="str" cm="1">
        <f t="array" aca="1" ref="AC556" ca="1">IF(Tabela1[[#This Row],[VALOR]]&lt;0,"",IFERROR(SUBSTITUTE(Converter_numero(Tabela1[[#This Row],[VALOR INCISO]]),",",""),""))</f>
        <v/>
      </c>
      <c r="AD556" s="29" t="str">
        <f>IF(Tabela1[[#This Row],[TIPO]]=REGRAS!$W$2,REGRAS!$X$2,IF(Tabela1[[#This Row],[TIPO]]=REGRAS!$W$4,REGRAS!$X$4,""))</f>
        <v/>
      </c>
      <c r="AE556" s="29" t="e">
        <f>VLOOKUP(Tabela1[[#This Row],[FONTE_COD]],REGRAS!$O$2:$P$69,2,FALSE)</f>
        <v>#N/A</v>
      </c>
      <c r="AF5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7" spans="1:32" ht="18.75" customHeight="1">
      <c r="A557" s="2" t="str">
        <f>IFERROR(IF('PREENCHER AQUI'!A557="","",'PREENCHER AQUI'!A557),"")</f>
        <v/>
      </c>
      <c r="B557" s="1" t="str">
        <f>IFERROR(IF('PREENCHER AQUI'!B557="","",PROPER('PREENCHER AQUI'!B557)),"")</f>
        <v/>
      </c>
      <c r="C557" s="1" t="str">
        <f>IFERROR(IF('PREENCHER AQUI'!C557="","",'PREENCHER AQUI'!C557),"")</f>
        <v/>
      </c>
      <c r="D557" s="2" t="str">
        <f>IFERROR(IF('PREENCHER AQUI'!D557="","",'PREENCHER AQUI'!D557),"")</f>
        <v/>
      </c>
      <c r="E557" s="2" t="str">
        <f>IFERROR(VLOOKUP(CONCATENATE(C557,D557),qdd!$C$2:$F$1000,2,FALSE),"")</f>
        <v/>
      </c>
      <c r="F557" s="2" t="str">
        <f>IFERROR(VLOOKUP(CONCATENATE(C557,D557),qdd!$C$2:$F$1000,3,FALSE),"")</f>
        <v/>
      </c>
      <c r="G557" s="2" t="str">
        <f>IFERROR(VLOOKUP(CONCATENATE(C557,D557),qdd!$C$2:$F$1000,4,FALSE),"")</f>
        <v/>
      </c>
      <c r="H557" s="6" t="str">
        <f t="shared" si="18"/>
        <v/>
      </c>
      <c r="I5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7" s="2" t="str">
        <f>IFERROR(IF('PREENCHER AQUI'!E557="","",'PREENCHER AQUI'!E557),"")</f>
        <v/>
      </c>
      <c r="K557" s="2" t="str">
        <f>IFERROR(IF('PREENCHER AQUI'!F557="","",'PREENCHER AQUI'!F557),"")</f>
        <v/>
      </c>
      <c r="L557" s="2" t="str">
        <f>IF(Tabela1[[#This Row],[IPU_COD]]=9,"91",IF(Tabela1[[#This Row],[ACAO_COD]]="","",VLOOKUP(CONCATENATE("G",J557,"M",K557),qdd!$BC$2:$BD$46,2,FALSE)))</f>
        <v/>
      </c>
      <c r="M557" s="2" t="str">
        <f>TEXT(IFERROR(VLOOKUP(CONCATENATE(C557,D557),qdd!$C$2:$G$1000,5,FALSE),""),0)</f>
        <v/>
      </c>
      <c r="N557" s="2" t="str">
        <f>IFERROR(IF('PREENCHER AQUI'!I557="","",'PREENCHER AQUI'!I557),"")</f>
        <v/>
      </c>
      <c r="O557" s="2" t="str">
        <f>IFERROR(IF('PREENCHER AQUI'!J557="","",'PREENCHER AQUI'!J557),"")</f>
        <v/>
      </c>
      <c r="P557" s="7" t="str">
        <f t="shared" si="19"/>
        <v/>
      </c>
      <c r="Q557" s="8" t="str">
        <f>IFERROR(IF(Tabela4[[#This Row],[VALOR]]="","",IF(Tabela1[[#This Row],[ORIENTACAO]]="Anular",'PREENCHER AQUI'!K557*-1*100,'PREENCHER AQUI'!K557*100)),"")</f>
        <v/>
      </c>
      <c r="T557" s="7" t="str">
        <f>IFERROR(IF('PREENCHER AQUI'!L557="","999",LEFT('PREENCHER AQUI'!L557,1)),"")</f>
        <v>999</v>
      </c>
      <c r="W557" s="1" t="str">
        <f>IFERROR(VLOOKUP(Tabela1[[#This Row],[UO_COD]],qdd!$AT$1:$AU$102,2,FALSE),"")</f>
        <v/>
      </c>
      <c r="X557" s="1" t="str">
        <f>CONCATENATE("F",Tabela1[[#This Row],[FONTE_COD]],Tabela1[[#This Row],[IPU_COD]],"G",Tabela1[[#This Row],[GRUPO_COD]],"T",Tabela1[[#This Row],[TIPO]])</f>
        <v>FGT999</v>
      </c>
      <c r="Y5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7" s="19"/>
      <c r="AA557" s="29" t="str">
        <f>IFERROR(VLOOKUP(CONCATENATE("B",Tabela1[[#This Row],[BLOCO]],Tabela1[[#This Row],[UO_COD]]),qdd!$AW$2:$AX$1000,2,FALSE),"")</f>
        <v/>
      </c>
      <c r="AB557" s="30" t="str">
        <f>IFERROR(Tabela1[[#This Row],[VALOR]]/100,"")</f>
        <v/>
      </c>
      <c r="AC557" s="7" t="str" cm="1">
        <f t="array" aca="1" ref="AC557" ca="1">IF(Tabela1[[#This Row],[VALOR]]&lt;0,"",IFERROR(SUBSTITUTE(Converter_numero(Tabela1[[#This Row],[VALOR INCISO]]),",",""),""))</f>
        <v/>
      </c>
      <c r="AD557" s="7" t="str">
        <f>IF(Tabela1[[#This Row],[TIPO]]=REGRAS!$W$2,REGRAS!$X$2,IF(Tabela1[[#This Row],[TIPO]]=REGRAS!$W$4,REGRAS!$X$4,""))</f>
        <v/>
      </c>
      <c r="AE557" s="29" t="e">
        <f>VLOOKUP(Tabela1[[#This Row],[FONTE_COD]],REGRAS!$O$2:$P$69,2,FALSE)</f>
        <v>#N/A</v>
      </c>
      <c r="AF5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8" spans="1:32" ht="18.75" customHeight="1">
      <c r="A558" s="2" t="str">
        <f>IFERROR(IF('PREENCHER AQUI'!A558="","",'PREENCHER AQUI'!A558),"")</f>
        <v/>
      </c>
      <c r="B558" s="1" t="str">
        <f>IFERROR(IF('PREENCHER AQUI'!B558="","",PROPER('PREENCHER AQUI'!B558)),"")</f>
        <v/>
      </c>
      <c r="C558" s="1" t="str">
        <f>IFERROR(IF('PREENCHER AQUI'!C558="","",'PREENCHER AQUI'!C558),"")</f>
        <v/>
      </c>
      <c r="D558" s="2" t="str">
        <f>IFERROR(IF('PREENCHER AQUI'!D558="","",'PREENCHER AQUI'!D558),"")</f>
        <v/>
      </c>
      <c r="E558" s="2" t="str">
        <f>IFERROR(VLOOKUP(CONCATENATE(C558,D558),qdd!$C$2:$F$1000,2,FALSE),"")</f>
        <v/>
      </c>
      <c r="F558" s="2" t="str">
        <f>IFERROR(VLOOKUP(CONCATENATE(C558,D558),qdd!$C$2:$F$1000,3,FALSE),"")</f>
        <v/>
      </c>
      <c r="G558" s="2" t="str">
        <f>IFERROR(VLOOKUP(CONCATENATE(C558,D558),qdd!$C$2:$F$1000,4,FALSE),"")</f>
        <v/>
      </c>
      <c r="H558" s="6" t="str">
        <f t="shared" si="18"/>
        <v/>
      </c>
      <c r="I5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8" s="2" t="str">
        <f>IFERROR(IF('PREENCHER AQUI'!E558="","",'PREENCHER AQUI'!E558),"")</f>
        <v/>
      </c>
      <c r="K558" s="2" t="str">
        <f>IFERROR(IF('PREENCHER AQUI'!F558="","",'PREENCHER AQUI'!F558),"")</f>
        <v/>
      </c>
      <c r="L558" s="2" t="str">
        <f>IF(Tabela1[[#This Row],[IPU_COD]]=9,"91",IF(Tabela1[[#This Row],[ACAO_COD]]="","",VLOOKUP(CONCATENATE("G",J558,"M",K558),qdd!$BC$2:$BD$46,2,FALSE)))</f>
        <v/>
      </c>
      <c r="M558" s="2" t="str">
        <f>TEXT(IFERROR(VLOOKUP(CONCATENATE(C558,D558),qdd!$C$2:$G$1000,5,FALSE),""),0)</f>
        <v/>
      </c>
      <c r="N558" s="2" t="str">
        <f>IFERROR(IF('PREENCHER AQUI'!I558="","",'PREENCHER AQUI'!I558),"")</f>
        <v/>
      </c>
      <c r="O558" s="2" t="str">
        <f>IFERROR(IF('PREENCHER AQUI'!J558="","",'PREENCHER AQUI'!J558),"")</f>
        <v/>
      </c>
      <c r="P558" s="7" t="str">
        <f t="shared" si="19"/>
        <v/>
      </c>
      <c r="Q558" s="8" t="str">
        <f>IFERROR(IF(Tabela4[[#This Row],[VALOR]]="","",IF(Tabela1[[#This Row],[ORIENTACAO]]="Anular",'PREENCHER AQUI'!K558*-1*100,'PREENCHER AQUI'!K558*100)),"")</f>
        <v/>
      </c>
      <c r="T558" s="7" t="str">
        <f>IFERROR(IF('PREENCHER AQUI'!L558="","999",LEFT('PREENCHER AQUI'!L558,1)),"")</f>
        <v>999</v>
      </c>
      <c r="V558" s="19"/>
      <c r="W558" s="1" t="str">
        <f>IFERROR(VLOOKUP(Tabela1[[#This Row],[UO_COD]],qdd!$AT$1:$AU$102,2,FALSE),"")</f>
        <v/>
      </c>
      <c r="X558" s="1" t="str">
        <f>CONCATENATE("F",Tabela1[[#This Row],[FONTE_COD]],Tabela1[[#This Row],[IPU_COD]],"G",Tabela1[[#This Row],[GRUPO_COD]],"T",Tabela1[[#This Row],[TIPO]])</f>
        <v>FGT999</v>
      </c>
      <c r="Y5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8" s="19"/>
      <c r="AA558" s="29" t="str">
        <f>IFERROR(VLOOKUP(CONCATENATE("B",Tabela1[[#This Row],[BLOCO]],Tabela1[[#This Row],[UO_COD]]),qdd!$AW$2:$AX$1000,2,FALSE),"")</f>
        <v/>
      </c>
      <c r="AB558" s="30" t="str">
        <f>IFERROR(Tabela1[[#This Row],[VALOR]]/100,"")</f>
        <v/>
      </c>
      <c r="AC558" s="7" t="str" cm="1">
        <f t="array" aca="1" ref="AC558" ca="1">IF(Tabela1[[#This Row],[VALOR]]&lt;0,"",IFERROR(SUBSTITUTE(Converter_numero(Tabela1[[#This Row],[VALOR INCISO]]),",",""),""))</f>
        <v/>
      </c>
      <c r="AD558" s="29" t="str">
        <f>IF(Tabela1[[#This Row],[TIPO]]=REGRAS!$W$2,REGRAS!$X$2,IF(Tabela1[[#This Row],[TIPO]]=REGRAS!$W$4,REGRAS!$X$4,""))</f>
        <v/>
      </c>
      <c r="AE558" s="29" t="e">
        <f>VLOOKUP(Tabela1[[#This Row],[FONTE_COD]],REGRAS!$O$2:$P$69,2,FALSE)</f>
        <v>#N/A</v>
      </c>
      <c r="AF5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9" spans="1:32" ht="18.75" customHeight="1">
      <c r="A559" s="2" t="str">
        <f>IFERROR(IF('PREENCHER AQUI'!A559="","",'PREENCHER AQUI'!A559),"")</f>
        <v/>
      </c>
      <c r="B559" s="1" t="str">
        <f>IFERROR(IF('PREENCHER AQUI'!B559="","",PROPER('PREENCHER AQUI'!B559)),"")</f>
        <v/>
      </c>
      <c r="C559" s="1" t="str">
        <f>IFERROR(IF('PREENCHER AQUI'!C559="","",'PREENCHER AQUI'!C559),"")</f>
        <v/>
      </c>
      <c r="D559" s="2" t="str">
        <f>IFERROR(IF('PREENCHER AQUI'!D559="","",'PREENCHER AQUI'!D559),"")</f>
        <v/>
      </c>
      <c r="E559" s="2" t="str">
        <f>IFERROR(VLOOKUP(CONCATENATE(C559,D559),qdd!$C$2:$F$1000,2,FALSE),"")</f>
        <v/>
      </c>
      <c r="F559" s="2" t="str">
        <f>IFERROR(VLOOKUP(CONCATENATE(C559,D559),qdd!$C$2:$F$1000,3,FALSE),"")</f>
        <v/>
      </c>
      <c r="G559" s="2" t="str">
        <f>IFERROR(VLOOKUP(CONCATENATE(C559,D559),qdd!$C$2:$F$1000,4,FALSE),"")</f>
        <v/>
      </c>
      <c r="H559" s="6" t="str">
        <f t="shared" si="18"/>
        <v/>
      </c>
      <c r="I5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9" s="2" t="str">
        <f>IFERROR(IF('PREENCHER AQUI'!E559="","",'PREENCHER AQUI'!E559),"")</f>
        <v/>
      </c>
      <c r="K559" s="2" t="str">
        <f>IFERROR(IF('PREENCHER AQUI'!F559="","",'PREENCHER AQUI'!F559),"")</f>
        <v/>
      </c>
      <c r="L559" s="2" t="str">
        <f>IF(Tabela1[[#This Row],[IPU_COD]]=9,"91",IF(Tabela1[[#This Row],[ACAO_COD]]="","",VLOOKUP(CONCATENATE("G",J559,"M",K559),qdd!$BC$2:$BD$46,2,FALSE)))</f>
        <v/>
      </c>
      <c r="M559" s="2" t="str">
        <f>TEXT(IFERROR(VLOOKUP(CONCATENATE(C559,D559),qdd!$C$2:$G$1000,5,FALSE),""),0)</f>
        <v/>
      </c>
      <c r="N559" s="2" t="str">
        <f>IFERROR(IF('PREENCHER AQUI'!I559="","",'PREENCHER AQUI'!I559),"")</f>
        <v/>
      </c>
      <c r="O559" s="2" t="str">
        <f>IFERROR(IF('PREENCHER AQUI'!J559="","",'PREENCHER AQUI'!J559),"")</f>
        <v/>
      </c>
      <c r="P559" s="7" t="str">
        <f t="shared" si="19"/>
        <v/>
      </c>
      <c r="Q559" s="8" t="str">
        <f>IFERROR(IF(Tabela4[[#This Row],[VALOR]]="","",IF(Tabela1[[#This Row],[ORIENTACAO]]="Anular",'PREENCHER AQUI'!K559*-1*100,'PREENCHER AQUI'!K559*100)),"")</f>
        <v/>
      </c>
      <c r="T559" s="7" t="str">
        <f>IFERROR(IF('PREENCHER AQUI'!L559="","999",LEFT('PREENCHER AQUI'!L559,1)),"")</f>
        <v>999</v>
      </c>
      <c r="V559" s="19"/>
      <c r="W559" s="1" t="str">
        <f>IFERROR(VLOOKUP(Tabela1[[#This Row],[UO_COD]],qdd!$AT$1:$AU$102,2,FALSE),"")</f>
        <v/>
      </c>
      <c r="X559" s="1" t="str">
        <f>CONCATENATE("F",Tabela1[[#This Row],[FONTE_COD]],Tabela1[[#This Row],[IPU_COD]],"G",Tabela1[[#This Row],[GRUPO_COD]],"T",Tabela1[[#This Row],[TIPO]])</f>
        <v>FGT999</v>
      </c>
      <c r="Y5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9" s="19"/>
      <c r="AA559" s="29" t="str">
        <f>IFERROR(VLOOKUP(CONCATENATE("B",Tabela1[[#This Row],[BLOCO]],Tabela1[[#This Row],[UO_COD]]),qdd!$AW$2:$AX$1000,2,FALSE),"")</f>
        <v/>
      </c>
      <c r="AB559" s="30" t="str">
        <f>IFERROR(Tabela1[[#This Row],[VALOR]]/100,"")</f>
        <v/>
      </c>
      <c r="AC559" s="7" t="str" cm="1">
        <f t="array" aca="1" ref="AC559" ca="1">IF(Tabela1[[#This Row],[VALOR]]&lt;0,"",IFERROR(SUBSTITUTE(Converter_numero(Tabela1[[#This Row],[VALOR INCISO]]),",",""),""))</f>
        <v/>
      </c>
      <c r="AD559" s="29" t="str">
        <f>IF(Tabela1[[#This Row],[TIPO]]=REGRAS!$W$2,REGRAS!$X$2,IF(Tabela1[[#This Row],[TIPO]]=REGRAS!$W$4,REGRAS!$X$4,""))</f>
        <v/>
      </c>
      <c r="AE559" s="29" t="e">
        <f>VLOOKUP(Tabela1[[#This Row],[FONTE_COD]],REGRAS!$O$2:$P$69,2,FALSE)</f>
        <v>#N/A</v>
      </c>
      <c r="AF5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0" spans="1:32" ht="18.75" customHeight="1">
      <c r="A560" s="2" t="str">
        <f>IFERROR(IF('PREENCHER AQUI'!A560="","",'PREENCHER AQUI'!A560),"")</f>
        <v/>
      </c>
      <c r="B560" s="1" t="str">
        <f>IFERROR(IF('PREENCHER AQUI'!B560="","",PROPER('PREENCHER AQUI'!B560)),"")</f>
        <v/>
      </c>
      <c r="C560" s="1" t="str">
        <f>IFERROR(IF('PREENCHER AQUI'!C560="","",'PREENCHER AQUI'!C560),"")</f>
        <v/>
      </c>
      <c r="D560" s="2" t="str">
        <f>IFERROR(IF('PREENCHER AQUI'!D560="","",'PREENCHER AQUI'!D560),"")</f>
        <v/>
      </c>
      <c r="E560" s="2" t="str">
        <f>IFERROR(VLOOKUP(CONCATENATE(C560,D560),qdd!$C$2:$F$1000,2,FALSE),"")</f>
        <v/>
      </c>
      <c r="F560" s="2" t="str">
        <f>IFERROR(VLOOKUP(CONCATENATE(C560,D560),qdd!$C$2:$F$1000,3,FALSE),"")</f>
        <v/>
      </c>
      <c r="G560" s="2" t="str">
        <f>IFERROR(VLOOKUP(CONCATENATE(C560,D560),qdd!$C$2:$F$1000,4,FALSE),"")</f>
        <v/>
      </c>
      <c r="H560" s="6" t="str">
        <f t="shared" si="18"/>
        <v/>
      </c>
      <c r="I5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0" s="2" t="str">
        <f>IFERROR(IF('PREENCHER AQUI'!E560="","",'PREENCHER AQUI'!E560),"")</f>
        <v/>
      </c>
      <c r="K560" s="2" t="str">
        <f>IFERROR(IF('PREENCHER AQUI'!F560="","",'PREENCHER AQUI'!F560),"")</f>
        <v/>
      </c>
      <c r="L560" s="2" t="str">
        <f>IF(Tabela1[[#This Row],[IPU_COD]]=9,"91",IF(Tabela1[[#This Row],[ACAO_COD]]="","",VLOOKUP(CONCATENATE("G",J560,"M",K560),qdd!$BC$2:$BD$46,2,FALSE)))</f>
        <v/>
      </c>
      <c r="M560" s="2" t="str">
        <f>TEXT(IFERROR(VLOOKUP(CONCATENATE(C560,D560),qdd!$C$2:$G$1000,5,FALSE),""),0)</f>
        <v/>
      </c>
      <c r="N560" s="2" t="str">
        <f>IFERROR(IF('PREENCHER AQUI'!I560="","",'PREENCHER AQUI'!I560),"")</f>
        <v/>
      </c>
      <c r="O560" s="2" t="str">
        <f>IFERROR(IF('PREENCHER AQUI'!J560="","",'PREENCHER AQUI'!J560),"")</f>
        <v/>
      </c>
      <c r="P560" s="7" t="str">
        <f t="shared" si="19"/>
        <v/>
      </c>
      <c r="Q560" s="8" t="str">
        <f>IFERROR(IF(Tabela4[[#This Row],[VALOR]]="","",IF(Tabela1[[#This Row],[ORIENTACAO]]="Anular",'PREENCHER AQUI'!K560*-1*100,'PREENCHER AQUI'!K560*100)),"")</f>
        <v/>
      </c>
      <c r="T560" s="7" t="str">
        <f>IFERROR(IF('PREENCHER AQUI'!L560="","999",LEFT('PREENCHER AQUI'!L560,1)),"")</f>
        <v>999</v>
      </c>
      <c r="V560" s="19"/>
      <c r="W560" s="20" t="str">
        <f>IFERROR(VLOOKUP(Tabela1[[#This Row],[UO_COD]],qdd!$AT$1:$AU$102,2,FALSE),"")</f>
        <v/>
      </c>
      <c r="X560" s="20" t="str">
        <f>CONCATENATE("F",Tabela1[[#This Row],[FONTE_COD]],Tabela1[[#This Row],[IPU_COD]],"G",Tabela1[[#This Row],[GRUPO_COD]],"T",Tabela1[[#This Row],[TIPO]])</f>
        <v>FGT999</v>
      </c>
      <c r="Y5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0" s="19"/>
      <c r="AA560" s="29" t="str">
        <f>IFERROR(VLOOKUP(CONCATENATE("B",Tabela1[[#This Row],[BLOCO]],Tabela1[[#This Row],[UO_COD]]),qdd!$AW$2:$AX$1000,2,FALSE),"")</f>
        <v/>
      </c>
      <c r="AB560" s="30" t="str">
        <f>IFERROR(Tabela1[[#This Row],[VALOR]]/100,"")</f>
        <v/>
      </c>
      <c r="AC560" s="7" t="str" cm="1">
        <f t="array" aca="1" ref="AC560" ca="1">IF(Tabela1[[#This Row],[VALOR]]&lt;0,"",IFERROR(SUBSTITUTE(Converter_numero(Tabela1[[#This Row],[VALOR INCISO]]),",",""),""))</f>
        <v/>
      </c>
      <c r="AD560" s="29" t="str">
        <f>IF(Tabela1[[#This Row],[TIPO]]=REGRAS!$W$2,REGRAS!$X$2,IF(Tabela1[[#This Row],[TIPO]]=REGRAS!$W$4,REGRAS!$X$4,""))</f>
        <v/>
      </c>
      <c r="AE560" s="29" t="e">
        <f>VLOOKUP(Tabela1[[#This Row],[FONTE_COD]],REGRAS!$O$2:$P$69,2,FALSE)</f>
        <v>#N/A</v>
      </c>
      <c r="AF5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1" spans="1:32" ht="18.75" customHeight="1">
      <c r="A561" s="2" t="str">
        <f>IFERROR(IF('PREENCHER AQUI'!A561="","",'PREENCHER AQUI'!A561),"")</f>
        <v/>
      </c>
      <c r="B561" s="1" t="str">
        <f>IFERROR(IF('PREENCHER AQUI'!B561="","",PROPER('PREENCHER AQUI'!B561)),"")</f>
        <v/>
      </c>
      <c r="C561" s="1" t="str">
        <f>IFERROR(IF('PREENCHER AQUI'!C561="","",'PREENCHER AQUI'!C561),"")</f>
        <v/>
      </c>
      <c r="D561" s="2" t="str">
        <f>IFERROR(IF('PREENCHER AQUI'!D561="","",'PREENCHER AQUI'!D561),"")</f>
        <v/>
      </c>
      <c r="E561" s="2" t="str">
        <f>IFERROR(VLOOKUP(CONCATENATE(C561,D561),qdd!$C$2:$F$1000,2,FALSE),"")</f>
        <v/>
      </c>
      <c r="F561" s="2" t="str">
        <f>IFERROR(VLOOKUP(CONCATENATE(C561,D561),qdd!$C$2:$F$1000,3,FALSE),"")</f>
        <v/>
      </c>
      <c r="G561" s="2" t="str">
        <f>IFERROR(VLOOKUP(CONCATENATE(C561,D561),qdd!$C$2:$F$1000,4,FALSE),"")</f>
        <v/>
      </c>
      <c r="H561" s="6" t="str">
        <f t="shared" si="18"/>
        <v/>
      </c>
      <c r="I5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1" s="2" t="str">
        <f>IFERROR(IF('PREENCHER AQUI'!E561="","",'PREENCHER AQUI'!E561),"")</f>
        <v/>
      </c>
      <c r="K561" s="2" t="str">
        <f>IFERROR(IF('PREENCHER AQUI'!F561="","",'PREENCHER AQUI'!F561),"")</f>
        <v/>
      </c>
      <c r="L561" s="2" t="str">
        <f>IF(Tabela1[[#This Row],[IPU_COD]]=9,"91",IF(Tabela1[[#This Row],[ACAO_COD]]="","",VLOOKUP(CONCATENATE("G",J561,"M",K561),qdd!$BC$2:$BD$46,2,FALSE)))</f>
        <v/>
      </c>
      <c r="M561" s="2" t="str">
        <f>TEXT(IFERROR(VLOOKUP(CONCATENATE(C561,D561),qdd!$C$2:$G$1000,5,FALSE),""),0)</f>
        <v/>
      </c>
      <c r="N561" s="2" t="str">
        <f>IFERROR(IF('PREENCHER AQUI'!I561="","",'PREENCHER AQUI'!I561),"")</f>
        <v/>
      </c>
      <c r="O561" s="2" t="str">
        <f>IFERROR(IF('PREENCHER AQUI'!J561="","",'PREENCHER AQUI'!J561),"")</f>
        <v/>
      </c>
      <c r="P561" s="7" t="str">
        <f t="shared" si="19"/>
        <v/>
      </c>
      <c r="Q561" s="8" t="str">
        <f>IFERROR(IF(Tabela4[[#This Row],[VALOR]]="","",IF(Tabela1[[#This Row],[ORIENTACAO]]="Anular",'PREENCHER AQUI'!K561*-1*100,'PREENCHER AQUI'!K561*100)),"")</f>
        <v/>
      </c>
      <c r="T561" s="7" t="str">
        <f>IFERROR(IF('PREENCHER AQUI'!L561="","999",LEFT('PREENCHER AQUI'!L561,1)),"")</f>
        <v>999</v>
      </c>
      <c r="V561" s="19"/>
      <c r="W561" s="1" t="str">
        <f>IFERROR(VLOOKUP(Tabela1[[#This Row],[UO_COD]],qdd!$AT$1:$AU$102,2,FALSE),"")</f>
        <v/>
      </c>
      <c r="X561" s="1" t="str">
        <f>CONCATENATE("F",Tabela1[[#This Row],[FONTE_COD]],Tabela1[[#This Row],[IPU_COD]],"G",Tabela1[[#This Row],[GRUPO_COD]],"T",Tabela1[[#This Row],[TIPO]])</f>
        <v>FGT999</v>
      </c>
      <c r="Y5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1" s="19"/>
      <c r="AA561" s="29" t="str">
        <f>IFERROR(VLOOKUP(CONCATENATE("B",Tabela1[[#This Row],[BLOCO]],Tabela1[[#This Row],[UO_COD]]),qdd!$AW$2:$AX$1000,2,FALSE),"")</f>
        <v/>
      </c>
      <c r="AB561" s="30" t="str">
        <f>IFERROR(Tabela1[[#This Row],[VALOR]]/100,"")</f>
        <v/>
      </c>
      <c r="AC561" s="7" t="str" cm="1">
        <f t="array" aca="1" ref="AC561" ca="1">IF(Tabela1[[#This Row],[VALOR]]&lt;0,"",IFERROR(SUBSTITUTE(Converter_numero(Tabela1[[#This Row],[VALOR INCISO]]),",",""),""))</f>
        <v/>
      </c>
      <c r="AD561" s="29" t="str">
        <f>IF(Tabela1[[#This Row],[TIPO]]=REGRAS!$W$2,REGRAS!$X$2,IF(Tabela1[[#This Row],[TIPO]]=REGRAS!$W$4,REGRAS!$X$4,""))</f>
        <v/>
      </c>
      <c r="AE561" s="29" t="e">
        <f>VLOOKUP(Tabela1[[#This Row],[FONTE_COD]],REGRAS!$O$2:$P$69,2,FALSE)</f>
        <v>#N/A</v>
      </c>
      <c r="AF5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2" spans="1:32" ht="18.75" customHeight="1">
      <c r="A562" s="2" t="str">
        <f>IFERROR(IF('PREENCHER AQUI'!A562="","",'PREENCHER AQUI'!A562),"")</f>
        <v/>
      </c>
      <c r="B562" s="1" t="str">
        <f>IFERROR(IF('PREENCHER AQUI'!B562="","",PROPER('PREENCHER AQUI'!B562)),"")</f>
        <v/>
      </c>
      <c r="C562" s="1" t="str">
        <f>IFERROR(IF('PREENCHER AQUI'!C562="","",'PREENCHER AQUI'!C562),"")</f>
        <v/>
      </c>
      <c r="D562" s="2" t="str">
        <f>IFERROR(IF('PREENCHER AQUI'!D562="","",'PREENCHER AQUI'!D562),"")</f>
        <v/>
      </c>
      <c r="E562" s="2" t="str">
        <f>IFERROR(VLOOKUP(CONCATENATE(C562,D562),qdd!$C$2:$F$1000,2,FALSE),"")</f>
        <v/>
      </c>
      <c r="F562" s="2" t="str">
        <f>IFERROR(VLOOKUP(CONCATENATE(C562,D562),qdd!$C$2:$F$1000,3,FALSE),"")</f>
        <v/>
      </c>
      <c r="G562" s="2" t="str">
        <f>IFERROR(VLOOKUP(CONCATENATE(C562,D562),qdd!$C$2:$F$1000,4,FALSE),"")</f>
        <v/>
      </c>
      <c r="H562" s="6" t="str">
        <f t="shared" si="18"/>
        <v/>
      </c>
      <c r="I5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2" s="2" t="str">
        <f>IFERROR(IF('PREENCHER AQUI'!E562="","",'PREENCHER AQUI'!E562),"")</f>
        <v/>
      </c>
      <c r="K562" s="2" t="str">
        <f>IFERROR(IF('PREENCHER AQUI'!F562="","",'PREENCHER AQUI'!F562),"")</f>
        <v/>
      </c>
      <c r="L562" s="2" t="str">
        <f>IF(Tabela1[[#This Row],[IPU_COD]]=9,"91",IF(Tabela1[[#This Row],[ACAO_COD]]="","",VLOOKUP(CONCATENATE("G",J562,"M",K562),qdd!$BC$2:$BD$46,2,FALSE)))</f>
        <v/>
      </c>
      <c r="M562" s="2" t="str">
        <f>TEXT(IFERROR(VLOOKUP(CONCATENATE(C562,D562),qdd!$C$2:$G$1000,5,FALSE),""),0)</f>
        <v/>
      </c>
      <c r="N562" s="2" t="str">
        <f>IFERROR(IF('PREENCHER AQUI'!I562="","",'PREENCHER AQUI'!I562),"")</f>
        <v/>
      </c>
      <c r="O562" s="2" t="str">
        <f>IFERROR(IF('PREENCHER AQUI'!J562="","",'PREENCHER AQUI'!J562),"")</f>
        <v/>
      </c>
      <c r="P562" s="7" t="str">
        <f t="shared" si="19"/>
        <v/>
      </c>
      <c r="Q562" s="8" t="str">
        <f>IFERROR(IF(Tabela4[[#This Row],[VALOR]]="","",IF(Tabela1[[#This Row],[ORIENTACAO]]="Anular",'PREENCHER AQUI'!K562*-1*100,'PREENCHER AQUI'!K562*100)),"")</f>
        <v/>
      </c>
      <c r="T562" s="7" t="str">
        <f>IFERROR(IF('PREENCHER AQUI'!L562="","999",LEFT('PREENCHER AQUI'!L562,1)),"")</f>
        <v>999</v>
      </c>
      <c r="W562" s="1" t="str">
        <f>IFERROR(VLOOKUP(Tabela1[[#This Row],[UO_COD]],qdd!$AT$1:$AU$102,2,FALSE),"")</f>
        <v/>
      </c>
      <c r="X562" s="1" t="str">
        <f>CONCATENATE("F",Tabela1[[#This Row],[FONTE_COD]],Tabela1[[#This Row],[IPU_COD]],"G",Tabela1[[#This Row],[GRUPO_COD]],"T",Tabela1[[#This Row],[TIPO]])</f>
        <v>FGT999</v>
      </c>
      <c r="Y5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2" s="19"/>
      <c r="AA562" s="29" t="str">
        <f>IFERROR(VLOOKUP(CONCATENATE("B",Tabela1[[#This Row],[BLOCO]],Tabela1[[#This Row],[UO_COD]]),qdd!$AW$2:$AX$1000,2,FALSE),"")</f>
        <v/>
      </c>
      <c r="AB562" s="30" t="str">
        <f>IFERROR(Tabela1[[#This Row],[VALOR]]/100,"")</f>
        <v/>
      </c>
      <c r="AC562" s="7" t="str" cm="1">
        <f t="array" aca="1" ref="AC562" ca="1">IF(Tabela1[[#This Row],[VALOR]]&lt;0,"",IFERROR(SUBSTITUTE(Converter_numero(Tabela1[[#This Row],[VALOR INCISO]]),",",""),""))</f>
        <v/>
      </c>
      <c r="AD562" s="7" t="str">
        <f>IF(Tabela1[[#This Row],[TIPO]]=REGRAS!$W$2,REGRAS!$X$2,IF(Tabela1[[#This Row],[TIPO]]=REGRAS!$W$4,REGRAS!$X$4,""))</f>
        <v/>
      </c>
      <c r="AE562" s="29" t="e">
        <f>VLOOKUP(Tabela1[[#This Row],[FONTE_COD]],REGRAS!$O$2:$P$69,2,FALSE)</f>
        <v>#N/A</v>
      </c>
      <c r="AF5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3" spans="1:32" ht="18.75" customHeight="1">
      <c r="A563" s="2" t="str">
        <f>IFERROR(IF('PREENCHER AQUI'!A563="","",'PREENCHER AQUI'!A563),"")</f>
        <v/>
      </c>
      <c r="B563" s="1" t="str">
        <f>IFERROR(IF('PREENCHER AQUI'!B563="","",PROPER('PREENCHER AQUI'!B563)),"")</f>
        <v/>
      </c>
      <c r="C563" s="1" t="str">
        <f>IFERROR(IF('PREENCHER AQUI'!C563="","",'PREENCHER AQUI'!C563),"")</f>
        <v/>
      </c>
      <c r="D563" s="2" t="str">
        <f>IFERROR(IF('PREENCHER AQUI'!D563="","",'PREENCHER AQUI'!D563),"")</f>
        <v/>
      </c>
      <c r="E563" s="2" t="str">
        <f>IFERROR(VLOOKUP(CONCATENATE(C563,D563),qdd!$C$2:$F$1000,2,FALSE),"")</f>
        <v/>
      </c>
      <c r="F563" s="2" t="str">
        <f>IFERROR(VLOOKUP(CONCATENATE(C563,D563),qdd!$C$2:$F$1000,3,FALSE),"")</f>
        <v/>
      </c>
      <c r="G563" s="2" t="str">
        <f>IFERROR(VLOOKUP(CONCATENATE(C563,D563),qdd!$C$2:$F$1000,4,FALSE),"")</f>
        <v/>
      </c>
      <c r="H563" s="6" t="str">
        <f t="shared" si="18"/>
        <v/>
      </c>
      <c r="I5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3" s="2" t="str">
        <f>IFERROR(IF('PREENCHER AQUI'!E563="","",'PREENCHER AQUI'!E563),"")</f>
        <v/>
      </c>
      <c r="K563" s="2" t="str">
        <f>IFERROR(IF('PREENCHER AQUI'!F563="","",'PREENCHER AQUI'!F563),"")</f>
        <v/>
      </c>
      <c r="L563" s="2" t="str">
        <f>IF(Tabela1[[#This Row],[IPU_COD]]=9,"91",IF(Tabela1[[#This Row],[ACAO_COD]]="","",VLOOKUP(CONCATENATE("G",J563,"M",K563),qdd!$BC$2:$BD$46,2,FALSE)))</f>
        <v/>
      </c>
      <c r="M563" s="2" t="str">
        <f>TEXT(IFERROR(VLOOKUP(CONCATENATE(C563,D563),qdd!$C$2:$G$1000,5,FALSE),""),0)</f>
        <v/>
      </c>
      <c r="N563" s="2" t="str">
        <f>IFERROR(IF('PREENCHER AQUI'!I563="","",'PREENCHER AQUI'!I563),"")</f>
        <v/>
      </c>
      <c r="O563" s="2" t="str">
        <f>IFERROR(IF('PREENCHER AQUI'!J563="","",'PREENCHER AQUI'!J563),"")</f>
        <v/>
      </c>
      <c r="P563" s="7" t="str">
        <f t="shared" si="19"/>
        <v/>
      </c>
      <c r="Q563" s="8" t="str">
        <f>IFERROR(IF(Tabela4[[#This Row],[VALOR]]="","",IF(Tabela1[[#This Row],[ORIENTACAO]]="Anular",'PREENCHER AQUI'!K563*-1*100,'PREENCHER AQUI'!K563*100)),"")</f>
        <v/>
      </c>
      <c r="T563" s="7" t="str">
        <f>IFERROR(IF('PREENCHER AQUI'!L563="","999",LEFT('PREENCHER AQUI'!L563,1)),"")</f>
        <v>999</v>
      </c>
      <c r="V563" s="19"/>
      <c r="W563" s="1" t="str">
        <f>IFERROR(VLOOKUP(Tabela1[[#This Row],[UO_COD]],qdd!$AT$1:$AU$102,2,FALSE),"")</f>
        <v/>
      </c>
      <c r="X563" s="1" t="str">
        <f>CONCATENATE("F",Tabela1[[#This Row],[FONTE_COD]],Tabela1[[#This Row],[IPU_COD]],"G",Tabela1[[#This Row],[GRUPO_COD]],"T",Tabela1[[#This Row],[TIPO]])</f>
        <v>FGT999</v>
      </c>
      <c r="Y5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3" s="19"/>
      <c r="AA563" s="29" t="str">
        <f>IFERROR(VLOOKUP(CONCATENATE("B",Tabela1[[#This Row],[BLOCO]],Tabela1[[#This Row],[UO_COD]]),qdd!$AW$2:$AX$1000,2,FALSE),"")</f>
        <v/>
      </c>
      <c r="AB563" s="30" t="str">
        <f>IFERROR(Tabela1[[#This Row],[VALOR]]/100,"")</f>
        <v/>
      </c>
      <c r="AC563" s="7" t="str" cm="1">
        <f t="array" aca="1" ref="AC563" ca="1">IF(Tabela1[[#This Row],[VALOR]]&lt;0,"",IFERROR(SUBSTITUTE(Converter_numero(Tabela1[[#This Row],[VALOR INCISO]]),",",""),""))</f>
        <v/>
      </c>
      <c r="AD563" s="29" t="str">
        <f>IF(Tabela1[[#This Row],[TIPO]]=REGRAS!$W$2,REGRAS!$X$2,IF(Tabela1[[#This Row],[TIPO]]=REGRAS!$W$4,REGRAS!$X$4,""))</f>
        <v/>
      </c>
      <c r="AE563" s="29" t="e">
        <f>VLOOKUP(Tabela1[[#This Row],[FONTE_COD]],REGRAS!$O$2:$P$69,2,FALSE)</f>
        <v>#N/A</v>
      </c>
      <c r="AF5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4" spans="1:32" ht="18.75" customHeight="1">
      <c r="A564" s="2" t="str">
        <f>IFERROR(IF('PREENCHER AQUI'!A564="","",'PREENCHER AQUI'!A564),"")</f>
        <v/>
      </c>
      <c r="B564" s="1" t="str">
        <f>IFERROR(IF('PREENCHER AQUI'!B564="","",PROPER('PREENCHER AQUI'!B564)),"")</f>
        <v/>
      </c>
      <c r="C564" s="1" t="str">
        <f>IFERROR(IF('PREENCHER AQUI'!C564="","",'PREENCHER AQUI'!C564),"")</f>
        <v/>
      </c>
      <c r="D564" s="2" t="str">
        <f>IFERROR(IF('PREENCHER AQUI'!D564="","",'PREENCHER AQUI'!D564),"")</f>
        <v/>
      </c>
      <c r="E564" s="2" t="str">
        <f>IFERROR(VLOOKUP(CONCATENATE(C564,D564),qdd!$C$2:$F$1000,2,FALSE),"")</f>
        <v/>
      </c>
      <c r="F564" s="2" t="str">
        <f>IFERROR(VLOOKUP(CONCATENATE(C564,D564),qdd!$C$2:$F$1000,3,FALSE),"")</f>
        <v/>
      </c>
      <c r="G564" s="2" t="str">
        <f>IFERROR(VLOOKUP(CONCATENATE(C564,D564),qdd!$C$2:$F$1000,4,FALSE),"")</f>
        <v/>
      </c>
      <c r="H564" s="6" t="str">
        <f t="shared" si="18"/>
        <v/>
      </c>
      <c r="I5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4" s="2" t="str">
        <f>IFERROR(IF('PREENCHER AQUI'!E564="","",'PREENCHER AQUI'!E564),"")</f>
        <v/>
      </c>
      <c r="K564" s="2" t="str">
        <f>IFERROR(IF('PREENCHER AQUI'!F564="","",'PREENCHER AQUI'!F564),"")</f>
        <v/>
      </c>
      <c r="L564" s="2" t="str">
        <f>IF(Tabela1[[#This Row],[IPU_COD]]=9,"91",IF(Tabela1[[#This Row],[ACAO_COD]]="","",VLOOKUP(CONCATENATE("G",J564,"M",K564),qdd!$BC$2:$BD$46,2,FALSE)))</f>
        <v/>
      </c>
      <c r="M564" s="2" t="str">
        <f>TEXT(IFERROR(VLOOKUP(CONCATENATE(C564,D564),qdd!$C$2:$G$1000,5,FALSE),""),0)</f>
        <v/>
      </c>
      <c r="N564" s="2" t="str">
        <f>IFERROR(IF('PREENCHER AQUI'!I564="","",'PREENCHER AQUI'!I564),"")</f>
        <v/>
      </c>
      <c r="O564" s="2" t="str">
        <f>IFERROR(IF('PREENCHER AQUI'!J564="","",'PREENCHER AQUI'!J564),"")</f>
        <v/>
      </c>
      <c r="P564" s="7" t="str">
        <f t="shared" si="19"/>
        <v/>
      </c>
      <c r="Q564" s="8" t="str">
        <f>IFERROR(IF(Tabela4[[#This Row],[VALOR]]="","",IF(Tabela1[[#This Row],[ORIENTACAO]]="Anular",'PREENCHER AQUI'!K564*-1*100,'PREENCHER AQUI'!K564*100)),"")</f>
        <v/>
      </c>
      <c r="T564" s="7" t="str">
        <f>IFERROR(IF('PREENCHER AQUI'!L564="","999",LEFT('PREENCHER AQUI'!L564,1)),"")</f>
        <v>999</v>
      </c>
      <c r="V564" s="19"/>
      <c r="W564" s="1" t="str">
        <f>IFERROR(VLOOKUP(Tabela1[[#This Row],[UO_COD]],qdd!$AT$1:$AU$102,2,FALSE),"")</f>
        <v/>
      </c>
      <c r="X564" s="1" t="str">
        <f>CONCATENATE("F",Tabela1[[#This Row],[FONTE_COD]],Tabela1[[#This Row],[IPU_COD]],"G",Tabela1[[#This Row],[GRUPO_COD]],"T",Tabela1[[#This Row],[TIPO]])</f>
        <v>FGT999</v>
      </c>
      <c r="Y5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4" s="19"/>
      <c r="AA564" s="29" t="str">
        <f>IFERROR(VLOOKUP(CONCATENATE("B",Tabela1[[#This Row],[BLOCO]],Tabela1[[#This Row],[UO_COD]]),qdd!$AW$2:$AX$1000,2,FALSE),"")</f>
        <v/>
      </c>
      <c r="AB564" s="30" t="str">
        <f>IFERROR(Tabela1[[#This Row],[VALOR]]/100,"")</f>
        <v/>
      </c>
      <c r="AC564" s="7" t="str" cm="1">
        <f t="array" aca="1" ref="AC564" ca="1">IF(Tabela1[[#This Row],[VALOR]]&lt;0,"",IFERROR(SUBSTITUTE(Converter_numero(Tabela1[[#This Row],[VALOR INCISO]]),",",""),""))</f>
        <v/>
      </c>
      <c r="AD564" s="29" t="str">
        <f>IF(Tabela1[[#This Row],[TIPO]]=REGRAS!$W$2,REGRAS!$X$2,IF(Tabela1[[#This Row],[TIPO]]=REGRAS!$W$4,REGRAS!$X$4,""))</f>
        <v/>
      </c>
      <c r="AE564" s="29" t="e">
        <f>VLOOKUP(Tabela1[[#This Row],[FONTE_COD]],REGRAS!$O$2:$P$69,2,FALSE)</f>
        <v>#N/A</v>
      </c>
      <c r="AF5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5" spans="1:32" ht="18.75" customHeight="1">
      <c r="A565" s="2" t="str">
        <f>IFERROR(IF('PREENCHER AQUI'!A565="","",'PREENCHER AQUI'!A565),"")</f>
        <v/>
      </c>
      <c r="B565" s="1" t="str">
        <f>IFERROR(IF('PREENCHER AQUI'!B565="","",PROPER('PREENCHER AQUI'!B565)),"")</f>
        <v/>
      </c>
      <c r="C565" s="1" t="str">
        <f>IFERROR(IF('PREENCHER AQUI'!C565="","",'PREENCHER AQUI'!C565),"")</f>
        <v/>
      </c>
      <c r="D565" s="2" t="str">
        <f>IFERROR(IF('PREENCHER AQUI'!D565="","",'PREENCHER AQUI'!D565),"")</f>
        <v/>
      </c>
      <c r="E565" s="2" t="str">
        <f>IFERROR(VLOOKUP(CONCATENATE(C565,D565),qdd!$C$2:$F$1000,2,FALSE),"")</f>
        <v/>
      </c>
      <c r="F565" s="2" t="str">
        <f>IFERROR(VLOOKUP(CONCATENATE(C565,D565),qdd!$C$2:$F$1000,3,FALSE),"")</f>
        <v/>
      </c>
      <c r="G565" s="2" t="str">
        <f>IFERROR(VLOOKUP(CONCATENATE(C565,D565),qdd!$C$2:$F$1000,4,FALSE),"")</f>
        <v/>
      </c>
      <c r="H565" s="6" t="str">
        <f t="shared" si="18"/>
        <v/>
      </c>
      <c r="I5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5" s="2" t="str">
        <f>IFERROR(IF('PREENCHER AQUI'!E565="","",'PREENCHER AQUI'!E565),"")</f>
        <v/>
      </c>
      <c r="K565" s="2" t="str">
        <f>IFERROR(IF('PREENCHER AQUI'!F565="","",'PREENCHER AQUI'!F565),"")</f>
        <v/>
      </c>
      <c r="L565" s="2" t="str">
        <f>IF(Tabela1[[#This Row],[IPU_COD]]=9,"91",IF(Tabela1[[#This Row],[ACAO_COD]]="","",VLOOKUP(CONCATENATE("G",J565,"M",K565),qdd!$BC$2:$BD$46,2,FALSE)))</f>
        <v/>
      </c>
      <c r="M565" s="2" t="str">
        <f>TEXT(IFERROR(VLOOKUP(CONCATENATE(C565,D565),qdd!$C$2:$G$1000,5,FALSE),""),0)</f>
        <v/>
      </c>
      <c r="N565" s="2" t="str">
        <f>IFERROR(IF('PREENCHER AQUI'!I565="","",'PREENCHER AQUI'!I565),"")</f>
        <v/>
      </c>
      <c r="O565" s="2" t="str">
        <f>IFERROR(IF('PREENCHER AQUI'!J565="","",'PREENCHER AQUI'!J565),"")</f>
        <v/>
      </c>
      <c r="P565" s="7" t="str">
        <f t="shared" si="19"/>
        <v/>
      </c>
      <c r="Q565" s="8" t="str">
        <f>IFERROR(IF(Tabela4[[#This Row],[VALOR]]="","",IF(Tabela1[[#This Row],[ORIENTACAO]]="Anular",'PREENCHER AQUI'!K565*-1*100,'PREENCHER AQUI'!K565*100)),"")</f>
        <v/>
      </c>
      <c r="T565" s="7" t="str">
        <f>IFERROR(IF('PREENCHER AQUI'!L565="","999",LEFT('PREENCHER AQUI'!L565,1)),"")</f>
        <v>999</v>
      </c>
      <c r="V565" s="19"/>
      <c r="W565" s="20" t="str">
        <f>IFERROR(VLOOKUP(Tabela1[[#This Row],[UO_COD]],qdd!$AT$1:$AU$102,2,FALSE),"")</f>
        <v/>
      </c>
      <c r="X565" s="20" t="str">
        <f>CONCATENATE("F",Tabela1[[#This Row],[FONTE_COD]],Tabela1[[#This Row],[IPU_COD]],"G",Tabela1[[#This Row],[GRUPO_COD]],"T",Tabela1[[#This Row],[TIPO]])</f>
        <v>FGT999</v>
      </c>
      <c r="Y5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5" s="19"/>
      <c r="AA565" s="29" t="str">
        <f>IFERROR(VLOOKUP(CONCATENATE("B",Tabela1[[#This Row],[BLOCO]],Tabela1[[#This Row],[UO_COD]]),qdd!$AW$2:$AX$1000,2,FALSE),"")</f>
        <v/>
      </c>
      <c r="AB565" s="30" t="str">
        <f>IFERROR(Tabela1[[#This Row],[VALOR]]/100,"")</f>
        <v/>
      </c>
      <c r="AC565" s="7" t="str" cm="1">
        <f t="array" aca="1" ref="AC565" ca="1">IF(Tabela1[[#This Row],[VALOR]]&lt;0,"",IFERROR(SUBSTITUTE(Converter_numero(Tabela1[[#This Row],[VALOR INCISO]]),",",""),""))</f>
        <v/>
      </c>
      <c r="AD565" s="29" t="str">
        <f>IF(Tabela1[[#This Row],[TIPO]]=REGRAS!$W$2,REGRAS!$X$2,IF(Tabela1[[#This Row],[TIPO]]=REGRAS!$W$4,REGRAS!$X$4,""))</f>
        <v/>
      </c>
      <c r="AE565" s="29" t="e">
        <f>VLOOKUP(Tabela1[[#This Row],[FONTE_COD]],REGRAS!$O$2:$P$69,2,FALSE)</f>
        <v>#N/A</v>
      </c>
      <c r="AF5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6" spans="1:32" ht="18.75" customHeight="1">
      <c r="A566" s="2" t="str">
        <f>IFERROR(IF('PREENCHER AQUI'!A566="","",'PREENCHER AQUI'!A566),"")</f>
        <v/>
      </c>
      <c r="B566" s="1" t="str">
        <f>IFERROR(IF('PREENCHER AQUI'!B566="","",PROPER('PREENCHER AQUI'!B566)),"")</f>
        <v/>
      </c>
      <c r="C566" s="1" t="str">
        <f>IFERROR(IF('PREENCHER AQUI'!C566="","",'PREENCHER AQUI'!C566),"")</f>
        <v/>
      </c>
      <c r="D566" s="2" t="str">
        <f>IFERROR(IF('PREENCHER AQUI'!D566="","",'PREENCHER AQUI'!D566),"")</f>
        <v/>
      </c>
      <c r="E566" s="2" t="str">
        <f>IFERROR(VLOOKUP(CONCATENATE(C566,D566),qdd!$C$2:$F$1000,2,FALSE),"")</f>
        <v/>
      </c>
      <c r="F566" s="2" t="str">
        <f>IFERROR(VLOOKUP(CONCATENATE(C566,D566),qdd!$C$2:$F$1000,3,FALSE),"")</f>
        <v/>
      </c>
      <c r="G566" s="2" t="str">
        <f>IFERROR(VLOOKUP(CONCATENATE(C566,D566),qdd!$C$2:$F$1000,4,FALSE),"")</f>
        <v/>
      </c>
      <c r="H566" s="6" t="str">
        <f t="shared" si="18"/>
        <v/>
      </c>
      <c r="I5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6" s="2" t="str">
        <f>IFERROR(IF('PREENCHER AQUI'!E566="","",'PREENCHER AQUI'!E566),"")</f>
        <v/>
      </c>
      <c r="K566" s="2" t="str">
        <f>IFERROR(IF('PREENCHER AQUI'!F566="","",'PREENCHER AQUI'!F566),"")</f>
        <v/>
      </c>
      <c r="L566" s="2" t="str">
        <f>IF(Tabela1[[#This Row],[IPU_COD]]=9,"91",IF(Tabela1[[#This Row],[ACAO_COD]]="","",VLOOKUP(CONCATENATE("G",J566,"M",K566),qdd!$BC$2:$BD$46,2,FALSE)))</f>
        <v/>
      </c>
      <c r="M566" s="2" t="str">
        <f>TEXT(IFERROR(VLOOKUP(CONCATENATE(C566,D566),qdd!$C$2:$G$1000,5,FALSE),""),0)</f>
        <v/>
      </c>
      <c r="N566" s="2" t="str">
        <f>IFERROR(IF('PREENCHER AQUI'!I566="","",'PREENCHER AQUI'!I566),"")</f>
        <v/>
      </c>
      <c r="O566" s="2" t="str">
        <f>IFERROR(IF('PREENCHER AQUI'!J566="","",'PREENCHER AQUI'!J566),"")</f>
        <v/>
      </c>
      <c r="P566" s="7" t="str">
        <f t="shared" si="19"/>
        <v/>
      </c>
      <c r="Q566" s="8" t="str">
        <f>IFERROR(IF(Tabela4[[#This Row],[VALOR]]="","",IF(Tabela1[[#This Row],[ORIENTACAO]]="Anular",'PREENCHER AQUI'!K566*-1*100,'PREENCHER AQUI'!K566*100)),"")</f>
        <v/>
      </c>
      <c r="T566" s="7" t="str">
        <f>IFERROR(IF('PREENCHER AQUI'!L566="","999",LEFT('PREENCHER AQUI'!L566,1)),"")</f>
        <v>999</v>
      </c>
      <c r="V566" s="19"/>
      <c r="W566" s="1" t="str">
        <f>IFERROR(VLOOKUP(Tabela1[[#This Row],[UO_COD]],qdd!$AT$1:$AU$102,2,FALSE),"")</f>
        <v/>
      </c>
      <c r="X566" s="1" t="str">
        <f>CONCATENATE("F",Tabela1[[#This Row],[FONTE_COD]],Tabela1[[#This Row],[IPU_COD]],"G",Tabela1[[#This Row],[GRUPO_COD]],"T",Tabela1[[#This Row],[TIPO]])</f>
        <v>FGT999</v>
      </c>
      <c r="Y5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6" s="19"/>
      <c r="AA566" s="29" t="str">
        <f>IFERROR(VLOOKUP(CONCATENATE("B",Tabela1[[#This Row],[BLOCO]],Tabela1[[#This Row],[UO_COD]]),qdd!$AW$2:$AX$1000,2,FALSE),"")</f>
        <v/>
      </c>
      <c r="AB566" s="30" t="str">
        <f>IFERROR(Tabela1[[#This Row],[VALOR]]/100,"")</f>
        <v/>
      </c>
      <c r="AC566" s="7" t="str" cm="1">
        <f t="array" aca="1" ref="AC566" ca="1">IF(Tabela1[[#This Row],[VALOR]]&lt;0,"",IFERROR(SUBSTITUTE(Converter_numero(Tabela1[[#This Row],[VALOR INCISO]]),",",""),""))</f>
        <v/>
      </c>
      <c r="AD566" s="29" t="str">
        <f>IF(Tabela1[[#This Row],[TIPO]]=REGRAS!$W$2,REGRAS!$X$2,IF(Tabela1[[#This Row],[TIPO]]=REGRAS!$W$4,REGRAS!$X$4,""))</f>
        <v/>
      </c>
      <c r="AE566" s="29" t="e">
        <f>VLOOKUP(Tabela1[[#This Row],[FONTE_COD]],REGRAS!$O$2:$P$69,2,FALSE)</f>
        <v>#N/A</v>
      </c>
      <c r="AF5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7" spans="1:32" ht="18.75" customHeight="1">
      <c r="A567" s="2" t="str">
        <f>IFERROR(IF('PREENCHER AQUI'!A567="","",'PREENCHER AQUI'!A567),"")</f>
        <v/>
      </c>
      <c r="B567" s="1" t="str">
        <f>IFERROR(IF('PREENCHER AQUI'!B567="","",PROPER('PREENCHER AQUI'!B567)),"")</f>
        <v/>
      </c>
      <c r="C567" s="1" t="str">
        <f>IFERROR(IF('PREENCHER AQUI'!C567="","",'PREENCHER AQUI'!C567),"")</f>
        <v/>
      </c>
      <c r="D567" s="2" t="str">
        <f>IFERROR(IF('PREENCHER AQUI'!D567="","",'PREENCHER AQUI'!D567),"")</f>
        <v/>
      </c>
      <c r="E567" s="2" t="str">
        <f>IFERROR(VLOOKUP(CONCATENATE(C567,D567),qdd!$C$2:$F$1000,2,FALSE),"")</f>
        <v/>
      </c>
      <c r="F567" s="2" t="str">
        <f>IFERROR(VLOOKUP(CONCATENATE(C567,D567),qdd!$C$2:$F$1000,3,FALSE),"")</f>
        <v/>
      </c>
      <c r="G567" s="2" t="str">
        <f>IFERROR(VLOOKUP(CONCATENATE(C567,D567),qdd!$C$2:$F$1000,4,FALSE),"")</f>
        <v/>
      </c>
      <c r="H567" s="6" t="str">
        <f t="shared" si="18"/>
        <v/>
      </c>
      <c r="I5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7" s="2" t="str">
        <f>IFERROR(IF('PREENCHER AQUI'!E567="","",'PREENCHER AQUI'!E567),"")</f>
        <v/>
      </c>
      <c r="K567" s="2" t="str">
        <f>IFERROR(IF('PREENCHER AQUI'!F567="","",'PREENCHER AQUI'!F567),"")</f>
        <v/>
      </c>
      <c r="L567" s="2" t="str">
        <f>IF(Tabela1[[#This Row],[IPU_COD]]=9,"91",IF(Tabela1[[#This Row],[ACAO_COD]]="","",VLOOKUP(CONCATENATE("G",J567,"M",K567),qdd!$BC$2:$BD$46,2,FALSE)))</f>
        <v/>
      </c>
      <c r="M567" s="2" t="str">
        <f>TEXT(IFERROR(VLOOKUP(CONCATENATE(C567,D567),qdd!$C$2:$G$1000,5,FALSE),""),0)</f>
        <v/>
      </c>
      <c r="N567" s="2" t="str">
        <f>IFERROR(IF('PREENCHER AQUI'!I567="","",'PREENCHER AQUI'!I567),"")</f>
        <v/>
      </c>
      <c r="O567" s="2" t="str">
        <f>IFERROR(IF('PREENCHER AQUI'!J567="","",'PREENCHER AQUI'!J567),"")</f>
        <v/>
      </c>
      <c r="P567" s="7" t="str">
        <f t="shared" si="19"/>
        <v/>
      </c>
      <c r="Q567" s="8" t="str">
        <f>IFERROR(IF(Tabela4[[#This Row],[VALOR]]="","",IF(Tabela1[[#This Row],[ORIENTACAO]]="Anular",'PREENCHER AQUI'!K567*-1*100,'PREENCHER AQUI'!K567*100)),"")</f>
        <v/>
      </c>
      <c r="T567" s="7" t="str">
        <f>IFERROR(IF('PREENCHER AQUI'!L567="","999",LEFT('PREENCHER AQUI'!L567,1)),"")</f>
        <v>999</v>
      </c>
      <c r="W567" s="1" t="str">
        <f>IFERROR(VLOOKUP(Tabela1[[#This Row],[UO_COD]],qdd!$AT$1:$AU$102,2,FALSE),"")</f>
        <v/>
      </c>
      <c r="X567" s="1" t="str">
        <f>CONCATENATE("F",Tabela1[[#This Row],[FONTE_COD]],Tabela1[[#This Row],[IPU_COD]],"G",Tabela1[[#This Row],[GRUPO_COD]],"T",Tabela1[[#This Row],[TIPO]])</f>
        <v>FGT999</v>
      </c>
      <c r="Y5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7" s="19"/>
      <c r="AA567" s="29" t="str">
        <f>IFERROR(VLOOKUP(CONCATENATE("B",Tabela1[[#This Row],[BLOCO]],Tabela1[[#This Row],[UO_COD]]),qdd!$AW$2:$AX$1000,2,FALSE),"")</f>
        <v/>
      </c>
      <c r="AB567" s="30" t="str">
        <f>IFERROR(Tabela1[[#This Row],[VALOR]]/100,"")</f>
        <v/>
      </c>
      <c r="AC567" s="7" t="str" cm="1">
        <f t="array" aca="1" ref="AC567" ca="1">IF(Tabela1[[#This Row],[VALOR]]&lt;0,"",IFERROR(SUBSTITUTE(Converter_numero(Tabela1[[#This Row],[VALOR INCISO]]),",",""),""))</f>
        <v/>
      </c>
      <c r="AD567" s="7" t="str">
        <f>IF(Tabela1[[#This Row],[TIPO]]=REGRAS!$W$2,REGRAS!$X$2,IF(Tabela1[[#This Row],[TIPO]]=REGRAS!$W$4,REGRAS!$X$4,""))</f>
        <v/>
      </c>
      <c r="AE567" s="29" t="e">
        <f>VLOOKUP(Tabela1[[#This Row],[FONTE_COD]],REGRAS!$O$2:$P$69,2,FALSE)</f>
        <v>#N/A</v>
      </c>
      <c r="AF5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8" spans="1:32" ht="18.75" customHeight="1">
      <c r="A568" s="2" t="str">
        <f>IFERROR(IF('PREENCHER AQUI'!A568="","",'PREENCHER AQUI'!A568),"")</f>
        <v/>
      </c>
      <c r="B568" s="1" t="str">
        <f>IFERROR(IF('PREENCHER AQUI'!B568="","",PROPER('PREENCHER AQUI'!B568)),"")</f>
        <v/>
      </c>
      <c r="C568" s="1" t="str">
        <f>IFERROR(IF('PREENCHER AQUI'!C568="","",'PREENCHER AQUI'!C568),"")</f>
        <v/>
      </c>
      <c r="D568" s="2" t="str">
        <f>IFERROR(IF('PREENCHER AQUI'!D568="","",'PREENCHER AQUI'!D568),"")</f>
        <v/>
      </c>
      <c r="E568" s="2" t="str">
        <f>IFERROR(VLOOKUP(CONCATENATE(C568,D568),qdd!$C$2:$F$1000,2,FALSE),"")</f>
        <v/>
      </c>
      <c r="F568" s="2" t="str">
        <f>IFERROR(VLOOKUP(CONCATENATE(C568,D568),qdd!$C$2:$F$1000,3,FALSE),"")</f>
        <v/>
      </c>
      <c r="G568" s="2" t="str">
        <f>IFERROR(VLOOKUP(CONCATENATE(C568,D568),qdd!$C$2:$F$1000,4,FALSE),"")</f>
        <v/>
      </c>
      <c r="H568" s="6" t="str">
        <f t="shared" si="18"/>
        <v/>
      </c>
      <c r="I5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8" s="2" t="str">
        <f>IFERROR(IF('PREENCHER AQUI'!E568="","",'PREENCHER AQUI'!E568),"")</f>
        <v/>
      </c>
      <c r="K568" s="2" t="str">
        <f>IFERROR(IF('PREENCHER AQUI'!F568="","",'PREENCHER AQUI'!F568),"")</f>
        <v/>
      </c>
      <c r="L568" s="2" t="str">
        <f>IF(Tabela1[[#This Row],[IPU_COD]]=9,"91",IF(Tabela1[[#This Row],[ACAO_COD]]="","",VLOOKUP(CONCATENATE("G",J568,"M",K568),qdd!$BC$2:$BD$46,2,FALSE)))</f>
        <v/>
      </c>
      <c r="M568" s="2" t="str">
        <f>TEXT(IFERROR(VLOOKUP(CONCATENATE(C568,D568),qdd!$C$2:$G$1000,5,FALSE),""),0)</f>
        <v/>
      </c>
      <c r="N568" s="2" t="str">
        <f>IFERROR(IF('PREENCHER AQUI'!I568="","",'PREENCHER AQUI'!I568),"")</f>
        <v/>
      </c>
      <c r="O568" s="2" t="str">
        <f>IFERROR(IF('PREENCHER AQUI'!J568="","",'PREENCHER AQUI'!J568),"")</f>
        <v/>
      </c>
      <c r="P568" s="7" t="str">
        <f t="shared" si="19"/>
        <v/>
      </c>
      <c r="Q568" s="8" t="str">
        <f>IFERROR(IF(Tabela4[[#This Row],[VALOR]]="","",IF(Tabela1[[#This Row],[ORIENTACAO]]="Anular",'PREENCHER AQUI'!K568*-1*100,'PREENCHER AQUI'!K568*100)),"")</f>
        <v/>
      </c>
      <c r="T568" s="7" t="str">
        <f>IFERROR(IF('PREENCHER AQUI'!L568="","999",LEFT('PREENCHER AQUI'!L568,1)),"")</f>
        <v>999</v>
      </c>
      <c r="V568" s="19"/>
      <c r="W568" s="1" t="str">
        <f>IFERROR(VLOOKUP(Tabela1[[#This Row],[UO_COD]],qdd!$AT$1:$AU$102,2,FALSE),"")</f>
        <v/>
      </c>
      <c r="X568" s="1" t="str">
        <f>CONCATENATE("F",Tabela1[[#This Row],[FONTE_COD]],Tabela1[[#This Row],[IPU_COD]],"G",Tabela1[[#This Row],[GRUPO_COD]],"T",Tabela1[[#This Row],[TIPO]])</f>
        <v>FGT999</v>
      </c>
      <c r="Y5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8" s="19"/>
      <c r="AA568" s="29" t="str">
        <f>IFERROR(VLOOKUP(CONCATENATE("B",Tabela1[[#This Row],[BLOCO]],Tabela1[[#This Row],[UO_COD]]),qdd!$AW$2:$AX$1000,2,FALSE),"")</f>
        <v/>
      </c>
      <c r="AB568" s="30" t="str">
        <f>IFERROR(Tabela1[[#This Row],[VALOR]]/100,"")</f>
        <v/>
      </c>
      <c r="AC568" s="7" t="str" cm="1">
        <f t="array" aca="1" ref="AC568" ca="1">IF(Tabela1[[#This Row],[VALOR]]&lt;0,"",IFERROR(SUBSTITUTE(Converter_numero(Tabela1[[#This Row],[VALOR INCISO]]),",",""),""))</f>
        <v/>
      </c>
      <c r="AD568" s="29" t="str">
        <f>IF(Tabela1[[#This Row],[TIPO]]=REGRAS!$W$2,REGRAS!$X$2,IF(Tabela1[[#This Row],[TIPO]]=REGRAS!$W$4,REGRAS!$X$4,""))</f>
        <v/>
      </c>
      <c r="AE568" s="29" t="e">
        <f>VLOOKUP(Tabela1[[#This Row],[FONTE_COD]],REGRAS!$O$2:$P$69,2,FALSE)</f>
        <v>#N/A</v>
      </c>
      <c r="AF5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9" spans="1:32" ht="18.75" customHeight="1">
      <c r="A569" s="2" t="str">
        <f>IFERROR(IF('PREENCHER AQUI'!A569="","",'PREENCHER AQUI'!A569),"")</f>
        <v/>
      </c>
      <c r="B569" s="1" t="str">
        <f>IFERROR(IF('PREENCHER AQUI'!B569="","",PROPER('PREENCHER AQUI'!B569)),"")</f>
        <v/>
      </c>
      <c r="C569" s="1" t="str">
        <f>IFERROR(IF('PREENCHER AQUI'!C569="","",'PREENCHER AQUI'!C569),"")</f>
        <v/>
      </c>
      <c r="D569" s="2" t="str">
        <f>IFERROR(IF('PREENCHER AQUI'!D569="","",'PREENCHER AQUI'!D569),"")</f>
        <v/>
      </c>
      <c r="E569" s="2" t="str">
        <f>IFERROR(VLOOKUP(CONCATENATE(C569,D569),qdd!$C$2:$F$1000,2,FALSE),"")</f>
        <v/>
      </c>
      <c r="F569" s="2" t="str">
        <f>IFERROR(VLOOKUP(CONCATENATE(C569,D569),qdd!$C$2:$F$1000,3,FALSE),"")</f>
        <v/>
      </c>
      <c r="G569" s="2" t="str">
        <f>IFERROR(VLOOKUP(CONCATENATE(C569,D569),qdd!$C$2:$F$1000,4,FALSE),"")</f>
        <v/>
      </c>
      <c r="H569" s="6" t="str">
        <f t="shared" si="18"/>
        <v/>
      </c>
      <c r="I5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9" s="2" t="str">
        <f>IFERROR(IF('PREENCHER AQUI'!E569="","",'PREENCHER AQUI'!E569),"")</f>
        <v/>
      </c>
      <c r="K569" s="2" t="str">
        <f>IFERROR(IF('PREENCHER AQUI'!F569="","",'PREENCHER AQUI'!F569),"")</f>
        <v/>
      </c>
      <c r="L569" s="2" t="str">
        <f>IF(Tabela1[[#This Row],[IPU_COD]]=9,"91",IF(Tabela1[[#This Row],[ACAO_COD]]="","",VLOOKUP(CONCATENATE("G",J569,"M",K569),qdd!$BC$2:$BD$46,2,FALSE)))</f>
        <v/>
      </c>
      <c r="M569" s="2" t="str">
        <f>TEXT(IFERROR(VLOOKUP(CONCATENATE(C569,D569),qdd!$C$2:$G$1000,5,FALSE),""),0)</f>
        <v/>
      </c>
      <c r="N569" s="2" t="str">
        <f>IFERROR(IF('PREENCHER AQUI'!I569="","",'PREENCHER AQUI'!I569),"")</f>
        <v/>
      </c>
      <c r="O569" s="2" t="str">
        <f>IFERROR(IF('PREENCHER AQUI'!J569="","",'PREENCHER AQUI'!J569),"")</f>
        <v/>
      </c>
      <c r="P569" s="7" t="str">
        <f t="shared" si="19"/>
        <v/>
      </c>
      <c r="Q569" s="8" t="str">
        <f>IFERROR(IF(Tabela4[[#This Row],[VALOR]]="","",IF(Tabela1[[#This Row],[ORIENTACAO]]="Anular",'PREENCHER AQUI'!K569*-1*100,'PREENCHER AQUI'!K569*100)),"")</f>
        <v/>
      </c>
      <c r="T569" s="7" t="str">
        <f>IFERROR(IF('PREENCHER AQUI'!L569="","999",LEFT('PREENCHER AQUI'!L569,1)),"")</f>
        <v>999</v>
      </c>
      <c r="V569" s="19"/>
      <c r="W569" s="1" t="str">
        <f>IFERROR(VLOOKUP(Tabela1[[#This Row],[UO_COD]],qdd!$AT$1:$AU$102,2,FALSE),"")</f>
        <v/>
      </c>
      <c r="X569" s="1" t="str">
        <f>CONCATENATE("F",Tabela1[[#This Row],[FONTE_COD]],Tabela1[[#This Row],[IPU_COD]],"G",Tabela1[[#This Row],[GRUPO_COD]],"T",Tabela1[[#This Row],[TIPO]])</f>
        <v>FGT999</v>
      </c>
      <c r="Y5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9" s="19"/>
      <c r="AA569" s="29" t="str">
        <f>IFERROR(VLOOKUP(CONCATENATE("B",Tabela1[[#This Row],[BLOCO]],Tabela1[[#This Row],[UO_COD]]),qdd!$AW$2:$AX$1000,2,FALSE),"")</f>
        <v/>
      </c>
      <c r="AB569" s="30" t="str">
        <f>IFERROR(Tabela1[[#This Row],[VALOR]]/100,"")</f>
        <v/>
      </c>
      <c r="AC569" s="7" t="str" cm="1">
        <f t="array" aca="1" ref="AC569" ca="1">IF(Tabela1[[#This Row],[VALOR]]&lt;0,"",IFERROR(SUBSTITUTE(Converter_numero(Tabela1[[#This Row],[VALOR INCISO]]),",",""),""))</f>
        <v/>
      </c>
      <c r="AD569" s="29" t="str">
        <f>IF(Tabela1[[#This Row],[TIPO]]=REGRAS!$W$2,REGRAS!$X$2,IF(Tabela1[[#This Row],[TIPO]]=REGRAS!$W$4,REGRAS!$X$4,""))</f>
        <v/>
      </c>
      <c r="AE569" s="29" t="e">
        <f>VLOOKUP(Tabela1[[#This Row],[FONTE_COD]],REGRAS!$O$2:$P$69,2,FALSE)</f>
        <v>#N/A</v>
      </c>
      <c r="AF5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0" spans="1:32" ht="18.75" customHeight="1">
      <c r="A570" s="2" t="str">
        <f>IFERROR(IF('PREENCHER AQUI'!A570="","",'PREENCHER AQUI'!A570),"")</f>
        <v/>
      </c>
      <c r="B570" s="1" t="str">
        <f>IFERROR(IF('PREENCHER AQUI'!B570="","",PROPER('PREENCHER AQUI'!B570)),"")</f>
        <v/>
      </c>
      <c r="C570" s="1" t="str">
        <f>IFERROR(IF('PREENCHER AQUI'!C570="","",'PREENCHER AQUI'!C570),"")</f>
        <v/>
      </c>
      <c r="D570" s="2" t="str">
        <f>IFERROR(IF('PREENCHER AQUI'!D570="","",'PREENCHER AQUI'!D570),"")</f>
        <v/>
      </c>
      <c r="E570" s="2" t="str">
        <f>IFERROR(VLOOKUP(CONCATENATE(C570,D570),qdd!$C$2:$F$1000,2,FALSE),"")</f>
        <v/>
      </c>
      <c r="F570" s="2" t="str">
        <f>IFERROR(VLOOKUP(CONCATENATE(C570,D570),qdd!$C$2:$F$1000,3,FALSE),"")</f>
        <v/>
      </c>
      <c r="G570" s="2" t="str">
        <f>IFERROR(VLOOKUP(CONCATENATE(C570,D570),qdd!$C$2:$F$1000,4,FALSE),"")</f>
        <v/>
      </c>
      <c r="H570" s="6" t="str">
        <f t="shared" si="18"/>
        <v/>
      </c>
      <c r="I5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0" s="2" t="str">
        <f>IFERROR(IF('PREENCHER AQUI'!E570="","",'PREENCHER AQUI'!E570),"")</f>
        <v/>
      </c>
      <c r="K570" s="2" t="str">
        <f>IFERROR(IF('PREENCHER AQUI'!F570="","",'PREENCHER AQUI'!F570),"")</f>
        <v/>
      </c>
      <c r="L570" s="2" t="str">
        <f>IF(Tabela1[[#This Row],[IPU_COD]]=9,"91",IF(Tabela1[[#This Row],[ACAO_COD]]="","",VLOOKUP(CONCATENATE("G",J570,"M",K570),qdd!$BC$2:$BD$46,2,FALSE)))</f>
        <v/>
      </c>
      <c r="M570" s="2" t="str">
        <f>TEXT(IFERROR(VLOOKUP(CONCATENATE(C570,D570),qdd!$C$2:$G$1000,5,FALSE),""),0)</f>
        <v/>
      </c>
      <c r="N570" s="2" t="str">
        <f>IFERROR(IF('PREENCHER AQUI'!I570="","",'PREENCHER AQUI'!I570),"")</f>
        <v/>
      </c>
      <c r="O570" s="2" t="str">
        <f>IFERROR(IF('PREENCHER AQUI'!J570="","",'PREENCHER AQUI'!J570),"")</f>
        <v/>
      </c>
      <c r="P570" s="7" t="str">
        <f t="shared" si="19"/>
        <v/>
      </c>
      <c r="Q570" s="8" t="str">
        <f>IFERROR(IF(Tabela4[[#This Row],[VALOR]]="","",IF(Tabela1[[#This Row],[ORIENTACAO]]="Anular",'PREENCHER AQUI'!K570*-1*100,'PREENCHER AQUI'!K570*100)),"")</f>
        <v/>
      </c>
      <c r="T570" s="7" t="str">
        <f>IFERROR(IF('PREENCHER AQUI'!L570="","999",LEFT('PREENCHER AQUI'!L570,1)),"")</f>
        <v>999</v>
      </c>
      <c r="V570" s="19"/>
      <c r="W570" s="20" t="str">
        <f>IFERROR(VLOOKUP(Tabela1[[#This Row],[UO_COD]],qdd!$AT$1:$AU$102,2,FALSE),"")</f>
        <v/>
      </c>
      <c r="X570" s="20" t="str">
        <f>CONCATENATE("F",Tabela1[[#This Row],[FONTE_COD]],Tabela1[[#This Row],[IPU_COD]],"G",Tabela1[[#This Row],[GRUPO_COD]],"T",Tabela1[[#This Row],[TIPO]])</f>
        <v>FGT999</v>
      </c>
      <c r="Y5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0" s="19"/>
      <c r="AA570" s="29" t="str">
        <f>IFERROR(VLOOKUP(CONCATENATE("B",Tabela1[[#This Row],[BLOCO]],Tabela1[[#This Row],[UO_COD]]),qdd!$AW$2:$AX$1000,2,FALSE),"")</f>
        <v/>
      </c>
      <c r="AB570" s="30" t="str">
        <f>IFERROR(Tabela1[[#This Row],[VALOR]]/100,"")</f>
        <v/>
      </c>
      <c r="AC570" s="7" t="str" cm="1">
        <f t="array" aca="1" ref="AC570" ca="1">IF(Tabela1[[#This Row],[VALOR]]&lt;0,"",IFERROR(SUBSTITUTE(Converter_numero(Tabela1[[#This Row],[VALOR INCISO]]),",",""),""))</f>
        <v/>
      </c>
      <c r="AD570" s="29" t="str">
        <f>IF(Tabela1[[#This Row],[TIPO]]=REGRAS!$W$2,REGRAS!$X$2,IF(Tabela1[[#This Row],[TIPO]]=REGRAS!$W$4,REGRAS!$X$4,""))</f>
        <v/>
      </c>
      <c r="AE570" s="29" t="e">
        <f>VLOOKUP(Tabela1[[#This Row],[FONTE_COD]],REGRAS!$O$2:$P$69,2,FALSE)</f>
        <v>#N/A</v>
      </c>
      <c r="AF5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1" spans="1:32" ht="18.75" customHeight="1">
      <c r="A571" s="2" t="str">
        <f>IFERROR(IF('PREENCHER AQUI'!A571="","",'PREENCHER AQUI'!A571),"")</f>
        <v/>
      </c>
      <c r="B571" s="1" t="str">
        <f>IFERROR(IF('PREENCHER AQUI'!B571="","",PROPER('PREENCHER AQUI'!B571)),"")</f>
        <v/>
      </c>
      <c r="C571" s="1" t="str">
        <f>IFERROR(IF('PREENCHER AQUI'!C571="","",'PREENCHER AQUI'!C571),"")</f>
        <v/>
      </c>
      <c r="D571" s="2" t="str">
        <f>IFERROR(IF('PREENCHER AQUI'!D571="","",'PREENCHER AQUI'!D571),"")</f>
        <v/>
      </c>
      <c r="E571" s="2" t="str">
        <f>IFERROR(VLOOKUP(CONCATENATE(C571,D571),qdd!$C$2:$F$1000,2,FALSE),"")</f>
        <v/>
      </c>
      <c r="F571" s="2" t="str">
        <f>IFERROR(VLOOKUP(CONCATENATE(C571,D571),qdd!$C$2:$F$1000,3,FALSE),"")</f>
        <v/>
      </c>
      <c r="G571" s="2" t="str">
        <f>IFERROR(VLOOKUP(CONCATENATE(C571,D571),qdd!$C$2:$F$1000,4,FALSE),"")</f>
        <v/>
      </c>
      <c r="H571" s="6" t="str">
        <f t="shared" si="18"/>
        <v/>
      </c>
      <c r="I5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1" s="2" t="str">
        <f>IFERROR(IF('PREENCHER AQUI'!E571="","",'PREENCHER AQUI'!E571),"")</f>
        <v/>
      </c>
      <c r="K571" s="2" t="str">
        <f>IFERROR(IF('PREENCHER AQUI'!F571="","",'PREENCHER AQUI'!F571),"")</f>
        <v/>
      </c>
      <c r="L571" s="2" t="str">
        <f>IF(Tabela1[[#This Row],[IPU_COD]]=9,"91",IF(Tabela1[[#This Row],[ACAO_COD]]="","",VLOOKUP(CONCATENATE("G",J571,"M",K571),qdd!$BC$2:$BD$46,2,FALSE)))</f>
        <v/>
      </c>
      <c r="M571" s="2" t="str">
        <f>TEXT(IFERROR(VLOOKUP(CONCATENATE(C571,D571),qdd!$C$2:$G$1000,5,FALSE),""),0)</f>
        <v/>
      </c>
      <c r="N571" s="2" t="str">
        <f>IFERROR(IF('PREENCHER AQUI'!I571="","",'PREENCHER AQUI'!I571),"")</f>
        <v/>
      </c>
      <c r="O571" s="2" t="str">
        <f>IFERROR(IF('PREENCHER AQUI'!J571="","",'PREENCHER AQUI'!J571),"")</f>
        <v/>
      </c>
      <c r="P571" s="7" t="str">
        <f t="shared" si="19"/>
        <v/>
      </c>
      <c r="Q571" s="8" t="str">
        <f>IFERROR(IF(Tabela4[[#This Row],[VALOR]]="","",IF(Tabela1[[#This Row],[ORIENTACAO]]="Anular",'PREENCHER AQUI'!K571*-1*100,'PREENCHER AQUI'!K571*100)),"")</f>
        <v/>
      </c>
      <c r="T571" s="7" t="str">
        <f>IFERROR(IF('PREENCHER AQUI'!L571="","999",LEFT('PREENCHER AQUI'!L571,1)),"")</f>
        <v>999</v>
      </c>
      <c r="V571" s="19"/>
      <c r="W571" s="1" t="str">
        <f>IFERROR(VLOOKUP(Tabela1[[#This Row],[UO_COD]],qdd!$AT$1:$AU$102,2,FALSE),"")</f>
        <v/>
      </c>
      <c r="X571" s="1" t="str">
        <f>CONCATENATE("F",Tabela1[[#This Row],[FONTE_COD]],Tabela1[[#This Row],[IPU_COD]],"G",Tabela1[[#This Row],[GRUPO_COD]],"T",Tabela1[[#This Row],[TIPO]])</f>
        <v>FGT999</v>
      </c>
      <c r="Y5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1" s="19"/>
      <c r="AA571" s="29" t="str">
        <f>IFERROR(VLOOKUP(CONCATENATE("B",Tabela1[[#This Row],[BLOCO]],Tabela1[[#This Row],[UO_COD]]),qdd!$AW$2:$AX$1000,2,FALSE),"")</f>
        <v/>
      </c>
      <c r="AB571" s="30" t="str">
        <f>IFERROR(Tabela1[[#This Row],[VALOR]]/100,"")</f>
        <v/>
      </c>
      <c r="AC571" s="7" t="str" cm="1">
        <f t="array" aca="1" ref="AC571" ca="1">IF(Tabela1[[#This Row],[VALOR]]&lt;0,"",IFERROR(SUBSTITUTE(Converter_numero(Tabela1[[#This Row],[VALOR INCISO]]),",",""),""))</f>
        <v/>
      </c>
      <c r="AD571" s="29" t="str">
        <f>IF(Tabela1[[#This Row],[TIPO]]=REGRAS!$W$2,REGRAS!$X$2,IF(Tabela1[[#This Row],[TIPO]]=REGRAS!$W$4,REGRAS!$X$4,""))</f>
        <v/>
      </c>
      <c r="AE571" s="29" t="e">
        <f>VLOOKUP(Tabela1[[#This Row],[FONTE_COD]],REGRAS!$O$2:$P$69,2,FALSE)</f>
        <v>#N/A</v>
      </c>
      <c r="AF5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2" spans="1:32" ht="18.75" customHeight="1">
      <c r="A572" s="2" t="str">
        <f>IFERROR(IF('PREENCHER AQUI'!A572="","",'PREENCHER AQUI'!A572),"")</f>
        <v/>
      </c>
      <c r="B572" s="1" t="str">
        <f>IFERROR(IF('PREENCHER AQUI'!B572="","",PROPER('PREENCHER AQUI'!B572)),"")</f>
        <v/>
      </c>
      <c r="C572" s="1" t="str">
        <f>IFERROR(IF('PREENCHER AQUI'!C572="","",'PREENCHER AQUI'!C572),"")</f>
        <v/>
      </c>
      <c r="D572" s="2" t="str">
        <f>IFERROR(IF('PREENCHER AQUI'!D572="","",'PREENCHER AQUI'!D572),"")</f>
        <v/>
      </c>
      <c r="E572" s="2" t="str">
        <f>IFERROR(VLOOKUP(CONCATENATE(C572,D572),qdd!$C$2:$F$1000,2,FALSE),"")</f>
        <v/>
      </c>
      <c r="F572" s="2" t="str">
        <f>IFERROR(VLOOKUP(CONCATENATE(C572,D572),qdd!$C$2:$F$1000,3,FALSE),"")</f>
        <v/>
      </c>
      <c r="G572" s="2" t="str">
        <f>IFERROR(VLOOKUP(CONCATENATE(C572,D572),qdd!$C$2:$F$1000,4,FALSE),"")</f>
        <v/>
      </c>
      <c r="H572" s="6" t="str">
        <f t="shared" si="18"/>
        <v/>
      </c>
      <c r="I5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2" s="2" t="str">
        <f>IFERROR(IF('PREENCHER AQUI'!E572="","",'PREENCHER AQUI'!E572),"")</f>
        <v/>
      </c>
      <c r="K572" s="2" t="str">
        <f>IFERROR(IF('PREENCHER AQUI'!F572="","",'PREENCHER AQUI'!F572),"")</f>
        <v/>
      </c>
      <c r="L572" s="2" t="str">
        <f>IF(Tabela1[[#This Row],[IPU_COD]]=9,"91",IF(Tabela1[[#This Row],[ACAO_COD]]="","",VLOOKUP(CONCATENATE("G",J572,"M",K572),qdd!$BC$2:$BD$46,2,FALSE)))</f>
        <v/>
      </c>
      <c r="M572" s="2" t="str">
        <f>TEXT(IFERROR(VLOOKUP(CONCATENATE(C572,D572),qdd!$C$2:$G$1000,5,FALSE),""),0)</f>
        <v/>
      </c>
      <c r="N572" s="2" t="str">
        <f>IFERROR(IF('PREENCHER AQUI'!I572="","",'PREENCHER AQUI'!I572),"")</f>
        <v/>
      </c>
      <c r="O572" s="2" t="str">
        <f>IFERROR(IF('PREENCHER AQUI'!J572="","",'PREENCHER AQUI'!J572),"")</f>
        <v/>
      </c>
      <c r="P572" s="7" t="str">
        <f t="shared" si="19"/>
        <v/>
      </c>
      <c r="Q572" s="8" t="str">
        <f>IFERROR(IF(Tabela4[[#This Row],[VALOR]]="","",IF(Tabela1[[#This Row],[ORIENTACAO]]="Anular",'PREENCHER AQUI'!K572*-1*100,'PREENCHER AQUI'!K572*100)),"")</f>
        <v/>
      </c>
      <c r="T572" s="7" t="str">
        <f>IFERROR(IF('PREENCHER AQUI'!L572="","999",LEFT('PREENCHER AQUI'!L572,1)),"")</f>
        <v>999</v>
      </c>
      <c r="W572" s="1" t="str">
        <f>IFERROR(VLOOKUP(Tabela1[[#This Row],[UO_COD]],qdd!$AT$1:$AU$102,2,FALSE),"")</f>
        <v/>
      </c>
      <c r="X572" s="1" t="str">
        <f>CONCATENATE("F",Tabela1[[#This Row],[FONTE_COD]],Tabela1[[#This Row],[IPU_COD]],"G",Tabela1[[#This Row],[GRUPO_COD]],"T",Tabela1[[#This Row],[TIPO]])</f>
        <v>FGT999</v>
      </c>
      <c r="Y5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2" s="19"/>
      <c r="AA572" s="29" t="str">
        <f>IFERROR(VLOOKUP(CONCATENATE("B",Tabela1[[#This Row],[BLOCO]],Tabela1[[#This Row],[UO_COD]]),qdd!$AW$2:$AX$1000,2,FALSE),"")</f>
        <v/>
      </c>
      <c r="AB572" s="30" t="str">
        <f>IFERROR(Tabela1[[#This Row],[VALOR]]/100,"")</f>
        <v/>
      </c>
      <c r="AC572" s="7" t="str" cm="1">
        <f t="array" aca="1" ref="AC572" ca="1">IF(Tabela1[[#This Row],[VALOR]]&lt;0,"",IFERROR(SUBSTITUTE(Converter_numero(Tabela1[[#This Row],[VALOR INCISO]]),",",""),""))</f>
        <v/>
      </c>
      <c r="AD572" s="7" t="str">
        <f>IF(Tabela1[[#This Row],[TIPO]]=REGRAS!$W$2,REGRAS!$X$2,IF(Tabela1[[#This Row],[TIPO]]=REGRAS!$W$4,REGRAS!$X$4,""))</f>
        <v/>
      </c>
      <c r="AE572" s="29" t="e">
        <f>VLOOKUP(Tabela1[[#This Row],[FONTE_COD]],REGRAS!$O$2:$P$69,2,FALSE)</f>
        <v>#N/A</v>
      </c>
      <c r="AF5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3" spans="1:32" ht="18.75" customHeight="1">
      <c r="A573" s="2" t="str">
        <f>IFERROR(IF('PREENCHER AQUI'!A573="","",'PREENCHER AQUI'!A573),"")</f>
        <v/>
      </c>
      <c r="B573" s="1" t="str">
        <f>IFERROR(IF('PREENCHER AQUI'!B573="","",PROPER('PREENCHER AQUI'!B573)),"")</f>
        <v/>
      </c>
      <c r="C573" s="1" t="str">
        <f>IFERROR(IF('PREENCHER AQUI'!C573="","",'PREENCHER AQUI'!C573),"")</f>
        <v/>
      </c>
      <c r="D573" s="2" t="str">
        <f>IFERROR(IF('PREENCHER AQUI'!D573="","",'PREENCHER AQUI'!D573),"")</f>
        <v/>
      </c>
      <c r="E573" s="2" t="str">
        <f>IFERROR(VLOOKUP(CONCATENATE(C573,D573),qdd!$C$2:$F$1000,2,FALSE),"")</f>
        <v/>
      </c>
      <c r="F573" s="2" t="str">
        <f>IFERROR(VLOOKUP(CONCATENATE(C573,D573),qdd!$C$2:$F$1000,3,FALSE),"")</f>
        <v/>
      </c>
      <c r="G573" s="2" t="str">
        <f>IFERROR(VLOOKUP(CONCATENATE(C573,D573),qdd!$C$2:$F$1000,4,FALSE),"")</f>
        <v/>
      </c>
      <c r="H573" s="6" t="str">
        <f t="shared" si="18"/>
        <v/>
      </c>
      <c r="I5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3" s="2" t="str">
        <f>IFERROR(IF('PREENCHER AQUI'!E573="","",'PREENCHER AQUI'!E573),"")</f>
        <v/>
      </c>
      <c r="K573" s="2" t="str">
        <f>IFERROR(IF('PREENCHER AQUI'!F573="","",'PREENCHER AQUI'!F573),"")</f>
        <v/>
      </c>
      <c r="L573" s="2" t="str">
        <f>IF(Tabela1[[#This Row],[IPU_COD]]=9,"91",IF(Tabela1[[#This Row],[ACAO_COD]]="","",VLOOKUP(CONCATENATE("G",J573,"M",K573),qdd!$BC$2:$BD$46,2,FALSE)))</f>
        <v/>
      </c>
      <c r="M573" s="2" t="str">
        <f>TEXT(IFERROR(VLOOKUP(CONCATENATE(C573,D573),qdd!$C$2:$G$1000,5,FALSE),""),0)</f>
        <v/>
      </c>
      <c r="N573" s="2" t="str">
        <f>IFERROR(IF('PREENCHER AQUI'!I573="","",'PREENCHER AQUI'!I573),"")</f>
        <v/>
      </c>
      <c r="O573" s="2" t="str">
        <f>IFERROR(IF('PREENCHER AQUI'!J573="","",'PREENCHER AQUI'!J573),"")</f>
        <v/>
      </c>
      <c r="P573" s="7" t="str">
        <f t="shared" si="19"/>
        <v/>
      </c>
      <c r="Q573" s="8" t="str">
        <f>IFERROR(IF(Tabela4[[#This Row],[VALOR]]="","",IF(Tabela1[[#This Row],[ORIENTACAO]]="Anular",'PREENCHER AQUI'!K573*-1*100,'PREENCHER AQUI'!K573*100)),"")</f>
        <v/>
      </c>
      <c r="T573" s="7" t="str">
        <f>IFERROR(IF('PREENCHER AQUI'!L573="","999",LEFT('PREENCHER AQUI'!L573,1)),"")</f>
        <v>999</v>
      </c>
      <c r="V573" s="19"/>
      <c r="W573" s="1" t="str">
        <f>IFERROR(VLOOKUP(Tabela1[[#This Row],[UO_COD]],qdd!$AT$1:$AU$102,2,FALSE),"")</f>
        <v/>
      </c>
      <c r="X573" s="1" t="str">
        <f>CONCATENATE("F",Tabela1[[#This Row],[FONTE_COD]],Tabela1[[#This Row],[IPU_COD]],"G",Tabela1[[#This Row],[GRUPO_COD]],"T",Tabela1[[#This Row],[TIPO]])</f>
        <v>FGT999</v>
      </c>
      <c r="Y5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3" s="19"/>
      <c r="AA573" s="29" t="str">
        <f>IFERROR(VLOOKUP(CONCATENATE("B",Tabela1[[#This Row],[BLOCO]],Tabela1[[#This Row],[UO_COD]]),qdd!$AW$2:$AX$1000,2,FALSE),"")</f>
        <v/>
      </c>
      <c r="AB573" s="30" t="str">
        <f>IFERROR(Tabela1[[#This Row],[VALOR]]/100,"")</f>
        <v/>
      </c>
      <c r="AC573" s="7" t="str" cm="1">
        <f t="array" aca="1" ref="AC573" ca="1">IF(Tabela1[[#This Row],[VALOR]]&lt;0,"",IFERROR(SUBSTITUTE(Converter_numero(Tabela1[[#This Row],[VALOR INCISO]]),",",""),""))</f>
        <v/>
      </c>
      <c r="AD573" s="29" t="str">
        <f>IF(Tabela1[[#This Row],[TIPO]]=REGRAS!$W$2,REGRAS!$X$2,IF(Tabela1[[#This Row],[TIPO]]=REGRAS!$W$4,REGRAS!$X$4,""))</f>
        <v/>
      </c>
      <c r="AE573" s="29" t="e">
        <f>VLOOKUP(Tabela1[[#This Row],[FONTE_COD]],REGRAS!$O$2:$P$69,2,FALSE)</f>
        <v>#N/A</v>
      </c>
      <c r="AF5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4" spans="1:32" ht="18.75" customHeight="1">
      <c r="A574" s="2" t="str">
        <f>IFERROR(IF('PREENCHER AQUI'!A574="","",'PREENCHER AQUI'!A574),"")</f>
        <v/>
      </c>
      <c r="B574" s="1" t="str">
        <f>IFERROR(IF('PREENCHER AQUI'!B574="","",PROPER('PREENCHER AQUI'!B574)),"")</f>
        <v/>
      </c>
      <c r="C574" s="1" t="str">
        <f>IFERROR(IF('PREENCHER AQUI'!C574="","",'PREENCHER AQUI'!C574),"")</f>
        <v/>
      </c>
      <c r="D574" s="2" t="str">
        <f>IFERROR(IF('PREENCHER AQUI'!D574="","",'PREENCHER AQUI'!D574),"")</f>
        <v/>
      </c>
      <c r="E574" s="2" t="str">
        <f>IFERROR(VLOOKUP(CONCATENATE(C574,D574),qdd!$C$2:$F$1000,2,FALSE),"")</f>
        <v/>
      </c>
      <c r="F574" s="2" t="str">
        <f>IFERROR(VLOOKUP(CONCATENATE(C574,D574),qdd!$C$2:$F$1000,3,FALSE),"")</f>
        <v/>
      </c>
      <c r="G574" s="2" t="str">
        <f>IFERROR(VLOOKUP(CONCATENATE(C574,D574),qdd!$C$2:$F$1000,4,FALSE),"")</f>
        <v/>
      </c>
      <c r="H574" s="6" t="str">
        <f t="shared" si="18"/>
        <v/>
      </c>
      <c r="I5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4" s="2" t="str">
        <f>IFERROR(IF('PREENCHER AQUI'!E574="","",'PREENCHER AQUI'!E574),"")</f>
        <v/>
      </c>
      <c r="K574" s="2" t="str">
        <f>IFERROR(IF('PREENCHER AQUI'!F574="","",'PREENCHER AQUI'!F574),"")</f>
        <v/>
      </c>
      <c r="L574" s="2" t="str">
        <f>IF(Tabela1[[#This Row],[IPU_COD]]=9,"91",IF(Tabela1[[#This Row],[ACAO_COD]]="","",VLOOKUP(CONCATENATE("G",J574,"M",K574),qdd!$BC$2:$BD$46,2,FALSE)))</f>
        <v/>
      </c>
      <c r="M574" s="2" t="str">
        <f>TEXT(IFERROR(VLOOKUP(CONCATENATE(C574,D574),qdd!$C$2:$G$1000,5,FALSE),""),0)</f>
        <v/>
      </c>
      <c r="N574" s="2" t="str">
        <f>IFERROR(IF('PREENCHER AQUI'!I574="","",'PREENCHER AQUI'!I574),"")</f>
        <v/>
      </c>
      <c r="O574" s="2" t="str">
        <f>IFERROR(IF('PREENCHER AQUI'!J574="","",'PREENCHER AQUI'!J574),"")</f>
        <v/>
      </c>
      <c r="P574" s="7" t="str">
        <f t="shared" si="19"/>
        <v/>
      </c>
      <c r="Q574" s="8" t="str">
        <f>IFERROR(IF(Tabela4[[#This Row],[VALOR]]="","",IF(Tabela1[[#This Row],[ORIENTACAO]]="Anular",'PREENCHER AQUI'!K574*-1*100,'PREENCHER AQUI'!K574*100)),"")</f>
        <v/>
      </c>
      <c r="T574" s="7" t="str">
        <f>IFERROR(IF('PREENCHER AQUI'!L574="","999",LEFT('PREENCHER AQUI'!L574,1)),"")</f>
        <v>999</v>
      </c>
      <c r="V574" s="19"/>
      <c r="W574" s="1" t="str">
        <f>IFERROR(VLOOKUP(Tabela1[[#This Row],[UO_COD]],qdd!$AT$1:$AU$102,2,FALSE),"")</f>
        <v/>
      </c>
      <c r="X574" s="1" t="str">
        <f>CONCATENATE("F",Tabela1[[#This Row],[FONTE_COD]],Tabela1[[#This Row],[IPU_COD]],"G",Tabela1[[#This Row],[GRUPO_COD]],"T",Tabela1[[#This Row],[TIPO]])</f>
        <v>FGT999</v>
      </c>
      <c r="Y5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4" s="19"/>
      <c r="AA574" s="29" t="str">
        <f>IFERROR(VLOOKUP(CONCATENATE("B",Tabela1[[#This Row],[BLOCO]],Tabela1[[#This Row],[UO_COD]]),qdd!$AW$2:$AX$1000,2,FALSE),"")</f>
        <v/>
      </c>
      <c r="AB574" s="30" t="str">
        <f>IFERROR(Tabela1[[#This Row],[VALOR]]/100,"")</f>
        <v/>
      </c>
      <c r="AC574" s="7" t="str" cm="1">
        <f t="array" aca="1" ref="AC574" ca="1">IF(Tabela1[[#This Row],[VALOR]]&lt;0,"",IFERROR(SUBSTITUTE(Converter_numero(Tabela1[[#This Row],[VALOR INCISO]]),",",""),""))</f>
        <v/>
      </c>
      <c r="AD574" s="29" t="str">
        <f>IF(Tabela1[[#This Row],[TIPO]]=REGRAS!$W$2,REGRAS!$X$2,IF(Tabela1[[#This Row],[TIPO]]=REGRAS!$W$4,REGRAS!$X$4,""))</f>
        <v/>
      </c>
      <c r="AE574" s="29" t="e">
        <f>VLOOKUP(Tabela1[[#This Row],[FONTE_COD]],REGRAS!$O$2:$P$69,2,FALSE)</f>
        <v>#N/A</v>
      </c>
      <c r="AF5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5" spans="1:32" ht="18.75" customHeight="1">
      <c r="A575" s="2" t="str">
        <f>IFERROR(IF('PREENCHER AQUI'!A575="","",'PREENCHER AQUI'!A575),"")</f>
        <v/>
      </c>
      <c r="B575" s="1" t="str">
        <f>IFERROR(IF('PREENCHER AQUI'!B575="","",PROPER('PREENCHER AQUI'!B575)),"")</f>
        <v/>
      </c>
      <c r="C575" s="1" t="str">
        <f>IFERROR(IF('PREENCHER AQUI'!C575="","",'PREENCHER AQUI'!C575),"")</f>
        <v/>
      </c>
      <c r="D575" s="2" t="str">
        <f>IFERROR(IF('PREENCHER AQUI'!D575="","",'PREENCHER AQUI'!D575),"")</f>
        <v/>
      </c>
      <c r="E575" s="2" t="str">
        <f>IFERROR(VLOOKUP(CONCATENATE(C575,D575),qdd!$C$2:$F$1000,2,FALSE),"")</f>
        <v/>
      </c>
      <c r="F575" s="2" t="str">
        <f>IFERROR(VLOOKUP(CONCATENATE(C575,D575),qdd!$C$2:$F$1000,3,FALSE),"")</f>
        <v/>
      </c>
      <c r="G575" s="2" t="str">
        <f>IFERROR(VLOOKUP(CONCATENATE(C575,D575),qdd!$C$2:$F$1000,4,FALSE),"")</f>
        <v/>
      </c>
      <c r="H575" s="6" t="str">
        <f t="shared" si="18"/>
        <v/>
      </c>
      <c r="I5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5" s="2" t="str">
        <f>IFERROR(IF('PREENCHER AQUI'!E575="","",'PREENCHER AQUI'!E575),"")</f>
        <v/>
      </c>
      <c r="K575" s="2" t="str">
        <f>IFERROR(IF('PREENCHER AQUI'!F575="","",'PREENCHER AQUI'!F575),"")</f>
        <v/>
      </c>
      <c r="L575" s="2" t="str">
        <f>IF(Tabela1[[#This Row],[IPU_COD]]=9,"91",IF(Tabela1[[#This Row],[ACAO_COD]]="","",VLOOKUP(CONCATENATE("G",J575,"M",K575),qdd!$BC$2:$BD$46,2,FALSE)))</f>
        <v/>
      </c>
      <c r="M575" s="2" t="str">
        <f>TEXT(IFERROR(VLOOKUP(CONCATENATE(C575,D575),qdd!$C$2:$G$1000,5,FALSE),""),0)</f>
        <v/>
      </c>
      <c r="N575" s="2" t="str">
        <f>IFERROR(IF('PREENCHER AQUI'!I575="","",'PREENCHER AQUI'!I575),"")</f>
        <v/>
      </c>
      <c r="O575" s="2" t="str">
        <f>IFERROR(IF('PREENCHER AQUI'!J575="","",'PREENCHER AQUI'!J575),"")</f>
        <v/>
      </c>
      <c r="P575" s="7" t="str">
        <f t="shared" si="19"/>
        <v/>
      </c>
      <c r="Q575" s="8" t="str">
        <f>IFERROR(IF(Tabela4[[#This Row],[VALOR]]="","",IF(Tabela1[[#This Row],[ORIENTACAO]]="Anular",'PREENCHER AQUI'!K575*-1*100,'PREENCHER AQUI'!K575*100)),"")</f>
        <v/>
      </c>
      <c r="T575" s="7" t="str">
        <f>IFERROR(IF('PREENCHER AQUI'!L575="","999",LEFT('PREENCHER AQUI'!L575,1)),"")</f>
        <v>999</v>
      </c>
      <c r="V575" s="19"/>
      <c r="W575" s="20" t="str">
        <f>IFERROR(VLOOKUP(Tabela1[[#This Row],[UO_COD]],qdd!$AT$1:$AU$102,2,FALSE),"")</f>
        <v/>
      </c>
      <c r="X575" s="20" t="str">
        <f>CONCATENATE("F",Tabela1[[#This Row],[FONTE_COD]],Tabela1[[#This Row],[IPU_COD]],"G",Tabela1[[#This Row],[GRUPO_COD]],"T",Tabela1[[#This Row],[TIPO]])</f>
        <v>FGT999</v>
      </c>
      <c r="Y5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5" s="19"/>
      <c r="AA575" s="29" t="str">
        <f>IFERROR(VLOOKUP(CONCATENATE("B",Tabela1[[#This Row],[BLOCO]],Tabela1[[#This Row],[UO_COD]]),qdd!$AW$2:$AX$1000,2,FALSE),"")</f>
        <v/>
      </c>
      <c r="AB575" s="30" t="str">
        <f>IFERROR(Tabela1[[#This Row],[VALOR]]/100,"")</f>
        <v/>
      </c>
      <c r="AC575" s="7" t="str" cm="1">
        <f t="array" aca="1" ref="AC575" ca="1">IF(Tabela1[[#This Row],[VALOR]]&lt;0,"",IFERROR(SUBSTITUTE(Converter_numero(Tabela1[[#This Row],[VALOR INCISO]]),",",""),""))</f>
        <v/>
      </c>
      <c r="AD575" s="29" t="str">
        <f>IF(Tabela1[[#This Row],[TIPO]]=REGRAS!$W$2,REGRAS!$X$2,IF(Tabela1[[#This Row],[TIPO]]=REGRAS!$W$4,REGRAS!$X$4,""))</f>
        <v/>
      </c>
      <c r="AE575" s="29" t="e">
        <f>VLOOKUP(Tabela1[[#This Row],[FONTE_COD]],REGRAS!$O$2:$P$69,2,FALSE)</f>
        <v>#N/A</v>
      </c>
      <c r="AF5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6" spans="1:32" ht="18.75" customHeight="1">
      <c r="A576" s="2" t="str">
        <f>IFERROR(IF('PREENCHER AQUI'!A576="","",'PREENCHER AQUI'!A576),"")</f>
        <v/>
      </c>
      <c r="B576" s="1" t="str">
        <f>IFERROR(IF('PREENCHER AQUI'!B576="","",PROPER('PREENCHER AQUI'!B576)),"")</f>
        <v/>
      </c>
      <c r="C576" s="1" t="str">
        <f>IFERROR(IF('PREENCHER AQUI'!C576="","",'PREENCHER AQUI'!C576),"")</f>
        <v/>
      </c>
      <c r="D576" s="2" t="str">
        <f>IFERROR(IF('PREENCHER AQUI'!D576="","",'PREENCHER AQUI'!D576),"")</f>
        <v/>
      </c>
      <c r="E576" s="2" t="str">
        <f>IFERROR(VLOOKUP(CONCATENATE(C576,D576),qdd!$C$2:$F$1000,2,FALSE),"")</f>
        <v/>
      </c>
      <c r="F576" s="2" t="str">
        <f>IFERROR(VLOOKUP(CONCATENATE(C576,D576),qdd!$C$2:$F$1000,3,FALSE),"")</f>
        <v/>
      </c>
      <c r="G576" s="2" t="str">
        <f>IFERROR(VLOOKUP(CONCATENATE(C576,D576),qdd!$C$2:$F$1000,4,FALSE),"")</f>
        <v/>
      </c>
      <c r="H576" s="6" t="str">
        <f t="shared" si="18"/>
        <v/>
      </c>
      <c r="I5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6" s="2" t="str">
        <f>IFERROR(IF('PREENCHER AQUI'!E576="","",'PREENCHER AQUI'!E576),"")</f>
        <v/>
      </c>
      <c r="K576" s="2" t="str">
        <f>IFERROR(IF('PREENCHER AQUI'!F576="","",'PREENCHER AQUI'!F576),"")</f>
        <v/>
      </c>
      <c r="L576" s="2" t="str">
        <f>IF(Tabela1[[#This Row],[IPU_COD]]=9,"91",IF(Tabela1[[#This Row],[ACAO_COD]]="","",VLOOKUP(CONCATENATE("G",J576,"M",K576),qdd!$BC$2:$BD$46,2,FALSE)))</f>
        <v/>
      </c>
      <c r="M576" s="2" t="str">
        <f>TEXT(IFERROR(VLOOKUP(CONCATENATE(C576,D576),qdd!$C$2:$G$1000,5,FALSE),""),0)</f>
        <v/>
      </c>
      <c r="N576" s="2" t="str">
        <f>IFERROR(IF('PREENCHER AQUI'!I576="","",'PREENCHER AQUI'!I576),"")</f>
        <v/>
      </c>
      <c r="O576" s="2" t="str">
        <f>IFERROR(IF('PREENCHER AQUI'!J576="","",'PREENCHER AQUI'!J576),"")</f>
        <v/>
      </c>
      <c r="P576" s="7" t="str">
        <f t="shared" si="19"/>
        <v/>
      </c>
      <c r="Q576" s="8" t="str">
        <f>IFERROR(IF(Tabela4[[#This Row],[VALOR]]="","",IF(Tabela1[[#This Row],[ORIENTACAO]]="Anular",'PREENCHER AQUI'!K576*-1*100,'PREENCHER AQUI'!K576*100)),"")</f>
        <v/>
      </c>
      <c r="T576" s="7" t="str">
        <f>IFERROR(IF('PREENCHER AQUI'!L576="","999",LEFT('PREENCHER AQUI'!L576,1)),"")</f>
        <v>999</v>
      </c>
      <c r="V576" s="19"/>
      <c r="W576" s="1" t="str">
        <f>IFERROR(VLOOKUP(Tabela1[[#This Row],[UO_COD]],qdd!$AT$1:$AU$102,2,FALSE),"")</f>
        <v/>
      </c>
      <c r="X576" s="1" t="str">
        <f>CONCATENATE("F",Tabela1[[#This Row],[FONTE_COD]],Tabela1[[#This Row],[IPU_COD]],"G",Tabela1[[#This Row],[GRUPO_COD]],"T",Tabela1[[#This Row],[TIPO]])</f>
        <v>FGT999</v>
      </c>
      <c r="Y5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6" s="19"/>
      <c r="AA576" s="29" t="str">
        <f>IFERROR(VLOOKUP(CONCATENATE("B",Tabela1[[#This Row],[BLOCO]],Tabela1[[#This Row],[UO_COD]]),qdd!$AW$2:$AX$1000,2,FALSE),"")</f>
        <v/>
      </c>
      <c r="AB576" s="30" t="str">
        <f>IFERROR(Tabela1[[#This Row],[VALOR]]/100,"")</f>
        <v/>
      </c>
      <c r="AC576" s="7" t="str" cm="1">
        <f t="array" aca="1" ref="AC576" ca="1">IF(Tabela1[[#This Row],[VALOR]]&lt;0,"",IFERROR(SUBSTITUTE(Converter_numero(Tabela1[[#This Row],[VALOR INCISO]]),",",""),""))</f>
        <v/>
      </c>
      <c r="AD576" s="29" t="str">
        <f>IF(Tabela1[[#This Row],[TIPO]]=REGRAS!$W$2,REGRAS!$X$2,IF(Tabela1[[#This Row],[TIPO]]=REGRAS!$W$4,REGRAS!$X$4,""))</f>
        <v/>
      </c>
      <c r="AE576" s="29" t="e">
        <f>VLOOKUP(Tabela1[[#This Row],[FONTE_COD]],REGRAS!$O$2:$P$69,2,FALSE)</f>
        <v>#N/A</v>
      </c>
      <c r="AF5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7" spans="1:32" ht="18.75" customHeight="1">
      <c r="A577" s="2" t="str">
        <f>IFERROR(IF('PREENCHER AQUI'!A577="","",'PREENCHER AQUI'!A577),"")</f>
        <v/>
      </c>
      <c r="B577" s="1" t="str">
        <f>IFERROR(IF('PREENCHER AQUI'!B577="","",PROPER('PREENCHER AQUI'!B577)),"")</f>
        <v/>
      </c>
      <c r="C577" s="1" t="str">
        <f>IFERROR(IF('PREENCHER AQUI'!C577="","",'PREENCHER AQUI'!C577),"")</f>
        <v/>
      </c>
      <c r="D577" s="2" t="str">
        <f>IFERROR(IF('PREENCHER AQUI'!D577="","",'PREENCHER AQUI'!D577),"")</f>
        <v/>
      </c>
      <c r="E577" s="2" t="str">
        <f>IFERROR(VLOOKUP(CONCATENATE(C577,D577),qdd!$C$2:$F$1000,2,FALSE),"")</f>
        <v/>
      </c>
      <c r="F577" s="2" t="str">
        <f>IFERROR(VLOOKUP(CONCATENATE(C577,D577),qdd!$C$2:$F$1000,3,FALSE),"")</f>
        <v/>
      </c>
      <c r="G577" s="2" t="str">
        <f>IFERROR(VLOOKUP(CONCATENATE(C577,D577),qdd!$C$2:$F$1000,4,FALSE),"")</f>
        <v/>
      </c>
      <c r="H577" s="6" t="str">
        <f t="shared" si="18"/>
        <v/>
      </c>
      <c r="I5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7" s="2" t="str">
        <f>IFERROR(IF('PREENCHER AQUI'!E577="","",'PREENCHER AQUI'!E577),"")</f>
        <v/>
      </c>
      <c r="K577" s="2" t="str">
        <f>IFERROR(IF('PREENCHER AQUI'!F577="","",'PREENCHER AQUI'!F577),"")</f>
        <v/>
      </c>
      <c r="L577" s="2" t="str">
        <f>IF(Tabela1[[#This Row],[IPU_COD]]=9,"91",IF(Tabela1[[#This Row],[ACAO_COD]]="","",VLOOKUP(CONCATENATE("G",J577,"M",K577),qdd!$BC$2:$BD$46,2,FALSE)))</f>
        <v/>
      </c>
      <c r="M577" s="2" t="str">
        <f>TEXT(IFERROR(VLOOKUP(CONCATENATE(C577,D577),qdd!$C$2:$G$1000,5,FALSE),""),0)</f>
        <v/>
      </c>
      <c r="N577" s="2" t="str">
        <f>IFERROR(IF('PREENCHER AQUI'!I577="","",'PREENCHER AQUI'!I577),"")</f>
        <v/>
      </c>
      <c r="O577" s="2" t="str">
        <f>IFERROR(IF('PREENCHER AQUI'!J577="","",'PREENCHER AQUI'!J577),"")</f>
        <v/>
      </c>
      <c r="P577" s="7" t="str">
        <f t="shared" si="19"/>
        <v/>
      </c>
      <c r="Q577" s="8" t="str">
        <f>IFERROR(IF(Tabela4[[#This Row],[VALOR]]="","",IF(Tabela1[[#This Row],[ORIENTACAO]]="Anular",'PREENCHER AQUI'!K577*-1*100,'PREENCHER AQUI'!K577*100)),"")</f>
        <v/>
      </c>
      <c r="T577" s="7" t="str">
        <f>IFERROR(IF('PREENCHER AQUI'!L577="","999",LEFT('PREENCHER AQUI'!L577,1)),"")</f>
        <v>999</v>
      </c>
      <c r="W577" s="1" t="str">
        <f>IFERROR(VLOOKUP(Tabela1[[#This Row],[UO_COD]],qdd!$AT$1:$AU$102,2,FALSE),"")</f>
        <v/>
      </c>
      <c r="X577" s="1" t="str">
        <f>CONCATENATE("F",Tabela1[[#This Row],[FONTE_COD]],Tabela1[[#This Row],[IPU_COD]],"G",Tabela1[[#This Row],[GRUPO_COD]],"T",Tabela1[[#This Row],[TIPO]])</f>
        <v>FGT999</v>
      </c>
      <c r="Y5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7" s="19"/>
      <c r="AA577" s="29" t="str">
        <f>IFERROR(VLOOKUP(CONCATENATE("B",Tabela1[[#This Row],[BLOCO]],Tabela1[[#This Row],[UO_COD]]),qdd!$AW$2:$AX$1000,2,FALSE),"")</f>
        <v/>
      </c>
      <c r="AB577" s="30" t="str">
        <f>IFERROR(Tabela1[[#This Row],[VALOR]]/100,"")</f>
        <v/>
      </c>
      <c r="AC577" s="7" t="str" cm="1">
        <f t="array" aca="1" ref="AC577" ca="1">IF(Tabela1[[#This Row],[VALOR]]&lt;0,"",IFERROR(SUBSTITUTE(Converter_numero(Tabela1[[#This Row],[VALOR INCISO]]),",",""),""))</f>
        <v/>
      </c>
      <c r="AD577" s="7" t="str">
        <f>IF(Tabela1[[#This Row],[TIPO]]=REGRAS!$W$2,REGRAS!$X$2,IF(Tabela1[[#This Row],[TIPO]]=REGRAS!$W$4,REGRAS!$X$4,""))</f>
        <v/>
      </c>
      <c r="AE577" s="29" t="e">
        <f>VLOOKUP(Tabela1[[#This Row],[FONTE_COD]],REGRAS!$O$2:$P$69,2,FALSE)</f>
        <v>#N/A</v>
      </c>
      <c r="AF5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8" spans="1:32" ht="18.75" customHeight="1">
      <c r="A578" s="2" t="str">
        <f>IFERROR(IF('PREENCHER AQUI'!A578="","",'PREENCHER AQUI'!A578),"")</f>
        <v/>
      </c>
      <c r="B578" s="1" t="str">
        <f>IFERROR(IF('PREENCHER AQUI'!B578="","",PROPER('PREENCHER AQUI'!B578)),"")</f>
        <v/>
      </c>
      <c r="C578" s="1" t="str">
        <f>IFERROR(IF('PREENCHER AQUI'!C578="","",'PREENCHER AQUI'!C578),"")</f>
        <v/>
      </c>
      <c r="D578" s="2" t="str">
        <f>IFERROR(IF('PREENCHER AQUI'!D578="","",'PREENCHER AQUI'!D578),"")</f>
        <v/>
      </c>
      <c r="E578" s="2" t="str">
        <f>IFERROR(VLOOKUP(CONCATENATE(C578,D578),qdd!$C$2:$F$1000,2,FALSE),"")</f>
        <v/>
      </c>
      <c r="F578" s="2" t="str">
        <f>IFERROR(VLOOKUP(CONCATENATE(C578,D578),qdd!$C$2:$F$1000,3,FALSE),"")</f>
        <v/>
      </c>
      <c r="G578" s="2" t="str">
        <f>IFERROR(VLOOKUP(CONCATENATE(C578,D578),qdd!$C$2:$F$1000,4,FALSE),"")</f>
        <v/>
      </c>
      <c r="H578" s="6" t="str">
        <f t="shared" si="18"/>
        <v/>
      </c>
      <c r="I5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8" s="2" t="str">
        <f>IFERROR(IF('PREENCHER AQUI'!E578="","",'PREENCHER AQUI'!E578),"")</f>
        <v/>
      </c>
      <c r="K578" s="2" t="str">
        <f>IFERROR(IF('PREENCHER AQUI'!F578="","",'PREENCHER AQUI'!F578),"")</f>
        <v/>
      </c>
      <c r="L578" s="2" t="str">
        <f>IF(Tabela1[[#This Row],[IPU_COD]]=9,"91",IF(Tabela1[[#This Row],[ACAO_COD]]="","",VLOOKUP(CONCATENATE("G",J578,"M",K578),qdd!$BC$2:$BD$46,2,FALSE)))</f>
        <v/>
      </c>
      <c r="M578" s="2" t="str">
        <f>TEXT(IFERROR(VLOOKUP(CONCATENATE(C578,D578),qdd!$C$2:$G$1000,5,FALSE),""),0)</f>
        <v/>
      </c>
      <c r="N578" s="2" t="str">
        <f>IFERROR(IF('PREENCHER AQUI'!I578="","",'PREENCHER AQUI'!I578),"")</f>
        <v/>
      </c>
      <c r="O578" s="2" t="str">
        <f>IFERROR(IF('PREENCHER AQUI'!J578="","",'PREENCHER AQUI'!J578),"")</f>
        <v/>
      </c>
      <c r="P578" s="7" t="str">
        <f t="shared" si="19"/>
        <v/>
      </c>
      <c r="Q578" s="8" t="str">
        <f>IFERROR(IF(Tabela4[[#This Row],[VALOR]]="","",IF(Tabela1[[#This Row],[ORIENTACAO]]="Anular",'PREENCHER AQUI'!K578*-1*100,'PREENCHER AQUI'!K578*100)),"")</f>
        <v/>
      </c>
      <c r="T578" s="7" t="str">
        <f>IFERROR(IF('PREENCHER AQUI'!L578="","999",LEFT('PREENCHER AQUI'!L578,1)),"")</f>
        <v>999</v>
      </c>
      <c r="V578" s="19"/>
      <c r="W578" s="1" t="str">
        <f>IFERROR(VLOOKUP(Tabela1[[#This Row],[UO_COD]],qdd!$AT$1:$AU$102,2,FALSE),"")</f>
        <v/>
      </c>
      <c r="X578" s="1" t="str">
        <f>CONCATENATE("F",Tabela1[[#This Row],[FONTE_COD]],Tabela1[[#This Row],[IPU_COD]],"G",Tabela1[[#This Row],[GRUPO_COD]],"T",Tabela1[[#This Row],[TIPO]])</f>
        <v>FGT999</v>
      </c>
      <c r="Y5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8" s="19"/>
      <c r="AA578" s="29" t="str">
        <f>IFERROR(VLOOKUP(CONCATENATE("B",Tabela1[[#This Row],[BLOCO]],Tabela1[[#This Row],[UO_COD]]),qdd!$AW$2:$AX$1000,2,FALSE),"")</f>
        <v/>
      </c>
      <c r="AB578" s="30" t="str">
        <f>IFERROR(Tabela1[[#This Row],[VALOR]]/100,"")</f>
        <v/>
      </c>
      <c r="AC578" s="7" t="str" cm="1">
        <f t="array" aca="1" ref="AC578" ca="1">IF(Tabela1[[#This Row],[VALOR]]&lt;0,"",IFERROR(SUBSTITUTE(Converter_numero(Tabela1[[#This Row],[VALOR INCISO]]),",",""),""))</f>
        <v/>
      </c>
      <c r="AD578" s="29" t="str">
        <f>IF(Tabela1[[#This Row],[TIPO]]=REGRAS!$W$2,REGRAS!$X$2,IF(Tabela1[[#This Row],[TIPO]]=REGRAS!$W$4,REGRAS!$X$4,""))</f>
        <v/>
      </c>
      <c r="AE578" s="29" t="e">
        <f>VLOOKUP(Tabela1[[#This Row],[FONTE_COD]],REGRAS!$O$2:$P$69,2,FALSE)</f>
        <v>#N/A</v>
      </c>
      <c r="AF5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9" spans="1:32" ht="18.75" customHeight="1">
      <c r="A579" s="2" t="str">
        <f>IFERROR(IF('PREENCHER AQUI'!A579="","",'PREENCHER AQUI'!A579),"")</f>
        <v/>
      </c>
      <c r="B579" s="1" t="str">
        <f>IFERROR(IF('PREENCHER AQUI'!B579="","",PROPER('PREENCHER AQUI'!B579)),"")</f>
        <v/>
      </c>
      <c r="C579" s="1" t="str">
        <f>IFERROR(IF('PREENCHER AQUI'!C579="","",'PREENCHER AQUI'!C579),"")</f>
        <v/>
      </c>
      <c r="D579" s="2" t="str">
        <f>IFERROR(IF('PREENCHER AQUI'!D579="","",'PREENCHER AQUI'!D579),"")</f>
        <v/>
      </c>
      <c r="E579" s="2" t="str">
        <f>IFERROR(VLOOKUP(CONCATENATE(C579,D579),qdd!$C$2:$F$1000,2,FALSE),"")</f>
        <v/>
      </c>
      <c r="F579" s="2" t="str">
        <f>IFERROR(VLOOKUP(CONCATENATE(C579,D579),qdd!$C$2:$F$1000,3,FALSE),"")</f>
        <v/>
      </c>
      <c r="G579" s="2" t="str">
        <f>IFERROR(VLOOKUP(CONCATENATE(C579,D579),qdd!$C$2:$F$1000,4,FALSE),"")</f>
        <v/>
      </c>
      <c r="H579" s="6" t="str">
        <f t="shared" ref="H579:H642" si="20">IF(E579="","","0001")</f>
        <v/>
      </c>
      <c r="I5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9" s="2" t="str">
        <f>IFERROR(IF('PREENCHER AQUI'!E579="","",'PREENCHER AQUI'!E579),"")</f>
        <v/>
      </c>
      <c r="K579" s="2" t="str">
        <f>IFERROR(IF('PREENCHER AQUI'!F579="","",'PREENCHER AQUI'!F579),"")</f>
        <v/>
      </c>
      <c r="L579" s="2" t="str">
        <f>IF(Tabela1[[#This Row],[IPU_COD]]=9,"91",IF(Tabela1[[#This Row],[ACAO_COD]]="","",VLOOKUP(CONCATENATE("G",J579,"M",K579),qdd!$BC$2:$BD$46,2,FALSE)))</f>
        <v/>
      </c>
      <c r="M579" s="2" t="str">
        <f>TEXT(IFERROR(VLOOKUP(CONCATENATE(C579,D579),qdd!$C$2:$G$1000,5,FALSE),""),0)</f>
        <v/>
      </c>
      <c r="N579" s="2" t="str">
        <f>IFERROR(IF('PREENCHER AQUI'!I579="","",'PREENCHER AQUI'!I579),"")</f>
        <v/>
      </c>
      <c r="O579" s="2" t="str">
        <f>IFERROR(IF('PREENCHER AQUI'!J579="","",'PREENCHER AQUI'!J579),"")</f>
        <v/>
      </c>
      <c r="P579" s="7" t="str">
        <f t="shared" ref="P579:P642" si="21">IFERROR(CONCATENATE(E579,F579,G579,D579,H579,I579,J579,K579,L579,M579,N579,O579),"")</f>
        <v/>
      </c>
      <c r="Q579" s="8" t="str">
        <f>IFERROR(IF(Tabela4[[#This Row],[VALOR]]="","",IF(Tabela1[[#This Row],[ORIENTACAO]]="Anular",'PREENCHER AQUI'!K579*-1*100,'PREENCHER AQUI'!K579*100)),"")</f>
        <v/>
      </c>
      <c r="T579" s="7" t="str">
        <f>IFERROR(IF('PREENCHER AQUI'!L579="","999",LEFT('PREENCHER AQUI'!L579,1)),"")</f>
        <v>999</v>
      </c>
      <c r="V579" s="19"/>
      <c r="W579" s="1" t="str">
        <f>IFERROR(VLOOKUP(Tabela1[[#This Row],[UO_COD]],qdd!$AT$1:$AU$102,2,FALSE),"")</f>
        <v/>
      </c>
      <c r="X579" s="1" t="str">
        <f>CONCATENATE("F",Tabela1[[#This Row],[FONTE_COD]],Tabela1[[#This Row],[IPU_COD]],"G",Tabela1[[#This Row],[GRUPO_COD]],"T",Tabela1[[#This Row],[TIPO]])</f>
        <v>FGT999</v>
      </c>
      <c r="Y5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9" s="19"/>
      <c r="AA579" s="29" t="str">
        <f>IFERROR(VLOOKUP(CONCATENATE("B",Tabela1[[#This Row],[BLOCO]],Tabela1[[#This Row],[UO_COD]]),qdd!$AW$2:$AX$1000,2,FALSE),"")</f>
        <v/>
      </c>
      <c r="AB579" s="30" t="str">
        <f>IFERROR(Tabela1[[#This Row],[VALOR]]/100,"")</f>
        <v/>
      </c>
      <c r="AC579" s="7" t="str" cm="1">
        <f t="array" aca="1" ref="AC579" ca="1">IF(Tabela1[[#This Row],[VALOR]]&lt;0,"",IFERROR(SUBSTITUTE(Converter_numero(Tabela1[[#This Row],[VALOR INCISO]]),",",""),""))</f>
        <v/>
      </c>
      <c r="AD579" s="29" t="str">
        <f>IF(Tabela1[[#This Row],[TIPO]]=REGRAS!$W$2,REGRAS!$X$2,IF(Tabela1[[#This Row],[TIPO]]=REGRAS!$W$4,REGRAS!$X$4,""))</f>
        <v/>
      </c>
      <c r="AE579" s="29" t="e">
        <f>VLOOKUP(Tabela1[[#This Row],[FONTE_COD]],REGRAS!$O$2:$P$69,2,FALSE)</f>
        <v>#N/A</v>
      </c>
      <c r="AF5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0" spans="1:32" ht="18.75" customHeight="1">
      <c r="A580" s="2" t="str">
        <f>IFERROR(IF('PREENCHER AQUI'!A580="","",'PREENCHER AQUI'!A580),"")</f>
        <v/>
      </c>
      <c r="B580" s="1" t="str">
        <f>IFERROR(IF('PREENCHER AQUI'!B580="","",PROPER('PREENCHER AQUI'!B580)),"")</f>
        <v/>
      </c>
      <c r="C580" s="1" t="str">
        <f>IFERROR(IF('PREENCHER AQUI'!C580="","",'PREENCHER AQUI'!C580),"")</f>
        <v/>
      </c>
      <c r="D580" s="2" t="str">
        <f>IFERROR(IF('PREENCHER AQUI'!D580="","",'PREENCHER AQUI'!D580),"")</f>
        <v/>
      </c>
      <c r="E580" s="2" t="str">
        <f>IFERROR(VLOOKUP(CONCATENATE(C580,D580),qdd!$C$2:$F$1000,2,FALSE),"")</f>
        <v/>
      </c>
      <c r="F580" s="2" t="str">
        <f>IFERROR(VLOOKUP(CONCATENATE(C580,D580),qdd!$C$2:$F$1000,3,FALSE),"")</f>
        <v/>
      </c>
      <c r="G580" s="2" t="str">
        <f>IFERROR(VLOOKUP(CONCATENATE(C580,D580),qdd!$C$2:$F$1000,4,FALSE),"")</f>
        <v/>
      </c>
      <c r="H580" s="6" t="str">
        <f t="shared" si="20"/>
        <v/>
      </c>
      <c r="I5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0" s="2" t="str">
        <f>IFERROR(IF('PREENCHER AQUI'!E580="","",'PREENCHER AQUI'!E580),"")</f>
        <v/>
      </c>
      <c r="K580" s="2" t="str">
        <f>IFERROR(IF('PREENCHER AQUI'!F580="","",'PREENCHER AQUI'!F580),"")</f>
        <v/>
      </c>
      <c r="L580" s="2" t="str">
        <f>IF(Tabela1[[#This Row],[IPU_COD]]=9,"91",IF(Tabela1[[#This Row],[ACAO_COD]]="","",VLOOKUP(CONCATENATE("G",J580,"M",K580),qdd!$BC$2:$BD$46,2,FALSE)))</f>
        <v/>
      </c>
      <c r="M580" s="2" t="str">
        <f>TEXT(IFERROR(VLOOKUP(CONCATENATE(C580,D580),qdd!$C$2:$G$1000,5,FALSE),""),0)</f>
        <v/>
      </c>
      <c r="N580" s="2" t="str">
        <f>IFERROR(IF('PREENCHER AQUI'!I580="","",'PREENCHER AQUI'!I580),"")</f>
        <v/>
      </c>
      <c r="O580" s="2" t="str">
        <f>IFERROR(IF('PREENCHER AQUI'!J580="","",'PREENCHER AQUI'!J580),"")</f>
        <v/>
      </c>
      <c r="P580" s="7" t="str">
        <f t="shared" si="21"/>
        <v/>
      </c>
      <c r="Q580" s="8" t="str">
        <f>IFERROR(IF(Tabela4[[#This Row],[VALOR]]="","",IF(Tabela1[[#This Row],[ORIENTACAO]]="Anular",'PREENCHER AQUI'!K580*-1*100,'PREENCHER AQUI'!K580*100)),"")</f>
        <v/>
      </c>
      <c r="T580" s="7" t="str">
        <f>IFERROR(IF('PREENCHER AQUI'!L580="","999",LEFT('PREENCHER AQUI'!L580,1)),"")</f>
        <v>999</v>
      </c>
      <c r="V580" s="19"/>
      <c r="W580" s="20" t="str">
        <f>IFERROR(VLOOKUP(Tabela1[[#This Row],[UO_COD]],qdd!$AT$1:$AU$102,2,FALSE),"")</f>
        <v/>
      </c>
      <c r="X580" s="20" t="str">
        <f>CONCATENATE("F",Tabela1[[#This Row],[FONTE_COD]],Tabela1[[#This Row],[IPU_COD]],"G",Tabela1[[#This Row],[GRUPO_COD]],"T",Tabela1[[#This Row],[TIPO]])</f>
        <v>FGT999</v>
      </c>
      <c r="Y5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0" s="19"/>
      <c r="AA580" s="29" t="str">
        <f>IFERROR(VLOOKUP(CONCATENATE("B",Tabela1[[#This Row],[BLOCO]],Tabela1[[#This Row],[UO_COD]]),qdd!$AW$2:$AX$1000,2,FALSE),"")</f>
        <v/>
      </c>
      <c r="AB580" s="30" t="str">
        <f>IFERROR(Tabela1[[#This Row],[VALOR]]/100,"")</f>
        <v/>
      </c>
      <c r="AC580" s="7" t="str" cm="1">
        <f t="array" aca="1" ref="AC580" ca="1">IF(Tabela1[[#This Row],[VALOR]]&lt;0,"",IFERROR(SUBSTITUTE(Converter_numero(Tabela1[[#This Row],[VALOR INCISO]]),",",""),""))</f>
        <v/>
      </c>
      <c r="AD580" s="29" t="str">
        <f>IF(Tabela1[[#This Row],[TIPO]]=REGRAS!$W$2,REGRAS!$X$2,IF(Tabela1[[#This Row],[TIPO]]=REGRAS!$W$4,REGRAS!$X$4,""))</f>
        <v/>
      </c>
      <c r="AE580" s="29" t="e">
        <f>VLOOKUP(Tabela1[[#This Row],[FONTE_COD]],REGRAS!$O$2:$P$69,2,FALSE)</f>
        <v>#N/A</v>
      </c>
      <c r="AF5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1" spans="1:32" ht="18.75" customHeight="1">
      <c r="A581" s="2" t="str">
        <f>IFERROR(IF('PREENCHER AQUI'!A581="","",'PREENCHER AQUI'!A581),"")</f>
        <v/>
      </c>
      <c r="B581" s="1" t="str">
        <f>IFERROR(IF('PREENCHER AQUI'!B581="","",PROPER('PREENCHER AQUI'!B581)),"")</f>
        <v/>
      </c>
      <c r="C581" s="1" t="str">
        <f>IFERROR(IF('PREENCHER AQUI'!C581="","",'PREENCHER AQUI'!C581),"")</f>
        <v/>
      </c>
      <c r="D581" s="2" t="str">
        <f>IFERROR(IF('PREENCHER AQUI'!D581="","",'PREENCHER AQUI'!D581),"")</f>
        <v/>
      </c>
      <c r="E581" s="2" t="str">
        <f>IFERROR(VLOOKUP(CONCATENATE(C581,D581),qdd!$C$2:$F$1000,2,FALSE),"")</f>
        <v/>
      </c>
      <c r="F581" s="2" t="str">
        <f>IFERROR(VLOOKUP(CONCATENATE(C581,D581),qdd!$C$2:$F$1000,3,FALSE),"")</f>
        <v/>
      </c>
      <c r="G581" s="2" t="str">
        <f>IFERROR(VLOOKUP(CONCATENATE(C581,D581),qdd!$C$2:$F$1000,4,FALSE),"")</f>
        <v/>
      </c>
      <c r="H581" s="6" t="str">
        <f t="shared" si="20"/>
        <v/>
      </c>
      <c r="I5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1" s="2" t="str">
        <f>IFERROR(IF('PREENCHER AQUI'!E581="","",'PREENCHER AQUI'!E581),"")</f>
        <v/>
      </c>
      <c r="K581" s="2" t="str">
        <f>IFERROR(IF('PREENCHER AQUI'!F581="","",'PREENCHER AQUI'!F581),"")</f>
        <v/>
      </c>
      <c r="L581" s="2" t="str">
        <f>IF(Tabela1[[#This Row],[IPU_COD]]=9,"91",IF(Tabela1[[#This Row],[ACAO_COD]]="","",VLOOKUP(CONCATENATE("G",J581,"M",K581),qdd!$BC$2:$BD$46,2,FALSE)))</f>
        <v/>
      </c>
      <c r="M581" s="2" t="str">
        <f>TEXT(IFERROR(VLOOKUP(CONCATENATE(C581,D581),qdd!$C$2:$G$1000,5,FALSE),""),0)</f>
        <v/>
      </c>
      <c r="N581" s="2" t="str">
        <f>IFERROR(IF('PREENCHER AQUI'!I581="","",'PREENCHER AQUI'!I581),"")</f>
        <v/>
      </c>
      <c r="O581" s="2" t="str">
        <f>IFERROR(IF('PREENCHER AQUI'!J581="","",'PREENCHER AQUI'!J581),"")</f>
        <v/>
      </c>
      <c r="P581" s="7" t="str">
        <f t="shared" si="21"/>
        <v/>
      </c>
      <c r="Q581" s="8" t="str">
        <f>IFERROR(IF(Tabela4[[#This Row],[VALOR]]="","",IF(Tabela1[[#This Row],[ORIENTACAO]]="Anular",'PREENCHER AQUI'!K581*-1*100,'PREENCHER AQUI'!K581*100)),"")</f>
        <v/>
      </c>
      <c r="T581" s="7" t="str">
        <f>IFERROR(IF('PREENCHER AQUI'!L581="","999",LEFT('PREENCHER AQUI'!L581,1)),"")</f>
        <v>999</v>
      </c>
      <c r="V581" s="19"/>
      <c r="W581" s="1" t="str">
        <f>IFERROR(VLOOKUP(Tabela1[[#This Row],[UO_COD]],qdd!$AT$1:$AU$102,2,FALSE),"")</f>
        <v/>
      </c>
      <c r="X581" s="1" t="str">
        <f>CONCATENATE("F",Tabela1[[#This Row],[FONTE_COD]],Tabela1[[#This Row],[IPU_COD]],"G",Tabela1[[#This Row],[GRUPO_COD]],"T",Tabela1[[#This Row],[TIPO]])</f>
        <v>FGT999</v>
      </c>
      <c r="Y5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1" s="19"/>
      <c r="AA581" s="29" t="str">
        <f>IFERROR(VLOOKUP(CONCATENATE("B",Tabela1[[#This Row],[BLOCO]],Tabela1[[#This Row],[UO_COD]]),qdd!$AW$2:$AX$1000,2,FALSE),"")</f>
        <v/>
      </c>
      <c r="AB581" s="30" t="str">
        <f>IFERROR(Tabela1[[#This Row],[VALOR]]/100,"")</f>
        <v/>
      </c>
      <c r="AC581" s="7" t="str" cm="1">
        <f t="array" aca="1" ref="AC581" ca="1">IF(Tabela1[[#This Row],[VALOR]]&lt;0,"",IFERROR(SUBSTITUTE(Converter_numero(Tabela1[[#This Row],[VALOR INCISO]]),",",""),""))</f>
        <v/>
      </c>
      <c r="AD581" s="29" t="str">
        <f>IF(Tabela1[[#This Row],[TIPO]]=REGRAS!$W$2,REGRAS!$X$2,IF(Tabela1[[#This Row],[TIPO]]=REGRAS!$W$4,REGRAS!$X$4,""))</f>
        <v/>
      </c>
      <c r="AE581" s="29" t="e">
        <f>VLOOKUP(Tabela1[[#This Row],[FONTE_COD]],REGRAS!$O$2:$P$69,2,FALSE)</f>
        <v>#N/A</v>
      </c>
      <c r="AF5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2" spans="1:32" ht="18.75" customHeight="1">
      <c r="A582" s="2" t="str">
        <f>IFERROR(IF('PREENCHER AQUI'!A582="","",'PREENCHER AQUI'!A582),"")</f>
        <v/>
      </c>
      <c r="B582" s="1" t="str">
        <f>IFERROR(IF('PREENCHER AQUI'!B582="","",PROPER('PREENCHER AQUI'!B582)),"")</f>
        <v/>
      </c>
      <c r="C582" s="1" t="str">
        <f>IFERROR(IF('PREENCHER AQUI'!C582="","",'PREENCHER AQUI'!C582),"")</f>
        <v/>
      </c>
      <c r="D582" s="2" t="str">
        <f>IFERROR(IF('PREENCHER AQUI'!D582="","",'PREENCHER AQUI'!D582),"")</f>
        <v/>
      </c>
      <c r="E582" s="2" t="str">
        <f>IFERROR(VLOOKUP(CONCATENATE(C582,D582),qdd!$C$2:$F$1000,2,FALSE),"")</f>
        <v/>
      </c>
      <c r="F582" s="2" t="str">
        <f>IFERROR(VLOOKUP(CONCATENATE(C582,D582),qdd!$C$2:$F$1000,3,FALSE),"")</f>
        <v/>
      </c>
      <c r="G582" s="2" t="str">
        <f>IFERROR(VLOOKUP(CONCATENATE(C582,D582),qdd!$C$2:$F$1000,4,FALSE),"")</f>
        <v/>
      </c>
      <c r="H582" s="6" t="str">
        <f t="shared" si="20"/>
        <v/>
      </c>
      <c r="I5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2" s="2" t="str">
        <f>IFERROR(IF('PREENCHER AQUI'!E582="","",'PREENCHER AQUI'!E582),"")</f>
        <v/>
      </c>
      <c r="K582" s="2" t="str">
        <f>IFERROR(IF('PREENCHER AQUI'!F582="","",'PREENCHER AQUI'!F582),"")</f>
        <v/>
      </c>
      <c r="L582" s="2" t="str">
        <f>IF(Tabela1[[#This Row],[IPU_COD]]=9,"91",IF(Tabela1[[#This Row],[ACAO_COD]]="","",VLOOKUP(CONCATENATE("G",J582,"M",K582),qdd!$BC$2:$BD$46,2,FALSE)))</f>
        <v/>
      </c>
      <c r="M582" s="2" t="str">
        <f>TEXT(IFERROR(VLOOKUP(CONCATENATE(C582,D582),qdd!$C$2:$G$1000,5,FALSE),""),0)</f>
        <v/>
      </c>
      <c r="N582" s="2" t="str">
        <f>IFERROR(IF('PREENCHER AQUI'!I582="","",'PREENCHER AQUI'!I582),"")</f>
        <v/>
      </c>
      <c r="O582" s="2" t="str">
        <f>IFERROR(IF('PREENCHER AQUI'!J582="","",'PREENCHER AQUI'!J582),"")</f>
        <v/>
      </c>
      <c r="P582" s="7" t="str">
        <f t="shared" si="21"/>
        <v/>
      </c>
      <c r="Q582" s="8" t="str">
        <f>IFERROR(IF(Tabela4[[#This Row],[VALOR]]="","",IF(Tabela1[[#This Row],[ORIENTACAO]]="Anular",'PREENCHER AQUI'!K582*-1*100,'PREENCHER AQUI'!K582*100)),"")</f>
        <v/>
      </c>
      <c r="T582" s="7" t="str">
        <f>IFERROR(IF('PREENCHER AQUI'!L582="","999",LEFT('PREENCHER AQUI'!L582,1)),"")</f>
        <v>999</v>
      </c>
      <c r="W582" s="1" t="str">
        <f>IFERROR(VLOOKUP(Tabela1[[#This Row],[UO_COD]],qdd!$AT$1:$AU$102,2,FALSE),"")</f>
        <v/>
      </c>
      <c r="X582" s="1" t="str">
        <f>CONCATENATE("F",Tabela1[[#This Row],[FONTE_COD]],Tabela1[[#This Row],[IPU_COD]],"G",Tabela1[[#This Row],[GRUPO_COD]],"T",Tabela1[[#This Row],[TIPO]])</f>
        <v>FGT999</v>
      </c>
      <c r="Y5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2" s="19"/>
      <c r="AA582" s="29" t="str">
        <f>IFERROR(VLOOKUP(CONCATENATE("B",Tabela1[[#This Row],[BLOCO]],Tabela1[[#This Row],[UO_COD]]),qdd!$AW$2:$AX$1000,2,FALSE),"")</f>
        <v/>
      </c>
      <c r="AB582" s="30" t="str">
        <f>IFERROR(Tabela1[[#This Row],[VALOR]]/100,"")</f>
        <v/>
      </c>
      <c r="AC582" s="7" t="str" cm="1">
        <f t="array" aca="1" ref="AC582" ca="1">IF(Tabela1[[#This Row],[VALOR]]&lt;0,"",IFERROR(SUBSTITUTE(Converter_numero(Tabela1[[#This Row],[VALOR INCISO]]),",",""),""))</f>
        <v/>
      </c>
      <c r="AD582" s="7" t="str">
        <f>IF(Tabela1[[#This Row],[TIPO]]=REGRAS!$W$2,REGRAS!$X$2,IF(Tabela1[[#This Row],[TIPO]]=REGRAS!$W$4,REGRAS!$X$4,""))</f>
        <v/>
      </c>
      <c r="AE582" s="29" t="e">
        <f>VLOOKUP(Tabela1[[#This Row],[FONTE_COD]],REGRAS!$O$2:$P$69,2,FALSE)</f>
        <v>#N/A</v>
      </c>
      <c r="AF5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3" spans="1:32" ht="18.75" customHeight="1">
      <c r="A583" s="2" t="str">
        <f>IFERROR(IF('PREENCHER AQUI'!A583="","",'PREENCHER AQUI'!A583),"")</f>
        <v/>
      </c>
      <c r="B583" s="1" t="str">
        <f>IFERROR(IF('PREENCHER AQUI'!B583="","",PROPER('PREENCHER AQUI'!B583)),"")</f>
        <v/>
      </c>
      <c r="C583" s="1" t="str">
        <f>IFERROR(IF('PREENCHER AQUI'!C583="","",'PREENCHER AQUI'!C583),"")</f>
        <v/>
      </c>
      <c r="D583" s="2" t="str">
        <f>IFERROR(IF('PREENCHER AQUI'!D583="","",'PREENCHER AQUI'!D583),"")</f>
        <v/>
      </c>
      <c r="E583" s="2" t="str">
        <f>IFERROR(VLOOKUP(CONCATENATE(C583,D583),qdd!$C$2:$F$1000,2,FALSE),"")</f>
        <v/>
      </c>
      <c r="F583" s="2" t="str">
        <f>IFERROR(VLOOKUP(CONCATENATE(C583,D583),qdd!$C$2:$F$1000,3,FALSE),"")</f>
        <v/>
      </c>
      <c r="G583" s="2" t="str">
        <f>IFERROR(VLOOKUP(CONCATENATE(C583,D583),qdd!$C$2:$F$1000,4,FALSE),"")</f>
        <v/>
      </c>
      <c r="H583" s="6" t="str">
        <f t="shared" si="20"/>
        <v/>
      </c>
      <c r="I5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3" s="2" t="str">
        <f>IFERROR(IF('PREENCHER AQUI'!E583="","",'PREENCHER AQUI'!E583),"")</f>
        <v/>
      </c>
      <c r="K583" s="2" t="str">
        <f>IFERROR(IF('PREENCHER AQUI'!F583="","",'PREENCHER AQUI'!F583),"")</f>
        <v/>
      </c>
      <c r="L583" s="2" t="str">
        <f>IF(Tabela1[[#This Row],[IPU_COD]]=9,"91",IF(Tabela1[[#This Row],[ACAO_COD]]="","",VLOOKUP(CONCATENATE("G",J583,"M",K583),qdd!$BC$2:$BD$46,2,FALSE)))</f>
        <v/>
      </c>
      <c r="M583" s="2" t="str">
        <f>TEXT(IFERROR(VLOOKUP(CONCATENATE(C583,D583),qdd!$C$2:$G$1000,5,FALSE),""),0)</f>
        <v/>
      </c>
      <c r="N583" s="2" t="str">
        <f>IFERROR(IF('PREENCHER AQUI'!I583="","",'PREENCHER AQUI'!I583),"")</f>
        <v/>
      </c>
      <c r="O583" s="2" t="str">
        <f>IFERROR(IF('PREENCHER AQUI'!J583="","",'PREENCHER AQUI'!J583),"")</f>
        <v/>
      </c>
      <c r="P583" s="7" t="str">
        <f t="shared" si="21"/>
        <v/>
      </c>
      <c r="Q583" s="8" t="str">
        <f>IFERROR(IF(Tabela4[[#This Row],[VALOR]]="","",IF(Tabela1[[#This Row],[ORIENTACAO]]="Anular",'PREENCHER AQUI'!K583*-1*100,'PREENCHER AQUI'!K583*100)),"")</f>
        <v/>
      </c>
      <c r="T583" s="7" t="str">
        <f>IFERROR(IF('PREENCHER AQUI'!L583="","999",LEFT('PREENCHER AQUI'!L583,1)),"")</f>
        <v>999</v>
      </c>
      <c r="V583" s="19"/>
      <c r="W583" s="1" t="str">
        <f>IFERROR(VLOOKUP(Tabela1[[#This Row],[UO_COD]],qdd!$AT$1:$AU$102,2,FALSE),"")</f>
        <v/>
      </c>
      <c r="X583" s="1" t="str">
        <f>CONCATENATE("F",Tabela1[[#This Row],[FONTE_COD]],Tabela1[[#This Row],[IPU_COD]],"G",Tabela1[[#This Row],[GRUPO_COD]],"T",Tabela1[[#This Row],[TIPO]])</f>
        <v>FGT999</v>
      </c>
      <c r="Y5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3" s="19"/>
      <c r="AA583" s="29" t="str">
        <f>IFERROR(VLOOKUP(CONCATENATE("B",Tabela1[[#This Row],[BLOCO]],Tabela1[[#This Row],[UO_COD]]),qdd!$AW$2:$AX$1000,2,FALSE),"")</f>
        <v/>
      </c>
      <c r="AB583" s="30" t="str">
        <f>IFERROR(Tabela1[[#This Row],[VALOR]]/100,"")</f>
        <v/>
      </c>
      <c r="AC583" s="7" t="str" cm="1">
        <f t="array" aca="1" ref="AC583" ca="1">IF(Tabela1[[#This Row],[VALOR]]&lt;0,"",IFERROR(SUBSTITUTE(Converter_numero(Tabela1[[#This Row],[VALOR INCISO]]),",",""),""))</f>
        <v/>
      </c>
      <c r="AD583" s="29" t="str">
        <f>IF(Tabela1[[#This Row],[TIPO]]=REGRAS!$W$2,REGRAS!$X$2,IF(Tabela1[[#This Row],[TIPO]]=REGRAS!$W$4,REGRAS!$X$4,""))</f>
        <v/>
      </c>
      <c r="AE583" s="29" t="e">
        <f>VLOOKUP(Tabela1[[#This Row],[FONTE_COD]],REGRAS!$O$2:$P$69,2,FALSE)</f>
        <v>#N/A</v>
      </c>
      <c r="AF5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4" spans="1:32" ht="18.75" customHeight="1">
      <c r="A584" s="2" t="str">
        <f>IFERROR(IF('PREENCHER AQUI'!A584="","",'PREENCHER AQUI'!A584),"")</f>
        <v/>
      </c>
      <c r="B584" s="1" t="str">
        <f>IFERROR(IF('PREENCHER AQUI'!B584="","",PROPER('PREENCHER AQUI'!B584)),"")</f>
        <v/>
      </c>
      <c r="C584" s="1" t="str">
        <f>IFERROR(IF('PREENCHER AQUI'!C584="","",'PREENCHER AQUI'!C584),"")</f>
        <v/>
      </c>
      <c r="D584" s="2" t="str">
        <f>IFERROR(IF('PREENCHER AQUI'!D584="","",'PREENCHER AQUI'!D584),"")</f>
        <v/>
      </c>
      <c r="E584" s="2" t="str">
        <f>IFERROR(VLOOKUP(CONCATENATE(C584,D584),qdd!$C$2:$F$1000,2,FALSE),"")</f>
        <v/>
      </c>
      <c r="F584" s="2" t="str">
        <f>IFERROR(VLOOKUP(CONCATENATE(C584,D584),qdd!$C$2:$F$1000,3,FALSE),"")</f>
        <v/>
      </c>
      <c r="G584" s="2" t="str">
        <f>IFERROR(VLOOKUP(CONCATENATE(C584,D584),qdd!$C$2:$F$1000,4,FALSE),"")</f>
        <v/>
      </c>
      <c r="H584" s="6" t="str">
        <f t="shared" si="20"/>
        <v/>
      </c>
      <c r="I5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4" s="2" t="str">
        <f>IFERROR(IF('PREENCHER AQUI'!E584="","",'PREENCHER AQUI'!E584),"")</f>
        <v/>
      </c>
      <c r="K584" s="2" t="str">
        <f>IFERROR(IF('PREENCHER AQUI'!F584="","",'PREENCHER AQUI'!F584),"")</f>
        <v/>
      </c>
      <c r="L584" s="2" t="str">
        <f>IF(Tabela1[[#This Row],[IPU_COD]]=9,"91",IF(Tabela1[[#This Row],[ACAO_COD]]="","",VLOOKUP(CONCATENATE("G",J584,"M",K584),qdd!$BC$2:$BD$46,2,FALSE)))</f>
        <v/>
      </c>
      <c r="M584" s="2" t="str">
        <f>TEXT(IFERROR(VLOOKUP(CONCATENATE(C584,D584),qdd!$C$2:$G$1000,5,FALSE),""),0)</f>
        <v/>
      </c>
      <c r="N584" s="2" t="str">
        <f>IFERROR(IF('PREENCHER AQUI'!I584="","",'PREENCHER AQUI'!I584),"")</f>
        <v/>
      </c>
      <c r="O584" s="2" t="str">
        <f>IFERROR(IF('PREENCHER AQUI'!J584="","",'PREENCHER AQUI'!J584),"")</f>
        <v/>
      </c>
      <c r="P584" s="7" t="str">
        <f t="shared" si="21"/>
        <v/>
      </c>
      <c r="Q584" s="8" t="str">
        <f>IFERROR(IF(Tabela4[[#This Row],[VALOR]]="","",IF(Tabela1[[#This Row],[ORIENTACAO]]="Anular",'PREENCHER AQUI'!K584*-1*100,'PREENCHER AQUI'!K584*100)),"")</f>
        <v/>
      </c>
      <c r="T584" s="7" t="str">
        <f>IFERROR(IF('PREENCHER AQUI'!L584="","999",LEFT('PREENCHER AQUI'!L584,1)),"")</f>
        <v>999</v>
      </c>
      <c r="V584" s="19"/>
      <c r="W584" s="1" t="str">
        <f>IFERROR(VLOOKUP(Tabela1[[#This Row],[UO_COD]],qdd!$AT$1:$AU$102,2,FALSE),"")</f>
        <v/>
      </c>
      <c r="X584" s="1" t="str">
        <f>CONCATENATE("F",Tabela1[[#This Row],[FONTE_COD]],Tabela1[[#This Row],[IPU_COD]],"G",Tabela1[[#This Row],[GRUPO_COD]],"T",Tabela1[[#This Row],[TIPO]])</f>
        <v>FGT999</v>
      </c>
      <c r="Y5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4" s="19"/>
      <c r="AA584" s="29" t="str">
        <f>IFERROR(VLOOKUP(CONCATENATE("B",Tabela1[[#This Row],[BLOCO]],Tabela1[[#This Row],[UO_COD]]),qdd!$AW$2:$AX$1000,2,FALSE),"")</f>
        <v/>
      </c>
      <c r="AB584" s="30" t="str">
        <f>IFERROR(Tabela1[[#This Row],[VALOR]]/100,"")</f>
        <v/>
      </c>
      <c r="AC584" s="7" t="str" cm="1">
        <f t="array" aca="1" ref="AC584" ca="1">IF(Tabela1[[#This Row],[VALOR]]&lt;0,"",IFERROR(SUBSTITUTE(Converter_numero(Tabela1[[#This Row],[VALOR INCISO]]),",",""),""))</f>
        <v/>
      </c>
      <c r="AD584" s="29" t="str">
        <f>IF(Tabela1[[#This Row],[TIPO]]=REGRAS!$W$2,REGRAS!$X$2,IF(Tabela1[[#This Row],[TIPO]]=REGRAS!$W$4,REGRAS!$X$4,""))</f>
        <v/>
      </c>
      <c r="AE584" s="29" t="e">
        <f>VLOOKUP(Tabela1[[#This Row],[FONTE_COD]],REGRAS!$O$2:$P$69,2,FALSE)</f>
        <v>#N/A</v>
      </c>
      <c r="AF5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5" spans="1:32" ht="18.75" customHeight="1">
      <c r="A585" s="2" t="str">
        <f>IFERROR(IF('PREENCHER AQUI'!A585="","",'PREENCHER AQUI'!A585),"")</f>
        <v/>
      </c>
      <c r="B585" s="1" t="str">
        <f>IFERROR(IF('PREENCHER AQUI'!B585="","",PROPER('PREENCHER AQUI'!B585)),"")</f>
        <v/>
      </c>
      <c r="C585" s="1" t="str">
        <f>IFERROR(IF('PREENCHER AQUI'!C585="","",'PREENCHER AQUI'!C585),"")</f>
        <v/>
      </c>
      <c r="D585" s="2" t="str">
        <f>IFERROR(IF('PREENCHER AQUI'!D585="","",'PREENCHER AQUI'!D585),"")</f>
        <v/>
      </c>
      <c r="E585" s="2" t="str">
        <f>IFERROR(VLOOKUP(CONCATENATE(C585,D585),qdd!$C$2:$F$1000,2,FALSE),"")</f>
        <v/>
      </c>
      <c r="F585" s="2" t="str">
        <f>IFERROR(VLOOKUP(CONCATENATE(C585,D585),qdd!$C$2:$F$1000,3,FALSE),"")</f>
        <v/>
      </c>
      <c r="G585" s="2" t="str">
        <f>IFERROR(VLOOKUP(CONCATENATE(C585,D585),qdd!$C$2:$F$1000,4,FALSE),"")</f>
        <v/>
      </c>
      <c r="H585" s="6" t="str">
        <f t="shared" si="20"/>
        <v/>
      </c>
      <c r="I5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5" s="2" t="str">
        <f>IFERROR(IF('PREENCHER AQUI'!E585="","",'PREENCHER AQUI'!E585),"")</f>
        <v/>
      </c>
      <c r="K585" s="2" t="str">
        <f>IFERROR(IF('PREENCHER AQUI'!F585="","",'PREENCHER AQUI'!F585),"")</f>
        <v/>
      </c>
      <c r="L585" s="2" t="str">
        <f>IF(Tabela1[[#This Row],[IPU_COD]]=9,"91",IF(Tabela1[[#This Row],[ACAO_COD]]="","",VLOOKUP(CONCATENATE("G",J585,"M",K585),qdd!$BC$2:$BD$46,2,FALSE)))</f>
        <v/>
      </c>
      <c r="M585" s="2" t="str">
        <f>TEXT(IFERROR(VLOOKUP(CONCATENATE(C585,D585),qdd!$C$2:$G$1000,5,FALSE),""),0)</f>
        <v/>
      </c>
      <c r="N585" s="2" t="str">
        <f>IFERROR(IF('PREENCHER AQUI'!I585="","",'PREENCHER AQUI'!I585),"")</f>
        <v/>
      </c>
      <c r="O585" s="2" t="str">
        <f>IFERROR(IF('PREENCHER AQUI'!J585="","",'PREENCHER AQUI'!J585),"")</f>
        <v/>
      </c>
      <c r="P585" s="7" t="str">
        <f t="shared" si="21"/>
        <v/>
      </c>
      <c r="Q585" s="8" t="str">
        <f>IFERROR(IF(Tabela4[[#This Row],[VALOR]]="","",IF(Tabela1[[#This Row],[ORIENTACAO]]="Anular",'PREENCHER AQUI'!K585*-1*100,'PREENCHER AQUI'!K585*100)),"")</f>
        <v/>
      </c>
      <c r="T585" s="7" t="str">
        <f>IFERROR(IF('PREENCHER AQUI'!L585="","999",LEFT('PREENCHER AQUI'!L585,1)),"")</f>
        <v>999</v>
      </c>
      <c r="V585" s="19"/>
      <c r="W585" s="20" t="str">
        <f>IFERROR(VLOOKUP(Tabela1[[#This Row],[UO_COD]],qdd!$AT$1:$AU$102,2,FALSE),"")</f>
        <v/>
      </c>
      <c r="X585" s="20" t="str">
        <f>CONCATENATE("F",Tabela1[[#This Row],[FONTE_COD]],Tabela1[[#This Row],[IPU_COD]],"G",Tabela1[[#This Row],[GRUPO_COD]],"T",Tabela1[[#This Row],[TIPO]])</f>
        <v>FGT999</v>
      </c>
      <c r="Y5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5" s="19"/>
      <c r="AA585" s="29" t="str">
        <f>IFERROR(VLOOKUP(CONCATENATE("B",Tabela1[[#This Row],[BLOCO]],Tabela1[[#This Row],[UO_COD]]),qdd!$AW$2:$AX$1000,2,FALSE),"")</f>
        <v/>
      </c>
      <c r="AB585" s="30" t="str">
        <f>IFERROR(Tabela1[[#This Row],[VALOR]]/100,"")</f>
        <v/>
      </c>
      <c r="AC585" s="7" t="str" cm="1">
        <f t="array" aca="1" ref="AC585" ca="1">IF(Tabela1[[#This Row],[VALOR]]&lt;0,"",IFERROR(SUBSTITUTE(Converter_numero(Tabela1[[#This Row],[VALOR INCISO]]),",",""),""))</f>
        <v/>
      </c>
      <c r="AD585" s="29" t="str">
        <f>IF(Tabela1[[#This Row],[TIPO]]=REGRAS!$W$2,REGRAS!$X$2,IF(Tabela1[[#This Row],[TIPO]]=REGRAS!$W$4,REGRAS!$X$4,""))</f>
        <v/>
      </c>
      <c r="AE585" s="29" t="e">
        <f>VLOOKUP(Tabela1[[#This Row],[FONTE_COD]],REGRAS!$O$2:$P$69,2,FALSE)</f>
        <v>#N/A</v>
      </c>
      <c r="AF5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6" spans="1:32" ht="18.75" customHeight="1">
      <c r="A586" s="2" t="str">
        <f>IFERROR(IF('PREENCHER AQUI'!A586="","",'PREENCHER AQUI'!A586),"")</f>
        <v/>
      </c>
      <c r="B586" s="1" t="str">
        <f>IFERROR(IF('PREENCHER AQUI'!B586="","",PROPER('PREENCHER AQUI'!B586)),"")</f>
        <v/>
      </c>
      <c r="C586" s="1" t="str">
        <f>IFERROR(IF('PREENCHER AQUI'!C586="","",'PREENCHER AQUI'!C586),"")</f>
        <v/>
      </c>
      <c r="D586" s="2" t="str">
        <f>IFERROR(IF('PREENCHER AQUI'!D586="","",'PREENCHER AQUI'!D586),"")</f>
        <v/>
      </c>
      <c r="E586" s="2" t="str">
        <f>IFERROR(VLOOKUP(CONCATENATE(C586,D586),qdd!$C$2:$F$1000,2,FALSE),"")</f>
        <v/>
      </c>
      <c r="F586" s="2" t="str">
        <f>IFERROR(VLOOKUP(CONCATENATE(C586,D586),qdd!$C$2:$F$1000,3,FALSE),"")</f>
        <v/>
      </c>
      <c r="G586" s="2" t="str">
        <f>IFERROR(VLOOKUP(CONCATENATE(C586,D586),qdd!$C$2:$F$1000,4,FALSE),"")</f>
        <v/>
      </c>
      <c r="H586" s="6" t="str">
        <f t="shared" si="20"/>
        <v/>
      </c>
      <c r="I5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6" s="2" t="str">
        <f>IFERROR(IF('PREENCHER AQUI'!E586="","",'PREENCHER AQUI'!E586),"")</f>
        <v/>
      </c>
      <c r="K586" s="2" t="str">
        <f>IFERROR(IF('PREENCHER AQUI'!F586="","",'PREENCHER AQUI'!F586),"")</f>
        <v/>
      </c>
      <c r="L586" s="2" t="str">
        <f>IF(Tabela1[[#This Row],[IPU_COD]]=9,"91",IF(Tabela1[[#This Row],[ACAO_COD]]="","",VLOOKUP(CONCATENATE("G",J586,"M",K586),qdd!$BC$2:$BD$46,2,FALSE)))</f>
        <v/>
      </c>
      <c r="M586" s="2" t="str">
        <f>TEXT(IFERROR(VLOOKUP(CONCATENATE(C586,D586),qdd!$C$2:$G$1000,5,FALSE),""),0)</f>
        <v/>
      </c>
      <c r="N586" s="2" t="str">
        <f>IFERROR(IF('PREENCHER AQUI'!I586="","",'PREENCHER AQUI'!I586),"")</f>
        <v/>
      </c>
      <c r="O586" s="2" t="str">
        <f>IFERROR(IF('PREENCHER AQUI'!J586="","",'PREENCHER AQUI'!J586),"")</f>
        <v/>
      </c>
      <c r="P586" s="7" t="str">
        <f t="shared" si="21"/>
        <v/>
      </c>
      <c r="Q586" s="8" t="str">
        <f>IFERROR(IF(Tabela4[[#This Row],[VALOR]]="","",IF(Tabela1[[#This Row],[ORIENTACAO]]="Anular",'PREENCHER AQUI'!K586*-1*100,'PREENCHER AQUI'!K586*100)),"")</f>
        <v/>
      </c>
      <c r="T586" s="7" t="str">
        <f>IFERROR(IF('PREENCHER AQUI'!L586="","999",LEFT('PREENCHER AQUI'!L586,1)),"")</f>
        <v>999</v>
      </c>
      <c r="V586" s="19"/>
      <c r="W586" s="1" t="str">
        <f>IFERROR(VLOOKUP(Tabela1[[#This Row],[UO_COD]],qdd!$AT$1:$AU$102,2,FALSE),"")</f>
        <v/>
      </c>
      <c r="X586" s="1" t="str">
        <f>CONCATENATE("F",Tabela1[[#This Row],[FONTE_COD]],Tabela1[[#This Row],[IPU_COD]],"G",Tabela1[[#This Row],[GRUPO_COD]],"T",Tabela1[[#This Row],[TIPO]])</f>
        <v>FGT999</v>
      </c>
      <c r="Y5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6" s="19"/>
      <c r="AA586" s="29" t="str">
        <f>IFERROR(VLOOKUP(CONCATENATE("B",Tabela1[[#This Row],[BLOCO]],Tabela1[[#This Row],[UO_COD]]),qdd!$AW$2:$AX$1000,2,FALSE),"")</f>
        <v/>
      </c>
      <c r="AB586" s="30" t="str">
        <f>IFERROR(Tabela1[[#This Row],[VALOR]]/100,"")</f>
        <v/>
      </c>
      <c r="AC586" s="7" t="str" cm="1">
        <f t="array" aca="1" ref="AC586" ca="1">IF(Tabela1[[#This Row],[VALOR]]&lt;0,"",IFERROR(SUBSTITUTE(Converter_numero(Tabela1[[#This Row],[VALOR INCISO]]),",",""),""))</f>
        <v/>
      </c>
      <c r="AD586" s="29" t="str">
        <f>IF(Tabela1[[#This Row],[TIPO]]=REGRAS!$W$2,REGRAS!$X$2,IF(Tabela1[[#This Row],[TIPO]]=REGRAS!$W$4,REGRAS!$X$4,""))</f>
        <v/>
      </c>
      <c r="AE586" s="29" t="e">
        <f>VLOOKUP(Tabela1[[#This Row],[FONTE_COD]],REGRAS!$O$2:$P$69,2,FALSE)</f>
        <v>#N/A</v>
      </c>
      <c r="AF5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7" spans="1:32" ht="18.75" customHeight="1">
      <c r="A587" s="2" t="str">
        <f>IFERROR(IF('PREENCHER AQUI'!A587="","",'PREENCHER AQUI'!A587),"")</f>
        <v/>
      </c>
      <c r="B587" s="1" t="str">
        <f>IFERROR(IF('PREENCHER AQUI'!B587="","",PROPER('PREENCHER AQUI'!B587)),"")</f>
        <v/>
      </c>
      <c r="C587" s="1" t="str">
        <f>IFERROR(IF('PREENCHER AQUI'!C587="","",'PREENCHER AQUI'!C587),"")</f>
        <v/>
      </c>
      <c r="D587" s="2" t="str">
        <f>IFERROR(IF('PREENCHER AQUI'!D587="","",'PREENCHER AQUI'!D587),"")</f>
        <v/>
      </c>
      <c r="E587" s="2" t="str">
        <f>IFERROR(VLOOKUP(CONCATENATE(C587,D587),qdd!$C$2:$F$1000,2,FALSE),"")</f>
        <v/>
      </c>
      <c r="F587" s="2" t="str">
        <f>IFERROR(VLOOKUP(CONCATENATE(C587,D587),qdd!$C$2:$F$1000,3,FALSE),"")</f>
        <v/>
      </c>
      <c r="G587" s="2" t="str">
        <f>IFERROR(VLOOKUP(CONCATENATE(C587,D587),qdd!$C$2:$F$1000,4,FALSE),"")</f>
        <v/>
      </c>
      <c r="H587" s="6" t="str">
        <f t="shared" si="20"/>
        <v/>
      </c>
      <c r="I5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7" s="2" t="str">
        <f>IFERROR(IF('PREENCHER AQUI'!E587="","",'PREENCHER AQUI'!E587),"")</f>
        <v/>
      </c>
      <c r="K587" s="2" t="str">
        <f>IFERROR(IF('PREENCHER AQUI'!F587="","",'PREENCHER AQUI'!F587),"")</f>
        <v/>
      </c>
      <c r="L587" s="2" t="str">
        <f>IF(Tabela1[[#This Row],[IPU_COD]]=9,"91",IF(Tabela1[[#This Row],[ACAO_COD]]="","",VLOOKUP(CONCATENATE("G",J587,"M",K587),qdd!$BC$2:$BD$46,2,FALSE)))</f>
        <v/>
      </c>
      <c r="M587" s="2" t="str">
        <f>TEXT(IFERROR(VLOOKUP(CONCATENATE(C587,D587),qdd!$C$2:$G$1000,5,FALSE),""),0)</f>
        <v/>
      </c>
      <c r="N587" s="2" t="str">
        <f>IFERROR(IF('PREENCHER AQUI'!I587="","",'PREENCHER AQUI'!I587),"")</f>
        <v/>
      </c>
      <c r="O587" s="2" t="str">
        <f>IFERROR(IF('PREENCHER AQUI'!J587="","",'PREENCHER AQUI'!J587),"")</f>
        <v/>
      </c>
      <c r="P587" s="7" t="str">
        <f t="shared" si="21"/>
        <v/>
      </c>
      <c r="Q587" s="8" t="str">
        <f>IFERROR(IF(Tabela4[[#This Row],[VALOR]]="","",IF(Tabela1[[#This Row],[ORIENTACAO]]="Anular",'PREENCHER AQUI'!K587*-1*100,'PREENCHER AQUI'!K587*100)),"")</f>
        <v/>
      </c>
      <c r="T587" s="7" t="str">
        <f>IFERROR(IF('PREENCHER AQUI'!L587="","999",LEFT('PREENCHER AQUI'!L587,1)),"")</f>
        <v>999</v>
      </c>
      <c r="W587" s="1" t="str">
        <f>IFERROR(VLOOKUP(Tabela1[[#This Row],[UO_COD]],qdd!$AT$1:$AU$102,2,FALSE),"")</f>
        <v/>
      </c>
      <c r="X587" s="1" t="str">
        <f>CONCATENATE("F",Tabela1[[#This Row],[FONTE_COD]],Tabela1[[#This Row],[IPU_COD]],"G",Tabela1[[#This Row],[GRUPO_COD]],"T",Tabela1[[#This Row],[TIPO]])</f>
        <v>FGT999</v>
      </c>
      <c r="Y5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7" s="19"/>
      <c r="AA587" s="29" t="str">
        <f>IFERROR(VLOOKUP(CONCATENATE("B",Tabela1[[#This Row],[BLOCO]],Tabela1[[#This Row],[UO_COD]]),qdd!$AW$2:$AX$1000,2,FALSE),"")</f>
        <v/>
      </c>
      <c r="AB587" s="30" t="str">
        <f>IFERROR(Tabela1[[#This Row],[VALOR]]/100,"")</f>
        <v/>
      </c>
      <c r="AC587" s="7" t="str" cm="1">
        <f t="array" aca="1" ref="AC587" ca="1">IF(Tabela1[[#This Row],[VALOR]]&lt;0,"",IFERROR(SUBSTITUTE(Converter_numero(Tabela1[[#This Row],[VALOR INCISO]]),",",""),""))</f>
        <v/>
      </c>
      <c r="AD587" s="7" t="str">
        <f>IF(Tabela1[[#This Row],[TIPO]]=REGRAS!$W$2,REGRAS!$X$2,IF(Tabela1[[#This Row],[TIPO]]=REGRAS!$W$4,REGRAS!$X$4,""))</f>
        <v/>
      </c>
      <c r="AE587" s="29" t="e">
        <f>VLOOKUP(Tabela1[[#This Row],[FONTE_COD]],REGRAS!$O$2:$P$69,2,FALSE)</f>
        <v>#N/A</v>
      </c>
      <c r="AF5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8" spans="1:32" ht="18.75" customHeight="1">
      <c r="A588" s="2" t="str">
        <f>IFERROR(IF('PREENCHER AQUI'!A588="","",'PREENCHER AQUI'!A588),"")</f>
        <v/>
      </c>
      <c r="B588" s="1" t="str">
        <f>IFERROR(IF('PREENCHER AQUI'!B588="","",PROPER('PREENCHER AQUI'!B588)),"")</f>
        <v/>
      </c>
      <c r="C588" s="1" t="str">
        <f>IFERROR(IF('PREENCHER AQUI'!C588="","",'PREENCHER AQUI'!C588),"")</f>
        <v/>
      </c>
      <c r="D588" s="2" t="str">
        <f>IFERROR(IF('PREENCHER AQUI'!D588="","",'PREENCHER AQUI'!D588),"")</f>
        <v/>
      </c>
      <c r="E588" s="2" t="str">
        <f>IFERROR(VLOOKUP(CONCATENATE(C588,D588),qdd!$C$2:$F$1000,2,FALSE),"")</f>
        <v/>
      </c>
      <c r="F588" s="2" t="str">
        <f>IFERROR(VLOOKUP(CONCATENATE(C588,D588),qdd!$C$2:$F$1000,3,FALSE),"")</f>
        <v/>
      </c>
      <c r="G588" s="2" t="str">
        <f>IFERROR(VLOOKUP(CONCATENATE(C588,D588),qdd!$C$2:$F$1000,4,FALSE),"")</f>
        <v/>
      </c>
      <c r="H588" s="6" t="str">
        <f t="shared" si="20"/>
        <v/>
      </c>
      <c r="I5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8" s="2" t="str">
        <f>IFERROR(IF('PREENCHER AQUI'!E588="","",'PREENCHER AQUI'!E588),"")</f>
        <v/>
      </c>
      <c r="K588" s="2" t="str">
        <f>IFERROR(IF('PREENCHER AQUI'!F588="","",'PREENCHER AQUI'!F588),"")</f>
        <v/>
      </c>
      <c r="L588" s="2" t="str">
        <f>IF(Tabela1[[#This Row],[IPU_COD]]=9,"91",IF(Tabela1[[#This Row],[ACAO_COD]]="","",VLOOKUP(CONCATENATE("G",J588,"M",K588),qdd!$BC$2:$BD$46,2,FALSE)))</f>
        <v/>
      </c>
      <c r="M588" s="2" t="str">
        <f>TEXT(IFERROR(VLOOKUP(CONCATENATE(C588,D588),qdd!$C$2:$G$1000,5,FALSE),""),0)</f>
        <v/>
      </c>
      <c r="N588" s="2" t="str">
        <f>IFERROR(IF('PREENCHER AQUI'!I588="","",'PREENCHER AQUI'!I588),"")</f>
        <v/>
      </c>
      <c r="O588" s="2" t="str">
        <f>IFERROR(IF('PREENCHER AQUI'!J588="","",'PREENCHER AQUI'!J588),"")</f>
        <v/>
      </c>
      <c r="P588" s="7" t="str">
        <f t="shared" si="21"/>
        <v/>
      </c>
      <c r="Q588" s="8" t="str">
        <f>IFERROR(IF(Tabela4[[#This Row],[VALOR]]="","",IF(Tabela1[[#This Row],[ORIENTACAO]]="Anular",'PREENCHER AQUI'!K588*-1*100,'PREENCHER AQUI'!K588*100)),"")</f>
        <v/>
      </c>
      <c r="T588" s="7" t="str">
        <f>IFERROR(IF('PREENCHER AQUI'!L588="","999",LEFT('PREENCHER AQUI'!L588,1)),"")</f>
        <v>999</v>
      </c>
      <c r="V588" s="19"/>
      <c r="W588" s="1" t="str">
        <f>IFERROR(VLOOKUP(Tabela1[[#This Row],[UO_COD]],qdd!$AT$1:$AU$102,2,FALSE),"")</f>
        <v/>
      </c>
      <c r="X588" s="1" t="str">
        <f>CONCATENATE("F",Tabela1[[#This Row],[FONTE_COD]],Tabela1[[#This Row],[IPU_COD]],"G",Tabela1[[#This Row],[GRUPO_COD]],"T",Tabela1[[#This Row],[TIPO]])</f>
        <v>FGT999</v>
      </c>
      <c r="Y5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8" s="19"/>
      <c r="AA588" s="29" t="str">
        <f>IFERROR(VLOOKUP(CONCATENATE("B",Tabela1[[#This Row],[BLOCO]],Tabela1[[#This Row],[UO_COD]]),qdd!$AW$2:$AX$1000,2,FALSE),"")</f>
        <v/>
      </c>
      <c r="AB588" s="30" t="str">
        <f>IFERROR(Tabela1[[#This Row],[VALOR]]/100,"")</f>
        <v/>
      </c>
      <c r="AC588" s="7" t="str" cm="1">
        <f t="array" aca="1" ref="AC588" ca="1">IF(Tabela1[[#This Row],[VALOR]]&lt;0,"",IFERROR(SUBSTITUTE(Converter_numero(Tabela1[[#This Row],[VALOR INCISO]]),",",""),""))</f>
        <v/>
      </c>
      <c r="AD588" s="29" t="str">
        <f>IF(Tabela1[[#This Row],[TIPO]]=REGRAS!$W$2,REGRAS!$X$2,IF(Tabela1[[#This Row],[TIPO]]=REGRAS!$W$4,REGRAS!$X$4,""))</f>
        <v/>
      </c>
      <c r="AE588" s="29" t="e">
        <f>VLOOKUP(Tabela1[[#This Row],[FONTE_COD]],REGRAS!$O$2:$P$69,2,FALSE)</f>
        <v>#N/A</v>
      </c>
      <c r="AF5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9" spans="1:32" ht="18.75" customHeight="1">
      <c r="A589" s="2" t="str">
        <f>IFERROR(IF('PREENCHER AQUI'!A589="","",'PREENCHER AQUI'!A589),"")</f>
        <v/>
      </c>
      <c r="B589" s="1" t="str">
        <f>IFERROR(IF('PREENCHER AQUI'!B589="","",PROPER('PREENCHER AQUI'!B589)),"")</f>
        <v/>
      </c>
      <c r="C589" s="1" t="str">
        <f>IFERROR(IF('PREENCHER AQUI'!C589="","",'PREENCHER AQUI'!C589),"")</f>
        <v/>
      </c>
      <c r="D589" s="2" t="str">
        <f>IFERROR(IF('PREENCHER AQUI'!D589="","",'PREENCHER AQUI'!D589),"")</f>
        <v/>
      </c>
      <c r="E589" s="2" t="str">
        <f>IFERROR(VLOOKUP(CONCATENATE(C589,D589),qdd!$C$2:$F$1000,2,FALSE),"")</f>
        <v/>
      </c>
      <c r="F589" s="2" t="str">
        <f>IFERROR(VLOOKUP(CONCATENATE(C589,D589),qdd!$C$2:$F$1000,3,FALSE),"")</f>
        <v/>
      </c>
      <c r="G589" s="2" t="str">
        <f>IFERROR(VLOOKUP(CONCATENATE(C589,D589),qdd!$C$2:$F$1000,4,FALSE),"")</f>
        <v/>
      </c>
      <c r="H589" s="6" t="str">
        <f t="shared" si="20"/>
        <v/>
      </c>
      <c r="I5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9" s="2" t="str">
        <f>IFERROR(IF('PREENCHER AQUI'!E589="","",'PREENCHER AQUI'!E589),"")</f>
        <v/>
      </c>
      <c r="K589" s="2" t="str">
        <f>IFERROR(IF('PREENCHER AQUI'!F589="","",'PREENCHER AQUI'!F589),"")</f>
        <v/>
      </c>
      <c r="L589" s="2" t="str">
        <f>IF(Tabela1[[#This Row],[IPU_COD]]=9,"91",IF(Tabela1[[#This Row],[ACAO_COD]]="","",VLOOKUP(CONCATENATE("G",J589,"M",K589),qdd!$BC$2:$BD$46,2,FALSE)))</f>
        <v/>
      </c>
      <c r="M589" s="2" t="str">
        <f>TEXT(IFERROR(VLOOKUP(CONCATENATE(C589,D589),qdd!$C$2:$G$1000,5,FALSE),""),0)</f>
        <v/>
      </c>
      <c r="N589" s="2" t="str">
        <f>IFERROR(IF('PREENCHER AQUI'!I589="","",'PREENCHER AQUI'!I589),"")</f>
        <v/>
      </c>
      <c r="O589" s="2" t="str">
        <f>IFERROR(IF('PREENCHER AQUI'!J589="","",'PREENCHER AQUI'!J589),"")</f>
        <v/>
      </c>
      <c r="P589" s="7" t="str">
        <f t="shared" si="21"/>
        <v/>
      </c>
      <c r="Q589" s="8" t="str">
        <f>IFERROR(IF(Tabela4[[#This Row],[VALOR]]="","",IF(Tabela1[[#This Row],[ORIENTACAO]]="Anular",'PREENCHER AQUI'!K589*-1*100,'PREENCHER AQUI'!K589*100)),"")</f>
        <v/>
      </c>
      <c r="T589" s="7" t="str">
        <f>IFERROR(IF('PREENCHER AQUI'!L589="","999",LEFT('PREENCHER AQUI'!L589,1)),"")</f>
        <v>999</v>
      </c>
      <c r="V589" s="19"/>
      <c r="W589" s="1" t="str">
        <f>IFERROR(VLOOKUP(Tabela1[[#This Row],[UO_COD]],qdd!$AT$1:$AU$102,2,FALSE),"")</f>
        <v/>
      </c>
      <c r="X589" s="1" t="str">
        <f>CONCATENATE("F",Tabela1[[#This Row],[FONTE_COD]],Tabela1[[#This Row],[IPU_COD]],"G",Tabela1[[#This Row],[GRUPO_COD]],"T",Tabela1[[#This Row],[TIPO]])</f>
        <v>FGT999</v>
      </c>
      <c r="Y5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9" s="19"/>
      <c r="AA589" s="29" t="str">
        <f>IFERROR(VLOOKUP(CONCATENATE("B",Tabela1[[#This Row],[BLOCO]],Tabela1[[#This Row],[UO_COD]]),qdd!$AW$2:$AX$1000,2,FALSE),"")</f>
        <v/>
      </c>
      <c r="AB589" s="30" t="str">
        <f>IFERROR(Tabela1[[#This Row],[VALOR]]/100,"")</f>
        <v/>
      </c>
      <c r="AC589" s="7" t="str" cm="1">
        <f t="array" aca="1" ref="AC589" ca="1">IF(Tabela1[[#This Row],[VALOR]]&lt;0,"",IFERROR(SUBSTITUTE(Converter_numero(Tabela1[[#This Row],[VALOR INCISO]]),",",""),""))</f>
        <v/>
      </c>
      <c r="AD589" s="29" t="str">
        <f>IF(Tabela1[[#This Row],[TIPO]]=REGRAS!$W$2,REGRAS!$X$2,IF(Tabela1[[#This Row],[TIPO]]=REGRAS!$W$4,REGRAS!$X$4,""))</f>
        <v/>
      </c>
      <c r="AE589" s="29" t="e">
        <f>VLOOKUP(Tabela1[[#This Row],[FONTE_COD]],REGRAS!$O$2:$P$69,2,FALSE)</f>
        <v>#N/A</v>
      </c>
      <c r="AF5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0" spans="1:32" ht="18.75" customHeight="1">
      <c r="A590" s="2" t="str">
        <f>IFERROR(IF('PREENCHER AQUI'!A590="","",'PREENCHER AQUI'!A590),"")</f>
        <v/>
      </c>
      <c r="B590" s="1" t="str">
        <f>IFERROR(IF('PREENCHER AQUI'!B590="","",PROPER('PREENCHER AQUI'!B590)),"")</f>
        <v/>
      </c>
      <c r="C590" s="1" t="str">
        <f>IFERROR(IF('PREENCHER AQUI'!C590="","",'PREENCHER AQUI'!C590),"")</f>
        <v/>
      </c>
      <c r="D590" s="2" t="str">
        <f>IFERROR(IF('PREENCHER AQUI'!D590="","",'PREENCHER AQUI'!D590),"")</f>
        <v/>
      </c>
      <c r="E590" s="2" t="str">
        <f>IFERROR(VLOOKUP(CONCATENATE(C590,D590),qdd!$C$2:$F$1000,2,FALSE),"")</f>
        <v/>
      </c>
      <c r="F590" s="2" t="str">
        <f>IFERROR(VLOOKUP(CONCATENATE(C590,D590),qdd!$C$2:$F$1000,3,FALSE),"")</f>
        <v/>
      </c>
      <c r="G590" s="2" t="str">
        <f>IFERROR(VLOOKUP(CONCATENATE(C590,D590),qdd!$C$2:$F$1000,4,FALSE),"")</f>
        <v/>
      </c>
      <c r="H590" s="6" t="str">
        <f t="shared" si="20"/>
        <v/>
      </c>
      <c r="I5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0" s="2" t="str">
        <f>IFERROR(IF('PREENCHER AQUI'!E590="","",'PREENCHER AQUI'!E590),"")</f>
        <v/>
      </c>
      <c r="K590" s="2" t="str">
        <f>IFERROR(IF('PREENCHER AQUI'!F590="","",'PREENCHER AQUI'!F590),"")</f>
        <v/>
      </c>
      <c r="L590" s="2" t="str">
        <f>IF(Tabela1[[#This Row],[IPU_COD]]=9,"91",IF(Tabela1[[#This Row],[ACAO_COD]]="","",VLOOKUP(CONCATENATE("G",J590,"M",K590),qdd!$BC$2:$BD$46,2,FALSE)))</f>
        <v/>
      </c>
      <c r="M590" s="2" t="str">
        <f>TEXT(IFERROR(VLOOKUP(CONCATENATE(C590,D590),qdd!$C$2:$G$1000,5,FALSE),""),0)</f>
        <v/>
      </c>
      <c r="N590" s="2" t="str">
        <f>IFERROR(IF('PREENCHER AQUI'!I590="","",'PREENCHER AQUI'!I590),"")</f>
        <v/>
      </c>
      <c r="O590" s="2" t="str">
        <f>IFERROR(IF('PREENCHER AQUI'!J590="","",'PREENCHER AQUI'!J590),"")</f>
        <v/>
      </c>
      <c r="P590" s="7" t="str">
        <f t="shared" si="21"/>
        <v/>
      </c>
      <c r="Q590" s="8" t="str">
        <f>IFERROR(IF(Tabela4[[#This Row],[VALOR]]="","",IF(Tabela1[[#This Row],[ORIENTACAO]]="Anular",'PREENCHER AQUI'!K590*-1*100,'PREENCHER AQUI'!K590*100)),"")</f>
        <v/>
      </c>
      <c r="T590" s="7" t="str">
        <f>IFERROR(IF('PREENCHER AQUI'!L590="","999",LEFT('PREENCHER AQUI'!L590,1)),"")</f>
        <v>999</v>
      </c>
      <c r="V590" s="19"/>
      <c r="W590" s="20" t="str">
        <f>IFERROR(VLOOKUP(Tabela1[[#This Row],[UO_COD]],qdd!$AT$1:$AU$102,2,FALSE),"")</f>
        <v/>
      </c>
      <c r="X590" s="20" t="str">
        <f>CONCATENATE("F",Tabela1[[#This Row],[FONTE_COD]],Tabela1[[#This Row],[IPU_COD]],"G",Tabela1[[#This Row],[GRUPO_COD]],"T",Tabela1[[#This Row],[TIPO]])</f>
        <v>FGT999</v>
      </c>
      <c r="Y5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0" s="19"/>
      <c r="AA590" s="29" t="str">
        <f>IFERROR(VLOOKUP(CONCATENATE("B",Tabela1[[#This Row],[BLOCO]],Tabela1[[#This Row],[UO_COD]]),qdd!$AW$2:$AX$1000,2,FALSE),"")</f>
        <v/>
      </c>
      <c r="AB590" s="30" t="str">
        <f>IFERROR(Tabela1[[#This Row],[VALOR]]/100,"")</f>
        <v/>
      </c>
      <c r="AC590" s="7" t="str" cm="1">
        <f t="array" aca="1" ref="AC590" ca="1">IF(Tabela1[[#This Row],[VALOR]]&lt;0,"",IFERROR(SUBSTITUTE(Converter_numero(Tabela1[[#This Row],[VALOR INCISO]]),",",""),""))</f>
        <v/>
      </c>
      <c r="AD590" s="29" t="str">
        <f>IF(Tabela1[[#This Row],[TIPO]]=REGRAS!$W$2,REGRAS!$X$2,IF(Tabela1[[#This Row],[TIPO]]=REGRAS!$W$4,REGRAS!$X$4,""))</f>
        <v/>
      </c>
      <c r="AE590" s="29" t="e">
        <f>VLOOKUP(Tabela1[[#This Row],[FONTE_COD]],REGRAS!$O$2:$P$69,2,FALSE)</f>
        <v>#N/A</v>
      </c>
      <c r="AF5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1" spans="1:32" ht="18.75" customHeight="1">
      <c r="A591" s="2" t="str">
        <f>IFERROR(IF('PREENCHER AQUI'!A591="","",'PREENCHER AQUI'!A591),"")</f>
        <v/>
      </c>
      <c r="B591" s="1" t="str">
        <f>IFERROR(IF('PREENCHER AQUI'!B591="","",PROPER('PREENCHER AQUI'!B591)),"")</f>
        <v/>
      </c>
      <c r="C591" s="1" t="str">
        <f>IFERROR(IF('PREENCHER AQUI'!C591="","",'PREENCHER AQUI'!C591),"")</f>
        <v/>
      </c>
      <c r="D591" s="2" t="str">
        <f>IFERROR(IF('PREENCHER AQUI'!D591="","",'PREENCHER AQUI'!D591),"")</f>
        <v/>
      </c>
      <c r="E591" s="2" t="str">
        <f>IFERROR(VLOOKUP(CONCATENATE(C591,D591),qdd!$C$2:$F$1000,2,FALSE),"")</f>
        <v/>
      </c>
      <c r="F591" s="2" t="str">
        <f>IFERROR(VLOOKUP(CONCATENATE(C591,D591),qdd!$C$2:$F$1000,3,FALSE),"")</f>
        <v/>
      </c>
      <c r="G591" s="2" t="str">
        <f>IFERROR(VLOOKUP(CONCATENATE(C591,D591),qdd!$C$2:$F$1000,4,FALSE),"")</f>
        <v/>
      </c>
      <c r="H591" s="6" t="str">
        <f t="shared" si="20"/>
        <v/>
      </c>
      <c r="I5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1" s="2" t="str">
        <f>IFERROR(IF('PREENCHER AQUI'!E591="","",'PREENCHER AQUI'!E591),"")</f>
        <v/>
      </c>
      <c r="K591" s="2" t="str">
        <f>IFERROR(IF('PREENCHER AQUI'!F591="","",'PREENCHER AQUI'!F591),"")</f>
        <v/>
      </c>
      <c r="L591" s="2" t="str">
        <f>IF(Tabela1[[#This Row],[IPU_COD]]=9,"91",IF(Tabela1[[#This Row],[ACAO_COD]]="","",VLOOKUP(CONCATENATE("G",J591,"M",K591),qdd!$BC$2:$BD$46,2,FALSE)))</f>
        <v/>
      </c>
      <c r="M591" s="2" t="str">
        <f>TEXT(IFERROR(VLOOKUP(CONCATENATE(C591,D591),qdd!$C$2:$G$1000,5,FALSE),""),0)</f>
        <v/>
      </c>
      <c r="N591" s="2" t="str">
        <f>IFERROR(IF('PREENCHER AQUI'!I591="","",'PREENCHER AQUI'!I591),"")</f>
        <v/>
      </c>
      <c r="O591" s="2" t="str">
        <f>IFERROR(IF('PREENCHER AQUI'!J591="","",'PREENCHER AQUI'!J591),"")</f>
        <v/>
      </c>
      <c r="P591" s="7" t="str">
        <f t="shared" si="21"/>
        <v/>
      </c>
      <c r="Q591" s="8" t="str">
        <f>IFERROR(IF(Tabela4[[#This Row],[VALOR]]="","",IF(Tabela1[[#This Row],[ORIENTACAO]]="Anular",'PREENCHER AQUI'!K591*-1*100,'PREENCHER AQUI'!K591*100)),"")</f>
        <v/>
      </c>
      <c r="T591" s="7" t="str">
        <f>IFERROR(IF('PREENCHER AQUI'!L591="","999",LEFT('PREENCHER AQUI'!L591,1)),"")</f>
        <v>999</v>
      </c>
      <c r="V591" s="19"/>
      <c r="W591" s="1" t="str">
        <f>IFERROR(VLOOKUP(Tabela1[[#This Row],[UO_COD]],qdd!$AT$1:$AU$102,2,FALSE),"")</f>
        <v/>
      </c>
      <c r="X591" s="1" t="str">
        <f>CONCATENATE("F",Tabela1[[#This Row],[FONTE_COD]],Tabela1[[#This Row],[IPU_COD]],"G",Tabela1[[#This Row],[GRUPO_COD]],"T",Tabela1[[#This Row],[TIPO]])</f>
        <v>FGT999</v>
      </c>
      <c r="Y5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1" s="19"/>
      <c r="AA591" s="29" t="str">
        <f>IFERROR(VLOOKUP(CONCATENATE("B",Tabela1[[#This Row],[BLOCO]],Tabela1[[#This Row],[UO_COD]]),qdd!$AW$2:$AX$1000,2,FALSE),"")</f>
        <v/>
      </c>
      <c r="AB591" s="30" t="str">
        <f>IFERROR(Tabela1[[#This Row],[VALOR]]/100,"")</f>
        <v/>
      </c>
      <c r="AC591" s="7" t="str" cm="1">
        <f t="array" aca="1" ref="AC591" ca="1">IF(Tabela1[[#This Row],[VALOR]]&lt;0,"",IFERROR(SUBSTITUTE(Converter_numero(Tabela1[[#This Row],[VALOR INCISO]]),",",""),""))</f>
        <v/>
      </c>
      <c r="AD591" s="29" t="str">
        <f>IF(Tabela1[[#This Row],[TIPO]]=REGRAS!$W$2,REGRAS!$X$2,IF(Tabela1[[#This Row],[TIPO]]=REGRAS!$W$4,REGRAS!$X$4,""))</f>
        <v/>
      </c>
      <c r="AE591" s="29" t="e">
        <f>VLOOKUP(Tabela1[[#This Row],[FONTE_COD]],REGRAS!$O$2:$P$69,2,FALSE)</f>
        <v>#N/A</v>
      </c>
      <c r="AF5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2" spans="1:32" ht="18.75" customHeight="1">
      <c r="A592" s="2" t="str">
        <f>IFERROR(IF('PREENCHER AQUI'!A592="","",'PREENCHER AQUI'!A592),"")</f>
        <v/>
      </c>
      <c r="B592" s="1" t="str">
        <f>IFERROR(IF('PREENCHER AQUI'!B592="","",PROPER('PREENCHER AQUI'!B592)),"")</f>
        <v/>
      </c>
      <c r="C592" s="1" t="str">
        <f>IFERROR(IF('PREENCHER AQUI'!C592="","",'PREENCHER AQUI'!C592),"")</f>
        <v/>
      </c>
      <c r="D592" s="2" t="str">
        <f>IFERROR(IF('PREENCHER AQUI'!D592="","",'PREENCHER AQUI'!D592),"")</f>
        <v/>
      </c>
      <c r="E592" s="2" t="str">
        <f>IFERROR(VLOOKUP(CONCATENATE(C592,D592),qdd!$C$2:$F$1000,2,FALSE),"")</f>
        <v/>
      </c>
      <c r="F592" s="2" t="str">
        <f>IFERROR(VLOOKUP(CONCATENATE(C592,D592),qdd!$C$2:$F$1000,3,FALSE),"")</f>
        <v/>
      </c>
      <c r="G592" s="2" t="str">
        <f>IFERROR(VLOOKUP(CONCATENATE(C592,D592),qdd!$C$2:$F$1000,4,FALSE),"")</f>
        <v/>
      </c>
      <c r="H592" s="6" t="str">
        <f t="shared" si="20"/>
        <v/>
      </c>
      <c r="I5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2" s="2" t="str">
        <f>IFERROR(IF('PREENCHER AQUI'!E592="","",'PREENCHER AQUI'!E592),"")</f>
        <v/>
      </c>
      <c r="K592" s="2" t="str">
        <f>IFERROR(IF('PREENCHER AQUI'!F592="","",'PREENCHER AQUI'!F592),"")</f>
        <v/>
      </c>
      <c r="L592" s="2" t="str">
        <f>IF(Tabela1[[#This Row],[IPU_COD]]=9,"91",IF(Tabela1[[#This Row],[ACAO_COD]]="","",VLOOKUP(CONCATENATE("G",J592,"M",K592),qdd!$BC$2:$BD$46,2,FALSE)))</f>
        <v/>
      </c>
      <c r="M592" s="2" t="str">
        <f>TEXT(IFERROR(VLOOKUP(CONCATENATE(C592,D592),qdd!$C$2:$G$1000,5,FALSE),""),0)</f>
        <v/>
      </c>
      <c r="N592" s="2" t="str">
        <f>IFERROR(IF('PREENCHER AQUI'!I592="","",'PREENCHER AQUI'!I592),"")</f>
        <v/>
      </c>
      <c r="O592" s="2" t="str">
        <f>IFERROR(IF('PREENCHER AQUI'!J592="","",'PREENCHER AQUI'!J592),"")</f>
        <v/>
      </c>
      <c r="P592" s="7" t="str">
        <f t="shared" si="21"/>
        <v/>
      </c>
      <c r="Q592" s="8" t="str">
        <f>IFERROR(IF(Tabela4[[#This Row],[VALOR]]="","",IF(Tabela1[[#This Row],[ORIENTACAO]]="Anular",'PREENCHER AQUI'!K592*-1*100,'PREENCHER AQUI'!K592*100)),"")</f>
        <v/>
      </c>
      <c r="T592" s="7" t="str">
        <f>IFERROR(IF('PREENCHER AQUI'!L592="","999",LEFT('PREENCHER AQUI'!L592,1)),"")</f>
        <v>999</v>
      </c>
      <c r="W592" s="1" t="str">
        <f>IFERROR(VLOOKUP(Tabela1[[#This Row],[UO_COD]],qdd!$AT$1:$AU$102,2,FALSE),"")</f>
        <v/>
      </c>
      <c r="X592" s="1" t="str">
        <f>CONCATENATE("F",Tabela1[[#This Row],[FONTE_COD]],Tabela1[[#This Row],[IPU_COD]],"G",Tabela1[[#This Row],[GRUPO_COD]],"T",Tabela1[[#This Row],[TIPO]])</f>
        <v>FGT999</v>
      </c>
      <c r="Y5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2" s="19"/>
      <c r="AA592" s="29" t="str">
        <f>IFERROR(VLOOKUP(CONCATENATE("B",Tabela1[[#This Row],[BLOCO]],Tabela1[[#This Row],[UO_COD]]),qdd!$AW$2:$AX$1000,2,FALSE),"")</f>
        <v/>
      </c>
      <c r="AB592" s="30" t="str">
        <f>IFERROR(Tabela1[[#This Row],[VALOR]]/100,"")</f>
        <v/>
      </c>
      <c r="AC592" s="7" t="str" cm="1">
        <f t="array" aca="1" ref="AC592" ca="1">IF(Tabela1[[#This Row],[VALOR]]&lt;0,"",IFERROR(SUBSTITUTE(Converter_numero(Tabela1[[#This Row],[VALOR INCISO]]),",",""),""))</f>
        <v/>
      </c>
      <c r="AD592" s="7" t="str">
        <f>IF(Tabela1[[#This Row],[TIPO]]=REGRAS!$W$2,REGRAS!$X$2,IF(Tabela1[[#This Row],[TIPO]]=REGRAS!$W$4,REGRAS!$X$4,""))</f>
        <v/>
      </c>
      <c r="AE592" s="29" t="e">
        <f>VLOOKUP(Tabela1[[#This Row],[FONTE_COD]],REGRAS!$O$2:$P$69,2,FALSE)</f>
        <v>#N/A</v>
      </c>
      <c r="AF5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3" spans="1:32" ht="18.75" customHeight="1">
      <c r="A593" s="2" t="str">
        <f>IFERROR(IF('PREENCHER AQUI'!A593="","",'PREENCHER AQUI'!A593),"")</f>
        <v/>
      </c>
      <c r="B593" s="1" t="str">
        <f>IFERROR(IF('PREENCHER AQUI'!B593="","",PROPER('PREENCHER AQUI'!B593)),"")</f>
        <v/>
      </c>
      <c r="C593" s="1" t="str">
        <f>IFERROR(IF('PREENCHER AQUI'!C593="","",'PREENCHER AQUI'!C593),"")</f>
        <v/>
      </c>
      <c r="D593" s="2" t="str">
        <f>IFERROR(IF('PREENCHER AQUI'!D593="","",'PREENCHER AQUI'!D593),"")</f>
        <v/>
      </c>
      <c r="E593" s="2" t="str">
        <f>IFERROR(VLOOKUP(CONCATENATE(C593,D593),qdd!$C$2:$F$1000,2,FALSE),"")</f>
        <v/>
      </c>
      <c r="F593" s="2" t="str">
        <f>IFERROR(VLOOKUP(CONCATENATE(C593,D593),qdd!$C$2:$F$1000,3,FALSE),"")</f>
        <v/>
      </c>
      <c r="G593" s="2" t="str">
        <f>IFERROR(VLOOKUP(CONCATENATE(C593,D593),qdd!$C$2:$F$1000,4,FALSE),"")</f>
        <v/>
      </c>
      <c r="H593" s="6" t="str">
        <f t="shared" si="20"/>
        <v/>
      </c>
      <c r="I5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3" s="2" t="str">
        <f>IFERROR(IF('PREENCHER AQUI'!E593="","",'PREENCHER AQUI'!E593),"")</f>
        <v/>
      </c>
      <c r="K593" s="2" t="str">
        <f>IFERROR(IF('PREENCHER AQUI'!F593="","",'PREENCHER AQUI'!F593),"")</f>
        <v/>
      </c>
      <c r="L593" s="2" t="str">
        <f>IF(Tabela1[[#This Row],[IPU_COD]]=9,"91",IF(Tabela1[[#This Row],[ACAO_COD]]="","",VLOOKUP(CONCATENATE("G",J593,"M",K593),qdd!$BC$2:$BD$46,2,FALSE)))</f>
        <v/>
      </c>
      <c r="M593" s="2" t="str">
        <f>TEXT(IFERROR(VLOOKUP(CONCATENATE(C593,D593),qdd!$C$2:$G$1000,5,FALSE),""),0)</f>
        <v/>
      </c>
      <c r="N593" s="2" t="str">
        <f>IFERROR(IF('PREENCHER AQUI'!I593="","",'PREENCHER AQUI'!I593),"")</f>
        <v/>
      </c>
      <c r="O593" s="2" t="str">
        <f>IFERROR(IF('PREENCHER AQUI'!J593="","",'PREENCHER AQUI'!J593),"")</f>
        <v/>
      </c>
      <c r="P593" s="7" t="str">
        <f t="shared" si="21"/>
        <v/>
      </c>
      <c r="Q593" s="8" t="str">
        <f>IFERROR(IF(Tabela4[[#This Row],[VALOR]]="","",IF(Tabela1[[#This Row],[ORIENTACAO]]="Anular",'PREENCHER AQUI'!K593*-1*100,'PREENCHER AQUI'!K593*100)),"")</f>
        <v/>
      </c>
      <c r="T593" s="7" t="str">
        <f>IFERROR(IF('PREENCHER AQUI'!L593="","999",LEFT('PREENCHER AQUI'!L593,1)),"")</f>
        <v>999</v>
      </c>
      <c r="V593" s="19"/>
      <c r="W593" s="1" t="str">
        <f>IFERROR(VLOOKUP(Tabela1[[#This Row],[UO_COD]],qdd!$AT$1:$AU$102,2,FALSE),"")</f>
        <v/>
      </c>
      <c r="X593" s="1" t="str">
        <f>CONCATENATE("F",Tabela1[[#This Row],[FONTE_COD]],Tabela1[[#This Row],[IPU_COD]],"G",Tabela1[[#This Row],[GRUPO_COD]],"T",Tabela1[[#This Row],[TIPO]])</f>
        <v>FGT999</v>
      </c>
      <c r="Y5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3" s="19"/>
      <c r="AA593" s="29" t="str">
        <f>IFERROR(VLOOKUP(CONCATENATE("B",Tabela1[[#This Row],[BLOCO]],Tabela1[[#This Row],[UO_COD]]),qdd!$AW$2:$AX$1000,2,FALSE),"")</f>
        <v/>
      </c>
      <c r="AB593" s="30" t="str">
        <f>IFERROR(Tabela1[[#This Row],[VALOR]]/100,"")</f>
        <v/>
      </c>
      <c r="AC593" s="7" t="str" cm="1">
        <f t="array" aca="1" ref="AC593" ca="1">IF(Tabela1[[#This Row],[VALOR]]&lt;0,"",IFERROR(SUBSTITUTE(Converter_numero(Tabela1[[#This Row],[VALOR INCISO]]),",",""),""))</f>
        <v/>
      </c>
      <c r="AD593" s="29" t="str">
        <f>IF(Tabela1[[#This Row],[TIPO]]=REGRAS!$W$2,REGRAS!$X$2,IF(Tabela1[[#This Row],[TIPO]]=REGRAS!$W$4,REGRAS!$X$4,""))</f>
        <v/>
      </c>
      <c r="AE593" s="29" t="e">
        <f>VLOOKUP(Tabela1[[#This Row],[FONTE_COD]],REGRAS!$O$2:$P$69,2,FALSE)</f>
        <v>#N/A</v>
      </c>
      <c r="AF5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4" spans="1:32" ht="18.75" customHeight="1">
      <c r="A594" s="2" t="str">
        <f>IFERROR(IF('PREENCHER AQUI'!A594="","",'PREENCHER AQUI'!A594),"")</f>
        <v/>
      </c>
      <c r="B594" s="1" t="str">
        <f>IFERROR(IF('PREENCHER AQUI'!B594="","",PROPER('PREENCHER AQUI'!B594)),"")</f>
        <v/>
      </c>
      <c r="C594" s="1" t="str">
        <f>IFERROR(IF('PREENCHER AQUI'!C594="","",'PREENCHER AQUI'!C594),"")</f>
        <v/>
      </c>
      <c r="D594" s="2" t="str">
        <f>IFERROR(IF('PREENCHER AQUI'!D594="","",'PREENCHER AQUI'!D594),"")</f>
        <v/>
      </c>
      <c r="E594" s="2" t="str">
        <f>IFERROR(VLOOKUP(CONCATENATE(C594,D594),qdd!$C$2:$F$1000,2,FALSE),"")</f>
        <v/>
      </c>
      <c r="F594" s="2" t="str">
        <f>IFERROR(VLOOKUP(CONCATENATE(C594,D594),qdd!$C$2:$F$1000,3,FALSE),"")</f>
        <v/>
      </c>
      <c r="G594" s="2" t="str">
        <f>IFERROR(VLOOKUP(CONCATENATE(C594,D594),qdd!$C$2:$F$1000,4,FALSE),"")</f>
        <v/>
      </c>
      <c r="H594" s="6" t="str">
        <f t="shared" si="20"/>
        <v/>
      </c>
      <c r="I5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4" s="2" t="str">
        <f>IFERROR(IF('PREENCHER AQUI'!E594="","",'PREENCHER AQUI'!E594),"")</f>
        <v/>
      </c>
      <c r="K594" s="2" t="str">
        <f>IFERROR(IF('PREENCHER AQUI'!F594="","",'PREENCHER AQUI'!F594),"")</f>
        <v/>
      </c>
      <c r="L594" s="2" t="str">
        <f>IF(Tabela1[[#This Row],[IPU_COD]]=9,"91",IF(Tabela1[[#This Row],[ACAO_COD]]="","",VLOOKUP(CONCATENATE("G",J594,"M",K594),qdd!$BC$2:$BD$46,2,FALSE)))</f>
        <v/>
      </c>
      <c r="M594" s="2" t="str">
        <f>TEXT(IFERROR(VLOOKUP(CONCATENATE(C594,D594),qdd!$C$2:$G$1000,5,FALSE),""),0)</f>
        <v/>
      </c>
      <c r="N594" s="2" t="str">
        <f>IFERROR(IF('PREENCHER AQUI'!I594="","",'PREENCHER AQUI'!I594),"")</f>
        <v/>
      </c>
      <c r="O594" s="2" t="str">
        <f>IFERROR(IF('PREENCHER AQUI'!J594="","",'PREENCHER AQUI'!J594),"")</f>
        <v/>
      </c>
      <c r="P594" s="7" t="str">
        <f t="shared" si="21"/>
        <v/>
      </c>
      <c r="Q594" s="8" t="str">
        <f>IFERROR(IF(Tabela4[[#This Row],[VALOR]]="","",IF(Tabela1[[#This Row],[ORIENTACAO]]="Anular",'PREENCHER AQUI'!K594*-1*100,'PREENCHER AQUI'!K594*100)),"")</f>
        <v/>
      </c>
      <c r="T594" s="7" t="str">
        <f>IFERROR(IF('PREENCHER AQUI'!L594="","999",LEFT('PREENCHER AQUI'!L594,1)),"")</f>
        <v>999</v>
      </c>
      <c r="V594" s="19"/>
      <c r="W594" s="1" t="str">
        <f>IFERROR(VLOOKUP(Tabela1[[#This Row],[UO_COD]],qdd!$AT$1:$AU$102,2,FALSE),"")</f>
        <v/>
      </c>
      <c r="X594" s="1" t="str">
        <f>CONCATENATE("F",Tabela1[[#This Row],[FONTE_COD]],Tabela1[[#This Row],[IPU_COD]],"G",Tabela1[[#This Row],[GRUPO_COD]],"T",Tabela1[[#This Row],[TIPO]])</f>
        <v>FGT999</v>
      </c>
      <c r="Y5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4" s="19"/>
      <c r="AA594" s="29" t="str">
        <f>IFERROR(VLOOKUP(CONCATENATE("B",Tabela1[[#This Row],[BLOCO]],Tabela1[[#This Row],[UO_COD]]),qdd!$AW$2:$AX$1000,2,FALSE),"")</f>
        <v/>
      </c>
      <c r="AB594" s="30" t="str">
        <f>IFERROR(Tabela1[[#This Row],[VALOR]]/100,"")</f>
        <v/>
      </c>
      <c r="AC594" s="7" t="str" cm="1">
        <f t="array" aca="1" ref="AC594" ca="1">IF(Tabela1[[#This Row],[VALOR]]&lt;0,"",IFERROR(SUBSTITUTE(Converter_numero(Tabela1[[#This Row],[VALOR INCISO]]),",",""),""))</f>
        <v/>
      </c>
      <c r="AD594" s="29" t="str">
        <f>IF(Tabela1[[#This Row],[TIPO]]=REGRAS!$W$2,REGRAS!$X$2,IF(Tabela1[[#This Row],[TIPO]]=REGRAS!$W$4,REGRAS!$X$4,""))</f>
        <v/>
      </c>
      <c r="AE594" s="29" t="e">
        <f>VLOOKUP(Tabela1[[#This Row],[FONTE_COD]],REGRAS!$O$2:$P$69,2,FALSE)</f>
        <v>#N/A</v>
      </c>
      <c r="AF5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5" spans="1:32" ht="18.75" customHeight="1">
      <c r="A595" s="2" t="str">
        <f>IFERROR(IF('PREENCHER AQUI'!A595="","",'PREENCHER AQUI'!A595),"")</f>
        <v/>
      </c>
      <c r="B595" s="1" t="str">
        <f>IFERROR(IF('PREENCHER AQUI'!B595="","",PROPER('PREENCHER AQUI'!B595)),"")</f>
        <v/>
      </c>
      <c r="C595" s="1" t="str">
        <f>IFERROR(IF('PREENCHER AQUI'!C595="","",'PREENCHER AQUI'!C595),"")</f>
        <v/>
      </c>
      <c r="D595" s="2" t="str">
        <f>IFERROR(IF('PREENCHER AQUI'!D595="","",'PREENCHER AQUI'!D595),"")</f>
        <v/>
      </c>
      <c r="E595" s="2" t="str">
        <f>IFERROR(VLOOKUP(CONCATENATE(C595,D595),qdd!$C$2:$F$1000,2,FALSE),"")</f>
        <v/>
      </c>
      <c r="F595" s="2" t="str">
        <f>IFERROR(VLOOKUP(CONCATENATE(C595,D595),qdd!$C$2:$F$1000,3,FALSE),"")</f>
        <v/>
      </c>
      <c r="G595" s="2" t="str">
        <f>IFERROR(VLOOKUP(CONCATENATE(C595,D595),qdd!$C$2:$F$1000,4,FALSE),"")</f>
        <v/>
      </c>
      <c r="H595" s="6" t="str">
        <f t="shared" si="20"/>
        <v/>
      </c>
      <c r="I5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5" s="2" t="str">
        <f>IFERROR(IF('PREENCHER AQUI'!E595="","",'PREENCHER AQUI'!E595),"")</f>
        <v/>
      </c>
      <c r="K595" s="2" t="str">
        <f>IFERROR(IF('PREENCHER AQUI'!F595="","",'PREENCHER AQUI'!F595),"")</f>
        <v/>
      </c>
      <c r="L595" s="2" t="str">
        <f>IF(Tabela1[[#This Row],[IPU_COD]]=9,"91",IF(Tabela1[[#This Row],[ACAO_COD]]="","",VLOOKUP(CONCATENATE("G",J595,"M",K595),qdd!$BC$2:$BD$46,2,FALSE)))</f>
        <v/>
      </c>
      <c r="M595" s="2" t="str">
        <f>TEXT(IFERROR(VLOOKUP(CONCATENATE(C595,D595),qdd!$C$2:$G$1000,5,FALSE),""),0)</f>
        <v/>
      </c>
      <c r="N595" s="2" t="str">
        <f>IFERROR(IF('PREENCHER AQUI'!I595="","",'PREENCHER AQUI'!I595),"")</f>
        <v/>
      </c>
      <c r="O595" s="2" t="str">
        <f>IFERROR(IF('PREENCHER AQUI'!J595="","",'PREENCHER AQUI'!J595),"")</f>
        <v/>
      </c>
      <c r="P595" s="7" t="str">
        <f t="shared" si="21"/>
        <v/>
      </c>
      <c r="Q595" s="8" t="str">
        <f>IFERROR(IF(Tabela4[[#This Row],[VALOR]]="","",IF(Tabela1[[#This Row],[ORIENTACAO]]="Anular",'PREENCHER AQUI'!K595*-1*100,'PREENCHER AQUI'!K595*100)),"")</f>
        <v/>
      </c>
      <c r="T595" s="7" t="str">
        <f>IFERROR(IF('PREENCHER AQUI'!L595="","999",LEFT('PREENCHER AQUI'!L595,1)),"")</f>
        <v>999</v>
      </c>
      <c r="V595" s="19"/>
      <c r="W595" s="20" t="str">
        <f>IFERROR(VLOOKUP(Tabela1[[#This Row],[UO_COD]],qdd!$AT$1:$AU$102,2,FALSE),"")</f>
        <v/>
      </c>
      <c r="X595" s="20" t="str">
        <f>CONCATENATE("F",Tabela1[[#This Row],[FONTE_COD]],Tabela1[[#This Row],[IPU_COD]],"G",Tabela1[[#This Row],[GRUPO_COD]],"T",Tabela1[[#This Row],[TIPO]])</f>
        <v>FGT999</v>
      </c>
      <c r="Y5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5" s="19"/>
      <c r="AA595" s="29" t="str">
        <f>IFERROR(VLOOKUP(CONCATENATE("B",Tabela1[[#This Row],[BLOCO]],Tabela1[[#This Row],[UO_COD]]),qdd!$AW$2:$AX$1000,2,FALSE),"")</f>
        <v/>
      </c>
      <c r="AB595" s="30" t="str">
        <f>IFERROR(Tabela1[[#This Row],[VALOR]]/100,"")</f>
        <v/>
      </c>
      <c r="AC595" s="7" t="str" cm="1">
        <f t="array" aca="1" ref="AC595" ca="1">IF(Tabela1[[#This Row],[VALOR]]&lt;0,"",IFERROR(SUBSTITUTE(Converter_numero(Tabela1[[#This Row],[VALOR INCISO]]),",",""),""))</f>
        <v/>
      </c>
      <c r="AD595" s="29" t="str">
        <f>IF(Tabela1[[#This Row],[TIPO]]=REGRAS!$W$2,REGRAS!$X$2,IF(Tabela1[[#This Row],[TIPO]]=REGRAS!$W$4,REGRAS!$X$4,""))</f>
        <v/>
      </c>
      <c r="AE595" s="29" t="e">
        <f>VLOOKUP(Tabela1[[#This Row],[FONTE_COD]],REGRAS!$O$2:$P$69,2,FALSE)</f>
        <v>#N/A</v>
      </c>
      <c r="AF5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6" spans="1:32" ht="18.75" customHeight="1">
      <c r="A596" s="2" t="str">
        <f>IFERROR(IF('PREENCHER AQUI'!A596="","",'PREENCHER AQUI'!A596),"")</f>
        <v/>
      </c>
      <c r="B596" s="1" t="str">
        <f>IFERROR(IF('PREENCHER AQUI'!B596="","",PROPER('PREENCHER AQUI'!B596)),"")</f>
        <v/>
      </c>
      <c r="C596" s="1" t="str">
        <f>IFERROR(IF('PREENCHER AQUI'!C596="","",'PREENCHER AQUI'!C596),"")</f>
        <v/>
      </c>
      <c r="D596" s="2" t="str">
        <f>IFERROR(IF('PREENCHER AQUI'!D596="","",'PREENCHER AQUI'!D596),"")</f>
        <v/>
      </c>
      <c r="E596" s="2" t="str">
        <f>IFERROR(VLOOKUP(CONCATENATE(C596,D596),qdd!$C$2:$F$1000,2,FALSE),"")</f>
        <v/>
      </c>
      <c r="F596" s="2" t="str">
        <f>IFERROR(VLOOKUP(CONCATENATE(C596,D596),qdd!$C$2:$F$1000,3,FALSE),"")</f>
        <v/>
      </c>
      <c r="G596" s="2" t="str">
        <f>IFERROR(VLOOKUP(CONCATENATE(C596,D596),qdd!$C$2:$F$1000,4,FALSE),"")</f>
        <v/>
      </c>
      <c r="H596" s="6" t="str">
        <f t="shared" si="20"/>
        <v/>
      </c>
      <c r="I5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6" s="2" t="str">
        <f>IFERROR(IF('PREENCHER AQUI'!E596="","",'PREENCHER AQUI'!E596),"")</f>
        <v/>
      </c>
      <c r="K596" s="2" t="str">
        <f>IFERROR(IF('PREENCHER AQUI'!F596="","",'PREENCHER AQUI'!F596),"")</f>
        <v/>
      </c>
      <c r="L596" s="2" t="str">
        <f>IF(Tabela1[[#This Row],[IPU_COD]]=9,"91",IF(Tabela1[[#This Row],[ACAO_COD]]="","",VLOOKUP(CONCATENATE("G",J596,"M",K596),qdd!$BC$2:$BD$46,2,FALSE)))</f>
        <v/>
      </c>
      <c r="M596" s="2" t="str">
        <f>TEXT(IFERROR(VLOOKUP(CONCATENATE(C596,D596),qdd!$C$2:$G$1000,5,FALSE),""),0)</f>
        <v/>
      </c>
      <c r="N596" s="2" t="str">
        <f>IFERROR(IF('PREENCHER AQUI'!I596="","",'PREENCHER AQUI'!I596),"")</f>
        <v/>
      </c>
      <c r="O596" s="2" t="str">
        <f>IFERROR(IF('PREENCHER AQUI'!J596="","",'PREENCHER AQUI'!J596),"")</f>
        <v/>
      </c>
      <c r="P596" s="7" t="str">
        <f t="shared" si="21"/>
        <v/>
      </c>
      <c r="Q596" s="8" t="str">
        <f>IFERROR(IF(Tabela4[[#This Row],[VALOR]]="","",IF(Tabela1[[#This Row],[ORIENTACAO]]="Anular",'PREENCHER AQUI'!K596*-1*100,'PREENCHER AQUI'!K596*100)),"")</f>
        <v/>
      </c>
      <c r="T596" s="7" t="str">
        <f>IFERROR(IF('PREENCHER AQUI'!L596="","999",LEFT('PREENCHER AQUI'!L596,1)),"")</f>
        <v>999</v>
      </c>
      <c r="V596" s="19"/>
      <c r="W596" s="1" t="str">
        <f>IFERROR(VLOOKUP(Tabela1[[#This Row],[UO_COD]],qdd!$AT$1:$AU$102,2,FALSE),"")</f>
        <v/>
      </c>
      <c r="X596" s="1" t="str">
        <f>CONCATENATE("F",Tabela1[[#This Row],[FONTE_COD]],Tabela1[[#This Row],[IPU_COD]],"G",Tabela1[[#This Row],[GRUPO_COD]],"T",Tabela1[[#This Row],[TIPO]])</f>
        <v>FGT999</v>
      </c>
      <c r="Y5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6" s="19"/>
      <c r="AA596" s="29" t="str">
        <f>IFERROR(VLOOKUP(CONCATENATE("B",Tabela1[[#This Row],[BLOCO]],Tabela1[[#This Row],[UO_COD]]),qdd!$AW$2:$AX$1000,2,FALSE),"")</f>
        <v/>
      </c>
      <c r="AB596" s="30" t="str">
        <f>IFERROR(Tabela1[[#This Row],[VALOR]]/100,"")</f>
        <v/>
      </c>
      <c r="AC596" s="7" t="str" cm="1">
        <f t="array" aca="1" ref="AC596" ca="1">IF(Tabela1[[#This Row],[VALOR]]&lt;0,"",IFERROR(SUBSTITUTE(Converter_numero(Tabela1[[#This Row],[VALOR INCISO]]),",",""),""))</f>
        <v/>
      </c>
      <c r="AD596" s="29" t="str">
        <f>IF(Tabela1[[#This Row],[TIPO]]=REGRAS!$W$2,REGRAS!$X$2,IF(Tabela1[[#This Row],[TIPO]]=REGRAS!$W$4,REGRAS!$X$4,""))</f>
        <v/>
      </c>
      <c r="AE596" s="29" t="e">
        <f>VLOOKUP(Tabela1[[#This Row],[FONTE_COD]],REGRAS!$O$2:$P$69,2,FALSE)</f>
        <v>#N/A</v>
      </c>
      <c r="AF5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7" spans="1:32" ht="18.75" customHeight="1">
      <c r="A597" s="2" t="str">
        <f>IFERROR(IF('PREENCHER AQUI'!A597="","",'PREENCHER AQUI'!A597),"")</f>
        <v/>
      </c>
      <c r="B597" s="1" t="str">
        <f>IFERROR(IF('PREENCHER AQUI'!B597="","",PROPER('PREENCHER AQUI'!B597)),"")</f>
        <v/>
      </c>
      <c r="C597" s="1" t="str">
        <f>IFERROR(IF('PREENCHER AQUI'!C597="","",'PREENCHER AQUI'!C597),"")</f>
        <v/>
      </c>
      <c r="D597" s="2" t="str">
        <f>IFERROR(IF('PREENCHER AQUI'!D597="","",'PREENCHER AQUI'!D597),"")</f>
        <v/>
      </c>
      <c r="E597" s="2" t="str">
        <f>IFERROR(VLOOKUP(CONCATENATE(C597,D597),qdd!$C$2:$F$1000,2,FALSE),"")</f>
        <v/>
      </c>
      <c r="F597" s="2" t="str">
        <f>IFERROR(VLOOKUP(CONCATENATE(C597,D597),qdd!$C$2:$F$1000,3,FALSE),"")</f>
        <v/>
      </c>
      <c r="G597" s="2" t="str">
        <f>IFERROR(VLOOKUP(CONCATENATE(C597,D597),qdd!$C$2:$F$1000,4,FALSE),"")</f>
        <v/>
      </c>
      <c r="H597" s="6" t="str">
        <f t="shared" si="20"/>
        <v/>
      </c>
      <c r="I5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7" s="2" t="str">
        <f>IFERROR(IF('PREENCHER AQUI'!E597="","",'PREENCHER AQUI'!E597),"")</f>
        <v/>
      </c>
      <c r="K597" s="2" t="str">
        <f>IFERROR(IF('PREENCHER AQUI'!F597="","",'PREENCHER AQUI'!F597),"")</f>
        <v/>
      </c>
      <c r="L597" s="2" t="str">
        <f>IF(Tabela1[[#This Row],[IPU_COD]]=9,"91",IF(Tabela1[[#This Row],[ACAO_COD]]="","",VLOOKUP(CONCATENATE("G",J597,"M",K597),qdd!$BC$2:$BD$46,2,FALSE)))</f>
        <v/>
      </c>
      <c r="M597" s="2" t="str">
        <f>TEXT(IFERROR(VLOOKUP(CONCATENATE(C597,D597),qdd!$C$2:$G$1000,5,FALSE),""),0)</f>
        <v/>
      </c>
      <c r="N597" s="2" t="str">
        <f>IFERROR(IF('PREENCHER AQUI'!I597="","",'PREENCHER AQUI'!I597),"")</f>
        <v/>
      </c>
      <c r="O597" s="2" t="str">
        <f>IFERROR(IF('PREENCHER AQUI'!J597="","",'PREENCHER AQUI'!J597),"")</f>
        <v/>
      </c>
      <c r="P597" s="7" t="str">
        <f t="shared" si="21"/>
        <v/>
      </c>
      <c r="Q597" s="8" t="str">
        <f>IFERROR(IF(Tabela4[[#This Row],[VALOR]]="","",IF(Tabela1[[#This Row],[ORIENTACAO]]="Anular",'PREENCHER AQUI'!K597*-1*100,'PREENCHER AQUI'!K597*100)),"")</f>
        <v/>
      </c>
      <c r="T597" s="7" t="str">
        <f>IFERROR(IF('PREENCHER AQUI'!L597="","999",LEFT('PREENCHER AQUI'!L597,1)),"")</f>
        <v>999</v>
      </c>
      <c r="W597" s="1" t="str">
        <f>IFERROR(VLOOKUP(Tabela1[[#This Row],[UO_COD]],qdd!$AT$1:$AU$102,2,FALSE),"")</f>
        <v/>
      </c>
      <c r="X597" s="1" t="str">
        <f>CONCATENATE("F",Tabela1[[#This Row],[FONTE_COD]],Tabela1[[#This Row],[IPU_COD]],"G",Tabela1[[#This Row],[GRUPO_COD]],"T",Tabela1[[#This Row],[TIPO]])</f>
        <v>FGT999</v>
      </c>
      <c r="Y5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7" s="19"/>
      <c r="AA597" s="29" t="str">
        <f>IFERROR(VLOOKUP(CONCATENATE("B",Tabela1[[#This Row],[BLOCO]],Tabela1[[#This Row],[UO_COD]]),qdd!$AW$2:$AX$1000,2,FALSE),"")</f>
        <v/>
      </c>
      <c r="AB597" s="30" t="str">
        <f>IFERROR(Tabela1[[#This Row],[VALOR]]/100,"")</f>
        <v/>
      </c>
      <c r="AC597" s="7" t="str" cm="1">
        <f t="array" aca="1" ref="AC597" ca="1">IF(Tabela1[[#This Row],[VALOR]]&lt;0,"",IFERROR(SUBSTITUTE(Converter_numero(Tabela1[[#This Row],[VALOR INCISO]]),",",""),""))</f>
        <v/>
      </c>
      <c r="AD597" s="7" t="str">
        <f>IF(Tabela1[[#This Row],[TIPO]]=REGRAS!$W$2,REGRAS!$X$2,IF(Tabela1[[#This Row],[TIPO]]=REGRAS!$W$4,REGRAS!$X$4,""))</f>
        <v/>
      </c>
      <c r="AE597" s="29" t="e">
        <f>VLOOKUP(Tabela1[[#This Row],[FONTE_COD]],REGRAS!$O$2:$P$69,2,FALSE)</f>
        <v>#N/A</v>
      </c>
      <c r="AF5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8" spans="1:32" ht="18.75" customHeight="1">
      <c r="A598" s="2" t="str">
        <f>IFERROR(IF('PREENCHER AQUI'!A598="","",'PREENCHER AQUI'!A598),"")</f>
        <v/>
      </c>
      <c r="B598" s="1" t="str">
        <f>IFERROR(IF('PREENCHER AQUI'!B598="","",PROPER('PREENCHER AQUI'!B598)),"")</f>
        <v/>
      </c>
      <c r="C598" s="1" t="str">
        <f>IFERROR(IF('PREENCHER AQUI'!C598="","",'PREENCHER AQUI'!C598),"")</f>
        <v/>
      </c>
      <c r="D598" s="2" t="str">
        <f>IFERROR(IF('PREENCHER AQUI'!D598="","",'PREENCHER AQUI'!D598),"")</f>
        <v/>
      </c>
      <c r="E598" s="2" t="str">
        <f>IFERROR(VLOOKUP(CONCATENATE(C598,D598),qdd!$C$2:$F$1000,2,FALSE),"")</f>
        <v/>
      </c>
      <c r="F598" s="2" t="str">
        <f>IFERROR(VLOOKUP(CONCATENATE(C598,D598),qdd!$C$2:$F$1000,3,FALSE),"")</f>
        <v/>
      </c>
      <c r="G598" s="2" t="str">
        <f>IFERROR(VLOOKUP(CONCATENATE(C598,D598),qdd!$C$2:$F$1000,4,FALSE),"")</f>
        <v/>
      </c>
      <c r="H598" s="6" t="str">
        <f t="shared" si="20"/>
        <v/>
      </c>
      <c r="I5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8" s="2" t="str">
        <f>IFERROR(IF('PREENCHER AQUI'!E598="","",'PREENCHER AQUI'!E598),"")</f>
        <v/>
      </c>
      <c r="K598" s="2" t="str">
        <f>IFERROR(IF('PREENCHER AQUI'!F598="","",'PREENCHER AQUI'!F598),"")</f>
        <v/>
      </c>
      <c r="L598" s="2" t="str">
        <f>IF(Tabela1[[#This Row],[IPU_COD]]=9,"91",IF(Tabela1[[#This Row],[ACAO_COD]]="","",VLOOKUP(CONCATENATE("G",J598,"M",K598),qdd!$BC$2:$BD$46,2,FALSE)))</f>
        <v/>
      </c>
      <c r="M598" s="2" t="str">
        <f>TEXT(IFERROR(VLOOKUP(CONCATENATE(C598,D598),qdd!$C$2:$G$1000,5,FALSE),""),0)</f>
        <v/>
      </c>
      <c r="N598" s="2" t="str">
        <f>IFERROR(IF('PREENCHER AQUI'!I598="","",'PREENCHER AQUI'!I598),"")</f>
        <v/>
      </c>
      <c r="O598" s="2" t="str">
        <f>IFERROR(IF('PREENCHER AQUI'!J598="","",'PREENCHER AQUI'!J598),"")</f>
        <v/>
      </c>
      <c r="P598" s="7" t="str">
        <f t="shared" si="21"/>
        <v/>
      </c>
      <c r="Q598" s="8" t="str">
        <f>IFERROR(IF(Tabela4[[#This Row],[VALOR]]="","",IF(Tabela1[[#This Row],[ORIENTACAO]]="Anular",'PREENCHER AQUI'!K598*-1*100,'PREENCHER AQUI'!K598*100)),"")</f>
        <v/>
      </c>
      <c r="T598" s="7" t="str">
        <f>IFERROR(IF('PREENCHER AQUI'!L598="","999",LEFT('PREENCHER AQUI'!L598,1)),"")</f>
        <v>999</v>
      </c>
      <c r="V598" s="19"/>
      <c r="W598" s="1" t="str">
        <f>IFERROR(VLOOKUP(Tabela1[[#This Row],[UO_COD]],qdd!$AT$1:$AU$102,2,FALSE),"")</f>
        <v/>
      </c>
      <c r="X598" s="1" t="str">
        <f>CONCATENATE("F",Tabela1[[#This Row],[FONTE_COD]],Tabela1[[#This Row],[IPU_COD]],"G",Tabela1[[#This Row],[GRUPO_COD]],"T",Tabela1[[#This Row],[TIPO]])</f>
        <v>FGT999</v>
      </c>
      <c r="Y5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8" s="19"/>
      <c r="AA598" s="29" t="str">
        <f>IFERROR(VLOOKUP(CONCATENATE("B",Tabela1[[#This Row],[BLOCO]],Tabela1[[#This Row],[UO_COD]]),qdd!$AW$2:$AX$1000,2,FALSE),"")</f>
        <v/>
      </c>
      <c r="AB598" s="30" t="str">
        <f>IFERROR(Tabela1[[#This Row],[VALOR]]/100,"")</f>
        <v/>
      </c>
      <c r="AC598" s="7" t="str" cm="1">
        <f t="array" aca="1" ref="AC598" ca="1">IF(Tabela1[[#This Row],[VALOR]]&lt;0,"",IFERROR(SUBSTITUTE(Converter_numero(Tabela1[[#This Row],[VALOR INCISO]]),",",""),""))</f>
        <v/>
      </c>
      <c r="AD598" s="29" t="str">
        <f>IF(Tabela1[[#This Row],[TIPO]]=REGRAS!$W$2,REGRAS!$X$2,IF(Tabela1[[#This Row],[TIPO]]=REGRAS!$W$4,REGRAS!$X$4,""))</f>
        <v/>
      </c>
      <c r="AE598" s="29" t="e">
        <f>VLOOKUP(Tabela1[[#This Row],[FONTE_COD]],REGRAS!$O$2:$P$69,2,FALSE)</f>
        <v>#N/A</v>
      </c>
      <c r="AF5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9" spans="1:32" ht="18.75" customHeight="1">
      <c r="A599" s="2" t="str">
        <f>IFERROR(IF('PREENCHER AQUI'!A599="","",'PREENCHER AQUI'!A599),"")</f>
        <v/>
      </c>
      <c r="B599" s="1" t="str">
        <f>IFERROR(IF('PREENCHER AQUI'!B599="","",PROPER('PREENCHER AQUI'!B599)),"")</f>
        <v/>
      </c>
      <c r="C599" s="1" t="str">
        <f>IFERROR(IF('PREENCHER AQUI'!C599="","",'PREENCHER AQUI'!C599),"")</f>
        <v/>
      </c>
      <c r="D599" s="2" t="str">
        <f>IFERROR(IF('PREENCHER AQUI'!D599="","",'PREENCHER AQUI'!D599),"")</f>
        <v/>
      </c>
      <c r="E599" s="2" t="str">
        <f>IFERROR(VLOOKUP(CONCATENATE(C599,D599),qdd!$C$2:$F$1000,2,FALSE),"")</f>
        <v/>
      </c>
      <c r="F599" s="2" t="str">
        <f>IFERROR(VLOOKUP(CONCATENATE(C599,D599),qdd!$C$2:$F$1000,3,FALSE),"")</f>
        <v/>
      </c>
      <c r="G599" s="2" t="str">
        <f>IFERROR(VLOOKUP(CONCATENATE(C599,D599),qdd!$C$2:$F$1000,4,FALSE),"")</f>
        <v/>
      </c>
      <c r="H599" s="6" t="str">
        <f t="shared" si="20"/>
        <v/>
      </c>
      <c r="I5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9" s="2" t="str">
        <f>IFERROR(IF('PREENCHER AQUI'!E599="","",'PREENCHER AQUI'!E599),"")</f>
        <v/>
      </c>
      <c r="K599" s="2" t="str">
        <f>IFERROR(IF('PREENCHER AQUI'!F599="","",'PREENCHER AQUI'!F599),"")</f>
        <v/>
      </c>
      <c r="L599" s="2" t="str">
        <f>IF(Tabela1[[#This Row],[IPU_COD]]=9,"91",IF(Tabela1[[#This Row],[ACAO_COD]]="","",VLOOKUP(CONCATENATE("G",J599,"M",K599),qdd!$BC$2:$BD$46,2,FALSE)))</f>
        <v/>
      </c>
      <c r="M599" s="2" t="str">
        <f>TEXT(IFERROR(VLOOKUP(CONCATENATE(C599,D599),qdd!$C$2:$G$1000,5,FALSE),""),0)</f>
        <v/>
      </c>
      <c r="N599" s="2" t="str">
        <f>IFERROR(IF('PREENCHER AQUI'!I599="","",'PREENCHER AQUI'!I599),"")</f>
        <v/>
      </c>
      <c r="O599" s="2" t="str">
        <f>IFERROR(IF('PREENCHER AQUI'!J599="","",'PREENCHER AQUI'!J599),"")</f>
        <v/>
      </c>
      <c r="P599" s="7" t="str">
        <f t="shared" si="21"/>
        <v/>
      </c>
      <c r="Q599" s="8" t="str">
        <f>IFERROR(IF(Tabela4[[#This Row],[VALOR]]="","",IF(Tabela1[[#This Row],[ORIENTACAO]]="Anular",'PREENCHER AQUI'!K599*-1*100,'PREENCHER AQUI'!K599*100)),"")</f>
        <v/>
      </c>
      <c r="T599" s="7" t="str">
        <f>IFERROR(IF('PREENCHER AQUI'!L599="","999",LEFT('PREENCHER AQUI'!L599,1)),"")</f>
        <v>999</v>
      </c>
      <c r="V599" s="19"/>
      <c r="W599" s="1" t="str">
        <f>IFERROR(VLOOKUP(Tabela1[[#This Row],[UO_COD]],qdd!$AT$1:$AU$102,2,FALSE),"")</f>
        <v/>
      </c>
      <c r="X599" s="1" t="str">
        <f>CONCATENATE("F",Tabela1[[#This Row],[FONTE_COD]],Tabela1[[#This Row],[IPU_COD]],"G",Tabela1[[#This Row],[GRUPO_COD]],"T",Tabela1[[#This Row],[TIPO]])</f>
        <v>FGT999</v>
      </c>
      <c r="Y5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9" s="19"/>
      <c r="AA599" s="29" t="str">
        <f>IFERROR(VLOOKUP(CONCATENATE("B",Tabela1[[#This Row],[BLOCO]],Tabela1[[#This Row],[UO_COD]]),qdd!$AW$2:$AX$1000,2,FALSE),"")</f>
        <v/>
      </c>
      <c r="AB599" s="30" t="str">
        <f>IFERROR(Tabela1[[#This Row],[VALOR]]/100,"")</f>
        <v/>
      </c>
      <c r="AC599" s="7" t="str" cm="1">
        <f t="array" aca="1" ref="AC599" ca="1">IF(Tabela1[[#This Row],[VALOR]]&lt;0,"",IFERROR(SUBSTITUTE(Converter_numero(Tabela1[[#This Row],[VALOR INCISO]]),",",""),""))</f>
        <v/>
      </c>
      <c r="AD599" s="29" t="str">
        <f>IF(Tabela1[[#This Row],[TIPO]]=REGRAS!$W$2,REGRAS!$X$2,IF(Tabela1[[#This Row],[TIPO]]=REGRAS!$W$4,REGRAS!$X$4,""))</f>
        <v/>
      </c>
      <c r="AE599" s="29" t="e">
        <f>VLOOKUP(Tabela1[[#This Row],[FONTE_COD]],REGRAS!$O$2:$P$69,2,FALSE)</f>
        <v>#N/A</v>
      </c>
      <c r="AF5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0" spans="1:32" ht="18.75" customHeight="1">
      <c r="A600" s="2" t="str">
        <f>IFERROR(IF('PREENCHER AQUI'!A600="","",'PREENCHER AQUI'!A600),"")</f>
        <v/>
      </c>
      <c r="B600" s="1" t="str">
        <f>IFERROR(IF('PREENCHER AQUI'!B600="","",PROPER('PREENCHER AQUI'!B600)),"")</f>
        <v/>
      </c>
      <c r="C600" s="1" t="str">
        <f>IFERROR(IF('PREENCHER AQUI'!C600="","",'PREENCHER AQUI'!C600),"")</f>
        <v/>
      </c>
      <c r="D600" s="2" t="str">
        <f>IFERROR(IF('PREENCHER AQUI'!D600="","",'PREENCHER AQUI'!D600),"")</f>
        <v/>
      </c>
      <c r="E600" s="2" t="str">
        <f>IFERROR(VLOOKUP(CONCATENATE(C600,D600),qdd!$C$2:$F$1000,2,FALSE),"")</f>
        <v/>
      </c>
      <c r="F600" s="2" t="str">
        <f>IFERROR(VLOOKUP(CONCATENATE(C600,D600),qdd!$C$2:$F$1000,3,FALSE),"")</f>
        <v/>
      </c>
      <c r="G600" s="2" t="str">
        <f>IFERROR(VLOOKUP(CONCATENATE(C600,D600),qdd!$C$2:$F$1000,4,FALSE),"")</f>
        <v/>
      </c>
      <c r="H600" s="6" t="str">
        <f t="shared" si="20"/>
        <v/>
      </c>
      <c r="I6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0" s="2" t="str">
        <f>IFERROR(IF('PREENCHER AQUI'!E600="","",'PREENCHER AQUI'!E600),"")</f>
        <v/>
      </c>
      <c r="K600" s="2" t="str">
        <f>IFERROR(IF('PREENCHER AQUI'!F600="","",'PREENCHER AQUI'!F600),"")</f>
        <v/>
      </c>
      <c r="L600" s="2" t="str">
        <f>IF(Tabela1[[#This Row],[IPU_COD]]=9,"91",IF(Tabela1[[#This Row],[ACAO_COD]]="","",VLOOKUP(CONCATENATE("G",J600,"M",K600),qdd!$BC$2:$BD$46,2,FALSE)))</f>
        <v/>
      </c>
      <c r="M600" s="2" t="str">
        <f>TEXT(IFERROR(VLOOKUP(CONCATENATE(C600,D600),qdd!$C$2:$G$1000,5,FALSE),""),0)</f>
        <v/>
      </c>
      <c r="N600" s="2" t="str">
        <f>IFERROR(IF('PREENCHER AQUI'!I600="","",'PREENCHER AQUI'!I600),"")</f>
        <v/>
      </c>
      <c r="O600" s="2" t="str">
        <f>IFERROR(IF('PREENCHER AQUI'!J600="","",'PREENCHER AQUI'!J600),"")</f>
        <v/>
      </c>
      <c r="P600" s="7" t="str">
        <f t="shared" si="21"/>
        <v/>
      </c>
      <c r="Q600" s="8" t="str">
        <f>IFERROR(IF(Tabela4[[#This Row],[VALOR]]="","",IF(Tabela1[[#This Row],[ORIENTACAO]]="Anular",'PREENCHER AQUI'!K600*-1*100,'PREENCHER AQUI'!K600*100)),"")</f>
        <v/>
      </c>
      <c r="T600" s="7" t="str">
        <f>IFERROR(IF('PREENCHER AQUI'!L600="","999",LEFT('PREENCHER AQUI'!L600,1)),"")</f>
        <v>999</v>
      </c>
      <c r="V600" s="19"/>
      <c r="W600" s="20" t="str">
        <f>IFERROR(VLOOKUP(Tabela1[[#This Row],[UO_COD]],qdd!$AT$1:$AU$102,2,FALSE),"")</f>
        <v/>
      </c>
      <c r="X600" s="20" t="str">
        <f>CONCATENATE("F",Tabela1[[#This Row],[FONTE_COD]],Tabela1[[#This Row],[IPU_COD]],"G",Tabela1[[#This Row],[GRUPO_COD]],"T",Tabela1[[#This Row],[TIPO]])</f>
        <v>FGT999</v>
      </c>
      <c r="Y6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0" s="19"/>
      <c r="AA600" s="29" t="str">
        <f>IFERROR(VLOOKUP(CONCATENATE("B",Tabela1[[#This Row],[BLOCO]],Tabela1[[#This Row],[UO_COD]]),qdd!$AW$2:$AX$1000,2,FALSE),"")</f>
        <v/>
      </c>
      <c r="AB600" s="30" t="str">
        <f>IFERROR(Tabela1[[#This Row],[VALOR]]/100,"")</f>
        <v/>
      </c>
      <c r="AC600" s="7" t="str" cm="1">
        <f t="array" aca="1" ref="AC600" ca="1">IF(Tabela1[[#This Row],[VALOR]]&lt;0,"",IFERROR(SUBSTITUTE(Converter_numero(Tabela1[[#This Row],[VALOR INCISO]]),",",""),""))</f>
        <v/>
      </c>
      <c r="AD600" s="29" t="str">
        <f>IF(Tabela1[[#This Row],[TIPO]]=REGRAS!$W$2,REGRAS!$X$2,IF(Tabela1[[#This Row],[TIPO]]=REGRAS!$W$4,REGRAS!$X$4,""))</f>
        <v/>
      </c>
      <c r="AE600" s="29" t="e">
        <f>VLOOKUP(Tabela1[[#This Row],[FONTE_COD]],REGRAS!$O$2:$P$69,2,FALSE)</f>
        <v>#N/A</v>
      </c>
      <c r="AF6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1" spans="1:32" ht="18.75" customHeight="1">
      <c r="A601" s="2" t="str">
        <f>IFERROR(IF('PREENCHER AQUI'!A601="","",'PREENCHER AQUI'!A601),"")</f>
        <v/>
      </c>
      <c r="B601" s="1" t="str">
        <f>IFERROR(IF('PREENCHER AQUI'!B601="","",PROPER('PREENCHER AQUI'!B601)),"")</f>
        <v/>
      </c>
      <c r="C601" s="1" t="str">
        <f>IFERROR(IF('PREENCHER AQUI'!C601="","",'PREENCHER AQUI'!C601),"")</f>
        <v/>
      </c>
      <c r="D601" s="2" t="str">
        <f>IFERROR(IF('PREENCHER AQUI'!D601="","",'PREENCHER AQUI'!D601),"")</f>
        <v/>
      </c>
      <c r="E601" s="2" t="str">
        <f>IFERROR(VLOOKUP(CONCATENATE(C601,D601),qdd!$C$2:$F$1000,2,FALSE),"")</f>
        <v/>
      </c>
      <c r="F601" s="2" t="str">
        <f>IFERROR(VLOOKUP(CONCATENATE(C601,D601),qdd!$C$2:$F$1000,3,FALSE),"")</f>
        <v/>
      </c>
      <c r="G601" s="2" t="str">
        <f>IFERROR(VLOOKUP(CONCATENATE(C601,D601),qdd!$C$2:$F$1000,4,FALSE),"")</f>
        <v/>
      </c>
      <c r="H601" s="6" t="str">
        <f t="shared" si="20"/>
        <v/>
      </c>
      <c r="I6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1" s="2" t="str">
        <f>IFERROR(IF('PREENCHER AQUI'!E601="","",'PREENCHER AQUI'!E601),"")</f>
        <v/>
      </c>
      <c r="K601" s="2" t="str">
        <f>IFERROR(IF('PREENCHER AQUI'!F601="","",'PREENCHER AQUI'!F601),"")</f>
        <v/>
      </c>
      <c r="L601" s="2" t="str">
        <f>IF(Tabela1[[#This Row],[IPU_COD]]=9,"91",IF(Tabela1[[#This Row],[ACAO_COD]]="","",VLOOKUP(CONCATENATE("G",J601,"M",K601),qdd!$BC$2:$BD$46,2,FALSE)))</f>
        <v/>
      </c>
      <c r="M601" s="2" t="str">
        <f>TEXT(IFERROR(VLOOKUP(CONCATENATE(C601,D601),qdd!$C$2:$G$1000,5,FALSE),""),0)</f>
        <v/>
      </c>
      <c r="N601" s="2" t="str">
        <f>IFERROR(IF('PREENCHER AQUI'!I601="","",'PREENCHER AQUI'!I601),"")</f>
        <v/>
      </c>
      <c r="O601" s="2" t="str">
        <f>IFERROR(IF('PREENCHER AQUI'!J601="","",'PREENCHER AQUI'!J601),"")</f>
        <v/>
      </c>
      <c r="P601" s="7" t="str">
        <f t="shared" si="21"/>
        <v/>
      </c>
      <c r="Q601" s="8" t="str">
        <f>IFERROR(IF(Tabela4[[#This Row],[VALOR]]="","",IF(Tabela1[[#This Row],[ORIENTACAO]]="Anular",'PREENCHER AQUI'!K601*-1*100,'PREENCHER AQUI'!K601*100)),"")</f>
        <v/>
      </c>
      <c r="T601" s="7" t="str">
        <f>IFERROR(IF('PREENCHER AQUI'!L601="","999",LEFT('PREENCHER AQUI'!L601,1)),"")</f>
        <v>999</v>
      </c>
      <c r="V601" s="19"/>
      <c r="W601" s="1" t="str">
        <f>IFERROR(VLOOKUP(Tabela1[[#This Row],[UO_COD]],qdd!$AT$1:$AU$102,2,FALSE),"")</f>
        <v/>
      </c>
      <c r="X601" s="1" t="str">
        <f>CONCATENATE("F",Tabela1[[#This Row],[FONTE_COD]],Tabela1[[#This Row],[IPU_COD]],"G",Tabela1[[#This Row],[GRUPO_COD]],"T",Tabela1[[#This Row],[TIPO]])</f>
        <v>FGT999</v>
      </c>
      <c r="Y6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1" s="19"/>
      <c r="AA601" s="29" t="str">
        <f>IFERROR(VLOOKUP(CONCATENATE("B",Tabela1[[#This Row],[BLOCO]],Tabela1[[#This Row],[UO_COD]]),qdd!$AW$2:$AX$1000,2,FALSE),"")</f>
        <v/>
      </c>
      <c r="AB601" s="30" t="str">
        <f>IFERROR(Tabela1[[#This Row],[VALOR]]/100,"")</f>
        <v/>
      </c>
      <c r="AC601" s="7" t="str" cm="1">
        <f t="array" aca="1" ref="AC601" ca="1">IF(Tabela1[[#This Row],[VALOR]]&lt;0,"",IFERROR(SUBSTITUTE(Converter_numero(Tabela1[[#This Row],[VALOR INCISO]]),",",""),""))</f>
        <v/>
      </c>
      <c r="AD601" s="29" t="str">
        <f>IF(Tabela1[[#This Row],[TIPO]]=REGRAS!$W$2,REGRAS!$X$2,IF(Tabela1[[#This Row],[TIPO]]=REGRAS!$W$4,REGRAS!$X$4,""))</f>
        <v/>
      </c>
      <c r="AE601" s="29" t="e">
        <f>VLOOKUP(Tabela1[[#This Row],[FONTE_COD]],REGRAS!$O$2:$P$69,2,FALSE)</f>
        <v>#N/A</v>
      </c>
      <c r="AF6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2" spans="1:32" ht="18.75" customHeight="1">
      <c r="A602" s="2" t="str">
        <f>IFERROR(IF('PREENCHER AQUI'!A602="","",'PREENCHER AQUI'!A602),"")</f>
        <v/>
      </c>
      <c r="B602" s="1" t="str">
        <f>IFERROR(IF('PREENCHER AQUI'!B602="","",PROPER('PREENCHER AQUI'!B602)),"")</f>
        <v/>
      </c>
      <c r="C602" s="1" t="str">
        <f>IFERROR(IF('PREENCHER AQUI'!C602="","",'PREENCHER AQUI'!C602),"")</f>
        <v/>
      </c>
      <c r="D602" s="2" t="str">
        <f>IFERROR(IF('PREENCHER AQUI'!D602="","",'PREENCHER AQUI'!D602),"")</f>
        <v/>
      </c>
      <c r="E602" s="2" t="str">
        <f>IFERROR(VLOOKUP(CONCATENATE(C602,D602),qdd!$C$2:$F$1000,2,FALSE),"")</f>
        <v/>
      </c>
      <c r="F602" s="2" t="str">
        <f>IFERROR(VLOOKUP(CONCATENATE(C602,D602),qdd!$C$2:$F$1000,3,FALSE),"")</f>
        <v/>
      </c>
      <c r="G602" s="2" t="str">
        <f>IFERROR(VLOOKUP(CONCATENATE(C602,D602),qdd!$C$2:$F$1000,4,FALSE),"")</f>
        <v/>
      </c>
      <c r="H602" s="6" t="str">
        <f t="shared" si="20"/>
        <v/>
      </c>
      <c r="I6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2" s="2" t="str">
        <f>IFERROR(IF('PREENCHER AQUI'!E602="","",'PREENCHER AQUI'!E602),"")</f>
        <v/>
      </c>
      <c r="K602" s="2" t="str">
        <f>IFERROR(IF('PREENCHER AQUI'!F602="","",'PREENCHER AQUI'!F602),"")</f>
        <v/>
      </c>
      <c r="L602" s="2" t="str">
        <f>IF(Tabela1[[#This Row],[IPU_COD]]=9,"91",IF(Tabela1[[#This Row],[ACAO_COD]]="","",VLOOKUP(CONCATENATE("G",J602,"M",K602),qdd!$BC$2:$BD$46,2,FALSE)))</f>
        <v/>
      </c>
      <c r="M602" s="2" t="str">
        <f>TEXT(IFERROR(VLOOKUP(CONCATENATE(C602,D602),qdd!$C$2:$G$1000,5,FALSE),""),0)</f>
        <v/>
      </c>
      <c r="N602" s="2" t="str">
        <f>IFERROR(IF('PREENCHER AQUI'!I602="","",'PREENCHER AQUI'!I602),"")</f>
        <v/>
      </c>
      <c r="O602" s="2" t="str">
        <f>IFERROR(IF('PREENCHER AQUI'!J602="","",'PREENCHER AQUI'!J602),"")</f>
        <v/>
      </c>
      <c r="P602" s="7" t="str">
        <f t="shared" si="21"/>
        <v/>
      </c>
      <c r="Q602" s="8" t="str">
        <f>IFERROR(IF(Tabela4[[#This Row],[VALOR]]="","",IF(Tabela1[[#This Row],[ORIENTACAO]]="Anular",'PREENCHER AQUI'!K602*-1*100,'PREENCHER AQUI'!K602*100)),"")</f>
        <v/>
      </c>
      <c r="T602" s="7" t="str">
        <f>IFERROR(IF('PREENCHER AQUI'!L602="","999",LEFT('PREENCHER AQUI'!L602,1)),"")</f>
        <v>999</v>
      </c>
      <c r="W602" s="1" t="str">
        <f>IFERROR(VLOOKUP(Tabela1[[#This Row],[UO_COD]],qdd!$AT$1:$AU$102,2,FALSE),"")</f>
        <v/>
      </c>
      <c r="X602" s="1" t="str">
        <f>CONCATENATE("F",Tabela1[[#This Row],[FONTE_COD]],Tabela1[[#This Row],[IPU_COD]],"G",Tabela1[[#This Row],[GRUPO_COD]],"T",Tabela1[[#This Row],[TIPO]])</f>
        <v>FGT999</v>
      </c>
      <c r="Y6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2" s="19"/>
      <c r="AA602" s="29" t="str">
        <f>IFERROR(VLOOKUP(CONCATENATE("B",Tabela1[[#This Row],[BLOCO]],Tabela1[[#This Row],[UO_COD]]),qdd!$AW$2:$AX$1000,2,FALSE),"")</f>
        <v/>
      </c>
      <c r="AB602" s="30" t="str">
        <f>IFERROR(Tabela1[[#This Row],[VALOR]]/100,"")</f>
        <v/>
      </c>
      <c r="AC602" s="7" t="str" cm="1">
        <f t="array" aca="1" ref="AC602" ca="1">IF(Tabela1[[#This Row],[VALOR]]&lt;0,"",IFERROR(SUBSTITUTE(Converter_numero(Tabela1[[#This Row],[VALOR INCISO]]),",",""),""))</f>
        <v/>
      </c>
      <c r="AD602" s="7" t="str">
        <f>IF(Tabela1[[#This Row],[TIPO]]=REGRAS!$W$2,REGRAS!$X$2,IF(Tabela1[[#This Row],[TIPO]]=REGRAS!$W$4,REGRAS!$X$4,""))</f>
        <v/>
      </c>
      <c r="AE602" s="29" t="e">
        <f>VLOOKUP(Tabela1[[#This Row],[FONTE_COD]],REGRAS!$O$2:$P$69,2,FALSE)</f>
        <v>#N/A</v>
      </c>
      <c r="AF6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3" spans="1:32" ht="18.75" customHeight="1">
      <c r="A603" s="2" t="str">
        <f>IFERROR(IF('PREENCHER AQUI'!A603="","",'PREENCHER AQUI'!A603),"")</f>
        <v/>
      </c>
      <c r="B603" s="1" t="str">
        <f>IFERROR(IF('PREENCHER AQUI'!B603="","",PROPER('PREENCHER AQUI'!B603)),"")</f>
        <v/>
      </c>
      <c r="C603" s="1" t="str">
        <f>IFERROR(IF('PREENCHER AQUI'!C603="","",'PREENCHER AQUI'!C603),"")</f>
        <v/>
      </c>
      <c r="D603" s="2" t="str">
        <f>IFERROR(IF('PREENCHER AQUI'!D603="","",'PREENCHER AQUI'!D603),"")</f>
        <v/>
      </c>
      <c r="E603" s="2" t="str">
        <f>IFERROR(VLOOKUP(CONCATENATE(C603,D603),qdd!$C$2:$F$1000,2,FALSE),"")</f>
        <v/>
      </c>
      <c r="F603" s="2" t="str">
        <f>IFERROR(VLOOKUP(CONCATENATE(C603,D603),qdd!$C$2:$F$1000,3,FALSE),"")</f>
        <v/>
      </c>
      <c r="G603" s="2" t="str">
        <f>IFERROR(VLOOKUP(CONCATENATE(C603,D603),qdd!$C$2:$F$1000,4,FALSE),"")</f>
        <v/>
      </c>
      <c r="H603" s="6" t="str">
        <f t="shared" si="20"/>
        <v/>
      </c>
      <c r="I6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3" s="2" t="str">
        <f>IFERROR(IF('PREENCHER AQUI'!E603="","",'PREENCHER AQUI'!E603),"")</f>
        <v/>
      </c>
      <c r="K603" s="2" t="str">
        <f>IFERROR(IF('PREENCHER AQUI'!F603="","",'PREENCHER AQUI'!F603),"")</f>
        <v/>
      </c>
      <c r="L603" s="2" t="str">
        <f>IF(Tabela1[[#This Row],[IPU_COD]]=9,"91",IF(Tabela1[[#This Row],[ACAO_COD]]="","",VLOOKUP(CONCATENATE("G",J603,"M",K603),qdd!$BC$2:$BD$46,2,FALSE)))</f>
        <v/>
      </c>
      <c r="M603" s="2" t="str">
        <f>TEXT(IFERROR(VLOOKUP(CONCATENATE(C603,D603),qdd!$C$2:$G$1000,5,FALSE),""),0)</f>
        <v/>
      </c>
      <c r="N603" s="2" t="str">
        <f>IFERROR(IF('PREENCHER AQUI'!I603="","",'PREENCHER AQUI'!I603),"")</f>
        <v/>
      </c>
      <c r="O603" s="2" t="str">
        <f>IFERROR(IF('PREENCHER AQUI'!J603="","",'PREENCHER AQUI'!J603),"")</f>
        <v/>
      </c>
      <c r="P603" s="7" t="str">
        <f t="shared" si="21"/>
        <v/>
      </c>
      <c r="Q603" s="8" t="str">
        <f>IFERROR(IF(Tabela4[[#This Row],[VALOR]]="","",IF(Tabela1[[#This Row],[ORIENTACAO]]="Anular",'PREENCHER AQUI'!K603*-1*100,'PREENCHER AQUI'!K603*100)),"")</f>
        <v/>
      </c>
      <c r="T603" s="7" t="str">
        <f>IFERROR(IF('PREENCHER AQUI'!L603="","999",LEFT('PREENCHER AQUI'!L603,1)),"")</f>
        <v>999</v>
      </c>
      <c r="V603" s="19"/>
      <c r="W603" s="1" t="str">
        <f>IFERROR(VLOOKUP(Tabela1[[#This Row],[UO_COD]],qdd!$AT$1:$AU$102,2,FALSE),"")</f>
        <v/>
      </c>
      <c r="X603" s="1" t="str">
        <f>CONCATENATE("F",Tabela1[[#This Row],[FONTE_COD]],Tabela1[[#This Row],[IPU_COD]],"G",Tabela1[[#This Row],[GRUPO_COD]],"T",Tabela1[[#This Row],[TIPO]])</f>
        <v>FGT999</v>
      </c>
      <c r="Y6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3" s="19"/>
      <c r="AA603" s="29" t="str">
        <f>IFERROR(VLOOKUP(CONCATENATE("B",Tabela1[[#This Row],[BLOCO]],Tabela1[[#This Row],[UO_COD]]),qdd!$AW$2:$AX$1000,2,FALSE),"")</f>
        <v/>
      </c>
      <c r="AB603" s="30" t="str">
        <f>IFERROR(Tabela1[[#This Row],[VALOR]]/100,"")</f>
        <v/>
      </c>
      <c r="AC603" s="7" t="str" cm="1">
        <f t="array" aca="1" ref="AC603" ca="1">IF(Tabela1[[#This Row],[VALOR]]&lt;0,"",IFERROR(SUBSTITUTE(Converter_numero(Tabela1[[#This Row],[VALOR INCISO]]),",",""),""))</f>
        <v/>
      </c>
      <c r="AD603" s="29" t="str">
        <f>IF(Tabela1[[#This Row],[TIPO]]=REGRAS!$W$2,REGRAS!$X$2,IF(Tabela1[[#This Row],[TIPO]]=REGRAS!$W$4,REGRAS!$X$4,""))</f>
        <v/>
      </c>
      <c r="AE603" s="29" t="e">
        <f>VLOOKUP(Tabela1[[#This Row],[FONTE_COD]],REGRAS!$O$2:$P$69,2,FALSE)</f>
        <v>#N/A</v>
      </c>
      <c r="AF6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4" spans="1:32" ht="18.75" customHeight="1">
      <c r="A604" s="2" t="str">
        <f>IFERROR(IF('PREENCHER AQUI'!A604="","",'PREENCHER AQUI'!A604),"")</f>
        <v/>
      </c>
      <c r="B604" s="1" t="str">
        <f>IFERROR(IF('PREENCHER AQUI'!B604="","",PROPER('PREENCHER AQUI'!B604)),"")</f>
        <v/>
      </c>
      <c r="C604" s="1" t="str">
        <f>IFERROR(IF('PREENCHER AQUI'!C604="","",'PREENCHER AQUI'!C604),"")</f>
        <v/>
      </c>
      <c r="D604" s="2" t="str">
        <f>IFERROR(IF('PREENCHER AQUI'!D604="","",'PREENCHER AQUI'!D604),"")</f>
        <v/>
      </c>
      <c r="E604" s="2" t="str">
        <f>IFERROR(VLOOKUP(CONCATENATE(C604,D604),qdd!$C$2:$F$1000,2,FALSE),"")</f>
        <v/>
      </c>
      <c r="F604" s="2" t="str">
        <f>IFERROR(VLOOKUP(CONCATENATE(C604,D604),qdd!$C$2:$F$1000,3,FALSE),"")</f>
        <v/>
      </c>
      <c r="G604" s="2" t="str">
        <f>IFERROR(VLOOKUP(CONCATENATE(C604,D604),qdd!$C$2:$F$1000,4,FALSE),"")</f>
        <v/>
      </c>
      <c r="H604" s="6" t="str">
        <f t="shared" si="20"/>
        <v/>
      </c>
      <c r="I6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4" s="2" t="str">
        <f>IFERROR(IF('PREENCHER AQUI'!E604="","",'PREENCHER AQUI'!E604),"")</f>
        <v/>
      </c>
      <c r="K604" s="2" t="str">
        <f>IFERROR(IF('PREENCHER AQUI'!F604="","",'PREENCHER AQUI'!F604),"")</f>
        <v/>
      </c>
      <c r="L604" s="2" t="str">
        <f>IF(Tabela1[[#This Row],[IPU_COD]]=9,"91",IF(Tabela1[[#This Row],[ACAO_COD]]="","",VLOOKUP(CONCATENATE("G",J604,"M",K604),qdd!$BC$2:$BD$46,2,FALSE)))</f>
        <v/>
      </c>
      <c r="M604" s="2" t="str">
        <f>TEXT(IFERROR(VLOOKUP(CONCATENATE(C604,D604),qdd!$C$2:$G$1000,5,FALSE),""),0)</f>
        <v/>
      </c>
      <c r="N604" s="2" t="str">
        <f>IFERROR(IF('PREENCHER AQUI'!I604="","",'PREENCHER AQUI'!I604),"")</f>
        <v/>
      </c>
      <c r="O604" s="2" t="str">
        <f>IFERROR(IF('PREENCHER AQUI'!J604="","",'PREENCHER AQUI'!J604),"")</f>
        <v/>
      </c>
      <c r="P604" s="7" t="str">
        <f t="shared" si="21"/>
        <v/>
      </c>
      <c r="Q604" s="8" t="str">
        <f>IFERROR(IF(Tabela4[[#This Row],[VALOR]]="","",IF(Tabela1[[#This Row],[ORIENTACAO]]="Anular",'PREENCHER AQUI'!K604*-1*100,'PREENCHER AQUI'!K604*100)),"")</f>
        <v/>
      </c>
      <c r="T604" s="7" t="str">
        <f>IFERROR(IF('PREENCHER AQUI'!L604="","999",LEFT('PREENCHER AQUI'!L604,1)),"")</f>
        <v>999</v>
      </c>
      <c r="V604" s="19"/>
      <c r="W604" s="1" t="str">
        <f>IFERROR(VLOOKUP(Tabela1[[#This Row],[UO_COD]],qdd!$AT$1:$AU$102,2,FALSE),"")</f>
        <v/>
      </c>
      <c r="X604" s="1" t="str">
        <f>CONCATENATE("F",Tabela1[[#This Row],[FONTE_COD]],Tabela1[[#This Row],[IPU_COD]],"G",Tabela1[[#This Row],[GRUPO_COD]],"T",Tabela1[[#This Row],[TIPO]])</f>
        <v>FGT999</v>
      </c>
      <c r="Y6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4" s="19"/>
      <c r="AA604" s="29" t="str">
        <f>IFERROR(VLOOKUP(CONCATENATE("B",Tabela1[[#This Row],[BLOCO]],Tabela1[[#This Row],[UO_COD]]),qdd!$AW$2:$AX$1000,2,FALSE),"")</f>
        <v/>
      </c>
      <c r="AB604" s="30" t="str">
        <f>IFERROR(Tabela1[[#This Row],[VALOR]]/100,"")</f>
        <v/>
      </c>
      <c r="AC604" s="7" t="str" cm="1">
        <f t="array" aca="1" ref="AC604" ca="1">IF(Tabela1[[#This Row],[VALOR]]&lt;0,"",IFERROR(SUBSTITUTE(Converter_numero(Tabela1[[#This Row],[VALOR INCISO]]),",",""),""))</f>
        <v/>
      </c>
      <c r="AD604" s="29" t="str">
        <f>IF(Tabela1[[#This Row],[TIPO]]=REGRAS!$W$2,REGRAS!$X$2,IF(Tabela1[[#This Row],[TIPO]]=REGRAS!$W$4,REGRAS!$X$4,""))</f>
        <v/>
      </c>
      <c r="AE604" s="29" t="e">
        <f>VLOOKUP(Tabela1[[#This Row],[FONTE_COD]],REGRAS!$O$2:$P$69,2,FALSE)</f>
        <v>#N/A</v>
      </c>
      <c r="AF6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5" spans="1:32" ht="18.75" customHeight="1">
      <c r="A605" s="2" t="str">
        <f>IFERROR(IF('PREENCHER AQUI'!A605="","",'PREENCHER AQUI'!A605),"")</f>
        <v/>
      </c>
      <c r="B605" s="1" t="str">
        <f>IFERROR(IF('PREENCHER AQUI'!B605="","",PROPER('PREENCHER AQUI'!B605)),"")</f>
        <v/>
      </c>
      <c r="C605" s="1" t="str">
        <f>IFERROR(IF('PREENCHER AQUI'!C605="","",'PREENCHER AQUI'!C605),"")</f>
        <v/>
      </c>
      <c r="D605" s="2" t="str">
        <f>IFERROR(IF('PREENCHER AQUI'!D605="","",'PREENCHER AQUI'!D605),"")</f>
        <v/>
      </c>
      <c r="E605" s="2" t="str">
        <f>IFERROR(VLOOKUP(CONCATENATE(C605,D605),qdd!$C$2:$F$1000,2,FALSE),"")</f>
        <v/>
      </c>
      <c r="F605" s="2" t="str">
        <f>IFERROR(VLOOKUP(CONCATENATE(C605,D605),qdd!$C$2:$F$1000,3,FALSE),"")</f>
        <v/>
      </c>
      <c r="G605" s="2" t="str">
        <f>IFERROR(VLOOKUP(CONCATENATE(C605,D605),qdd!$C$2:$F$1000,4,FALSE),"")</f>
        <v/>
      </c>
      <c r="H605" s="6" t="str">
        <f t="shared" si="20"/>
        <v/>
      </c>
      <c r="I6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5" s="2" t="str">
        <f>IFERROR(IF('PREENCHER AQUI'!E605="","",'PREENCHER AQUI'!E605),"")</f>
        <v/>
      </c>
      <c r="K605" s="2" t="str">
        <f>IFERROR(IF('PREENCHER AQUI'!F605="","",'PREENCHER AQUI'!F605),"")</f>
        <v/>
      </c>
      <c r="L605" s="2" t="str">
        <f>IF(Tabela1[[#This Row],[IPU_COD]]=9,"91",IF(Tabela1[[#This Row],[ACAO_COD]]="","",VLOOKUP(CONCATENATE("G",J605,"M",K605),qdd!$BC$2:$BD$46,2,FALSE)))</f>
        <v/>
      </c>
      <c r="M605" s="2" t="str">
        <f>TEXT(IFERROR(VLOOKUP(CONCATENATE(C605,D605),qdd!$C$2:$G$1000,5,FALSE),""),0)</f>
        <v/>
      </c>
      <c r="N605" s="2" t="str">
        <f>IFERROR(IF('PREENCHER AQUI'!I605="","",'PREENCHER AQUI'!I605),"")</f>
        <v/>
      </c>
      <c r="O605" s="2" t="str">
        <f>IFERROR(IF('PREENCHER AQUI'!J605="","",'PREENCHER AQUI'!J605),"")</f>
        <v/>
      </c>
      <c r="P605" s="7" t="str">
        <f t="shared" si="21"/>
        <v/>
      </c>
      <c r="Q605" s="8" t="str">
        <f>IFERROR(IF(Tabela4[[#This Row],[VALOR]]="","",IF(Tabela1[[#This Row],[ORIENTACAO]]="Anular",'PREENCHER AQUI'!K605*-1*100,'PREENCHER AQUI'!K605*100)),"")</f>
        <v/>
      </c>
      <c r="T605" s="7" t="str">
        <f>IFERROR(IF('PREENCHER AQUI'!L605="","999",LEFT('PREENCHER AQUI'!L605,1)),"")</f>
        <v>999</v>
      </c>
      <c r="V605" s="19"/>
      <c r="W605" s="20" t="str">
        <f>IFERROR(VLOOKUP(Tabela1[[#This Row],[UO_COD]],qdd!$AT$1:$AU$102,2,FALSE),"")</f>
        <v/>
      </c>
      <c r="X605" s="20" t="str">
        <f>CONCATENATE("F",Tabela1[[#This Row],[FONTE_COD]],Tabela1[[#This Row],[IPU_COD]],"G",Tabela1[[#This Row],[GRUPO_COD]],"T",Tabela1[[#This Row],[TIPO]])</f>
        <v>FGT999</v>
      </c>
      <c r="Y6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5" s="19"/>
      <c r="AA605" s="29" t="str">
        <f>IFERROR(VLOOKUP(CONCATENATE("B",Tabela1[[#This Row],[BLOCO]],Tabela1[[#This Row],[UO_COD]]),qdd!$AW$2:$AX$1000,2,FALSE),"")</f>
        <v/>
      </c>
      <c r="AB605" s="30" t="str">
        <f>IFERROR(Tabela1[[#This Row],[VALOR]]/100,"")</f>
        <v/>
      </c>
      <c r="AC605" s="7" t="str" cm="1">
        <f t="array" aca="1" ref="AC605" ca="1">IF(Tabela1[[#This Row],[VALOR]]&lt;0,"",IFERROR(SUBSTITUTE(Converter_numero(Tabela1[[#This Row],[VALOR INCISO]]),",",""),""))</f>
        <v/>
      </c>
      <c r="AD605" s="29" t="str">
        <f>IF(Tabela1[[#This Row],[TIPO]]=REGRAS!$W$2,REGRAS!$X$2,IF(Tabela1[[#This Row],[TIPO]]=REGRAS!$W$4,REGRAS!$X$4,""))</f>
        <v/>
      </c>
      <c r="AE605" s="29" t="e">
        <f>VLOOKUP(Tabela1[[#This Row],[FONTE_COD]],REGRAS!$O$2:$P$69,2,FALSE)</f>
        <v>#N/A</v>
      </c>
      <c r="AF6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6" spans="1:32" ht="18.75" customHeight="1">
      <c r="A606" s="2" t="str">
        <f>IFERROR(IF('PREENCHER AQUI'!A606="","",'PREENCHER AQUI'!A606),"")</f>
        <v/>
      </c>
      <c r="B606" s="1" t="str">
        <f>IFERROR(IF('PREENCHER AQUI'!B606="","",PROPER('PREENCHER AQUI'!B606)),"")</f>
        <v/>
      </c>
      <c r="C606" s="1" t="str">
        <f>IFERROR(IF('PREENCHER AQUI'!C606="","",'PREENCHER AQUI'!C606),"")</f>
        <v/>
      </c>
      <c r="D606" s="2" t="str">
        <f>IFERROR(IF('PREENCHER AQUI'!D606="","",'PREENCHER AQUI'!D606),"")</f>
        <v/>
      </c>
      <c r="E606" s="2" t="str">
        <f>IFERROR(VLOOKUP(CONCATENATE(C606,D606),qdd!$C$2:$F$1000,2,FALSE),"")</f>
        <v/>
      </c>
      <c r="F606" s="2" t="str">
        <f>IFERROR(VLOOKUP(CONCATENATE(C606,D606),qdd!$C$2:$F$1000,3,FALSE),"")</f>
        <v/>
      </c>
      <c r="G606" s="2" t="str">
        <f>IFERROR(VLOOKUP(CONCATENATE(C606,D606),qdd!$C$2:$F$1000,4,FALSE),"")</f>
        <v/>
      </c>
      <c r="H606" s="6" t="str">
        <f t="shared" si="20"/>
        <v/>
      </c>
      <c r="I6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6" s="2" t="str">
        <f>IFERROR(IF('PREENCHER AQUI'!E606="","",'PREENCHER AQUI'!E606),"")</f>
        <v/>
      </c>
      <c r="K606" s="2" t="str">
        <f>IFERROR(IF('PREENCHER AQUI'!F606="","",'PREENCHER AQUI'!F606),"")</f>
        <v/>
      </c>
      <c r="L606" s="2" t="str">
        <f>IF(Tabela1[[#This Row],[IPU_COD]]=9,"91",IF(Tabela1[[#This Row],[ACAO_COD]]="","",VLOOKUP(CONCATENATE("G",J606,"M",K606),qdd!$BC$2:$BD$46,2,FALSE)))</f>
        <v/>
      </c>
      <c r="M606" s="2" t="str">
        <f>TEXT(IFERROR(VLOOKUP(CONCATENATE(C606,D606),qdd!$C$2:$G$1000,5,FALSE),""),0)</f>
        <v/>
      </c>
      <c r="N606" s="2" t="str">
        <f>IFERROR(IF('PREENCHER AQUI'!I606="","",'PREENCHER AQUI'!I606),"")</f>
        <v/>
      </c>
      <c r="O606" s="2" t="str">
        <f>IFERROR(IF('PREENCHER AQUI'!J606="","",'PREENCHER AQUI'!J606),"")</f>
        <v/>
      </c>
      <c r="P606" s="7" t="str">
        <f t="shared" si="21"/>
        <v/>
      </c>
      <c r="Q606" s="8" t="str">
        <f>IFERROR(IF(Tabela4[[#This Row],[VALOR]]="","",IF(Tabela1[[#This Row],[ORIENTACAO]]="Anular",'PREENCHER AQUI'!K606*-1*100,'PREENCHER AQUI'!K606*100)),"")</f>
        <v/>
      </c>
      <c r="T606" s="7" t="str">
        <f>IFERROR(IF('PREENCHER AQUI'!L606="","999",LEFT('PREENCHER AQUI'!L606,1)),"")</f>
        <v>999</v>
      </c>
      <c r="V606" s="19"/>
      <c r="W606" s="1" t="str">
        <f>IFERROR(VLOOKUP(Tabela1[[#This Row],[UO_COD]],qdd!$AT$1:$AU$102,2,FALSE),"")</f>
        <v/>
      </c>
      <c r="X606" s="1" t="str">
        <f>CONCATENATE("F",Tabela1[[#This Row],[FONTE_COD]],Tabela1[[#This Row],[IPU_COD]],"G",Tabela1[[#This Row],[GRUPO_COD]],"T",Tabela1[[#This Row],[TIPO]])</f>
        <v>FGT999</v>
      </c>
      <c r="Y6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6" s="19"/>
      <c r="AA606" s="29" t="str">
        <f>IFERROR(VLOOKUP(CONCATENATE("B",Tabela1[[#This Row],[BLOCO]],Tabela1[[#This Row],[UO_COD]]),qdd!$AW$2:$AX$1000,2,FALSE),"")</f>
        <v/>
      </c>
      <c r="AB606" s="30" t="str">
        <f>IFERROR(Tabela1[[#This Row],[VALOR]]/100,"")</f>
        <v/>
      </c>
      <c r="AC606" s="7" t="str" cm="1">
        <f t="array" aca="1" ref="AC606" ca="1">IF(Tabela1[[#This Row],[VALOR]]&lt;0,"",IFERROR(SUBSTITUTE(Converter_numero(Tabela1[[#This Row],[VALOR INCISO]]),",",""),""))</f>
        <v/>
      </c>
      <c r="AD606" s="29" t="str">
        <f>IF(Tabela1[[#This Row],[TIPO]]=REGRAS!$W$2,REGRAS!$X$2,IF(Tabela1[[#This Row],[TIPO]]=REGRAS!$W$4,REGRAS!$X$4,""))</f>
        <v/>
      </c>
      <c r="AE606" s="29" t="e">
        <f>VLOOKUP(Tabela1[[#This Row],[FONTE_COD]],REGRAS!$O$2:$P$69,2,FALSE)</f>
        <v>#N/A</v>
      </c>
      <c r="AF6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7" spans="1:32" ht="18.75" customHeight="1">
      <c r="A607" s="2" t="str">
        <f>IFERROR(IF('PREENCHER AQUI'!A607="","",'PREENCHER AQUI'!A607),"")</f>
        <v/>
      </c>
      <c r="B607" s="1" t="str">
        <f>IFERROR(IF('PREENCHER AQUI'!B607="","",PROPER('PREENCHER AQUI'!B607)),"")</f>
        <v/>
      </c>
      <c r="C607" s="1" t="str">
        <f>IFERROR(IF('PREENCHER AQUI'!C607="","",'PREENCHER AQUI'!C607),"")</f>
        <v/>
      </c>
      <c r="D607" s="2" t="str">
        <f>IFERROR(IF('PREENCHER AQUI'!D607="","",'PREENCHER AQUI'!D607),"")</f>
        <v/>
      </c>
      <c r="E607" s="2" t="str">
        <f>IFERROR(VLOOKUP(CONCATENATE(C607,D607),qdd!$C$2:$F$1000,2,FALSE),"")</f>
        <v/>
      </c>
      <c r="F607" s="2" t="str">
        <f>IFERROR(VLOOKUP(CONCATENATE(C607,D607),qdd!$C$2:$F$1000,3,FALSE),"")</f>
        <v/>
      </c>
      <c r="G607" s="2" t="str">
        <f>IFERROR(VLOOKUP(CONCATENATE(C607,D607),qdd!$C$2:$F$1000,4,FALSE),"")</f>
        <v/>
      </c>
      <c r="H607" s="6" t="str">
        <f t="shared" si="20"/>
        <v/>
      </c>
      <c r="I6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7" s="2" t="str">
        <f>IFERROR(IF('PREENCHER AQUI'!E607="","",'PREENCHER AQUI'!E607),"")</f>
        <v/>
      </c>
      <c r="K607" s="2" t="str">
        <f>IFERROR(IF('PREENCHER AQUI'!F607="","",'PREENCHER AQUI'!F607),"")</f>
        <v/>
      </c>
      <c r="L607" s="2" t="str">
        <f>IF(Tabela1[[#This Row],[IPU_COD]]=9,"91",IF(Tabela1[[#This Row],[ACAO_COD]]="","",VLOOKUP(CONCATENATE("G",J607,"M",K607),qdd!$BC$2:$BD$46,2,FALSE)))</f>
        <v/>
      </c>
      <c r="M607" s="2" t="str">
        <f>TEXT(IFERROR(VLOOKUP(CONCATENATE(C607,D607),qdd!$C$2:$G$1000,5,FALSE),""),0)</f>
        <v/>
      </c>
      <c r="N607" s="2" t="str">
        <f>IFERROR(IF('PREENCHER AQUI'!I607="","",'PREENCHER AQUI'!I607),"")</f>
        <v/>
      </c>
      <c r="O607" s="2" t="str">
        <f>IFERROR(IF('PREENCHER AQUI'!J607="","",'PREENCHER AQUI'!J607),"")</f>
        <v/>
      </c>
      <c r="P607" s="7" t="str">
        <f t="shared" si="21"/>
        <v/>
      </c>
      <c r="Q607" s="8" t="str">
        <f>IFERROR(IF(Tabela4[[#This Row],[VALOR]]="","",IF(Tabela1[[#This Row],[ORIENTACAO]]="Anular",'PREENCHER AQUI'!K607*-1*100,'PREENCHER AQUI'!K607*100)),"")</f>
        <v/>
      </c>
      <c r="T607" s="7" t="str">
        <f>IFERROR(IF('PREENCHER AQUI'!L607="","999",LEFT('PREENCHER AQUI'!L607,1)),"")</f>
        <v>999</v>
      </c>
      <c r="W607" s="1" t="str">
        <f>IFERROR(VLOOKUP(Tabela1[[#This Row],[UO_COD]],qdd!$AT$1:$AU$102,2,FALSE),"")</f>
        <v/>
      </c>
      <c r="X607" s="1" t="str">
        <f>CONCATENATE("F",Tabela1[[#This Row],[FONTE_COD]],Tabela1[[#This Row],[IPU_COD]],"G",Tabela1[[#This Row],[GRUPO_COD]],"T",Tabela1[[#This Row],[TIPO]])</f>
        <v>FGT999</v>
      </c>
      <c r="Y6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7" s="19"/>
      <c r="AA607" s="29" t="str">
        <f>IFERROR(VLOOKUP(CONCATENATE("B",Tabela1[[#This Row],[BLOCO]],Tabela1[[#This Row],[UO_COD]]),qdd!$AW$2:$AX$1000,2,FALSE),"")</f>
        <v/>
      </c>
      <c r="AB607" s="30" t="str">
        <f>IFERROR(Tabela1[[#This Row],[VALOR]]/100,"")</f>
        <v/>
      </c>
      <c r="AC607" s="7" t="str" cm="1">
        <f t="array" aca="1" ref="AC607" ca="1">IF(Tabela1[[#This Row],[VALOR]]&lt;0,"",IFERROR(SUBSTITUTE(Converter_numero(Tabela1[[#This Row],[VALOR INCISO]]),",",""),""))</f>
        <v/>
      </c>
      <c r="AD607" s="7" t="str">
        <f>IF(Tabela1[[#This Row],[TIPO]]=REGRAS!$W$2,REGRAS!$X$2,IF(Tabela1[[#This Row],[TIPO]]=REGRAS!$W$4,REGRAS!$X$4,""))</f>
        <v/>
      </c>
      <c r="AE607" s="29" t="e">
        <f>VLOOKUP(Tabela1[[#This Row],[FONTE_COD]],REGRAS!$O$2:$P$69,2,FALSE)</f>
        <v>#N/A</v>
      </c>
      <c r="AF6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8" spans="1:32" ht="18.75" customHeight="1">
      <c r="A608" s="2" t="str">
        <f>IFERROR(IF('PREENCHER AQUI'!A608="","",'PREENCHER AQUI'!A608),"")</f>
        <v/>
      </c>
      <c r="B608" s="1" t="str">
        <f>IFERROR(IF('PREENCHER AQUI'!B608="","",PROPER('PREENCHER AQUI'!B608)),"")</f>
        <v/>
      </c>
      <c r="C608" s="1" t="str">
        <f>IFERROR(IF('PREENCHER AQUI'!C608="","",'PREENCHER AQUI'!C608),"")</f>
        <v/>
      </c>
      <c r="D608" s="2" t="str">
        <f>IFERROR(IF('PREENCHER AQUI'!D608="","",'PREENCHER AQUI'!D608),"")</f>
        <v/>
      </c>
      <c r="E608" s="2" t="str">
        <f>IFERROR(VLOOKUP(CONCATENATE(C608,D608),qdd!$C$2:$F$1000,2,FALSE),"")</f>
        <v/>
      </c>
      <c r="F608" s="2" t="str">
        <f>IFERROR(VLOOKUP(CONCATENATE(C608,D608),qdd!$C$2:$F$1000,3,FALSE),"")</f>
        <v/>
      </c>
      <c r="G608" s="2" t="str">
        <f>IFERROR(VLOOKUP(CONCATENATE(C608,D608),qdd!$C$2:$F$1000,4,FALSE),"")</f>
        <v/>
      </c>
      <c r="H608" s="6" t="str">
        <f t="shared" si="20"/>
        <v/>
      </c>
      <c r="I6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8" s="2" t="str">
        <f>IFERROR(IF('PREENCHER AQUI'!E608="","",'PREENCHER AQUI'!E608),"")</f>
        <v/>
      </c>
      <c r="K608" s="2" t="str">
        <f>IFERROR(IF('PREENCHER AQUI'!F608="","",'PREENCHER AQUI'!F608),"")</f>
        <v/>
      </c>
      <c r="L608" s="2" t="str">
        <f>IF(Tabela1[[#This Row],[IPU_COD]]=9,"91",IF(Tabela1[[#This Row],[ACAO_COD]]="","",VLOOKUP(CONCATENATE("G",J608,"M",K608),qdd!$BC$2:$BD$46,2,FALSE)))</f>
        <v/>
      </c>
      <c r="M608" s="2" t="str">
        <f>TEXT(IFERROR(VLOOKUP(CONCATENATE(C608,D608),qdd!$C$2:$G$1000,5,FALSE),""),0)</f>
        <v/>
      </c>
      <c r="N608" s="2" t="str">
        <f>IFERROR(IF('PREENCHER AQUI'!I608="","",'PREENCHER AQUI'!I608),"")</f>
        <v/>
      </c>
      <c r="O608" s="2" t="str">
        <f>IFERROR(IF('PREENCHER AQUI'!J608="","",'PREENCHER AQUI'!J608),"")</f>
        <v/>
      </c>
      <c r="P608" s="7" t="str">
        <f t="shared" si="21"/>
        <v/>
      </c>
      <c r="Q608" s="8" t="str">
        <f>IFERROR(IF(Tabela4[[#This Row],[VALOR]]="","",IF(Tabela1[[#This Row],[ORIENTACAO]]="Anular",'PREENCHER AQUI'!K608*-1*100,'PREENCHER AQUI'!K608*100)),"")</f>
        <v/>
      </c>
      <c r="T608" s="7" t="str">
        <f>IFERROR(IF('PREENCHER AQUI'!L608="","999",LEFT('PREENCHER AQUI'!L608,1)),"")</f>
        <v>999</v>
      </c>
      <c r="V608" s="19"/>
      <c r="W608" s="1" t="str">
        <f>IFERROR(VLOOKUP(Tabela1[[#This Row],[UO_COD]],qdd!$AT$1:$AU$102,2,FALSE),"")</f>
        <v/>
      </c>
      <c r="X608" s="1" t="str">
        <f>CONCATENATE("F",Tabela1[[#This Row],[FONTE_COD]],Tabela1[[#This Row],[IPU_COD]],"G",Tabela1[[#This Row],[GRUPO_COD]],"T",Tabela1[[#This Row],[TIPO]])</f>
        <v>FGT999</v>
      </c>
      <c r="Y6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8" s="19"/>
      <c r="AA608" s="29" t="str">
        <f>IFERROR(VLOOKUP(CONCATENATE("B",Tabela1[[#This Row],[BLOCO]],Tabela1[[#This Row],[UO_COD]]),qdd!$AW$2:$AX$1000,2,FALSE),"")</f>
        <v/>
      </c>
      <c r="AB608" s="30" t="str">
        <f>IFERROR(Tabela1[[#This Row],[VALOR]]/100,"")</f>
        <v/>
      </c>
      <c r="AC608" s="7" t="str" cm="1">
        <f t="array" aca="1" ref="AC608" ca="1">IF(Tabela1[[#This Row],[VALOR]]&lt;0,"",IFERROR(SUBSTITUTE(Converter_numero(Tabela1[[#This Row],[VALOR INCISO]]),",",""),""))</f>
        <v/>
      </c>
      <c r="AD608" s="29" t="str">
        <f>IF(Tabela1[[#This Row],[TIPO]]=REGRAS!$W$2,REGRAS!$X$2,IF(Tabela1[[#This Row],[TIPO]]=REGRAS!$W$4,REGRAS!$X$4,""))</f>
        <v/>
      </c>
      <c r="AE608" s="29" t="e">
        <f>VLOOKUP(Tabela1[[#This Row],[FONTE_COD]],REGRAS!$O$2:$P$69,2,FALSE)</f>
        <v>#N/A</v>
      </c>
      <c r="AF6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9" spans="1:32" ht="18.75" customHeight="1">
      <c r="A609" s="2" t="str">
        <f>IFERROR(IF('PREENCHER AQUI'!A609="","",'PREENCHER AQUI'!A609),"")</f>
        <v/>
      </c>
      <c r="B609" s="1" t="str">
        <f>IFERROR(IF('PREENCHER AQUI'!B609="","",PROPER('PREENCHER AQUI'!B609)),"")</f>
        <v/>
      </c>
      <c r="C609" s="1" t="str">
        <f>IFERROR(IF('PREENCHER AQUI'!C609="","",'PREENCHER AQUI'!C609),"")</f>
        <v/>
      </c>
      <c r="D609" s="2" t="str">
        <f>IFERROR(IF('PREENCHER AQUI'!D609="","",'PREENCHER AQUI'!D609),"")</f>
        <v/>
      </c>
      <c r="E609" s="2" t="str">
        <f>IFERROR(VLOOKUP(CONCATENATE(C609,D609),qdd!$C$2:$F$1000,2,FALSE),"")</f>
        <v/>
      </c>
      <c r="F609" s="2" t="str">
        <f>IFERROR(VLOOKUP(CONCATENATE(C609,D609),qdd!$C$2:$F$1000,3,FALSE),"")</f>
        <v/>
      </c>
      <c r="G609" s="2" t="str">
        <f>IFERROR(VLOOKUP(CONCATENATE(C609,D609),qdd!$C$2:$F$1000,4,FALSE),"")</f>
        <v/>
      </c>
      <c r="H609" s="6" t="str">
        <f t="shared" si="20"/>
        <v/>
      </c>
      <c r="I6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9" s="2" t="str">
        <f>IFERROR(IF('PREENCHER AQUI'!E609="","",'PREENCHER AQUI'!E609),"")</f>
        <v/>
      </c>
      <c r="K609" s="2" t="str">
        <f>IFERROR(IF('PREENCHER AQUI'!F609="","",'PREENCHER AQUI'!F609),"")</f>
        <v/>
      </c>
      <c r="L609" s="2" t="str">
        <f>IF(Tabela1[[#This Row],[IPU_COD]]=9,"91",IF(Tabela1[[#This Row],[ACAO_COD]]="","",VLOOKUP(CONCATENATE("G",J609,"M",K609),qdd!$BC$2:$BD$46,2,FALSE)))</f>
        <v/>
      </c>
      <c r="M609" s="2" t="str">
        <f>TEXT(IFERROR(VLOOKUP(CONCATENATE(C609,D609),qdd!$C$2:$G$1000,5,FALSE),""),0)</f>
        <v/>
      </c>
      <c r="N609" s="2" t="str">
        <f>IFERROR(IF('PREENCHER AQUI'!I609="","",'PREENCHER AQUI'!I609),"")</f>
        <v/>
      </c>
      <c r="O609" s="2" t="str">
        <f>IFERROR(IF('PREENCHER AQUI'!J609="","",'PREENCHER AQUI'!J609),"")</f>
        <v/>
      </c>
      <c r="P609" s="7" t="str">
        <f t="shared" si="21"/>
        <v/>
      </c>
      <c r="Q609" s="8" t="str">
        <f>IFERROR(IF(Tabela4[[#This Row],[VALOR]]="","",IF(Tabela1[[#This Row],[ORIENTACAO]]="Anular",'PREENCHER AQUI'!K609*-1*100,'PREENCHER AQUI'!K609*100)),"")</f>
        <v/>
      </c>
      <c r="T609" s="7" t="str">
        <f>IFERROR(IF('PREENCHER AQUI'!L609="","999",LEFT('PREENCHER AQUI'!L609,1)),"")</f>
        <v>999</v>
      </c>
      <c r="V609" s="19"/>
      <c r="W609" s="1" t="str">
        <f>IFERROR(VLOOKUP(Tabela1[[#This Row],[UO_COD]],qdd!$AT$1:$AU$102,2,FALSE),"")</f>
        <v/>
      </c>
      <c r="X609" s="1" t="str">
        <f>CONCATENATE("F",Tabela1[[#This Row],[FONTE_COD]],Tabela1[[#This Row],[IPU_COD]],"G",Tabela1[[#This Row],[GRUPO_COD]],"T",Tabela1[[#This Row],[TIPO]])</f>
        <v>FGT999</v>
      </c>
      <c r="Y6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9" s="19"/>
      <c r="AA609" s="29" t="str">
        <f>IFERROR(VLOOKUP(CONCATENATE("B",Tabela1[[#This Row],[BLOCO]],Tabela1[[#This Row],[UO_COD]]),qdd!$AW$2:$AX$1000,2,FALSE),"")</f>
        <v/>
      </c>
      <c r="AB609" s="30" t="str">
        <f>IFERROR(Tabela1[[#This Row],[VALOR]]/100,"")</f>
        <v/>
      </c>
      <c r="AC609" s="7" t="str" cm="1">
        <f t="array" aca="1" ref="AC609" ca="1">IF(Tabela1[[#This Row],[VALOR]]&lt;0,"",IFERROR(SUBSTITUTE(Converter_numero(Tabela1[[#This Row],[VALOR INCISO]]),",",""),""))</f>
        <v/>
      </c>
      <c r="AD609" s="29" t="str">
        <f>IF(Tabela1[[#This Row],[TIPO]]=REGRAS!$W$2,REGRAS!$X$2,IF(Tabela1[[#This Row],[TIPO]]=REGRAS!$W$4,REGRAS!$X$4,""))</f>
        <v/>
      </c>
      <c r="AE609" s="29" t="e">
        <f>VLOOKUP(Tabela1[[#This Row],[FONTE_COD]],REGRAS!$O$2:$P$69,2,FALSE)</f>
        <v>#N/A</v>
      </c>
      <c r="AF6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0" spans="1:32" ht="18.75" customHeight="1">
      <c r="A610" s="2" t="str">
        <f>IFERROR(IF('PREENCHER AQUI'!A610="","",'PREENCHER AQUI'!A610),"")</f>
        <v/>
      </c>
      <c r="B610" s="1" t="str">
        <f>IFERROR(IF('PREENCHER AQUI'!B610="","",PROPER('PREENCHER AQUI'!B610)),"")</f>
        <v/>
      </c>
      <c r="C610" s="1" t="str">
        <f>IFERROR(IF('PREENCHER AQUI'!C610="","",'PREENCHER AQUI'!C610),"")</f>
        <v/>
      </c>
      <c r="D610" s="2" t="str">
        <f>IFERROR(IF('PREENCHER AQUI'!D610="","",'PREENCHER AQUI'!D610),"")</f>
        <v/>
      </c>
      <c r="E610" s="2" t="str">
        <f>IFERROR(VLOOKUP(CONCATENATE(C610,D610),qdd!$C$2:$F$1000,2,FALSE),"")</f>
        <v/>
      </c>
      <c r="F610" s="2" t="str">
        <f>IFERROR(VLOOKUP(CONCATENATE(C610,D610),qdd!$C$2:$F$1000,3,FALSE),"")</f>
        <v/>
      </c>
      <c r="G610" s="2" t="str">
        <f>IFERROR(VLOOKUP(CONCATENATE(C610,D610),qdd!$C$2:$F$1000,4,FALSE),"")</f>
        <v/>
      </c>
      <c r="H610" s="6" t="str">
        <f t="shared" si="20"/>
        <v/>
      </c>
      <c r="I6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0" s="2" t="str">
        <f>IFERROR(IF('PREENCHER AQUI'!E610="","",'PREENCHER AQUI'!E610),"")</f>
        <v/>
      </c>
      <c r="K610" s="2" t="str">
        <f>IFERROR(IF('PREENCHER AQUI'!F610="","",'PREENCHER AQUI'!F610),"")</f>
        <v/>
      </c>
      <c r="L610" s="2" t="str">
        <f>IF(Tabela1[[#This Row],[IPU_COD]]=9,"91",IF(Tabela1[[#This Row],[ACAO_COD]]="","",VLOOKUP(CONCATENATE("G",J610,"M",K610),qdd!$BC$2:$BD$46,2,FALSE)))</f>
        <v/>
      </c>
      <c r="M610" s="2" t="str">
        <f>TEXT(IFERROR(VLOOKUP(CONCATENATE(C610,D610),qdd!$C$2:$G$1000,5,FALSE),""),0)</f>
        <v/>
      </c>
      <c r="N610" s="2" t="str">
        <f>IFERROR(IF('PREENCHER AQUI'!I610="","",'PREENCHER AQUI'!I610),"")</f>
        <v/>
      </c>
      <c r="O610" s="2" t="str">
        <f>IFERROR(IF('PREENCHER AQUI'!J610="","",'PREENCHER AQUI'!J610),"")</f>
        <v/>
      </c>
      <c r="P610" s="7" t="str">
        <f t="shared" si="21"/>
        <v/>
      </c>
      <c r="Q610" s="8" t="str">
        <f>IFERROR(IF(Tabela4[[#This Row],[VALOR]]="","",IF(Tabela1[[#This Row],[ORIENTACAO]]="Anular",'PREENCHER AQUI'!K610*-1*100,'PREENCHER AQUI'!K610*100)),"")</f>
        <v/>
      </c>
      <c r="T610" s="7" t="str">
        <f>IFERROR(IF('PREENCHER AQUI'!L610="","999",LEFT('PREENCHER AQUI'!L610,1)),"")</f>
        <v>999</v>
      </c>
      <c r="V610" s="19"/>
      <c r="W610" s="20" t="str">
        <f>IFERROR(VLOOKUP(Tabela1[[#This Row],[UO_COD]],qdd!$AT$1:$AU$102,2,FALSE),"")</f>
        <v/>
      </c>
      <c r="X610" s="20" t="str">
        <f>CONCATENATE("F",Tabela1[[#This Row],[FONTE_COD]],Tabela1[[#This Row],[IPU_COD]],"G",Tabela1[[#This Row],[GRUPO_COD]],"T",Tabela1[[#This Row],[TIPO]])</f>
        <v>FGT999</v>
      </c>
      <c r="Y6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0" s="19"/>
      <c r="AA610" s="29" t="str">
        <f>IFERROR(VLOOKUP(CONCATENATE("B",Tabela1[[#This Row],[BLOCO]],Tabela1[[#This Row],[UO_COD]]),qdd!$AW$2:$AX$1000,2,FALSE),"")</f>
        <v/>
      </c>
      <c r="AB610" s="30" t="str">
        <f>IFERROR(Tabela1[[#This Row],[VALOR]]/100,"")</f>
        <v/>
      </c>
      <c r="AC610" s="7" t="str" cm="1">
        <f t="array" aca="1" ref="AC610" ca="1">IF(Tabela1[[#This Row],[VALOR]]&lt;0,"",IFERROR(SUBSTITUTE(Converter_numero(Tabela1[[#This Row],[VALOR INCISO]]),",",""),""))</f>
        <v/>
      </c>
      <c r="AD610" s="29" t="str">
        <f>IF(Tabela1[[#This Row],[TIPO]]=REGRAS!$W$2,REGRAS!$X$2,IF(Tabela1[[#This Row],[TIPO]]=REGRAS!$W$4,REGRAS!$X$4,""))</f>
        <v/>
      </c>
      <c r="AE610" s="29" t="e">
        <f>VLOOKUP(Tabela1[[#This Row],[FONTE_COD]],REGRAS!$O$2:$P$69,2,FALSE)</f>
        <v>#N/A</v>
      </c>
      <c r="AF6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1" spans="1:32" ht="18.75" customHeight="1">
      <c r="A611" s="2" t="str">
        <f>IFERROR(IF('PREENCHER AQUI'!A611="","",'PREENCHER AQUI'!A611),"")</f>
        <v/>
      </c>
      <c r="B611" s="1" t="str">
        <f>IFERROR(IF('PREENCHER AQUI'!B611="","",PROPER('PREENCHER AQUI'!B611)),"")</f>
        <v/>
      </c>
      <c r="C611" s="1" t="str">
        <f>IFERROR(IF('PREENCHER AQUI'!C611="","",'PREENCHER AQUI'!C611),"")</f>
        <v/>
      </c>
      <c r="D611" s="2" t="str">
        <f>IFERROR(IF('PREENCHER AQUI'!D611="","",'PREENCHER AQUI'!D611),"")</f>
        <v/>
      </c>
      <c r="E611" s="2" t="str">
        <f>IFERROR(VLOOKUP(CONCATENATE(C611,D611),qdd!$C$2:$F$1000,2,FALSE),"")</f>
        <v/>
      </c>
      <c r="F611" s="2" t="str">
        <f>IFERROR(VLOOKUP(CONCATENATE(C611,D611),qdd!$C$2:$F$1000,3,FALSE),"")</f>
        <v/>
      </c>
      <c r="G611" s="2" t="str">
        <f>IFERROR(VLOOKUP(CONCATENATE(C611,D611),qdd!$C$2:$F$1000,4,FALSE),"")</f>
        <v/>
      </c>
      <c r="H611" s="6" t="str">
        <f t="shared" si="20"/>
        <v/>
      </c>
      <c r="I6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1" s="2" t="str">
        <f>IFERROR(IF('PREENCHER AQUI'!E611="","",'PREENCHER AQUI'!E611),"")</f>
        <v/>
      </c>
      <c r="K611" s="2" t="str">
        <f>IFERROR(IF('PREENCHER AQUI'!F611="","",'PREENCHER AQUI'!F611),"")</f>
        <v/>
      </c>
      <c r="L611" s="2" t="str">
        <f>IF(Tabela1[[#This Row],[IPU_COD]]=9,"91",IF(Tabela1[[#This Row],[ACAO_COD]]="","",VLOOKUP(CONCATENATE("G",J611,"M",K611),qdd!$BC$2:$BD$46,2,FALSE)))</f>
        <v/>
      </c>
      <c r="M611" s="2" t="str">
        <f>TEXT(IFERROR(VLOOKUP(CONCATENATE(C611,D611),qdd!$C$2:$G$1000,5,FALSE),""),0)</f>
        <v/>
      </c>
      <c r="N611" s="2" t="str">
        <f>IFERROR(IF('PREENCHER AQUI'!I611="","",'PREENCHER AQUI'!I611),"")</f>
        <v/>
      </c>
      <c r="O611" s="2" t="str">
        <f>IFERROR(IF('PREENCHER AQUI'!J611="","",'PREENCHER AQUI'!J611),"")</f>
        <v/>
      </c>
      <c r="P611" s="7" t="str">
        <f t="shared" si="21"/>
        <v/>
      </c>
      <c r="Q611" s="8" t="str">
        <f>IFERROR(IF(Tabela4[[#This Row],[VALOR]]="","",IF(Tabela1[[#This Row],[ORIENTACAO]]="Anular",'PREENCHER AQUI'!K611*-1*100,'PREENCHER AQUI'!K611*100)),"")</f>
        <v/>
      </c>
      <c r="T611" s="7" t="str">
        <f>IFERROR(IF('PREENCHER AQUI'!L611="","999",LEFT('PREENCHER AQUI'!L611,1)),"")</f>
        <v>999</v>
      </c>
      <c r="V611" s="19"/>
      <c r="W611" s="1" t="str">
        <f>IFERROR(VLOOKUP(Tabela1[[#This Row],[UO_COD]],qdd!$AT$1:$AU$102,2,FALSE),"")</f>
        <v/>
      </c>
      <c r="X611" s="1" t="str">
        <f>CONCATENATE("F",Tabela1[[#This Row],[FONTE_COD]],Tabela1[[#This Row],[IPU_COD]],"G",Tabela1[[#This Row],[GRUPO_COD]],"T",Tabela1[[#This Row],[TIPO]])</f>
        <v>FGT999</v>
      </c>
      <c r="Y6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1" s="19"/>
      <c r="AA611" s="29" t="str">
        <f>IFERROR(VLOOKUP(CONCATENATE("B",Tabela1[[#This Row],[BLOCO]],Tabela1[[#This Row],[UO_COD]]),qdd!$AW$2:$AX$1000,2,FALSE),"")</f>
        <v/>
      </c>
      <c r="AB611" s="30" t="str">
        <f>IFERROR(Tabela1[[#This Row],[VALOR]]/100,"")</f>
        <v/>
      </c>
      <c r="AC611" s="7" t="str" cm="1">
        <f t="array" aca="1" ref="AC611" ca="1">IF(Tabela1[[#This Row],[VALOR]]&lt;0,"",IFERROR(SUBSTITUTE(Converter_numero(Tabela1[[#This Row],[VALOR INCISO]]),",",""),""))</f>
        <v/>
      </c>
      <c r="AD611" s="29" t="str">
        <f>IF(Tabela1[[#This Row],[TIPO]]=REGRAS!$W$2,REGRAS!$X$2,IF(Tabela1[[#This Row],[TIPO]]=REGRAS!$W$4,REGRAS!$X$4,""))</f>
        <v/>
      </c>
      <c r="AE611" s="29" t="e">
        <f>VLOOKUP(Tabela1[[#This Row],[FONTE_COD]],REGRAS!$O$2:$P$69,2,FALSE)</f>
        <v>#N/A</v>
      </c>
      <c r="AF6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2" spans="1:32" ht="18.75" customHeight="1">
      <c r="A612" s="2" t="str">
        <f>IFERROR(IF('PREENCHER AQUI'!A612="","",'PREENCHER AQUI'!A612),"")</f>
        <v/>
      </c>
      <c r="B612" s="1" t="str">
        <f>IFERROR(IF('PREENCHER AQUI'!B612="","",PROPER('PREENCHER AQUI'!B612)),"")</f>
        <v/>
      </c>
      <c r="C612" s="1" t="str">
        <f>IFERROR(IF('PREENCHER AQUI'!C612="","",'PREENCHER AQUI'!C612),"")</f>
        <v/>
      </c>
      <c r="D612" s="2" t="str">
        <f>IFERROR(IF('PREENCHER AQUI'!D612="","",'PREENCHER AQUI'!D612),"")</f>
        <v/>
      </c>
      <c r="E612" s="2" t="str">
        <f>IFERROR(VLOOKUP(CONCATENATE(C612,D612),qdd!$C$2:$F$1000,2,FALSE),"")</f>
        <v/>
      </c>
      <c r="F612" s="2" t="str">
        <f>IFERROR(VLOOKUP(CONCATENATE(C612,D612),qdd!$C$2:$F$1000,3,FALSE),"")</f>
        <v/>
      </c>
      <c r="G612" s="2" t="str">
        <f>IFERROR(VLOOKUP(CONCATENATE(C612,D612),qdd!$C$2:$F$1000,4,FALSE),"")</f>
        <v/>
      </c>
      <c r="H612" s="6" t="str">
        <f t="shared" si="20"/>
        <v/>
      </c>
      <c r="I6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2" s="2" t="str">
        <f>IFERROR(IF('PREENCHER AQUI'!E612="","",'PREENCHER AQUI'!E612),"")</f>
        <v/>
      </c>
      <c r="K612" s="2" t="str">
        <f>IFERROR(IF('PREENCHER AQUI'!F612="","",'PREENCHER AQUI'!F612),"")</f>
        <v/>
      </c>
      <c r="L612" s="2" t="str">
        <f>IF(Tabela1[[#This Row],[IPU_COD]]=9,"91",IF(Tabela1[[#This Row],[ACAO_COD]]="","",VLOOKUP(CONCATENATE("G",J612,"M",K612),qdd!$BC$2:$BD$46,2,FALSE)))</f>
        <v/>
      </c>
      <c r="M612" s="2" t="str">
        <f>TEXT(IFERROR(VLOOKUP(CONCATENATE(C612,D612),qdd!$C$2:$G$1000,5,FALSE),""),0)</f>
        <v/>
      </c>
      <c r="N612" s="2" t="str">
        <f>IFERROR(IF('PREENCHER AQUI'!I612="","",'PREENCHER AQUI'!I612),"")</f>
        <v/>
      </c>
      <c r="O612" s="2" t="str">
        <f>IFERROR(IF('PREENCHER AQUI'!J612="","",'PREENCHER AQUI'!J612),"")</f>
        <v/>
      </c>
      <c r="P612" s="7" t="str">
        <f t="shared" si="21"/>
        <v/>
      </c>
      <c r="Q612" s="8" t="str">
        <f>IFERROR(IF(Tabela4[[#This Row],[VALOR]]="","",IF(Tabela1[[#This Row],[ORIENTACAO]]="Anular",'PREENCHER AQUI'!K612*-1*100,'PREENCHER AQUI'!K612*100)),"")</f>
        <v/>
      </c>
      <c r="T612" s="7" t="str">
        <f>IFERROR(IF('PREENCHER AQUI'!L612="","999",LEFT('PREENCHER AQUI'!L612,1)),"")</f>
        <v>999</v>
      </c>
      <c r="W612" s="1" t="str">
        <f>IFERROR(VLOOKUP(Tabela1[[#This Row],[UO_COD]],qdd!$AT$1:$AU$102,2,FALSE),"")</f>
        <v/>
      </c>
      <c r="X612" s="1" t="str">
        <f>CONCATENATE("F",Tabela1[[#This Row],[FONTE_COD]],Tabela1[[#This Row],[IPU_COD]],"G",Tabela1[[#This Row],[GRUPO_COD]],"T",Tabela1[[#This Row],[TIPO]])</f>
        <v>FGT999</v>
      </c>
      <c r="Y6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2" s="19"/>
      <c r="AA612" s="29" t="str">
        <f>IFERROR(VLOOKUP(CONCATENATE("B",Tabela1[[#This Row],[BLOCO]],Tabela1[[#This Row],[UO_COD]]),qdd!$AW$2:$AX$1000,2,FALSE),"")</f>
        <v/>
      </c>
      <c r="AB612" s="30" t="str">
        <f>IFERROR(Tabela1[[#This Row],[VALOR]]/100,"")</f>
        <v/>
      </c>
      <c r="AC612" s="7" t="str" cm="1">
        <f t="array" aca="1" ref="AC612" ca="1">IF(Tabela1[[#This Row],[VALOR]]&lt;0,"",IFERROR(SUBSTITUTE(Converter_numero(Tabela1[[#This Row],[VALOR INCISO]]),",",""),""))</f>
        <v/>
      </c>
      <c r="AD612" s="7" t="str">
        <f>IF(Tabela1[[#This Row],[TIPO]]=REGRAS!$W$2,REGRAS!$X$2,IF(Tabela1[[#This Row],[TIPO]]=REGRAS!$W$4,REGRAS!$X$4,""))</f>
        <v/>
      </c>
      <c r="AE612" s="29" t="e">
        <f>VLOOKUP(Tabela1[[#This Row],[FONTE_COD]],REGRAS!$O$2:$P$69,2,FALSE)</f>
        <v>#N/A</v>
      </c>
      <c r="AF6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3" spans="1:32" ht="18.75" customHeight="1">
      <c r="A613" s="2" t="str">
        <f>IFERROR(IF('PREENCHER AQUI'!A613="","",'PREENCHER AQUI'!A613),"")</f>
        <v/>
      </c>
      <c r="B613" s="1" t="str">
        <f>IFERROR(IF('PREENCHER AQUI'!B613="","",PROPER('PREENCHER AQUI'!B613)),"")</f>
        <v/>
      </c>
      <c r="C613" s="1" t="str">
        <f>IFERROR(IF('PREENCHER AQUI'!C613="","",'PREENCHER AQUI'!C613),"")</f>
        <v/>
      </c>
      <c r="D613" s="2" t="str">
        <f>IFERROR(IF('PREENCHER AQUI'!D613="","",'PREENCHER AQUI'!D613),"")</f>
        <v/>
      </c>
      <c r="E613" s="2" t="str">
        <f>IFERROR(VLOOKUP(CONCATENATE(C613,D613),qdd!$C$2:$F$1000,2,FALSE),"")</f>
        <v/>
      </c>
      <c r="F613" s="2" t="str">
        <f>IFERROR(VLOOKUP(CONCATENATE(C613,D613),qdd!$C$2:$F$1000,3,FALSE),"")</f>
        <v/>
      </c>
      <c r="G613" s="2" t="str">
        <f>IFERROR(VLOOKUP(CONCATENATE(C613,D613),qdd!$C$2:$F$1000,4,FALSE),"")</f>
        <v/>
      </c>
      <c r="H613" s="6" t="str">
        <f t="shared" si="20"/>
        <v/>
      </c>
      <c r="I6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3" s="2" t="str">
        <f>IFERROR(IF('PREENCHER AQUI'!E613="","",'PREENCHER AQUI'!E613),"")</f>
        <v/>
      </c>
      <c r="K613" s="2" t="str">
        <f>IFERROR(IF('PREENCHER AQUI'!F613="","",'PREENCHER AQUI'!F613),"")</f>
        <v/>
      </c>
      <c r="L613" s="2" t="str">
        <f>IF(Tabela1[[#This Row],[IPU_COD]]=9,"91",IF(Tabela1[[#This Row],[ACAO_COD]]="","",VLOOKUP(CONCATENATE("G",J613,"M",K613),qdd!$BC$2:$BD$46,2,FALSE)))</f>
        <v/>
      </c>
      <c r="M613" s="2" t="str">
        <f>TEXT(IFERROR(VLOOKUP(CONCATENATE(C613,D613),qdd!$C$2:$G$1000,5,FALSE),""),0)</f>
        <v/>
      </c>
      <c r="N613" s="2" t="str">
        <f>IFERROR(IF('PREENCHER AQUI'!I613="","",'PREENCHER AQUI'!I613),"")</f>
        <v/>
      </c>
      <c r="O613" s="2" t="str">
        <f>IFERROR(IF('PREENCHER AQUI'!J613="","",'PREENCHER AQUI'!J613),"")</f>
        <v/>
      </c>
      <c r="P613" s="7" t="str">
        <f t="shared" si="21"/>
        <v/>
      </c>
      <c r="Q613" s="8" t="str">
        <f>IFERROR(IF(Tabela4[[#This Row],[VALOR]]="","",IF(Tabela1[[#This Row],[ORIENTACAO]]="Anular",'PREENCHER AQUI'!K613*-1*100,'PREENCHER AQUI'!K613*100)),"")</f>
        <v/>
      </c>
      <c r="T613" s="7" t="str">
        <f>IFERROR(IF('PREENCHER AQUI'!L613="","999",LEFT('PREENCHER AQUI'!L613,1)),"")</f>
        <v>999</v>
      </c>
      <c r="V613" s="19"/>
      <c r="W613" s="1" t="str">
        <f>IFERROR(VLOOKUP(Tabela1[[#This Row],[UO_COD]],qdd!$AT$1:$AU$102,2,FALSE),"")</f>
        <v/>
      </c>
      <c r="X613" s="1" t="str">
        <f>CONCATENATE("F",Tabela1[[#This Row],[FONTE_COD]],Tabela1[[#This Row],[IPU_COD]],"G",Tabela1[[#This Row],[GRUPO_COD]],"T",Tabela1[[#This Row],[TIPO]])</f>
        <v>FGT999</v>
      </c>
      <c r="Y6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3" s="19"/>
      <c r="AA613" s="29" t="str">
        <f>IFERROR(VLOOKUP(CONCATENATE("B",Tabela1[[#This Row],[BLOCO]],Tabela1[[#This Row],[UO_COD]]),qdd!$AW$2:$AX$1000,2,FALSE),"")</f>
        <v/>
      </c>
      <c r="AB613" s="30" t="str">
        <f>IFERROR(Tabela1[[#This Row],[VALOR]]/100,"")</f>
        <v/>
      </c>
      <c r="AC613" s="7" t="str" cm="1">
        <f t="array" aca="1" ref="AC613" ca="1">IF(Tabela1[[#This Row],[VALOR]]&lt;0,"",IFERROR(SUBSTITUTE(Converter_numero(Tabela1[[#This Row],[VALOR INCISO]]),",",""),""))</f>
        <v/>
      </c>
      <c r="AD613" s="29" t="str">
        <f>IF(Tabela1[[#This Row],[TIPO]]=REGRAS!$W$2,REGRAS!$X$2,IF(Tabela1[[#This Row],[TIPO]]=REGRAS!$W$4,REGRAS!$X$4,""))</f>
        <v/>
      </c>
      <c r="AE613" s="29" t="e">
        <f>VLOOKUP(Tabela1[[#This Row],[FONTE_COD]],REGRAS!$O$2:$P$69,2,FALSE)</f>
        <v>#N/A</v>
      </c>
      <c r="AF6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4" spans="1:32" ht="18.75" customHeight="1">
      <c r="A614" s="2" t="str">
        <f>IFERROR(IF('PREENCHER AQUI'!A614="","",'PREENCHER AQUI'!A614),"")</f>
        <v/>
      </c>
      <c r="B614" s="1" t="str">
        <f>IFERROR(IF('PREENCHER AQUI'!B614="","",PROPER('PREENCHER AQUI'!B614)),"")</f>
        <v/>
      </c>
      <c r="C614" s="1" t="str">
        <f>IFERROR(IF('PREENCHER AQUI'!C614="","",'PREENCHER AQUI'!C614),"")</f>
        <v/>
      </c>
      <c r="D614" s="2" t="str">
        <f>IFERROR(IF('PREENCHER AQUI'!D614="","",'PREENCHER AQUI'!D614),"")</f>
        <v/>
      </c>
      <c r="E614" s="2" t="str">
        <f>IFERROR(VLOOKUP(CONCATENATE(C614,D614),qdd!$C$2:$F$1000,2,FALSE),"")</f>
        <v/>
      </c>
      <c r="F614" s="2" t="str">
        <f>IFERROR(VLOOKUP(CONCATENATE(C614,D614),qdd!$C$2:$F$1000,3,FALSE),"")</f>
        <v/>
      </c>
      <c r="G614" s="2" t="str">
        <f>IFERROR(VLOOKUP(CONCATENATE(C614,D614),qdd!$C$2:$F$1000,4,FALSE),"")</f>
        <v/>
      </c>
      <c r="H614" s="6" t="str">
        <f t="shared" si="20"/>
        <v/>
      </c>
      <c r="I6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4" s="2" t="str">
        <f>IFERROR(IF('PREENCHER AQUI'!E614="","",'PREENCHER AQUI'!E614),"")</f>
        <v/>
      </c>
      <c r="K614" s="2" t="str">
        <f>IFERROR(IF('PREENCHER AQUI'!F614="","",'PREENCHER AQUI'!F614),"")</f>
        <v/>
      </c>
      <c r="L614" s="2" t="str">
        <f>IF(Tabela1[[#This Row],[IPU_COD]]=9,"91",IF(Tabela1[[#This Row],[ACAO_COD]]="","",VLOOKUP(CONCATENATE("G",J614,"M",K614),qdd!$BC$2:$BD$46,2,FALSE)))</f>
        <v/>
      </c>
      <c r="M614" s="2" t="str">
        <f>TEXT(IFERROR(VLOOKUP(CONCATENATE(C614,D614),qdd!$C$2:$G$1000,5,FALSE),""),0)</f>
        <v/>
      </c>
      <c r="N614" s="2" t="str">
        <f>IFERROR(IF('PREENCHER AQUI'!I614="","",'PREENCHER AQUI'!I614),"")</f>
        <v/>
      </c>
      <c r="O614" s="2" t="str">
        <f>IFERROR(IF('PREENCHER AQUI'!J614="","",'PREENCHER AQUI'!J614),"")</f>
        <v/>
      </c>
      <c r="P614" s="7" t="str">
        <f t="shared" si="21"/>
        <v/>
      </c>
      <c r="Q614" s="8" t="str">
        <f>IFERROR(IF(Tabela4[[#This Row],[VALOR]]="","",IF(Tabela1[[#This Row],[ORIENTACAO]]="Anular",'PREENCHER AQUI'!K614*-1*100,'PREENCHER AQUI'!K614*100)),"")</f>
        <v/>
      </c>
      <c r="T614" s="7" t="str">
        <f>IFERROR(IF('PREENCHER AQUI'!L614="","999",LEFT('PREENCHER AQUI'!L614,1)),"")</f>
        <v>999</v>
      </c>
      <c r="V614" s="19"/>
      <c r="W614" s="1" t="str">
        <f>IFERROR(VLOOKUP(Tabela1[[#This Row],[UO_COD]],qdd!$AT$1:$AU$102,2,FALSE),"")</f>
        <v/>
      </c>
      <c r="X614" s="1" t="str">
        <f>CONCATENATE("F",Tabela1[[#This Row],[FONTE_COD]],Tabela1[[#This Row],[IPU_COD]],"G",Tabela1[[#This Row],[GRUPO_COD]],"T",Tabela1[[#This Row],[TIPO]])</f>
        <v>FGT999</v>
      </c>
      <c r="Y6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4" s="19"/>
      <c r="AA614" s="29" t="str">
        <f>IFERROR(VLOOKUP(CONCATENATE("B",Tabela1[[#This Row],[BLOCO]],Tabela1[[#This Row],[UO_COD]]),qdd!$AW$2:$AX$1000,2,FALSE),"")</f>
        <v/>
      </c>
      <c r="AB614" s="30" t="str">
        <f>IFERROR(Tabela1[[#This Row],[VALOR]]/100,"")</f>
        <v/>
      </c>
      <c r="AC614" s="7" t="str" cm="1">
        <f t="array" aca="1" ref="AC614" ca="1">IF(Tabela1[[#This Row],[VALOR]]&lt;0,"",IFERROR(SUBSTITUTE(Converter_numero(Tabela1[[#This Row],[VALOR INCISO]]),",",""),""))</f>
        <v/>
      </c>
      <c r="AD614" s="29" t="str">
        <f>IF(Tabela1[[#This Row],[TIPO]]=REGRAS!$W$2,REGRAS!$X$2,IF(Tabela1[[#This Row],[TIPO]]=REGRAS!$W$4,REGRAS!$X$4,""))</f>
        <v/>
      </c>
      <c r="AE614" s="29" t="e">
        <f>VLOOKUP(Tabela1[[#This Row],[FONTE_COD]],REGRAS!$O$2:$P$69,2,FALSE)</f>
        <v>#N/A</v>
      </c>
      <c r="AF6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5" spans="1:32" ht="18.75" customHeight="1">
      <c r="A615" s="2" t="str">
        <f>IFERROR(IF('PREENCHER AQUI'!A615="","",'PREENCHER AQUI'!A615),"")</f>
        <v/>
      </c>
      <c r="B615" s="1" t="str">
        <f>IFERROR(IF('PREENCHER AQUI'!B615="","",PROPER('PREENCHER AQUI'!B615)),"")</f>
        <v/>
      </c>
      <c r="C615" s="1" t="str">
        <f>IFERROR(IF('PREENCHER AQUI'!C615="","",'PREENCHER AQUI'!C615),"")</f>
        <v/>
      </c>
      <c r="D615" s="2" t="str">
        <f>IFERROR(IF('PREENCHER AQUI'!D615="","",'PREENCHER AQUI'!D615),"")</f>
        <v/>
      </c>
      <c r="E615" s="2" t="str">
        <f>IFERROR(VLOOKUP(CONCATENATE(C615,D615),qdd!$C$2:$F$1000,2,FALSE),"")</f>
        <v/>
      </c>
      <c r="F615" s="2" t="str">
        <f>IFERROR(VLOOKUP(CONCATENATE(C615,D615),qdd!$C$2:$F$1000,3,FALSE),"")</f>
        <v/>
      </c>
      <c r="G615" s="2" t="str">
        <f>IFERROR(VLOOKUP(CONCATENATE(C615,D615),qdd!$C$2:$F$1000,4,FALSE),"")</f>
        <v/>
      </c>
      <c r="H615" s="6" t="str">
        <f t="shared" si="20"/>
        <v/>
      </c>
      <c r="I6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5" s="2" t="str">
        <f>IFERROR(IF('PREENCHER AQUI'!E615="","",'PREENCHER AQUI'!E615),"")</f>
        <v/>
      </c>
      <c r="K615" s="2" t="str">
        <f>IFERROR(IF('PREENCHER AQUI'!F615="","",'PREENCHER AQUI'!F615),"")</f>
        <v/>
      </c>
      <c r="L615" s="2" t="str">
        <f>IF(Tabela1[[#This Row],[IPU_COD]]=9,"91",IF(Tabela1[[#This Row],[ACAO_COD]]="","",VLOOKUP(CONCATENATE("G",J615,"M",K615),qdd!$BC$2:$BD$46,2,FALSE)))</f>
        <v/>
      </c>
      <c r="M615" s="2" t="str">
        <f>TEXT(IFERROR(VLOOKUP(CONCATENATE(C615,D615),qdd!$C$2:$G$1000,5,FALSE),""),0)</f>
        <v/>
      </c>
      <c r="N615" s="2" t="str">
        <f>IFERROR(IF('PREENCHER AQUI'!I615="","",'PREENCHER AQUI'!I615),"")</f>
        <v/>
      </c>
      <c r="O615" s="2" t="str">
        <f>IFERROR(IF('PREENCHER AQUI'!J615="","",'PREENCHER AQUI'!J615),"")</f>
        <v/>
      </c>
      <c r="P615" s="7" t="str">
        <f t="shared" si="21"/>
        <v/>
      </c>
      <c r="Q615" s="8" t="str">
        <f>IFERROR(IF(Tabela4[[#This Row],[VALOR]]="","",IF(Tabela1[[#This Row],[ORIENTACAO]]="Anular",'PREENCHER AQUI'!K615*-1*100,'PREENCHER AQUI'!K615*100)),"")</f>
        <v/>
      </c>
      <c r="T615" s="7" t="str">
        <f>IFERROR(IF('PREENCHER AQUI'!L615="","999",LEFT('PREENCHER AQUI'!L615,1)),"")</f>
        <v>999</v>
      </c>
      <c r="V615" s="19"/>
      <c r="W615" s="20" t="str">
        <f>IFERROR(VLOOKUP(Tabela1[[#This Row],[UO_COD]],qdd!$AT$1:$AU$102,2,FALSE),"")</f>
        <v/>
      </c>
      <c r="X615" s="20" t="str">
        <f>CONCATENATE("F",Tabela1[[#This Row],[FONTE_COD]],Tabela1[[#This Row],[IPU_COD]],"G",Tabela1[[#This Row],[GRUPO_COD]],"T",Tabela1[[#This Row],[TIPO]])</f>
        <v>FGT999</v>
      </c>
      <c r="Y6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5" s="19"/>
      <c r="AA615" s="29" t="str">
        <f>IFERROR(VLOOKUP(CONCATENATE("B",Tabela1[[#This Row],[BLOCO]],Tabela1[[#This Row],[UO_COD]]),qdd!$AW$2:$AX$1000,2,FALSE),"")</f>
        <v/>
      </c>
      <c r="AB615" s="30" t="str">
        <f>IFERROR(Tabela1[[#This Row],[VALOR]]/100,"")</f>
        <v/>
      </c>
      <c r="AC615" s="7" t="str" cm="1">
        <f t="array" aca="1" ref="AC615" ca="1">IF(Tabela1[[#This Row],[VALOR]]&lt;0,"",IFERROR(SUBSTITUTE(Converter_numero(Tabela1[[#This Row],[VALOR INCISO]]),",",""),""))</f>
        <v/>
      </c>
      <c r="AD615" s="29" t="str">
        <f>IF(Tabela1[[#This Row],[TIPO]]=REGRAS!$W$2,REGRAS!$X$2,IF(Tabela1[[#This Row],[TIPO]]=REGRAS!$W$4,REGRAS!$X$4,""))</f>
        <v/>
      </c>
      <c r="AE615" s="29" t="e">
        <f>VLOOKUP(Tabela1[[#This Row],[FONTE_COD]],REGRAS!$O$2:$P$69,2,FALSE)</f>
        <v>#N/A</v>
      </c>
      <c r="AF6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6" spans="1:32" ht="18.75" customHeight="1">
      <c r="A616" s="2" t="str">
        <f>IFERROR(IF('PREENCHER AQUI'!A616="","",'PREENCHER AQUI'!A616),"")</f>
        <v/>
      </c>
      <c r="B616" s="1" t="str">
        <f>IFERROR(IF('PREENCHER AQUI'!B616="","",PROPER('PREENCHER AQUI'!B616)),"")</f>
        <v/>
      </c>
      <c r="C616" s="1" t="str">
        <f>IFERROR(IF('PREENCHER AQUI'!C616="","",'PREENCHER AQUI'!C616),"")</f>
        <v/>
      </c>
      <c r="D616" s="2" t="str">
        <f>IFERROR(IF('PREENCHER AQUI'!D616="","",'PREENCHER AQUI'!D616),"")</f>
        <v/>
      </c>
      <c r="E616" s="2" t="str">
        <f>IFERROR(VLOOKUP(CONCATENATE(C616,D616),qdd!$C$2:$F$1000,2,FALSE),"")</f>
        <v/>
      </c>
      <c r="F616" s="2" t="str">
        <f>IFERROR(VLOOKUP(CONCATENATE(C616,D616),qdd!$C$2:$F$1000,3,FALSE),"")</f>
        <v/>
      </c>
      <c r="G616" s="2" t="str">
        <f>IFERROR(VLOOKUP(CONCATENATE(C616,D616),qdd!$C$2:$F$1000,4,FALSE),"")</f>
        <v/>
      </c>
      <c r="H616" s="6" t="str">
        <f t="shared" si="20"/>
        <v/>
      </c>
      <c r="I6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6" s="2" t="str">
        <f>IFERROR(IF('PREENCHER AQUI'!E616="","",'PREENCHER AQUI'!E616),"")</f>
        <v/>
      </c>
      <c r="K616" s="2" t="str">
        <f>IFERROR(IF('PREENCHER AQUI'!F616="","",'PREENCHER AQUI'!F616),"")</f>
        <v/>
      </c>
      <c r="L616" s="2" t="str">
        <f>IF(Tabela1[[#This Row],[IPU_COD]]=9,"91",IF(Tabela1[[#This Row],[ACAO_COD]]="","",VLOOKUP(CONCATENATE("G",J616,"M",K616),qdd!$BC$2:$BD$46,2,FALSE)))</f>
        <v/>
      </c>
      <c r="M616" s="2" t="str">
        <f>TEXT(IFERROR(VLOOKUP(CONCATENATE(C616,D616),qdd!$C$2:$G$1000,5,FALSE),""),0)</f>
        <v/>
      </c>
      <c r="N616" s="2" t="str">
        <f>IFERROR(IF('PREENCHER AQUI'!I616="","",'PREENCHER AQUI'!I616),"")</f>
        <v/>
      </c>
      <c r="O616" s="2" t="str">
        <f>IFERROR(IF('PREENCHER AQUI'!J616="","",'PREENCHER AQUI'!J616),"")</f>
        <v/>
      </c>
      <c r="P616" s="7" t="str">
        <f t="shared" si="21"/>
        <v/>
      </c>
      <c r="Q616" s="8" t="str">
        <f>IFERROR(IF(Tabela4[[#This Row],[VALOR]]="","",IF(Tabela1[[#This Row],[ORIENTACAO]]="Anular",'PREENCHER AQUI'!K616*-1*100,'PREENCHER AQUI'!K616*100)),"")</f>
        <v/>
      </c>
      <c r="T616" s="7" t="str">
        <f>IFERROR(IF('PREENCHER AQUI'!L616="","999",LEFT('PREENCHER AQUI'!L616,1)),"")</f>
        <v>999</v>
      </c>
      <c r="V616" s="19"/>
      <c r="W616" s="1" t="str">
        <f>IFERROR(VLOOKUP(Tabela1[[#This Row],[UO_COD]],qdd!$AT$1:$AU$102,2,FALSE),"")</f>
        <v/>
      </c>
      <c r="X616" s="1" t="str">
        <f>CONCATENATE("F",Tabela1[[#This Row],[FONTE_COD]],Tabela1[[#This Row],[IPU_COD]],"G",Tabela1[[#This Row],[GRUPO_COD]],"T",Tabela1[[#This Row],[TIPO]])</f>
        <v>FGT999</v>
      </c>
      <c r="Y6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6" s="19"/>
      <c r="AA616" s="29" t="str">
        <f>IFERROR(VLOOKUP(CONCATENATE("B",Tabela1[[#This Row],[BLOCO]],Tabela1[[#This Row],[UO_COD]]),qdd!$AW$2:$AX$1000,2,FALSE),"")</f>
        <v/>
      </c>
      <c r="AB616" s="30" t="str">
        <f>IFERROR(Tabela1[[#This Row],[VALOR]]/100,"")</f>
        <v/>
      </c>
      <c r="AC616" s="7" t="str" cm="1">
        <f t="array" aca="1" ref="AC616" ca="1">IF(Tabela1[[#This Row],[VALOR]]&lt;0,"",IFERROR(SUBSTITUTE(Converter_numero(Tabela1[[#This Row],[VALOR INCISO]]),",",""),""))</f>
        <v/>
      </c>
      <c r="AD616" s="29" t="str">
        <f>IF(Tabela1[[#This Row],[TIPO]]=REGRAS!$W$2,REGRAS!$X$2,IF(Tabela1[[#This Row],[TIPO]]=REGRAS!$W$4,REGRAS!$X$4,""))</f>
        <v/>
      </c>
      <c r="AE616" s="29" t="e">
        <f>VLOOKUP(Tabela1[[#This Row],[FONTE_COD]],REGRAS!$O$2:$P$69,2,FALSE)</f>
        <v>#N/A</v>
      </c>
      <c r="AF6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7" spans="1:32" ht="18.75" customHeight="1">
      <c r="A617" s="2" t="str">
        <f>IFERROR(IF('PREENCHER AQUI'!A617="","",'PREENCHER AQUI'!A617),"")</f>
        <v/>
      </c>
      <c r="B617" s="1" t="str">
        <f>IFERROR(IF('PREENCHER AQUI'!B617="","",PROPER('PREENCHER AQUI'!B617)),"")</f>
        <v/>
      </c>
      <c r="C617" s="1" t="str">
        <f>IFERROR(IF('PREENCHER AQUI'!C617="","",'PREENCHER AQUI'!C617),"")</f>
        <v/>
      </c>
      <c r="D617" s="2" t="str">
        <f>IFERROR(IF('PREENCHER AQUI'!D617="","",'PREENCHER AQUI'!D617),"")</f>
        <v/>
      </c>
      <c r="E617" s="2" t="str">
        <f>IFERROR(VLOOKUP(CONCATENATE(C617,D617),qdd!$C$2:$F$1000,2,FALSE),"")</f>
        <v/>
      </c>
      <c r="F617" s="2" t="str">
        <f>IFERROR(VLOOKUP(CONCATENATE(C617,D617),qdd!$C$2:$F$1000,3,FALSE),"")</f>
        <v/>
      </c>
      <c r="G617" s="2" t="str">
        <f>IFERROR(VLOOKUP(CONCATENATE(C617,D617),qdd!$C$2:$F$1000,4,FALSE),"")</f>
        <v/>
      </c>
      <c r="H617" s="6" t="str">
        <f t="shared" si="20"/>
        <v/>
      </c>
      <c r="I6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7" s="2" t="str">
        <f>IFERROR(IF('PREENCHER AQUI'!E617="","",'PREENCHER AQUI'!E617),"")</f>
        <v/>
      </c>
      <c r="K617" s="2" t="str">
        <f>IFERROR(IF('PREENCHER AQUI'!F617="","",'PREENCHER AQUI'!F617),"")</f>
        <v/>
      </c>
      <c r="L617" s="2" t="str">
        <f>IF(Tabela1[[#This Row],[IPU_COD]]=9,"91",IF(Tabela1[[#This Row],[ACAO_COD]]="","",VLOOKUP(CONCATENATE("G",J617,"M",K617),qdd!$BC$2:$BD$46,2,FALSE)))</f>
        <v/>
      </c>
      <c r="M617" s="2" t="str">
        <f>TEXT(IFERROR(VLOOKUP(CONCATENATE(C617,D617),qdd!$C$2:$G$1000,5,FALSE),""),0)</f>
        <v/>
      </c>
      <c r="N617" s="2" t="str">
        <f>IFERROR(IF('PREENCHER AQUI'!I617="","",'PREENCHER AQUI'!I617),"")</f>
        <v/>
      </c>
      <c r="O617" s="2" t="str">
        <f>IFERROR(IF('PREENCHER AQUI'!J617="","",'PREENCHER AQUI'!J617),"")</f>
        <v/>
      </c>
      <c r="P617" s="7" t="str">
        <f t="shared" si="21"/>
        <v/>
      </c>
      <c r="Q617" s="8" t="str">
        <f>IFERROR(IF(Tabela4[[#This Row],[VALOR]]="","",IF(Tabela1[[#This Row],[ORIENTACAO]]="Anular",'PREENCHER AQUI'!K617*-1*100,'PREENCHER AQUI'!K617*100)),"")</f>
        <v/>
      </c>
      <c r="T617" s="7" t="str">
        <f>IFERROR(IF('PREENCHER AQUI'!L617="","999",LEFT('PREENCHER AQUI'!L617,1)),"")</f>
        <v>999</v>
      </c>
      <c r="W617" s="1" t="str">
        <f>IFERROR(VLOOKUP(Tabela1[[#This Row],[UO_COD]],qdd!$AT$1:$AU$102,2,FALSE),"")</f>
        <v/>
      </c>
      <c r="X617" s="1" t="str">
        <f>CONCATENATE("F",Tabela1[[#This Row],[FONTE_COD]],Tabela1[[#This Row],[IPU_COD]],"G",Tabela1[[#This Row],[GRUPO_COD]],"T",Tabela1[[#This Row],[TIPO]])</f>
        <v>FGT999</v>
      </c>
      <c r="Y6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7" s="19"/>
      <c r="AA617" s="29" t="str">
        <f>IFERROR(VLOOKUP(CONCATENATE("B",Tabela1[[#This Row],[BLOCO]],Tabela1[[#This Row],[UO_COD]]),qdd!$AW$2:$AX$1000,2,FALSE),"")</f>
        <v/>
      </c>
      <c r="AB617" s="30" t="str">
        <f>IFERROR(Tabela1[[#This Row],[VALOR]]/100,"")</f>
        <v/>
      </c>
      <c r="AC617" s="7" t="str" cm="1">
        <f t="array" aca="1" ref="AC617" ca="1">IF(Tabela1[[#This Row],[VALOR]]&lt;0,"",IFERROR(SUBSTITUTE(Converter_numero(Tabela1[[#This Row],[VALOR INCISO]]),",",""),""))</f>
        <v/>
      </c>
      <c r="AD617" s="7" t="str">
        <f>IF(Tabela1[[#This Row],[TIPO]]=REGRAS!$W$2,REGRAS!$X$2,IF(Tabela1[[#This Row],[TIPO]]=REGRAS!$W$4,REGRAS!$X$4,""))</f>
        <v/>
      </c>
      <c r="AE617" s="29" t="e">
        <f>VLOOKUP(Tabela1[[#This Row],[FONTE_COD]],REGRAS!$O$2:$P$69,2,FALSE)</f>
        <v>#N/A</v>
      </c>
      <c r="AF6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8" spans="1:32" ht="18.75" customHeight="1">
      <c r="A618" s="2" t="str">
        <f>IFERROR(IF('PREENCHER AQUI'!A618="","",'PREENCHER AQUI'!A618),"")</f>
        <v/>
      </c>
      <c r="B618" s="1" t="str">
        <f>IFERROR(IF('PREENCHER AQUI'!B618="","",PROPER('PREENCHER AQUI'!B618)),"")</f>
        <v/>
      </c>
      <c r="C618" s="1" t="str">
        <f>IFERROR(IF('PREENCHER AQUI'!C618="","",'PREENCHER AQUI'!C618),"")</f>
        <v/>
      </c>
      <c r="D618" s="2" t="str">
        <f>IFERROR(IF('PREENCHER AQUI'!D618="","",'PREENCHER AQUI'!D618),"")</f>
        <v/>
      </c>
      <c r="E618" s="2" t="str">
        <f>IFERROR(VLOOKUP(CONCATENATE(C618,D618),qdd!$C$2:$F$1000,2,FALSE),"")</f>
        <v/>
      </c>
      <c r="F618" s="2" t="str">
        <f>IFERROR(VLOOKUP(CONCATENATE(C618,D618),qdd!$C$2:$F$1000,3,FALSE),"")</f>
        <v/>
      </c>
      <c r="G618" s="2" t="str">
        <f>IFERROR(VLOOKUP(CONCATENATE(C618,D618),qdd!$C$2:$F$1000,4,FALSE),"")</f>
        <v/>
      </c>
      <c r="H618" s="6" t="str">
        <f t="shared" si="20"/>
        <v/>
      </c>
      <c r="I6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8" s="2" t="str">
        <f>IFERROR(IF('PREENCHER AQUI'!E618="","",'PREENCHER AQUI'!E618),"")</f>
        <v/>
      </c>
      <c r="K618" s="2" t="str">
        <f>IFERROR(IF('PREENCHER AQUI'!F618="","",'PREENCHER AQUI'!F618),"")</f>
        <v/>
      </c>
      <c r="L618" s="2" t="str">
        <f>IF(Tabela1[[#This Row],[IPU_COD]]=9,"91",IF(Tabela1[[#This Row],[ACAO_COD]]="","",VLOOKUP(CONCATENATE("G",J618,"M",K618),qdd!$BC$2:$BD$46,2,FALSE)))</f>
        <v/>
      </c>
      <c r="M618" s="2" t="str">
        <f>TEXT(IFERROR(VLOOKUP(CONCATENATE(C618,D618),qdd!$C$2:$G$1000,5,FALSE),""),0)</f>
        <v/>
      </c>
      <c r="N618" s="2" t="str">
        <f>IFERROR(IF('PREENCHER AQUI'!I618="","",'PREENCHER AQUI'!I618),"")</f>
        <v/>
      </c>
      <c r="O618" s="2" t="str">
        <f>IFERROR(IF('PREENCHER AQUI'!J618="","",'PREENCHER AQUI'!J618),"")</f>
        <v/>
      </c>
      <c r="P618" s="7" t="str">
        <f t="shared" si="21"/>
        <v/>
      </c>
      <c r="Q618" s="8" t="str">
        <f>IFERROR(IF(Tabela4[[#This Row],[VALOR]]="","",IF(Tabela1[[#This Row],[ORIENTACAO]]="Anular",'PREENCHER AQUI'!K618*-1*100,'PREENCHER AQUI'!K618*100)),"")</f>
        <v/>
      </c>
      <c r="T618" s="7" t="str">
        <f>IFERROR(IF('PREENCHER AQUI'!L618="","999",LEFT('PREENCHER AQUI'!L618,1)),"")</f>
        <v>999</v>
      </c>
      <c r="V618" s="19"/>
      <c r="W618" s="1" t="str">
        <f>IFERROR(VLOOKUP(Tabela1[[#This Row],[UO_COD]],qdd!$AT$1:$AU$102,2,FALSE),"")</f>
        <v/>
      </c>
      <c r="X618" s="1" t="str">
        <f>CONCATENATE("F",Tabela1[[#This Row],[FONTE_COD]],Tabela1[[#This Row],[IPU_COD]],"G",Tabela1[[#This Row],[GRUPO_COD]],"T",Tabela1[[#This Row],[TIPO]])</f>
        <v>FGT999</v>
      </c>
      <c r="Y6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8" s="19"/>
      <c r="AA618" s="29" t="str">
        <f>IFERROR(VLOOKUP(CONCATENATE("B",Tabela1[[#This Row],[BLOCO]],Tabela1[[#This Row],[UO_COD]]),qdd!$AW$2:$AX$1000,2,FALSE),"")</f>
        <v/>
      </c>
      <c r="AB618" s="30" t="str">
        <f>IFERROR(Tabela1[[#This Row],[VALOR]]/100,"")</f>
        <v/>
      </c>
      <c r="AC618" s="7" t="str" cm="1">
        <f t="array" aca="1" ref="AC618" ca="1">IF(Tabela1[[#This Row],[VALOR]]&lt;0,"",IFERROR(SUBSTITUTE(Converter_numero(Tabela1[[#This Row],[VALOR INCISO]]),",",""),""))</f>
        <v/>
      </c>
      <c r="AD618" s="29" t="str">
        <f>IF(Tabela1[[#This Row],[TIPO]]=REGRAS!$W$2,REGRAS!$X$2,IF(Tabela1[[#This Row],[TIPO]]=REGRAS!$W$4,REGRAS!$X$4,""))</f>
        <v/>
      </c>
      <c r="AE618" s="29" t="e">
        <f>VLOOKUP(Tabela1[[#This Row],[FONTE_COD]],REGRAS!$O$2:$P$69,2,FALSE)</f>
        <v>#N/A</v>
      </c>
      <c r="AF6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9" spans="1:32" ht="18.75" customHeight="1">
      <c r="A619" s="2" t="str">
        <f>IFERROR(IF('PREENCHER AQUI'!A619="","",'PREENCHER AQUI'!A619),"")</f>
        <v/>
      </c>
      <c r="B619" s="1" t="str">
        <f>IFERROR(IF('PREENCHER AQUI'!B619="","",PROPER('PREENCHER AQUI'!B619)),"")</f>
        <v/>
      </c>
      <c r="C619" s="1" t="str">
        <f>IFERROR(IF('PREENCHER AQUI'!C619="","",'PREENCHER AQUI'!C619),"")</f>
        <v/>
      </c>
      <c r="D619" s="2" t="str">
        <f>IFERROR(IF('PREENCHER AQUI'!D619="","",'PREENCHER AQUI'!D619),"")</f>
        <v/>
      </c>
      <c r="E619" s="2" t="str">
        <f>IFERROR(VLOOKUP(CONCATENATE(C619,D619),qdd!$C$2:$F$1000,2,FALSE),"")</f>
        <v/>
      </c>
      <c r="F619" s="2" t="str">
        <f>IFERROR(VLOOKUP(CONCATENATE(C619,D619),qdd!$C$2:$F$1000,3,FALSE),"")</f>
        <v/>
      </c>
      <c r="G619" s="2" t="str">
        <f>IFERROR(VLOOKUP(CONCATENATE(C619,D619),qdd!$C$2:$F$1000,4,FALSE),"")</f>
        <v/>
      </c>
      <c r="H619" s="6" t="str">
        <f t="shared" si="20"/>
        <v/>
      </c>
      <c r="I6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9" s="2" t="str">
        <f>IFERROR(IF('PREENCHER AQUI'!E619="","",'PREENCHER AQUI'!E619),"")</f>
        <v/>
      </c>
      <c r="K619" s="2" t="str">
        <f>IFERROR(IF('PREENCHER AQUI'!F619="","",'PREENCHER AQUI'!F619),"")</f>
        <v/>
      </c>
      <c r="L619" s="2" t="str">
        <f>IF(Tabela1[[#This Row],[IPU_COD]]=9,"91",IF(Tabela1[[#This Row],[ACAO_COD]]="","",VLOOKUP(CONCATENATE("G",J619,"M",K619),qdd!$BC$2:$BD$46,2,FALSE)))</f>
        <v/>
      </c>
      <c r="M619" s="2" t="str">
        <f>TEXT(IFERROR(VLOOKUP(CONCATENATE(C619,D619),qdd!$C$2:$G$1000,5,FALSE),""),0)</f>
        <v/>
      </c>
      <c r="N619" s="2" t="str">
        <f>IFERROR(IF('PREENCHER AQUI'!I619="","",'PREENCHER AQUI'!I619),"")</f>
        <v/>
      </c>
      <c r="O619" s="2" t="str">
        <f>IFERROR(IF('PREENCHER AQUI'!J619="","",'PREENCHER AQUI'!J619),"")</f>
        <v/>
      </c>
      <c r="P619" s="7" t="str">
        <f t="shared" si="21"/>
        <v/>
      </c>
      <c r="Q619" s="8" t="str">
        <f>IFERROR(IF(Tabela4[[#This Row],[VALOR]]="","",IF(Tabela1[[#This Row],[ORIENTACAO]]="Anular",'PREENCHER AQUI'!K619*-1*100,'PREENCHER AQUI'!K619*100)),"")</f>
        <v/>
      </c>
      <c r="T619" s="7" t="str">
        <f>IFERROR(IF('PREENCHER AQUI'!L619="","999",LEFT('PREENCHER AQUI'!L619,1)),"")</f>
        <v>999</v>
      </c>
      <c r="V619" s="19"/>
      <c r="W619" s="1" t="str">
        <f>IFERROR(VLOOKUP(Tabela1[[#This Row],[UO_COD]],qdd!$AT$1:$AU$102,2,FALSE),"")</f>
        <v/>
      </c>
      <c r="X619" s="1" t="str">
        <f>CONCATENATE("F",Tabela1[[#This Row],[FONTE_COD]],Tabela1[[#This Row],[IPU_COD]],"G",Tabela1[[#This Row],[GRUPO_COD]],"T",Tabela1[[#This Row],[TIPO]])</f>
        <v>FGT999</v>
      </c>
      <c r="Y6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9" s="19"/>
      <c r="AA619" s="29" t="str">
        <f>IFERROR(VLOOKUP(CONCATENATE("B",Tabela1[[#This Row],[BLOCO]],Tabela1[[#This Row],[UO_COD]]),qdd!$AW$2:$AX$1000,2,FALSE),"")</f>
        <v/>
      </c>
      <c r="AB619" s="30" t="str">
        <f>IFERROR(Tabela1[[#This Row],[VALOR]]/100,"")</f>
        <v/>
      </c>
      <c r="AC619" s="7" t="str" cm="1">
        <f t="array" aca="1" ref="AC619" ca="1">IF(Tabela1[[#This Row],[VALOR]]&lt;0,"",IFERROR(SUBSTITUTE(Converter_numero(Tabela1[[#This Row],[VALOR INCISO]]),",",""),""))</f>
        <v/>
      </c>
      <c r="AD619" s="29" t="str">
        <f>IF(Tabela1[[#This Row],[TIPO]]=REGRAS!$W$2,REGRAS!$X$2,IF(Tabela1[[#This Row],[TIPO]]=REGRAS!$W$4,REGRAS!$X$4,""))</f>
        <v/>
      </c>
      <c r="AE619" s="29" t="e">
        <f>VLOOKUP(Tabela1[[#This Row],[FONTE_COD]],REGRAS!$O$2:$P$69,2,FALSE)</f>
        <v>#N/A</v>
      </c>
      <c r="AF6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0" spans="1:32" ht="18.75" customHeight="1">
      <c r="A620" s="2" t="str">
        <f>IFERROR(IF('PREENCHER AQUI'!A620="","",'PREENCHER AQUI'!A620),"")</f>
        <v/>
      </c>
      <c r="B620" s="1" t="str">
        <f>IFERROR(IF('PREENCHER AQUI'!B620="","",PROPER('PREENCHER AQUI'!B620)),"")</f>
        <v/>
      </c>
      <c r="C620" s="1" t="str">
        <f>IFERROR(IF('PREENCHER AQUI'!C620="","",'PREENCHER AQUI'!C620),"")</f>
        <v/>
      </c>
      <c r="D620" s="2" t="str">
        <f>IFERROR(IF('PREENCHER AQUI'!D620="","",'PREENCHER AQUI'!D620),"")</f>
        <v/>
      </c>
      <c r="E620" s="2" t="str">
        <f>IFERROR(VLOOKUP(CONCATENATE(C620,D620),qdd!$C$2:$F$1000,2,FALSE),"")</f>
        <v/>
      </c>
      <c r="F620" s="2" t="str">
        <f>IFERROR(VLOOKUP(CONCATENATE(C620,D620),qdd!$C$2:$F$1000,3,FALSE),"")</f>
        <v/>
      </c>
      <c r="G620" s="2" t="str">
        <f>IFERROR(VLOOKUP(CONCATENATE(C620,D620),qdd!$C$2:$F$1000,4,FALSE),"")</f>
        <v/>
      </c>
      <c r="H620" s="6" t="str">
        <f t="shared" si="20"/>
        <v/>
      </c>
      <c r="I6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0" s="2" t="str">
        <f>IFERROR(IF('PREENCHER AQUI'!E620="","",'PREENCHER AQUI'!E620),"")</f>
        <v/>
      </c>
      <c r="K620" s="2" t="str">
        <f>IFERROR(IF('PREENCHER AQUI'!F620="","",'PREENCHER AQUI'!F620),"")</f>
        <v/>
      </c>
      <c r="L620" s="2" t="str">
        <f>IF(Tabela1[[#This Row],[IPU_COD]]=9,"91",IF(Tabela1[[#This Row],[ACAO_COD]]="","",VLOOKUP(CONCATENATE("G",J620,"M",K620),qdd!$BC$2:$BD$46,2,FALSE)))</f>
        <v/>
      </c>
      <c r="M620" s="2" t="str">
        <f>TEXT(IFERROR(VLOOKUP(CONCATENATE(C620,D620),qdd!$C$2:$G$1000,5,FALSE),""),0)</f>
        <v/>
      </c>
      <c r="N620" s="2" t="str">
        <f>IFERROR(IF('PREENCHER AQUI'!I620="","",'PREENCHER AQUI'!I620),"")</f>
        <v/>
      </c>
      <c r="O620" s="2" t="str">
        <f>IFERROR(IF('PREENCHER AQUI'!J620="","",'PREENCHER AQUI'!J620),"")</f>
        <v/>
      </c>
      <c r="P620" s="7" t="str">
        <f t="shared" si="21"/>
        <v/>
      </c>
      <c r="Q620" s="8" t="str">
        <f>IFERROR(IF(Tabela4[[#This Row],[VALOR]]="","",IF(Tabela1[[#This Row],[ORIENTACAO]]="Anular",'PREENCHER AQUI'!K620*-1*100,'PREENCHER AQUI'!K620*100)),"")</f>
        <v/>
      </c>
      <c r="T620" s="7" t="str">
        <f>IFERROR(IF('PREENCHER AQUI'!L620="","999",LEFT('PREENCHER AQUI'!L620,1)),"")</f>
        <v>999</v>
      </c>
      <c r="V620" s="19"/>
      <c r="W620" s="20" t="str">
        <f>IFERROR(VLOOKUP(Tabela1[[#This Row],[UO_COD]],qdd!$AT$1:$AU$102,2,FALSE),"")</f>
        <v/>
      </c>
      <c r="X620" s="20" t="str">
        <f>CONCATENATE("F",Tabela1[[#This Row],[FONTE_COD]],Tabela1[[#This Row],[IPU_COD]],"G",Tabela1[[#This Row],[GRUPO_COD]],"T",Tabela1[[#This Row],[TIPO]])</f>
        <v>FGT999</v>
      </c>
      <c r="Y6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0" s="19"/>
      <c r="AA620" s="29" t="str">
        <f>IFERROR(VLOOKUP(CONCATENATE("B",Tabela1[[#This Row],[BLOCO]],Tabela1[[#This Row],[UO_COD]]),qdd!$AW$2:$AX$1000,2,FALSE),"")</f>
        <v/>
      </c>
      <c r="AB620" s="30" t="str">
        <f>IFERROR(Tabela1[[#This Row],[VALOR]]/100,"")</f>
        <v/>
      </c>
      <c r="AC620" s="7" t="str" cm="1">
        <f t="array" aca="1" ref="AC620" ca="1">IF(Tabela1[[#This Row],[VALOR]]&lt;0,"",IFERROR(SUBSTITUTE(Converter_numero(Tabela1[[#This Row],[VALOR INCISO]]),",",""),""))</f>
        <v/>
      </c>
      <c r="AD620" s="29" t="str">
        <f>IF(Tabela1[[#This Row],[TIPO]]=REGRAS!$W$2,REGRAS!$X$2,IF(Tabela1[[#This Row],[TIPO]]=REGRAS!$W$4,REGRAS!$X$4,""))</f>
        <v/>
      </c>
      <c r="AE620" s="29" t="e">
        <f>VLOOKUP(Tabela1[[#This Row],[FONTE_COD]],REGRAS!$O$2:$P$69,2,FALSE)</f>
        <v>#N/A</v>
      </c>
      <c r="AF6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1" spans="1:32" ht="18.75" customHeight="1">
      <c r="A621" s="2" t="str">
        <f>IFERROR(IF('PREENCHER AQUI'!A621="","",'PREENCHER AQUI'!A621),"")</f>
        <v/>
      </c>
      <c r="B621" s="1" t="str">
        <f>IFERROR(IF('PREENCHER AQUI'!B621="","",PROPER('PREENCHER AQUI'!B621)),"")</f>
        <v/>
      </c>
      <c r="C621" s="1" t="str">
        <f>IFERROR(IF('PREENCHER AQUI'!C621="","",'PREENCHER AQUI'!C621),"")</f>
        <v/>
      </c>
      <c r="D621" s="2" t="str">
        <f>IFERROR(IF('PREENCHER AQUI'!D621="","",'PREENCHER AQUI'!D621),"")</f>
        <v/>
      </c>
      <c r="E621" s="2" t="str">
        <f>IFERROR(VLOOKUP(CONCATENATE(C621,D621),qdd!$C$2:$F$1000,2,FALSE),"")</f>
        <v/>
      </c>
      <c r="F621" s="2" t="str">
        <f>IFERROR(VLOOKUP(CONCATENATE(C621,D621),qdd!$C$2:$F$1000,3,FALSE),"")</f>
        <v/>
      </c>
      <c r="G621" s="2" t="str">
        <f>IFERROR(VLOOKUP(CONCATENATE(C621,D621),qdd!$C$2:$F$1000,4,FALSE),"")</f>
        <v/>
      </c>
      <c r="H621" s="6" t="str">
        <f t="shared" si="20"/>
        <v/>
      </c>
      <c r="I6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1" s="2" t="str">
        <f>IFERROR(IF('PREENCHER AQUI'!E621="","",'PREENCHER AQUI'!E621),"")</f>
        <v/>
      </c>
      <c r="K621" s="2" t="str">
        <f>IFERROR(IF('PREENCHER AQUI'!F621="","",'PREENCHER AQUI'!F621),"")</f>
        <v/>
      </c>
      <c r="L621" s="2" t="str">
        <f>IF(Tabela1[[#This Row],[IPU_COD]]=9,"91",IF(Tabela1[[#This Row],[ACAO_COD]]="","",VLOOKUP(CONCATENATE("G",J621,"M",K621),qdd!$BC$2:$BD$46,2,FALSE)))</f>
        <v/>
      </c>
      <c r="M621" s="2" t="str">
        <f>TEXT(IFERROR(VLOOKUP(CONCATENATE(C621,D621),qdd!$C$2:$G$1000,5,FALSE),""),0)</f>
        <v/>
      </c>
      <c r="N621" s="2" t="str">
        <f>IFERROR(IF('PREENCHER AQUI'!I621="","",'PREENCHER AQUI'!I621),"")</f>
        <v/>
      </c>
      <c r="O621" s="2" t="str">
        <f>IFERROR(IF('PREENCHER AQUI'!J621="","",'PREENCHER AQUI'!J621),"")</f>
        <v/>
      </c>
      <c r="P621" s="7" t="str">
        <f t="shared" si="21"/>
        <v/>
      </c>
      <c r="Q621" s="8" t="str">
        <f>IFERROR(IF(Tabela4[[#This Row],[VALOR]]="","",IF(Tabela1[[#This Row],[ORIENTACAO]]="Anular",'PREENCHER AQUI'!K621*-1*100,'PREENCHER AQUI'!K621*100)),"")</f>
        <v/>
      </c>
      <c r="T621" s="7" t="str">
        <f>IFERROR(IF('PREENCHER AQUI'!L621="","999",LEFT('PREENCHER AQUI'!L621,1)),"")</f>
        <v>999</v>
      </c>
      <c r="V621" s="19"/>
      <c r="W621" s="1" t="str">
        <f>IFERROR(VLOOKUP(Tabela1[[#This Row],[UO_COD]],qdd!$AT$1:$AU$102,2,FALSE),"")</f>
        <v/>
      </c>
      <c r="X621" s="1" t="str">
        <f>CONCATENATE("F",Tabela1[[#This Row],[FONTE_COD]],Tabela1[[#This Row],[IPU_COD]],"G",Tabela1[[#This Row],[GRUPO_COD]],"T",Tabela1[[#This Row],[TIPO]])</f>
        <v>FGT999</v>
      </c>
      <c r="Y6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1" s="19"/>
      <c r="AA621" s="29" t="str">
        <f>IFERROR(VLOOKUP(CONCATENATE("B",Tabela1[[#This Row],[BLOCO]],Tabela1[[#This Row],[UO_COD]]),qdd!$AW$2:$AX$1000,2,FALSE),"")</f>
        <v/>
      </c>
      <c r="AB621" s="30" t="str">
        <f>IFERROR(Tabela1[[#This Row],[VALOR]]/100,"")</f>
        <v/>
      </c>
      <c r="AC621" s="7" t="str" cm="1">
        <f t="array" aca="1" ref="AC621" ca="1">IF(Tabela1[[#This Row],[VALOR]]&lt;0,"",IFERROR(SUBSTITUTE(Converter_numero(Tabela1[[#This Row],[VALOR INCISO]]),",",""),""))</f>
        <v/>
      </c>
      <c r="AD621" s="29" t="str">
        <f>IF(Tabela1[[#This Row],[TIPO]]=REGRAS!$W$2,REGRAS!$X$2,IF(Tabela1[[#This Row],[TIPO]]=REGRAS!$W$4,REGRAS!$X$4,""))</f>
        <v/>
      </c>
      <c r="AE621" s="29" t="e">
        <f>VLOOKUP(Tabela1[[#This Row],[FONTE_COD]],REGRAS!$O$2:$P$69,2,FALSE)</f>
        <v>#N/A</v>
      </c>
      <c r="AF6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2" spans="1:32" ht="18.75" customHeight="1">
      <c r="A622" s="2" t="str">
        <f>IFERROR(IF('PREENCHER AQUI'!A622="","",'PREENCHER AQUI'!A622),"")</f>
        <v/>
      </c>
      <c r="B622" s="1" t="str">
        <f>IFERROR(IF('PREENCHER AQUI'!B622="","",PROPER('PREENCHER AQUI'!B622)),"")</f>
        <v/>
      </c>
      <c r="C622" s="1" t="str">
        <f>IFERROR(IF('PREENCHER AQUI'!C622="","",'PREENCHER AQUI'!C622),"")</f>
        <v/>
      </c>
      <c r="D622" s="2" t="str">
        <f>IFERROR(IF('PREENCHER AQUI'!D622="","",'PREENCHER AQUI'!D622),"")</f>
        <v/>
      </c>
      <c r="E622" s="2" t="str">
        <f>IFERROR(VLOOKUP(CONCATENATE(C622,D622),qdd!$C$2:$F$1000,2,FALSE),"")</f>
        <v/>
      </c>
      <c r="F622" s="2" t="str">
        <f>IFERROR(VLOOKUP(CONCATENATE(C622,D622),qdd!$C$2:$F$1000,3,FALSE),"")</f>
        <v/>
      </c>
      <c r="G622" s="2" t="str">
        <f>IFERROR(VLOOKUP(CONCATENATE(C622,D622),qdd!$C$2:$F$1000,4,FALSE),"")</f>
        <v/>
      </c>
      <c r="H622" s="6" t="str">
        <f t="shared" si="20"/>
        <v/>
      </c>
      <c r="I6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2" s="2" t="str">
        <f>IFERROR(IF('PREENCHER AQUI'!E622="","",'PREENCHER AQUI'!E622),"")</f>
        <v/>
      </c>
      <c r="K622" s="2" t="str">
        <f>IFERROR(IF('PREENCHER AQUI'!F622="","",'PREENCHER AQUI'!F622),"")</f>
        <v/>
      </c>
      <c r="L622" s="2" t="str">
        <f>IF(Tabela1[[#This Row],[IPU_COD]]=9,"91",IF(Tabela1[[#This Row],[ACAO_COD]]="","",VLOOKUP(CONCATENATE("G",J622,"M",K622),qdd!$BC$2:$BD$46,2,FALSE)))</f>
        <v/>
      </c>
      <c r="M622" s="2" t="str">
        <f>TEXT(IFERROR(VLOOKUP(CONCATENATE(C622,D622),qdd!$C$2:$G$1000,5,FALSE),""),0)</f>
        <v/>
      </c>
      <c r="N622" s="2" t="str">
        <f>IFERROR(IF('PREENCHER AQUI'!I622="","",'PREENCHER AQUI'!I622),"")</f>
        <v/>
      </c>
      <c r="O622" s="2" t="str">
        <f>IFERROR(IF('PREENCHER AQUI'!J622="","",'PREENCHER AQUI'!J622),"")</f>
        <v/>
      </c>
      <c r="P622" s="7" t="str">
        <f t="shared" si="21"/>
        <v/>
      </c>
      <c r="Q622" s="8" t="str">
        <f>IFERROR(IF(Tabela4[[#This Row],[VALOR]]="","",IF(Tabela1[[#This Row],[ORIENTACAO]]="Anular",'PREENCHER AQUI'!K622*-1*100,'PREENCHER AQUI'!K622*100)),"")</f>
        <v/>
      </c>
      <c r="T622" s="7" t="str">
        <f>IFERROR(IF('PREENCHER AQUI'!L622="","999",LEFT('PREENCHER AQUI'!L622,1)),"")</f>
        <v>999</v>
      </c>
      <c r="W622" s="1" t="str">
        <f>IFERROR(VLOOKUP(Tabela1[[#This Row],[UO_COD]],qdd!$AT$1:$AU$102,2,FALSE),"")</f>
        <v/>
      </c>
      <c r="X622" s="1" t="str">
        <f>CONCATENATE("F",Tabela1[[#This Row],[FONTE_COD]],Tabela1[[#This Row],[IPU_COD]],"G",Tabela1[[#This Row],[GRUPO_COD]],"T",Tabela1[[#This Row],[TIPO]])</f>
        <v>FGT999</v>
      </c>
      <c r="Y6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2" s="19"/>
      <c r="AA622" s="29" t="str">
        <f>IFERROR(VLOOKUP(CONCATENATE("B",Tabela1[[#This Row],[BLOCO]],Tabela1[[#This Row],[UO_COD]]),qdd!$AW$2:$AX$1000,2,FALSE),"")</f>
        <v/>
      </c>
      <c r="AB622" s="30" t="str">
        <f>IFERROR(Tabela1[[#This Row],[VALOR]]/100,"")</f>
        <v/>
      </c>
      <c r="AC622" s="7" t="str" cm="1">
        <f t="array" aca="1" ref="AC622" ca="1">IF(Tabela1[[#This Row],[VALOR]]&lt;0,"",IFERROR(SUBSTITUTE(Converter_numero(Tabela1[[#This Row],[VALOR INCISO]]),",",""),""))</f>
        <v/>
      </c>
      <c r="AD622" s="7" t="str">
        <f>IF(Tabela1[[#This Row],[TIPO]]=REGRAS!$W$2,REGRAS!$X$2,IF(Tabela1[[#This Row],[TIPO]]=REGRAS!$W$4,REGRAS!$X$4,""))</f>
        <v/>
      </c>
      <c r="AE622" s="29" t="e">
        <f>VLOOKUP(Tabela1[[#This Row],[FONTE_COD]],REGRAS!$O$2:$P$69,2,FALSE)</f>
        <v>#N/A</v>
      </c>
      <c r="AF6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3" spans="1:32" ht="18.75" customHeight="1">
      <c r="A623" s="2" t="str">
        <f>IFERROR(IF('PREENCHER AQUI'!A623="","",'PREENCHER AQUI'!A623),"")</f>
        <v/>
      </c>
      <c r="B623" s="1" t="str">
        <f>IFERROR(IF('PREENCHER AQUI'!B623="","",PROPER('PREENCHER AQUI'!B623)),"")</f>
        <v/>
      </c>
      <c r="C623" s="1" t="str">
        <f>IFERROR(IF('PREENCHER AQUI'!C623="","",'PREENCHER AQUI'!C623),"")</f>
        <v/>
      </c>
      <c r="D623" s="2" t="str">
        <f>IFERROR(IF('PREENCHER AQUI'!D623="","",'PREENCHER AQUI'!D623),"")</f>
        <v/>
      </c>
      <c r="E623" s="2" t="str">
        <f>IFERROR(VLOOKUP(CONCATENATE(C623,D623),qdd!$C$2:$F$1000,2,FALSE),"")</f>
        <v/>
      </c>
      <c r="F623" s="2" t="str">
        <f>IFERROR(VLOOKUP(CONCATENATE(C623,D623),qdd!$C$2:$F$1000,3,FALSE),"")</f>
        <v/>
      </c>
      <c r="G623" s="2" t="str">
        <f>IFERROR(VLOOKUP(CONCATENATE(C623,D623),qdd!$C$2:$F$1000,4,FALSE),"")</f>
        <v/>
      </c>
      <c r="H623" s="6" t="str">
        <f t="shared" si="20"/>
        <v/>
      </c>
      <c r="I6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3" s="2" t="str">
        <f>IFERROR(IF('PREENCHER AQUI'!E623="","",'PREENCHER AQUI'!E623),"")</f>
        <v/>
      </c>
      <c r="K623" s="2" t="str">
        <f>IFERROR(IF('PREENCHER AQUI'!F623="","",'PREENCHER AQUI'!F623),"")</f>
        <v/>
      </c>
      <c r="L623" s="2" t="str">
        <f>IF(Tabela1[[#This Row],[IPU_COD]]=9,"91",IF(Tabela1[[#This Row],[ACAO_COD]]="","",VLOOKUP(CONCATENATE("G",J623,"M",K623),qdd!$BC$2:$BD$46,2,FALSE)))</f>
        <v/>
      </c>
      <c r="M623" s="2" t="str">
        <f>TEXT(IFERROR(VLOOKUP(CONCATENATE(C623,D623),qdd!$C$2:$G$1000,5,FALSE),""),0)</f>
        <v/>
      </c>
      <c r="N623" s="2" t="str">
        <f>IFERROR(IF('PREENCHER AQUI'!I623="","",'PREENCHER AQUI'!I623),"")</f>
        <v/>
      </c>
      <c r="O623" s="2" t="str">
        <f>IFERROR(IF('PREENCHER AQUI'!J623="","",'PREENCHER AQUI'!J623),"")</f>
        <v/>
      </c>
      <c r="P623" s="7" t="str">
        <f t="shared" si="21"/>
        <v/>
      </c>
      <c r="Q623" s="8" t="str">
        <f>IFERROR(IF(Tabela4[[#This Row],[VALOR]]="","",IF(Tabela1[[#This Row],[ORIENTACAO]]="Anular",'PREENCHER AQUI'!K623*-1*100,'PREENCHER AQUI'!K623*100)),"")</f>
        <v/>
      </c>
      <c r="T623" s="7" t="str">
        <f>IFERROR(IF('PREENCHER AQUI'!L623="","999",LEFT('PREENCHER AQUI'!L623,1)),"")</f>
        <v>999</v>
      </c>
      <c r="V623" s="19"/>
      <c r="W623" s="1" t="str">
        <f>IFERROR(VLOOKUP(Tabela1[[#This Row],[UO_COD]],qdd!$AT$1:$AU$102,2,FALSE),"")</f>
        <v/>
      </c>
      <c r="X623" s="1" t="str">
        <f>CONCATENATE("F",Tabela1[[#This Row],[FONTE_COD]],Tabela1[[#This Row],[IPU_COD]],"G",Tabela1[[#This Row],[GRUPO_COD]],"T",Tabela1[[#This Row],[TIPO]])</f>
        <v>FGT999</v>
      </c>
      <c r="Y6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3" s="19"/>
      <c r="AA623" s="29" t="str">
        <f>IFERROR(VLOOKUP(CONCATENATE("B",Tabela1[[#This Row],[BLOCO]],Tabela1[[#This Row],[UO_COD]]),qdd!$AW$2:$AX$1000,2,FALSE),"")</f>
        <v/>
      </c>
      <c r="AB623" s="30" t="str">
        <f>IFERROR(Tabela1[[#This Row],[VALOR]]/100,"")</f>
        <v/>
      </c>
      <c r="AC623" s="7" t="str" cm="1">
        <f t="array" aca="1" ref="AC623" ca="1">IF(Tabela1[[#This Row],[VALOR]]&lt;0,"",IFERROR(SUBSTITUTE(Converter_numero(Tabela1[[#This Row],[VALOR INCISO]]),",",""),""))</f>
        <v/>
      </c>
      <c r="AD623" s="29" t="str">
        <f>IF(Tabela1[[#This Row],[TIPO]]=REGRAS!$W$2,REGRAS!$X$2,IF(Tabela1[[#This Row],[TIPO]]=REGRAS!$W$4,REGRAS!$X$4,""))</f>
        <v/>
      </c>
      <c r="AE623" s="29" t="e">
        <f>VLOOKUP(Tabela1[[#This Row],[FONTE_COD]],REGRAS!$O$2:$P$69,2,FALSE)</f>
        <v>#N/A</v>
      </c>
      <c r="AF6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4" spans="1:32" ht="18.75" customHeight="1">
      <c r="A624" s="2" t="str">
        <f>IFERROR(IF('PREENCHER AQUI'!A624="","",'PREENCHER AQUI'!A624),"")</f>
        <v/>
      </c>
      <c r="B624" s="1" t="str">
        <f>IFERROR(IF('PREENCHER AQUI'!B624="","",PROPER('PREENCHER AQUI'!B624)),"")</f>
        <v/>
      </c>
      <c r="C624" s="1" t="str">
        <f>IFERROR(IF('PREENCHER AQUI'!C624="","",'PREENCHER AQUI'!C624),"")</f>
        <v/>
      </c>
      <c r="D624" s="2" t="str">
        <f>IFERROR(IF('PREENCHER AQUI'!D624="","",'PREENCHER AQUI'!D624),"")</f>
        <v/>
      </c>
      <c r="E624" s="2" t="str">
        <f>IFERROR(VLOOKUP(CONCATENATE(C624,D624),qdd!$C$2:$F$1000,2,FALSE),"")</f>
        <v/>
      </c>
      <c r="F624" s="2" t="str">
        <f>IFERROR(VLOOKUP(CONCATENATE(C624,D624),qdd!$C$2:$F$1000,3,FALSE),"")</f>
        <v/>
      </c>
      <c r="G624" s="2" t="str">
        <f>IFERROR(VLOOKUP(CONCATENATE(C624,D624),qdd!$C$2:$F$1000,4,FALSE),"")</f>
        <v/>
      </c>
      <c r="H624" s="6" t="str">
        <f t="shared" si="20"/>
        <v/>
      </c>
      <c r="I6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4" s="2" t="str">
        <f>IFERROR(IF('PREENCHER AQUI'!E624="","",'PREENCHER AQUI'!E624),"")</f>
        <v/>
      </c>
      <c r="K624" s="2" t="str">
        <f>IFERROR(IF('PREENCHER AQUI'!F624="","",'PREENCHER AQUI'!F624),"")</f>
        <v/>
      </c>
      <c r="L624" s="2" t="str">
        <f>IF(Tabela1[[#This Row],[IPU_COD]]=9,"91",IF(Tabela1[[#This Row],[ACAO_COD]]="","",VLOOKUP(CONCATENATE("G",J624,"M",K624),qdd!$BC$2:$BD$46,2,FALSE)))</f>
        <v/>
      </c>
      <c r="M624" s="2" t="str">
        <f>TEXT(IFERROR(VLOOKUP(CONCATENATE(C624,D624),qdd!$C$2:$G$1000,5,FALSE),""),0)</f>
        <v/>
      </c>
      <c r="N624" s="2" t="str">
        <f>IFERROR(IF('PREENCHER AQUI'!I624="","",'PREENCHER AQUI'!I624),"")</f>
        <v/>
      </c>
      <c r="O624" s="2" t="str">
        <f>IFERROR(IF('PREENCHER AQUI'!J624="","",'PREENCHER AQUI'!J624),"")</f>
        <v/>
      </c>
      <c r="P624" s="7" t="str">
        <f t="shared" si="21"/>
        <v/>
      </c>
      <c r="Q624" s="8" t="str">
        <f>IFERROR(IF(Tabela4[[#This Row],[VALOR]]="","",IF(Tabela1[[#This Row],[ORIENTACAO]]="Anular",'PREENCHER AQUI'!K624*-1*100,'PREENCHER AQUI'!K624*100)),"")</f>
        <v/>
      </c>
      <c r="T624" s="7" t="str">
        <f>IFERROR(IF('PREENCHER AQUI'!L624="","999",LEFT('PREENCHER AQUI'!L624,1)),"")</f>
        <v>999</v>
      </c>
      <c r="V624" s="19"/>
      <c r="W624" s="1" t="str">
        <f>IFERROR(VLOOKUP(Tabela1[[#This Row],[UO_COD]],qdd!$AT$1:$AU$102,2,FALSE),"")</f>
        <v/>
      </c>
      <c r="X624" s="1" t="str">
        <f>CONCATENATE("F",Tabela1[[#This Row],[FONTE_COD]],Tabela1[[#This Row],[IPU_COD]],"G",Tabela1[[#This Row],[GRUPO_COD]],"T",Tabela1[[#This Row],[TIPO]])</f>
        <v>FGT999</v>
      </c>
      <c r="Y6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4" s="19"/>
      <c r="AA624" s="29" t="str">
        <f>IFERROR(VLOOKUP(CONCATENATE("B",Tabela1[[#This Row],[BLOCO]],Tabela1[[#This Row],[UO_COD]]),qdd!$AW$2:$AX$1000,2,FALSE),"")</f>
        <v/>
      </c>
      <c r="AB624" s="30" t="str">
        <f>IFERROR(Tabela1[[#This Row],[VALOR]]/100,"")</f>
        <v/>
      </c>
      <c r="AC624" s="7" t="str" cm="1">
        <f t="array" aca="1" ref="AC624" ca="1">IF(Tabela1[[#This Row],[VALOR]]&lt;0,"",IFERROR(SUBSTITUTE(Converter_numero(Tabela1[[#This Row],[VALOR INCISO]]),",",""),""))</f>
        <v/>
      </c>
      <c r="AD624" s="29" t="str">
        <f>IF(Tabela1[[#This Row],[TIPO]]=REGRAS!$W$2,REGRAS!$X$2,IF(Tabela1[[#This Row],[TIPO]]=REGRAS!$W$4,REGRAS!$X$4,""))</f>
        <v/>
      </c>
      <c r="AE624" s="29" t="e">
        <f>VLOOKUP(Tabela1[[#This Row],[FONTE_COD]],REGRAS!$O$2:$P$69,2,FALSE)</f>
        <v>#N/A</v>
      </c>
      <c r="AF6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5" spans="1:32" ht="18.75" customHeight="1">
      <c r="A625" s="2" t="str">
        <f>IFERROR(IF('PREENCHER AQUI'!A625="","",'PREENCHER AQUI'!A625),"")</f>
        <v/>
      </c>
      <c r="B625" s="1" t="str">
        <f>IFERROR(IF('PREENCHER AQUI'!B625="","",PROPER('PREENCHER AQUI'!B625)),"")</f>
        <v/>
      </c>
      <c r="C625" s="1" t="str">
        <f>IFERROR(IF('PREENCHER AQUI'!C625="","",'PREENCHER AQUI'!C625),"")</f>
        <v/>
      </c>
      <c r="D625" s="2" t="str">
        <f>IFERROR(IF('PREENCHER AQUI'!D625="","",'PREENCHER AQUI'!D625),"")</f>
        <v/>
      </c>
      <c r="E625" s="2" t="str">
        <f>IFERROR(VLOOKUP(CONCATENATE(C625,D625),qdd!$C$2:$F$1000,2,FALSE),"")</f>
        <v/>
      </c>
      <c r="F625" s="2" t="str">
        <f>IFERROR(VLOOKUP(CONCATENATE(C625,D625),qdd!$C$2:$F$1000,3,FALSE),"")</f>
        <v/>
      </c>
      <c r="G625" s="2" t="str">
        <f>IFERROR(VLOOKUP(CONCATENATE(C625,D625),qdd!$C$2:$F$1000,4,FALSE),"")</f>
        <v/>
      </c>
      <c r="H625" s="6" t="str">
        <f t="shared" si="20"/>
        <v/>
      </c>
      <c r="I6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5" s="2" t="str">
        <f>IFERROR(IF('PREENCHER AQUI'!E625="","",'PREENCHER AQUI'!E625),"")</f>
        <v/>
      </c>
      <c r="K625" s="2" t="str">
        <f>IFERROR(IF('PREENCHER AQUI'!F625="","",'PREENCHER AQUI'!F625),"")</f>
        <v/>
      </c>
      <c r="L625" s="2" t="str">
        <f>IF(Tabela1[[#This Row],[IPU_COD]]=9,"91",IF(Tabela1[[#This Row],[ACAO_COD]]="","",VLOOKUP(CONCATENATE("G",J625,"M",K625),qdd!$BC$2:$BD$46,2,FALSE)))</f>
        <v/>
      </c>
      <c r="M625" s="2" t="str">
        <f>TEXT(IFERROR(VLOOKUP(CONCATENATE(C625,D625),qdd!$C$2:$G$1000,5,FALSE),""),0)</f>
        <v/>
      </c>
      <c r="N625" s="2" t="str">
        <f>IFERROR(IF('PREENCHER AQUI'!I625="","",'PREENCHER AQUI'!I625),"")</f>
        <v/>
      </c>
      <c r="O625" s="2" t="str">
        <f>IFERROR(IF('PREENCHER AQUI'!J625="","",'PREENCHER AQUI'!J625),"")</f>
        <v/>
      </c>
      <c r="P625" s="7" t="str">
        <f t="shared" si="21"/>
        <v/>
      </c>
      <c r="Q625" s="8" t="str">
        <f>IFERROR(IF(Tabela4[[#This Row],[VALOR]]="","",IF(Tabela1[[#This Row],[ORIENTACAO]]="Anular",'PREENCHER AQUI'!K625*-1*100,'PREENCHER AQUI'!K625*100)),"")</f>
        <v/>
      </c>
      <c r="T625" s="7" t="str">
        <f>IFERROR(IF('PREENCHER AQUI'!L625="","999",LEFT('PREENCHER AQUI'!L625,1)),"")</f>
        <v>999</v>
      </c>
      <c r="V625" s="19"/>
      <c r="W625" s="20" t="str">
        <f>IFERROR(VLOOKUP(Tabela1[[#This Row],[UO_COD]],qdd!$AT$1:$AU$102,2,FALSE),"")</f>
        <v/>
      </c>
      <c r="X625" s="20" t="str">
        <f>CONCATENATE("F",Tabela1[[#This Row],[FONTE_COD]],Tabela1[[#This Row],[IPU_COD]],"G",Tabela1[[#This Row],[GRUPO_COD]],"T",Tabela1[[#This Row],[TIPO]])</f>
        <v>FGT999</v>
      </c>
      <c r="Y6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5" s="19"/>
      <c r="AA625" s="29" t="str">
        <f>IFERROR(VLOOKUP(CONCATENATE("B",Tabela1[[#This Row],[BLOCO]],Tabela1[[#This Row],[UO_COD]]),qdd!$AW$2:$AX$1000,2,FALSE),"")</f>
        <v/>
      </c>
      <c r="AB625" s="30" t="str">
        <f>IFERROR(Tabela1[[#This Row],[VALOR]]/100,"")</f>
        <v/>
      </c>
      <c r="AC625" s="7" t="str" cm="1">
        <f t="array" aca="1" ref="AC625" ca="1">IF(Tabela1[[#This Row],[VALOR]]&lt;0,"",IFERROR(SUBSTITUTE(Converter_numero(Tabela1[[#This Row],[VALOR INCISO]]),",",""),""))</f>
        <v/>
      </c>
      <c r="AD625" s="29" t="str">
        <f>IF(Tabela1[[#This Row],[TIPO]]=REGRAS!$W$2,REGRAS!$X$2,IF(Tabela1[[#This Row],[TIPO]]=REGRAS!$W$4,REGRAS!$X$4,""))</f>
        <v/>
      </c>
      <c r="AE625" s="29" t="e">
        <f>VLOOKUP(Tabela1[[#This Row],[FONTE_COD]],REGRAS!$O$2:$P$69,2,FALSE)</f>
        <v>#N/A</v>
      </c>
      <c r="AF6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6" spans="1:32" ht="18.75" customHeight="1">
      <c r="A626" s="2" t="str">
        <f>IFERROR(IF('PREENCHER AQUI'!A626="","",'PREENCHER AQUI'!A626),"")</f>
        <v/>
      </c>
      <c r="B626" s="1" t="str">
        <f>IFERROR(IF('PREENCHER AQUI'!B626="","",PROPER('PREENCHER AQUI'!B626)),"")</f>
        <v/>
      </c>
      <c r="C626" s="1" t="str">
        <f>IFERROR(IF('PREENCHER AQUI'!C626="","",'PREENCHER AQUI'!C626),"")</f>
        <v/>
      </c>
      <c r="D626" s="2" t="str">
        <f>IFERROR(IF('PREENCHER AQUI'!D626="","",'PREENCHER AQUI'!D626),"")</f>
        <v/>
      </c>
      <c r="E626" s="2" t="str">
        <f>IFERROR(VLOOKUP(CONCATENATE(C626,D626),qdd!$C$2:$F$1000,2,FALSE),"")</f>
        <v/>
      </c>
      <c r="F626" s="2" t="str">
        <f>IFERROR(VLOOKUP(CONCATENATE(C626,D626),qdd!$C$2:$F$1000,3,FALSE),"")</f>
        <v/>
      </c>
      <c r="G626" s="2" t="str">
        <f>IFERROR(VLOOKUP(CONCATENATE(C626,D626),qdd!$C$2:$F$1000,4,FALSE),"")</f>
        <v/>
      </c>
      <c r="H626" s="6" t="str">
        <f t="shared" si="20"/>
        <v/>
      </c>
      <c r="I6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6" s="2" t="str">
        <f>IFERROR(IF('PREENCHER AQUI'!E626="","",'PREENCHER AQUI'!E626),"")</f>
        <v/>
      </c>
      <c r="K626" s="2" t="str">
        <f>IFERROR(IF('PREENCHER AQUI'!F626="","",'PREENCHER AQUI'!F626),"")</f>
        <v/>
      </c>
      <c r="L626" s="2" t="str">
        <f>IF(Tabela1[[#This Row],[IPU_COD]]=9,"91",IF(Tabela1[[#This Row],[ACAO_COD]]="","",VLOOKUP(CONCATENATE("G",J626,"M",K626),qdd!$BC$2:$BD$46,2,FALSE)))</f>
        <v/>
      </c>
      <c r="M626" s="2" t="str">
        <f>TEXT(IFERROR(VLOOKUP(CONCATENATE(C626,D626),qdd!$C$2:$G$1000,5,FALSE),""),0)</f>
        <v/>
      </c>
      <c r="N626" s="2" t="str">
        <f>IFERROR(IF('PREENCHER AQUI'!I626="","",'PREENCHER AQUI'!I626),"")</f>
        <v/>
      </c>
      <c r="O626" s="2" t="str">
        <f>IFERROR(IF('PREENCHER AQUI'!J626="","",'PREENCHER AQUI'!J626),"")</f>
        <v/>
      </c>
      <c r="P626" s="7" t="str">
        <f t="shared" si="21"/>
        <v/>
      </c>
      <c r="Q626" s="8" t="str">
        <f>IFERROR(IF(Tabela4[[#This Row],[VALOR]]="","",IF(Tabela1[[#This Row],[ORIENTACAO]]="Anular",'PREENCHER AQUI'!K626*-1*100,'PREENCHER AQUI'!K626*100)),"")</f>
        <v/>
      </c>
      <c r="T626" s="7" t="str">
        <f>IFERROR(IF('PREENCHER AQUI'!L626="","999",LEFT('PREENCHER AQUI'!L626,1)),"")</f>
        <v>999</v>
      </c>
      <c r="V626" s="19"/>
      <c r="W626" s="1" t="str">
        <f>IFERROR(VLOOKUP(Tabela1[[#This Row],[UO_COD]],qdd!$AT$1:$AU$102,2,FALSE),"")</f>
        <v/>
      </c>
      <c r="X626" s="1" t="str">
        <f>CONCATENATE("F",Tabela1[[#This Row],[FONTE_COD]],Tabela1[[#This Row],[IPU_COD]],"G",Tabela1[[#This Row],[GRUPO_COD]],"T",Tabela1[[#This Row],[TIPO]])</f>
        <v>FGT999</v>
      </c>
      <c r="Y6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6" s="19"/>
      <c r="AA626" s="29" t="str">
        <f>IFERROR(VLOOKUP(CONCATENATE("B",Tabela1[[#This Row],[BLOCO]],Tabela1[[#This Row],[UO_COD]]),qdd!$AW$2:$AX$1000,2,FALSE),"")</f>
        <v/>
      </c>
      <c r="AB626" s="30" t="str">
        <f>IFERROR(Tabela1[[#This Row],[VALOR]]/100,"")</f>
        <v/>
      </c>
      <c r="AC626" s="7" t="str" cm="1">
        <f t="array" aca="1" ref="AC626" ca="1">IF(Tabela1[[#This Row],[VALOR]]&lt;0,"",IFERROR(SUBSTITUTE(Converter_numero(Tabela1[[#This Row],[VALOR INCISO]]),",",""),""))</f>
        <v/>
      </c>
      <c r="AD626" s="29" t="str">
        <f>IF(Tabela1[[#This Row],[TIPO]]=REGRAS!$W$2,REGRAS!$X$2,IF(Tabela1[[#This Row],[TIPO]]=REGRAS!$W$4,REGRAS!$X$4,""))</f>
        <v/>
      </c>
      <c r="AE626" s="29" t="e">
        <f>VLOOKUP(Tabela1[[#This Row],[FONTE_COD]],REGRAS!$O$2:$P$69,2,FALSE)</f>
        <v>#N/A</v>
      </c>
      <c r="AF6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7" spans="1:32" ht="18.75" customHeight="1">
      <c r="A627" s="2" t="str">
        <f>IFERROR(IF('PREENCHER AQUI'!A627="","",'PREENCHER AQUI'!A627),"")</f>
        <v/>
      </c>
      <c r="B627" s="1" t="str">
        <f>IFERROR(IF('PREENCHER AQUI'!B627="","",PROPER('PREENCHER AQUI'!B627)),"")</f>
        <v/>
      </c>
      <c r="C627" s="1" t="str">
        <f>IFERROR(IF('PREENCHER AQUI'!C627="","",'PREENCHER AQUI'!C627),"")</f>
        <v/>
      </c>
      <c r="D627" s="2" t="str">
        <f>IFERROR(IF('PREENCHER AQUI'!D627="","",'PREENCHER AQUI'!D627),"")</f>
        <v/>
      </c>
      <c r="E627" s="2" t="str">
        <f>IFERROR(VLOOKUP(CONCATENATE(C627,D627),qdd!$C$2:$F$1000,2,FALSE),"")</f>
        <v/>
      </c>
      <c r="F627" s="2" t="str">
        <f>IFERROR(VLOOKUP(CONCATENATE(C627,D627),qdd!$C$2:$F$1000,3,FALSE),"")</f>
        <v/>
      </c>
      <c r="G627" s="2" t="str">
        <f>IFERROR(VLOOKUP(CONCATENATE(C627,D627),qdd!$C$2:$F$1000,4,FALSE),"")</f>
        <v/>
      </c>
      <c r="H627" s="6" t="str">
        <f t="shared" si="20"/>
        <v/>
      </c>
      <c r="I6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7" s="2" t="str">
        <f>IFERROR(IF('PREENCHER AQUI'!E627="","",'PREENCHER AQUI'!E627),"")</f>
        <v/>
      </c>
      <c r="K627" s="2" t="str">
        <f>IFERROR(IF('PREENCHER AQUI'!F627="","",'PREENCHER AQUI'!F627),"")</f>
        <v/>
      </c>
      <c r="L627" s="2" t="str">
        <f>IF(Tabela1[[#This Row],[IPU_COD]]=9,"91",IF(Tabela1[[#This Row],[ACAO_COD]]="","",VLOOKUP(CONCATENATE("G",J627,"M",K627),qdd!$BC$2:$BD$46,2,FALSE)))</f>
        <v/>
      </c>
      <c r="M627" s="2" t="str">
        <f>TEXT(IFERROR(VLOOKUP(CONCATENATE(C627,D627),qdd!$C$2:$G$1000,5,FALSE),""),0)</f>
        <v/>
      </c>
      <c r="N627" s="2" t="str">
        <f>IFERROR(IF('PREENCHER AQUI'!I627="","",'PREENCHER AQUI'!I627),"")</f>
        <v/>
      </c>
      <c r="O627" s="2" t="str">
        <f>IFERROR(IF('PREENCHER AQUI'!J627="","",'PREENCHER AQUI'!J627),"")</f>
        <v/>
      </c>
      <c r="P627" s="7" t="str">
        <f t="shared" si="21"/>
        <v/>
      </c>
      <c r="Q627" s="8" t="str">
        <f>IFERROR(IF(Tabela4[[#This Row],[VALOR]]="","",IF(Tabela1[[#This Row],[ORIENTACAO]]="Anular",'PREENCHER AQUI'!K627*-1*100,'PREENCHER AQUI'!K627*100)),"")</f>
        <v/>
      </c>
      <c r="T627" s="7" t="str">
        <f>IFERROR(IF('PREENCHER AQUI'!L627="","999",LEFT('PREENCHER AQUI'!L627,1)),"")</f>
        <v>999</v>
      </c>
      <c r="W627" s="1" t="str">
        <f>IFERROR(VLOOKUP(Tabela1[[#This Row],[UO_COD]],qdd!$AT$1:$AU$102,2,FALSE),"")</f>
        <v/>
      </c>
      <c r="X627" s="1" t="str">
        <f>CONCATENATE("F",Tabela1[[#This Row],[FONTE_COD]],Tabela1[[#This Row],[IPU_COD]],"G",Tabela1[[#This Row],[GRUPO_COD]],"T",Tabela1[[#This Row],[TIPO]])</f>
        <v>FGT999</v>
      </c>
      <c r="Y6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7" s="19"/>
      <c r="AA627" s="29" t="str">
        <f>IFERROR(VLOOKUP(CONCATENATE("B",Tabela1[[#This Row],[BLOCO]],Tabela1[[#This Row],[UO_COD]]),qdd!$AW$2:$AX$1000,2,FALSE),"")</f>
        <v/>
      </c>
      <c r="AB627" s="30" t="str">
        <f>IFERROR(Tabela1[[#This Row],[VALOR]]/100,"")</f>
        <v/>
      </c>
      <c r="AC627" s="7" t="str" cm="1">
        <f t="array" aca="1" ref="AC627" ca="1">IF(Tabela1[[#This Row],[VALOR]]&lt;0,"",IFERROR(SUBSTITUTE(Converter_numero(Tabela1[[#This Row],[VALOR INCISO]]),",",""),""))</f>
        <v/>
      </c>
      <c r="AD627" s="7" t="str">
        <f>IF(Tabela1[[#This Row],[TIPO]]=REGRAS!$W$2,REGRAS!$X$2,IF(Tabela1[[#This Row],[TIPO]]=REGRAS!$W$4,REGRAS!$X$4,""))</f>
        <v/>
      </c>
      <c r="AE627" s="29" t="e">
        <f>VLOOKUP(Tabela1[[#This Row],[FONTE_COD]],REGRAS!$O$2:$P$69,2,FALSE)</f>
        <v>#N/A</v>
      </c>
      <c r="AF6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8" spans="1:32" ht="18.75" customHeight="1">
      <c r="A628" s="2" t="str">
        <f>IFERROR(IF('PREENCHER AQUI'!A628="","",'PREENCHER AQUI'!A628),"")</f>
        <v/>
      </c>
      <c r="B628" s="1" t="str">
        <f>IFERROR(IF('PREENCHER AQUI'!B628="","",PROPER('PREENCHER AQUI'!B628)),"")</f>
        <v/>
      </c>
      <c r="C628" s="1" t="str">
        <f>IFERROR(IF('PREENCHER AQUI'!C628="","",'PREENCHER AQUI'!C628),"")</f>
        <v/>
      </c>
      <c r="D628" s="2" t="str">
        <f>IFERROR(IF('PREENCHER AQUI'!D628="","",'PREENCHER AQUI'!D628),"")</f>
        <v/>
      </c>
      <c r="E628" s="2" t="str">
        <f>IFERROR(VLOOKUP(CONCATENATE(C628,D628),qdd!$C$2:$F$1000,2,FALSE),"")</f>
        <v/>
      </c>
      <c r="F628" s="2" t="str">
        <f>IFERROR(VLOOKUP(CONCATENATE(C628,D628),qdd!$C$2:$F$1000,3,FALSE),"")</f>
        <v/>
      </c>
      <c r="G628" s="2" t="str">
        <f>IFERROR(VLOOKUP(CONCATENATE(C628,D628),qdd!$C$2:$F$1000,4,FALSE),"")</f>
        <v/>
      </c>
      <c r="H628" s="6" t="str">
        <f t="shared" si="20"/>
        <v/>
      </c>
      <c r="I6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8" s="2" t="str">
        <f>IFERROR(IF('PREENCHER AQUI'!E628="","",'PREENCHER AQUI'!E628),"")</f>
        <v/>
      </c>
      <c r="K628" s="2" t="str">
        <f>IFERROR(IF('PREENCHER AQUI'!F628="","",'PREENCHER AQUI'!F628),"")</f>
        <v/>
      </c>
      <c r="L628" s="2" t="str">
        <f>IF(Tabela1[[#This Row],[IPU_COD]]=9,"91",IF(Tabela1[[#This Row],[ACAO_COD]]="","",VLOOKUP(CONCATENATE("G",J628,"M",K628),qdd!$BC$2:$BD$46,2,FALSE)))</f>
        <v/>
      </c>
      <c r="M628" s="2" t="str">
        <f>TEXT(IFERROR(VLOOKUP(CONCATENATE(C628,D628),qdd!$C$2:$G$1000,5,FALSE),""),0)</f>
        <v/>
      </c>
      <c r="N628" s="2" t="str">
        <f>IFERROR(IF('PREENCHER AQUI'!I628="","",'PREENCHER AQUI'!I628),"")</f>
        <v/>
      </c>
      <c r="O628" s="2" t="str">
        <f>IFERROR(IF('PREENCHER AQUI'!J628="","",'PREENCHER AQUI'!J628),"")</f>
        <v/>
      </c>
      <c r="P628" s="7" t="str">
        <f t="shared" si="21"/>
        <v/>
      </c>
      <c r="Q628" s="8" t="str">
        <f>IFERROR(IF(Tabela4[[#This Row],[VALOR]]="","",IF(Tabela1[[#This Row],[ORIENTACAO]]="Anular",'PREENCHER AQUI'!K628*-1*100,'PREENCHER AQUI'!K628*100)),"")</f>
        <v/>
      </c>
      <c r="T628" s="7" t="str">
        <f>IFERROR(IF('PREENCHER AQUI'!L628="","999",LEFT('PREENCHER AQUI'!L628,1)),"")</f>
        <v>999</v>
      </c>
      <c r="V628" s="19"/>
      <c r="W628" s="1" t="str">
        <f>IFERROR(VLOOKUP(Tabela1[[#This Row],[UO_COD]],qdd!$AT$1:$AU$102,2,FALSE),"")</f>
        <v/>
      </c>
      <c r="X628" s="1" t="str">
        <f>CONCATENATE("F",Tabela1[[#This Row],[FONTE_COD]],Tabela1[[#This Row],[IPU_COD]],"G",Tabela1[[#This Row],[GRUPO_COD]],"T",Tabela1[[#This Row],[TIPO]])</f>
        <v>FGT999</v>
      </c>
      <c r="Y6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8" s="19"/>
      <c r="AA628" s="29" t="str">
        <f>IFERROR(VLOOKUP(CONCATENATE("B",Tabela1[[#This Row],[BLOCO]],Tabela1[[#This Row],[UO_COD]]),qdd!$AW$2:$AX$1000,2,FALSE),"")</f>
        <v/>
      </c>
      <c r="AB628" s="30" t="str">
        <f>IFERROR(Tabela1[[#This Row],[VALOR]]/100,"")</f>
        <v/>
      </c>
      <c r="AC628" s="7" t="str" cm="1">
        <f t="array" aca="1" ref="AC628" ca="1">IF(Tabela1[[#This Row],[VALOR]]&lt;0,"",IFERROR(SUBSTITUTE(Converter_numero(Tabela1[[#This Row],[VALOR INCISO]]),",",""),""))</f>
        <v/>
      </c>
      <c r="AD628" s="29" t="str">
        <f>IF(Tabela1[[#This Row],[TIPO]]=REGRAS!$W$2,REGRAS!$X$2,IF(Tabela1[[#This Row],[TIPO]]=REGRAS!$W$4,REGRAS!$X$4,""))</f>
        <v/>
      </c>
      <c r="AE628" s="29" t="e">
        <f>VLOOKUP(Tabela1[[#This Row],[FONTE_COD]],REGRAS!$O$2:$P$69,2,FALSE)</f>
        <v>#N/A</v>
      </c>
      <c r="AF6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9" spans="1:32" ht="18.75" customHeight="1">
      <c r="A629" s="2" t="str">
        <f>IFERROR(IF('PREENCHER AQUI'!A629="","",'PREENCHER AQUI'!A629),"")</f>
        <v/>
      </c>
      <c r="B629" s="1" t="str">
        <f>IFERROR(IF('PREENCHER AQUI'!B629="","",PROPER('PREENCHER AQUI'!B629)),"")</f>
        <v/>
      </c>
      <c r="C629" s="1" t="str">
        <f>IFERROR(IF('PREENCHER AQUI'!C629="","",'PREENCHER AQUI'!C629),"")</f>
        <v/>
      </c>
      <c r="D629" s="2" t="str">
        <f>IFERROR(IF('PREENCHER AQUI'!D629="","",'PREENCHER AQUI'!D629),"")</f>
        <v/>
      </c>
      <c r="E629" s="2" t="str">
        <f>IFERROR(VLOOKUP(CONCATENATE(C629,D629),qdd!$C$2:$F$1000,2,FALSE),"")</f>
        <v/>
      </c>
      <c r="F629" s="2" t="str">
        <f>IFERROR(VLOOKUP(CONCATENATE(C629,D629),qdd!$C$2:$F$1000,3,FALSE),"")</f>
        <v/>
      </c>
      <c r="G629" s="2" t="str">
        <f>IFERROR(VLOOKUP(CONCATENATE(C629,D629),qdd!$C$2:$F$1000,4,FALSE),"")</f>
        <v/>
      </c>
      <c r="H629" s="6" t="str">
        <f t="shared" si="20"/>
        <v/>
      </c>
      <c r="I6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9" s="2" t="str">
        <f>IFERROR(IF('PREENCHER AQUI'!E629="","",'PREENCHER AQUI'!E629),"")</f>
        <v/>
      </c>
      <c r="K629" s="2" t="str">
        <f>IFERROR(IF('PREENCHER AQUI'!F629="","",'PREENCHER AQUI'!F629),"")</f>
        <v/>
      </c>
      <c r="L629" s="2" t="str">
        <f>IF(Tabela1[[#This Row],[IPU_COD]]=9,"91",IF(Tabela1[[#This Row],[ACAO_COD]]="","",VLOOKUP(CONCATENATE("G",J629,"M",K629),qdd!$BC$2:$BD$46,2,FALSE)))</f>
        <v/>
      </c>
      <c r="M629" s="2" t="str">
        <f>TEXT(IFERROR(VLOOKUP(CONCATENATE(C629,D629),qdd!$C$2:$G$1000,5,FALSE),""),0)</f>
        <v/>
      </c>
      <c r="N629" s="2" t="str">
        <f>IFERROR(IF('PREENCHER AQUI'!I629="","",'PREENCHER AQUI'!I629),"")</f>
        <v/>
      </c>
      <c r="O629" s="2" t="str">
        <f>IFERROR(IF('PREENCHER AQUI'!J629="","",'PREENCHER AQUI'!J629),"")</f>
        <v/>
      </c>
      <c r="P629" s="7" t="str">
        <f t="shared" si="21"/>
        <v/>
      </c>
      <c r="Q629" s="8" t="str">
        <f>IFERROR(IF(Tabela4[[#This Row],[VALOR]]="","",IF(Tabela1[[#This Row],[ORIENTACAO]]="Anular",'PREENCHER AQUI'!K629*-1*100,'PREENCHER AQUI'!K629*100)),"")</f>
        <v/>
      </c>
      <c r="T629" s="7" t="str">
        <f>IFERROR(IF('PREENCHER AQUI'!L629="","999",LEFT('PREENCHER AQUI'!L629,1)),"")</f>
        <v>999</v>
      </c>
      <c r="V629" s="19"/>
      <c r="W629" s="1" t="str">
        <f>IFERROR(VLOOKUP(Tabela1[[#This Row],[UO_COD]],qdd!$AT$1:$AU$102,2,FALSE),"")</f>
        <v/>
      </c>
      <c r="X629" s="1" t="str">
        <f>CONCATENATE("F",Tabela1[[#This Row],[FONTE_COD]],Tabela1[[#This Row],[IPU_COD]],"G",Tabela1[[#This Row],[GRUPO_COD]],"T",Tabela1[[#This Row],[TIPO]])</f>
        <v>FGT999</v>
      </c>
      <c r="Y6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9" s="19"/>
      <c r="AA629" s="29" t="str">
        <f>IFERROR(VLOOKUP(CONCATENATE("B",Tabela1[[#This Row],[BLOCO]],Tabela1[[#This Row],[UO_COD]]),qdd!$AW$2:$AX$1000,2,FALSE),"")</f>
        <v/>
      </c>
      <c r="AB629" s="30" t="str">
        <f>IFERROR(Tabela1[[#This Row],[VALOR]]/100,"")</f>
        <v/>
      </c>
      <c r="AC629" s="7" t="str" cm="1">
        <f t="array" aca="1" ref="AC629" ca="1">IF(Tabela1[[#This Row],[VALOR]]&lt;0,"",IFERROR(SUBSTITUTE(Converter_numero(Tabela1[[#This Row],[VALOR INCISO]]),",",""),""))</f>
        <v/>
      </c>
      <c r="AD629" s="29" t="str">
        <f>IF(Tabela1[[#This Row],[TIPO]]=REGRAS!$W$2,REGRAS!$X$2,IF(Tabela1[[#This Row],[TIPO]]=REGRAS!$W$4,REGRAS!$X$4,""))</f>
        <v/>
      </c>
      <c r="AE629" s="29" t="e">
        <f>VLOOKUP(Tabela1[[#This Row],[FONTE_COD]],REGRAS!$O$2:$P$69,2,FALSE)</f>
        <v>#N/A</v>
      </c>
      <c r="AF6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0" spans="1:32" ht="18.75" customHeight="1">
      <c r="A630" s="2" t="str">
        <f>IFERROR(IF('PREENCHER AQUI'!A630="","",'PREENCHER AQUI'!A630),"")</f>
        <v/>
      </c>
      <c r="B630" s="1" t="str">
        <f>IFERROR(IF('PREENCHER AQUI'!B630="","",PROPER('PREENCHER AQUI'!B630)),"")</f>
        <v/>
      </c>
      <c r="C630" s="1" t="str">
        <f>IFERROR(IF('PREENCHER AQUI'!C630="","",'PREENCHER AQUI'!C630),"")</f>
        <v/>
      </c>
      <c r="D630" s="2" t="str">
        <f>IFERROR(IF('PREENCHER AQUI'!D630="","",'PREENCHER AQUI'!D630),"")</f>
        <v/>
      </c>
      <c r="E630" s="2" t="str">
        <f>IFERROR(VLOOKUP(CONCATENATE(C630,D630),qdd!$C$2:$F$1000,2,FALSE),"")</f>
        <v/>
      </c>
      <c r="F630" s="2" t="str">
        <f>IFERROR(VLOOKUP(CONCATENATE(C630,D630),qdd!$C$2:$F$1000,3,FALSE),"")</f>
        <v/>
      </c>
      <c r="G630" s="2" t="str">
        <f>IFERROR(VLOOKUP(CONCATENATE(C630,D630),qdd!$C$2:$F$1000,4,FALSE),"")</f>
        <v/>
      </c>
      <c r="H630" s="6" t="str">
        <f t="shared" si="20"/>
        <v/>
      </c>
      <c r="I6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0" s="2" t="str">
        <f>IFERROR(IF('PREENCHER AQUI'!E630="","",'PREENCHER AQUI'!E630),"")</f>
        <v/>
      </c>
      <c r="K630" s="2" t="str">
        <f>IFERROR(IF('PREENCHER AQUI'!F630="","",'PREENCHER AQUI'!F630),"")</f>
        <v/>
      </c>
      <c r="L630" s="2" t="str">
        <f>IF(Tabela1[[#This Row],[IPU_COD]]=9,"91",IF(Tabela1[[#This Row],[ACAO_COD]]="","",VLOOKUP(CONCATENATE("G",J630,"M",K630),qdd!$BC$2:$BD$46,2,FALSE)))</f>
        <v/>
      </c>
      <c r="M630" s="2" t="str">
        <f>TEXT(IFERROR(VLOOKUP(CONCATENATE(C630,D630),qdd!$C$2:$G$1000,5,FALSE),""),0)</f>
        <v/>
      </c>
      <c r="N630" s="2" t="str">
        <f>IFERROR(IF('PREENCHER AQUI'!I630="","",'PREENCHER AQUI'!I630),"")</f>
        <v/>
      </c>
      <c r="O630" s="2" t="str">
        <f>IFERROR(IF('PREENCHER AQUI'!J630="","",'PREENCHER AQUI'!J630),"")</f>
        <v/>
      </c>
      <c r="P630" s="7" t="str">
        <f t="shared" si="21"/>
        <v/>
      </c>
      <c r="Q630" s="8" t="str">
        <f>IFERROR(IF(Tabela4[[#This Row],[VALOR]]="","",IF(Tabela1[[#This Row],[ORIENTACAO]]="Anular",'PREENCHER AQUI'!K630*-1*100,'PREENCHER AQUI'!K630*100)),"")</f>
        <v/>
      </c>
      <c r="T630" s="7" t="str">
        <f>IFERROR(IF('PREENCHER AQUI'!L630="","999",LEFT('PREENCHER AQUI'!L630,1)),"")</f>
        <v>999</v>
      </c>
      <c r="V630" s="19"/>
      <c r="W630" s="20" t="str">
        <f>IFERROR(VLOOKUP(Tabela1[[#This Row],[UO_COD]],qdd!$AT$1:$AU$102,2,FALSE),"")</f>
        <v/>
      </c>
      <c r="X630" s="20" t="str">
        <f>CONCATENATE("F",Tabela1[[#This Row],[FONTE_COD]],Tabela1[[#This Row],[IPU_COD]],"G",Tabela1[[#This Row],[GRUPO_COD]],"T",Tabela1[[#This Row],[TIPO]])</f>
        <v>FGT999</v>
      </c>
      <c r="Y6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0" s="19"/>
      <c r="AA630" s="29" t="str">
        <f>IFERROR(VLOOKUP(CONCATENATE("B",Tabela1[[#This Row],[BLOCO]],Tabela1[[#This Row],[UO_COD]]),qdd!$AW$2:$AX$1000,2,FALSE),"")</f>
        <v/>
      </c>
      <c r="AB630" s="30" t="str">
        <f>IFERROR(Tabela1[[#This Row],[VALOR]]/100,"")</f>
        <v/>
      </c>
      <c r="AC630" s="7" t="str" cm="1">
        <f t="array" aca="1" ref="AC630" ca="1">IF(Tabela1[[#This Row],[VALOR]]&lt;0,"",IFERROR(SUBSTITUTE(Converter_numero(Tabela1[[#This Row],[VALOR INCISO]]),",",""),""))</f>
        <v/>
      </c>
      <c r="AD630" s="29" t="str">
        <f>IF(Tabela1[[#This Row],[TIPO]]=REGRAS!$W$2,REGRAS!$X$2,IF(Tabela1[[#This Row],[TIPO]]=REGRAS!$W$4,REGRAS!$X$4,""))</f>
        <v/>
      </c>
      <c r="AE630" s="29" t="e">
        <f>VLOOKUP(Tabela1[[#This Row],[FONTE_COD]],REGRAS!$O$2:$P$69,2,FALSE)</f>
        <v>#N/A</v>
      </c>
      <c r="AF6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1" spans="1:32" ht="18.75" customHeight="1">
      <c r="A631" s="2" t="str">
        <f>IFERROR(IF('PREENCHER AQUI'!A631="","",'PREENCHER AQUI'!A631),"")</f>
        <v/>
      </c>
      <c r="B631" s="1" t="str">
        <f>IFERROR(IF('PREENCHER AQUI'!B631="","",PROPER('PREENCHER AQUI'!B631)),"")</f>
        <v/>
      </c>
      <c r="C631" s="1" t="str">
        <f>IFERROR(IF('PREENCHER AQUI'!C631="","",'PREENCHER AQUI'!C631),"")</f>
        <v/>
      </c>
      <c r="D631" s="2" t="str">
        <f>IFERROR(IF('PREENCHER AQUI'!D631="","",'PREENCHER AQUI'!D631),"")</f>
        <v/>
      </c>
      <c r="E631" s="2" t="str">
        <f>IFERROR(VLOOKUP(CONCATENATE(C631,D631),qdd!$C$2:$F$1000,2,FALSE),"")</f>
        <v/>
      </c>
      <c r="F631" s="2" t="str">
        <f>IFERROR(VLOOKUP(CONCATENATE(C631,D631),qdd!$C$2:$F$1000,3,FALSE),"")</f>
        <v/>
      </c>
      <c r="G631" s="2" t="str">
        <f>IFERROR(VLOOKUP(CONCATENATE(C631,D631),qdd!$C$2:$F$1000,4,FALSE),"")</f>
        <v/>
      </c>
      <c r="H631" s="6" t="str">
        <f t="shared" si="20"/>
        <v/>
      </c>
      <c r="I6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1" s="2" t="str">
        <f>IFERROR(IF('PREENCHER AQUI'!E631="","",'PREENCHER AQUI'!E631),"")</f>
        <v/>
      </c>
      <c r="K631" s="2" t="str">
        <f>IFERROR(IF('PREENCHER AQUI'!F631="","",'PREENCHER AQUI'!F631),"")</f>
        <v/>
      </c>
      <c r="L631" s="2" t="str">
        <f>IF(Tabela1[[#This Row],[IPU_COD]]=9,"91",IF(Tabela1[[#This Row],[ACAO_COD]]="","",VLOOKUP(CONCATENATE("G",J631,"M",K631),qdd!$BC$2:$BD$46,2,FALSE)))</f>
        <v/>
      </c>
      <c r="M631" s="2" t="str">
        <f>TEXT(IFERROR(VLOOKUP(CONCATENATE(C631,D631),qdd!$C$2:$G$1000,5,FALSE),""),0)</f>
        <v/>
      </c>
      <c r="N631" s="2" t="str">
        <f>IFERROR(IF('PREENCHER AQUI'!I631="","",'PREENCHER AQUI'!I631),"")</f>
        <v/>
      </c>
      <c r="O631" s="2" t="str">
        <f>IFERROR(IF('PREENCHER AQUI'!J631="","",'PREENCHER AQUI'!J631),"")</f>
        <v/>
      </c>
      <c r="P631" s="7" t="str">
        <f t="shared" si="21"/>
        <v/>
      </c>
      <c r="Q631" s="8" t="str">
        <f>IFERROR(IF(Tabela4[[#This Row],[VALOR]]="","",IF(Tabela1[[#This Row],[ORIENTACAO]]="Anular",'PREENCHER AQUI'!K631*-1*100,'PREENCHER AQUI'!K631*100)),"")</f>
        <v/>
      </c>
      <c r="T631" s="7" t="str">
        <f>IFERROR(IF('PREENCHER AQUI'!L631="","999",LEFT('PREENCHER AQUI'!L631,1)),"")</f>
        <v>999</v>
      </c>
      <c r="V631" s="19"/>
      <c r="W631" s="1" t="str">
        <f>IFERROR(VLOOKUP(Tabela1[[#This Row],[UO_COD]],qdd!$AT$1:$AU$102,2,FALSE),"")</f>
        <v/>
      </c>
      <c r="X631" s="1" t="str">
        <f>CONCATENATE("F",Tabela1[[#This Row],[FONTE_COD]],Tabela1[[#This Row],[IPU_COD]],"G",Tabela1[[#This Row],[GRUPO_COD]],"T",Tabela1[[#This Row],[TIPO]])</f>
        <v>FGT999</v>
      </c>
      <c r="Y6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1" s="19"/>
      <c r="AA631" s="29" t="str">
        <f>IFERROR(VLOOKUP(CONCATENATE("B",Tabela1[[#This Row],[BLOCO]],Tabela1[[#This Row],[UO_COD]]),qdd!$AW$2:$AX$1000,2,FALSE),"")</f>
        <v/>
      </c>
      <c r="AB631" s="30" t="str">
        <f>IFERROR(Tabela1[[#This Row],[VALOR]]/100,"")</f>
        <v/>
      </c>
      <c r="AC631" s="7" t="str" cm="1">
        <f t="array" aca="1" ref="AC631" ca="1">IF(Tabela1[[#This Row],[VALOR]]&lt;0,"",IFERROR(SUBSTITUTE(Converter_numero(Tabela1[[#This Row],[VALOR INCISO]]),",",""),""))</f>
        <v/>
      </c>
      <c r="AD631" s="29" t="str">
        <f>IF(Tabela1[[#This Row],[TIPO]]=REGRAS!$W$2,REGRAS!$X$2,IF(Tabela1[[#This Row],[TIPO]]=REGRAS!$W$4,REGRAS!$X$4,""))</f>
        <v/>
      </c>
      <c r="AE631" s="29" t="e">
        <f>VLOOKUP(Tabela1[[#This Row],[FONTE_COD]],REGRAS!$O$2:$P$69,2,FALSE)</f>
        <v>#N/A</v>
      </c>
      <c r="AF6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2" spans="1:32" ht="18.75" customHeight="1">
      <c r="A632" s="2" t="str">
        <f>IFERROR(IF('PREENCHER AQUI'!A632="","",'PREENCHER AQUI'!A632),"")</f>
        <v/>
      </c>
      <c r="B632" s="1" t="str">
        <f>IFERROR(IF('PREENCHER AQUI'!B632="","",PROPER('PREENCHER AQUI'!B632)),"")</f>
        <v/>
      </c>
      <c r="C632" s="1" t="str">
        <f>IFERROR(IF('PREENCHER AQUI'!C632="","",'PREENCHER AQUI'!C632),"")</f>
        <v/>
      </c>
      <c r="D632" s="2" t="str">
        <f>IFERROR(IF('PREENCHER AQUI'!D632="","",'PREENCHER AQUI'!D632),"")</f>
        <v/>
      </c>
      <c r="E632" s="2" t="str">
        <f>IFERROR(VLOOKUP(CONCATENATE(C632,D632),qdd!$C$2:$F$1000,2,FALSE),"")</f>
        <v/>
      </c>
      <c r="F632" s="2" t="str">
        <f>IFERROR(VLOOKUP(CONCATENATE(C632,D632),qdd!$C$2:$F$1000,3,FALSE),"")</f>
        <v/>
      </c>
      <c r="G632" s="2" t="str">
        <f>IFERROR(VLOOKUP(CONCATENATE(C632,D632),qdd!$C$2:$F$1000,4,FALSE),"")</f>
        <v/>
      </c>
      <c r="H632" s="6" t="str">
        <f t="shared" si="20"/>
        <v/>
      </c>
      <c r="I6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2" s="2" t="str">
        <f>IFERROR(IF('PREENCHER AQUI'!E632="","",'PREENCHER AQUI'!E632),"")</f>
        <v/>
      </c>
      <c r="K632" s="2" t="str">
        <f>IFERROR(IF('PREENCHER AQUI'!F632="","",'PREENCHER AQUI'!F632),"")</f>
        <v/>
      </c>
      <c r="L632" s="2" t="str">
        <f>IF(Tabela1[[#This Row],[IPU_COD]]=9,"91",IF(Tabela1[[#This Row],[ACAO_COD]]="","",VLOOKUP(CONCATENATE("G",J632,"M",K632),qdd!$BC$2:$BD$46,2,FALSE)))</f>
        <v/>
      </c>
      <c r="M632" s="2" t="str">
        <f>TEXT(IFERROR(VLOOKUP(CONCATENATE(C632,D632),qdd!$C$2:$G$1000,5,FALSE),""),0)</f>
        <v/>
      </c>
      <c r="N632" s="2" t="str">
        <f>IFERROR(IF('PREENCHER AQUI'!I632="","",'PREENCHER AQUI'!I632),"")</f>
        <v/>
      </c>
      <c r="O632" s="2" t="str">
        <f>IFERROR(IF('PREENCHER AQUI'!J632="","",'PREENCHER AQUI'!J632),"")</f>
        <v/>
      </c>
      <c r="P632" s="7" t="str">
        <f t="shared" si="21"/>
        <v/>
      </c>
      <c r="Q632" s="8" t="str">
        <f>IFERROR(IF(Tabela4[[#This Row],[VALOR]]="","",IF(Tabela1[[#This Row],[ORIENTACAO]]="Anular",'PREENCHER AQUI'!K632*-1*100,'PREENCHER AQUI'!K632*100)),"")</f>
        <v/>
      </c>
      <c r="T632" s="7" t="str">
        <f>IFERROR(IF('PREENCHER AQUI'!L632="","999",LEFT('PREENCHER AQUI'!L632,1)),"")</f>
        <v>999</v>
      </c>
      <c r="W632" s="1" t="str">
        <f>IFERROR(VLOOKUP(Tabela1[[#This Row],[UO_COD]],qdd!$AT$1:$AU$102,2,FALSE),"")</f>
        <v/>
      </c>
      <c r="X632" s="1" t="str">
        <f>CONCATENATE("F",Tabela1[[#This Row],[FONTE_COD]],Tabela1[[#This Row],[IPU_COD]],"G",Tabela1[[#This Row],[GRUPO_COD]],"T",Tabela1[[#This Row],[TIPO]])</f>
        <v>FGT999</v>
      </c>
      <c r="Y6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2" s="19"/>
      <c r="AA632" s="29" t="str">
        <f>IFERROR(VLOOKUP(CONCATENATE("B",Tabela1[[#This Row],[BLOCO]],Tabela1[[#This Row],[UO_COD]]),qdd!$AW$2:$AX$1000,2,FALSE),"")</f>
        <v/>
      </c>
      <c r="AB632" s="30" t="str">
        <f>IFERROR(Tabela1[[#This Row],[VALOR]]/100,"")</f>
        <v/>
      </c>
      <c r="AC632" s="7" t="str" cm="1">
        <f t="array" aca="1" ref="AC632" ca="1">IF(Tabela1[[#This Row],[VALOR]]&lt;0,"",IFERROR(SUBSTITUTE(Converter_numero(Tabela1[[#This Row],[VALOR INCISO]]),",",""),""))</f>
        <v/>
      </c>
      <c r="AD632" s="7" t="str">
        <f>IF(Tabela1[[#This Row],[TIPO]]=REGRAS!$W$2,REGRAS!$X$2,IF(Tabela1[[#This Row],[TIPO]]=REGRAS!$W$4,REGRAS!$X$4,""))</f>
        <v/>
      </c>
      <c r="AE632" s="29" t="e">
        <f>VLOOKUP(Tabela1[[#This Row],[FONTE_COD]],REGRAS!$O$2:$P$69,2,FALSE)</f>
        <v>#N/A</v>
      </c>
      <c r="AF6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3" spans="1:32" ht="18.75" customHeight="1">
      <c r="A633" s="2" t="str">
        <f>IFERROR(IF('PREENCHER AQUI'!A633="","",'PREENCHER AQUI'!A633),"")</f>
        <v/>
      </c>
      <c r="B633" s="1" t="str">
        <f>IFERROR(IF('PREENCHER AQUI'!B633="","",PROPER('PREENCHER AQUI'!B633)),"")</f>
        <v/>
      </c>
      <c r="C633" s="1" t="str">
        <f>IFERROR(IF('PREENCHER AQUI'!C633="","",'PREENCHER AQUI'!C633),"")</f>
        <v/>
      </c>
      <c r="D633" s="2" t="str">
        <f>IFERROR(IF('PREENCHER AQUI'!D633="","",'PREENCHER AQUI'!D633),"")</f>
        <v/>
      </c>
      <c r="E633" s="2" t="str">
        <f>IFERROR(VLOOKUP(CONCATENATE(C633,D633),qdd!$C$2:$F$1000,2,FALSE),"")</f>
        <v/>
      </c>
      <c r="F633" s="2" t="str">
        <f>IFERROR(VLOOKUP(CONCATENATE(C633,D633),qdd!$C$2:$F$1000,3,FALSE),"")</f>
        <v/>
      </c>
      <c r="G633" s="2" t="str">
        <f>IFERROR(VLOOKUP(CONCATENATE(C633,D633),qdd!$C$2:$F$1000,4,FALSE),"")</f>
        <v/>
      </c>
      <c r="H633" s="6" t="str">
        <f t="shared" si="20"/>
        <v/>
      </c>
      <c r="I6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3" s="2" t="str">
        <f>IFERROR(IF('PREENCHER AQUI'!E633="","",'PREENCHER AQUI'!E633),"")</f>
        <v/>
      </c>
      <c r="K633" s="2" t="str">
        <f>IFERROR(IF('PREENCHER AQUI'!F633="","",'PREENCHER AQUI'!F633),"")</f>
        <v/>
      </c>
      <c r="L633" s="2" t="str">
        <f>IF(Tabela1[[#This Row],[IPU_COD]]=9,"91",IF(Tabela1[[#This Row],[ACAO_COD]]="","",VLOOKUP(CONCATENATE("G",J633,"M",K633),qdd!$BC$2:$BD$46,2,FALSE)))</f>
        <v/>
      </c>
      <c r="M633" s="2" t="str">
        <f>TEXT(IFERROR(VLOOKUP(CONCATENATE(C633,D633),qdd!$C$2:$G$1000,5,FALSE),""),0)</f>
        <v/>
      </c>
      <c r="N633" s="2" t="str">
        <f>IFERROR(IF('PREENCHER AQUI'!I633="","",'PREENCHER AQUI'!I633),"")</f>
        <v/>
      </c>
      <c r="O633" s="2" t="str">
        <f>IFERROR(IF('PREENCHER AQUI'!J633="","",'PREENCHER AQUI'!J633),"")</f>
        <v/>
      </c>
      <c r="P633" s="7" t="str">
        <f t="shared" si="21"/>
        <v/>
      </c>
      <c r="Q633" s="8" t="str">
        <f>IFERROR(IF(Tabela4[[#This Row],[VALOR]]="","",IF(Tabela1[[#This Row],[ORIENTACAO]]="Anular",'PREENCHER AQUI'!K633*-1*100,'PREENCHER AQUI'!K633*100)),"")</f>
        <v/>
      </c>
      <c r="T633" s="7" t="str">
        <f>IFERROR(IF('PREENCHER AQUI'!L633="","999",LEFT('PREENCHER AQUI'!L633,1)),"")</f>
        <v>999</v>
      </c>
      <c r="V633" s="19"/>
      <c r="W633" s="1" t="str">
        <f>IFERROR(VLOOKUP(Tabela1[[#This Row],[UO_COD]],qdd!$AT$1:$AU$102,2,FALSE),"")</f>
        <v/>
      </c>
      <c r="X633" s="1" t="str">
        <f>CONCATENATE("F",Tabela1[[#This Row],[FONTE_COD]],Tabela1[[#This Row],[IPU_COD]],"G",Tabela1[[#This Row],[GRUPO_COD]],"T",Tabela1[[#This Row],[TIPO]])</f>
        <v>FGT999</v>
      </c>
      <c r="Y6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3" s="19"/>
      <c r="AA633" s="29" t="str">
        <f>IFERROR(VLOOKUP(CONCATENATE("B",Tabela1[[#This Row],[BLOCO]],Tabela1[[#This Row],[UO_COD]]),qdd!$AW$2:$AX$1000,2,FALSE),"")</f>
        <v/>
      </c>
      <c r="AB633" s="30" t="str">
        <f>IFERROR(Tabela1[[#This Row],[VALOR]]/100,"")</f>
        <v/>
      </c>
      <c r="AC633" s="7" t="str" cm="1">
        <f t="array" aca="1" ref="AC633" ca="1">IF(Tabela1[[#This Row],[VALOR]]&lt;0,"",IFERROR(SUBSTITUTE(Converter_numero(Tabela1[[#This Row],[VALOR INCISO]]),",",""),""))</f>
        <v/>
      </c>
      <c r="AD633" s="29" t="str">
        <f>IF(Tabela1[[#This Row],[TIPO]]=REGRAS!$W$2,REGRAS!$X$2,IF(Tabela1[[#This Row],[TIPO]]=REGRAS!$W$4,REGRAS!$X$4,""))</f>
        <v/>
      </c>
      <c r="AE633" s="29" t="e">
        <f>VLOOKUP(Tabela1[[#This Row],[FONTE_COD]],REGRAS!$O$2:$P$69,2,FALSE)</f>
        <v>#N/A</v>
      </c>
      <c r="AF6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4" spans="1:32" ht="18.75" customHeight="1">
      <c r="A634" s="2" t="str">
        <f>IFERROR(IF('PREENCHER AQUI'!A634="","",'PREENCHER AQUI'!A634),"")</f>
        <v/>
      </c>
      <c r="B634" s="1" t="str">
        <f>IFERROR(IF('PREENCHER AQUI'!B634="","",PROPER('PREENCHER AQUI'!B634)),"")</f>
        <v/>
      </c>
      <c r="C634" s="1" t="str">
        <f>IFERROR(IF('PREENCHER AQUI'!C634="","",'PREENCHER AQUI'!C634),"")</f>
        <v/>
      </c>
      <c r="D634" s="2" t="str">
        <f>IFERROR(IF('PREENCHER AQUI'!D634="","",'PREENCHER AQUI'!D634),"")</f>
        <v/>
      </c>
      <c r="E634" s="2" t="str">
        <f>IFERROR(VLOOKUP(CONCATENATE(C634,D634),qdd!$C$2:$F$1000,2,FALSE),"")</f>
        <v/>
      </c>
      <c r="F634" s="2" t="str">
        <f>IFERROR(VLOOKUP(CONCATENATE(C634,D634),qdd!$C$2:$F$1000,3,FALSE),"")</f>
        <v/>
      </c>
      <c r="G634" s="2" t="str">
        <f>IFERROR(VLOOKUP(CONCATENATE(C634,D634),qdd!$C$2:$F$1000,4,FALSE),"")</f>
        <v/>
      </c>
      <c r="H634" s="6" t="str">
        <f t="shared" si="20"/>
        <v/>
      </c>
      <c r="I6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4" s="2" t="str">
        <f>IFERROR(IF('PREENCHER AQUI'!E634="","",'PREENCHER AQUI'!E634),"")</f>
        <v/>
      </c>
      <c r="K634" s="2" t="str">
        <f>IFERROR(IF('PREENCHER AQUI'!F634="","",'PREENCHER AQUI'!F634),"")</f>
        <v/>
      </c>
      <c r="L634" s="2" t="str">
        <f>IF(Tabela1[[#This Row],[IPU_COD]]=9,"91",IF(Tabela1[[#This Row],[ACAO_COD]]="","",VLOOKUP(CONCATENATE("G",J634,"M",K634),qdd!$BC$2:$BD$46,2,FALSE)))</f>
        <v/>
      </c>
      <c r="M634" s="2" t="str">
        <f>TEXT(IFERROR(VLOOKUP(CONCATENATE(C634,D634),qdd!$C$2:$G$1000,5,FALSE),""),0)</f>
        <v/>
      </c>
      <c r="N634" s="2" t="str">
        <f>IFERROR(IF('PREENCHER AQUI'!I634="","",'PREENCHER AQUI'!I634),"")</f>
        <v/>
      </c>
      <c r="O634" s="2" t="str">
        <f>IFERROR(IF('PREENCHER AQUI'!J634="","",'PREENCHER AQUI'!J634),"")</f>
        <v/>
      </c>
      <c r="P634" s="7" t="str">
        <f t="shared" si="21"/>
        <v/>
      </c>
      <c r="Q634" s="8" t="str">
        <f>IFERROR(IF(Tabela4[[#This Row],[VALOR]]="","",IF(Tabela1[[#This Row],[ORIENTACAO]]="Anular",'PREENCHER AQUI'!K634*-1*100,'PREENCHER AQUI'!K634*100)),"")</f>
        <v/>
      </c>
      <c r="T634" s="7" t="str">
        <f>IFERROR(IF('PREENCHER AQUI'!L634="","999",LEFT('PREENCHER AQUI'!L634,1)),"")</f>
        <v>999</v>
      </c>
      <c r="V634" s="19"/>
      <c r="W634" s="1" t="str">
        <f>IFERROR(VLOOKUP(Tabela1[[#This Row],[UO_COD]],qdd!$AT$1:$AU$102,2,FALSE),"")</f>
        <v/>
      </c>
      <c r="X634" s="1" t="str">
        <f>CONCATENATE("F",Tabela1[[#This Row],[FONTE_COD]],Tabela1[[#This Row],[IPU_COD]],"G",Tabela1[[#This Row],[GRUPO_COD]],"T",Tabela1[[#This Row],[TIPO]])</f>
        <v>FGT999</v>
      </c>
      <c r="Y6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4" s="19"/>
      <c r="AA634" s="29" t="str">
        <f>IFERROR(VLOOKUP(CONCATENATE("B",Tabela1[[#This Row],[BLOCO]],Tabela1[[#This Row],[UO_COD]]),qdd!$AW$2:$AX$1000,2,FALSE),"")</f>
        <v/>
      </c>
      <c r="AB634" s="30" t="str">
        <f>IFERROR(Tabela1[[#This Row],[VALOR]]/100,"")</f>
        <v/>
      </c>
      <c r="AC634" s="7" t="str" cm="1">
        <f t="array" aca="1" ref="AC634" ca="1">IF(Tabela1[[#This Row],[VALOR]]&lt;0,"",IFERROR(SUBSTITUTE(Converter_numero(Tabela1[[#This Row],[VALOR INCISO]]),",",""),""))</f>
        <v/>
      </c>
      <c r="AD634" s="29" t="str">
        <f>IF(Tabela1[[#This Row],[TIPO]]=REGRAS!$W$2,REGRAS!$X$2,IF(Tabela1[[#This Row],[TIPO]]=REGRAS!$W$4,REGRAS!$X$4,""))</f>
        <v/>
      </c>
      <c r="AE634" s="29" t="e">
        <f>VLOOKUP(Tabela1[[#This Row],[FONTE_COD]],REGRAS!$O$2:$P$69,2,FALSE)</f>
        <v>#N/A</v>
      </c>
      <c r="AF6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5" spans="1:32" ht="18.75" customHeight="1">
      <c r="A635" s="2" t="str">
        <f>IFERROR(IF('PREENCHER AQUI'!A635="","",'PREENCHER AQUI'!A635),"")</f>
        <v/>
      </c>
      <c r="B635" s="1" t="str">
        <f>IFERROR(IF('PREENCHER AQUI'!B635="","",PROPER('PREENCHER AQUI'!B635)),"")</f>
        <v/>
      </c>
      <c r="C635" s="1" t="str">
        <f>IFERROR(IF('PREENCHER AQUI'!C635="","",'PREENCHER AQUI'!C635),"")</f>
        <v/>
      </c>
      <c r="D635" s="2" t="str">
        <f>IFERROR(IF('PREENCHER AQUI'!D635="","",'PREENCHER AQUI'!D635),"")</f>
        <v/>
      </c>
      <c r="E635" s="2" t="str">
        <f>IFERROR(VLOOKUP(CONCATENATE(C635,D635),qdd!$C$2:$F$1000,2,FALSE),"")</f>
        <v/>
      </c>
      <c r="F635" s="2" t="str">
        <f>IFERROR(VLOOKUP(CONCATENATE(C635,D635),qdd!$C$2:$F$1000,3,FALSE),"")</f>
        <v/>
      </c>
      <c r="G635" s="2" t="str">
        <f>IFERROR(VLOOKUP(CONCATENATE(C635,D635),qdd!$C$2:$F$1000,4,FALSE),"")</f>
        <v/>
      </c>
      <c r="H635" s="6" t="str">
        <f t="shared" si="20"/>
        <v/>
      </c>
      <c r="I6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5" s="2" t="str">
        <f>IFERROR(IF('PREENCHER AQUI'!E635="","",'PREENCHER AQUI'!E635),"")</f>
        <v/>
      </c>
      <c r="K635" s="2" t="str">
        <f>IFERROR(IF('PREENCHER AQUI'!F635="","",'PREENCHER AQUI'!F635),"")</f>
        <v/>
      </c>
      <c r="L635" s="2" t="str">
        <f>IF(Tabela1[[#This Row],[IPU_COD]]=9,"91",IF(Tabela1[[#This Row],[ACAO_COD]]="","",VLOOKUP(CONCATENATE("G",J635,"M",K635),qdd!$BC$2:$BD$46,2,FALSE)))</f>
        <v/>
      </c>
      <c r="M635" s="2" t="str">
        <f>TEXT(IFERROR(VLOOKUP(CONCATENATE(C635,D635),qdd!$C$2:$G$1000,5,FALSE),""),0)</f>
        <v/>
      </c>
      <c r="N635" s="2" t="str">
        <f>IFERROR(IF('PREENCHER AQUI'!I635="","",'PREENCHER AQUI'!I635),"")</f>
        <v/>
      </c>
      <c r="O635" s="2" t="str">
        <f>IFERROR(IF('PREENCHER AQUI'!J635="","",'PREENCHER AQUI'!J635),"")</f>
        <v/>
      </c>
      <c r="P635" s="7" t="str">
        <f t="shared" si="21"/>
        <v/>
      </c>
      <c r="Q635" s="8" t="str">
        <f>IFERROR(IF(Tabela4[[#This Row],[VALOR]]="","",IF(Tabela1[[#This Row],[ORIENTACAO]]="Anular",'PREENCHER AQUI'!K635*-1*100,'PREENCHER AQUI'!K635*100)),"")</f>
        <v/>
      </c>
      <c r="T635" s="7" t="str">
        <f>IFERROR(IF('PREENCHER AQUI'!L635="","999",LEFT('PREENCHER AQUI'!L635,1)),"")</f>
        <v>999</v>
      </c>
      <c r="V635" s="19"/>
      <c r="W635" s="20" t="str">
        <f>IFERROR(VLOOKUP(Tabela1[[#This Row],[UO_COD]],qdd!$AT$1:$AU$102,2,FALSE),"")</f>
        <v/>
      </c>
      <c r="X635" s="20" t="str">
        <f>CONCATENATE("F",Tabela1[[#This Row],[FONTE_COD]],Tabela1[[#This Row],[IPU_COD]],"G",Tabela1[[#This Row],[GRUPO_COD]],"T",Tabela1[[#This Row],[TIPO]])</f>
        <v>FGT999</v>
      </c>
      <c r="Y6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5" s="19"/>
      <c r="AA635" s="29" t="str">
        <f>IFERROR(VLOOKUP(CONCATENATE("B",Tabela1[[#This Row],[BLOCO]],Tabela1[[#This Row],[UO_COD]]),qdd!$AW$2:$AX$1000,2,FALSE),"")</f>
        <v/>
      </c>
      <c r="AB635" s="30" t="str">
        <f>IFERROR(Tabela1[[#This Row],[VALOR]]/100,"")</f>
        <v/>
      </c>
      <c r="AC635" s="7" t="str" cm="1">
        <f t="array" aca="1" ref="AC635" ca="1">IF(Tabela1[[#This Row],[VALOR]]&lt;0,"",IFERROR(SUBSTITUTE(Converter_numero(Tabela1[[#This Row],[VALOR INCISO]]),",",""),""))</f>
        <v/>
      </c>
      <c r="AD635" s="29" t="str">
        <f>IF(Tabela1[[#This Row],[TIPO]]=REGRAS!$W$2,REGRAS!$X$2,IF(Tabela1[[#This Row],[TIPO]]=REGRAS!$W$4,REGRAS!$X$4,""))</f>
        <v/>
      </c>
      <c r="AE635" s="29" t="e">
        <f>VLOOKUP(Tabela1[[#This Row],[FONTE_COD]],REGRAS!$O$2:$P$69,2,FALSE)</f>
        <v>#N/A</v>
      </c>
      <c r="AF6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6" spans="1:32" ht="18.75" customHeight="1">
      <c r="A636" s="2" t="str">
        <f>IFERROR(IF('PREENCHER AQUI'!A636="","",'PREENCHER AQUI'!A636),"")</f>
        <v/>
      </c>
      <c r="B636" s="1" t="str">
        <f>IFERROR(IF('PREENCHER AQUI'!B636="","",PROPER('PREENCHER AQUI'!B636)),"")</f>
        <v/>
      </c>
      <c r="C636" s="1" t="str">
        <f>IFERROR(IF('PREENCHER AQUI'!C636="","",'PREENCHER AQUI'!C636),"")</f>
        <v/>
      </c>
      <c r="D636" s="2" t="str">
        <f>IFERROR(IF('PREENCHER AQUI'!D636="","",'PREENCHER AQUI'!D636),"")</f>
        <v/>
      </c>
      <c r="E636" s="2" t="str">
        <f>IFERROR(VLOOKUP(CONCATENATE(C636,D636),qdd!$C$2:$F$1000,2,FALSE),"")</f>
        <v/>
      </c>
      <c r="F636" s="2" t="str">
        <f>IFERROR(VLOOKUP(CONCATENATE(C636,D636),qdd!$C$2:$F$1000,3,FALSE),"")</f>
        <v/>
      </c>
      <c r="G636" s="2" t="str">
        <f>IFERROR(VLOOKUP(CONCATENATE(C636,D636),qdd!$C$2:$F$1000,4,FALSE),"")</f>
        <v/>
      </c>
      <c r="H636" s="6" t="str">
        <f t="shared" si="20"/>
        <v/>
      </c>
      <c r="I6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6" s="2" t="str">
        <f>IFERROR(IF('PREENCHER AQUI'!E636="","",'PREENCHER AQUI'!E636),"")</f>
        <v/>
      </c>
      <c r="K636" s="2" t="str">
        <f>IFERROR(IF('PREENCHER AQUI'!F636="","",'PREENCHER AQUI'!F636),"")</f>
        <v/>
      </c>
      <c r="L636" s="2" t="str">
        <f>IF(Tabela1[[#This Row],[IPU_COD]]=9,"91",IF(Tabela1[[#This Row],[ACAO_COD]]="","",VLOOKUP(CONCATENATE("G",J636,"M",K636),qdd!$BC$2:$BD$46,2,FALSE)))</f>
        <v/>
      </c>
      <c r="M636" s="2" t="str">
        <f>TEXT(IFERROR(VLOOKUP(CONCATENATE(C636,D636),qdd!$C$2:$G$1000,5,FALSE),""),0)</f>
        <v/>
      </c>
      <c r="N636" s="2" t="str">
        <f>IFERROR(IF('PREENCHER AQUI'!I636="","",'PREENCHER AQUI'!I636),"")</f>
        <v/>
      </c>
      <c r="O636" s="2" t="str">
        <f>IFERROR(IF('PREENCHER AQUI'!J636="","",'PREENCHER AQUI'!J636),"")</f>
        <v/>
      </c>
      <c r="P636" s="7" t="str">
        <f t="shared" si="21"/>
        <v/>
      </c>
      <c r="Q636" s="8" t="str">
        <f>IFERROR(IF(Tabela4[[#This Row],[VALOR]]="","",IF(Tabela1[[#This Row],[ORIENTACAO]]="Anular",'PREENCHER AQUI'!K636*-1*100,'PREENCHER AQUI'!K636*100)),"")</f>
        <v/>
      </c>
      <c r="T636" s="7" t="str">
        <f>IFERROR(IF('PREENCHER AQUI'!L636="","999",LEFT('PREENCHER AQUI'!L636,1)),"")</f>
        <v>999</v>
      </c>
      <c r="V636" s="19"/>
      <c r="W636" s="1" t="str">
        <f>IFERROR(VLOOKUP(Tabela1[[#This Row],[UO_COD]],qdd!$AT$1:$AU$102,2,FALSE),"")</f>
        <v/>
      </c>
      <c r="X636" s="1" t="str">
        <f>CONCATENATE("F",Tabela1[[#This Row],[FONTE_COD]],Tabela1[[#This Row],[IPU_COD]],"G",Tabela1[[#This Row],[GRUPO_COD]],"T",Tabela1[[#This Row],[TIPO]])</f>
        <v>FGT999</v>
      </c>
      <c r="Y6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6" s="19"/>
      <c r="AA636" s="29" t="str">
        <f>IFERROR(VLOOKUP(CONCATENATE("B",Tabela1[[#This Row],[BLOCO]],Tabela1[[#This Row],[UO_COD]]),qdd!$AW$2:$AX$1000,2,FALSE),"")</f>
        <v/>
      </c>
      <c r="AB636" s="30" t="str">
        <f>IFERROR(Tabela1[[#This Row],[VALOR]]/100,"")</f>
        <v/>
      </c>
      <c r="AC636" s="7" t="str" cm="1">
        <f t="array" aca="1" ref="AC636" ca="1">IF(Tabela1[[#This Row],[VALOR]]&lt;0,"",IFERROR(SUBSTITUTE(Converter_numero(Tabela1[[#This Row],[VALOR INCISO]]),",",""),""))</f>
        <v/>
      </c>
      <c r="AD636" s="29" t="str">
        <f>IF(Tabela1[[#This Row],[TIPO]]=REGRAS!$W$2,REGRAS!$X$2,IF(Tabela1[[#This Row],[TIPO]]=REGRAS!$W$4,REGRAS!$X$4,""))</f>
        <v/>
      </c>
      <c r="AE636" s="29" t="e">
        <f>VLOOKUP(Tabela1[[#This Row],[FONTE_COD]],REGRAS!$O$2:$P$69,2,FALSE)</f>
        <v>#N/A</v>
      </c>
      <c r="AF6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7" spans="1:32" ht="18.75" customHeight="1">
      <c r="A637" s="2" t="str">
        <f>IFERROR(IF('PREENCHER AQUI'!A637="","",'PREENCHER AQUI'!A637),"")</f>
        <v/>
      </c>
      <c r="B637" s="1" t="str">
        <f>IFERROR(IF('PREENCHER AQUI'!B637="","",PROPER('PREENCHER AQUI'!B637)),"")</f>
        <v/>
      </c>
      <c r="C637" s="1" t="str">
        <f>IFERROR(IF('PREENCHER AQUI'!C637="","",'PREENCHER AQUI'!C637),"")</f>
        <v/>
      </c>
      <c r="D637" s="2" t="str">
        <f>IFERROR(IF('PREENCHER AQUI'!D637="","",'PREENCHER AQUI'!D637),"")</f>
        <v/>
      </c>
      <c r="E637" s="2" t="str">
        <f>IFERROR(VLOOKUP(CONCATENATE(C637,D637),qdd!$C$2:$F$1000,2,FALSE),"")</f>
        <v/>
      </c>
      <c r="F637" s="2" t="str">
        <f>IFERROR(VLOOKUP(CONCATENATE(C637,D637),qdd!$C$2:$F$1000,3,FALSE),"")</f>
        <v/>
      </c>
      <c r="G637" s="2" t="str">
        <f>IFERROR(VLOOKUP(CONCATENATE(C637,D637),qdd!$C$2:$F$1000,4,FALSE),"")</f>
        <v/>
      </c>
      <c r="H637" s="6" t="str">
        <f t="shared" si="20"/>
        <v/>
      </c>
      <c r="I6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7" s="2" t="str">
        <f>IFERROR(IF('PREENCHER AQUI'!E637="","",'PREENCHER AQUI'!E637),"")</f>
        <v/>
      </c>
      <c r="K637" s="2" t="str">
        <f>IFERROR(IF('PREENCHER AQUI'!F637="","",'PREENCHER AQUI'!F637),"")</f>
        <v/>
      </c>
      <c r="L637" s="2" t="str">
        <f>IF(Tabela1[[#This Row],[IPU_COD]]=9,"91",IF(Tabela1[[#This Row],[ACAO_COD]]="","",VLOOKUP(CONCATENATE("G",J637,"M",K637),qdd!$BC$2:$BD$46,2,FALSE)))</f>
        <v/>
      </c>
      <c r="M637" s="2" t="str">
        <f>TEXT(IFERROR(VLOOKUP(CONCATENATE(C637,D637),qdd!$C$2:$G$1000,5,FALSE),""),0)</f>
        <v/>
      </c>
      <c r="N637" s="2" t="str">
        <f>IFERROR(IF('PREENCHER AQUI'!I637="","",'PREENCHER AQUI'!I637),"")</f>
        <v/>
      </c>
      <c r="O637" s="2" t="str">
        <f>IFERROR(IF('PREENCHER AQUI'!J637="","",'PREENCHER AQUI'!J637),"")</f>
        <v/>
      </c>
      <c r="P637" s="7" t="str">
        <f t="shared" si="21"/>
        <v/>
      </c>
      <c r="Q637" s="8" t="str">
        <f>IFERROR(IF(Tabela4[[#This Row],[VALOR]]="","",IF(Tabela1[[#This Row],[ORIENTACAO]]="Anular",'PREENCHER AQUI'!K637*-1*100,'PREENCHER AQUI'!K637*100)),"")</f>
        <v/>
      </c>
      <c r="T637" s="7" t="str">
        <f>IFERROR(IF('PREENCHER AQUI'!L637="","999",LEFT('PREENCHER AQUI'!L637,1)),"")</f>
        <v>999</v>
      </c>
      <c r="W637" s="1" t="str">
        <f>IFERROR(VLOOKUP(Tabela1[[#This Row],[UO_COD]],qdd!$AT$1:$AU$102,2,FALSE),"")</f>
        <v/>
      </c>
      <c r="X637" s="1" t="str">
        <f>CONCATENATE("F",Tabela1[[#This Row],[FONTE_COD]],Tabela1[[#This Row],[IPU_COD]],"G",Tabela1[[#This Row],[GRUPO_COD]],"T",Tabela1[[#This Row],[TIPO]])</f>
        <v>FGT999</v>
      </c>
      <c r="Y6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7" s="19"/>
      <c r="AA637" s="29" t="str">
        <f>IFERROR(VLOOKUP(CONCATENATE("B",Tabela1[[#This Row],[BLOCO]],Tabela1[[#This Row],[UO_COD]]),qdd!$AW$2:$AX$1000,2,FALSE),"")</f>
        <v/>
      </c>
      <c r="AB637" s="30" t="str">
        <f>IFERROR(Tabela1[[#This Row],[VALOR]]/100,"")</f>
        <v/>
      </c>
      <c r="AC637" s="7" t="str" cm="1">
        <f t="array" aca="1" ref="AC637" ca="1">IF(Tabela1[[#This Row],[VALOR]]&lt;0,"",IFERROR(SUBSTITUTE(Converter_numero(Tabela1[[#This Row],[VALOR INCISO]]),",",""),""))</f>
        <v/>
      </c>
      <c r="AD637" s="7" t="str">
        <f>IF(Tabela1[[#This Row],[TIPO]]=REGRAS!$W$2,REGRAS!$X$2,IF(Tabela1[[#This Row],[TIPO]]=REGRAS!$W$4,REGRAS!$X$4,""))</f>
        <v/>
      </c>
      <c r="AE637" s="29" t="e">
        <f>VLOOKUP(Tabela1[[#This Row],[FONTE_COD]],REGRAS!$O$2:$P$69,2,FALSE)</f>
        <v>#N/A</v>
      </c>
      <c r="AF6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8" spans="1:32" ht="18.75" customHeight="1">
      <c r="A638" s="2" t="str">
        <f>IFERROR(IF('PREENCHER AQUI'!A638="","",'PREENCHER AQUI'!A638),"")</f>
        <v/>
      </c>
      <c r="B638" s="1" t="str">
        <f>IFERROR(IF('PREENCHER AQUI'!B638="","",PROPER('PREENCHER AQUI'!B638)),"")</f>
        <v/>
      </c>
      <c r="C638" s="1" t="str">
        <f>IFERROR(IF('PREENCHER AQUI'!C638="","",'PREENCHER AQUI'!C638),"")</f>
        <v/>
      </c>
      <c r="D638" s="2" t="str">
        <f>IFERROR(IF('PREENCHER AQUI'!D638="","",'PREENCHER AQUI'!D638),"")</f>
        <v/>
      </c>
      <c r="E638" s="2" t="str">
        <f>IFERROR(VLOOKUP(CONCATENATE(C638,D638),qdd!$C$2:$F$1000,2,FALSE),"")</f>
        <v/>
      </c>
      <c r="F638" s="2" t="str">
        <f>IFERROR(VLOOKUP(CONCATENATE(C638,D638),qdd!$C$2:$F$1000,3,FALSE),"")</f>
        <v/>
      </c>
      <c r="G638" s="2" t="str">
        <f>IFERROR(VLOOKUP(CONCATENATE(C638,D638),qdd!$C$2:$F$1000,4,FALSE),"")</f>
        <v/>
      </c>
      <c r="H638" s="6" t="str">
        <f t="shared" si="20"/>
        <v/>
      </c>
      <c r="I6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8" s="2" t="str">
        <f>IFERROR(IF('PREENCHER AQUI'!E638="","",'PREENCHER AQUI'!E638),"")</f>
        <v/>
      </c>
      <c r="K638" s="2" t="str">
        <f>IFERROR(IF('PREENCHER AQUI'!F638="","",'PREENCHER AQUI'!F638),"")</f>
        <v/>
      </c>
      <c r="L638" s="2" t="str">
        <f>IF(Tabela1[[#This Row],[IPU_COD]]=9,"91",IF(Tabela1[[#This Row],[ACAO_COD]]="","",VLOOKUP(CONCATENATE("G",J638,"M",K638),qdd!$BC$2:$BD$46,2,FALSE)))</f>
        <v/>
      </c>
      <c r="M638" s="2" t="str">
        <f>TEXT(IFERROR(VLOOKUP(CONCATENATE(C638,D638),qdd!$C$2:$G$1000,5,FALSE),""),0)</f>
        <v/>
      </c>
      <c r="N638" s="2" t="str">
        <f>IFERROR(IF('PREENCHER AQUI'!I638="","",'PREENCHER AQUI'!I638),"")</f>
        <v/>
      </c>
      <c r="O638" s="2" t="str">
        <f>IFERROR(IF('PREENCHER AQUI'!J638="","",'PREENCHER AQUI'!J638),"")</f>
        <v/>
      </c>
      <c r="P638" s="7" t="str">
        <f t="shared" si="21"/>
        <v/>
      </c>
      <c r="Q638" s="8" t="str">
        <f>IFERROR(IF(Tabela4[[#This Row],[VALOR]]="","",IF(Tabela1[[#This Row],[ORIENTACAO]]="Anular",'PREENCHER AQUI'!K638*-1*100,'PREENCHER AQUI'!K638*100)),"")</f>
        <v/>
      </c>
      <c r="T638" s="7" t="str">
        <f>IFERROR(IF('PREENCHER AQUI'!L638="","999",LEFT('PREENCHER AQUI'!L638,1)),"")</f>
        <v>999</v>
      </c>
      <c r="V638" s="19"/>
      <c r="W638" s="1" t="str">
        <f>IFERROR(VLOOKUP(Tabela1[[#This Row],[UO_COD]],qdd!$AT$1:$AU$102,2,FALSE),"")</f>
        <v/>
      </c>
      <c r="X638" s="1" t="str">
        <f>CONCATENATE("F",Tabela1[[#This Row],[FONTE_COD]],Tabela1[[#This Row],[IPU_COD]],"G",Tabela1[[#This Row],[GRUPO_COD]],"T",Tabela1[[#This Row],[TIPO]])</f>
        <v>FGT999</v>
      </c>
      <c r="Y6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8" s="19"/>
      <c r="AA638" s="29" t="str">
        <f>IFERROR(VLOOKUP(CONCATENATE("B",Tabela1[[#This Row],[BLOCO]],Tabela1[[#This Row],[UO_COD]]),qdd!$AW$2:$AX$1000,2,FALSE),"")</f>
        <v/>
      </c>
      <c r="AB638" s="30" t="str">
        <f>IFERROR(Tabela1[[#This Row],[VALOR]]/100,"")</f>
        <v/>
      </c>
      <c r="AC638" s="7" t="str" cm="1">
        <f t="array" aca="1" ref="AC638" ca="1">IF(Tabela1[[#This Row],[VALOR]]&lt;0,"",IFERROR(SUBSTITUTE(Converter_numero(Tabela1[[#This Row],[VALOR INCISO]]),",",""),""))</f>
        <v/>
      </c>
      <c r="AD638" s="29" t="str">
        <f>IF(Tabela1[[#This Row],[TIPO]]=REGRAS!$W$2,REGRAS!$X$2,IF(Tabela1[[#This Row],[TIPO]]=REGRAS!$W$4,REGRAS!$X$4,""))</f>
        <v/>
      </c>
      <c r="AE638" s="29" t="e">
        <f>VLOOKUP(Tabela1[[#This Row],[FONTE_COD]],REGRAS!$O$2:$P$69,2,FALSE)</f>
        <v>#N/A</v>
      </c>
      <c r="AF6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9" spans="1:32" ht="18.75" customHeight="1">
      <c r="A639" s="2" t="str">
        <f>IFERROR(IF('PREENCHER AQUI'!A639="","",'PREENCHER AQUI'!A639),"")</f>
        <v/>
      </c>
      <c r="B639" s="1" t="str">
        <f>IFERROR(IF('PREENCHER AQUI'!B639="","",PROPER('PREENCHER AQUI'!B639)),"")</f>
        <v/>
      </c>
      <c r="C639" s="1" t="str">
        <f>IFERROR(IF('PREENCHER AQUI'!C639="","",'PREENCHER AQUI'!C639),"")</f>
        <v/>
      </c>
      <c r="D639" s="2" t="str">
        <f>IFERROR(IF('PREENCHER AQUI'!D639="","",'PREENCHER AQUI'!D639),"")</f>
        <v/>
      </c>
      <c r="E639" s="2" t="str">
        <f>IFERROR(VLOOKUP(CONCATENATE(C639,D639),qdd!$C$2:$F$1000,2,FALSE),"")</f>
        <v/>
      </c>
      <c r="F639" s="2" t="str">
        <f>IFERROR(VLOOKUP(CONCATENATE(C639,D639),qdd!$C$2:$F$1000,3,FALSE),"")</f>
        <v/>
      </c>
      <c r="G639" s="2" t="str">
        <f>IFERROR(VLOOKUP(CONCATENATE(C639,D639),qdd!$C$2:$F$1000,4,FALSE),"")</f>
        <v/>
      </c>
      <c r="H639" s="6" t="str">
        <f t="shared" si="20"/>
        <v/>
      </c>
      <c r="I6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9" s="2" t="str">
        <f>IFERROR(IF('PREENCHER AQUI'!E639="","",'PREENCHER AQUI'!E639),"")</f>
        <v/>
      </c>
      <c r="K639" s="2" t="str">
        <f>IFERROR(IF('PREENCHER AQUI'!F639="","",'PREENCHER AQUI'!F639),"")</f>
        <v/>
      </c>
      <c r="L639" s="2" t="str">
        <f>IF(Tabela1[[#This Row],[IPU_COD]]=9,"91",IF(Tabela1[[#This Row],[ACAO_COD]]="","",VLOOKUP(CONCATENATE("G",J639,"M",K639),qdd!$BC$2:$BD$46,2,FALSE)))</f>
        <v/>
      </c>
      <c r="M639" s="2" t="str">
        <f>TEXT(IFERROR(VLOOKUP(CONCATENATE(C639,D639),qdd!$C$2:$G$1000,5,FALSE),""),0)</f>
        <v/>
      </c>
      <c r="N639" s="2" t="str">
        <f>IFERROR(IF('PREENCHER AQUI'!I639="","",'PREENCHER AQUI'!I639),"")</f>
        <v/>
      </c>
      <c r="O639" s="2" t="str">
        <f>IFERROR(IF('PREENCHER AQUI'!J639="","",'PREENCHER AQUI'!J639),"")</f>
        <v/>
      </c>
      <c r="P639" s="7" t="str">
        <f t="shared" si="21"/>
        <v/>
      </c>
      <c r="Q639" s="8" t="str">
        <f>IFERROR(IF(Tabela4[[#This Row],[VALOR]]="","",IF(Tabela1[[#This Row],[ORIENTACAO]]="Anular",'PREENCHER AQUI'!K639*-1*100,'PREENCHER AQUI'!K639*100)),"")</f>
        <v/>
      </c>
      <c r="T639" s="7" t="str">
        <f>IFERROR(IF('PREENCHER AQUI'!L639="","999",LEFT('PREENCHER AQUI'!L639,1)),"")</f>
        <v>999</v>
      </c>
      <c r="V639" s="19"/>
      <c r="W639" s="1" t="str">
        <f>IFERROR(VLOOKUP(Tabela1[[#This Row],[UO_COD]],qdd!$AT$1:$AU$102,2,FALSE),"")</f>
        <v/>
      </c>
      <c r="X639" s="1" t="str">
        <f>CONCATENATE("F",Tabela1[[#This Row],[FONTE_COD]],Tabela1[[#This Row],[IPU_COD]],"G",Tabela1[[#This Row],[GRUPO_COD]],"T",Tabela1[[#This Row],[TIPO]])</f>
        <v>FGT999</v>
      </c>
      <c r="Y6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9" s="19"/>
      <c r="AA639" s="29" t="str">
        <f>IFERROR(VLOOKUP(CONCATENATE("B",Tabela1[[#This Row],[BLOCO]],Tabela1[[#This Row],[UO_COD]]),qdd!$AW$2:$AX$1000,2,FALSE),"")</f>
        <v/>
      </c>
      <c r="AB639" s="30" t="str">
        <f>IFERROR(Tabela1[[#This Row],[VALOR]]/100,"")</f>
        <v/>
      </c>
      <c r="AC639" s="7" t="str" cm="1">
        <f t="array" aca="1" ref="AC639" ca="1">IF(Tabela1[[#This Row],[VALOR]]&lt;0,"",IFERROR(SUBSTITUTE(Converter_numero(Tabela1[[#This Row],[VALOR INCISO]]),",",""),""))</f>
        <v/>
      </c>
      <c r="AD639" s="29" t="str">
        <f>IF(Tabela1[[#This Row],[TIPO]]=REGRAS!$W$2,REGRAS!$X$2,IF(Tabela1[[#This Row],[TIPO]]=REGRAS!$W$4,REGRAS!$X$4,""))</f>
        <v/>
      </c>
      <c r="AE639" s="29" t="e">
        <f>VLOOKUP(Tabela1[[#This Row],[FONTE_COD]],REGRAS!$O$2:$P$69,2,FALSE)</f>
        <v>#N/A</v>
      </c>
      <c r="AF6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0" spans="1:32" ht="18.75" customHeight="1">
      <c r="A640" s="2" t="str">
        <f>IFERROR(IF('PREENCHER AQUI'!A640="","",'PREENCHER AQUI'!A640),"")</f>
        <v/>
      </c>
      <c r="B640" s="1" t="str">
        <f>IFERROR(IF('PREENCHER AQUI'!B640="","",PROPER('PREENCHER AQUI'!B640)),"")</f>
        <v/>
      </c>
      <c r="C640" s="1" t="str">
        <f>IFERROR(IF('PREENCHER AQUI'!C640="","",'PREENCHER AQUI'!C640),"")</f>
        <v/>
      </c>
      <c r="D640" s="2" t="str">
        <f>IFERROR(IF('PREENCHER AQUI'!D640="","",'PREENCHER AQUI'!D640),"")</f>
        <v/>
      </c>
      <c r="E640" s="2" t="str">
        <f>IFERROR(VLOOKUP(CONCATENATE(C640,D640),qdd!$C$2:$F$1000,2,FALSE),"")</f>
        <v/>
      </c>
      <c r="F640" s="2" t="str">
        <f>IFERROR(VLOOKUP(CONCATENATE(C640,D640),qdd!$C$2:$F$1000,3,FALSE),"")</f>
        <v/>
      </c>
      <c r="G640" s="2" t="str">
        <f>IFERROR(VLOOKUP(CONCATENATE(C640,D640),qdd!$C$2:$F$1000,4,FALSE),"")</f>
        <v/>
      </c>
      <c r="H640" s="6" t="str">
        <f t="shared" si="20"/>
        <v/>
      </c>
      <c r="I6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0" s="2" t="str">
        <f>IFERROR(IF('PREENCHER AQUI'!E640="","",'PREENCHER AQUI'!E640),"")</f>
        <v/>
      </c>
      <c r="K640" s="2" t="str">
        <f>IFERROR(IF('PREENCHER AQUI'!F640="","",'PREENCHER AQUI'!F640),"")</f>
        <v/>
      </c>
      <c r="L640" s="2" t="str">
        <f>IF(Tabela1[[#This Row],[IPU_COD]]=9,"91",IF(Tabela1[[#This Row],[ACAO_COD]]="","",VLOOKUP(CONCATENATE("G",J640,"M",K640),qdd!$BC$2:$BD$46,2,FALSE)))</f>
        <v/>
      </c>
      <c r="M640" s="2" t="str">
        <f>TEXT(IFERROR(VLOOKUP(CONCATENATE(C640,D640),qdd!$C$2:$G$1000,5,FALSE),""),0)</f>
        <v/>
      </c>
      <c r="N640" s="2" t="str">
        <f>IFERROR(IF('PREENCHER AQUI'!I640="","",'PREENCHER AQUI'!I640),"")</f>
        <v/>
      </c>
      <c r="O640" s="2" t="str">
        <f>IFERROR(IF('PREENCHER AQUI'!J640="","",'PREENCHER AQUI'!J640),"")</f>
        <v/>
      </c>
      <c r="P640" s="7" t="str">
        <f t="shared" si="21"/>
        <v/>
      </c>
      <c r="Q640" s="8" t="str">
        <f>IFERROR(IF(Tabela4[[#This Row],[VALOR]]="","",IF(Tabela1[[#This Row],[ORIENTACAO]]="Anular",'PREENCHER AQUI'!K640*-1*100,'PREENCHER AQUI'!K640*100)),"")</f>
        <v/>
      </c>
      <c r="T640" s="7" t="str">
        <f>IFERROR(IF('PREENCHER AQUI'!L640="","999",LEFT('PREENCHER AQUI'!L640,1)),"")</f>
        <v>999</v>
      </c>
      <c r="V640" s="19"/>
      <c r="W640" s="20" t="str">
        <f>IFERROR(VLOOKUP(Tabela1[[#This Row],[UO_COD]],qdd!$AT$1:$AU$102,2,FALSE),"")</f>
        <v/>
      </c>
      <c r="X640" s="20" t="str">
        <f>CONCATENATE("F",Tabela1[[#This Row],[FONTE_COD]],Tabela1[[#This Row],[IPU_COD]],"G",Tabela1[[#This Row],[GRUPO_COD]],"T",Tabela1[[#This Row],[TIPO]])</f>
        <v>FGT999</v>
      </c>
      <c r="Y6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0" s="19"/>
      <c r="AA640" s="29" t="str">
        <f>IFERROR(VLOOKUP(CONCATENATE("B",Tabela1[[#This Row],[BLOCO]],Tabela1[[#This Row],[UO_COD]]),qdd!$AW$2:$AX$1000,2,FALSE),"")</f>
        <v/>
      </c>
      <c r="AB640" s="30" t="str">
        <f>IFERROR(Tabela1[[#This Row],[VALOR]]/100,"")</f>
        <v/>
      </c>
      <c r="AC640" s="7" t="str" cm="1">
        <f t="array" aca="1" ref="AC640" ca="1">IF(Tabela1[[#This Row],[VALOR]]&lt;0,"",IFERROR(SUBSTITUTE(Converter_numero(Tabela1[[#This Row],[VALOR INCISO]]),",",""),""))</f>
        <v/>
      </c>
      <c r="AD640" s="29" t="str">
        <f>IF(Tabela1[[#This Row],[TIPO]]=REGRAS!$W$2,REGRAS!$X$2,IF(Tabela1[[#This Row],[TIPO]]=REGRAS!$W$4,REGRAS!$X$4,""))</f>
        <v/>
      </c>
      <c r="AE640" s="29" t="e">
        <f>VLOOKUP(Tabela1[[#This Row],[FONTE_COD]],REGRAS!$O$2:$P$69,2,FALSE)</f>
        <v>#N/A</v>
      </c>
      <c r="AF6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1" spans="1:32" ht="18.75" customHeight="1">
      <c r="A641" s="2" t="str">
        <f>IFERROR(IF('PREENCHER AQUI'!A641="","",'PREENCHER AQUI'!A641),"")</f>
        <v/>
      </c>
      <c r="B641" s="1" t="str">
        <f>IFERROR(IF('PREENCHER AQUI'!B641="","",PROPER('PREENCHER AQUI'!B641)),"")</f>
        <v/>
      </c>
      <c r="C641" s="1" t="str">
        <f>IFERROR(IF('PREENCHER AQUI'!C641="","",'PREENCHER AQUI'!C641),"")</f>
        <v/>
      </c>
      <c r="D641" s="2" t="str">
        <f>IFERROR(IF('PREENCHER AQUI'!D641="","",'PREENCHER AQUI'!D641),"")</f>
        <v/>
      </c>
      <c r="E641" s="2" t="str">
        <f>IFERROR(VLOOKUP(CONCATENATE(C641,D641),qdd!$C$2:$F$1000,2,FALSE),"")</f>
        <v/>
      </c>
      <c r="F641" s="2" t="str">
        <f>IFERROR(VLOOKUP(CONCATENATE(C641,D641),qdd!$C$2:$F$1000,3,FALSE),"")</f>
        <v/>
      </c>
      <c r="G641" s="2" t="str">
        <f>IFERROR(VLOOKUP(CONCATENATE(C641,D641),qdd!$C$2:$F$1000,4,FALSE),"")</f>
        <v/>
      </c>
      <c r="H641" s="6" t="str">
        <f t="shared" si="20"/>
        <v/>
      </c>
      <c r="I6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1" s="2" t="str">
        <f>IFERROR(IF('PREENCHER AQUI'!E641="","",'PREENCHER AQUI'!E641),"")</f>
        <v/>
      </c>
      <c r="K641" s="2" t="str">
        <f>IFERROR(IF('PREENCHER AQUI'!F641="","",'PREENCHER AQUI'!F641),"")</f>
        <v/>
      </c>
      <c r="L641" s="2" t="str">
        <f>IF(Tabela1[[#This Row],[IPU_COD]]=9,"91",IF(Tabela1[[#This Row],[ACAO_COD]]="","",VLOOKUP(CONCATENATE("G",J641,"M",K641),qdd!$BC$2:$BD$46,2,FALSE)))</f>
        <v/>
      </c>
      <c r="M641" s="2" t="str">
        <f>TEXT(IFERROR(VLOOKUP(CONCATENATE(C641,D641),qdd!$C$2:$G$1000,5,FALSE),""),0)</f>
        <v/>
      </c>
      <c r="N641" s="2" t="str">
        <f>IFERROR(IF('PREENCHER AQUI'!I641="","",'PREENCHER AQUI'!I641),"")</f>
        <v/>
      </c>
      <c r="O641" s="2" t="str">
        <f>IFERROR(IF('PREENCHER AQUI'!J641="","",'PREENCHER AQUI'!J641),"")</f>
        <v/>
      </c>
      <c r="P641" s="7" t="str">
        <f t="shared" si="21"/>
        <v/>
      </c>
      <c r="Q641" s="8" t="str">
        <f>IFERROR(IF(Tabela4[[#This Row],[VALOR]]="","",IF(Tabela1[[#This Row],[ORIENTACAO]]="Anular",'PREENCHER AQUI'!K641*-1*100,'PREENCHER AQUI'!K641*100)),"")</f>
        <v/>
      </c>
      <c r="T641" s="7" t="str">
        <f>IFERROR(IF('PREENCHER AQUI'!L641="","999",LEFT('PREENCHER AQUI'!L641,1)),"")</f>
        <v>999</v>
      </c>
      <c r="V641" s="19"/>
      <c r="W641" s="1" t="str">
        <f>IFERROR(VLOOKUP(Tabela1[[#This Row],[UO_COD]],qdd!$AT$1:$AU$102,2,FALSE),"")</f>
        <v/>
      </c>
      <c r="X641" s="1" t="str">
        <f>CONCATENATE("F",Tabela1[[#This Row],[FONTE_COD]],Tabela1[[#This Row],[IPU_COD]],"G",Tabela1[[#This Row],[GRUPO_COD]],"T",Tabela1[[#This Row],[TIPO]])</f>
        <v>FGT999</v>
      </c>
      <c r="Y6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1" s="19"/>
      <c r="AA641" s="29" t="str">
        <f>IFERROR(VLOOKUP(CONCATENATE("B",Tabela1[[#This Row],[BLOCO]],Tabela1[[#This Row],[UO_COD]]),qdd!$AW$2:$AX$1000,2,FALSE),"")</f>
        <v/>
      </c>
      <c r="AB641" s="30" t="str">
        <f>IFERROR(Tabela1[[#This Row],[VALOR]]/100,"")</f>
        <v/>
      </c>
      <c r="AC641" s="7" t="str" cm="1">
        <f t="array" aca="1" ref="AC641" ca="1">IF(Tabela1[[#This Row],[VALOR]]&lt;0,"",IFERROR(SUBSTITUTE(Converter_numero(Tabela1[[#This Row],[VALOR INCISO]]),",",""),""))</f>
        <v/>
      </c>
      <c r="AD641" s="29" t="str">
        <f>IF(Tabela1[[#This Row],[TIPO]]=REGRAS!$W$2,REGRAS!$X$2,IF(Tabela1[[#This Row],[TIPO]]=REGRAS!$W$4,REGRAS!$X$4,""))</f>
        <v/>
      </c>
      <c r="AE641" s="29" t="e">
        <f>VLOOKUP(Tabela1[[#This Row],[FONTE_COD]],REGRAS!$O$2:$P$69,2,FALSE)</f>
        <v>#N/A</v>
      </c>
      <c r="AF6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2" spans="1:32" ht="18.75" customHeight="1">
      <c r="A642" s="2" t="str">
        <f>IFERROR(IF('PREENCHER AQUI'!A642="","",'PREENCHER AQUI'!A642),"")</f>
        <v/>
      </c>
      <c r="B642" s="1" t="str">
        <f>IFERROR(IF('PREENCHER AQUI'!B642="","",PROPER('PREENCHER AQUI'!B642)),"")</f>
        <v/>
      </c>
      <c r="C642" s="1" t="str">
        <f>IFERROR(IF('PREENCHER AQUI'!C642="","",'PREENCHER AQUI'!C642),"")</f>
        <v/>
      </c>
      <c r="D642" s="2" t="str">
        <f>IFERROR(IF('PREENCHER AQUI'!D642="","",'PREENCHER AQUI'!D642),"")</f>
        <v/>
      </c>
      <c r="E642" s="2" t="str">
        <f>IFERROR(VLOOKUP(CONCATENATE(C642,D642),qdd!$C$2:$F$1000,2,FALSE),"")</f>
        <v/>
      </c>
      <c r="F642" s="2" t="str">
        <f>IFERROR(VLOOKUP(CONCATENATE(C642,D642),qdd!$C$2:$F$1000,3,FALSE),"")</f>
        <v/>
      </c>
      <c r="G642" s="2" t="str">
        <f>IFERROR(VLOOKUP(CONCATENATE(C642,D642),qdd!$C$2:$F$1000,4,FALSE),"")</f>
        <v/>
      </c>
      <c r="H642" s="6" t="str">
        <f t="shared" si="20"/>
        <v/>
      </c>
      <c r="I6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2" s="2" t="str">
        <f>IFERROR(IF('PREENCHER AQUI'!E642="","",'PREENCHER AQUI'!E642),"")</f>
        <v/>
      </c>
      <c r="K642" s="2" t="str">
        <f>IFERROR(IF('PREENCHER AQUI'!F642="","",'PREENCHER AQUI'!F642),"")</f>
        <v/>
      </c>
      <c r="L642" s="2" t="str">
        <f>IF(Tabela1[[#This Row],[IPU_COD]]=9,"91",IF(Tabela1[[#This Row],[ACAO_COD]]="","",VLOOKUP(CONCATENATE("G",J642,"M",K642),qdd!$BC$2:$BD$46,2,FALSE)))</f>
        <v/>
      </c>
      <c r="M642" s="2" t="str">
        <f>TEXT(IFERROR(VLOOKUP(CONCATENATE(C642,D642),qdd!$C$2:$G$1000,5,FALSE),""),0)</f>
        <v/>
      </c>
      <c r="N642" s="2" t="str">
        <f>IFERROR(IF('PREENCHER AQUI'!I642="","",'PREENCHER AQUI'!I642),"")</f>
        <v/>
      </c>
      <c r="O642" s="2" t="str">
        <f>IFERROR(IF('PREENCHER AQUI'!J642="","",'PREENCHER AQUI'!J642),"")</f>
        <v/>
      </c>
      <c r="P642" s="7" t="str">
        <f t="shared" si="21"/>
        <v/>
      </c>
      <c r="Q642" s="8" t="str">
        <f>IFERROR(IF(Tabela4[[#This Row],[VALOR]]="","",IF(Tabela1[[#This Row],[ORIENTACAO]]="Anular",'PREENCHER AQUI'!K642*-1*100,'PREENCHER AQUI'!K642*100)),"")</f>
        <v/>
      </c>
      <c r="T642" s="7" t="str">
        <f>IFERROR(IF('PREENCHER AQUI'!L642="","999",LEFT('PREENCHER AQUI'!L642,1)),"")</f>
        <v>999</v>
      </c>
      <c r="W642" s="1" t="str">
        <f>IFERROR(VLOOKUP(Tabela1[[#This Row],[UO_COD]],qdd!$AT$1:$AU$102,2,FALSE),"")</f>
        <v/>
      </c>
      <c r="X642" s="1" t="str">
        <f>CONCATENATE("F",Tabela1[[#This Row],[FONTE_COD]],Tabela1[[#This Row],[IPU_COD]],"G",Tabela1[[#This Row],[GRUPO_COD]],"T",Tabela1[[#This Row],[TIPO]])</f>
        <v>FGT999</v>
      </c>
      <c r="Y6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2" s="19"/>
      <c r="AA642" s="29" t="str">
        <f>IFERROR(VLOOKUP(CONCATENATE("B",Tabela1[[#This Row],[BLOCO]],Tabela1[[#This Row],[UO_COD]]),qdd!$AW$2:$AX$1000,2,FALSE),"")</f>
        <v/>
      </c>
      <c r="AB642" s="30" t="str">
        <f>IFERROR(Tabela1[[#This Row],[VALOR]]/100,"")</f>
        <v/>
      </c>
      <c r="AC642" s="7" t="str" cm="1">
        <f t="array" aca="1" ref="AC642" ca="1">IF(Tabela1[[#This Row],[VALOR]]&lt;0,"",IFERROR(SUBSTITUTE(Converter_numero(Tabela1[[#This Row],[VALOR INCISO]]),",",""),""))</f>
        <v/>
      </c>
      <c r="AD642" s="7" t="str">
        <f>IF(Tabela1[[#This Row],[TIPO]]=REGRAS!$W$2,REGRAS!$X$2,IF(Tabela1[[#This Row],[TIPO]]=REGRAS!$W$4,REGRAS!$X$4,""))</f>
        <v/>
      </c>
      <c r="AE642" s="29" t="e">
        <f>VLOOKUP(Tabela1[[#This Row],[FONTE_COD]],REGRAS!$O$2:$P$69,2,FALSE)</f>
        <v>#N/A</v>
      </c>
      <c r="AF6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3" spans="1:32" ht="18.75" customHeight="1">
      <c r="A643" s="2" t="str">
        <f>IFERROR(IF('PREENCHER AQUI'!A643="","",'PREENCHER AQUI'!A643),"")</f>
        <v/>
      </c>
      <c r="B643" s="1" t="str">
        <f>IFERROR(IF('PREENCHER AQUI'!B643="","",PROPER('PREENCHER AQUI'!B643)),"")</f>
        <v/>
      </c>
      <c r="C643" s="1" t="str">
        <f>IFERROR(IF('PREENCHER AQUI'!C643="","",'PREENCHER AQUI'!C643),"")</f>
        <v/>
      </c>
      <c r="D643" s="2" t="str">
        <f>IFERROR(IF('PREENCHER AQUI'!D643="","",'PREENCHER AQUI'!D643),"")</f>
        <v/>
      </c>
      <c r="E643" s="2" t="str">
        <f>IFERROR(VLOOKUP(CONCATENATE(C643,D643),qdd!$C$2:$F$1000,2,FALSE),"")</f>
        <v/>
      </c>
      <c r="F643" s="2" t="str">
        <f>IFERROR(VLOOKUP(CONCATENATE(C643,D643),qdd!$C$2:$F$1000,3,FALSE),"")</f>
        <v/>
      </c>
      <c r="G643" s="2" t="str">
        <f>IFERROR(VLOOKUP(CONCATENATE(C643,D643),qdd!$C$2:$F$1000,4,FALSE),"")</f>
        <v/>
      </c>
      <c r="H643" s="6" t="str">
        <f t="shared" ref="H643:H706" si="22">IF(E643="","","0001")</f>
        <v/>
      </c>
      <c r="I6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3" s="2" t="str">
        <f>IFERROR(IF('PREENCHER AQUI'!E643="","",'PREENCHER AQUI'!E643),"")</f>
        <v/>
      </c>
      <c r="K643" s="2" t="str">
        <f>IFERROR(IF('PREENCHER AQUI'!F643="","",'PREENCHER AQUI'!F643),"")</f>
        <v/>
      </c>
      <c r="L643" s="2" t="str">
        <f>IF(Tabela1[[#This Row],[IPU_COD]]=9,"91",IF(Tabela1[[#This Row],[ACAO_COD]]="","",VLOOKUP(CONCATENATE("G",J643,"M",K643),qdd!$BC$2:$BD$46,2,FALSE)))</f>
        <v/>
      </c>
      <c r="M643" s="2" t="str">
        <f>TEXT(IFERROR(VLOOKUP(CONCATENATE(C643,D643),qdd!$C$2:$G$1000,5,FALSE),""),0)</f>
        <v/>
      </c>
      <c r="N643" s="2" t="str">
        <f>IFERROR(IF('PREENCHER AQUI'!I643="","",'PREENCHER AQUI'!I643),"")</f>
        <v/>
      </c>
      <c r="O643" s="2" t="str">
        <f>IFERROR(IF('PREENCHER AQUI'!J643="","",'PREENCHER AQUI'!J643),"")</f>
        <v/>
      </c>
      <c r="P643" s="7" t="str">
        <f t="shared" ref="P643:P706" si="23">IFERROR(CONCATENATE(E643,F643,G643,D643,H643,I643,J643,K643,L643,M643,N643,O643),"")</f>
        <v/>
      </c>
      <c r="Q643" s="8" t="str">
        <f>IFERROR(IF(Tabela4[[#This Row],[VALOR]]="","",IF(Tabela1[[#This Row],[ORIENTACAO]]="Anular",'PREENCHER AQUI'!K643*-1*100,'PREENCHER AQUI'!K643*100)),"")</f>
        <v/>
      </c>
      <c r="T643" s="7" t="str">
        <f>IFERROR(IF('PREENCHER AQUI'!L643="","999",LEFT('PREENCHER AQUI'!L643,1)),"")</f>
        <v>999</v>
      </c>
      <c r="V643" s="19"/>
      <c r="W643" s="1" t="str">
        <f>IFERROR(VLOOKUP(Tabela1[[#This Row],[UO_COD]],qdd!$AT$1:$AU$102,2,FALSE),"")</f>
        <v/>
      </c>
      <c r="X643" s="1" t="str">
        <f>CONCATENATE("F",Tabela1[[#This Row],[FONTE_COD]],Tabela1[[#This Row],[IPU_COD]],"G",Tabela1[[#This Row],[GRUPO_COD]],"T",Tabela1[[#This Row],[TIPO]])</f>
        <v>FGT999</v>
      </c>
      <c r="Y6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3" s="19"/>
      <c r="AA643" s="29" t="str">
        <f>IFERROR(VLOOKUP(CONCATENATE("B",Tabela1[[#This Row],[BLOCO]],Tabela1[[#This Row],[UO_COD]]),qdd!$AW$2:$AX$1000,2,FALSE),"")</f>
        <v/>
      </c>
      <c r="AB643" s="30" t="str">
        <f>IFERROR(Tabela1[[#This Row],[VALOR]]/100,"")</f>
        <v/>
      </c>
      <c r="AC643" s="7" t="str" cm="1">
        <f t="array" aca="1" ref="AC643" ca="1">IF(Tabela1[[#This Row],[VALOR]]&lt;0,"",IFERROR(SUBSTITUTE(Converter_numero(Tabela1[[#This Row],[VALOR INCISO]]),",",""),""))</f>
        <v/>
      </c>
      <c r="AD643" s="29" t="str">
        <f>IF(Tabela1[[#This Row],[TIPO]]=REGRAS!$W$2,REGRAS!$X$2,IF(Tabela1[[#This Row],[TIPO]]=REGRAS!$W$4,REGRAS!$X$4,""))</f>
        <v/>
      </c>
      <c r="AE643" s="29" t="e">
        <f>VLOOKUP(Tabela1[[#This Row],[FONTE_COD]],REGRAS!$O$2:$P$69,2,FALSE)</f>
        <v>#N/A</v>
      </c>
      <c r="AF6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4" spans="1:32" ht="18.75" customHeight="1">
      <c r="A644" s="2" t="str">
        <f>IFERROR(IF('PREENCHER AQUI'!A644="","",'PREENCHER AQUI'!A644),"")</f>
        <v/>
      </c>
      <c r="B644" s="1" t="str">
        <f>IFERROR(IF('PREENCHER AQUI'!B644="","",PROPER('PREENCHER AQUI'!B644)),"")</f>
        <v/>
      </c>
      <c r="C644" s="1" t="str">
        <f>IFERROR(IF('PREENCHER AQUI'!C644="","",'PREENCHER AQUI'!C644),"")</f>
        <v/>
      </c>
      <c r="D644" s="2" t="str">
        <f>IFERROR(IF('PREENCHER AQUI'!D644="","",'PREENCHER AQUI'!D644),"")</f>
        <v/>
      </c>
      <c r="E644" s="2" t="str">
        <f>IFERROR(VLOOKUP(CONCATENATE(C644,D644),qdd!$C$2:$F$1000,2,FALSE),"")</f>
        <v/>
      </c>
      <c r="F644" s="2" t="str">
        <f>IFERROR(VLOOKUP(CONCATENATE(C644,D644),qdd!$C$2:$F$1000,3,FALSE),"")</f>
        <v/>
      </c>
      <c r="G644" s="2" t="str">
        <f>IFERROR(VLOOKUP(CONCATENATE(C644,D644),qdd!$C$2:$F$1000,4,FALSE),"")</f>
        <v/>
      </c>
      <c r="H644" s="6" t="str">
        <f t="shared" si="22"/>
        <v/>
      </c>
      <c r="I6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4" s="2" t="str">
        <f>IFERROR(IF('PREENCHER AQUI'!E644="","",'PREENCHER AQUI'!E644),"")</f>
        <v/>
      </c>
      <c r="K644" s="2" t="str">
        <f>IFERROR(IF('PREENCHER AQUI'!F644="","",'PREENCHER AQUI'!F644),"")</f>
        <v/>
      </c>
      <c r="L644" s="2" t="str">
        <f>IF(Tabela1[[#This Row],[IPU_COD]]=9,"91",IF(Tabela1[[#This Row],[ACAO_COD]]="","",VLOOKUP(CONCATENATE("G",J644,"M",K644),qdd!$BC$2:$BD$46,2,FALSE)))</f>
        <v/>
      </c>
      <c r="M644" s="2" t="str">
        <f>TEXT(IFERROR(VLOOKUP(CONCATENATE(C644,D644),qdd!$C$2:$G$1000,5,FALSE),""),0)</f>
        <v/>
      </c>
      <c r="N644" s="2" t="str">
        <f>IFERROR(IF('PREENCHER AQUI'!I644="","",'PREENCHER AQUI'!I644),"")</f>
        <v/>
      </c>
      <c r="O644" s="2" t="str">
        <f>IFERROR(IF('PREENCHER AQUI'!J644="","",'PREENCHER AQUI'!J644),"")</f>
        <v/>
      </c>
      <c r="P644" s="7" t="str">
        <f t="shared" si="23"/>
        <v/>
      </c>
      <c r="Q644" s="8" t="str">
        <f>IFERROR(IF(Tabela4[[#This Row],[VALOR]]="","",IF(Tabela1[[#This Row],[ORIENTACAO]]="Anular",'PREENCHER AQUI'!K644*-1*100,'PREENCHER AQUI'!K644*100)),"")</f>
        <v/>
      </c>
      <c r="T644" s="7" t="str">
        <f>IFERROR(IF('PREENCHER AQUI'!L644="","999",LEFT('PREENCHER AQUI'!L644,1)),"")</f>
        <v>999</v>
      </c>
      <c r="V644" s="19"/>
      <c r="W644" s="1" t="str">
        <f>IFERROR(VLOOKUP(Tabela1[[#This Row],[UO_COD]],qdd!$AT$1:$AU$102,2,FALSE),"")</f>
        <v/>
      </c>
      <c r="X644" s="1" t="str">
        <f>CONCATENATE("F",Tabela1[[#This Row],[FONTE_COD]],Tabela1[[#This Row],[IPU_COD]],"G",Tabela1[[#This Row],[GRUPO_COD]],"T",Tabela1[[#This Row],[TIPO]])</f>
        <v>FGT999</v>
      </c>
      <c r="Y6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4" s="19"/>
      <c r="AA644" s="29" t="str">
        <f>IFERROR(VLOOKUP(CONCATENATE("B",Tabela1[[#This Row],[BLOCO]],Tabela1[[#This Row],[UO_COD]]),qdd!$AW$2:$AX$1000,2,FALSE),"")</f>
        <v/>
      </c>
      <c r="AB644" s="30" t="str">
        <f>IFERROR(Tabela1[[#This Row],[VALOR]]/100,"")</f>
        <v/>
      </c>
      <c r="AC644" s="7" t="str" cm="1">
        <f t="array" aca="1" ref="AC644" ca="1">IF(Tabela1[[#This Row],[VALOR]]&lt;0,"",IFERROR(SUBSTITUTE(Converter_numero(Tabela1[[#This Row],[VALOR INCISO]]),",",""),""))</f>
        <v/>
      </c>
      <c r="AD644" s="29" t="str">
        <f>IF(Tabela1[[#This Row],[TIPO]]=REGRAS!$W$2,REGRAS!$X$2,IF(Tabela1[[#This Row],[TIPO]]=REGRAS!$W$4,REGRAS!$X$4,""))</f>
        <v/>
      </c>
      <c r="AE644" s="29" t="e">
        <f>VLOOKUP(Tabela1[[#This Row],[FONTE_COD]],REGRAS!$O$2:$P$69,2,FALSE)</f>
        <v>#N/A</v>
      </c>
      <c r="AF6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5" spans="1:32" ht="18.75" customHeight="1">
      <c r="A645" s="2" t="str">
        <f>IFERROR(IF('PREENCHER AQUI'!A645="","",'PREENCHER AQUI'!A645),"")</f>
        <v/>
      </c>
      <c r="B645" s="1" t="str">
        <f>IFERROR(IF('PREENCHER AQUI'!B645="","",PROPER('PREENCHER AQUI'!B645)),"")</f>
        <v/>
      </c>
      <c r="C645" s="1" t="str">
        <f>IFERROR(IF('PREENCHER AQUI'!C645="","",'PREENCHER AQUI'!C645),"")</f>
        <v/>
      </c>
      <c r="D645" s="2" t="str">
        <f>IFERROR(IF('PREENCHER AQUI'!D645="","",'PREENCHER AQUI'!D645),"")</f>
        <v/>
      </c>
      <c r="E645" s="2" t="str">
        <f>IFERROR(VLOOKUP(CONCATENATE(C645,D645),qdd!$C$2:$F$1000,2,FALSE),"")</f>
        <v/>
      </c>
      <c r="F645" s="2" t="str">
        <f>IFERROR(VLOOKUP(CONCATENATE(C645,D645),qdd!$C$2:$F$1000,3,FALSE),"")</f>
        <v/>
      </c>
      <c r="G645" s="2" t="str">
        <f>IFERROR(VLOOKUP(CONCATENATE(C645,D645),qdd!$C$2:$F$1000,4,FALSE),"")</f>
        <v/>
      </c>
      <c r="H645" s="6" t="str">
        <f t="shared" si="22"/>
        <v/>
      </c>
      <c r="I6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5" s="2" t="str">
        <f>IFERROR(IF('PREENCHER AQUI'!E645="","",'PREENCHER AQUI'!E645),"")</f>
        <v/>
      </c>
      <c r="K645" s="2" t="str">
        <f>IFERROR(IF('PREENCHER AQUI'!F645="","",'PREENCHER AQUI'!F645),"")</f>
        <v/>
      </c>
      <c r="L645" s="2" t="str">
        <f>IF(Tabela1[[#This Row],[IPU_COD]]=9,"91",IF(Tabela1[[#This Row],[ACAO_COD]]="","",VLOOKUP(CONCATENATE("G",J645,"M",K645),qdd!$BC$2:$BD$46,2,FALSE)))</f>
        <v/>
      </c>
      <c r="M645" s="2" t="str">
        <f>TEXT(IFERROR(VLOOKUP(CONCATENATE(C645,D645),qdd!$C$2:$G$1000,5,FALSE),""),0)</f>
        <v/>
      </c>
      <c r="N645" s="2" t="str">
        <f>IFERROR(IF('PREENCHER AQUI'!I645="","",'PREENCHER AQUI'!I645),"")</f>
        <v/>
      </c>
      <c r="O645" s="2" t="str">
        <f>IFERROR(IF('PREENCHER AQUI'!J645="","",'PREENCHER AQUI'!J645),"")</f>
        <v/>
      </c>
      <c r="P645" s="7" t="str">
        <f t="shared" si="23"/>
        <v/>
      </c>
      <c r="Q645" s="8" t="str">
        <f>IFERROR(IF(Tabela4[[#This Row],[VALOR]]="","",IF(Tabela1[[#This Row],[ORIENTACAO]]="Anular",'PREENCHER AQUI'!K645*-1*100,'PREENCHER AQUI'!K645*100)),"")</f>
        <v/>
      </c>
      <c r="T645" s="7" t="str">
        <f>IFERROR(IF('PREENCHER AQUI'!L645="","999",LEFT('PREENCHER AQUI'!L645,1)),"")</f>
        <v>999</v>
      </c>
      <c r="V645" s="19"/>
      <c r="W645" s="20" t="str">
        <f>IFERROR(VLOOKUP(Tabela1[[#This Row],[UO_COD]],qdd!$AT$1:$AU$102,2,FALSE),"")</f>
        <v/>
      </c>
      <c r="X645" s="20" t="str">
        <f>CONCATENATE("F",Tabela1[[#This Row],[FONTE_COD]],Tabela1[[#This Row],[IPU_COD]],"G",Tabela1[[#This Row],[GRUPO_COD]],"T",Tabela1[[#This Row],[TIPO]])</f>
        <v>FGT999</v>
      </c>
      <c r="Y6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5" s="19"/>
      <c r="AA645" s="29" t="str">
        <f>IFERROR(VLOOKUP(CONCATENATE("B",Tabela1[[#This Row],[BLOCO]],Tabela1[[#This Row],[UO_COD]]),qdd!$AW$2:$AX$1000,2,FALSE),"")</f>
        <v/>
      </c>
      <c r="AB645" s="30" t="str">
        <f>IFERROR(Tabela1[[#This Row],[VALOR]]/100,"")</f>
        <v/>
      </c>
      <c r="AC645" s="7" t="str" cm="1">
        <f t="array" aca="1" ref="AC645" ca="1">IF(Tabela1[[#This Row],[VALOR]]&lt;0,"",IFERROR(SUBSTITUTE(Converter_numero(Tabela1[[#This Row],[VALOR INCISO]]),",",""),""))</f>
        <v/>
      </c>
      <c r="AD645" s="29" t="str">
        <f>IF(Tabela1[[#This Row],[TIPO]]=REGRAS!$W$2,REGRAS!$X$2,IF(Tabela1[[#This Row],[TIPO]]=REGRAS!$W$4,REGRAS!$X$4,""))</f>
        <v/>
      </c>
      <c r="AE645" s="29" t="e">
        <f>VLOOKUP(Tabela1[[#This Row],[FONTE_COD]],REGRAS!$O$2:$P$69,2,FALSE)</f>
        <v>#N/A</v>
      </c>
      <c r="AF6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6" spans="1:32" ht="18.75" customHeight="1">
      <c r="A646" s="2" t="str">
        <f>IFERROR(IF('PREENCHER AQUI'!A646="","",'PREENCHER AQUI'!A646),"")</f>
        <v/>
      </c>
      <c r="B646" s="1" t="str">
        <f>IFERROR(IF('PREENCHER AQUI'!B646="","",PROPER('PREENCHER AQUI'!B646)),"")</f>
        <v/>
      </c>
      <c r="C646" s="1" t="str">
        <f>IFERROR(IF('PREENCHER AQUI'!C646="","",'PREENCHER AQUI'!C646),"")</f>
        <v/>
      </c>
      <c r="D646" s="2" t="str">
        <f>IFERROR(IF('PREENCHER AQUI'!D646="","",'PREENCHER AQUI'!D646),"")</f>
        <v/>
      </c>
      <c r="E646" s="2" t="str">
        <f>IFERROR(VLOOKUP(CONCATENATE(C646,D646),qdd!$C$2:$F$1000,2,FALSE),"")</f>
        <v/>
      </c>
      <c r="F646" s="2" t="str">
        <f>IFERROR(VLOOKUP(CONCATENATE(C646,D646),qdd!$C$2:$F$1000,3,FALSE),"")</f>
        <v/>
      </c>
      <c r="G646" s="2" t="str">
        <f>IFERROR(VLOOKUP(CONCATENATE(C646,D646),qdd!$C$2:$F$1000,4,FALSE),"")</f>
        <v/>
      </c>
      <c r="H646" s="6" t="str">
        <f t="shared" si="22"/>
        <v/>
      </c>
      <c r="I6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6" s="2" t="str">
        <f>IFERROR(IF('PREENCHER AQUI'!E646="","",'PREENCHER AQUI'!E646),"")</f>
        <v/>
      </c>
      <c r="K646" s="2" t="str">
        <f>IFERROR(IF('PREENCHER AQUI'!F646="","",'PREENCHER AQUI'!F646),"")</f>
        <v/>
      </c>
      <c r="L646" s="2" t="str">
        <f>IF(Tabela1[[#This Row],[IPU_COD]]=9,"91",IF(Tabela1[[#This Row],[ACAO_COD]]="","",VLOOKUP(CONCATENATE("G",J646,"M",K646),qdd!$BC$2:$BD$46,2,FALSE)))</f>
        <v/>
      </c>
      <c r="M646" s="2" t="str">
        <f>TEXT(IFERROR(VLOOKUP(CONCATENATE(C646,D646),qdd!$C$2:$G$1000,5,FALSE),""),0)</f>
        <v/>
      </c>
      <c r="N646" s="2" t="str">
        <f>IFERROR(IF('PREENCHER AQUI'!I646="","",'PREENCHER AQUI'!I646),"")</f>
        <v/>
      </c>
      <c r="O646" s="2" t="str">
        <f>IFERROR(IF('PREENCHER AQUI'!J646="","",'PREENCHER AQUI'!J646),"")</f>
        <v/>
      </c>
      <c r="P646" s="7" t="str">
        <f t="shared" si="23"/>
        <v/>
      </c>
      <c r="Q646" s="8" t="str">
        <f>IFERROR(IF(Tabela4[[#This Row],[VALOR]]="","",IF(Tabela1[[#This Row],[ORIENTACAO]]="Anular",'PREENCHER AQUI'!K646*-1*100,'PREENCHER AQUI'!K646*100)),"")</f>
        <v/>
      </c>
      <c r="T646" s="7" t="str">
        <f>IFERROR(IF('PREENCHER AQUI'!L646="","999",LEFT('PREENCHER AQUI'!L646,1)),"")</f>
        <v>999</v>
      </c>
      <c r="V646" s="19"/>
      <c r="W646" s="1" t="str">
        <f>IFERROR(VLOOKUP(Tabela1[[#This Row],[UO_COD]],qdd!$AT$1:$AU$102,2,FALSE),"")</f>
        <v/>
      </c>
      <c r="X646" s="1" t="str">
        <f>CONCATENATE("F",Tabela1[[#This Row],[FONTE_COD]],Tabela1[[#This Row],[IPU_COD]],"G",Tabela1[[#This Row],[GRUPO_COD]],"T",Tabela1[[#This Row],[TIPO]])</f>
        <v>FGT999</v>
      </c>
      <c r="Y6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6" s="19"/>
      <c r="AA646" s="29" t="str">
        <f>IFERROR(VLOOKUP(CONCATENATE("B",Tabela1[[#This Row],[BLOCO]],Tabela1[[#This Row],[UO_COD]]),qdd!$AW$2:$AX$1000,2,FALSE),"")</f>
        <v/>
      </c>
      <c r="AB646" s="30" t="str">
        <f>IFERROR(Tabela1[[#This Row],[VALOR]]/100,"")</f>
        <v/>
      </c>
      <c r="AC646" s="7" t="str" cm="1">
        <f t="array" aca="1" ref="AC646" ca="1">IF(Tabela1[[#This Row],[VALOR]]&lt;0,"",IFERROR(SUBSTITUTE(Converter_numero(Tabela1[[#This Row],[VALOR INCISO]]),",",""),""))</f>
        <v/>
      </c>
      <c r="AD646" s="29" t="str">
        <f>IF(Tabela1[[#This Row],[TIPO]]=REGRAS!$W$2,REGRAS!$X$2,IF(Tabela1[[#This Row],[TIPO]]=REGRAS!$W$4,REGRAS!$X$4,""))</f>
        <v/>
      </c>
      <c r="AE646" s="29" t="e">
        <f>VLOOKUP(Tabela1[[#This Row],[FONTE_COD]],REGRAS!$O$2:$P$69,2,FALSE)</f>
        <v>#N/A</v>
      </c>
      <c r="AF6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7" spans="1:32" ht="18.75" customHeight="1">
      <c r="A647" s="2" t="str">
        <f>IFERROR(IF('PREENCHER AQUI'!A647="","",'PREENCHER AQUI'!A647),"")</f>
        <v/>
      </c>
      <c r="B647" s="1" t="str">
        <f>IFERROR(IF('PREENCHER AQUI'!B647="","",PROPER('PREENCHER AQUI'!B647)),"")</f>
        <v/>
      </c>
      <c r="C647" s="1" t="str">
        <f>IFERROR(IF('PREENCHER AQUI'!C647="","",'PREENCHER AQUI'!C647),"")</f>
        <v/>
      </c>
      <c r="D647" s="2" t="str">
        <f>IFERROR(IF('PREENCHER AQUI'!D647="","",'PREENCHER AQUI'!D647),"")</f>
        <v/>
      </c>
      <c r="E647" s="2" t="str">
        <f>IFERROR(VLOOKUP(CONCATENATE(C647,D647),qdd!$C$2:$F$1000,2,FALSE),"")</f>
        <v/>
      </c>
      <c r="F647" s="2" t="str">
        <f>IFERROR(VLOOKUP(CONCATENATE(C647,D647),qdd!$C$2:$F$1000,3,FALSE),"")</f>
        <v/>
      </c>
      <c r="G647" s="2" t="str">
        <f>IFERROR(VLOOKUP(CONCATENATE(C647,D647),qdd!$C$2:$F$1000,4,FALSE),"")</f>
        <v/>
      </c>
      <c r="H647" s="6" t="str">
        <f t="shared" si="22"/>
        <v/>
      </c>
      <c r="I6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7" s="2" t="str">
        <f>IFERROR(IF('PREENCHER AQUI'!E647="","",'PREENCHER AQUI'!E647),"")</f>
        <v/>
      </c>
      <c r="K647" s="2" t="str">
        <f>IFERROR(IF('PREENCHER AQUI'!F647="","",'PREENCHER AQUI'!F647),"")</f>
        <v/>
      </c>
      <c r="L647" s="2" t="str">
        <f>IF(Tabela1[[#This Row],[IPU_COD]]=9,"91",IF(Tabela1[[#This Row],[ACAO_COD]]="","",VLOOKUP(CONCATENATE("G",J647,"M",K647),qdd!$BC$2:$BD$46,2,FALSE)))</f>
        <v/>
      </c>
      <c r="M647" s="2" t="str">
        <f>TEXT(IFERROR(VLOOKUP(CONCATENATE(C647,D647),qdd!$C$2:$G$1000,5,FALSE),""),0)</f>
        <v/>
      </c>
      <c r="N647" s="2" t="str">
        <f>IFERROR(IF('PREENCHER AQUI'!I647="","",'PREENCHER AQUI'!I647),"")</f>
        <v/>
      </c>
      <c r="O647" s="2" t="str">
        <f>IFERROR(IF('PREENCHER AQUI'!J647="","",'PREENCHER AQUI'!J647),"")</f>
        <v/>
      </c>
      <c r="P647" s="7" t="str">
        <f t="shared" si="23"/>
        <v/>
      </c>
      <c r="Q647" s="8" t="str">
        <f>IFERROR(IF(Tabela4[[#This Row],[VALOR]]="","",IF(Tabela1[[#This Row],[ORIENTACAO]]="Anular",'PREENCHER AQUI'!K647*-1*100,'PREENCHER AQUI'!K647*100)),"")</f>
        <v/>
      </c>
      <c r="T647" s="7" t="str">
        <f>IFERROR(IF('PREENCHER AQUI'!L647="","999",LEFT('PREENCHER AQUI'!L647,1)),"")</f>
        <v>999</v>
      </c>
      <c r="W647" s="1" t="str">
        <f>IFERROR(VLOOKUP(Tabela1[[#This Row],[UO_COD]],qdd!$AT$1:$AU$102,2,FALSE),"")</f>
        <v/>
      </c>
      <c r="X647" s="1" t="str">
        <f>CONCATENATE("F",Tabela1[[#This Row],[FONTE_COD]],Tabela1[[#This Row],[IPU_COD]],"G",Tabela1[[#This Row],[GRUPO_COD]],"T",Tabela1[[#This Row],[TIPO]])</f>
        <v>FGT999</v>
      </c>
      <c r="Y6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7" s="19"/>
      <c r="AA647" s="29" t="str">
        <f>IFERROR(VLOOKUP(CONCATENATE("B",Tabela1[[#This Row],[BLOCO]],Tabela1[[#This Row],[UO_COD]]),qdd!$AW$2:$AX$1000,2,FALSE),"")</f>
        <v/>
      </c>
      <c r="AB647" s="30" t="str">
        <f>IFERROR(Tabela1[[#This Row],[VALOR]]/100,"")</f>
        <v/>
      </c>
      <c r="AC647" s="7" t="str" cm="1">
        <f t="array" aca="1" ref="AC647" ca="1">IF(Tabela1[[#This Row],[VALOR]]&lt;0,"",IFERROR(SUBSTITUTE(Converter_numero(Tabela1[[#This Row],[VALOR INCISO]]),",",""),""))</f>
        <v/>
      </c>
      <c r="AD647" s="7" t="str">
        <f>IF(Tabela1[[#This Row],[TIPO]]=REGRAS!$W$2,REGRAS!$X$2,IF(Tabela1[[#This Row],[TIPO]]=REGRAS!$W$4,REGRAS!$X$4,""))</f>
        <v/>
      </c>
      <c r="AE647" s="29" t="e">
        <f>VLOOKUP(Tabela1[[#This Row],[FONTE_COD]],REGRAS!$O$2:$P$69,2,FALSE)</f>
        <v>#N/A</v>
      </c>
      <c r="AF6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8" spans="1:32" ht="18.75" customHeight="1">
      <c r="A648" s="2" t="str">
        <f>IFERROR(IF('PREENCHER AQUI'!A648="","",'PREENCHER AQUI'!A648),"")</f>
        <v/>
      </c>
      <c r="B648" s="1" t="str">
        <f>IFERROR(IF('PREENCHER AQUI'!B648="","",PROPER('PREENCHER AQUI'!B648)),"")</f>
        <v/>
      </c>
      <c r="C648" s="1" t="str">
        <f>IFERROR(IF('PREENCHER AQUI'!C648="","",'PREENCHER AQUI'!C648),"")</f>
        <v/>
      </c>
      <c r="D648" s="2" t="str">
        <f>IFERROR(IF('PREENCHER AQUI'!D648="","",'PREENCHER AQUI'!D648),"")</f>
        <v/>
      </c>
      <c r="E648" s="2" t="str">
        <f>IFERROR(VLOOKUP(CONCATENATE(C648,D648),qdd!$C$2:$F$1000,2,FALSE),"")</f>
        <v/>
      </c>
      <c r="F648" s="2" t="str">
        <f>IFERROR(VLOOKUP(CONCATENATE(C648,D648),qdd!$C$2:$F$1000,3,FALSE),"")</f>
        <v/>
      </c>
      <c r="G648" s="2" t="str">
        <f>IFERROR(VLOOKUP(CONCATENATE(C648,D648),qdd!$C$2:$F$1000,4,FALSE),"")</f>
        <v/>
      </c>
      <c r="H648" s="6" t="str">
        <f t="shared" si="22"/>
        <v/>
      </c>
      <c r="I6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8" s="2" t="str">
        <f>IFERROR(IF('PREENCHER AQUI'!E648="","",'PREENCHER AQUI'!E648),"")</f>
        <v/>
      </c>
      <c r="K648" s="2" t="str">
        <f>IFERROR(IF('PREENCHER AQUI'!F648="","",'PREENCHER AQUI'!F648),"")</f>
        <v/>
      </c>
      <c r="L648" s="2" t="str">
        <f>IF(Tabela1[[#This Row],[IPU_COD]]=9,"91",IF(Tabela1[[#This Row],[ACAO_COD]]="","",VLOOKUP(CONCATENATE("G",J648,"M",K648),qdd!$BC$2:$BD$46,2,FALSE)))</f>
        <v/>
      </c>
      <c r="M648" s="2" t="str">
        <f>TEXT(IFERROR(VLOOKUP(CONCATENATE(C648,D648),qdd!$C$2:$G$1000,5,FALSE),""),0)</f>
        <v/>
      </c>
      <c r="N648" s="2" t="str">
        <f>IFERROR(IF('PREENCHER AQUI'!I648="","",'PREENCHER AQUI'!I648),"")</f>
        <v/>
      </c>
      <c r="O648" s="2" t="str">
        <f>IFERROR(IF('PREENCHER AQUI'!J648="","",'PREENCHER AQUI'!J648),"")</f>
        <v/>
      </c>
      <c r="P648" s="7" t="str">
        <f t="shared" si="23"/>
        <v/>
      </c>
      <c r="Q648" s="8" t="str">
        <f>IFERROR(IF(Tabela4[[#This Row],[VALOR]]="","",IF(Tabela1[[#This Row],[ORIENTACAO]]="Anular",'PREENCHER AQUI'!K648*-1*100,'PREENCHER AQUI'!K648*100)),"")</f>
        <v/>
      </c>
      <c r="T648" s="7" t="str">
        <f>IFERROR(IF('PREENCHER AQUI'!L648="","999",LEFT('PREENCHER AQUI'!L648,1)),"")</f>
        <v>999</v>
      </c>
      <c r="V648" s="19"/>
      <c r="W648" s="1" t="str">
        <f>IFERROR(VLOOKUP(Tabela1[[#This Row],[UO_COD]],qdd!$AT$1:$AU$102,2,FALSE),"")</f>
        <v/>
      </c>
      <c r="X648" s="1" t="str">
        <f>CONCATENATE("F",Tabela1[[#This Row],[FONTE_COD]],Tabela1[[#This Row],[IPU_COD]],"G",Tabela1[[#This Row],[GRUPO_COD]],"T",Tabela1[[#This Row],[TIPO]])</f>
        <v>FGT999</v>
      </c>
      <c r="Y6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8" s="19"/>
      <c r="AA648" s="29" t="str">
        <f>IFERROR(VLOOKUP(CONCATENATE("B",Tabela1[[#This Row],[BLOCO]],Tabela1[[#This Row],[UO_COD]]),qdd!$AW$2:$AX$1000,2,FALSE),"")</f>
        <v/>
      </c>
      <c r="AB648" s="30" t="str">
        <f>IFERROR(Tabela1[[#This Row],[VALOR]]/100,"")</f>
        <v/>
      </c>
      <c r="AC648" s="7" t="str" cm="1">
        <f t="array" aca="1" ref="AC648" ca="1">IF(Tabela1[[#This Row],[VALOR]]&lt;0,"",IFERROR(SUBSTITUTE(Converter_numero(Tabela1[[#This Row],[VALOR INCISO]]),",",""),""))</f>
        <v/>
      </c>
      <c r="AD648" s="29" t="str">
        <f>IF(Tabela1[[#This Row],[TIPO]]=REGRAS!$W$2,REGRAS!$X$2,IF(Tabela1[[#This Row],[TIPO]]=REGRAS!$W$4,REGRAS!$X$4,""))</f>
        <v/>
      </c>
      <c r="AE648" s="29" t="e">
        <f>VLOOKUP(Tabela1[[#This Row],[FONTE_COD]],REGRAS!$O$2:$P$69,2,FALSE)</f>
        <v>#N/A</v>
      </c>
      <c r="AF6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9" spans="1:32" ht="18.75" customHeight="1">
      <c r="A649" s="2" t="str">
        <f>IFERROR(IF('PREENCHER AQUI'!A649="","",'PREENCHER AQUI'!A649),"")</f>
        <v/>
      </c>
      <c r="B649" s="1" t="str">
        <f>IFERROR(IF('PREENCHER AQUI'!B649="","",PROPER('PREENCHER AQUI'!B649)),"")</f>
        <v/>
      </c>
      <c r="C649" s="1" t="str">
        <f>IFERROR(IF('PREENCHER AQUI'!C649="","",'PREENCHER AQUI'!C649),"")</f>
        <v/>
      </c>
      <c r="D649" s="2" t="str">
        <f>IFERROR(IF('PREENCHER AQUI'!D649="","",'PREENCHER AQUI'!D649),"")</f>
        <v/>
      </c>
      <c r="E649" s="2" t="str">
        <f>IFERROR(VLOOKUP(CONCATENATE(C649,D649),qdd!$C$2:$F$1000,2,FALSE),"")</f>
        <v/>
      </c>
      <c r="F649" s="2" t="str">
        <f>IFERROR(VLOOKUP(CONCATENATE(C649,D649),qdd!$C$2:$F$1000,3,FALSE),"")</f>
        <v/>
      </c>
      <c r="G649" s="2" t="str">
        <f>IFERROR(VLOOKUP(CONCATENATE(C649,D649),qdd!$C$2:$F$1000,4,FALSE),"")</f>
        <v/>
      </c>
      <c r="H649" s="6" t="str">
        <f t="shared" si="22"/>
        <v/>
      </c>
      <c r="I6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9" s="2" t="str">
        <f>IFERROR(IF('PREENCHER AQUI'!E649="","",'PREENCHER AQUI'!E649),"")</f>
        <v/>
      </c>
      <c r="K649" s="2" t="str">
        <f>IFERROR(IF('PREENCHER AQUI'!F649="","",'PREENCHER AQUI'!F649),"")</f>
        <v/>
      </c>
      <c r="L649" s="2" t="str">
        <f>IF(Tabela1[[#This Row],[IPU_COD]]=9,"91",IF(Tabela1[[#This Row],[ACAO_COD]]="","",VLOOKUP(CONCATENATE("G",J649,"M",K649),qdd!$BC$2:$BD$46,2,FALSE)))</f>
        <v/>
      </c>
      <c r="M649" s="2" t="str">
        <f>TEXT(IFERROR(VLOOKUP(CONCATENATE(C649,D649),qdd!$C$2:$G$1000,5,FALSE),""),0)</f>
        <v/>
      </c>
      <c r="N649" s="2" t="str">
        <f>IFERROR(IF('PREENCHER AQUI'!I649="","",'PREENCHER AQUI'!I649),"")</f>
        <v/>
      </c>
      <c r="O649" s="2" t="str">
        <f>IFERROR(IF('PREENCHER AQUI'!J649="","",'PREENCHER AQUI'!J649),"")</f>
        <v/>
      </c>
      <c r="P649" s="7" t="str">
        <f t="shared" si="23"/>
        <v/>
      </c>
      <c r="Q649" s="8" t="str">
        <f>IFERROR(IF(Tabela4[[#This Row],[VALOR]]="","",IF(Tabela1[[#This Row],[ORIENTACAO]]="Anular",'PREENCHER AQUI'!K649*-1*100,'PREENCHER AQUI'!K649*100)),"")</f>
        <v/>
      </c>
      <c r="T649" s="7" t="str">
        <f>IFERROR(IF('PREENCHER AQUI'!L649="","999",LEFT('PREENCHER AQUI'!L649,1)),"")</f>
        <v>999</v>
      </c>
      <c r="V649" s="19"/>
      <c r="W649" s="1" t="str">
        <f>IFERROR(VLOOKUP(Tabela1[[#This Row],[UO_COD]],qdd!$AT$1:$AU$102,2,FALSE),"")</f>
        <v/>
      </c>
      <c r="X649" s="1" t="str">
        <f>CONCATENATE("F",Tabela1[[#This Row],[FONTE_COD]],Tabela1[[#This Row],[IPU_COD]],"G",Tabela1[[#This Row],[GRUPO_COD]],"T",Tabela1[[#This Row],[TIPO]])</f>
        <v>FGT999</v>
      </c>
      <c r="Y6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9" s="19"/>
      <c r="AA649" s="29" t="str">
        <f>IFERROR(VLOOKUP(CONCATENATE("B",Tabela1[[#This Row],[BLOCO]],Tabela1[[#This Row],[UO_COD]]),qdd!$AW$2:$AX$1000,2,FALSE),"")</f>
        <v/>
      </c>
      <c r="AB649" s="30" t="str">
        <f>IFERROR(Tabela1[[#This Row],[VALOR]]/100,"")</f>
        <v/>
      </c>
      <c r="AC649" s="7" t="str" cm="1">
        <f t="array" aca="1" ref="AC649" ca="1">IF(Tabela1[[#This Row],[VALOR]]&lt;0,"",IFERROR(SUBSTITUTE(Converter_numero(Tabela1[[#This Row],[VALOR INCISO]]),",",""),""))</f>
        <v/>
      </c>
      <c r="AD649" s="29" t="str">
        <f>IF(Tabela1[[#This Row],[TIPO]]=REGRAS!$W$2,REGRAS!$X$2,IF(Tabela1[[#This Row],[TIPO]]=REGRAS!$W$4,REGRAS!$X$4,""))</f>
        <v/>
      </c>
      <c r="AE649" s="29" t="e">
        <f>VLOOKUP(Tabela1[[#This Row],[FONTE_COD]],REGRAS!$O$2:$P$69,2,FALSE)</f>
        <v>#N/A</v>
      </c>
      <c r="AF6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0" spans="1:32" ht="18.75" customHeight="1">
      <c r="A650" s="2" t="str">
        <f>IFERROR(IF('PREENCHER AQUI'!A650="","",'PREENCHER AQUI'!A650),"")</f>
        <v/>
      </c>
      <c r="B650" s="1" t="str">
        <f>IFERROR(IF('PREENCHER AQUI'!B650="","",PROPER('PREENCHER AQUI'!B650)),"")</f>
        <v/>
      </c>
      <c r="C650" s="1" t="str">
        <f>IFERROR(IF('PREENCHER AQUI'!C650="","",'PREENCHER AQUI'!C650),"")</f>
        <v/>
      </c>
      <c r="D650" s="2" t="str">
        <f>IFERROR(IF('PREENCHER AQUI'!D650="","",'PREENCHER AQUI'!D650),"")</f>
        <v/>
      </c>
      <c r="E650" s="2" t="str">
        <f>IFERROR(VLOOKUP(CONCATENATE(C650,D650),qdd!$C$2:$F$1000,2,FALSE),"")</f>
        <v/>
      </c>
      <c r="F650" s="2" t="str">
        <f>IFERROR(VLOOKUP(CONCATENATE(C650,D650),qdd!$C$2:$F$1000,3,FALSE),"")</f>
        <v/>
      </c>
      <c r="G650" s="2" t="str">
        <f>IFERROR(VLOOKUP(CONCATENATE(C650,D650),qdd!$C$2:$F$1000,4,FALSE),"")</f>
        <v/>
      </c>
      <c r="H650" s="6" t="str">
        <f t="shared" si="22"/>
        <v/>
      </c>
      <c r="I6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0" s="2" t="str">
        <f>IFERROR(IF('PREENCHER AQUI'!E650="","",'PREENCHER AQUI'!E650),"")</f>
        <v/>
      </c>
      <c r="K650" s="2" t="str">
        <f>IFERROR(IF('PREENCHER AQUI'!F650="","",'PREENCHER AQUI'!F650),"")</f>
        <v/>
      </c>
      <c r="L650" s="2" t="str">
        <f>IF(Tabela1[[#This Row],[IPU_COD]]=9,"91",IF(Tabela1[[#This Row],[ACAO_COD]]="","",VLOOKUP(CONCATENATE("G",J650,"M",K650),qdd!$BC$2:$BD$46,2,FALSE)))</f>
        <v/>
      </c>
      <c r="M650" s="2" t="str">
        <f>TEXT(IFERROR(VLOOKUP(CONCATENATE(C650,D650),qdd!$C$2:$G$1000,5,FALSE),""),0)</f>
        <v/>
      </c>
      <c r="N650" s="2" t="str">
        <f>IFERROR(IF('PREENCHER AQUI'!I650="","",'PREENCHER AQUI'!I650),"")</f>
        <v/>
      </c>
      <c r="O650" s="2" t="str">
        <f>IFERROR(IF('PREENCHER AQUI'!J650="","",'PREENCHER AQUI'!J650),"")</f>
        <v/>
      </c>
      <c r="P650" s="7" t="str">
        <f t="shared" si="23"/>
        <v/>
      </c>
      <c r="Q650" s="8" t="str">
        <f>IFERROR(IF(Tabela4[[#This Row],[VALOR]]="","",IF(Tabela1[[#This Row],[ORIENTACAO]]="Anular",'PREENCHER AQUI'!K650*-1*100,'PREENCHER AQUI'!K650*100)),"")</f>
        <v/>
      </c>
      <c r="T650" s="7" t="str">
        <f>IFERROR(IF('PREENCHER AQUI'!L650="","999",LEFT('PREENCHER AQUI'!L650,1)),"")</f>
        <v>999</v>
      </c>
      <c r="V650" s="19"/>
      <c r="W650" s="20" t="str">
        <f>IFERROR(VLOOKUP(Tabela1[[#This Row],[UO_COD]],qdd!$AT$1:$AU$102,2,FALSE),"")</f>
        <v/>
      </c>
      <c r="X650" s="20" t="str">
        <f>CONCATENATE("F",Tabela1[[#This Row],[FONTE_COD]],Tabela1[[#This Row],[IPU_COD]],"G",Tabela1[[#This Row],[GRUPO_COD]],"T",Tabela1[[#This Row],[TIPO]])</f>
        <v>FGT999</v>
      </c>
      <c r="Y6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0" s="19"/>
      <c r="AA650" s="29" t="str">
        <f>IFERROR(VLOOKUP(CONCATENATE("B",Tabela1[[#This Row],[BLOCO]],Tabela1[[#This Row],[UO_COD]]),qdd!$AW$2:$AX$1000,2,FALSE),"")</f>
        <v/>
      </c>
      <c r="AB650" s="30" t="str">
        <f>IFERROR(Tabela1[[#This Row],[VALOR]]/100,"")</f>
        <v/>
      </c>
      <c r="AC650" s="7" t="str" cm="1">
        <f t="array" aca="1" ref="AC650" ca="1">IF(Tabela1[[#This Row],[VALOR]]&lt;0,"",IFERROR(SUBSTITUTE(Converter_numero(Tabela1[[#This Row],[VALOR INCISO]]),",",""),""))</f>
        <v/>
      </c>
      <c r="AD650" s="29" t="str">
        <f>IF(Tabela1[[#This Row],[TIPO]]=REGRAS!$W$2,REGRAS!$X$2,IF(Tabela1[[#This Row],[TIPO]]=REGRAS!$W$4,REGRAS!$X$4,""))</f>
        <v/>
      </c>
      <c r="AE650" s="29" t="e">
        <f>VLOOKUP(Tabela1[[#This Row],[FONTE_COD]],REGRAS!$O$2:$P$69,2,FALSE)</f>
        <v>#N/A</v>
      </c>
      <c r="AF6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1" spans="1:32" ht="18.75" customHeight="1">
      <c r="A651" s="2" t="str">
        <f>IFERROR(IF('PREENCHER AQUI'!A651="","",'PREENCHER AQUI'!A651),"")</f>
        <v/>
      </c>
      <c r="B651" s="1" t="str">
        <f>IFERROR(IF('PREENCHER AQUI'!B651="","",PROPER('PREENCHER AQUI'!B651)),"")</f>
        <v/>
      </c>
      <c r="C651" s="1" t="str">
        <f>IFERROR(IF('PREENCHER AQUI'!C651="","",'PREENCHER AQUI'!C651),"")</f>
        <v/>
      </c>
      <c r="D651" s="2" t="str">
        <f>IFERROR(IF('PREENCHER AQUI'!D651="","",'PREENCHER AQUI'!D651),"")</f>
        <v/>
      </c>
      <c r="E651" s="2" t="str">
        <f>IFERROR(VLOOKUP(CONCATENATE(C651,D651),qdd!$C$2:$F$1000,2,FALSE),"")</f>
        <v/>
      </c>
      <c r="F651" s="2" t="str">
        <f>IFERROR(VLOOKUP(CONCATENATE(C651,D651),qdd!$C$2:$F$1000,3,FALSE),"")</f>
        <v/>
      </c>
      <c r="G651" s="2" t="str">
        <f>IFERROR(VLOOKUP(CONCATENATE(C651,D651),qdd!$C$2:$F$1000,4,FALSE),"")</f>
        <v/>
      </c>
      <c r="H651" s="6" t="str">
        <f t="shared" si="22"/>
        <v/>
      </c>
      <c r="I6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1" s="2" t="str">
        <f>IFERROR(IF('PREENCHER AQUI'!E651="","",'PREENCHER AQUI'!E651),"")</f>
        <v/>
      </c>
      <c r="K651" s="2" t="str">
        <f>IFERROR(IF('PREENCHER AQUI'!F651="","",'PREENCHER AQUI'!F651),"")</f>
        <v/>
      </c>
      <c r="L651" s="2" t="str">
        <f>IF(Tabela1[[#This Row],[IPU_COD]]=9,"91",IF(Tabela1[[#This Row],[ACAO_COD]]="","",VLOOKUP(CONCATENATE("G",J651,"M",K651),qdd!$BC$2:$BD$46,2,FALSE)))</f>
        <v/>
      </c>
      <c r="M651" s="2" t="str">
        <f>TEXT(IFERROR(VLOOKUP(CONCATENATE(C651,D651),qdd!$C$2:$G$1000,5,FALSE),""),0)</f>
        <v/>
      </c>
      <c r="N651" s="2" t="str">
        <f>IFERROR(IF('PREENCHER AQUI'!I651="","",'PREENCHER AQUI'!I651),"")</f>
        <v/>
      </c>
      <c r="O651" s="2" t="str">
        <f>IFERROR(IF('PREENCHER AQUI'!J651="","",'PREENCHER AQUI'!J651),"")</f>
        <v/>
      </c>
      <c r="P651" s="7" t="str">
        <f t="shared" si="23"/>
        <v/>
      </c>
      <c r="Q651" s="8" t="str">
        <f>IFERROR(IF(Tabela4[[#This Row],[VALOR]]="","",IF(Tabela1[[#This Row],[ORIENTACAO]]="Anular",'PREENCHER AQUI'!K651*-1*100,'PREENCHER AQUI'!K651*100)),"")</f>
        <v/>
      </c>
      <c r="T651" s="7" t="str">
        <f>IFERROR(IF('PREENCHER AQUI'!L651="","999",LEFT('PREENCHER AQUI'!L651,1)),"")</f>
        <v>999</v>
      </c>
      <c r="V651" s="19"/>
      <c r="W651" s="1" t="str">
        <f>IFERROR(VLOOKUP(Tabela1[[#This Row],[UO_COD]],qdd!$AT$1:$AU$102,2,FALSE),"")</f>
        <v/>
      </c>
      <c r="X651" s="1" t="str">
        <f>CONCATENATE("F",Tabela1[[#This Row],[FONTE_COD]],Tabela1[[#This Row],[IPU_COD]],"G",Tabela1[[#This Row],[GRUPO_COD]],"T",Tabela1[[#This Row],[TIPO]])</f>
        <v>FGT999</v>
      </c>
      <c r="Y6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1" s="19"/>
      <c r="AA651" s="29" t="str">
        <f>IFERROR(VLOOKUP(CONCATENATE("B",Tabela1[[#This Row],[BLOCO]],Tabela1[[#This Row],[UO_COD]]),qdd!$AW$2:$AX$1000,2,FALSE),"")</f>
        <v/>
      </c>
      <c r="AB651" s="30" t="str">
        <f>IFERROR(Tabela1[[#This Row],[VALOR]]/100,"")</f>
        <v/>
      </c>
      <c r="AC651" s="7" t="str" cm="1">
        <f t="array" aca="1" ref="AC651" ca="1">IF(Tabela1[[#This Row],[VALOR]]&lt;0,"",IFERROR(SUBSTITUTE(Converter_numero(Tabela1[[#This Row],[VALOR INCISO]]),",",""),""))</f>
        <v/>
      </c>
      <c r="AD651" s="29" t="str">
        <f>IF(Tabela1[[#This Row],[TIPO]]=REGRAS!$W$2,REGRAS!$X$2,IF(Tabela1[[#This Row],[TIPO]]=REGRAS!$W$4,REGRAS!$X$4,""))</f>
        <v/>
      </c>
      <c r="AE651" s="29" t="e">
        <f>VLOOKUP(Tabela1[[#This Row],[FONTE_COD]],REGRAS!$O$2:$P$69,2,FALSE)</f>
        <v>#N/A</v>
      </c>
      <c r="AF6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2" spans="1:32" ht="18.75" customHeight="1">
      <c r="A652" s="2" t="str">
        <f>IFERROR(IF('PREENCHER AQUI'!A652="","",'PREENCHER AQUI'!A652),"")</f>
        <v/>
      </c>
      <c r="B652" s="1" t="str">
        <f>IFERROR(IF('PREENCHER AQUI'!B652="","",PROPER('PREENCHER AQUI'!B652)),"")</f>
        <v/>
      </c>
      <c r="C652" s="1" t="str">
        <f>IFERROR(IF('PREENCHER AQUI'!C652="","",'PREENCHER AQUI'!C652),"")</f>
        <v/>
      </c>
      <c r="D652" s="2" t="str">
        <f>IFERROR(IF('PREENCHER AQUI'!D652="","",'PREENCHER AQUI'!D652),"")</f>
        <v/>
      </c>
      <c r="E652" s="2" t="str">
        <f>IFERROR(VLOOKUP(CONCATENATE(C652,D652),qdd!$C$2:$F$1000,2,FALSE),"")</f>
        <v/>
      </c>
      <c r="F652" s="2" t="str">
        <f>IFERROR(VLOOKUP(CONCATENATE(C652,D652),qdd!$C$2:$F$1000,3,FALSE),"")</f>
        <v/>
      </c>
      <c r="G652" s="2" t="str">
        <f>IFERROR(VLOOKUP(CONCATENATE(C652,D652),qdd!$C$2:$F$1000,4,FALSE),"")</f>
        <v/>
      </c>
      <c r="H652" s="6" t="str">
        <f t="shared" si="22"/>
        <v/>
      </c>
      <c r="I6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2" s="2" t="str">
        <f>IFERROR(IF('PREENCHER AQUI'!E652="","",'PREENCHER AQUI'!E652),"")</f>
        <v/>
      </c>
      <c r="K652" s="2" t="str">
        <f>IFERROR(IF('PREENCHER AQUI'!F652="","",'PREENCHER AQUI'!F652),"")</f>
        <v/>
      </c>
      <c r="L652" s="2" t="str">
        <f>IF(Tabela1[[#This Row],[IPU_COD]]=9,"91",IF(Tabela1[[#This Row],[ACAO_COD]]="","",VLOOKUP(CONCATENATE("G",J652,"M",K652),qdd!$BC$2:$BD$46,2,FALSE)))</f>
        <v/>
      </c>
      <c r="M652" s="2" t="str">
        <f>TEXT(IFERROR(VLOOKUP(CONCATENATE(C652,D652),qdd!$C$2:$G$1000,5,FALSE),""),0)</f>
        <v/>
      </c>
      <c r="N652" s="2" t="str">
        <f>IFERROR(IF('PREENCHER AQUI'!I652="","",'PREENCHER AQUI'!I652),"")</f>
        <v/>
      </c>
      <c r="O652" s="2" t="str">
        <f>IFERROR(IF('PREENCHER AQUI'!J652="","",'PREENCHER AQUI'!J652),"")</f>
        <v/>
      </c>
      <c r="P652" s="7" t="str">
        <f t="shared" si="23"/>
        <v/>
      </c>
      <c r="Q652" s="8" t="str">
        <f>IFERROR(IF(Tabela4[[#This Row],[VALOR]]="","",IF(Tabela1[[#This Row],[ORIENTACAO]]="Anular",'PREENCHER AQUI'!K652*-1*100,'PREENCHER AQUI'!K652*100)),"")</f>
        <v/>
      </c>
      <c r="T652" s="7" t="str">
        <f>IFERROR(IF('PREENCHER AQUI'!L652="","999",LEFT('PREENCHER AQUI'!L652,1)),"")</f>
        <v>999</v>
      </c>
      <c r="W652" s="1" t="str">
        <f>IFERROR(VLOOKUP(Tabela1[[#This Row],[UO_COD]],qdd!$AT$1:$AU$102,2,FALSE),"")</f>
        <v/>
      </c>
      <c r="X652" s="1" t="str">
        <f>CONCATENATE("F",Tabela1[[#This Row],[FONTE_COD]],Tabela1[[#This Row],[IPU_COD]],"G",Tabela1[[#This Row],[GRUPO_COD]],"T",Tabela1[[#This Row],[TIPO]])</f>
        <v>FGT999</v>
      </c>
      <c r="Y6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2" s="19"/>
      <c r="AA652" s="29" t="str">
        <f>IFERROR(VLOOKUP(CONCATENATE("B",Tabela1[[#This Row],[BLOCO]],Tabela1[[#This Row],[UO_COD]]),qdd!$AW$2:$AX$1000,2,FALSE),"")</f>
        <v/>
      </c>
      <c r="AB652" s="30" t="str">
        <f>IFERROR(Tabela1[[#This Row],[VALOR]]/100,"")</f>
        <v/>
      </c>
      <c r="AC652" s="7" t="str" cm="1">
        <f t="array" aca="1" ref="AC652" ca="1">IF(Tabela1[[#This Row],[VALOR]]&lt;0,"",IFERROR(SUBSTITUTE(Converter_numero(Tabela1[[#This Row],[VALOR INCISO]]),",",""),""))</f>
        <v/>
      </c>
      <c r="AD652" s="7" t="str">
        <f>IF(Tabela1[[#This Row],[TIPO]]=REGRAS!$W$2,REGRAS!$X$2,IF(Tabela1[[#This Row],[TIPO]]=REGRAS!$W$4,REGRAS!$X$4,""))</f>
        <v/>
      </c>
      <c r="AE652" s="29" t="e">
        <f>VLOOKUP(Tabela1[[#This Row],[FONTE_COD]],REGRAS!$O$2:$P$69,2,FALSE)</f>
        <v>#N/A</v>
      </c>
      <c r="AF6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3" spans="1:32" ht="18.75" customHeight="1">
      <c r="A653" s="2" t="str">
        <f>IFERROR(IF('PREENCHER AQUI'!A653="","",'PREENCHER AQUI'!A653),"")</f>
        <v/>
      </c>
      <c r="B653" s="1" t="str">
        <f>IFERROR(IF('PREENCHER AQUI'!B653="","",PROPER('PREENCHER AQUI'!B653)),"")</f>
        <v/>
      </c>
      <c r="C653" s="1" t="str">
        <f>IFERROR(IF('PREENCHER AQUI'!C653="","",'PREENCHER AQUI'!C653),"")</f>
        <v/>
      </c>
      <c r="D653" s="2" t="str">
        <f>IFERROR(IF('PREENCHER AQUI'!D653="","",'PREENCHER AQUI'!D653),"")</f>
        <v/>
      </c>
      <c r="E653" s="2" t="str">
        <f>IFERROR(VLOOKUP(CONCATENATE(C653,D653),qdd!$C$2:$F$1000,2,FALSE),"")</f>
        <v/>
      </c>
      <c r="F653" s="2" t="str">
        <f>IFERROR(VLOOKUP(CONCATENATE(C653,D653),qdd!$C$2:$F$1000,3,FALSE),"")</f>
        <v/>
      </c>
      <c r="G653" s="2" t="str">
        <f>IFERROR(VLOOKUP(CONCATENATE(C653,D653),qdd!$C$2:$F$1000,4,FALSE),"")</f>
        <v/>
      </c>
      <c r="H653" s="6" t="str">
        <f t="shared" si="22"/>
        <v/>
      </c>
      <c r="I6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3" s="2" t="str">
        <f>IFERROR(IF('PREENCHER AQUI'!E653="","",'PREENCHER AQUI'!E653),"")</f>
        <v/>
      </c>
      <c r="K653" s="2" t="str">
        <f>IFERROR(IF('PREENCHER AQUI'!F653="","",'PREENCHER AQUI'!F653),"")</f>
        <v/>
      </c>
      <c r="L653" s="2" t="str">
        <f>IF(Tabela1[[#This Row],[IPU_COD]]=9,"91",IF(Tabela1[[#This Row],[ACAO_COD]]="","",VLOOKUP(CONCATENATE("G",J653,"M",K653),qdd!$BC$2:$BD$46,2,FALSE)))</f>
        <v/>
      </c>
      <c r="M653" s="2" t="str">
        <f>TEXT(IFERROR(VLOOKUP(CONCATENATE(C653,D653),qdd!$C$2:$G$1000,5,FALSE),""),0)</f>
        <v/>
      </c>
      <c r="N653" s="2" t="str">
        <f>IFERROR(IF('PREENCHER AQUI'!I653="","",'PREENCHER AQUI'!I653),"")</f>
        <v/>
      </c>
      <c r="O653" s="2" t="str">
        <f>IFERROR(IF('PREENCHER AQUI'!J653="","",'PREENCHER AQUI'!J653),"")</f>
        <v/>
      </c>
      <c r="P653" s="7" t="str">
        <f t="shared" si="23"/>
        <v/>
      </c>
      <c r="Q653" s="8" t="str">
        <f>IFERROR(IF(Tabela4[[#This Row],[VALOR]]="","",IF(Tabela1[[#This Row],[ORIENTACAO]]="Anular",'PREENCHER AQUI'!K653*-1*100,'PREENCHER AQUI'!K653*100)),"")</f>
        <v/>
      </c>
      <c r="T653" s="7" t="str">
        <f>IFERROR(IF('PREENCHER AQUI'!L653="","999",LEFT('PREENCHER AQUI'!L653,1)),"")</f>
        <v>999</v>
      </c>
      <c r="V653" s="19"/>
      <c r="W653" s="1" t="str">
        <f>IFERROR(VLOOKUP(Tabela1[[#This Row],[UO_COD]],qdd!$AT$1:$AU$102,2,FALSE),"")</f>
        <v/>
      </c>
      <c r="X653" s="1" t="str">
        <f>CONCATENATE("F",Tabela1[[#This Row],[FONTE_COD]],Tabela1[[#This Row],[IPU_COD]],"G",Tabela1[[#This Row],[GRUPO_COD]],"T",Tabela1[[#This Row],[TIPO]])</f>
        <v>FGT999</v>
      </c>
      <c r="Y6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3" s="19"/>
      <c r="AA653" s="29" t="str">
        <f>IFERROR(VLOOKUP(CONCATENATE("B",Tabela1[[#This Row],[BLOCO]],Tabela1[[#This Row],[UO_COD]]),qdd!$AW$2:$AX$1000,2,FALSE),"")</f>
        <v/>
      </c>
      <c r="AB653" s="30" t="str">
        <f>IFERROR(Tabela1[[#This Row],[VALOR]]/100,"")</f>
        <v/>
      </c>
      <c r="AC653" s="7" t="str" cm="1">
        <f t="array" aca="1" ref="AC653" ca="1">IF(Tabela1[[#This Row],[VALOR]]&lt;0,"",IFERROR(SUBSTITUTE(Converter_numero(Tabela1[[#This Row],[VALOR INCISO]]),",",""),""))</f>
        <v/>
      </c>
      <c r="AD653" s="29" t="str">
        <f>IF(Tabela1[[#This Row],[TIPO]]=REGRAS!$W$2,REGRAS!$X$2,IF(Tabela1[[#This Row],[TIPO]]=REGRAS!$W$4,REGRAS!$X$4,""))</f>
        <v/>
      </c>
      <c r="AE653" s="29" t="e">
        <f>VLOOKUP(Tabela1[[#This Row],[FONTE_COD]],REGRAS!$O$2:$P$69,2,FALSE)</f>
        <v>#N/A</v>
      </c>
      <c r="AF6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4" spans="1:32" ht="18.75" customHeight="1">
      <c r="A654" s="2" t="str">
        <f>IFERROR(IF('PREENCHER AQUI'!A654="","",'PREENCHER AQUI'!A654),"")</f>
        <v/>
      </c>
      <c r="B654" s="1" t="str">
        <f>IFERROR(IF('PREENCHER AQUI'!B654="","",PROPER('PREENCHER AQUI'!B654)),"")</f>
        <v/>
      </c>
      <c r="C654" s="1" t="str">
        <f>IFERROR(IF('PREENCHER AQUI'!C654="","",'PREENCHER AQUI'!C654),"")</f>
        <v/>
      </c>
      <c r="D654" s="2" t="str">
        <f>IFERROR(IF('PREENCHER AQUI'!D654="","",'PREENCHER AQUI'!D654),"")</f>
        <v/>
      </c>
      <c r="E654" s="2" t="str">
        <f>IFERROR(VLOOKUP(CONCATENATE(C654,D654),qdd!$C$2:$F$1000,2,FALSE),"")</f>
        <v/>
      </c>
      <c r="F654" s="2" t="str">
        <f>IFERROR(VLOOKUP(CONCATENATE(C654,D654),qdd!$C$2:$F$1000,3,FALSE),"")</f>
        <v/>
      </c>
      <c r="G654" s="2" t="str">
        <f>IFERROR(VLOOKUP(CONCATENATE(C654,D654),qdd!$C$2:$F$1000,4,FALSE),"")</f>
        <v/>
      </c>
      <c r="H654" s="6" t="str">
        <f t="shared" si="22"/>
        <v/>
      </c>
      <c r="I6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4" s="2" t="str">
        <f>IFERROR(IF('PREENCHER AQUI'!E654="","",'PREENCHER AQUI'!E654),"")</f>
        <v/>
      </c>
      <c r="K654" s="2" t="str">
        <f>IFERROR(IF('PREENCHER AQUI'!F654="","",'PREENCHER AQUI'!F654),"")</f>
        <v/>
      </c>
      <c r="L654" s="2" t="str">
        <f>IF(Tabela1[[#This Row],[IPU_COD]]=9,"91",IF(Tabela1[[#This Row],[ACAO_COD]]="","",VLOOKUP(CONCATENATE("G",J654,"M",K654),qdd!$BC$2:$BD$46,2,FALSE)))</f>
        <v/>
      </c>
      <c r="M654" s="2" t="str">
        <f>TEXT(IFERROR(VLOOKUP(CONCATENATE(C654,D654),qdd!$C$2:$G$1000,5,FALSE),""),0)</f>
        <v/>
      </c>
      <c r="N654" s="2" t="str">
        <f>IFERROR(IF('PREENCHER AQUI'!I654="","",'PREENCHER AQUI'!I654),"")</f>
        <v/>
      </c>
      <c r="O654" s="2" t="str">
        <f>IFERROR(IF('PREENCHER AQUI'!J654="","",'PREENCHER AQUI'!J654),"")</f>
        <v/>
      </c>
      <c r="P654" s="7" t="str">
        <f t="shared" si="23"/>
        <v/>
      </c>
      <c r="Q654" s="8" t="str">
        <f>IFERROR(IF(Tabela4[[#This Row],[VALOR]]="","",IF(Tabela1[[#This Row],[ORIENTACAO]]="Anular",'PREENCHER AQUI'!K654*-1*100,'PREENCHER AQUI'!K654*100)),"")</f>
        <v/>
      </c>
      <c r="T654" s="7" t="str">
        <f>IFERROR(IF('PREENCHER AQUI'!L654="","999",LEFT('PREENCHER AQUI'!L654,1)),"")</f>
        <v>999</v>
      </c>
      <c r="V654" s="19"/>
      <c r="W654" s="1" t="str">
        <f>IFERROR(VLOOKUP(Tabela1[[#This Row],[UO_COD]],qdd!$AT$1:$AU$102,2,FALSE),"")</f>
        <v/>
      </c>
      <c r="X654" s="1" t="str">
        <f>CONCATENATE("F",Tabela1[[#This Row],[FONTE_COD]],Tabela1[[#This Row],[IPU_COD]],"G",Tabela1[[#This Row],[GRUPO_COD]],"T",Tabela1[[#This Row],[TIPO]])</f>
        <v>FGT999</v>
      </c>
      <c r="Y6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4" s="19"/>
      <c r="AA654" s="29" t="str">
        <f>IFERROR(VLOOKUP(CONCATENATE("B",Tabela1[[#This Row],[BLOCO]],Tabela1[[#This Row],[UO_COD]]),qdd!$AW$2:$AX$1000,2,FALSE),"")</f>
        <v/>
      </c>
      <c r="AB654" s="30" t="str">
        <f>IFERROR(Tabela1[[#This Row],[VALOR]]/100,"")</f>
        <v/>
      </c>
      <c r="AC654" s="7" t="str" cm="1">
        <f t="array" aca="1" ref="AC654" ca="1">IF(Tabela1[[#This Row],[VALOR]]&lt;0,"",IFERROR(SUBSTITUTE(Converter_numero(Tabela1[[#This Row],[VALOR INCISO]]),",",""),""))</f>
        <v/>
      </c>
      <c r="AD654" s="29" t="str">
        <f>IF(Tabela1[[#This Row],[TIPO]]=REGRAS!$W$2,REGRAS!$X$2,IF(Tabela1[[#This Row],[TIPO]]=REGRAS!$W$4,REGRAS!$X$4,""))</f>
        <v/>
      </c>
      <c r="AE654" s="29" t="e">
        <f>VLOOKUP(Tabela1[[#This Row],[FONTE_COD]],REGRAS!$O$2:$P$69,2,FALSE)</f>
        <v>#N/A</v>
      </c>
      <c r="AF6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5" spans="1:32" ht="18.75" customHeight="1">
      <c r="A655" s="2" t="str">
        <f>IFERROR(IF('PREENCHER AQUI'!A655="","",'PREENCHER AQUI'!A655),"")</f>
        <v/>
      </c>
      <c r="B655" s="1" t="str">
        <f>IFERROR(IF('PREENCHER AQUI'!B655="","",PROPER('PREENCHER AQUI'!B655)),"")</f>
        <v/>
      </c>
      <c r="C655" s="1" t="str">
        <f>IFERROR(IF('PREENCHER AQUI'!C655="","",'PREENCHER AQUI'!C655),"")</f>
        <v/>
      </c>
      <c r="D655" s="2" t="str">
        <f>IFERROR(IF('PREENCHER AQUI'!D655="","",'PREENCHER AQUI'!D655),"")</f>
        <v/>
      </c>
      <c r="E655" s="2" t="str">
        <f>IFERROR(VLOOKUP(CONCATENATE(C655,D655),qdd!$C$2:$F$1000,2,FALSE),"")</f>
        <v/>
      </c>
      <c r="F655" s="2" t="str">
        <f>IFERROR(VLOOKUP(CONCATENATE(C655,D655),qdd!$C$2:$F$1000,3,FALSE),"")</f>
        <v/>
      </c>
      <c r="G655" s="2" t="str">
        <f>IFERROR(VLOOKUP(CONCATENATE(C655,D655),qdd!$C$2:$F$1000,4,FALSE),"")</f>
        <v/>
      </c>
      <c r="H655" s="6" t="str">
        <f t="shared" si="22"/>
        <v/>
      </c>
      <c r="I6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5" s="2" t="str">
        <f>IFERROR(IF('PREENCHER AQUI'!E655="","",'PREENCHER AQUI'!E655),"")</f>
        <v/>
      </c>
      <c r="K655" s="2" t="str">
        <f>IFERROR(IF('PREENCHER AQUI'!F655="","",'PREENCHER AQUI'!F655),"")</f>
        <v/>
      </c>
      <c r="L655" s="2" t="str">
        <f>IF(Tabela1[[#This Row],[IPU_COD]]=9,"91",IF(Tabela1[[#This Row],[ACAO_COD]]="","",VLOOKUP(CONCATENATE("G",J655,"M",K655),qdd!$BC$2:$BD$46,2,FALSE)))</f>
        <v/>
      </c>
      <c r="M655" s="2" t="str">
        <f>TEXT(IFERROR(VLOOKUP(CONCATENATE(C655,D655),qdd!$C$2:$G$1000,5,FALSE),""),0)</f>
        <v/>
      </c>
      <c r="N655" s="2" t="str">
        <f>IFERROR(IF('PREENCHER AQUI'!I655="","",'PREENCHER AQUI'!I655),"")</f>
        <v/>
      </c>
      <c r="O655" s="2" t="str">
        <f>IFERROR(IF('PREENCHER AQUI'!J655="","",'PREENCHER AQUI'!J655),"")</f>
        <v/>
      </c>
      <c r="P655" s="7" t="str">
        <f t="shared" si="23"/>
        <v/>
      </c>
      <c r="Q655" s="8" t="str">
        <f>IFERROR(IF(Tabela4[[#This Row],[VALOR]]="","",IF(Tabela1[[#This Row],[ORIENTACAO]]="Anular",'PREENCHER AQUI'!K655*-1*100,'PREENCHER AQUI'!K655*100)),"")</f>
        <v/>
      </c>
      <c r="T655" s="7" t="str">
        <f>IFERROR(IF('PREENCHER AQUI'!L655="","999",LEFT('PREENCHER AQUI'!L655,1)),"")</f>
        <v>999</v>
      </c>
      <c r="V655" s="19"/>
      <c r="W655" s="20" t="str">
        <f>IFERROR(VLOOKUP(Tabela1[[#This Row],[UO_COD]],qdd!$AT$1:$AU$102,2,FALSE),"")</f>
        <v/>
      </c>
      <c r="X655" s="20" t="str">
        <f>CONCATENATE("F",Tabela1[[#This Row],[FONTE_COD]],Tabela1[[#This Row],[IPU_COD]],"G",Tabela1[[#This Row],[GRUPO_COD]],"T",Tabela1[[#This Row],[TIPO]])</f>
        <v>FGT999</v>
      </c>
      <c r="Y6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5" s="19"/>
      <c r="AA655" s="29" t="str">
        <f>IFERROR(VLOOKUP(CONCATENATE("B",Tabela1[[#This Row],[BLOCO]],Tabela1[[#This Row],[UO_COD]]),qdd!$AW$2:$AX$1000,2,FALSE),"")</f>
        <v/>
      </c>
      <c r="AB655" s="30" t="str">
        <f>IFERROR(Tabela1[[#This Row],[VALOR]]/100,"")</f>
        <v/>
      </c>
      <c r="AC655" s="7" t="str" cm="1">
        <f t="array" aca="1" ref="AC655" ca="1">IF(Tabela1[[#This Row],[VALOR]]&lt;0,"",IFERROR(SUBSTITUTE(Converter_numero(Tabela1[[#This Row],[VALOR INCISO]]),",",""),""))</f>
        <v/>
      </c>
      <c r="AD655" s="29" t="str">
        <f>IF(Tabela1[[#This Row],[TIPO]]=REGRAS!$W$2,REGRAS!$X$2,IF(Tabela1[[#This Row],[TIPO]]=REGRAS!$W$4,REGRAS!$X$4,""))</f>
        <v/>
      </c>
      <c r="AE655" s="29" t="e">
        <f>VLOOKUP(Tabela1[[#This Row],[FONTE_COD]],REGRAS!$O$2:$P$69,2,FALSE)</f>
        <v>#N/A</v>
      </c>
      <c r="AF6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6" spans="1:32" ht="18.75" customHeight="1">
      <c r="A656" s="2" t="str">
        <f>IFERROR(IF('PREENCHER AQUI'!A656="","",'PREENCHER AQUI'!A656),"")</f>
        <v/>
      </c>
      <c r="B656" s="1" t="str">
        <f>IFERROR(IF('PREENCHER AQUI'!B656="","",PROPER('PREENCHER AQUI'!B656)),"")</f>
        <v/>
      </c>
      <c r="C656" s="1" t="str">
        <f>IFERROR(IF('PREENCHER AQUI'!C656="","",'PREENCHER AQUI'!C656),"")</f>
        <v/>
      </c>
      <c r="D656" s="2" t="str">
        <f>IFERROR(IF('PREENCHER AQUI'!D656="","",'PREENCHER AQUI'!D656),"")</f>
        <v/>
      </c>
      <c r="E656" s="2" t="str">
        <f>IFERROR(VLOOKUP(CONCATENATE(C656,D656),qdd!$C$2:$F$1000,2,FALSE),"")</f>
        <v/>
      </c>
      <c r="F656" s="2" t="str">
        <f>IFERROR(VLOOKUP(CONCATENATE(C656,D656),qdd!$C$2:$F$1000,3,FALSE),"")</f>
        <v/>
      </c>
      <c r="G656" s="2" t="str">
        <f>IFERROR(VLOOKUP(CONCATENATE(C656,D656),qdd!$C$2:$F$1000,4,FALSE),"")</f>
        <v/>
      </c>
      <c r="H656" s="6" t="str">
        <f t="shared" si="22"/>
        <v/>
      </c>
      <c r="I6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6" s="2" t="str">
        <f>IFERROR(IF('PREENCHER AQUI'!E656="","",'PREENCHER AQUI'!E656),"")</f>
        <v/>
      </c>
      <c r="K656" s="2" t="str">
        <f>IFERROR(IF('PREENCHER AQUI'!F656="","",'PREENCHER AQUI'!F656),"")</f>
        <v/>
      </c>
      <c r="L656" s="2" t="str">
        <f>IF(Tabela1[[#This Row],[IPU_COD]]=9,"91",IF(Tabela1[[#This Row],[ACAO_COD]]="","",VLOOKUP(CONCATENATE("G",J656,"M",K656),qdd!$BC$2:$BD$46,2,FALSE)))</f>
        <v/>
      </c>
      <c r="M656" s="2" t="str">
        <f>TEXT(IFERROR(VLOOKUP(CONCATENATE(C656,D656),qdd!$C$2:$G$1000,5,FALSE),""),0)</f>
        <v/>
      </c>
      <c r="N656" s="2" t="str">
        <f>IFERROR(IF('PREENCHER AQUI'!I656="","",'PREENCHER AQUI'!I656),"")</f>
        <v/>
      </c>
      <c r="O656" s="2" t="str">
        <f>IFERROR(IF('PREENCHER AQUI'!J656="","",'PREENCHER AQUI'!J656),"")</f>
        <v/>
      </c>
      <c r="P656" s="7" t="str">
        <f t="shared" si="23"/>
        <v/>
      </c>
      <c r="Q656" s="8" t="str">
        <f>IFERROR(IF(Tabela4[[#This Row],[VALOR]]="","",IF(Tabela1[[#This Row],[ORIENTACAO]]="Anular",'PREENCHER AQUI'!K656*-1*100,'PREENCHER AQUI'!K656*100)),"")</f>
        <v/>
      </c>
      <c r="T656" s="7" t="str">
        <f>IFERROR(IF('PREENCHER AQUI'!L656="","999",LEFT('PREENCHER AQUI'!L656,1)),"")</f>
        <v>999</v>
      </c>
      <c r="V656" s="19"/>
      <c r="W656" s="1" t="str">
        <f>IFERROR(VLOOKUP(Tabela1[[#This Row],[UO_COD]],qdd!$AT$1:$AU$102,2,FALSE),"")</f>
        <v/>
      </c>
      <c r="X656" s="1" t="str">
        <f>CONCATENATE("F",Tabela1[[#This Row],[FONTE_COD]],Tabela1[[#This Row],[IPU_COD]],"G",Tabela1[[#This Row],[GRUPO_COD]],"T",Tabela1[[#This Row],[TIPO]])</f>
        <v>FGT999</v>
      </c>
      <c r="Y6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6" s="19"/>
      <c r="AA656" s="29" t="str">
        <f>IFERROR(VLOOKUP(CONCATENATE("B",Tabela1[[#This Row],[BLOCO]],Tabela1[[#This Row],[UO_COD]]),qdd!$AW$2:$AX$1000,2,FALSE),"")</f>
        <v/>
      </c>
      <c r="AB656" s="30" t="str">
        <f>IFERROR(Tabela1[[#This Row],[VALOR]]/100,"")</f>
        <v/>
      </c>
      <c r="AC656" s="7" t="str" cm="1">
        <f t="array" aca="1" ref="AC656" ca="1">IF(Tabela1[[#This Row],[VALOR]]&lt;0,"",IFERROR(SUBSTITUTE(Converter_numero(Tabela1[[#This Row],[VALOR INCISO]]),",",""),""))</f>
        <v/>
      </c>
      <c r="AD656" s="29" t="str">
        <f>IF(Tabela1[[#This Row],[TIPO]]=REGRAS!$W$2,REGRAS!$X$2,IF(Tabela1[[#This Row],[TIPO]]=REGRAS!$W$4,REGRAS!$X$4,""))</f>
        <v/>
      </c>
      <c r="AE656" s="29" t="e">
        <f>VLOOKUP(Tabela1[[#This Row],[FONTE_COD]],REGRAS!$O$2:$P$69,2,FALSE)</f>
        <v>#N/A</v>
      </c>
      <c r="AF6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7" spans="1:32" ht="18.75" customHeight="1">
      <c r="A657" s="2" t="str">
        <f>IFERROR(IF('PREENCHER AQUI'!A657="","",'PREENCHER AQUI'!A657),"")</f>
        <v/>
      </c>
      <c r="B657" s="1" t="str">
        <f>IFERROR(IF('PREENCHER AQUI'!B657="","",PROPER('PREENCHER AQUI'!B657)),"")</f>
        <v/>
      </c>
      <c r="C657" s="1" t="str">
        <f>IFERROR(IF('PREENCHER AQUI'!C657="","",'PREENCHER AQUI'!C657),"")</f>
        <v/>
      </c>
      <c r="D657" s="2" t="str">
        <f>IFERROR(IF('PREENCHER AQUI'!D657="","",'PREENCHER AQUI'!D657),"")</f>
        <v/>
      </c>
      <c r="E657" s="2" t="str">
        <f>IFERROR(VLOOKUP(CONCATENATE(C657,D657),qdd!$C$2:$F$1000,2,FALSE),"")</f>
        <v/>
      </c>
      <c r="F657" s="2" t="str">
        <f>IFERROR(VLOOKUP(CONCATENATE(C657,D657),qdd!$C$2:$F$1000,3,FALSE),"")</f>
        <v/>
      </c>
      <c r="G657" s="2" t="str">
        <f>IFERROR(VLOOKUP(CONCATENATE(C657,D657),qdd!$C$2:$F$1000,4,FALSE),"")</f>
        <v/>
      </c>
      <c r="H657" s="6" t="str">
        <f t="shared" si="22"/>
        <v/>
      </c>
      <c r="I6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7" s="2" t="str">
        <f>IFERROR(IF('PREENCHER AQUI'!E657="","",'PREENCHER AQUI'!E657),"")</f>
        <v/>
      </c>
      <c r="K657" s="2" t="str">
        <f>IFERROR(IF('PREENCHER AQUI'!F657="","",'PREENCHER AQUI'!F657),"")</f>
        <v/>
      </c>
      <c r="L657" s="2" t="str">
        <f>IF(Tabela1[[#This Row],[IPU_COD]]=9,"91",IF(Tabela1[[#This Row],[ACAO_COD]]="","",VLOOKUP(CONCATENATE("G",J657,"M",K657),qdd!$BC$2:$BD$46,2,FALSE)))</f>
        <v/>
      </c>
      <c r="M657" s="2" t="str">
        <f>TEXT(IFERROR(VLOOKUP(CONCATENATE(C657,D657),qdd!$C$2:$G$1000,5,FALSE),""),0)</f>
        <v/>
      </c>
      <c r="N657" s="2" t="str">
        <f>IFERROR(IF('PREENCHER AQUI'!I657="","",'PREENCHER AQUI'!I657),"")</f>
        <v/>
      </c>
      <c r="O657" s="2" t="str">
        <f>IFERROR(IF('PREENCHER AQUI'!J657="","",'PREENCHER AQUI'!J657),"")</f>
        <v/>
      </c>
      <c r="P657" s="7" t="str">
        <f t="shared" si="23"/>
        <v/>
      </c>
      <c r="Q657" s="8" t="str">
        <f>IFERROR(IF(Tabela4[[#This Row],[VALOR]]="","",IF(Tabela1[[#This Row],[ORIENTACAO]]="Anular",'PREENCHER AQUI'!K657*-1*100,'PREENCHER AQUI'!K657*100)),"")</f>
        <v/>
      </c>
      <c r="T657" s="7" t="str">
        <f>IFERROR(IF('PREENCHER AQUI'!L657="","999",LEFT('PREENCHER AQUI'!L657,1)),"")</f>
        <v>999</v>
      </c>
      <c r="W657" s="1" t="str">
        <f>IFERROR(VLOOKUP(Tabela1[[#This Row],[UO_COD]],qdd!$AT$1:$AU$102,2,FALSE),"")</f>
        <v/>
      </c>
      <c r="X657" s="1" t="str">
        <f>CONCATENATE("F",Tabela1[[#This Row],[FONTE_COD]],Tabela1[[#This Row],[IPU_COD]],"G",Tabela1[[#This Row],[GRUPO_COD]],"T",Tabela1[[#This Row],[TIPO]])</f>
        <v>FGT999</v>
      </c>
      <c r="Y6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7" s="19"/>
      <c r="AA657" s="29" t="str">
        <f>IFERROR(VLOOKUP(CONCATENATE("B",Tabela1[[#This Row],[BLOCO]],Tabela1[[#This Row],[UO_COD]]),qdd!$AW$2:$AX$1000,2,FALSE),"")</f>
        <v/>
      </c>
      <c r="AB657" s="30" t="str">
        <f>IFERROR(Tabela1[[#This Row],[VALOR]]/100,"")</f>
        <v/>
      </c>
      <c r="AC657" s="7" t="str" cm="1">
        <f t="array" aca="1" ref="AC657" ca="1">IF(Tabela1[[#This Row],[VALOR]]&lt;0,"",IFERROR(SUBSTITUTE(Converter_numero(Tabela1[[#This Row],[VALOR INCISO]]),",",""),""))</f>
        <v/>
      </c>
      <c r="AD657" s="7" t="str">
        <f>IF(Tabela1[[#This Row],[TIPO]]=REGRAS!$W$2,REGRAS!$X$2,IF(Tabela1[[#This Row],[TIPO]]=REGRAS!$W$4,REGRAS!$X$4,""))</f>
        <v/>
      </c>
      <c r="AE657" s="29" t="e">
        <f>VLOOKUP(Tabela1[[#This Row],[FONTE_COD]],REGRAS!$O$2:$P$69,2,FALSE)</f>
        <v>#N/A</v>
      </c>
      <c r="AF6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8" spans="1:32" ht="18.75" customHeight="1">
      <c r="A658" s="2" t="str">
        <f>IFERROR(IF('PREENCHER AQUI'!A658="","",'PREENCHER AQUI'!A658),"")</f>
        <v/>
      </c>
      <c r="B658" s="1" t="str">
        <f>IFERROR(IF('PREENCHER AQUI'!B658="","",PROPER('PREENCHER AQUI'!B658)),"")</f>
        <v/>
      </c>
      <c r="C658" s="1" t="str">
        <f>IFERROR(IF('PREENCHER AQUI'!C658="","",'PREENCHER AQUI'!C658),"")</f>
        <v/>
      </c>
      <c r="D658" s="2" t="str">
        <f>IFERROR(IF('PREENCHER AQUI'!D658="","",'PREENCHER AQUI'!D658),"")</f>
        <v/>
      </c>
      <c r="E658" s="2" t="str">
        <f>IFERROR(VLOOKUP(CONCATENATE(C658,D658),qdd!$C$2:$F$1000,2,FALSE),"")</f>
        <v/>
      </c>
      <c r="F658" s="2" t="str">
        <f>IFERROR(VLOOKUP(CONCATENATE(C658,D658),qdd!$C$2:$F$1000,3,FALSE),"")</f>
        <v/>
      </c>
      <c r="G658" s="2" t="str">
        <f>IFERROR(VLOOKUP(CONCATENATE(C658,D658),qdd!$C$2:$F$1000,4,FALSE),"")</f>
        <v/>
      </c>
      <c r="H658" s="6" t="str">
        <f t="shared" si="22"/>
        <v/>
      </c>
      <c r="I6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8" s="2" t="str">
        <f>IFERROR(IF('PREENCHER AQUI'!E658="","",'PREENCHER AQUI'!E658),"")</f>
        <v/>
      </c>
      <c r="K658" s="2" t="str">
        <f>IFERROR(IF('PREENCHER AQUI'!F658="","",'PREENCHER AQUI'!F658),"")</f>
        <v/>
      </c>
      <c r="L658" s="2" t="str">
        <f>IF(Tabela1[[#This Row],[IPU_COD]]=9,"91",IF(Tabela1[[#This Row],[ACAO_COD]]="","",VLOOKUP(CONCATENATE("G",J658,"M",K658),qdd!$BC$2:$BD$46,2,FALSE)))</f>
        <v/>
      </c>
      <c r="M658" s="2" t="str">
        <f>TEXT(IFERROR(VLOOKUP(CONCATENATE(C658,D658),qdd!$C$2:$G$1000,5,FALSE),""),0)</f>
        <v/>
      </c>
      <c r="N658" s="2" t="str">
        <f>IFERROR(IF('PREENCHER AQUI'!I658="","",'PREENCHER AQUI'!I658),"")</f>
        <v/>
      </c>
      <c r="O658" s="2" t="str">
        <f>IFERROR(IF('PREENCHER AQUI'!J658="","",'PREENCHER AQUI'!J658),"")</f>
        <v/>
      </c>
      <c r="P658" s="7" t="str">
        <f t="shared" si="23"/>
        <v/>
      </c>
      <c r="Q658" s="8" t="str">
        <f>IFERROR(IF(Tabela4[[#This Row],[VALOR]]="","",IF(Tabela1[[#This Row],[ORIENTACAO]]="Anular",'PREENCHER AQUI'!K658*-1*100,'PREENCHER AQUI'!K658*100)),"")</f>
        <v/>
      </c>
      <c r="T658" s="7" t="str">
        <f>IFERROR(IF('PREENCHER AQUI'!L658="","999",LEFT('PREENCHER AQUI'!L658,1)),"")</f>
        <v>999</v>
      </c>
      <c r="V658" s="19"/>
      <c r="W658" s="1" t="str">
        <f>IFERROR(VLOOKUP(Tabela1[[#This Row],[UO_COD]],qdd!$AT$1:$AU$102,2,FALSE),"")</f>
        <v/>
      </c>
      <c r="X658" s="1" t="str">
        <f>CONCATENATE("F",Tabela1[[#This Row],[FONTE_COD]],Tabela1[[#This Row],[IPU_COD]],"G",Tabela1[[#This Row],[GRUPO_COD]],"T",Tabela1[[#This Row],[TIPO]])</f>
        <v>FGT999</v>
      </c>
      <c r="Y6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8" s="19"/>
      <c r="AA658" s="29" t="str">
        <f>IFERROR(VLOOKUP(CONCATENATE("B",Tabela1[[#This Row],[BLOCO]],Tabela1[[#This Row],[UO_COD]]),qdd!$AW$2:$AX$1000,2,FALSE),"")</f>
        <v/>
      </c>
      <c r="AB658" s="30" t="str">
        <f>IFERROR(Tabela1[[#This Row],[VALOR]]/100,"")</f>
        <v/>
      </c>
      <c r="AC658" s="7" t="str" cm="1">
        <f t="array" aca="1" ref="AC658" ca="1">IF(Tabela1[[#This Row],[VALOR]]&lt;0,"",IFERROR(SUBSTITUTE(Converter_numero(Tabela1[[#This Row],[VALOR INCISO]]),",",""),""))</f>
        <v/>
      </c>
      <c r="AD658" s="29" t="str">
        <f>IF(Tabela1[[#This Row],[TIPO]]=REGRAS!$W$2,REGRAS!$X$2,IF(Tabela1[[#This Row],[TIPO]]=REGRAS!$W$4,REGRAS!$X$4,""))</f>
        <v/>
      </c>
      <c r="AE658" s="29" t="e">
        <f>VLOOKUP(Tabela1[[#This Row],[FONTE_COD]],REGRAS!$O$2:$P$69,2,FALSE)</f>
        <v>#N/A</v>
      </c>
      <c r="AF6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9" spans="1:32" ht="18.75" customHeight="1">
      <c r="A659" s="2" t="str">
        <f>IFERROR(IF('PREENCHER AQUI'!A659="","",'PREENCHER AQUI'!A659),"")</f>
        <v/>
      </c>
      <c r="B659" s="1" t="str">
        <f>IFERROR(IF('PREENCHER AQUI'!B659="","",PROPER('PREENCHER AQUI'!B659)),"")</f>
        <v/>
      </c>
      <c r="C659" s="1" t="str">
        <f>IFERROR(IF('PREENCHER AQUI'!C659="","",'PREENCHER AQUI'!C659),"")</f>
        <v/>
      </c>
      <c r="D659" s="2" t="str">
        <f>IFERROR(IF('PREENCHER AQUI'!D659="","",'PREENCHER AQUI'!D659),"")</f>
        <v/>
      </c>
      <c r="E659" s="2" t="str">
        <f>IFERROR(VLOOKUP(CONCATENATE(C659,D659),qdd!$C$2:$F$1000,2,FALSE),"")</f>
        <v/>
      </c>
      <c r="F659" s="2" t="str">
        <f>IFERROR(VLOOKUP(CONCATENATE(C659,D659),qdd!$C$2:$F$1000,3,FALSE),"")</f>
        <v/>
      </c>
      <c r="G659" s="2" t="str">
        <f>IFERROR(VLOOKUP(CONCATENATE(C659,D659),qdd!$C$2:$F$1000,4,FALSE),"")</f>
        <v/>
      </c>
      <c r="H659" s="6" t="str">
        <f t="shared" si="22"/>
        <v/>
      </c>
      <c r="I6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9" s="2" t="str">
        <f>IFERROR(IF('PREENCHER AQUI'!E659="","",'PREENCHER AQUI'!E659),"")</f>
        <v/>
      </c>
      <c r="K659" s="2" t="str">
        <f>IFERROR(IF('PREENCHER AQUI'!F659="","",'PREENCHER AQUI'!F659),"")</f>
        <v/>
      </c>
      <c r="L659" s="2" t="str">
        <f>IF(Tabela1[[#This Row],[IPU_COD]]=9,"91",IF(Tabela1[[#This Row],[ACAO_COD]]="","",VLOOKUP(CONCATENATE("G",J659,"M",K659),qdd!$BC$2:$BD$46,2,FALSE)))</f>
        <v/>
      </c>
      <c r="M659" s="2" t="str">
        <f>TEXT(IFERROR(VLOOKUP(CONCATENATE(C659,D659),qdd!$C$2:$G$1000,5,FALSE),""),0)</f>
        <v/>
      </c>
      <c r="N659" s="2" t="str">
        <f>IFERROR(IF('PREENCHER AQUI'!I659="","",'PREENCHER AQUI'!I659),"")</f>
        <v/>
      </c>
      <c r="O659" s="2" t="str">
        <f>IFERROR(IF('PREENCHER AQUI'!J659="","",'PREENCHER AQUI'!J659),"")</f>
        <v/>
      </c>
      <c r="P659" s="7" t="str">
        <f t="shared" si="23"/>
        <v/>
      </c>
      <c r="Q659" s="8" t="str">
        <f>IFERROR(IF(Tabela4[[#This Row],[VALOR]]="","",IF(Tabela1[[#This Row],[ORIENTACAO]]="Anular",'PREENCHER AQUI'!K659*-1*100,'PREENCHER AQUI'!K659*100)),"")</f>
        <v/>
      </c>
      <c r="T659" s="7" t="str">
        <f>IFERROR(IF('PREENCHER AQUI'!L659="","999",LEFT('PREENCHER AQUI'!L659,1)),"")</f>
        <v>999</v>
      </c>
      <c r="V659" s="19"/>
      <c r="W659" s="1" t="str">
        <f>IFERROR(VLOOKUP(Tabela1[[#This Row],[UO_COD]],qdd!$AT$1:$AU$102,2,FALSE),"")</f>
        <v/>
      </c>
      <c r="X659" s="1" t="str">
        <f>CONCATENATE("F",Tabela1[[#This Row],[FONTE_COD]],Tabela1[[#This Row],[IPU_COD]],"G",Tabela1[[#This Row],[GRUPO_COD]],"T",Tabela1[[#This Row],[TIPO]])</f>
        <v>FGT999</v>
      </c>
      <c r="Y6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9" s="19"/>
      <c r="AA659" s="29" t="str">
        <f>IFERROR(VLOOKUP(CONCATENATE("B",Tabela1[[#This Row],[BLOCO]],Tabela1[[#This Row],[UO_COD]]),qdd!$AW$2:$AX$1000,2,FALSE),"")</f>
        <v/>
      </c>
      <c r="AB659" s="30" t="str">
        <f>IFERROR(Tabela1[[#This Row],[VALOR]]/100,"")</f>
        <v/>
      </c>
      <c r="AC659" s="7" t="str" cm="1">
        <f t="array" aca="1" ref="AC659" ca="1">IF(Tabela1[[#This Row],[VALOR]]&lt;0,"",IFERROR(SUBSTITUTE(Converter_numero(Tabela1[[#This Row],[VALOR INCISO]]),",",""),""))</f>
        <v/>
      </c>
      <c r="AD659" s="29" t="str">
        <f>IF(Tabela1[[#This Row],[TIPO]]=REGRAS!$W$2,REGRAS!$X$2,IF(Tabela1[[#This Row],[TIPO]]=REGRAS!$W$4,REGRAS!$X$4,""))</f>
        <v/>
      </c>
      <c r="AE659" s="29" t="e">
        <f>VLOOKUP(Tabela1[[#This Row],[FONTE_COD]],REGRAS!$O$2:$P$69,2,FALSE)</f>
        <v>#N/A</v>
      </c>
      <c r="AF6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0" spans="1:32" ht="18.75" customHeight="1">
      <c r="A660" s="2" t="str">
        <f>IFERROR(IF('PREENCHER AQUI'!A660="","",'PREENCHER AQUI'!A660),"")</f>
        <v/>
      </c>
      <c r="B660" s="1" t="str">
        <f>IFERROR(IF('PREENCHER AQUI'!B660="","",PROPER('PREENCHER AQUI'!B660)),"")</f>
        <v/>
      </c>
      <c r="C660" s="1" t="str">
        <f>IFERROR(IF('PREENCHER AQUI'!C660="","",'PREENCHER AQUI'!C660),"")</f>
        <v/>
      </c>
      <c r="D660" s="2" t="str">
        <f>IFERROR(IF('PREENCHER AQUI'!D660="","",'PREENCHER AQUI'!D660),"")</f>
        <v/>
      </c>
      <c r="E660" s="2" t="str">
        <f>IFERROR(VLOOKUP(CONCATENATE(C660,D660),qdd!$C$2:$F$1000,2,FALSE),"")</f>
        <v/>
      </c>
      <c r="F660" s="2" t="str">
        <f>IFERROR(VLOOKUP(CONCATENATE(C660,D660),qdd!$C$2:$F$1000,3,FALSE),"")</f>
        <v/>
      </c>
      <c r="G660" s="2" t="str">
        <f>IFERROR(VLOOKUP(CONCATENATE(C660,D660),qdd!$C$2:$F$1000,4,FALSE),"")</f>
        <v/>
      </c>
      <c r="H660" s="6" t="str">
        <f t="shared" si="22"/>
        <v/>
      </c>
      <c r="I6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0" s="2" t="str">
        <f>IFERROR(IF('PREENCHER AQUI'!E660="","",'PREENCHER AQUI'!E660),"")</f>
        <v/>
      </c>
      <c r="K660" s="2" t="str">
        <f>IFERROR(IF('PREENCHER AQUI'!F660="","",'PREENCHER AQUI'!F660),"")</f>
        <v/>
      </c>
      <c r="L660" s="2" t="str">
        <f>IF(Tabela1[[#This Row],[IPU_COD]]=9,"91",IF(Tabela1[[#This Row],[ACAO_COD]]="","",VLOOKUP(CONCATENATE("G",J660,"M",K660),qdd!$BC$2:$BD$46,2,FALSE)))</f>
        <v/>
      </c>
      <c r="M660" s="2" t="str">
        <f>TEXT(IFERROR(VLOOKUP(CONCATENATE(C660,D660),qdd!$C$2:$G$1000,5,FALSE),""),0)</f>
        <v/>
      </c>
      <c r="N660" s="2" t="str">
        <f>IFERROR(IF('PREENCHER AQUI'!I660="","",'PREENCHER AQUI'!I660),"")</f>
        <v/>
      </c>
      <c r="O660" s="2" t="str">
        <f>IFERROR(IF('PREENCHER AQUI'!J660="","",'PREENCHER AQUI'!J660),"")</f>
        <v/>
      </c>
      <c r="P660" s="7" t="str">
        <f t="shared" si="23"/>
        <v/>
      </c>
      <c r="Q660" s="8" t="str">
        <f>IFERROR(IF(Tabela4[[#This Row],[VALOR]]="","",IF(Tabela1[[#This Row],[ORIENTACAO]]="Anular",'PREENCHER AQUI'!K660*-1*100,'PREENCHER AQUI'!K660*100)),"")</f>
        <v/>
      </c>
      <c r="T660" s="7" t="str">
        <f>IFERROR(IF('PREENCHER AQUI'!L660="","999",LEFT('PREENCHER AQUI'!L660,1)),"")</f>
        <v>999</v>
      </c>
      <c r="V660" s="19"/>
      <c r="W660" s="20" t="str">
        <f>IFERROR(VLOOKUP(Tabela1[[#This Row],[UO_COD]],qdd!$AT$1:$AU$102,2,FALSE),"")</f>
        <v/>
      </c>
      <c r="X660" s="20" t="str">
        <f>CONCATENATE("F",Tabela1[[#This Row],[FONTE_COD]],Tabela1[[#This Row],[IPU_COD]],"G",Tabela1[[#This Row],[GRUPO_COD]],"T",Tabela1[[#This Row],[TIPO]])</f>
        <v>FGT999</v>
      </c>
      <c r="Y6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0" s="19"/>
      <c r="AA660" s="29" t="str">
        <f>IFERROR(VLOOKUP(CONCATENATE("B",Tabela1[[#This Row],[BLOCO]],Tabela1[[#This Row],[UO_COD]]),qdd!$AW$2:$AX$1000,2,FALSE),"")</f>
        <v/>
      </c>
      <c r="AB660" s="30" t="str">
        <f>IFERROR(Tabela1[[#This Row],[VALOR]]/100,"")</f>
        <v/>
      </c>
      <c r="AC660" s="7" t="str" cm="1">
        <f t="array" aca="1" ref="AC660" ca="1">IF(Tabela1[[#This Row],[VALOR]]&lt;0,"",IFERROR(SUBSTITUTE(Converter_numero(Tabela1[[#This Row],[VALOR INCISO]]),",",""),""))</f>
        <v/>
      </c>
      <c r="AD660" s="29" t="str">
        <f>IF(Tabela1[[#This Row],[TIPO]]=REGRAS!$W$2,REGRAS!$X$2,IF(Tabela1[[#This Row],[TIPO]]=REGRAS!$W$4,REGRAS!$X$4,""))</f>
        <v/>
      </c>
      <c r="AE660" s="29" t="e">
        <f>VLOOKUP(Tabela1[[#This Row],[FONTE_COD]],REGRAS!$O$2:$P$69,2,FALSE)</f>
        <v>#N/A</v>
      </c>
      <c r="AF6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1" spans="1:32" ht="18.75" customHeight="1">
      <c r="A661" s="2" t="str">
        <f>IFERROR(IF('PREENCHER AQUI'!A661="","",'PREENCHER AQUI'!A661),"")</f>
        <v/>
      </c>
      <c r="B661" s="1" t="str">
        <f>IFERROR(IF('PREENCHER AQUI'!B661="","",PROPER('PREENCHER AQUI'!B661)),"")</f>
        <v/>
      </c>
      <c r="C661" s="1" t="str">
        <f>IFERROR(IF('PREENCHER AQUI'!C661="","",'PREENCHER AQUI'!C661),"")</f>
        <v/>
      </c>
      <c r="D661" s="2" t="str">
        <f>IFERROR(IF('PREENCHER AQUI'!D661="","",'PREENCHER AQUI'!D661),"")</f>
        <v/>
      </c>
      <c r="E661" s="2" t="str">
        <f>IFERROR(VLOOKUP(CONCATENATE(C661,D661),qdd!$C$2:$F$1000,2,FALSE),"")</f>
        <v/>
      </c>
      <c r="F661" s="2" t="str">
        <f>IFERROR(VLOOKUP(CONCATENATE(C661,D661),qdd!$C$2:$F$1000,3,FALSE),"")</f>
        <v/>
      </c>
      <c r="G661" s="2" t="str">
        <f>IFERROR(VLOOKUP(CONCATENATE(C661,D661),qdd!$C$2:$F$1000,4,FALSE),"")</f>
        <v/>
      </c>
      <c r="H661" s="6" t="str">
        <f t="shared" si="22"/>
        <v/>
      </c>
      <c r="I6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1" s="2" t="str">
        <f>IFERROR(IF('PREENCHER AQUI'!E661="","",'PREENCHER AQUI'!E661),"")</f>
        <v/>
      </c>
      <c r="K661" s="2" t="str">
        <f>IFERROR(IF('PREENCHER AQUI'!F661="","",'PREENCHER AQUI'!F661),"")</f>
        <v/>
      </c>
      <c r="L661" s="2" t="str">
        <f>IF(Tabela1[[#This Row],[IPU_COD]]=9,"91",IF(Tabela1[[#This Row],[ACAO_COD]]="","",VLOOKUP(CONCATENATE("G",J661,"M",K661),qdd!$BC$2:$BD$46,2,FALSE)))</f>
        <v/>
      </c>
      <c r="M661" s="2" t="str">
        <f>TEXT(IFERROR(VLOOKUP(CONCATENATE(C661,D661),qdd!$C$2:$G$1000,5,FALSE),""),0)</f>
        <v/>
      </c>
      <c r="N661" s="2" t="str">
        <f>IFERROR(IF('PREENCHER AQUI'!I661="","",'PREENCHER AQUI'!I661),"")</f>
        <v/>
      </c>
      <c r="O661" s="2" t="str">
        <f>IFERROR(IF('PREENCHER AQUI'!J661="","",'PREENCHER AQUI'!J661),"")</f>
        <v/>
      </c>
      <c r="P661" s="7" t="str">
        <f t="shared" si="23"/>
        <v/>
      </c>
      <c r="Q661" s="8" t="str">
        <f>IFERROR(IF(Tabela4[[#This Row],[VALOR]]="","",IF(Tabela1[[#This Row],[ORIENTACAO]]="Anular",'PREENCHER AQUI'!K661*-1*100,'PREENCHER AQUI'!K661*100)),"")</f>
        <v/>
      </c>
      <c r="T661" s="7" t="str">
        <f>IFERROR(IF('PREENCHER AQUI'!L661="","999",LEFT('PREENCHER AQUI'!L661,1)),"")</f>
        <v>999</v>
      </c>
      <c r="V661" s="19"/>
      <c r="W661" s="1" t="str">
        <f>IFERROR(VLOOKUP(Tabela1[[#This Row],[UO_COD]],qdd!$AT$1:$AU$102,2,FALSE),"")</f>
        <v/>
      </c>
      <c r="X661" s="1" t="str">
        <f>CONCATENATE("F",Tabela1[[#This Row],[FONTE_COD]],Tabela1[[#This Row],[IPU_COD]],"G",Tabela1[[#This Row],[GRUPO_COD]],"T",Tabela1[[#This Row],[TIPO]])</f>
        <v>FGT999</v>
      </c>
      <c r="Y6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1" s="19"/>
      <c r="AA661" s="29" t="str">
        <f>IFERROR(VLOOKUP(CONCATENATE("B",Tabela1[[#This Row],[BLOCO]],Tabela1[[#This Row],[UO_COD]]),qdd!$AW$2:$AX$1000,2,FALSE),"")</f>
        <v/>
      </c>
      <c r="AB661" s="30" t="str">
        <f>IFERROR(Tabela1[[#This Row],[VALOR]]/100,"")</f>
        <v/>
      </c>
      <c r="AC661" s="7" t="str" cm="1">
        <f t="array" aca="1" ref="AC661" ca="1">IF(Tabela1[[#This Row],[VALOR]]&lt;0,"",IFERROR(SUBSTITUTE(Converter_numero(Tabela1[[#This Row],[VALOR INCISO]]),",",""),""))</f>
        <v/>
      </c>
      <c r="AD661" s="29" t="str">
        <f>IF(Tabela1[[#This Row],[TIPO]]=REGRAS!$W$2,REGRAS!$X$2,IF(Tabela1[[#This Row],[TIPO]]=REGRAS!$W$4,REGRAS!$X$4,""))</f>
        <v/>
      </c>
      <c r="AE661" s="29" t="e">
        <f>VLOOKUP(Tabela1[[#This Row],[FONTE_COD]],REGRAS!$O$2:$P$69,2,FALSE)</f>
        <v>#N/A</v>
      </c>
      <c r="AF6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2" spans="1:32" ht="18.75" customHeight="1">
      <c r="A662" s="2" t="str">
        <f>IFERROR(IF('PREENCHER AQUI'!A662="","",'PREENCHER AQUI'!A662),"")</f>
        <v/>
      </c>
      <c r="B662" s="1" t="str">
        <f>IFERROR(IF('PREENCHER AQUI'!B662="","",PROPER('PREENCHER AQUI'!B662)),"")</f>
        <v/>
      </c>
      <c r="C662" s="1" t="str">
        <f>IFERROR(IF('PREENCHER AQUI'!C662="","",'PREENCHER AQUI'!C662),"")</f>
        <v/>
      </c>
      <c r="D662" s="2" t="str">
        <f>IFERROR(IF('PREENCHER AQUI'!D662="","",'PREENCHER AQUI'!D662),"")</f>
        <v/>
      </c>
      <c r="E662" s="2" t="str">
        <f>IFERROR(VLOOKUP(CONCATENATE(C662,D662),qdd!$C$2:$F$1000,2,FALSE),"")</f>
        <v/>
      </c>
      <c r="F662" s="2" t="str">
        <f>IFERROR(VLOOKUP(CONCATENATE(C662,D662),qdd!$C$2:$F$1000,3,FALSE),"")</f>
        <v/>
      </c>
      <c r="G662" s="2" t="str">
        <f>IFERROR(VLOOKUP(CONCATENATE(C662,D662),qdd!$C$2:$F$1000,4,FALSE),"")</f>
        <v/>
      </c>
      <c r="H662" s="6" t="str">
        <f t="shared" si="22"/>
        <v/>
      </c>
      <c r="I6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2" s="2" t="str">
        <f>IFERROR(IF('PREENCHER AQUI'!E662="","",'PREENCHER AQUI'!E662),"")</f>
        <v/>
      </c>
      <c r="K662" s="2" t="str">
        <f>IFERROR(IF('PREENCHER AQUI'!F662="","",'PREENCHER AQUI'!F662),"")</f>
        <v/>
      </c>
      <c r="L662" s="2" t="str">
        <f>IF(Tabela1[[#This Row],[IPU_COD]]=9,"91",IF(Tabela1[[#This Row],[ACAO_COD]]="","",VLOOKUP(CONCATENATE("G",J662,"M",K662),qdd!$BC$2:$BD$46,2,FALSE)))</f>
        <v/>
      </c>
      <c r="M662" s="2" t="str">
        <f>TEXT(IFERROR(VLOOKUP(CONCATENATE(C662,D662),qdd!$C$2:$G$1000,5,FALSE),""),0)</f>
        <v/>
      </c>
      <c r="N662" s="2" t="str">
        <f>IFERROR(IF('PREENCHER AQUI'!I662="","",'PREENCHER AQUI'!I662),"")</f>
        <v/>
      </c>
      <c r="O662" s="2" t="str">
        <f>IFERROR(IF('PREENCHER AQUI'!J662="","",'PREENCHER AQUI'!J662),"")</f>
        <v/>
      </c>
      <c r="P662" s="7" t="str">
        <f t="shared" si="23"/>
        <v/>
      </c>
      <c r="Q662" s="8" t="str">
        <f>IFERROR(IF(Tabela4[[#This Row],[VALOR]]="","",IF(Tabela1[[#This Row],[ORIENTACAO]]="Anular",'PREENCHER AQUI'!K662*-1*100,'PREENCHER AQUI'!K662*100)),"")</f>
        <v/>
      </c>
      <c r="T662" s="7" t="str">
        <f>IFERROR(IF('PREENCHER AQUI'!L662="","999",LEFT('PREENCHER AQUI'!L662,1)),"")</f>
        <v>999</v>
      </c>
      <c r="W662" s="1" t="str">
        <f>IFERROR(VLOOKUP(Tabela1[[#This Row],[UO_COD]],qdd!$AT$1:$AU$102,2,FALSE),"")</f>
        <v/>
      </c>
      <c r="X662" s="1" t="str">
        <f>CONCATENATE("F",Tabela1[[#This Row],[FONTE_COD]],Tabela1[[#This Row],[IPU_COD]],"G",Tabela1[[#This Row],[GRUPO_COD]],"T",Tabela1[[#This Row],[TIPO]])</f>
        <v>FGT999</v>
      </c>
      <c r="Y6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2" s="19"/>
      <c r="AA662" s="29" t="str">
        <f>IFERROR(VLOOKUP(CONCATENATE("B",Tabela1[[#This Row],[BLOCO]],Tabela1[[#This Row],[UO_COD]]),qdd!$AW$2:$AX$1000,2,FALSE),"")</f>
        <v/>
      </c>
      <c r="AB662" s="30" t="str">
        <f>IFERROR(Tabela1[[#This Row],[VALOR]]/100,"")</f>
        <v/>
      </c>
      <c r="AC662" s="7" t="str" cm="1">
        <f t="array" aca="1" ref="AC662" ca="1">IF(Tabela1[[#This Row],[VALOR]]&lt;0,"",IFERROR(SUBSTITUTE(Converter_numero(Tabela1[[#This Row],[VALOR INCISO]]),",",""),""))</f>
        <v/>
      </c>
      <c r="AD662" s="7" t="str">
        <f>IF(Tabela1[[#This Row],[TIPO]]=REGRAS!$W$2,REGRAS!$X$2,IF(Tabela1[[#This Row],[TIPO]]=REGRAS!$W$4,REGRAS!$X$4,""))</f>
        <v/>
      </c>
      <c r="AE662" s="29" t="e">
        <f>VLOOKUP(Tabela1[[#This Row],[FONTE_COD]],REGRAS!$O$2:$P$69,2,FALSE)</f>
        <v>#N/A</v>
      </c>
      <c r="AF6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3" spans="1:32" ht="18.75" customHeight="1">
      <c r="A663" s="2" t="str">
        <f>IFERROR(IF('PREENCHER AQUI'!A663="","",'PREENCHER AQUI'!A663),"")</f>
        <v/>
      </c>
      <c r="B663" s="1" t="str">
        <f>IFERROR(IF('PREENCHER AQUI'!B663="","",PROPER('PREENCHER AQUI'!B663)),"")</f>
        <v/>
      </c>
      <c r="C663" s="1" t="str">
        <f>IFERROR(IF('PREENCHER AQUI'!C663="","",'PREENCHER AQUI'!C663),"")</f>
        <v/>
      </c>
      <c r="D663" s="2" t="str">
        <f>IFERROR(IF('PREENCHER AQUI'!D663="","",'PREENCHER AQUI'!D663),"")</f>
        <v/>
      </c>
      <c r="E663" s="2" t="str">
        <f>IFERROR(VLOOKUP(CONCATENATE(C663,D663),qdd!$C$2:$F$1000,2,FALSE),"")</f>
        <v/>
      </c>
      <c r="F663" s="2" t="str">
        <f>IFERROR(VLOOKUP(CONCATENATE(C663,D663),qdd!$C$2:$F$1000,3,FALSE),"")</f>
        <v/>
      </c>
      <c r="G663" s="2" t="str">
        <f>IFERROR(VLOOKUP(CONCATENATE(C663,D663),qdd!$C$2:$F$1000,4,FALSE),"")</f>
        <v/>
      </c>
      <c r="H663" s="6" t="str">
        <f t="shared" si="22"/>
        <v/>
      </c>
      <c r="I6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3" s="2" t="str">
        <f>IFERROR(IF('PREENCHER AQUI'!E663="","",'PREENCHER AQUI'!E663),"")</f>
        <v/>
      </c>
      <c r="K663" s="2" t="str">
        <f>IFERROR(IF('PREENCHER AQUI'!F663="","",'PREENCHER AQUI'!F663),"")</f>
        <v/>
      </c>
      <c r="L663" s="2" t="str">
        <f>IF(Tabela1[[#This Row],[IPU_COD]]=9,"91",IF(Tabela1[[#This Row],[ACAO_COD]]="","",VLOOKUP(CONCATENATE("G",J663,"M",K663),qdd!$BC$2:$BD$46,2,FALSE)))</f>
        <v/>
      </c>
      <c r="M663" s="2" t="str">
        <f>TEXT(IFERROR(VLOOKUP(CONCATENATE(C663,D663),qdd!$C$2:$G$1000,5,FALSE),""),0)</f>
        <v/>
      </c>
      <c r="N663" s="2" t="str">
        <f>IFERROR(IF('PREENCHER AQUI'!I663="","",'PREENCHER AQUI'!I663),"")</f>
        <v/>
      </c>
      <c r="O663" s="2" t="str">
        <f>IFERROR(IF('PREENCHER AQUI'!J663="","",'PREENCHER AQUI'!J663),"")</f>
        <v/>
      </c>
      <c r="P663" s="7" t="str">
        <f t="shared" si="23"/>
        <v/>
      </c>
      <c r="Q663" s="8" t="str">
        <f>IFERROR(IF(Tabela4[[#This Row],[VALOR]]="","",IF(Tabela1[[#This Row],[ORIENTACAO]]="Anular",'PREENCHER AQUI'!K663*-1*100,'PREENCHER AQUI'!K663*100)),"")</f>
        <v/>
      </c>
      <c r="T663" s="7" t="str">
        <f>IFERROR(IF('PREENCHER AQUI'!L663="","999",LEFT('PREENCHER AQUI'!L663,1)),"")</f>
        <v>999</v>
      </c>
      <c r="V663" s="19"/>
      <c r="W663" s="1" t="str">
        <f>IFERROR(VLOOKUP(Tabela1[[#This Row],[UO_COD]],qdd!$AT$1:$AU$102,2,FALSE),"")</f>
        <v/>
      </c>
      <c r="X663" s="1" t="str">
        <f>CONCATENATE("F",Tabela1[[#This Row],[FONTE_COD]],Tabela1[[#This Row],[IPU_COD]],"G",Tabela1[[#This Row],[GRUPO_COD]],"T",Tabela1[[#This Row],[TIPO]])</f>
        <v>FGT999</v>
      </c>
      <c r="Y6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3" s="19"/>
      <c r="AA663" s="29" t="str">
        <f>IFERROR(VLOOKUP(CONCATENATE("B",Tabela1[[#This Row],[BLOCO]],Tabela1[[#This Row],[UO_COD]]),qdd!$AW$2:$AX$1000,2,FALSE),"")</f>
        <v/>
      </c>
      <c r="AB663" s="30" t="str">
        <f>IFERROR(Tabela1[[#This Row],[VALOR]]/100,"")</f>
        <v/>
      </c>
      <c r="AC663" s="7" t="str" cm="1">
        <f t="array" aca="1" ref="AC663" ca="1">IF(Tabela1[[#This Row],[VALOR]]&lt;0,"",IFERROR(SUBSTITUTE(Converter_numero(Tabela1[[#This Row],[VALOR INCISO]]),",",""),""))</f>
        <v/>
      </c>
      <c r="AD663" s="29" t="str">
        <f>IF(Tabela1[[#This Row],[TIPO]]=REGRAS!$W$2,REGRAS!$X$2,IF(Tabela1[[#This Row],[TIPO]]=REGRAS!$W$4,REGRAS!$X$4,""))</f>
        <v/>
      </c>
      <c r="AE663" s="29" t="e">
        <f>VLOOKUP(Tabela1[[#This Row],[FONTE_COD]],REGRAS!$O$2:$P$69,2,FALSE)</f>
        <v>#N/A</v>
      </c>
      <c r="AF6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4" spans="1:32" ht="18.75" customHeight="1">
      <c r="A664" s="2" t="str">
        <f>IFERROR(IF('PREENCHER AQUI'!A664="","",'PREENCHER AQUI'!A664),"")</f>
        <v/>
      </c>
      <c r="B664" s="1" t="str">
        <f>IFERROR(IF('PREENCHER AQUI'!B664="","",PROPER('PREENCHER AQUI'!B664)),"")</f>
        <v/>
      </c>
      <c r="C664" s="1" t="str">
        <f>IFERROR(IF('PREENCHER AQUI'!C664="","",'PREENCHER AQUI'!C664),"")</f>
        <v/>
      </c>
      <c r="D664" s="2" t="str">
        <f>IFERROR(IF('PREENCHER AQUI'!D664="","",'PREENCHER AQUI'!D664),"")</f>
        <v/>
      </c>
      <c r="E664" s="2" t="str">
        <f>IFERROR(VLOOKUP(CONCATENATE(C664,D664),qdd!$C$2:$F$1000,2,FALSE),"")</f>
        <v/>
      </c>
      <c r="F664" s="2" t="str">
        <f>IFERROR(VLOOKUP(CONCATENATE(C664,D664),qdd!$C$2:$F$1000,3,FALSE),"")</f>
        <v/>
      </c>
      <c r="G664" s="2" t="str">
        <f>IFERROR(VLOOKUP(CONCATENATE(C664,D664),qdd!$C$2:$F$1000,4,FALSE),"")</f>
        <v/>
      </c>
      <c r="H664" s="6" t="str">
        <f t="shared" si="22"/>
        <v/>
      </c>
      <c r="I6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4" s="2" t="str">
        <f>IFERROR(IF('PREENCHER AQUI'!E664="","",'PREENCHER AQUI'!E664),"")</f>
        <v/>
      </c>
      <c r="K664" s="2" t="str">
        <f>IFERROR(IF('PREENCHER AQUI'!F664="","",'PREENCHER AQUI'!F664),"")</f>
        <v/>
      </c>
      <c r="L664" s="2" t="str">
        <f>IF(Tabela1[[#This Row],[IPU_COD]]=9,"91",IF(Tabela1[[#This Row],[ACAO_COD]]="","",VLOOKUP(CONCATENATE("G",J664,"M",K664),qdd!$BC$2:$BD$46,2,FALSE)))</f>
        <v/>
      </c>
      <c r="M664" s="2" t="str">
        <f>TEXT(IFERROR(VLOOKUP(CONCATENATE(C664,D664),qdd!$C$2:$G$1000,5,FALSE),""),0)</f>
        <v/>
      </c>
      <c r="N664" s="2" t="str">
        <f>IFERROR(IF('PREENCHER AQUI'!I664="","",'PREENCHER AQUI'!I664),"")</f>
        <v/>
      </c>
      <c r="O664" s="2" t="str">
        <f>IFERROR(IF('PREENCHER AQUI'!J664="","",'PREENCHER AQUI'!J664),"")</f>
        <v/>
      </c>
      <c r="P664" s="7" t="str">
        <f t="shared" si="23"/>
        <v/>
      </c>
      <c r="Q664" s="8" t="str">
        <f>IFERROR(IF(Tabela4[[#This Row],[VALOR]]="","",IF(Tabela1[[#This Row],[ORIENTACAO]]="Anular",'PREENCHER AQUI'!K664*-1*100,'PREENCHER AQUI'!K664*100)),"")</f>
        <v/>
      </c>
      <c r="T664" s="7" t="str">
        <f>IFERROR(IF('PREENCHER AQUI'!L664="","999",LEFT('PREENCHER AQUI'!L664,1)),"")</f>
        <v>999</v>
      </c>
      <c r="V664" s="19"/>
      <c r="W664" s="1" t="str">
        <f>IFERROR(VLOOKUP(Tabela1[[#This Row],[UO_COD]],qdd!$AT$1:$AU$102,2,FALSE),"")</f>
        <v/>
      </c>
      <c r="X664" s="1" t="str">
        <f>CONCATENATE("F",Tabela1[[#This Row],[FONTE_COD]],Tabela1[[#This Row],[IPU_COD]],"G",Tabela1[[#This Row],[GRUPO_COD]],"T",Tabela1[[#This Row],[TIPO]])</f>
        <v>FGT999</v>
      </c>
      <c r="Y6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4" s="19"/>
      <c r="AA664" s="29" t="str">
        <f>IFERROR(VLOOKUP(CONCATENATE("B",Tabela1[[#This Row],[BLOCO]],Tabela1[[#This Row],[UO_COD]]),qdd!$AW$2:$AX$1000,2,FALSE),"")</f>
        <v/>
      </c>
      <c r="AB664" s="30" t="str">
        <f>IFERROR(Tabela1[[#This Row],[VALOR]]/100,"")</f>
        <v/>
      </c>
      <c r="AC664" s="7" t="str" cm="1">
        <f t="array" aca="1" ref="AC664" ca="1">IF(Tabela1[[#This Row],[VALOR]]&lt;0,"",IFERROR(SUBSTITUTE(Converter_numero(Tabela1[[#This Row],[VALOR INCISO]]),",",""),""))</f>
        <v/>
      </c>
      <c r="AD664" s="29" t="str">
        <f>IF(Tabela1[[#This Row],[TIPO]]=REGRAS!$W$2,REGRAS!$X$2,IF(Tabela1[[#This Row],[TIPO]]=REGRAS!$W$4,REGRAS!$X$4,""))</f>
        <v/>
      </c>
      <c r="AE664" s="29" t="e">
        <f>VLOOKUP(Tabela1[[#This Row],[FONTE_COD]],REGRAS!$O$2:$P$69,2,FALSE)</f>
        <v>#N/A</v>
      </c>
      <c r="AF6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5" spans="1:32" ht="18.75" customHeight="1">
      <c r="A665" s="2" t="str">
        <f>IFERROR(IF('PREENCHER AQUI'!A665="","",'PREENCHER AQUI'!A665),"")</f>
        <v/>
      </c>
      <c r="B665" s="1" t="str">
        <f>IFERROR(IF('PREENCHER AQUI'!B665="","",PROPER('PREENCHER AQUI'!B665)),"")</f>
        <v/>
      </c>
      <c r="C665" s="1" t="str">
        <f>IFERROR(IF('PREENCHER AQUI'!C665="","",'PREENCHER AQUI'!C665),"")</f>
        <v/>
      </c>
      <c r="D665" s="2" t="str">
        <f>IFERROR(IF('PREENCHER AQUI'!D665="","",'PREENCHER AQUI'!D665),"")</f>
        <v/>
      </c>
      <c r="E665" s="2" t="str">
        <f>IFERROR(VLOOKUP(CONCATENATE(C665,D665),qdd!$C$2:$F$1000,2,FALSE),"")</f>
        <v/>
      </c>
      <c r="F665" s="2" t="str">
        <f>IFERROR(VLOOKUP(CONCATENATE(C665,D665),qdd!$C$2:$F$1000,3,FALSE),"")</f>
        <v/>
      </c>
      <c r="G665" s="2" t="str">
        <f>IFERROR(VLOOKUP(CONCATENATE(C665,D665),qdd!$C$2:$F$1000,4,FALSE),"")</f>
        <v/>
      </c>
      <c r="H665" s="6" t="str">
        <f t="shared" si="22"/>
        <v/>
      </c>
      <c r="I6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5" s="2" t="str">
        <f>IFERROR(IF('PREENCHER AQUI'!E665="","",'PREENCHER AQUI'!E665),"")</f>
        <v/>
      </c>
      <c r="K665" s="2" t="str">
        <f>IFERROR(IF('PREENCHER AQUI'!F665="","",'PREENCHER AQUI'!F665),"")</f>
        <v/>
      </c>
      <c r="L665" s="2" t="str">
        <f>IF(Tabela1[[#This Row],[IPU_COD]]=9,"91",IF(Tabela1[[#This Row],[ACAO_COD]]="","",VLOOKUP(CONCATENATE("G",J665,"M",K665),qdd!$BC$2:$BD$46,2,FALSE)))</f>
        <v/>
      </c>
      <c r="M665" s="2" t="str">
        <f>TEXT(IFERROR(VLOOKUP(CONCATENATE(C665,D665),qdd!$C$2:$G$1000,5,FALSE),""),0)</f>
        <v/>
      </c>
      <c r="N665" s="2" t="str">
        <f>IFERROR(IF('PREENCHER AQUI'!I665="","",'PREENCHER AQUI'!I665),"")</f>
        <v/>
      </c>
      <c r="O665" s="2" t="str">
        <f>IFERROR(IF('PREENCHER AQUI'!J665="","",'PREENCHER AQUI'!J665),"")</f>
        <v/>
      </c>
      <c r="P665" s="7" t="str">
        <f t="shared" si="23"/>
        <v/>
      </c>
      <c r="Q665" s="8" t="str">
        <f>IFERROR(IF(Tabela4[[#This Row],[VALOR]]="","",IF(Tabela1[[#This Row],[ORIENTACAO]]="Anular",'PREENCHER AQUI'!K665*-1*100,'PREENCHER AQUI'!K665*100)),"")</f>
        <v/>
      </c>
      <c r="T665" s="7" t="str">
        <f>IFERROR(IF('PREENCHER AQUI'!L665="","999",LEFT('PREENCHER AQUI'!L665,1)),"")</f>
        <v>999</v>
      </c>
      <c r="V665" s="19"/>
      <c r="W665" s="20" t="str">
        <f>IFERROR(VLOOKUP(Tabela1[[#This Row],[UO_COD]],qdd!$AT$1:$AU$102,2,FALSE),"")</f>
        <v/>
      </c>
      <c r="X665" s="20" t="str">
        <f>CONCATENATE("F",Tabela1[[#This Row],[FONTE_COD]],Tabela1[[#This Row],[IPU_COD]],"G",Tabela1[[#This Row],[GRUPO_COD]],"T",Tabela1[[#This Row],[TIPO]])</f>
        <v>FGT999</v>
      </c>
      <c r="Y6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5" s="19"/>
      <c r="AA665" s="29" t="str">
        <f>IFERROR(VLOOKUP(CONCATENATE("B",Tabela1[[#This Row],[BLOCO]],Tabela1[[#This Row],[UO_COD]]),qdd!$AW$2:$AX$1000,2,FALSE),"")</f>
        <v/>
      </c>
      <c r="AB665" s="30" t="str">
        <f>IFERROR(Tabela1[[#This Row],[VALOR]]/100,"")</f>
        <v/>
      </c>
      <c r="AC665" s="7" t="str" cm="1">
        <f t="array" aca="1" ref="AC665" ca="1">IF(Tabela1[[#This Row],[VALOR]]&lt;0,"",IFERROR(SUBSTITUTE(Converter_numero(Tabela1[[#This Row],[VALOR INCISO]]),",",""),""))</f>
        <v/>
      </c>
      <c r="AD665" s="29" t="str">
        <f>IF(Tabela1[[#This Row],[TIPO]]=REGRAS!$W$2,REGRAS!$X$2,IF(Tabela1[[#This Row],[TIPO]]=REGRAS!$W$4,REGRAS!$X$4,""))</f>
        <v/>
      </c>
      <c r="AE665" s="29" t="e">
        <f>VLOOKUP(Tabela1[[#This Row],[FONTE_COD]],REGRAS!$O$2:$P$69,2,FALSE)</f>
        <v>#N/A</v>
      </c>
      <c r="AF6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6" spans="1:32" ht="18.75" customHeight="1">
      <c r="A666" s="2" t="str">
        <f>IFERROR(IF('PREENCHER AQUI'!A666="","",'PREENCHER AQUI'!A666),"")</f>
        <v/>
      </c>
      <c r="B666" s="1" t="str">
        <f>IFERROR(IF('PREENCHER AQUI'!B666="","",PROPER('PREENCHER AQUI'!B666)),"")</f>
        <v/>
      </c>
      <c r="C666" s="1" t="str">
        <f>IFERROR(IF('PREENCHER AQUI'!C666="","",'PREENCHER AQUI'!C666),"")</f>
        <v/>
      </c>
      <c r="D666" s="2" t="str">
        <f>IFERROR(IF('PREENCHER AQUI'!D666="","",'PREENCHER AQUI'!D666),"")</f>
        <v/>
      </c>
      <c r="E666" s="2" t="str">
        <f>IFERROR(VLOOKUP(CONCATENATE(C666,D666),qdd!$C$2:$F$1000,2,FALSE),"")</f>
        <v/>
      </c>
      <c r="F666" s="2" t="str">
        <f>IFERROR(VLOOKUP(CONCATENATE(C666,D666),qdd!$C$2:$F$1000,3,FALSE),"")</f>
        <v/>
      </c>
      <c r="G666" s="2" t="str">
        <f>IFERROR(VLOOKUP(CONCATENATE(C666,D666),qdd!$C$2:$F$1000,4,FALSE),"")</f>
        <v/>
      </c>
      <c r="H666" s="6" t="str">
        <f t="shared" si="22"/>
        <v/>
      </c>
      <c r="I6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6" s="2" t="str">
        <f>IFERROR(IF('PREENCHER AQUI'!E666="","",'PREENCHER AQUI'!E666),"")</f>
        <v/>
      </c>
      <c r="K666" s="2" t="str">
        <f>IFERROR(IF('PREENCHER AQUI'!F666="","",'PREENCHER AQUI'!F666),"")</f>
        <v/>
      </c>
      <c r="L666" s="2" t="str">
        <f>IF(Tabela1[[#This Row],[IPU_COD]]=9,"91",IF(Tabela1[[#This Row],[ACAO_COD]]="","",VLOOKUP(CONCATENATE("G",J666,"M",K666),qdd!$BC$2:$BD$46,2,FALSE)))</f>
        <v/>
      </c>
      <c r="M666" s="2" t="str">
        <f>TEXT(IFERROR(VLOOKUP(CONCATENATE(C666,D666),qdd!$C$2:$G$1000,5,FALSE),""),0)</f>
        <v/>
      </c>
      <c r="N666" s="2" t="str">
        <f>IFERROR(IF('PREENCHER AQUI'!I666="","",'PREENCHER AQUI'!I666),"")</f>
        <v/>
      </c>
      <c r="O666" s="2" t="str">
        <f>IFERROR(IF('PREENCHER AQUI'!J666="","",'PREENCHER AQUI'!J666),"")</f>
        <v/>
      </c>
      <c r="P666" s="7" t="str">
        <f t="shared" si="23"/>
        <v/>
      </c>
      <c r="Q666" s="8" t="str">
        <f>IFERROR(IF(Tabela4[[#This Row],[VALOR]]="","",IF(Tabela1[[#This Row],[ORIENTACAO]]="Anular",'PREENCHER AQUI'!K666*-1*100,'PREENCHER AQUI'!K666*100)),"")</f>
        <v/>
      </c>
      <c r="T666" s="7" t="str">
        <f>IFERROR(IF('PREENCHER AQUI'!L666="","999",LEFT('PREENCHER AQUI'!L666,1)),"")</f>
        <v>999</v>
      </c>
      <c r="V666" s="19"/>
      <c r="W666" s="1" t="str">
        <f>IFERROR(VLOOKUP(Tabela1[[#This Row],[UO_COD]],qdd!$AT$1:$AU$102,2,FALSE),"")</f>
        <v/>
      </c>
      <c r="X666" s="1" t="str">
        <f>CONCATENATE("F",Tabela1[[#This Row],[FONTE_COD]],Tabela1[[#This Row],[IPU_COD]],"G",Tabela1[[#This Row],[GRUPO_COD]],"T",Tabela1[[#This Row],[TIPO]])</f>
        <v>FGT999</v>
      </c>
      <c r="Y6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6" s="19"/>
      <c r="AA666" s="29" t="str">
        <f>IFERROR(VLOOKUP(CONCATENATE("B",Tabela1[[#This Row],[BLOCO]],Tabela1[[#This Row],[UO_COD]]),qdd!$AW$2:$AX$1000,2,FALSE),"")</f>
        <v/>
      </c>
      <c r="AB666" s="30" t="str">
        <f>IFERROR(Tabela1[[#This Row],[VALOR]]/100,"")</f>
        <v/>
      </c>
      <c r="AC666" s="7" t="str" cm="1">
        <f t="array" aca="1" ref="AC666" ca="1">IF(Tabela1[[#This Row],[VALOR]]&lt;0,"",IFERROR(SUBSTITUTE(Converter_numero(Tabela1[[#This Row],[VALOR INCISO]]),",",""),""))</f>
        <v/>
      </c>
      <c r="AD666" s="29" t="str">
        <f>IF(Tabela1[[#This Row],[TIPO]]=REGRAS!$W$2,REGRAS!$X$2,IF(Tabela1[[#This Row],[TIPO]]=REGRAS!$W$4,REGRAS!$X$4,""))</f>
        <v/>
      </c>
      <c r="AE666" s="29" t="e">
        <f>VLOOKUP(Tabela1[[#This Row],[FONTE_COD]],REGRAS!$O$2:$P$69,2,FALSE)</f>
        <v>#N/A</v>
      </c>
      <c r="AF6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7" spans="1:32" ht="18.75" customHeight="1">
      <c r="A667" s="2" t="str">
        <f>IFERROR(IF('PREENCHER AQUI'!A667="","",'PREENCHER AQUI'!A667),"")</f>
        <v/>
      </c>
      <c r="B667" s="1" t="str">
        <f>IFERROR(IF('PREENCHER AQUI'!B667="","",PROPER('PREENCHER AQUI'!B667)),"")</f>
        <v/>
      </c>
      <c r="C667" s="1" t="str">
        <f>IFERROR(IF('PREENCHER AQUI'!C667="","",'PREENCHER AQUI'!C667),"")</f>
        <v/>
      </c>
      <c r="D667" s="2" t="str">
        <f>IFERROR(IF('PREENCHER AQUI'!D667="","",'PREENCHER AQUI'!D667),"")</f>
        <v/>
      </c>
      <c r="E667" s="2" t="str">
        <f>IFERROR(VLOOKUP(CONCATENATE(C667,D667),qdd!$C$2:$F$1000,2,FALSE),"")</f>
        <v/>
      </c>
      <c r="F667" s="2" t="str">
        <f>IFERROR(VLOOKUP(CONCATENATE(C667,D667),qdd!$C$2:$F$1000,3,FALSE),"")</f>
        <v/>
      </c>
      <c r="G667" s="2" t="str">
        <f>IFERROR(VLOOKUP(CONCATENATE(C667,D667),qdd!$C$2:$F$1000,4,FALSE),"")</f>
        <v/>
      </c>
      <c r="H667" s="6" t="str">
        <f t="shared" si="22"/>
        <v/>
      </c>
      <c r="I6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7" s="2" t="str">
        <f>IFERROR(IF('PREENCHER AQUI'!E667="","",'PREENCHER AQUI'!E667),"")</f>
        <v/>
      </c>
      <c r="K667" s="2" t="str">
        <f>IFERROR(IF('PREENCHER AQUI'!F667="","",'PREENCHER AQUI'!F667),"")</f>
        <v/>
      </c>
      <c r="L667" s="2" t="str">
        <f>IF(Tabela1[[#This Row],[IPU_COD]]=9,"91",IF(Tabela1[[#This Row],[ACAO_COD]]="","",VLOOKUP(CONCATENATE("G",J667,"M",K667),qdd!$BC$2:$BD$46,2,FALSE)))</f>
        <v/>
      </c>
      <c r="M667" s="2" t="str">
        <f>TEXT(IFERROR(VLOOKUP(CONCATENATE(C667,D667),qdd!$C$2:$G$1000,5,FALSE),""),0)</f>
        <v/>
      </c>
      <c r="N667" s="2" t="str">
        <f>IFERROR(IF('PREENCHER AQUI'!I667="","",'PREENCHER AQUI'!I667),"")</f>
        <v/>
      </c>
      <c r="O667" s="2" t="str">
        <f>IFERROR(IF('PREENCHER AQUI'!J667="","",'PREENCHER AQUI'!J667),"")</f>
        <v/>
      </c>
      <c r="P667" s="7" t="str">
        <f t="shared" si="23"/>
        <v/>
      </c>
      <c r="Q667" s="8" t="str">
        <f>IFERROR(IF(Tabela4[[#This Row],[VALOR]]="","",IF(Tabela1[[#This Row],[ORIENTACAO]]="Anular",'PREENCHER AQUI'!K667*-1*100,'PREENCHER AQUI'!K667*100)),"")</f>
        <v/>
      </c>
      <c r="T667" s="7" t="str">
        <f>IFERROR(IF('PREENCHER AQUI'!L667="","999",LEFT('PREENCHER AQUI'!L667,1)),"")</f>
        <v>999</v>
      </c>
      <c r="W667" s="1" t="str">
        <f>IFERROR(VLOOKUP(Tabela1[[#This Row],[UO_COD]],qdd!$AT$1:$AU$102,2,FALSE),"")</f>
        <v/>
      </c>
      <c r="X667" s="1" t="str">
        <f>CONCATENATE("F",Tabela1[[#This Row],[FONTE_COD]],Tabela1[[#This Row],[IPU_COD]],"G",Tabela1[[#This Row],[GRUPO_COD]],"T",Tabela1[[#This Row],[TIPO]])</f>
        <v>FGT999</v>
      </c>
      <c r="Y6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7" s="19"/>
      <c r="AA667" s="29" t="str">
        <f>IFERROR(VLOOKUP(CONCATENATE("B",Tabela1[[#This Row],[BLOCO]],Tabela1[[#This Row],[UO_COD]]),qdd!$AW$2:$AX$1000,2,FALSE),"")</f>
        <v/>
      </c>
      <c r="AB667" s="30" t="str">
        <f>IFERROR(Tabela1[[#This Row],[VALOR]]/100,"")</f>
        <v/>
      </c>
      <c r="AC667" s="7" t="str" cm="1">
        <f t="array" aca="1" ref="AC667" ca="1">IF(Tabela1[[#This Row],[VALOR]]&lt;0,"",IFERROR(SUBSTITUTE(Converter_numero(Tabela1[[#This Row],[VALOR INCISO]]),",",""),""))</f>
        <v/>
      </c>
      <c r="AD667" s="7" t="str">
        <f>IF(Tabela1[[#This Row],[TIPO]]=REGRAS!$W$2,REGRAS!$X$2,IF(Tabela1[[#This Row],[TIPO]]=REGRAS!$W$4,REGRAS!$X$4,""))</f>
        <v/>
      </c>
      <c r="AE667" s="29" t="e">
        <f>VLOOKUP(Tabela1[[#This Row],[FONTE_COD]],REGRAS!$O$2:$P$69,2,FALSE)</f>
        <v>#N/A</v>
      </c>
      <c r="AF6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8" spans="1:32" ht="18.75" customHeight="1">
      <c r="A668" s="2" t="str">
        <f>IFERROR(IF('PREENCHER AQUI'!A668="","",'PREENCHER AQUI'!A668),"")</f>
        <v/>
      </c>
      <c r="B668" s="1" t="str">
        <f>IFERROR(IF('PREENCHER AQUI'!B668="","",PROPER('PREENCHER AQUI'!B668)),"")</f>
        <v/>
      </c>
      <c r="C668" s="1" t="str">
        <f>IFERROR(IF('PREENCHER AQUI'!C668="","",'PREENCHER AQUI'!C668),"")</f>
        <v/>
      </c>
      <c r="D668" s="2" t="str">
        <f>IFERROR(IF('PREENCHER AQUI'!D668="","",'PREENCHER AQUI'!D668),"")</f>
        <v/>
      </c>
      <c r="E668" s="2" t="str">
        <f>IFERROR(VLOOKUP(CONCATENATE(C668,D668),qdd!$C$2:$F$1000,2,FALSE),"")</f>
        <v/>
      </c>
      <c r="F668" s="2" t="str">
        <f>IFERROR(VLOOKUP(CONCATENATE(C668,D668),qdd!$C$2:$F$1000,3,FALSE),"")</f>
        <v/>
      </c>
      <c r="G668" s="2" t="str">
        <f>IFERROR(VLOOKUP(CONCATENATE(C668,D668),qdd!$C$2:$F$1000,4,FALSE),"")</f>
        <v/>
      </c>
      <c r="H668" s="6" t="str">
        <f t="shared" si="22"/>
        <v/>
      </c>
      <c r="I6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8" s="2" t="str">
        <f>IFERROR(IF('PREENCHER AQUI'!E668="","",'PREENCHER AQUI'!E668),"")</f>
        <v/>
      </c>
      <c r="K668" s="2" t="str">
        <f>IFERROR(IF('PREENCHER AQUI'!F668="","",'PREENCHER AQUI'!F668),"")</f>
        <v/>
      </c>
      <c r="L668" s="2" t="str">
        <f>IF(Tabela1[[#This Row],[IPU_COD]]=9,"91",IF(Tabela1[[#This Row],[ACAO_COD]]="","",VLOOKUP(CONCATENATE("G",J668,"M",K668),qdd!$BC$2:$BD$46,2,FALSE)))</f>
        <v/>
      </c>
      <c r="M668" s="2" t="str">
        <f>TEXT(IFERROR(VLOOKUP(CONCATENATE(C668,D668),qdd!$C$2:$G$1000,5,FALSE),""),0)</f>
        <v/>
      </c>
      <c r="N668" s="2" t="str">
        <f>IFERROR(IF('PREENCHER AQUI'!I668="","",'PREENCHER AQUI'!I668),"")</f>
        <v/>
      </c>
      <c r="O668" s="2" t="str">
        <f>IFERROR(IF('PREENCHER AQUI'!J668="","",'PREENCHER AQUI'!J668),"")</f>
        <v/>
      </c>
      <c r="P668" s="7" t="str">
        <f t="shared" si="23"/>
        <v/>
      </c>
      <c r="Q668" s="8" t="str">
        <f>IFERROR(IF(Tabela4[[#This Row],[VALOR]]="","",IF(Tabela1[[#This Row],[ORIENTACAO]]="Anular",'PREENCHER AQUI'!K668*-1*100,'PREENCHER AQUI'!K668*100)),"")</f>
        <v/>
      </c>
      <c r="T668" s="7" t="str">
        <f>IFERROR(IF('PREENCHER AQUI'!L668="","999",LEFT('PREENCHER AQUI'!L668,1)),"")</f>
        <v>999</v>
      </c>
      <c r="V668" s="19"/>
      <c r="W668" s="1" t="str">
        <f>IFERROR(VLOOKUP(Tabela1[[#This Row],[UO_COD]],qdd!$AT$1:$AU$102,2,FALSE),"")</f>
        <v/>
      </c>
      <c r="X668" s="1" t="str">
        <f>CONCATENATE("F",Tabela1[[#This Row],[FONTE_COD]],Tabela1[[#This Row],[IPU_COD]],"G",Tabela1[[#This Row],[GRUPO_COD]],"T",Tabela1[[#This Row],[TIPO]])</f>
        <v>FGT999</v>
      </c>
      <c r="Y6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8" s="19"/>
      <c r="AA668" s="29" t="str">
        <f>IFERROR(VLOOKUP(CONCATENATE("B",Tabela1[[#This Row],[BLOCO]],Tabela1[[#This Row],[UO_COD]]),qdd!$AW$2:$AX$1000,2,FALSE),"")</f>
        <v/>
      </c>
      <c r="AB668" s="30" t="str">
        <f>IFERROR(Tabela1[[#This Row],[VALOR]]/100,"")</f>
        <v/>
      </c>
      <c r="AC668" s="7" t="str" cm="1">
        <f t="array" aca="1" ref="AC668" ca="1">IF(Tabela1[[#This Row],[VALOR]]&lt;0,"",IFERROR(SUBSTITUTE(Converter_numero(Tabela1[[#This Row],[VALOR INCISO]]),",",""),""))</f>
        <v/>
      </c>
      <c r="AD668" s="29" t="str">
        <f>IF(Tabela1[[#This Row],[TIPO]]=REGRAS!$W$2,REGRAS!$X$2,IF(Tabela1[[#This Row],[TIPO]]=REGRAS!$W$4,REGRAS!$X$4,""))</f>
        <v/>
      </c>
      <c r="AE668" s="29" t="e">
        <f>VLOOKUP(Tabela1[[#This Row],[FONTE_COD]],REGRAS!$O$2:$P$69,2,FALSE)</f>
        <v>#N/A</v>
      </c>
      <c r="AF6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9" spans="1:32" ht="18.75" customHeight="1">
      <c r="A669" s="2" t="str">
        <f>IFERROR(IF('PREENCHER AQUI'!A669="","",'PREENCHER AQUI'!A669),"")</f>
        <v/>
      </c>
      <c r="B669" s="1" t="str">
        <f>IFERROR(IF('PREENCHER AQUI'!B669="","",PROPER('PREENCHER AQUI'!B669)),"")</f>
        <v/>
      </c>
      <c r="C669" s="1" t="str">
        <f>IFERROR(IF('PREENCHER AQUI'!C669="","",'PREENCHER AQUI'!C669),"")</f>
        <v/>
      </c>
      <c r="D669" s="2" t="str">
        <f>IFERROR(IF('PREENCHER AQUI'!D669="","",'PREENCHER AQUI'!D669),"")</f>
        <v/>
      </c>
      <c r="E669" s="2" t="str">
        <f>IFERROR(VLOOKUP(CONCATENATE(C669,D669),qdd!$C$2:$F$1000,2,FALSE),"")</f>
        <v/>
      </c>
      <c r="F669" s="2" t="str">
        <f>IFERROR(VLOOKUP(CONCATENATE(C669,D669),qdd!$C$2:$F$1000,3,FALSE),"")</f>
        <v/>
      </c>
      <c r="G669" s="2" t="str">
        <f>IFERROR(VLOOKUP(CONCATENATE(C669,D669),qdd!$C$2:$F$1000,4,FALSE),"")</f>
        <v/>
      </c>
      <c r="H669" s="6" t="str">
        <f t="shared" si="22"/>
        <v/>
      </c>
      <c r="I6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9" s="2" t="str">
        <f>IFERROR(IF('PREENCHER AQUI'!E669="","",'PREENCHER AQUI'!E669),"")</f>
        <v/>
      </c>
      <c r="K669" s="2" t="str">
        <f>IFERROR(IF('PREENCHER AQUI'!F669="","",'PREENCHER AQUI'!F669),"")</f>
        <v/>
      </c>
      <c r="L669" s="2" t="str">
        <f>IF(Tabela1[[#This Row],[IPU_COD]]=9,"91",IF(Tabela1[[#This Row],[ACAO_COD]]="","",VLOOKUP(CONCATENATE("G",J669,"M",K669),qdd!$BC$2:$BD$46,2,FALSE)))</f>
        <v/>
      </c>
      <c r="M669" s="2" t="str">
        <f>TEXT(IFERROR(VLOOKUP(CONCATENATE(C669,D669),qdd!$C$2:$G$1000,5,FALSE),""),0)</f>
        <v/>
      </c>
      <c r="N669" s="2" t="str">
        <f>IFERROR(IF('PREENCHER AQUI'!I669="","",'PREENCHER AQUI'!I669),"")</f>
        <v/>
      </c>
      <c r="O669" s="2" t="str">
        <f>IFERROR(IF('PREENCHER AQUI'!J669="","",'PREENCHER AQUI'!J669),"")</f>
        <v/>
      </c>
      <c r="P669" s="7" t="str">
        <f t="shared" si="23"/>
        <v/>
      </c>
      <c r="Q669" s="8" t="str">
        <f>IFERROR(IF(Tabela4[[#This Row],[VALOR]]="","",IF(Tabela1[[#This Row],[ORIENTACAO]]="Anular",'PREENCHER AQUI'!K669*-1*100,'PREENCHER AQUI'!K669*100)),"")</f>
        <v/>
      </c>
      <c r="T669" s="7" t="str">
        <f>IFERROR(IF('PREENCHER AQUI'!L669="","999",LEFT('PREENCHER AQUI'!L669,1)),"")</f>
        <v>999</v>
      </c>
      <c r="V669" s="19"/>
      <c r="W669" s="1" t="str">
        <f>IFERROR(VLOOKUP(Tabela1[[#This Row],[UO_COD]],qdd!$AT$1:$AU$102,2,FALSE),"")</f>
        <v/>
      </c>
      <c r="X669" s="1" t="str">
        <f>CONCATENATE("F",Tabela1[[#This Row],[FONTE_COD]],Tabela1[[#This Row],[IPU_COD]],"G",Tabela1[[#This Row],[GRUPO_COD]],"T",Tabela1[[#This Row],[TIPO]])</f>
        <v>FGT999</v>
      </c>
      <c r="Y6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9" s="19"/>
      <c r="AA669" s="29" t="str">
        <f>IFERROR(VLOOKUP(CONCATENATE("B",Tabela1[[#This Row],[BLOCO]],Tabela1[[#This Row],[UO_COD]]),qdd!$AW$2:$AX$1000,2,FALSE),"")</f>
        <v/>
      </c>
      <c r="AB669" s="30" t="str">
        <f>IFERROR(Tabela1[[#This Row],[VALOR]]/100,"")</f>
        <v/>
      </c>
      <c r="AC669" s="7" t="str" cm="1">
        <f t="array" aca="1" ref="AC669" ca="1">IF(Tabela1[[#This Row],[VALOR]]&lt;0,"",IFERROR(SUBSTITUTE(Converter_numero(Tabela1[[#This Row],[VALOR INCISO]]),",",""),""))</f>
        <v/>
      </c>
      <c r="AD669" s="29" t="str">
        <f>IF(Tabela1[[#This Row],[TIPO]]=REGRAS!$W$2,REGRAS!$X$2,IF(Tabela1[[#This Row],[TIPO]]=REGRAS!$W$4,REGRAS!$X$4,""))</f>
        <v/>
      </c>
      <c r="AE669" s="29" t="e">
        <f>VLOOKUP(Tabela1[[#This Row],[FONTE_COD]],REGRAS!$O$2:$P$69,2,FALSE)</f>
        <v>#N/A</v>
      </c>
      <c r="AF6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0" spans="1:32" ht="18.75" customHeight="1">
      <c r="A670" s="2" t="str">
        <f>IFERROR(IF('PREENCHER AQUI'!A670="","",'PREENCHER AQUI'!A670),"")</f>
        <v/>
      </c>
      <c r="B670" s="1" t="str">
        <f>IFERROR(IF('PREENCHER AQUI'!B670="","",PROPER('PREENCHER AQUI'!B670)),"")</f>
        <v/>
      </c>
      <c r="C670" s="1" t="str">
        <f>IFERROR(IF('PREENCHER AQUI'!C670="","",'PREENCHER AQUI'!C670),"")</f>
        <v/>
      </c>
      <c r="D670" s="2" t="str">
        <f>IFERROR(IF('PREENCHER AQUI'!D670="","",'PREENCHER AQUI'!D670),"")</f>
        <v/>
      </c>
      <c r="E670" s="2" t="str">
        <f>IFERROR(VLOOKUP(CONCATENATE(C670,D670),qdd!$C$2:$F$1000,2,FALSE),"")</f>
        <v/>
      </c>
      <c r="F670" s="2" t="str">
        <f>IFERROR(VLOOKUP(CONCATENATE(C670,D670),qdd!$C$2:$F$1000,3,FALSE),"")</f>
        <v/>
      </c>
      <c r="G670" s="2" t="str">
        <f>IFERROR(VLOOKUP(CONCATENATE(C670,D670),qdd!$C$2:$F$1000,4,FALSE),"")</f>
        <v/>
      </c>
      <c r="H670" s="6" t="str">
        <f t="shared" si="22"/>
        <v/>
      </c>
      <c r="I6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0" s="2" t="str">
        <f>IFERROR(IF('PREENCHER AQUI'!E670="","",'PREENCHER AQUI'!E670),"")</f>
        <v/>
      </c>
      <c r="K670" s="2" t="str">
        <f>IFERROR(IF('PREENCHER AQUI'!F670="","",'PREENCHER AQUI'!F670),"")</f>
        <v/>
      </c>
      <c r="L670" s="2" t="str">
        <f>IF(Tabela1[[#This Row],[IPU_COD]]=9,"91",IF(Tabela1[[#This Row],[ACAO_COD]]="","",VLOOKUP(CONCATENATE("G",J670,"M",K670),qdd!$BC$2:$BD$46,2,FALSE)))</f>
        <v/>
      </c>
      <c r="M670" s="2" t="str">
        <f>TEXT(IFERROR(VLOOKUP(CONCATENATE(C670,D670),qdd!$C$2:$G$1000,5,FALSE),""),0)</f>
        <v/>
      </c>
      <c r="N670" s="2" t="str">
        <f>IFERROR(IF('PREENCHER AQUI'!I670="","",'PREENCHER AQUI'!I670),"")</f>
        <v/>
      </c>
      <c r="O670" s="2" t="str">
        <f>IFERROR(IF('PREENCHER AQUI'!J670="","",'PREENCHER AQUI'!J670),"")</f>
        <v/>
      </c>
      <c r="P670" s="7" t="str">
        <f t="shared" si="23"/>
        <v/>
      </c>
      <c r="Q670" s="8" t="str">
        <f>IFERROR(IF(Tabela4[[#This Row],[VALOR]]="","",IF(Tabela1[[#This Row],[ORIENTACAO]]="Anular",'PREENCHER AQUI'!K670*-1*100,'PREENCHER AQUI'!K670*100)),"")</f>
        <v/>
      </c>
      <c r="T670" s="7" t="str">
        <f>IFERROR(IF('PREENCHER AQUI'!L670="","999",LEFT('PREENCHER AQUI'!L670,1)),"")</f>
        <v>999</v>
      </c>
      <c r="V670" s="19"/>
      <c r="W670" s="20" t="str">
        <f>IFERROR(VLOOKUP(Tabela1[[#This Row],[UO_COD]],qdd!$AT$1:$AU$102,2,FALSE),"")</f>
        <v/>
      </c>
      <c r="X670" s="20" t="str">
        <f>CONCATENATE("F",Tabela1[[#This Row],[FONTE_COD]],Tabela1[[#This Row],[IPU_COD]],"G",Tabela1[[#This Row],[GRUPO_COD]],"T",Tabela1[[#This Row],[TIPO]])</f>
        <v>FGT999</v>
      </c>
      <c r="Y6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0" s="19"/>
      <c r="AA670" s="29" t="str">
        <f>IFERROR(VLOOKUP(CONCATENATE("B",Tabela1[[#This Row],[BLOCO]],Tabela1[[#This Row],[UO_COD]]),qdd!$AW$2:$AX$1000,2,FALSE),"")</f>
        <v/>
      </c>
      <c r="AB670" s="30" t="str">
        <f>IFERROR(Tabela1[[#This Row],[VALOR]]/100,"")</f>
        <v/>
      </c>
      <c r="AC670" s="7" t="str" cm="1">
        <f t="array" aca="1" ref="AC670" ca="1">IF(Tabela1[[#This Row],[VALOR]]&lt;0,"",IFERROR(SUBSTITUTE(Converter_numero(Tabela1[[#This Row],[VALOR INCISO]]),",",""),""))</f>
        <v/>
      </c>
      <c r="AD670" s="29" t="str">
        <f>IF(Tabela1[[#This Row],[TIPO]]=REGRAS!$W$2,REGRAS!$X$2,IF(Tabela1[[#This Row],[TIPO]]=REGRAS!$W$4,REGRAS!$X$4,""))</f>
        <v/>
      </c>
      <c r="AE670" s="29" t="e">
        <f>VLOOKUP(Tabela1[[#This Row],[FONTE_COD]],REGRAS!$O$2:$P$69,2,FALSE)</f>
        <v>#N/A</v>
      </c>
      <c r="AF6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1" spans="1:32" ht="18.75" customHeight="1">
      <c r="A671" s="2" t="str">
        <f>IFERROR(IF('PREENCHER AQUI'!A671="","",'PREENCHER AQUI'!A671),"")</f>
        <v/>
      </c>
      <c r="B671" s="1" t="str">
        <f>IFERROR(IF('PREENCHER AQUI'!B671="","",PROPER('PREENCHER AQUI'!B671)),"")</f>
        <v/>
      </c>
      <c r="C671" s="1" t="str">
        <f>IFERROR(IF('PREENCHER AQUI'!C671="","",'PREENCHER AQUI'!C671),"")</f>
        <v/>
      </c>
      <c r="D671" s="2" t="str">
        <f>IFERROR(IF('PREENCHER AQUI'!D671="","",'PREENCHER AQUI'!D671),"")</f>
        <v/>
      </c>
      <c r="E671" s="2" t="str">
        <f>IFERROR(VLOOKUP(CONCATENATE(C671,D671),qdd!$C$2:$F$1000,2,FALSE),"")</f>
        <v/>
      </c>
      <c r="F671" s="2" t="str">
        <f>IFERROR(VLOOKUP(CONCATENATE(C671,D671),qdd!$C$2:$F$1000,3,FALSE),"")</f>
        <v/>
      </c>
      <c r="G671" s="2" t="str">
        <f>IFERROR(VLOOKUP(CONCATENATE(C671,D671),qdd!$C$2:$F$1000,4,FALSE),"")</f>
        <v/>
      </c>
      <c r="H671" s="6" t="str">
        <f t="shared" si="22"/>
        <v/>
      </c>
      <c r="I6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1" s="2" t="str">
        <f>IFERROR(IF('PREENCHER AQUI'!E671="","",'PREENCHER AQUI'!E671),"")</f>
        <v/>
      </c>
      <c r="K671" s="2" t="str">
        <f>IFERROR(IF('PREENCHER AQUI'!F671="","",'PREENCHER AQUI'!F671),"")</f>
        <v/>
      </c>
      <c r="L671" s="2" t="str">
        <f>IF(Tabela1[[#This Row],[IPU_COD]]=9,"91",IF(Tabela1[[#This Row],[ACAO_COD]]="","",VLOOKUP(CONCATENATE("G",J671,"M",K671),qdd!$BC$2:$BD$46,2,FALSE)))</f>
        <v/>
      </c>
      <c r="M671" s="2" t="str">
        <f>TEXT(IFERROR(VLOOKUP(CONCATENATE(C671,D671),qdd!$C$2:$G$1000,5,FALSE),""),0)</f>
        <v/>
      </c>
      <c r="N671" s="2" t="str">
        <f>IFERROR(IF('PREENCHER AQUI'!I671="","",'PREENCHER AQUI'!I671),"")</f>
        <v/>
      </c>
      <c r="O671" s="2" t="str">
        <f>IFERROR(IF('PREENCHER AQUI'!J671="","",'PREENCHER AQUI'!J671),"")</f>
        <v/>
      </c>
      <c r="P671" s="7" t="str">
        <f t="shared" si="23"/>
        <v/>
      </c>
      <c r="Q671" s="8" t="str">
        <f>IFERROR(IF(Tabela4[[#This Row],[VALOR]]="","",IF(Tabela1[[#This Row],[ORIENTACAO]]="Anular",'PREENCHER AQUI'!K671*-1*100,'PREENCHER AQUI'!K671*100)),"")</f>
        <v/>
      </c>
      <c r="T671" s="7" t="str">
        <f>IFERROR(IF('PREENCHER AQUI'!L671="","999",LEFT('PREENCHER AQUI'!L671,1)),"")</f>
        <v>999</v>
      </c>
      <c r="V671" s="19"/>
      <c r="W671" s="1" t="str">
        <f>IFERROR(VLOOKUP(Tabela1[[#This Row],[UO_COD]],qdd!$AT$1:$AU$102,2,FALSE),"")</f>
        <v/>
      </c>
      <c r="X671" s="1" t="str">
        <f>CONCATENATE("F",Tabela1[[#This Row],[FONTE_COD]],Tabela1[[#This Row],[IPU_COD]],"G",Tabela1[[#This Row],[GRUPO_COD]],"T",Tabela1[[#This Row],[TIPO]])</f>
        <v>FGT999</v>
      </c>
      <c r="Y6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1" s="19"/>
      <c r="AA671" s="29" t="str">
        <f>IFERROR(VLOOKUP(CONCATENATE("B",Tabela1[[#This Row],[BLOCO]],Tabela1[[#This Row],[UO_COD]]),qdd!$AW$2:$AX$1000,2,FALSE),"")</f>
        <v/>
      </c>
      <c r="AB671" s="30" t="str">
        <f>IFERROR(Tabela1[[#This Row],[VALOR]]/100,"")</f>
        <v/>
      </c>
      <c r="AC671" s="7" t="str" cm="1">
        <f t="array" aca="1" ref="AC671" ca="1">IF(Tabela1[[#This Row],[VALOR]]&lt;0,"",IFERROR(SUBSTITUTE(Converter_numero(Tabela1[[#This Row],[VALOR INCISO]]),",",""),""))</f>
        <v/>
      </c>
      <c r="AD671" s="29" t="str">
        <f>IF(Tabela1[[#This Row],[TIPO]]=REGRAS!$W$2,REGRAS!$X$2,IF(Tabela1[[#This Row],[TIPO]]=REGRAS!$W$4,REGRAS!$X$4,""))</f>
        <v/>
      </c>
      <c r="AE671" s="29" t="e">
        <f>VLOOKUP(Tabela1[[#This Row],[FONTE_COD]],REGRAS!$O$2:$P$69,2,FALSE)</f>
        <v>#N/A</v>
      </c>
      <c r="AF6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2" spans="1:32" ht="18.75" customHeight="1">
      <c r="A672" s="2" t="str">
        <f>IFERROR(IF('PREENCHER AQUI'!A672="","",'PREENCHER AQUI'!A672),"")</f>
        <v/>
      </c>
      <c r="B672" s="1" t="str">
        <f>IFERROR(IF('PREENCHER AQUI'!B672="","",PROPER('PREENCHER AQUI'!B672)),"")</f>
        <v/>
      </c>
      <c r="C672" s="1" t="str">
        <f>IFERROR(IF('PREENCHER AQUI'!C672="","",'PREENCHER AQUI'!C672),"")</f>
        <v/>
      </c>
      <c r="D672" s="2" t="str">
        <f>IFERROR(IF('PREENCHER AQUI'!D672="","",'PREENCHER AQUI'!D672),"")</f>
        <v/>
      </c>
      <c r="E672" s="2" t="str">
        <f>IFERROR(VLOOKUP(CONCATENATE(C672,D672),qdd!$C$2:$F$1000,2,FALSE),"")</f>
        <v/>
      </c>
      <c r="F672" s="2" t="str">
        <f>IFERROR(VLOOKUP(CONCATENATE(C672,D672),qdd!$C$2:$F$1000,3,FALSE),"")</f>
        <v/>
      </c>
      <c r="G672" s="2" t="str">
        <f>IFERROR(VLOOKUP(CONCATENATE(C672,D672),qdd!$C$2:$F$1000,4,FALSE),"")</f>
        <v/>
      </c>
      <c r="H672" s="6" t="str">
        <f t="shared" si="22"/>
        <v/>
      </c>
      <c r="I6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2" s="2" t="str">
        <f>IFERROR(IF('PREENCHER AQUI'!E672="","",'PREENCHER AQUI'!E672),"")</f>
        <v/>
      </c>
      <c r="K672" s="2" t="str">
        <f>IFERROR(IF('PREENCHER AQUI'!F672="","",'PREENCHER AQUI'!F672),"")</f>
        <v/>
      </c>
      <c r="L672" s="2" t="str">
        <f>IF(Tabela1[[#This Row],[IPU_COD]]=9,"91",IF(Tabela1[[#This Row],[ACAO_COD]]="","",VLOOKUP(CONCATENATE("G",J672,"M",K672),qdd!$BC$2:$BD$46,2,FALSE)))</f>
        <v/>
      </c>
      <c r="M672" s="2" t="str">
        <f>TEXT(IFERROR(VLOOKUP(CONCATENATE(C672,D672),qdd!$C$2:$G$1000,5,FALSE),""),0)</f>
        <v/>
      </c>
      <c r="N672" s="2" t="str">
        <f>IFERROR(IF('PREENCHER AQUI'!I672="","",'PREENCHER AQUI'!I672),"")</f>
        <v/>
      </c>
      <c r="O672" s="2" t="str">
        <f>IFERROR(IF('PREENCHER AQUI'!J672="","",'PREENCHER AQUI'!J672),"")</f>
        <v/>
      </c>
      <c r="P672" s="7" t="str">
        <f t="shared" si="23"/>
        <v/>
      </c>
      <c r="Q672" s="8" t="str">
        <f>IFERROR(IF(Tabela4[[#This Row],[VALOR]]="","",IF(Tabela1[[#This Row],[ORIENTACAO]]="Anular",'PREENCHER AQUI'!K672*-1*100,'PREENCHER AQUI'!K672*100)),"")</f>
        <v/>
      </c>
      <c r="T672" s="7" t="str">
        <f>IFERROR(IF('PREENCHER AQUI'!L672="","999",LEFT('PREENCHER AQUI'!L672,1)),"")</f>
        <v>999</v>
      </c>
      <c r="W672" s="1" t="str">
        <f>IFERROR(VLOOKUP(Tabela1[[#This Row],[UO_COD]],qdd!$AT$1:$AU$102,2,FALSE),"")</f>
        <v/>
      </c>
      <c r="X672" s="1" t="str">
        <f>CONCATENATE("F",Tabela1[[#This Row],[FONTE_COD]],Tabela1[[#This Row],[IPU_COD]],"G",Tabela1[[#This Row],[GRUPO_COD]],"T",Tabela1[[#This Row],[TIPO]])</f>
        <v>FGT999</v>
      </c>
      <c r="Y6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2" s="19"/>
      <c r="AA672" s="29" t="str">
        <f>IFERROR(VLOOKUP(CONCATENATE("B",Tabela1[[#This Row],[BLOCO]],Tabela1[[#This Row],[UO_COD]]),qdd!$AW$2:$AX$1000,2,FALSE),"")</f>
        <v/>
      </c>
      <c r="AB672" s="30" t="str">
        <f>IFERROR(Tabela1[[#This Row],[VALOR]]/100,"")</f>
        <v/>
      </c>
      <c r="AC672" s="7" t="str" cm="1">
        <f t="array" aca="1" ref="AC672" ca="1">IF(Tabela1[[#This Row],[VALOR]]&lt;0,"",IFERROR(SUBSTITUTE(Converter_numero(Tabela1[[#This Row],[VALOR INCISO]]),",",""),""))</f>
        <v/>
      </c>
      <c r="AD672" s="7" t="str">
        <f>IF(Tabela1[[#This Row],[TIPO]]=REGRAS!$W$2,REGRAS!$X$2,IF(Tabela1[[#This Row],[TIPO]]=REGRAS!$W$4,REGRAS!$X$4,""))</f>
        <v/>
      </c>
      <c r="AE672" s="29" t="e">
        <f>VLOOKUP(Tabela1[[#This Row],[FONTE_COD]],REGRAS!$O$2:$P$69,2,FALSE)</f>
        <v>#N/A</v>
      </c>
      <c r="AF6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3" spans="1:32" ht="18.75" customHeight="1">
      <c r="A673" s="2" t="str">
        <f>IFERROR(IF('PREENCHER AQUI'!A673="","",'PREENCHER AQUI'!A673),"")</f>
        <v/>
      </c>
      <c r="B673" s="1" t="str">
        <f>IFERROR(IF('PREENCHER AQUI'!B673="","",PROPER('PREENCHER AQUI'!B673)),"")</f>
        <v/>
      </c>
      <c r="C673" s="1" t="str">
        <f>IFERROR(IF('PREENCHER AQUI'!C673="","",'PREENCHER AQUI'!C673),"")</f>
        <v/>
      </c>
      <c r="D673" s="2" t="str">
        <f>IFERROR(IF('PREENCHER AQUI'!D673="","",'PREENCHER AQUI'!D673),"")</f>
        <v/>
      </c>
      <c r="E673" s="2" t="str">
        <f>IFERROR(VLOOKUP(CONCATENATE(C673,D673),qdd!$C$2:$F$1000,2,FALSE),"")</f>
        <v/>
      </c>
      <c r="F673" s="2" t="str">
        <f>IFERROR(VLOOKUP(CONCATENATE(C673,D673),qdd!$C$2:$F$1000,3,FALSE),"")</f>
        <v/>
      </c>
      <c r="G673" s="2" t="str">
        <f>IFERROR(VLOOKUP(CONCATENATE(C673,D673),qdd!$C$2:$F$1000,4,FALSE),"")</f>
        <v/>
      </c>
      <c r="H673" s="6" t="str">
        <f t="shared" si="22"/>
        <v/>
      </c>
      <c r="I6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3" s="2" t="str">
        <f>IFERROR(IF('PREENCHER AQUI'!E673="","",'PREENCHER AQUI'!E673),"")</f>
        <v/>
      </c>
      <c r="K673" s="2" t="str">
        <f>IFERROR(IF('PREENCHER AQUI'!F673="","",'PREENCHER AQUI'!F673),"")</f>
        <v/>
      </c>
      <c r="L673" s="2" t="str">
        <f>IF(Tabela1[[#This Row],[IPU_COD]]=9,"91",IF(Tabela1[[#This Row],[ACAO_COD]]="","",VLOOKUP(CONCATENATE("G",J673,"M",K673),qdd!$BC$2:$BD$46,2,FALSE)))</f>
        <v/>
      </c>
      <c r="M673" s="2" t="str">
        <f>TEXT(IFERROR(VLOOKUP(CONCATENATE(C673,D673),qdd!$C$2:$G$1000,5,FALSE),""),0)</f>
        <v/>
      </c>
      <c r="N673" s="2" t="str">
        <f>IFERROR(IF('PREENCHER AQUI'!I673="","",'PREENCHER AQUI'!I673),"")</f>
        <v/>
      </c>
      <c r="O673" s="2" t="str">
        <f>IFERROR(IF('PREENCHER AQUI'!J673="","",'PREENCHER AQUI'!J673),"")</f>
        <v/>
      </c>
      <c r="P673" s="7" t="str">
        <f t="shared" si="23"/>
        <v/>
      </c>
      <c r="Q673" s="8" t="str">
        <f>IFERROR(IF(Tabela4[[#This Row],[VALOR]]="","",IF(Tabela1[[#This Row],[ORIENTACAO]]="Anular",'PREENCHER AQUI'!K673*-1*100,'PREENCHER AQUI'!K673*100)),"")</f>
        <v/>
      </c>
      <c r="T673" s="7" t="str">
        <f>IFERROR(IF('PREENCHER AQUI'!L673="","999",LEFT('PREENCHER AQUI'!L673,1)),"")</f>
        <v>999</v>
      </c>
      <c r="V673" s="19"/>
      <c r="W673" s="1" t="str">
        <f>IFERROR(VLOOKUP(Tabela1[[#This Row],[UO_COD]],qdd!$AT$1:$AU$102,2,FALSE),"")</f>
        <v/>
      </c>
      <c r="X673" s="1" t="str">
        <f>CONCATENATE("F",Tabela1[[#This Row],[FONTE_COD]],Tabela1[[#This Row],[IPU_COD]],"G",Tabela1[[#This Row],[GRUPO_COD]],"T",Tabela1[[#This Row],[TIPO]])</f>
        <v>FGT999</v>
      </c>
      <c r="Y6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3" s="19"/>
      <c r="AA673" s="29" t="str">
        <f>IFERROR(VLOOKUP(CONCATENATE("B",Tabela1[[#This Row],[BLOCO]],Tabela1[[#This Row],[UO_COD]]),qdd!$AW$2:$AX$1000,2,FALSE),"")</f>
        <v/>
      </c>
      <c r="AB673" s="30" t="str">
        <f>IFERROR(Tabela1[[#This Row],[VALOR]]/100,"")</f>
        <v/>
      </c>
      <c r="AC673" s="7" t="str" cm="1">
        <f t="array" aca="1" ref="AC673" ca="1">IF(Tabela1[[#This Row],[VALOR]]&lt;0,"",IFERROR(SUBSTITUTE(Converter_numero(Tabela1[[#This Row],[VALOR INCISO]]),",",""),""))</f>
        <v/>
      </c>
      <c r="AD673" s="29" t="str">
        <f>IF(Tabela1[[#This Row],[TIPO]]=REGRAS!$W$2,REGRAS!$X$2,IF(Tabela1[[#This Row],[TIPO]]=REGRAS!$W$4,REGRAS!$X$4,""))</f>
        <v/>
      </c>
      <c r="AE673" s="29" t="e">
        <f>VLOOKUP(Tabela1[[#This Row],[FONTE_COD]],REGRAS!$O$2:$P$69,2,FALSE)</f>
        <v>#N/A</v>
      </c>
      <c r="AF6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4" spans="1:32" ht="18.75" customHeight="1">
      <c r="A674" s="2" t="str">
        <f>IFERROR(IF('PREENCHER AQUI'!A674="","",'PREENCHER AQUI'!A674),"")</f>
        <v/>
      </c>
      <c r="B674" s="1" t="str">
        <f>IFERROR(IF('PREENCHER AQUI'!B674="","",PROPER('PREENCHER AQUI'!B674)),"")</f>
        <v/>
      </c>
      <c r="C674" s="1" t="str">
        <f>IFERROR(IF('PREENCHER AQUI'!C674="","",'PREENCHER AQUI'!C674),"")</f>
        <v/>
      </c>
      <c r="D674" s="2" t="str">
        <f>IFERROR(IF('PREENCHER AQUI'!D674="","",'PREENCHER AQUI'!D674),"")</f>
        <v/>
      </c>
      <c r="E674" s="2" t="str">
        <f>IFERROR(VLOOKUP(CONCATENATE(C674,D674),qdd!$C$2:$F$1000,2,FALSE),"")</f>
        <v/>
      </c>
      <c r="F674" s="2" t="str">
        <f>IFERROR(VLOOKUP(CONCATENATE(C674,D674),qdd!$C$2:$F$1000,3,FALSE),"")</f>
        <v/>
      </c>
      <c r="G674" s="2" t="str">
        <f>IFERROR(VLOOKUP(CONCATENATE(C674,D674),qdd!$C$2:$F$1000,4,FALSE),"")</f>
        <v/>
      </c>
      <c r="H674" s="6" t="str">
        <f t="shared" si="22"/>
        <v/>
      </c>
      <c r="I6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4" s="2" t="str">
        <f>IFERROR(IF('PREENCHER AQUI'!E674="","",'PREENCHER AQUI'!E674),"")</f>
        <v/>
      </c>
      <c r="K674" s="2" t="str">
        <f>IFERROR(IF('PREENCHER AQUI'!F674="","",'PREENCHER AQUI'!F674),"")</f>
        <v/>
      </c>
      <c r="L674" s="2" t="str">
        <f>IF(Tabela1[[#This Row],[IPU_COD]]=9,"91",IF(Tabela1[[#This Row],[ACAO_COD]]="","",VLOOKUP(CONCATENATE("G",J674,"M",K674),qdd!$BC$2:$BD$46,2,FALSE)))</f>
        <v/>
      </c>
      <c r="M674" s="2" t="str">
        <f>TEXT(IFERROR(VLOOKUP(CONCATENATE(C674,D674),qdd!$C$2:$G$1000,5,FALSE),""),0)</f>
        <v/>
      </c>
      <c r="N674" s="2" t="str">
        <f>IFERROR(IF('PREENCHER AQUI'!I674="","",'PREENCHER AQUI'!I674),"")</f>
        <v/>
      </c>
      <c r="O674" s="2" t="str">
        <f>IFERROR(IF('PREENCHER AQUI'!J674="","",'PREENCHER AQUI'!J674),"")</f>
        <v/>
      </c>
      <c r="P674" s="7" t="str">
        <f t="shared" si="23"/>
        <v/>
      </c>
      <c r="Q674" s="8" t="str">
        <f>IFERROR(IF(Tabela4[[#This Row],[VALOR]]="","",IF(Tabela1[[#This Row],[ORIENTACAO]]="Anular",'PREENCHER AQUI'!K674*-1*100,'PREENCHER AQUI'!K674*100)),"")</f>
        <v/>
      </c>
      <c r="T674" s="7" t="str">
        <f>IFERROR(IF('PREENCHER AQUI'!L674="","999",LEFT('PREENCHER AQUI'!L674,1)),"")</f>
        <v>999</v>
      </c>
      <c r="V674" s="19"/>
      <c r="W674" s="1" t="str">
        <f>IFERROR(VLOOKUP(Tabela1[[#This Row],[UO_COD]],qdd!$AT$1:$AU$102,2,FALSE),"")</f>
        <v/>
      </c>
      <c r="X674" s="1" t="str">
        <f>CONCATENATE("F",Tabela1[[#This Row],[FONTE_COD]],Tabela1[[#This Row],[IPU_COD]],"G",Tabela1[[#This Row],[GRUPO_COD]],"T",Tabela1[[#This Row],[TIPO]])</f>
        <v>FGT999</v>
      </c>
      <c r="Y6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4" s="19"/>
      <c r="AA674" s="29" t="str">
        <f>IFERROR(VLOOKUP(CONCATENATE("B",Tabela1[[#This Row],[BLOCO]],Tabela1[[#This Row],[UO_COD]]),qdd!$AW$2:$AX$1000,2,FALSE),"")</f>
        <v/>
      </c>
      <c r="AB674" s="30" t="str">
        <f>IFERROR(Tabela1[[#This Row],[VALOR]]/100,"")</f>
        <v/>
      </c>
      <c r="AC674" s="7" t="str" cm="1">
        <f t="array" aca="1" ref="AC674" ca="1">IF(Tabela1[[#This Row],[VALOR]]&lt;0,"",IFERROR(SUBSTITUTE(Converter_numero(Tabela1[[#This Row],[VALOR INCISO]]),",",""),""))</f>
        <v/>
      </c>
      <c r="AD674" s="29" t="str">
        <f>IF(Tabela1[[#This Row],[TIPO]]=REGRAS!$W$2,REGRAS!$X$2,IF(Tabela1[[#This Row],[TIPO]]=REGRAS!$W$4,REGRAS!$X$4,""))</f>
        <v/>
      </c>
      <c r="AE674" s="29" t="e">
        <f>VLOOKUP(Tabela1[[#This Row],[FONTE_COD]],REGRAS!$O$2:$P$69,2,FALSE)</f>
        <v>#N/A</v>
      </c>
      <c r="AF6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5" spans="1:32" ht="18.75" customHeight="1">
      <c r="A675" s="2" t="str">
        <f>IFERROR(IF('PREENCHER AQUI'!A675="","",'PREENCHER AQUI'!A675),"")</f>
        <v/>
      </c>
      <c r="B675" s="1" t="str">
        <f>IFERROR(IF('PREENCHER AQUI'!B675="","",PROPER('PREENCHER AQUI'!B675)),"")</f>
        <v/>
      </c>
      <c r="C675" s="1" t="str">
        <f>IFERROR(IF('PREENCHER AQUI'!C675="","",'PREENCHER AQUI'!C675),"")</f>
        <v/>
      </c>
      <c r="D675" s="2" t="str">
        <f>IFERROR(IF('PREENCHER AQUI'!D675="","",'PREENCHER AQUI'!D675),"")</f>
        <v/>
      </c>
      <c r="E675" s="2" t="str">
        <f>IFERROR(VLOOKUP(CONCATENATE(C675,D675),qdd!$C$2:$F$1000,2,FALSE),"")</f>
        <v/>
      </c>
      <c r="F675" s="2" t="str">
        <f>IFERROR(VLOOKUP(CONCATENATE(C675,D675),qdd!$C$2:$F$1000,3,FALSE),"")</f>
        <v/>
      </c>
      <c r="G675" s="2" t="str">
        <f>IFERROR(VLOOKUP(CONCATENATE(C675,D675),qdd!$C$2:$F$1000,4,FALSE),"")</f>
        <v/>
      </c>
      <c r="H675" s="6" t="str">
        <f t="shared" si="22"/>
        <v/>
      </c>
      <c r="I6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5" s="2" t="str">
        <f>IFERROR(IF('PREENCHER AQUI'!E675="","",'PREENCHER AQUI'!E675),"")</f>
        <v/>
      </c>
      <c r="K675" s="2" t="str">
        <f>IFERROR(IF('PREENCHER AQUI'!F675="","",'PREENCHER AQUI'!F675),"")</f>
        <v/>
      </c>
      <c r="L675" s="2" t="str">
        <f>IF(Tabela1[[#This Row],[IPU_COD]]=9,"91",IF(Tabela1[[#This Row],[ACAO_COD]]="","",VLOOKUP(CONCATENATE("G",J675,"M",K675),qdd!$BC$2:$BD$46,2,FALSE)))</f>
        <v/>
      </c>
      <c r="M675" s="2" t="str">
        <f>TEXT(IFERROR(VLOOKUP(CONCATENATE(C675,D675),qdd!$C$2:$G$1000,5,FALSE),""),0)</f>
        <v/>
      </c>
      <c r="N675" s="2" t="str">
        <f>IFERROR(IF('PREENCHER AQUI'!I675="","",'PREENCHER AQUI'!I675),"")</f>
        <v/>
      </c>
      <c r="O675" s="2" t="str">
        <f>IFERROR(IF('PREENCHER AQUI'!J675="","",'PREENCHER AQUI'!J675),"")</f>
        <v/>
      </c>
      <c r="P675" s="7" t="str">
        <f t="shared" si="23"/>
        <v/>
      </c>
      <c r="Q675" s="8" t="str">
        <f>IFERROR(IF(Tabela4[[#This Row],[VALOR]]="","",IF(Tabela1[[#This Row],[ORIENTACAO]]="Anular",'PREENCHER AQUI'!K675*-1*100,'PREENCHER AQUI'!K675*100)),"")</f>
        <v/>
      </c>
      <c r="T675" s="7" t="str">
        <f>IFERROR(IF('PREENCHER AQUI'!L675="","999",LEFT('PREENCHER AQUI'!L675,1)),"")</f>
        <v>999</v>
      </c>
      <c r="V675" s="19"/>
      <c r="W675" s="20" t="str">
        <f>IFERROR(VLOOKUP(Tabela1[[#This Row],[UO_COD]],qdd!$AT$1:$AU$102,2,FALSE),"")</f>
        <v/>
      </c>
      <c r="X675" s="20" t="str">
        <f>CONCATENATE("F",Tabela1[[#This Row],[FONTE_COD]],Tabela1[[#This Row],[IPU_COD]],"G",Tabela1[[#This Row],[GRUPO_COD]],"T",Tabela1[[#This Row],[TIPO]])</f>
        <v>FGT999</v>
      </c>
      <c r="Y6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5" s="19"/>
      <c r="AA675" s="29" t="str">
        <f>IFERROR(VLOOKUP(CONCATENATE("B",Tabela1[[#This Row],[BLOCO]],Tabela1[[#This Row],[UO_COD]]),qdd!$AW$2:$AX$1000,2,FALSE),"")</f>
        <v/>
      </c>
      <c r="AB675" s="30" t="str">
        <f>IFERROR(Tabela1[[#This Row],[VALOR]]/100,"")</f>
        <v/>
      </c>
      <c r="AC675" s="7" t="str" cm="1">
        <f t="array" aca="1" ref="AC675" ca="1">IF(Tabela1[[#This Row],[VALOR]]&lt;0,"",IFERROR(SUBSTITUTE(Converter_numero(Tabela1[[#This Row],[VALOR INCISO]]),",",""),""))</f>
        <v/>
      </c>
      <c r="AD675" s="29" t="str">
        <f>IF(Tabela1[[#This Row],[TIPO]]=REGRAS!$W$2,REGRAS!$X$2,IF(Tabela1[[#This Row],[TIPO]]=REGRAS!$W$4,REGRAS!$X$4,""))</f>
        <v/>
      </c>
      <c r="AE675" s="29" t="e">
        <f>VLOOKUP(Tabela1[[#This Row],[FONTE_COD]],REGRAS!$O$2:$P$69,2,FALSE)</f>
        <v>#N/A</v>
      </c>
      <c r="AF6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6" spans="1:32" ht="18.75" customHeight="1">
      <c r="A676" s="2" t="str">
        <f>IFERROR(IF('PREENCHER AQUI'!A676="","",'PREENCHER AQUI'!A676),"")</f>
        <v/>
      </c>
      <c r="B676" s="1" t="str">
        <f>IFERROR(IF('PREENCHER AQUI'!B676="","",PROPER('PREENCHER AQUI'!B676)),"")</f>
        <v/>
      </c>
      <c r="C676" s="1" t="str">
        <f>IFERROR(IF('PREENCHER AQUI'!C676="","",'PREENCHER AQUI'!C676),"")</f>
        <v/>
      </c>
      <c r="D676" s="2" t="str">
        <f>IFERROR(IF('PREENCHER AQUI'!D676="","",'PREENCHER AQUI'!D676),"")</f>
        <v/>
      </c>
      <c r="E676" s="2" t="str">
        <f>IFERROR(VLOOKUP(CONCATENATE(C676,D676),qdd!$C$2:$F$1000,2,FALSE),"")</f>
        <v/>
      </c>
      <c r="F676" s="2" t="str">
        <f>IFERROR(VLOOKUP(CONCATENATE(C676,D676),qdd!$C$2:$F$1000,3,FALSE),"")</f>
        <v/>
      </c>
      <c r="G676" s="2" t="str">
        <f>IFERROR(VLOOKUP(CONCATENATE(C676,D676),qdd!$C$2:$F$1000,4,FALSE),"")</f>
        <v/>
      </c>
      <c r="H676" s="6" t="str">
        <f t="shared" si="22"/>
        <v/>
      </c>
      <c r="I6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6" s="2" t="str">
        <f>IFERROR(IF('PREENCHER AQUI'!E676="","",'PREENCHER AQUI'!E676),"")</f>
        <v/>
      </c>
      <c r="K676" s="2" t="str">
        <f>IFERROR(IF('PREENCHER AQUI'!F676="","",'PREENCHER AQUI'!F676),"")</f>
        <v/>
      </c>
      <c r="L676" s="2" t="str">
        <f>IF(Tabela1[[#This Row],[IPU_COD]]=9,"91",IF(Tabela1[[#This Row],[ACAO_COD]]="","",VLOOKUP(CONCATENATE("G",J676,"M",K676),qdd!$BC$2:$BD$46,2,FALSE)))</f>
        <v/>
      </c>
      <c r="M676" s="2" t="str">
        <f>TEXT(IFERROR(VLOOKUP(CONCATENATE(C676,D676),qdd!$C$2:$G$1000,5,FALSE),""),0)</f>
        <v/>
      </c>
      <c r="N676" s="2" t="str">
        <f>IFERROR(IF('PREENCHER AQUI'!I676="","",'PREENCHER AQUI'!I676),"")</f>
        <v/>
      </c>
      <c r="O676" s="2" t="str">
        <f>IFERROR(IF('PREENCHER AQUI'!J676="","",'PREENCHER AQUI'!J676),"")</f>
        <v/>
      </c>
      <c r="P676" s="7" t="str">
        <f t="shared" si="23"/>
        <v/>
      </c>
      <c r="Q676" s="8" t="str">
        <f>IFERROR(IF(Tabela4[[#This Row],[VALOR]]="","",IF(Tabela1[[#This Row],[ORIENTACAO]]="Anular",'PREENCHER AQUI'!K676*-1*100,'PREENCHER AQUI'!K676*100)),"")</f>
        <v/>
      </c>
      <c r="T676" s="7" t="str">
        <f>IFERROR(IF('PREENCHER AQUI'!L676="","999",LEFT('PREENCHER AQUI'!L676,1)),"")</f>
        <v>999</v>
      </c>
      <c r="V676" s="19"/>
      <c r="W676" s="1" t="str">
        <f>IFERROR(VLOOKUP(Tabela1[[#This Row],[UO_COD]],qdd!$AT$1:$AU$102,2,FALSE),"")</f>
        <v/>
      </c>
      <c r="X676" s="1" t="str">
        <f>CONCATENATE("F",Tabela1[[#This Row],[FONTE_COD]],Tabela1[[#This Row],[IPU_COD]],"G",Tabela1[[#This Row],[GRUPO_COD]],"T",Tabela1[[#This Row],[TIPO]])</f>
        <v>FGT999</v>
      </c>
      <c r="Y6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6" s="19"/>
      <c r="AA676" s="29" t="str">
        <f>IFERROR(VLOOKUP(CONCATENATE("B",Tabela1[[#This Row],[BLOCO]],Tabela1[[#This Row],[UO_COD]]),qdd!$AW$2:$AX$1000,2,FALSE),"")</f>
        <v/>
      </c>
      <c r="AB676" s="30" t="str">
        <f>IFERROR(Tabela1[[#This Row],[VALOR]]/100,"")</f>
        <v/>
      </c>
      <c r="AC676" s="7" t="str" cm="1">
        <f t="array" aca="1" ref="AC676" ca="1">IF(Tabela1[[#This Row],[VALOR]]&lt;0,"",IFERROR(SUBSTITUTE(Converter_numero(Tabela1[[#This Row],[VALOR INCISO]]),",",""),""))</f>
        <v/>
      </c>
      <c r="AD676" s="29" t="str">
        <f>IF(Tabela1[[#This Row],[TIPO]]=REGRAS!$W$2,REGRAS!$X$2,IF(Tabela1[[#This Row],[TIPO]]=REGRAS!$W$4,REGRAS!$X$4,""))</f>
        <v/>
      </c>
      <c r="AE676" s="29" t="e">
        <f>VLOOKUP(Tabela1[[#This Row],[FONTE_COD]],REGRAS!$O$2:$P$69,2,FALSE)</f>
        <v>#N/A</v>
      </c>
      <c r="AF6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7" spans="1:32" ht="18.75" customHeight="1">
      <c r="A677" s="2" t="str">
        <f>IFERROR(IF('PREENCHER AQUI'!A677="","",'PREENCHER AQUI'!A677),"")</f>
        <v/>
      </c>
      <c r="B677" s="1" t="str">
        <f>IFERROR(IF('PREENCHER AQUI'!B677="","",PROPER('PREENCHER AQUI'!B677)),"")</f>
        <v/>
      </c>
      <c r="C677" s="1" t="str">
        <f>IFERROR(IF('PREENCHER AQUI'!C677="","",'PREENCHER AQUI'!C677),"")</f>
        <v/>
      </c>
      <c r="D677" s="2" t="str">
        <f>IFERROR(IF('PREENCHER AQUI'!D677="","",'PREENCHER AQUI'!D677),"")</f>
        <v/>
      </c>
      <c r="E677" s="2" t="str">
        <f>IFERROR(VLOOKUP(CONCATENATE(C677,D677),qdd!$C$2:$F$1000,2,FALSE),"")</f>
        <v/>
      </c>
      <c r="F677" s="2" t="str">
        <f>IFERROR(VLOOKUP(CONCATENATE(C677,D677),qdd!$C$2:$F$1000,3,FALSE),"")</f>
        <v/>
      </c>
      <c r="G677" s="2" t="str">
        <f>IFERROR(VLOOKUP(CONCATENATE(C677,D677),qdd!$C$2:$F$1000,4,FALSE),"")</f>
        <v/>
      </c>
      <c r="H677" s="6" t="str">
        <f t="shared" si="22"/>
        <v/>
      </c>
      <c r="I6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7" s="2" t="str">
        <f>IFERROR(IF('PREENCHER AQUI'!E677="","",'PREENCHER AQUI'!E677),"")</f>
        <v/>
      </c>
      <c r="K677" s="2" t="str">
        <f>IFERROR(IF('PREENCHER AQUI'!F677="","",'PREENCHER AQUI'!F677),"")</f>
        <v/>
      </c>
      <c r="L677" s="2" t="str">
        <f>IF(Tabela1[[#This Row],[IPU_COD]]=9,"91",IF(Tabela1[[#This Row],[ACAO_COD]]="","",VLOOKUP(CONCATENATE("G",J677,"M",K677),qdd!$BC$2:$BD$46,2,FALSE)))</f>
        <v/>
      </c>
      <c r="M677" s="2" t="str">
        <f>TEXT(IFERROR(VLOOKUP(CONCATENATE(C677,D677),qdd!$C$2:$G$1000,5,FALSE),""),0)</f>
        <v/>
      </c>
      <c r="N677" s="2" t="str">
        <f>IFERROR(IF('PREENCHER AQUI'!I677="","",'PREENCHER AQUI'!I677),"")</f>
        <v/>
      </c>
      <c r="O677" s="2" t="str">
        <f>IFERROR(IF('PREENCHER AQUI'!J677="","",'PREENCHER AQUI'!J677),"")</f>
        <v/>
      </c>
      <c r="P677" s="7" t="str">
        <f t="shared" si="23"/>
        <v/>
      </c>
      <c r="Q677" s="8" t="str">
        <f>IFERROR(IF(Tabela4[[#This Row],[VALOR]]="","",IF(Tabela1[[#This Row],[ORIENTACAO]]="Anular",'PREENCHER AQUI'!K677*-1*100,'PREENCHER AQUI'!K677*100)),"")</f>
        <v/>
      </c>
      <c r="T677" s="7" t="str">
        <f>IFERROR(IF('PREENCHER AQUI'!L677="","999",LEFT('PREENCHER AQUI'!L677,1)),"")</f>
        <v>999</v>
      </c>
      <c r="W677" s="1" t="str">
        <f>IFERROR(VLOOKUP(Tabela1[[#This Row],[UO_COD]],qdd!$AT$1:$AU$102,2,FALSE),"")</f>
        <v/>
      </c>
      <c r="X677" s="1" t="str">
        <f>CONCATENATE("F",Tabela1[[#This Row],[FONTE_COD]],Tabela1[[#This Row],[IPU_COD]],"G",Tabela1[[#This Row],[GRUPO_COD]],"T",Tabela1[[#This Row],[TIPO]])</f>
        <v>FGT999</v>
      </c>
      <c r="Y6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7" s="19"/>
      <c r="AA677" s="29" t="str">
        <f>IFERROR(VLOOKUP(CONCATENATE("B",Tabela1[[#This Row],[BLOCO]],Tabela1[[#This Row],[UO_COD]]),qdd!$AW$2:$AX$1000,2,FALSE),"")</f>
        <v/>
      </c>
      <c r="AB677" s="30" t="str">
        <f>IFERROR(Tabela1[[#This Row],[VALOR]]/100,"")</f>
        <v/>
      </c>
      <c r="AC677" s="7" t="str" cm="1">
        <f t="array" aca="1" ref="AC677" ca="1">IF(Tabela1[[#This Row],[VALOR]]&lt;0,"",IFERROR(SUBSTITUTE(Converter_numero(Tabela1[[#This Row],[VALOR INCISO]]),",",""),""))</f>
        <v/>
      </c>
      <c r="AD677" s="7" t="str">
        <f>IF(Tabela1[[#This Row],[TIPO]]=REGRAS!$W$2,REGRAS!$X$2,IF(Tabela1[[#This Row],[TIPO]]=REGRAS!$W$4,REGRAS!$X$4,""))</f>
        <v/>
      </c>
      <c r="AE677" s="29" t="e">
        <f>VLOOKUP(Tabela1[[#This Row],[FONTE_COD]],REGRAS!$O$2:$P$69,2,FALSE)</f>
        <v>#N/A</v>
      </c>
      <c r="AF6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8" spans="1:32" ht="18.75" customHeight="1">
      <c r="A678" s="2" t="str">
        <f>IFERROR(IF('PREENCHER AQUI'!A678="","",'PREENCHER AQUI'!A678),"")</f>
        <v/>
      </c>
      <c r="B678" s="1" t="str">
        <f>IFERROR(IF('PREENCHER AQUI'!B678="","",PROPER('PREENCHER AQUI'!B678)),"")</f>
        <v/>
      </c>
      <c r="C678" s="1" t="str">
        <f>IFERROR(IF('PREENCHER AQUI'!C678="","",'PREENCHER AQUI'!C678),"")</f>
        <v/>
      </c>
      <c r="D678" s="2" t="str">
        <f>IFERROR(IF('PREENCHER AQUI'!D678="","",'PREENCHER AQUI'!D678),"")</f>
        <v/>
      </c>
      <c r="E678" s="2" t="str">
        <f>IFERROR(VLOOKUP(CONCATENATE(C678,D678),qdd!$C$2:$F$1000,2,FALSE),"")</f>
        <v/>
      </c>
      <c r="F678" s="2" t="str">
        <f>IFERROR(VLOOKUP(CONCATENATE(C678,D678),qdd!$C$2:$F$1000,3,FALSE),"")</f>
        <v/>
      </c>
      <c r="G678" s="2" t="str">
        <f>IFERROR(VLOOKUP(CONCATENATE(C678,D678),qdd!$C$2:$F$1000,4,FALSE),"")</f>
        <v/>
      </c>
      <c r="H678" s="6" t="str">
        <f t="shared" si="22"/>
        <v/>
      </c>
      <c r="I6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8" s="2" t="str">
        <f>IFERROR(IF('PREENCHER AQUI'!E678="","",'PREENCHER AQUI'!E678),"")</f>
        <v/>
      </c>
      <c r="K678" s="2" t="str">
        <f>IFERROR(IF('PREENCHER AQUI'!F678="","",'PREENCHER AQUI'!F678),"")</f>
        <v/>
      </c>
      <c r="L678" s="2" t="str">
        <f>IF(Tabela1[[#This Row],[IPU_COD]]=9,"91",IF(Tabela1[[#This Row],[ACAO_COD]]="","",VLOOKUP(CONCATENATE("G",J678,"M",K678),qdd!$BC$2:$BD$46,2,FALSE)))</f>
        <v/>
      </c>
      <c r="M678" s="2" t="str">
        <f>TEXT(IFERROR(VLOOKUP(CONCATENATE(C678,D678),qdd!$C$2:$G$1000,5,FALSE),""),0)</f>
        <v/>
      </c>
      <c r="N678" s="2" t="str">
        <f>IFERROR(IF('PREENCHER AQUI'!I678="","",'PREENCHER AQUI'!I678),"")</f>
        <v/>
      </c>
      <c r="O678" s="2" t="str">
        <f>IFERROR(IF('PREENCHER AQUI'!J678="","",'PREENCHER AQUI'!J678),"")</f>
        <v/>
      </c>
      <c r="P678" s="7" t="str">
        <f t="shared" si="23"/>
        <v/>
      </c>
      <c r="Q678" s="8" t="str">
        <f>IFERROR(IF(Tabela4[[#This Row],[VALOR]]="","",IF(Tabela1[[#This Row],[ORIENTACAO]]="Anular",'PREENCHER AQUI'!K678*-1*100,'PREENCHER AQUI'!K678*100)),"")</f>
        <v/>
      </c>
      <c r="T678" s="7" t="str">
        <f>IFERROR(IF('PREENCHER AQUI'!L678="","999",LEFT('PREENCHER AQUI'!L678,1)),"")</f>
        <v>999</v>
      </c>
      <c r="V678" s="19"/>
      <c r="W678" s="1" t="str">
        <f>IFERROR(VLOOKUP(Tabela1[[#This Row],[UO_COD]],qdd!$AT$1:$AU$102,2,FALSE),"")</f>
        <v/>
      </c>
      <c r="X678" s="1" t="str">
        <f>CONCATENATE("F",Tabela1[[#This Row],[FONTE_COD]],Tabela1[[#This Row],[IPU_COD]],"G",Tabela1[[#This Row],[GRUPO_COD]],"T",Tabela1[[#This Row],[TIPO]])</f>
        <v>FGT999</v>
      </c>
      <c r="Y6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8" s="19"/>
      <c r="AA678" s="29" t="str">
        <f>IFERROR(VLOOKUP(CONCATENATE("B",Tabela1[[#This Row],[BLOCO]],Tabela1[[#This Row],[UO_COD]]),qdd!$AW$2:$AX$1000,2,FALSE),"")</f>
        <v/>
      </c>
      <c r="AB678" s="30" t="str">
        <f>IFERROR(Tabela1[[#This Row],[VALOR]]/100,"")</f>
        <v/>
      </c>
      <c r="AC678" s="7" t="str" cm="1">
        <f t="array" aca="1" ref="AC678" ca="1">IF(Tabela1[[#This Row],[VALOR]]&lt;0,"",IFERROR(SUBSTITUTE(Converter_numero(Tabela1[[#This Row],[VALOR INCISO]]),",",""),""))</f>
        <v/>
      </c>
      <c r="AD678" s="29" t="str">
        <f>IF(Tabela1[[#This Row],[TIPO]]=REGRAS!$W$2,REGRAS!$X$2,IF(Tabela1[[#This Row],[TIPO]]=REGRAS!$W$4,REGRAS!$X$4,""))</f>
        <v/>
      </c>
      <c r="AE678" s="29" t="e">
        <f>VLOOKUP(Tabela1[[#This Row],[FONTE_COD]],REGRAS!$O$2:$P$69,2,FALSE)</f>
        <v>#N/A</v>
      </c>
      <c r="AF6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9" spans="1:32" ht="18.75" customHeight="1">
      <c r="A679" s="2" t="str">
        <f>IFERROR(IF('PREENCHER AQUI'!A679="","",'PREENCHER AQUI'!A679),"")</f>
        <v/>
      </c>
      <c r="B679" s="1" t="str">
        <f>IFERROR(IF('PREENCHER AQUI'!B679="","",PROPER('PREENCHER AQUI'!B679)),"")</f>
        <v/>
      </c>
      <c r="C679" s="1" t="str">
        <f>IFERROR(IF('PREENCHER AQUI'!C679="","",'PREENCHER AQUI'!C679),"")</f>
        <v/>
      </c>
      <c r="D679" s="2" t="str">
        <f>IFERROR(IF('PREENCHER AQUI'!D679="","",'PREENCHER AQUI'!D679),"")</f>
        <v/>
      </c>
      <c r="E679" s="2" t="str">
        <f>IFERROR(VLOOKUP(CONCATENATE(C679,D679),qdd!$C$2:$F$1000,2,FALSE),"")</f>
        <v/>
      </c>
      <c r="F679" s="2" t="str">
        <f>IFERROR(VLOOKUP(CONCATENATE(C679,D679),qdd!$C$2:$F$1000,3,FALSE),"")</f>
        <v/>
      </c>
      <c r="G679" s="2" t="str">
        <f>IFERROR(VLOOKUP(CONCATENATE(C679,D679),qdd!$C$2:$F$1000,4,FALSE),"")</f>
        <v/>
      </c>
      <c r="H679" s="6" t="str">
        <f t="shared" si="22"/>
        <v/>
      </c>
      <c r="I6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9" s="2" t="str">
        <f>IFERROR(IF('PREENCHER AQUI'!E679="","",'PREENCHER AQUI'!E679),"")</f>
        <v/>
      </c>
      <c r="K679" s="2" t="str">
        <f>IFERROR(IF('PREENCHER AQUI'!F679="","",'PREENCHER AQUI'!F679),"")</f>
        <v/>
      </c>
      <c r="L679" s="2" t="str">
        <f>IF(Tabela1[[#This Row],[IPU_COD]]=9,"91",IF(Tabela1[[#This Row],[ACAO_COD]]="","",VLOOKUP(CONCATENATE("G",J679,"M",K679),qdd!$BC$2:$BD$46,2,FALSE)))</f>
        <v/>
      </c>
      <c r="M679" s="2" t="str">
        <f>TEXT(IFERROR(VLOOKUP(CONCATENATE(C679,D679),qdd!$C$2:$G$1000,5,FALSE),""),0)</f>
        <v/>
      </c>
      <c r="N679" s="2" t="str">
        <f>IFERROR(IF('PREENCHER AQUI'!I679="","",'PREENCHER AQUI'!I679),"")</f>
        <v/>
      </c>
      <c r="O679" s="2" t="str">
        <f>IFERROR(IF('PREENCHER AQUI'!J679="","",'PREENCHER AQUI'!J679),"")</f>
        <v/>
      </c>
      <c r="P679" s="7" t="str">
        <f t="shared" si="23"/>
        <v/>
      </c>
      <c r="Q679" s="8" t="str">
        <f>IFERROR(IF(Tabela4[[#This Row],[VALOR]]="","",IF(Tabela1[[#This Row],[ORIENTACAO]]="Anular",'PREENCHER AQUI'!K679*-1*100,'PREENCHER AQUI'!K679*100)),"")</f>
        <v/>
      </c>
      <c r="T679" s="7" t="str">
        <f>IFERROR(IF('PREENCHER AQUI'!L679="","999",LEFT('PREENCHER AQUI'!L679,1)),"")</f>
        <v>999</v>
      </c>
      <c r="V679" s="19"/>
      <c r="W679" s="1" t="str">
        <f>IFERROR(VLOOKUP(Tabela1[[#This Row],[UO_COD]],qdd!$AT$1:$AU$102,2,FALSE),"")</f>
        <v/>
      </c>
      <c r="X679" s="1" t="str">
        <f>CONCATENATE("F",Tabela1[[#This Row],[FONTE_COD]],Tabela1[[#This Row],[IPU_COD]],"G",Tabela1[[#This Row],[GRUPO_COD]],"T",Tabela1[[#This Row],[TIPO]])</f>
        <v>FGT999</v>
      </c>
      <c r="Y6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9" s="19"/>
      <c r="AA679" s="29" t="str">
        <f>IFERROR(VLOOKUP(CONCATENATE("B",Tabela1[[#This Row],[BLOCO]],Tabela1[[#This Row],[UO_COD]]),qdd!$AW$2:$AX$1000,2,FALSE),"")</f>
        <v/>
      </c>
      <c r="AB679" s="30" t="str">
        <f>IFERROR(Tabela1[[#This Row],[VALOR]]/100,"")</f>
        <v/>
      </c>
      <c r="AC679" s="7" t="str" cm="1">
        <f t="array" aca="1" ref="AC679" ca="1">IF(Tabela1[[#This Row],[VALOR]]&lt;0,"",IFERROR(SUBSTITUTE(Converter_numero(Tabela1[[#This Row],[VALOR INCISO]]),",",""),""))</f>
        <v/>
      </c>
      <c r="AD679" s="29" t="str">
        <f>IF(Tabela1[[#This Row],[TIPO]]=REGRAS!$W$2,REGRAS!$X$2,IF(Tabela1[[#This Row],[TIPO]]=REGRAS!$W$4,REGRAS!$X$4,""))</f>
        <v/>
      </c>
      <c r="AE679" s="29" t="e">
        <f>VLOOKUP(Tabela1[[#This Row],[FONTE_COD]],REGRAS!$O$2:$P$69,2,FALSE)</f>
        <v>#N/A</v>
      </c>
      <c r="AF6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0" spans="1:32" ht="18.75" customHeight="1">
      <c r="A680" s="2" t="str">
        <f>IFERROR(IF('PREENCHER AQUI'!A680="","",'PREENCHER AQUI'!A680),"")</f>
        <v/>
      </c>
      <c r="B680" s="1" t="str">
        <f>IFERROR(IF('PREENCHER AQUI'!B680="","",PROPER('PREENCHER AQUI'!B680)),"")</f>
        <v/>
      </c>
      <c r="C680" s="1" t="str">
        <f>IFERROR(IF('PREENCHER AQUI'!C680="","",'PREENCHER AQUI'!C680),"")</f>
        <v/>
      </c>
      <c r="D680" s="2" t="str">
        <f>IFERROR(IF('PREENCHER AQUI'!D680="","",'PREENCHER AQUI'!D680),"")</f>
        <v/>
      </c>
      <c r="E680" s="2" t="str">
        <f>IFERROR(VLOOKUP(CONCATENATE(C680,D680),qdd!$C$2:$F$1000,2,FALSE),"")</f>
        <v/>
      </c>
      <c r="F680" s="2" t="str">
        <f>IFERROR(VLOOKUP(CONCATENATE(C680,D680),qdd!$C$2:$F$1000,3,FALSE),"")</f>
        <v/>
      </c>
      <c r="G680" s="2" t="str">
        <f>IFERROR(VLOOKUP(CONCATENATE(C680,D680),qdd!$C$2:$F$1000,4,FALSE),"")</f>
        <v/>
      </c>
      <c r="H680" s="6" t="str">
        <f t="shared" si="22"/>
        <v/>
      </c>
      <c r="I6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0" s="2" t="str">
        <f>IFERROR(IF('PREENCHER AQUI'!E680="","",'PREENCHER AQUI'!E680),"")</f>
        <v/>
      </c>
      <c r="K680" s="2" t="str">
        <f>IFERROR(IF('PREENCHER AQUI'!F680="","",'PREENCHER AQUI'!F680),"")</f>
        <v/>
      </c>
      <c r="L680" s="2" t="str">
        <f>IF(Tabela1[[#This Row],[IPU_COD]]=9,"91",IF(Tabela1[[#This Row],[ACAO_COD]]="","",VLOOKUP(CONCATENATE("G",J680,"M",K680),qdd!$BC$2:$BD$46,2,FALSE)))</f>
        <v/>
      </c>
      <c r="M680" s="2" t="str">
        <f>TEXT(IFERROR(VLOOKUP(CONCATENATE(C680,D680),qdd!$C$2:$G$1000,5,FALSE),""),0)</f>
        <v/>
      </c>
      <c r="N680" s="2" t="str">
        <f>IFERROR(IF('PREENCHER AQUI'!I680="","",'PREENCHER AQUI'!I680),"")</f>
        <v/>
      </c>
      <c r="O680" s="2" t="str">
        <f>IFERROR(IF('PREENCHER AQUI'!J680="","",'PREENCHER AQUI'!J680),"")</f>
        <v/>
      </c>
      <c r="P680" s="7" t="str">
        <f t="shared" si="23"/>
        <v/>
      </c>
      <c r="Q680" s="8" t="str">
        <f>IFERROR(IF(Tabela4[[#This Row],[VALOR]]="","",IF(Tabela1[[#This Row],[ORIENTACAO]]="Anular",'PREENCHER AQUI'!K680*-1*100,'PREENCHER AQUI'!K680*100)),"")</f>
        <v/>
      </c>
      <c r="T680" s="7" t="str">
        <f>IFERROR(IF('PREENCHER AQUI'!L680="","999",LEFT('PREENCHER AQUI'!L680,1)),"")</f>
        <v>999</v>
      </c>
      <c r="V680" s="19"/>
      <c r="W680" s="20" t="str">
        <f>IFERROR(VLOOKUP(Tabela1[[#This Row],[UO_COD]],qdd!$AT$1:$AU$102,2,FALSE),"")</f>
        <v/>
      </c>
      <c r="X680" s="20" t="str">
        <f>CONCATENATE("F",Tabela1[[#This Row],[FONTE_COD]],Tabela1[[#This Row],[IPU_COD]],"G",Tabela1[[#This Row],[GRUPO_COD]],"T",Tabela1[[#This Row],[TIPO]])</f>
        <v>FGT999</v>
      </c>
      <c r="Y6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0" s="19"/>
      <c r="AA680" s="29" t="str">
        <f>IFERROR(VLOOKUP(CONCATENATE("B",Tabela1[[#This Row],[BLOCO]],Tabela1[[#This Row],[UO_COD]]),qdd!$AW$2:$AX$1000,2,FALSE),"")</f>
        <v/>
      </c>
      <c r="AB680" s="30" t="str">
        <f>IFERROR(Tabela1[[#This Row],[VALOR]]/100,"")</f>
        <v/>
      </c>
      <c r="AC680" s="7" t="str" cm="1">
        <f t="array" aca="1" ref="AC680" ca="1">IF(Tabela1[[#This Row],[VALOR]]&lt;0,"",IFERROR(SUBSTITUTE(Converter_numero(Tabela1[[#This Row],[VALOR INCISO]]),",",""),""))</f>
        <v/>
      </c>
      <c r="AD680" s="29" t="str">
        <f>IF(Tabela1[[#This Row],[TIPO]]=REGRAS!$W$2,REGRAS!$X$2,IF(Tabela1[[#This Row],[TIPO]]=REGRAS!$W$4,REGRAS!$X$4,""))</f>
        <v/>
      </c>
      <c r="AE680" s="29" t="e">
        <f>VLOOKUP(Tabela1[[#This Row],[FONTE_COD]],REGRAS!$O$2:$P$69,2,FALSE)</f>
        <v>#N/A</v>
      </c>
      <c r="AF6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1" spans="1:32" ht="18.75" customHeight="1">
      <c r="A681" s="2" t="str">
        <f>IFERROR(IF('PREENCHER AQUI'!A681="","",'PREENCHER AQUI'!A681),"")</f>
        <v/>
      </c>
      <c r="B681" s="1" t="str">
        <f>IFERROR(IF('PREENCHER AQUI'!B681="","",PROPER('PREENCHER AQUI'!B681)),"")</f>
        <v/>
      </c>
      <c r="C681" s="1" t="str">
        <f>IFERROR(IF('PREENCHER AQUI'!C681="","",'PREENCHER AQUI'!C681),"")</f>
        <v/>
      </c>
      <c r="D681" s="2" t="str">
        <f>IFERROR(IF('PREENCHER AQUI'!D681="","",'PREENCHER AQUI'!D681),"")</f>
        <v/>
      </c>
      <c r="E681" s="2" t="str">
        <f>IFERROR(VLOOKUP(CONCATENATE(C681,D681),qdd!$C$2:$F$1000,2,FALSE),"")</f>
        <v/>
      </c>
      <c r="F681" s="2" t="str">
        <f>IFERROR(VLOOKUP(CONCATENATE(C681,D681),qdd!$C$2:$F$1000,3,FALSE),"")</f>
        <v/>
      </c>
      <c r="G681" s="2" t="str">
        <f>IFERROR(VLOOKUP(CONCATENATE(C681,D681),qdd!$C$2:$F$1000,4,FALSE),"")</f>
        <v/>
      </c>
      <c r="H681" s="6" t="str">
        <f t="shared" si="22"/>
        <v/>
      </c>
      <c r="I6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1" s="2" t="str">
        <f>IFERROR(IF('PREENCHER AQUI'!E681="","",'PREENCHER AQUI'!E681),"")</f>
        <v/>
      </c>
      <c r="K681" s="2" t="str">
        <f>IFERROR(IF('PREENCHER AQUI'!F681="","",'PREENCHER AQUI'!F681),"")</f>
        <v/>
      </c>
      <c r="L681" s="2" t="str">
        <f>IF(Tabela1[[#This Row],[IPU_COD]]=9,"91",IF(Tabela1[[#This Row],[ACAO_COD]]="","",VLOOKUP(CONCATENATE("G",J681,"M",K681),qdd!$BC$2:$BD$46,2,FALSE)))</f>
        <v/>
      </c>
      <c r="M681" s="2" t="str">
        <f>TEXT(IFERROR(VLOOKUP(CONCATENATE(C681,D681),qdd!$C$2:$G$1000,5,FALSE),""),0)</f>
        <v/>
      </c>
      <c r="N681" s="2" t="str">
        <f>IFERROR(IF('PREENCHER AQUI'!I681="","",'PREENCHER AQUI'!I681),"")</f>
        <v/>
      </c>
      <c r="O681" s="2" t="str">
        <f>IFERROR(IF('PREENCHER AQUI'!J681="","",'PREENCHER AQUI'!J681),"")</f>
        <v/>
      </c>
      <c r="P681" s="7" t="str">
        <f t="shared" si="23"/>
        <v/>
      </c>
      <c r="Q681" s="8" t="str">
        <f>IFERROR(IF(Tabela4[[#This Row],[VALOR]]="","",IF(Tabela1[[#This Row],[ORIENTACAO]]="Anular",'PREENCHER AQUI'!K681*-1*100,'PREENCHER AQUI'!K681*100)),"")</f>
        <v/>
      </c>
      <c r="T681" s="7" t="str">
        <f>IFERROR(IF('PREENCHER AQUI'!L681="","999",LEFT('PREENCHER AQUI'!L681,1)),"")</f>
        <v>999</v>
      </c>
      <c r="V681" s="19"/>
      <c r="W681" s="1" t="str">
        <f>IFERROR(VLOOKUP(Tabela1[[#This Row],[UO_COD]],qdd!$AT$1:$AU$102,2,FALSE),"")</f>
        <v/>
      </c>
      <c r="X681" s="1" t="str">
        <f>CONCATENATE("F",Tabela1[[#This Row],[FONTE_COD]],Tabela1[[#This Row],[IPU_COD]],"G",Tabela1[[#This Row],[GRUPO_COD]],"T",Tabela1[[#This Row],[TIPO]])</f>
        <v>FGT999</v>
      </c>
      <c r="Y6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1" s="19"/>
      <c r="AA681" s="29" t="str">
        <f>IFERROR(VLOOKUP(CONCATENATE("B",Tabela1[[#This Row],[BLOCO]],Tabela1[[#This Row],[UO_COD]]),qdd!$AW$2:$AX$1000,2,FALSE),"")</f>
        <v/>
      </c>
      <c r="AB681" s="30" t="str">
        <f>IFERROR(Tabela1[[#This Row],[VALOR]]/100,"")</f>
        <v/>
      </c>
      <c r="AC681" s="7" t="str" cm="1">
        <f t="array" aca="1" ref="AC681" ca="1">IF(Tabela1[[#This Row],[VALOR]]&lt;0,"",IFERROR(SUBSTITUTE(Converter_numero(Tabela1[[#This Row],[VALOR INCISO]]),",",""),""))</f>
        <v/>
      </c>
      <c r="AD681" s="29" t="str">
        <f>IF(Tabela1[[#This Row],[TIPO]]=REGRAS!$W$2,REGRAS!$X$2,IF(Tabela1[[#This Row],[TIPO]]=REGRAS!$W$4,REGRAS!$X$4,""))</f>
        <v/>
      </c>
      <c r="AE681" s="29" t="e">
        <f>VLOOKUP(Tabela1[[#This Row],[FONTE_COD]],REGRAS!$O$2:$P$69,2,FALSE)</f>
        <v>#N/A</v>
      </c>
      <c r="AF6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2" spans="1:32" ht="18.75" customHeight="1">
      <c r="A682" s="2" t="str">
        <f>IFERROR(IF('PREENCHER AQUI'!A682="","",'PREENCHER AQUI'!A682),"")</f>
        <v/>
      </c>
      <c r="B682" s="1" t="str">
        <f>IFERROR(IF('PREENCHER AQUI'!B682="","",PROPER('PREENCHER AQUI'!B682)),"")</f>
        <v/>
      </c>
      <c r="C682" s="1" t="str">
        <f>IFERROR(IF('PREENCHER AQUI'!C682="","",'PREENCHER AQUI'!C682),"")</f>
        <v/>
      </c>
      <c r="D682" s="2" t="str">
        <f>IFERROR(IF('PREENCHER AQUI'!D682="","",'PREENCHER AQUI'!D682),"")</f>
        <v/>
      </c>
      <c r="E682" s="2" t="str">
        <f>IFERROR(VLOOKUP(CONCATENATE(C682,D682),qdd!$C$2:$F$1000,2,FALSE),"")</f>
        <v/>
      </c>
      <c r="F682" s="2" t="str">
        <f>IFERROR(VLOOKUP(CONCATENATE(C682,D682),qdd!$C$2:$F$1000,3,FALSE),"")</f>
        <v/>
      </c>
      <c r="G682" s="2" t="str">
        <f>IFERROR(VLOOKUP(CONCATENATE(C682,D682),qdd!$C$2:$F$1000,4,FALSE),"")</f>
        <v/>
      </c>
      <c r="H682" s="6" t="str">
        <f t="shared" si="22"/>
        <v/>
      </c>
      <c r="I6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2" s="2" t="str">
        <f>IFERROR(IF('PREENCHER AQUI'!E682="","",'PREENCHER AQUI'!E682),"")</f>
        <v/>
      </c>
      <c r="K682" s="2" t="str">
        <f>IFERROR(IF('PREENCHER AQUI'!F682="","",'PREENCHER AQUI'!F682),"")</f>
        <v/>
      </c>
      <c r="L682" s="2" t="str">
        <f>IF(Tabela1[[#This Row],[IPU_COD]]=9,"91",IF(Tabela1[[#This Row],[ACAO_COD]]="","",VLOOKUP(CONCATENATE("G",J682,"M",K682),qdd!$BC$2:$BD$46,2,FALSE)))</f>
        <v/>
      </c>
      <c r="M682" s="2" t="str">
        <f>TEXT(IFERROR(VLOOKUP(CONCATENATE(C682,D682),qdd!$C$2:$G$1000,5,FALSE),""),0)</f>
        <v/>
      </c>
      <c r="N682" s="2" t="str">
        <f>IFERROR(IF('PREENCHER AQUI'!I682="","",'PREENCHER AQUI'!I682),"")</f>
        <v/>
      </c>
      <c r="O682" s="2" t="str">
        <f>IFERROR(IF('PREENCHER AQUI'!J682="","",'PREENCHER AQUI'!J682),"")</f>
        <v/>
      </c>
      <c r="P682" s="7" t="str">
        <f t="shared" si="23"/>
        <v/>
      </c>
      <c r="Q682" s="8" t="str">
        <f>IFERROR(IF(Tabela4[[#This Row],[VALOR]]="","",IF(Tabela1[[#This Row],[ORIENTACAO]]="Anular",'PREENCHER AQUI'!K682*-1*100,'PREENCHER AQUI'!K682*100)),"")</f>
        <v/>
      </c>
      <c r="T682" s="7" t="str">
        <f>IFERROR(IF('PREENCHER AQUI'!L682="","999",LEFT('PREENCHER AQUI'!L682,1)),"")</f>
        <v>999</v>
      </c>
      <c r="W682" s="1" t="str">
        <f>IFERROR(VLOOKUP(Tabela1[[#This Row],[UO_COD]],qdd!$AT$1:$AU$102,2,FALSE),"")</f>
        <v/>
      </c>
      <c r="X682" s="1" t="str">
        <f>CONCATENATE("F",Tabela1[[#This Row],[FONTE_COD]],Tabela1[[#This Row],[IPU_COD]],"G",Tabela1[[#This Row],[GRUPO_COD]],"T",Tabela1[[#This Row],[TIPO]])</f>
        <v>FGT999</v>
      </c>
      <c r="Y6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2" s="19"/>
      <c r="AA682" s="29" t="str">
        <f>IFERROR(VLOOKUP(CONCATENATE("B",Tabela1[[#This Row],[BLOCO]],Tabela1[[#This Row],[UO_COD]]),qdd!$AW$2:$AX$1000,2,FALSE),"")</f>
        <v/>
      </c>
      <c r="AB682" s="30" t="str">
        <f>IFERROR(Tabela1[[#This Row],[VALOR]]/100,"")</f>
        <v/>
      </c>
      <c r="AC682" s="7" t="str" cm="1">
        <f t="array" aca="1" ref="AC682" ca="1">IF(Tabela1[[#This Row],[VALOR]]&lt;0,"",IFERROR(SUBSTITUTE(Converter_numero(Tabela1[[#This Row],[VALOR INCISO]]),",",""),""))</f>
        <v/>
      </c>
      <c r="AD682" s="7" t="str">
        <f>IF(Tabela1[[#This Row],[TIPO]]=REGRAS!$W$2,REGRAS!$X$2,IF(Tabela1[[#This Row],[TIPO]]=REGRAS!$W$4,REGRAS!$X$4,""))</f>
        <v/>
      </c>
      <c r="AE682" s="29" t="e">
        <f>VLOOKUP(Tabela1[[#This Row],[FONTE_COD]],REGRAS!$O$2:$P$69,2,FALSE)</f>
        <v>#N/A</v>
      </c>
      <c r="AF6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3" spans="1:32" ht="18.75" customHeight="1">
      <c r="A683" s="2" t="str">
        <f>IFERROR(IF('PREENCHER AQUI'!A683="","",'PREENCHER AQUI'!A683),"")</f>
        <v/>
      </c>
      <c r="B683" s="1" t="str">
        <f>IFERROR(IF('PREENCHER AQUI'!B683="","",PROPER('PREENCHER AQUI'!B683)),"")</f>
        <v/>
      </c>
      <c r="C683" s="1" t="str">
        <f>IFERROR(IF('PREENCHER AQUI'!C683="","",'PREENCHER AQUI'!C683),"")</f>
        <v/>
      </c>
      <c r="D683" s="2" t="str">
        <f>IFERROR(IF('PREENCHER AQUI'!D683="","",'PREENCHER AQUI'!D683),"")</f>
        <v/>
      </c>
      <c r="E683" s="2" t="str">
        <f>IFERROR(VLOOKUP(CONCATENATE(C683,D683),qdd!$C$2:$F$1000,2,FALSE),"")</f>
        <v/>
      </c>
      <c r="F683" s="2" t="str">
        <f>IFERROR(VLOOKUP(CONCATENATE(C683,D683),qdd!$C$2:$F$1000,3,FALSE),"")</f>
        <v/>
      </c>
      <c r="G683" s="2" t="str">
        <f>IFERROR(VLOOKUP(CONCATENATE(C683,D683),qdd!$C$2:$F$1000,4,FALSE),"")</f>
        <v/>
      </c>
      <c r="H683" s="6" t="str">
        <f t="shared" si="22"/>
        <v/>
      </c>
      <c r="I6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3" s="2" t="str">
        <f>IFERROR(IF('PREENCHER AQUI'!E683="","",'PREENCHER AQUI'!E683),"")</f>
        <v/>
      </c>
      <c r="K683" s="2" t="str">
        <f>IFERROR(IF('PREENCHER AQUI'!F683="","",'PREENCHER AQUI'!F683),"")</f>
        <v/>
      </c>
      <c r="L683" s="2" t="str">
        <f>IF(Tabela1[[#This Row],[IPU_COD]]=9,"91",IF(Tabela1[[#This Row],[ACAO_COD]]="","",VLOOKUP(CONCATENATE("G",J683,"M",K683),qdd!$BC$2:$BD$46,2,FALSE)))</f>
        <v/>
      </c>
      <c r="M683" s="2" t="str">
        <f>TEXT(IFERROR(VLOOKUP(CONCATENATE(C683,D683),qdd!$C$2:$G$1000,5,FALSE),""),0)</f>
        <v/>
      </c>
      <c r="N683" s="2" t="str">
        <f>IFERROR(IF('PREENCHER AQUI'!I683="","",'PREENCHER AQUI'!I683),"")</f>
        <v/>
      </c>
      <c r="O683" s="2" t="str">
        <f>IFERROR(IF('PREENCHER AQUI'!J683="","",'PREENCHER AQUI'!J683),"")</f>
        <v/>
      </c>
      <c r="P683" s="7" t="str">
        <f t="shared" si="23"/>
        <v/>
      </c>
      <c r="Q683" s="8" t="str">
        <f>IFERROR(IF(Tabela4[[#This Row],[VALOR]]="","",IF(Tabela1[[#This Row],[ORIENTACAO]]="Anular",'PREENCHER AQUI'!K683*-1*100,'PREENCHER AQUI'!K683*100)),"")</f>
        <v/>
      </c>
      <c r="T683" s="7" t="str">
        <f>IFERROR(IF('PREENCHER AQUI'!L683="","999",LEFT('PREENCHER AQUI'!L683,1)),"")</f>
        <v>999</v>
      </c>
      <c r="V683" s="19"/>
      <c r="W683" s="1" t="str">
        <f>IFERROR(VLOOKUP(Tabela1[[#This Row],[UO_COD]],qdd!$AT$1:$AU$102,2,FALSE),"")</f>
        <v/>
      </c>
      <c r="X683" s="1" t="str">
        <f>CONCATENATE("F",Tabela1[[#This Row],[FONTE_COD]],Tabela1[[#This Row],[IPU_COD]],"G",Tabela1[[#This Row],[GRUPO_COD]],"T",Tabela1[[#This Row],[TIPO]])</f>
        <v>FGT999</v>
      </c>
      <c r="Y6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3" s="19"/>
      <c r="AA683" s="29" t="str">
        <f>IFERROR(VLOOKUP(CONCATENATE("B",Tabela1[[#This Row],[BLOCO]],Tabela1[[#This Row],[UO_COD]]),qdd!$AW$2:$AX$1000,2,FALSE),"")</f>
        <v/>
      </c>
      <c r="AB683" s="30" t="str">
        <f>IFERROR(Tabela1[[#This Row],[VALOR]]/100,"")</f>
        <v/>
      </c>
      <c r="AC683" s="7" t="str" cm="1">
        <f t="array" aca="1" ref="AC683" ca="1">IF(Tabela1[[#This Row],[VALOR]]&lt;0,"",IFERROR(SUBSTITUTE(Converter_numero(Tabela1[[#This Row],[VALOR INCISO]]),",",""),""))</f>
        <v/>
      </c>
      <c r="AD683" s="29" t="str">
        <f>IF(Tabela1[[#This Row],[TIPO]]=REGRAS!$W$2,REGRAS!$X$2,IF(Tabela1[[#This Row],[TIPO]]=REGRAS!$W$4,REGRAS!$X$4,""))</f>
        <v/>
      </c>
      <c r="AE683" s="29" t="e">
        <f>VLOOKUP(Tabela1[[#This Row],[FONTE_COD]],REGRAS!$O$2:$P$69,2,FALSE)</f>
        <v>#N/A</v>
      </c>
      <c r="AF6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4" spans="1:32" ht="18.75" customHeight="1">
      <c r="A684" s="2" t="str">
        <f>IFERROR(IF('PREENCHER AQUI'!A684="","",'PREENCHER AQUI'!A684),"")</f>
        <v/>
      </c>
      <c r="B684" s="1" t="str">
        <f>IFERROR(IF('PREENCHER AQUI'!B684="","",PROPER('PREENCHER AQUI'!B684)),"")</f>
        <v/>
      </c>
      <c r="C684" s="1" t="str">
        <f>IFERROR(IF('PREENCHER AQUI'!C684="","",'PREENCHER AQUI'!C684),"")</f>
        <v/>
      </c>
      <c r="D684" s="2" t="str">
        <f>IFERROR(IF('PREENCHER AQUI'!D684="","",'PREENCHER AQUI'!D684),"")</f>
        <v/>
      </c>
      <c r="E684" s="2" t="str">
        <f>IFERROR(VLOOKUP(CONCATENATE(C684,D684),qdd!$C$2:$F$1000,2,FALSE),"")</f>
        <v/>
      </c>
      <c r="F684" s="2" t="str">
        <f>IFERROR(VLOOKUP(CONCATENATE(C684,D684),qdd!$C$2:$F$1000,3,FALSE),"")</f>
        <v/>
      </c>
      <c r="G684" s="2" t="str">
        <f>IFERROR(VLOOKUP(CONCATENATE(C684,D684),qdd!$C$2:$F$1000,4,FALSE),"")</f>
        <v/>
      </c>
      <c r="H684" s="6" t="str">
        <f t="shared" si="22"/>
        <v/>
      </c>
      <c r="I6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4" s="2" t="str">
        <f>IFERROR(IF('PREENCHER AQUI'!E684="","",'PREENCHER AQUI'!E684),"")</f>
        <v/>
      </c>
      <c r="K684" s="2" t="str">
        <f>IFERROR(IF('PREENCHER AQUI'!F684="","",'PREENCHER AQUI'!F684),"")</f>
        <v/>
      </c>
      <c r="L684" s="2" t="str">
        <f>IF(Tabela1[[#This Row],[IPU_COD]]=9,"91",IF(Tabela1[[#This Row],[ACAO_COD]]="","",VLOOKUP(CONCATENATE("G",J684,"M",K684),qdd!$BC$2:$BD$46,2,FALSE)))</f>
        <v/>
      </c>
      <c r="M684" s="2" t="str">
        <f>TEXT(IFERROR(VLOOKUP(CONCATENATE(C684,D684),qdd!$C$2:$G$1000,5,FALSE),""),0)</f>
        <v/>
      </c>
      <c r="N684" s="2" t="str">
        <f>IFERROR(IF('PREENCHER AQUI'!I684="","",'PREENCHER AQUI'!I684),"")</f>
        <v/>
      </c>
      <c r="O684" s="2" t="str">
        <f>IFERROR(IF('PREENCHER AQUI'!J684="","",'PREENCHER AQUI'!J684),"")</f>
        <v/>
      </c>
      <c r="P684" s="7" t="str">
        <f t="shared" si="23"/>
        <v/>
      </c>
      <c r="Q684" s="8" t="str">
        <f>IFERROR(IF(Tabela4[[#This Row],[VALOR]]="","",IF(Tabela1[[#This Row],[ORIENTACAO]]="Anular",'PREENCHER AQUI'!K684*-1*100,'PREENCHER AQUI'!K684*100)),"")</f>
        <v/>
      </c>
      <c r="T684" s="7" t="str">
        <f>IFERROR(IF('PREENCHER AQUI'!L684="","999",LEFT('PREENCHER AQUI'!L684,1)),"")</f>
        <v>999</v>
      </c>
      <c r="V684" s="19"/>
      <c r="W684" s="1" t="str">
        <f>IFERROR(VLOOKUP(Tabela1[[#This Row],[UO_COD]],qdd!$AT$1:$AU$102,2,FALSE),"")</f>
        <v/>
      </c>
      <c r="X684" s="1" t="str">
        <f>CONCATENATE("F",Tabela1[[#This Row],[FONTE_COD]],Tabela1[[#This Row],[IPU_COD]],"G",Tabela1[[#This Row],[GRUPO_COD]],"T",Tabela1[[#This Row],[TIPO]])</f>
        <v>FGT999</v>
      </c>
      <c r="Y6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4" s="19"/>
      <c r="AA684" s="29" t="str">
        <f>IFERROR(VLOOKUP(CONCATENATE("B",Tabela1[[#This Row],[BLOCO]],Tabela1[[#This Row],[UO_COD]]),qdd!$AW$2:$AX$1000,2,FALSE),"")</f>
        <v/>
      </c>
      <c r="AB684" s="30" t="str">
        <f>IFERROR(Tabela1[[#This Row],[VALOR]]/100,"")</f>
        <v/>
      </c>
      <c r="AC684" s="7" t="str" cm="1">
        <f t="array" aca="1" ref="AC684" ca="1">IF(Tabela1[[#This Row],[VALOR]]&lt;0,"",IFERROR(SUBSTITUTE(Converter_numero(Tabela1[[#This Row],[VALOR INCISO]]),",",""),""))</f>
        <v/>
      </c>
      <c r="AD684" s="29" t="str">
        <f>IF(Tabela1[[#This Row],[TIPO]]=REGRAS!$W$2,REGRAS!$X$2,IF(Tabela1[[#This Row],[TIPO]]=REGRAS!$W$4,REGRAS!$X$4,""))</f>
        <v/>
      </c>
      <c r="AE684" s="29" t="e">
        <f>VLOOKUP(Tabela1[[#This Row],[FONTE_COD]],REGRAS!$O$2:$P$69,2,FALSE)</f>
        <v>#N/A</v>
      </c>
      <c r="AF6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5" spans="1:32" ht="18.75" customHeight="1">
      <c r="A685" s="2" t="str">
        <f>IFERROR(IF('PREENCHER AQUI'!A685="","",'PREENCHER AQUI'!A685),"")</f>
        <v/>
      </c>
      <c r="B685" s="1" t="str">
        <f>IFERROR(IF('PREENCHER AQUI'!B685="","",PROPER('PREENCHER AQUI'!B685)),"")</f>
        <v/>
      </c>
      <c r="C685" s="1" t="str">
        <f>IFERROR(IF('PREENCHER AQUI'!C685="","",'PREENCHER AQUI'!C685),"")</f>
        <v/>
      </c>
      <c r="D685" s="2" t="str">
        <f>IFERROR(IF('PREENCHER AQUI'!D685="","",'PREENCHER AQUI'!D685),"")</f>
        <v/>
      </c>
      <c r="E685" s="2" t="str">
        <f>IFERROR(VLOOKUP(CONCATENATE(C685,D685),qdd!$C$2:$F$1000,2,FALSE),"")</f>
        <v/>
      </c>
      <c r="F685" s="2" t="str">
        <f>IFERROR(VLOOKUP(CONCATENATE(C685,D685),qdd!$C$2:$F$1000,3,FALSE),"")</f>
        <v/>
      </c>
      <c r="G685" s="2" t="str">
        <f>IFERROR(VLOOKUP(CONCATENATE(C685,D685),qdd!$C$2:$F$1000,4,FALSE),"")</f>
        <v/>
      </c>
      <c r="H685" s="6" t="str">
        <f t="shared" si="22"/>
        <v/>
      </c>
      <c r="I6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5" s="2" t="str">
        <f>IFERROR(IF('PREENCHER AQUI'!E685="","",'PREENCHER AQUI'!E685),"")</f>
        <v/>
      </c>
      <c r="K685" s="2" t="str">
        <f>IFERROR(IF('PREENCHER AQUI'!F685="","",'PREENCHER AQUI'!F685),"")</f>
        <v/>
      </c>
      <c r="L685" s="2" t="str">
        <f>IF(Tabela1[[#This Row],[IPU_COD]]=9,"91",IF(Tabela1[[#This Row],[ACAO_COD]]="","",VLOOKUP(CONCATENATE("G",J685,"M",K685),qdd!$BC$2:$BD$46,2,FALSE)))</f>
        <v/>
      </c>
      <c r="M685" s="2" t="str">
        <f>TEXT(IFERROR(VLOOKUP(CONCATENATE(C685,D685),qdd!$C$2:$G$1000,5,FALSE),""),0)</f>
        <v/>
      </c>
      <c r="N685" s="2" t="str">
        <f>IFERROR(IF('PREENCHER AQUI'!I685="","",'PREENCHER AQUI'!I685),"")</f>
        <v/>
      </c>
      <c r="O685" s="2" t="str">
        <f>IFERROR(IF('PREENCHER AQUI'!J685="","",'PREENCHER AQUI'!J685),"")</f>
        <v/>
      </c>
      <c r="P685" s="7" t="str">
        <f t="shared" si="23"/>
        <v/>
      </c>
      <c r="Q685" s="8" t="str">
        <f>IFERROR(IF(Tabela4[[#This Row],[VALOR]]="","",IF(Tabela1[[#This Row],[ORIENTACAO]]="Anular",'PREENCHER AQUI'!K685*-1*100,'PREENCHER AQUI'!K685*100)),"")</f>
        <v/>
      </c>
      <c r="T685" s="7" t="str">
        <f>IFERROR(IF('PREENCHER AQUI'!L685="","999",LEFT('PREENCHER AQUI'!L685,1)),"")</f>
        <v>999</v>
      </c>
      <c r="V685" s="19"/>
      <c r="W685" s="20" t="str">
        <f>IFERROR(VLOOKUP(Tabela1[[#This Row],[UO_COD]],qdd!$AT$1:$AU$102,2,FALSE),"")</f>
        <v/>
      </c>
      <c r="X685" s="20" t="str">
        <f>CONCATENATE("F",Tabela1[[#This Row],[FONTE_COD]],Tabela1[[#This Row],[IPU_COD]],"G",Tabela1[[#This Row],[GRUPO_COD]],"T",Tabela1[[#This Row],[TIPO]])</f>
        <v>FGT999</v>
      </c>
      <c r="Y6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5" s="19"/>
      <c r="AA685" s="29" t="str">
        <f>IFERROR(VLOOKUP(CONCATENATE("B",Tabela1[[#This Row],[BLOCO]],Tabela1[[#This Row],[UO_COD]]),qdd!$AW$2:$AX$1000,2,FALSE),"")</f>
        <v/>
      </c>
      <c r="AB685" s="30" t="str">
        <f>IFERROR(Tabela1[[#This Row],[VALOR]]/100,"")</f>
        <v/>
      </c>
      <c r="AC685" s="7" t="str" cm="1">
        <f t="array" aca="1" ref="AC685" ca="1">IF(Tabela1[[#This Row],[VALOR]]&lt;0,"",IFERROR(SUBSTITUTE(Converter_numero(Tabela1[[#This Row],[VALOR INCISO]]),",",""),""))</f>
        <v/>
      </c>
      <c r="AD685" s="29" t="str">
        <f>IF(Tabela1[[#This Row],[TIPO]]=REGRAS!$W$2,REGRAS!$X$2,IF(Tabela1[[#This Row],[TIPO]]=REGRAS!$W$4,REGRAS!$X$4,""))</f>
        <v/>
      </c>
      <c r="AE685" s="29" t="e">
        <f>VLOOKUP(Tabela1[[#This Row],[FONTE_COD]],REGRAS!$O$2:$P$69,2,FALSE)</f>
        <v>#N/A</v>
      </c>
      <c r="AF6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6" spans="1:32" ht="18.75" customHeight="1">
      <c r="A686" s="2" t="str">
        <f>IFERROR(IF('PREENCHER AQUI'!A686="","",'PREENCHER AQUI'!A686),"")</f>
        <v/>
      </c>
      <c r="B686" s="1" t="str">
        <f>IFERROR(IF('PREENCHER AQUI'!B686="","",PROPER('PREENCHER AQUI'!B686)),"")</f>
        <v/>
      </c>
      <c r="C686" s="1" t="str">
        <f>IFERROR(IF('PREENCHER AQUI'!C686="","",'PREENCHER AQUI'!C686),"")</f>
        <v/>
      </c>
      <c r="D686" s="2" t="str">
        <f>IFERROR(IF('PREENCHER AQUI'!D686="","",'PREENCHER AQUI'!D686),"")</f>
        <v/>
      </c>
      <c r="E686" s="2" t="str">
        <f>IFERROR(VLOOKUP(CONCATENATE(C686,D686),qdd!$C$2:$F$1000,2,FALSE),"")</f>
        <v/>
      </c>
      <c r="F686" s="2" t="str">
        <f>IFERROR(VLOOKUP(CONCATENATE(C686,D686),qdd!$C$2:$F$1000,3,FALSE),"")</f>
        <v/>
      </c>
      <c r="G686" s="2" t="str">
        <f>IFERROR(VLOOKUP(CONCATENATE(C686,D686),qdd!$C$2:$F$1000,4,FALSE),"")</f>
        <v/>
      </c>
      <c r="H686" s="6" t="str">
        <f t="shared" si="22"/>
        <v/>
      </c>
      <c r="I6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6" s="2" t="str">
        <f>IFERROR(IF('PREENCHER AQUI'!E686="","",'PREENCHER AQUI'!E686),"")</f>
        <v/>
      </c>
      <c r="K686" s="2" t="str">
        <f>IFERROR(IF('PREENCHER AQUI'!F686="","",'PREENCHER AQUI'!F686),"")</f>
        <v/>
      </c>
      <c r="L686" s="2" t="str">
        <f>IF(Tabela1[[#This Row],[IPU_COD]]=9,"91",IF(Tabela1[[#This Row],[ACAO_COD]]="","",VLOOKUP(CONCATENATE("G",J686,"M",K686),qdd!$BC$2:$BD$46,2,FALSE)))</f>
        <v/>
      </c>
      <c r="M686" s="2" t="str">
        <f>TEXT(IFERROR(VLOOKUP(CONCATENATE(C686,D686),qdd!$C$2:$G$1000,5,FALSE),""),0)</f>
        <v/>
      </c>
      <c r="N686" s="2" t="str">
        <f>IFERROR(IF('PREENCHER AQUI'!I686="","",'PREENCHER AQUI'!I686),"")</f>
        <v/>
      </c>
      <c r="O686" s="2" t="str">
        <f>IFERROR(IF('PREENCHER AQUI'!J686="","",'PREENCHER AQUI'!J686),"")</f>
        <v/>
      </c>
      <c r="P686" s="7" t="str">
        <f t="shared" si="23"/>
        <v/>
      </c>
      <c r="Q686" s="8" t="str">
        <f>IFERROR(IF(Tabela4[[#This Row],[VALOR]]="","",IF(Tabela1[[#This Row],[ORIENTACAO]]="Anular",'PREENCHER AQUI'!K686*-1*100,'PREENCHER AQUI'!K686*100)),"")</f>
        <v/>
      </c>
      <c r="T686" s="7" t="str">
        <f>IFERROR(IF('PREENCHER AQUI'!L686="","999",LEFT('PREENCHER AQUI'!L686,1)),"")</f>
        <v>999</v>
      </c>
      <c r="V686" s="19"/>
      <c r="W686" s="1" t="str">
        <f>IFERROR(VLOOKUP(Tabela1[[#This Row],[UO_COD]],qdd!$AT$1:$AU$102,2,FALSE),"")</f>
        <v/>
      </c>
      <c r="X686" s="1" t="str">
        <f>CONCATENATE("F",Tabela1[[#This Row],[FONTE_COD]],Tabela1[[#This Row],[IPU_COD]],"G",Tabela1[[#This Row],[GRUPO_COD]],"T",Tabela1[[#This Row],[TIPO]])</f>
        <v>FGT999</v>
      </c>
      <c r="Y6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6" s="19"/>
      <c r="AA686" s="29" t="str">
        <f>IFERROR(VLOOKUP(CONCATENATE("B",Tabela1[[#This Row],[BLOCO]],Tabela1[[#This Row],[UO_COD]]),qdd!$AW$2:$AX$1000,2,FALSE),"")</f>
        <v/>
      </c>
      <c r="AB686" s="30" t="str">
        <f>IFERROR(Tabela1[[#This Row],[VALOR]]/100,"")</f>
        <v/>
      </c>
      <c r="AC686" s="7" t="str" cm="1">
        <f t="array" aca="1" ref="AC686" ca="1">IF(Tabela1[[#This Row],[VALOR]]&lt;0,"",IFERROR(SUBSTITUTE(Converter_numero(Tabela1[[#This Row],[VALOR INCISO]]),",",""),""))</f>
        <v/>
      </c>
      <c r="AD686" s="29" t="str">
        <f>IF(Tabela1[[#This Row],[TIPO]]=REGRAS!$W$2,REGRAS!$X$2,IF(Tabela1[[#This Row],[TIPO]]=REGRAS!$W$4,REGRAS!$X$4,""))</f>
        <v/>
      </c>
      <c r="AE686" s="29" t="e">
        <f>VLOOKUP(Tabela1[[#This Row],[FONTE_COD]],REGRAS!$O$2:$P$69,2,FALSE)</f>
        <v>#N/A</v>
      </c>
      <c r="AF6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7" spans="1:32" ht="18.75" customHeight="1">
      <c r="A687" s="2" t="str">
        <f>IFERROR(IF('PREENCHER AQUI'!A687="","",'PREENCHER AQUI'!A687),"")</f>
        <v/>
      </c>
      <c r="B687" s="1" t="str">
        <f>IFERROR(IF('PREENCHER AQUI'!B687="","",PROPER('PREENCHER AQUI'!B687)),"")</f>
        <v/>
      </c>
      <c r="C687" s="1" t="str">
        <f>IFERROR(IF('PREENCHER AQUI'!C687="","",'PREENCHER AQUI'!C687),"")</f>
        <v/>
      </c>
      <c r="D687" s="2" t="str">
        <f>IFERROR(IF('PREENCHER AQUI'!D687="","",'PREENCHER AQUI'!D687),"")</f>
        <v/>
      </c>
      <c r="E687" s="2" t="str">
        <f>IFERROR(VLOOKUP(CONCATENATE(C687,D687),qdd!$C$2:$F$1000,2,FALSE),"")</f>
        <v/>
      </c>
      <c r="F687" s="2" t="str">
        <f>IFERROR(VLOOKUP(CONCATENATE(C687,D687),qdd!$C$2:$F$1000,3,FALSE),"")</f>
        <v/>
      </c>
      <c r="G687" s="2" t="str">
        <f>IFERROR(VLOOKUP(CONCATENATE(C687,D687),qdd!$C$2:$F$1000,4,FALSE),"")</f>
        <v/>
      </c>
      <c r="H687" s="6" t="str">
        <f t="shared" si="22"/>
        <v/>
      </c>
      <c r="I6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7" s="2" t="str">
        <f>IFERROR(IF('PREENCHER AQUI'!E687="","",'PREENCHER AQUI'!E687),"")</f>
        <v/>
      </c>
      <c r="K687" s="2" t="str">
        <f>IFERROR(IF('PREENCHER AQUI'!F687="","",'PREENCHER AQUI'!F687),"")</f>
        <v/>
      </c>
      <c r="L687" s="2" t="str">
        <f>IF(Tabela1[[#This Row],[IPU_COD]]=9,"91",IF(Tabela1[[#This Row],[ACAO_COD]]="","",VLOOKUP(CONCATENATE("G",J687,"M",K687),qdd!$BC$2:$BD$46,2,FALSE)))</f>
        <v/>
      </c>
      <c r="M687" s="2" t="str">
        <f>TEXT(IFERROR(VLOOKUP(CONCATENATE(C687,D687),qdd!$C$2:$G$1000,5,FALSE),""),0)</f>
        <v/>
      </c>
      <c r="N687" s="2" t="str">
        <f>IFERROR(IF('PREENCHER AQUI'!I687="","",'PREENCHER AQUI'!I687),"")</f>
        <v/>
      </c>
      <c r="O687" s="2" t="str">
        <f>IFERROR(IF('PREENCHER AQUI'!J687="","",'PREENCHER AQUI'!J687),"")</f>
        <v/>
      </c>
      <c r="P687" s="7" t="str">
        <f t="shared" si="23"/>
        <v/>
      </c>
      <c r="Q687" s="8" t="str">
        <f>IFERROR(IF(Tabela4[[#This Row],[VALOR]]="","",IF(Tabela1[[#This Row],[ORIENTACAO]]="Anular",'PREENCHER AQUI'!K687*-1*100,'PREENCHER AQUI'!K687*100)),"")</f>
        <v/>
      </c>
      <c r="T687" s="7" t="str">
        <f>IFERROR(IF('PREENCHER AQUI'!L687="","999",LEFT('PREENCHER AQUI'!L687,1)),"")</f>
        <v>999</v>
      </c>
      <c r="W687" s="1" t="str">
        <f>IFERROR(VLOOKUP(Tabela1[[#This Row],[UO_COD]],qdd!$AT$1:$AU$102,2,FALSE),"")</f>
        <v/>
      </c>
      <c r="X687" s="1" t="str">
        <f>CONCATENATE("F",Tabela1[[#This Row],[FONTE_COD]],Tabela1[[#This Row],[IPU_COD]],"G",Tabela1[[#This Row],[GRUPO_COD]],"T",Tabela1[[#This Row],[TIPO]])</f>
        <v>FGT999</v>
      </c>
      <c r="Y6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7" s="19"/>
      <c r="AA687" s="29" t="str">
        <f>IFERROR(VLOOKUP(CONCATENATE("B",Tabela1[[#This Row],[BLOCO]],Tabela1[[#This Row],[UO_COD]]),qdd!$AW$2:$AX$1000,2,FALSE),"")</f>
        <v/>
      </c>
      <c r="AB687" s="30" t="str">
        <f>IFERROR(Tabela1[[#This Row],[VALOR]]/100,"")</f>
        <v/>
      </c>
      <c r="AC687" s="7" t="str" cm="1">
        <f t="array" aca="1" ref="AC687" ca="1">IF(Tabela1[[#This Row],[VALOR]]&lt;0,"",IFERROR(SUBSTITUTE(Converter_numero(Tabela1[[#This Row],[VALOR INCISO]]),",",""),""))</f>
        <v/>
      </c>
      <c r="AD687" s="7" t="str">
        <f>IF(Tabela1[[#This Row],[TIPO]]=REGRAS!$W$2,REGRAS!$X$2,IF(Tabela1[[#This Row],[TIPO]]=REGRAS!$W$4,REGRAS!$X$4,""))</f>
        <v/>
      </c>
      <c r="AE687" s="29" t="e">
        <f>VLOOKUP(Tabela1[[#This Row],[FONTE_COD]],REGRAS!$O$2:$P$69,2,FALSE)</f>
        <v>#N/A</v>
      </c>
      <c r="AF6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8" spans="1:32" ht="18.75" customHeight="1">
      <c r="A688" s="2" t="str">
        <f>IFERROR(IF('PREENCHER AQUI'!A688="","",'PREENCHER AQUI'!A688),"")</f>
        <v/>
      </c>
      <c r="B688" s="1" t="str">
        <f>IFERROR(IF('PREENCHER AQUI'!B688="","",PROPER('PREENCHER AQUI'!B688)),"")</f>
        <v/>
      </c>
      <c r="C688" s="1" t="str">
        <f>IFERROR(IF('PREENCHER AQUI'!C688="","",'PREENCHER AQUI'!C688),"")</f>
        <v/>
      </c>
      <c r="D688" s="2" t="str">
        <f>IFERROR(IF('PREENCHER AQUI'!D688="","",'PREENCHER AQUI'!D688),"")</f>
        <v/>
      </c>
      <c r="E688" s="2" t="str">
        <f>IFERROR(VLOOKUP(CONCATENATE(C688,D688),qdd!$C$2:$F$1000,2,FALSE),"")</f>
        <v/>
      </c>
      <c r="F688" s="2" t="str">
        <f>IFERROR(VLOOKUP(CONCATENATE(C688,D688),qdd!$C$2:$F$1000,3,FALSE),"")</f>
        <v/>
      </c>
      <c r="G688" s="2" t="str">
        <f>IFERROR(VLOOKUP(CONCATENATE(C688,D688),qdd!$C$2:$F$1000,4,FALSE),"")</f>
        <v/>
      </c>
      <c r="H688" s="6" t="str">
        <f t="shared" si="22"/>
        <v/>
      </c>
      <c r="I6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8" s="2" t="str">
        <f>IFERROR(IF('PREENCHER AQUI'!E688="","",'PREENCHER AQUI'!E688),"")</f>
        <v/>
      </c>
      <c r="K688" s="2" t="str">
        <f>IFERROR(IF('PREENCHER AQUI'!F688="","",'PREENCHER AQUI'!F688),"")</f>
        <v/>
      </c>
      <c r="L688" s="2" t="str">
        <f>IF(Tabela1[[#This Row],[IPU_COD]]=9,"91",IF(Tabela1[[#This Row],[ACAO_COD]]="","",VLOOKUP(CONCATENATE("G",J688,"M",K688),qdd!$BC$2:$BD$46,2,FALSE)))</f>
        <v/>
      </c>
      <c r="M688" s="2" t="str">
        <f>TEXT(IFERROR(VLOOKUP(CONCATENATE(C688,D688),qdd!$C$2:$G$1000,5,FALSE),""),0)</f>
        <v/>
      </c>
      <c r="N688" s="2" t="str">
        <f>IFERROR(IF('PREENCHER AQUI'!I688="","",'PREENCHER AQUI'!I688),"")</f>
        <v/>
      </c>
      <c r="O688" s="2" t="str">
        <f>IFERROR(IF('PREENCHER AQUI'!J688="","",'PREENCHER AQUI'!J688),"")</f>
        <v/>
      </c>
      <c r="P688" s="7" t="str">
        <f t="shared" si="23"/>
        <v/>
      </c>
      <c r="Q688" s="8" t="str">
        <f>IFERROR(IF(Tabela4[[#This Row],[VALOR]]="","",IF(Tabela1[[#This Row],[ORIENTACAO]]="Anular",'PREENCHER AQUI'!K688*-1*100,'PREENCHER AQUI'!K688*100)),"")</f>
        <v/>
      </c>
      <c r="T688" s="7" t="str">
        <f>IFERROR(IF('PREENCHER AQUI'!L688="","999",LEFT('PREENCHER AQUI'!L688,1)),"")</f>
        <v>999</v>
      </c>
      <c r="V688" s="19"/>
      <c r="W688" s="1" t="str">
        <f>IFERROR(VLOOKUP(Tabela1[[#This Row],[UO_COD]],qdd!$AT$1:$AU$102,2,FALSE),"")</f>
        <v/>
      </c>
      <c r="X688" s="1" t="str">
        <f>CONCATENATE("F",Tabela1[[#This Row],[FONTE_COD]],Tabela1[[#This Row],[IPU_COD]],"G",Tabela1[[#This Row],[GRUPO_COD]],"T",Tabela1[[#This Row],[TIPO]])</f>
        <v>FGT999</v>
      </c>
      <c r="Y6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8" s="19"/>
      <c r="AA688" s="29" t="str">
        <f>IFERROR(VLOOKUP(CONCATENATE("B",Tabela1[[#This Row],[BLOCO]],Tabela1[[#This Row],[UO_COD]]),qdd!$AW$2:$AX$1000,2,FALSE),"")</f>
        <v/>
      </c>
      <c r="AB688" s="30" t="str">
        <f>IFERROR(Tabela1[[#This Row],[VALOR]]/100,"")</f>
        <v/>
      </c>
      <c r="AC688" s="7" t="str" cm="1">
        <f t="array" aca="1" ref="AC688" ca="1">IF(Tabela1[[#This Row],[VALOR]]&lt;0,"",IFERROR(SUBSTITUTE(Converter_numero(Tabela1[[#This Row],[VALOR INCISO]]),",",""),""))</f>
        <v/>
      </c>
      <c r="AD688" s="29" t="str">
        <f>IF(Tabela1[[#This Row],[TIPO]]=REGRAS!$W$2,REGRAS!$X$2,IF(Tabela1[[#This Row],[TIPO]]=REGRAS!$W$4,REGRAS!$X$4,""))</f>
        <v/>
      </c>
      <c r="AE688" s="29" t="e">
        <f>VLOOKUP(Tabela1[[#This Row],[FONTE_COD]],REGRAS!$O$2:$P$69,2,FALSE)</f>
        <v>#N/A</v>
      </c>
      <c r="AF6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9" spans="1:32" ht="18.75" customHeight="1">
      <c r="A689" s="2" t="str">
        <f>IFERROR(IF('PREENCHER AQUI'!A689="","",'PREENCHER AQUI'!A689),"")</f>
        <v/>
      </c>
      <c r="B689" s="1" t="str">
        <f>IFERROR(IF('PREENCHER AQUI'!B689="","",PROPER('PREENCHER AQUI'!B689)),"")</f>
        <v/>
      </c>
      <c r="C689" s="1" t="str">
        <f>IFERROR(IF('PREENCHER AQUI'!C689="","",'PREENCHER AQUI'!C689),"")</f>
        <v/>
      </c>
      <c r="D689" s="2" t="str">
        <f>IFERROR(IF('PREENCHER AQUI'!D689="","",'PREENCHER AQUI'!D689),"")</f>
        <v/>
      </c>
      <c r="E689" s="2" t="str">
        <f>IFERROR(VLOOKUP(CONCATENATE(C689,D689),qdd!$C$2:$F$1000,2,FALSE),"")</f>
        <v/>
      </c>
      <c r="F689" s="2" t="str">
        <f>IFERROR(VLOOKUP(CONCATENATE(C689,D689),qdd!$C$2:$F$1000,3,FALSE),"")</f>
        <v/>
      </c>
      <c r="G689" s="2" t="str">
        <f>IFERROR(VLOOKUP(CONCATENATE(C689,D689),qdd!$C$2:$F$1000,4,FALSE),"")</f>
        <v/>
      </c>
      <c r="H689" s="6" t="str">
        <f t="shared" si="22"/>
        <v/>
      </c>
      <c r="I6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9" s="2" t="str">
        <f>IFERROR(IF('PREENCHER AQUI'!E689="","",'PREENCHER AQUI'!E689),"")</f>
        <v/>
      </c>
      <c r="K689" s="2" t="str">
        <f>IFERROR(IF('PREENCHER AQUI'!F689="","",'PREENCHER AQUI'!F689),"")</f>
        <v/>
      </c>
      <c r="L689" s="2" t="str">
        <f>IF(Tabela1[[#This Row],[IPU_COD]]=9,"91",IF(Tabela1[[#This Row],[ACAO_COD]]="","",VLOOKUP(CONCATENATE("G",J689,"M",K689),qdd!$BC$2:$BD$46,2,FALSE)))</f>
        <v/>
      </c>
      <c r="M689" s="2" t="str">
        <f>TEXT(IFERROR(VLOOKUP(CONCATENATE(C689,D689),qdd!$C$2:$G$1000,5,FALSE),""),0)</f>
        <v/>
      </c>
      <c r="N689" s="2" t="str">
        <f>IFERROR(IF('PREENCHER AQUI'!I689="","",'PREENCHER AQUI'!I689),"")</f>
        <v/>
      </c>
      <c r="O689" s="2" t="str">
        <f>IFERROR(IF('PREENCHER AQUI'!J689="","",'PREENCHER AQUI'!J689),"")</f>
        <v/>
      </c>
      <c r="P689" s="7" t="str">
        <f t="shared" si="23"/>
        <v/>
      </c>
      <c r="Q689" s="8" t="str">
        <f>IFERROR(IF(Tabela4[[#This Row],[VALOR]]="","",IF(Tabela1[[#This Row],[ORIENTACAO]]="Anular",'PREENCHER AQUI'!K689*-1*100,'PREENCHER AQUI'!K689*100)),"")</f>
        <v/>
      </c>
      <c r="T689" s="7" t="str">
        <f>IFERROR(IF('PREENCHER AQUI'!L689="","999",LEFT('PREENCHER AQUI'!L689,1)),"")</f>
        <v>999</v>
      </c>
      <c r="V689" s="19"/>
      <c r="W689" s="1" t="str">
        <f>IFERROR(VLOOKUP(Tabela1[[#This Row],[UO_COD]],qdd!$AT$1:$AU$102,2,FALSE),"")</f>
        <v/>
      </c>
      <c r="X689" s="1" t="str">
        <f>CONCATENATE("F",Tabela1[[#This Row],[FONTE_COD]],Tabela1[[#This Row],[IPU_COD]],"G",Tabela1[[#This Row],[GRUPO_COD]],"T",Tabela1[[#This Row],[TIPO]])</f>
        <v>FGT999</v>
      </c>
      <c r="Y6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9" s="19"/>
      <c r="AA689" s="29" t="str">
        <f>IFERROR(VLOOKUP(CONCATENATE("B",Tabela1[[#This Row],[BLOCO]],Tabela1[[#This Row],[UO_COD]]),qdd!$AW$2:$AX$1000,2,FALSE),"")</f>
        <v/>
      </c>
      <c r="AB689" s="30" t="str">
        <f>IFERROR(Tabela1[[#This Row],[VALOR]]/100,"")</f>
        <v/>
      </c>
      <c r="AC689" s="7" t="str" cm="1">
        <f t="array" aca="1" ref="AC689" ca="1">IF(Tabela1[[#This Row],[VALOR]]&lt;0,"",IFERROR(SUBSTITUTE(Converter_numero(Tabela1[[#This Row],[VALOR INCISO]]),",",""),""))</f>
        <v/>
      </c>
      <c r="AD689" s="29" t="str">
        <f>IF(Tabela1[[#This Row],[TIPO]]=REGRAS!$W$2,REGRAS!$X$2,IF(Tabela1[[#This Row],[TIPO]]=REGRAS!$W$4,REGRAS!$X$4,""))</f>
        <v/>
      </c>
      <c r="AE689" s="29" t="e">
        <f>VLOOKUP(Tabela1[[#This Row],[FONTE_COD]],REGRAS!$O$2:$P$69,2,FALSE)</f>
        <v>#N/A</v>
      </c>
      <c r="AF6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0" spans="1:32" ht="18.75" customHeight="1">
      <c r="A690" s="2" t="str">
        <f>IFERROR(IF('PREENCHER AQUI'!A690="","",'PREENCHER AQUI'!A690),"")</f>
        <v/>
      </c>
      <c r="B690" s="1" t="str">
        <f>IFERROR(IF('PREENCHER AQUI'!B690="","",PROPER('PREENCHER AQUI'!B690)),"")</f>
        <v/>
      </c>
      <c r="C690" s="1" t="str">
        <f>IFERROR(IF('PREENCHER AQUI'!C690="","",'PREENCHER AQUI'!C690),"")</f>
        <v/>
      </c>
      <c r="D690" s="2" t="str">
        <f>IFERROR(IF('PREENCHER AQUI'!D690="","",'PREENCHER AQUI'!D690),"")</f>
        <v/>
      </c>
      <c r="E690" s="2" t="str">
        <f>IFERROR(VLOOKUP(CONCATENATE(C690,D690),qdd!$C$2:$F$1000,2,FALSE),"")</f>
        <v/>
      </c>
      <c r="F690" s="2" t="str">
        <f>IFERROR(VLOOKUP(CONCATENATE(C690,D690),qdd!$C$2:$F$1000,3,FALSE),"")</f>
        <v/>
      </c>
      <c r="G690" s="2" t="str">
        <f>IFERROR(VLOOKUP(CONCATENATE(C690,D690),qdd!$C$2:$F$1000,4,FALSE),"")</f>
        <v/>
      </c>
      <c r="H690" s="6" t="str">
        <f t="shared" si="22"/>
        <v/>
      </c>
      <c r="I6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0" s="2" t="str">
        <f>IFERROR(IF('PREENCHER AQUI'!E690="","",'PREENCHER AQUI'!E690),"")</f>
        <v/>
      </c>
      <c r="K690" s="2" t="str">
        <f>IFERROR(IF('PREENCHER AQUI'!F690="","",'PREENCHER AQUI'!F690),"")</f>
        <v/>
      </c>
      <c r="L690" s="2" t="str">
        <f>IF(Tabela1[[#This Row],[IPU_COD]]=9,"91",IF(Tabela1[[#This Row],[ACAO_COD]]="","",VLOOKUP(CONCATENATE("G",J690,"M",K690),qdd!$BC$2:$BD$46,2,FALSE)))</f>
        <v/>
      </c>
      <c r="M690" s="2" t="str">
        <f>TEXT(IFERROR(VLOOKUP(CONCATENATE(C690,D690),qdd!$C$2:$G$1000,5,FALSE),""),0)</f>
        <v/>
      </c>
      <c r="N690" s="2" t="str">
        <f>IFERROR(IF('PREENCHER AQUI'!I690="","",'PREENCHER AQUI'!I690),"")</f>
        <v/>
      </c>
      <c r="O690" s="2" t="str">
        <f>IFERROR(IF('PREENCHER AQUI'!J690="","",'PREENCHER AQUI'!J690),"")</f>
        <v/>
      </c>
      <c r="P690" s="7" t="str">
        <f t="shared" si="23"/>
        <v/>
      </c>
      <c r="Q690" s="8" t="str">
        <f>IFERROR(IF(Tabela4[[#This Row],[VALOR]]="","",IF(Tabela1[[#This Row],[ORIENTACAO]]="Anular",'PREENCHER AQUI'!K690*-1*100,'PREENCHER AQUI'!K690*100)),"")</f>
        <v/>
      </c>
      <c r="T690" s="7" t="str">
        <f>IFERROR(IF('PREENCHER AQUI'!L690="","999",LEFT('PREENCHER AQUI'!L690,1)),"")</f>
        <v>999</v>
      </c>
      <c r="V690" s="19"/>
      <c r="W690" s="20" t="str">
        <f>IFERROR(VLOOKUP(Tabela1[[#This Row],[UO_COD]],qdd!$AT$1:$AU$102,2,FALSE),"")</f>
        <v/>
      </c>
      <c r="X690" s="20" t="str">
        <f>CONCATENATE("F",Tabela1[[#This Row],[FONTE_COD]],Tabela1[[#This Row],[IPU_COD]],"G",Tabela1[[#This Row],[GRUPO_COD]],"T",Tabela1[[#This Row],[TIPO]])</f>
        <v>FGT999</v>
      </c>
      <c r="Y6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0" s="19"/>
      <c r="AA690" s="29" t="str">
        <f>IFERROR(VLOOKUP(CONCATENATE("B",Tabela1[[#This Row],[BLOCO]],Tabela1[[#This Row],[UO_COD]]),qdd!$AW$2:$AX$1000,2,FALSE),"")</f>
        <v/>
      </c>
      <c r="AB690" s="30" t="str">
        <f>IFERROR(Tabela1[[#This Row],[VALOR]]/100,"")</f>
        <v/>
      </c>
      <c r="AC690" s="7" t="str" cm="1">
        <f t="array" aca="1" ref="AC690" ca="1">IF(Tabela1[[#This Row],[VALOR]]&lt;0,"",IFERROR(SUBSTITUTE(Converter_numero(Tabela1[[#This Row],[VALOR INCISO]]),",",""),""))</f>
        <v/>
      </c>
      <c r="AD690" s="29" t="str">
        <f>IF(Tabela1[[#This Row],[TIPO]]=REGRAS!$W$2,REGRAS!$X$2,IF(Tabela1[[#This Row],[TIPO]]=REGRAS!$W$4,REGRAS!$X$4,""))</f>
        <v/>
      </c>
      <c r="AE690" s="29" t="e">
        <f>VLOOKUP(Tabela1[[#This Row],[FONTE_COD]],REGRAS!$O$2:$P$69,2,FALSE)</f>
        <v>#N/A</v>
      </c>
      <c r="AF6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1" spans="1:32" ht="18.75" customHeight="1">
      <c r="A691" s="2" t="str">
        <f>IFERROR(IF('PREENCHER AQUI'!A691="","",'PREENCHER AQUI'!A691),"")</f>
        <v/>
      </c>
      <c r="B691" s="1" t="str">
        <f>IFERROR(IF('PREENCHER AQUI'!B691="","",PROPER('PREENCHER AQUI'!B691)),"")</f>
        <v/>
      </c>
      <c r="C691" s="1" t="str">
        <f>IFERROR(IF('PREENCHER AQUI'!C691="","",'PREENCHER AQUI'!C691),"")</f>
        <v/>
      </c>
      <c r="D691" s="2" t="str">
        <f>IFERROR(IF('PREENCHER AQUI'!D691="","",'PREENCHER AQUI'!D691),"")</f>
        <v/>
      </c>
      <c r="E691" s="2" t="str">
        <f>IFERROR(VLOOKUP(CONCATENATE(C691,D691),qdd!$C$2:$F$1000,2,FALSE),"")</f>
        <v/>
      </c>
      <c r="F691" s="2" t="str">
        <f>IFERROR(VLOOKUP(CONCATENATE(C691,D691),qdd!$C$2:$F$1000,3,FALSE),"")</f>
        <v/>
      </c>
      <c r="G691" s="2" t="str">
        <f>IFERROR(VLOOKUP(CONCATENATE(C691,D691),qdd!$C$2:$F$1000,4,FALSE),"")</f>
        <v/>
      </c>
      <c r="H691" s="6" t="str">
        <f t="shared" si="22"/>
        <v/>
      </c>
      <c r="I6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1" s="2" t="str">
        <f>IFERROR(IF('PREENCHER AQUI'!E691="","",'PREENCHER AQUI'!E691),"")</f>
        <v/>
      </c>
      <c r="K691" s="2" t="str">
        <f>IFERROR(IF('PREENCHER AQUI'!F691="","",'PREENCHER AQUI'!F691),"")</f>
        <v/>
      </c>
      <c r="L691" s="2" t="str">
        <f>IF(Tabela1[[#This Row],[IPU_COD]]=9,"91",IF(Tabela1[[#This Row],[ACAO_COD]]="","",VLOOKUP(CONCATENATE("G",J691,"M",K691),qdd!$BC$2:$BD$46,2,FALSE)))</f>
        <v/>
      </c>
      <c r="M691" s="2" t="str">
        <f>TEXT(IFERROR(VLOOKUP(CONCATENATE(C691,D691),qdd!$C$2:$G$1000,5,FALSE),""),0)</f>
        <v/>
      </c>
      <c r="N691" s="2" t="str">
        <f>IFERROR(IF('PREENCHER AQUI'!I691="","",'PREENCHER AQUI'!I691),"")</f>
        <v/>
      </c>
      <c r="O691" s="2" t="str">
        <f>IFERROR(IF('PREENCHER AQUI'!J691="","",'PREENCHER AQUI'!J691),"")</f>
        <v/>
      </c>
      <c r="P691" s="7" t="str">
        <f t="shared" si="23"/>
        <v/>
      </c>
      <c r="Q691" s="8" t="str">
        <f>IFERROR(IF(Tabela4[[#This Row],[VALOR]]="","",IF(Tabela1[[#This Row],[ORIENTACAO]]="Anular",'PREENCHER AQUI'!K691*-1*100,'PREENCHER AQUI'!K691*100)),"")</f>
        <v/>
      </c>
      <c r="T691" s="7" t="str">
        <f>IFERROR(IF('PREENCHER AQUI'!L691="","999",LEFT('PREENCHER AQUI'!L691,1)),"")</f>
        <v>999</v>
      </c>
      <c r="V691" s="19"/>
      <c r="W691" s="1" t="str">
        <f>IFERROR(VLOOKUP(Tabela1[[#This Row],[UO_COD]],qdd!$AT$1:$AU$102,2,FALSE),"")</f>
        <v/>
      </c>
      <c r="X691" s="1" t="str">
        <f>CONCATENATE("F",Tabela1[[#This Row],[FONTE_COD]],Tabela1[[#This Row],[IPU_COD]],"G",Tabela1[[#This Row],[GRUPO_COD]],"T",Tabela1[[#This Row],[TIPO]])</f>
        <v>FGT999</v>
      </c>
      <c r="Y6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1" s="19"/>
      <c r="AA691" s="29" t="str">
        <f>IFERROR(VLOOKUP(CONCATENATE("B",Tabela1[[#This Row],[BLOCO]],Tabela1[[#This Row],[UO_COD]]),qdd!$AW$2:$AX$1000,2,FALSE),"")</f>
        <v/>
      </c>
      <c r="AB691" s="30" t="str">
        <f>IFERROR(Tabela1[[#This Row],[VALOR]]/100,"")</f>
        <v/>
      </c>
      <c r="AC691" s="7" t="str" cm="1">
        <f t="array" aca="1" ref="AC691" ca="1">IF(Tabela1[[#This Row],[VALOR]]&lt;0,"",IFERROR(SUBSTITUTE(Converter_numero(Tabela1[[#This Row],[VALOR INCISO]]),",",""),""))</f>
        <v/>
      </c>
      <c r="AD691" s="29" t="str">
        <f>IF(Tabela1[[#This Row],[TIPO]]=REGRAS!$W$2,REGRAS!$X$2,IF(Tabela1[[#This Row],[TIPO]]=REGRAS!$W$4,REGRAS!$X$4,""))</f>
        <v/>
      </c>
      <c r="AE691" s="29" t="e">
        <f>VLOOKUP(Tabela1[[#This Row],[FONTE_COD]],REGRAS!$O$2:$P$69,2,FALSE)</f>
        <v>#N/A</v>
      </c>
      <c r="AF6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2" spans="1:32" ht="18.75" customHeight="1">
      <c r="A692" s="2" t="str">
        <f>IFERROR(IF('PREENCHER AQUI'!A692="","",'PREENCHER AQUI'!A692),"")</f>
        <v/>
      </c>
      <c r="B692" s="1" t="str">
        <f>IFERROR(IF('PREENCHER AQUI'!B692="","",PROPER('PREENCHER AQUI'!B692)),"")</f>
        <v/>
      </c>
      <c r="C692" s="1" t="str">
        <f>IFERROR(IF('PREENCHER AQUI'!C692="","",'PREENCHER AQUI'!C692),"")</f>
        <v/>
      </c>
      <c r="D692" s="2" t="str">
        <f>IFERROR(IF('PREENCHER AQUI'!D692="","",'PREENCHER AQUI'!D692),"")</f>
        <v/>
      </c>
      <c r="E692" s="2" t="str">
        <f>IFERROR(VLOOKUP(CONCATENATE(C692,D692),qdd!$C$2:$F$1000,2,FALSE),"")</f>
        <v/>
      </c>
      <c r="F692" s="2" t="str">
        <f>IFERROR(VLOOKUP(CONCATENATE(C692,D692),qdd!$C$2:$F$1000,3,FALSE),"")</f>
        <v/>
      </c>
      <c r="G692" s="2" t="str">
        <f>IFERROR(VLOOKUP(CONCATENATE(C692,D692),qdd!$C$2:$F$1000,4,FALSE),"")</f>
        <v/>
      </c>
      <c r="H692" s="6" t="str">
        <f t="shared" si="22"/>
        <v/>
      </c>
      <c r="I6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2" s="2" t="str">
        <f>IFERROR(IF('PREENCHER AQUI'!E692="","",'PREENCHER AQUI'!E692),"")</f>
        <v/>
      </c>
      <c r="K692" s="2" t="str">
        <f>IFERROR(IF('PREENCHER AQUI'!F692="","",'PREENCHER AQUI'!F692),"")</f>
        <v/>
      </c>
      <c r="L692" s="2" t="str">
        <f>IF(Tabela1[[#This Row],[IPU_COD]]=9,"91",IF(Tabela1[[#This Row],[ACAO_COD]]="","",VLOOKUP(CONCATENATE("G",J692,"M",K692),qdd!$BC$2:$BD$46,2,FALSE)))</f>
        <v/>
      </c>
      <c r="M692" s="2" t="str">
        <f>TEXT(IFERROR(VLOOKUP(CONCATENATE(C692,D692),qdd!$C$2:$G$1000,5,FALSE),""),0)</f>
        <v/>
      </c>
      <c r="N692" s="2" t="str">
        <f>IFERROR(IF('PREENCHER AQUI'!I692="","",'PREENCHER AQUI'!I692),"")</f>
        <v/>
      </c>
      <c r="O692" s="2" t="str">
        <f>IFERROR(IF('PREENCHER AQUI'!J692="","",'PREENCHER AQUI'!J692),"")</f>
        <v/>
      </c>
      <c r="P692" s="7" t="str">
        <f t="shared" si="23"/>
        <v/>
      </c>
      <c r="Q692" s="8" t="str">
        <f>IFERROR(IF(Tabela4[[#This Row],[VALOR]]="","",IF(Tabela1[[#This Row],[ORIENTACAO]]="Anular",'PREENCHER AQUI'!K692*-1*100,'PREENCHER AQUI'!K692*100)),"")</f>
        <v/>
      </c>
      <c r="T692" s="7" t="str">
        <f>IFERROR(IF('PREENCHER AQUI'!L692="","999",LEFT('PREENCHER AQUI'!L692,1)),"")</f>
        <v>999</v>
      </c>
      <c r="W692" s="1" t="str">
        <f>IFERROR(VLOOKUP(Tabela1[[#This Row],[UO_COD]],qdd!$AT$1:$AU$102,2,FALSE),"")</f>
        <v/>
      </c>
      <c r="X692" s="1" t="str">
        <f>CONCATENATE("F",Tabela1[[#This Row],[FONTE_COD]],Tabela1[[#This Row],[IPU_COD]],"G",Tabela1[[#This Row],[GRUPO_COD]],"T",Tabela1[[#This Row],[TIPO]])</f>
        <v>FGT999</v>
      </c>
      <c r="Y6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2" s="19"/>
      <c r="AA692" s="29" t="str">
        <f>IFERROR(VLOOKUP(CONCATENATE("B",Tabela1[[#This Row],[BLOCO]],Tabela1[[#This Row],[UO_COD]]),qdd!$AW$2:$AX$1000,2,FALSE),"")</f>
        <v/>
      </c>
      <c r="AB692" s="30" t="str">
        <f>IFERROR(Tabela1[[#This Row],[VALOR]]/100,"")</f>
        <v/>
      </c>
      <c r="AC692" s="7" t="str" cm="1">
        <f t="array" aca="1" ref="AC692" ca="1">IF(Tabela1[[#This Row],[VALOR]]&lt;0,"",IFERROR(SUBSTITUTE(Converter_numero(Tabela1[[#This Row],[VALOR INCISO]]),",",""),""))</f>
        <v/>
      </c>
      <c r="AD692" s="7" t="str">
        <f>IF(Tabela1[[#This Row],[TIPO]]=REGRAS!$W$2,REGRAS!$X$2,IF(Tabela1[[#This Row],[TIPO]]=REGRAS!$W$4,REGRAS!$X$4,""))</f>
        <v/>
      </c>
      <c r="AE692" s="29" t="e">
        <f>VLOOKUP(Tabela1[[#This Row],[FONTE_COD]],REGRAS!$O$2:$P$69,2,FALSE)</f>
        <v>#N/A</v>
      </c>
      <c r="AF6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3" spans="1:32" ht="18.75" customHeight="1">
      <c r="A693" s="2" t="str">
        <f>IFERROR(IF('PREENCHER AQUI'!A693="","",'PREENCHER AQUI'!A693),"")</f>
        <v/>
      </c>
      <c r="B693" s="1" t="str">
        <f>IFERROR(IF('PREENCHER AQUI'!B693="","",PROPER('PREENCHER AQUI'!B693)),"")</f>
        <v/>
      </c>
      <c r="C693" s="1" t="str">
        <f>IFERROR(IF('PREENCHER AQUI'!C693="","",'PREENCHER AQUI'!C693),"")</f>
        <v/>
      </c>
      <c r="D693" s="2" t="str">
        <f>IFERROR(IF('PREENCHER AQUI'!D693="","",'PREENCHER AQUI'!D693),"")</f>
        <v/>
      </c>
      <c r="E693" s="2" t="str">
        <f>IFERROR(VLOOKUP(CONCATENATE(C693,D693),qdd!$C$2:$F$1000,2,FALSE),"")</f>
        <v/>
      </c>
      <c r="F693" s="2" t="str">
        <f>IFERROR(VLOOKUP(CONCATENATE(C693,D693),qdd!$C$2:$F$1000,3,FALSE),"")</f>
        <v/>
      </c>
      <c r="G693" s="2" t="str">
        <f>IFERROR(VLOOKUP(CONCATENATE(C693,D693),qdd!$C$2:$F$1000,4,FALSE),"")</f>
        <v/>
      </c>
      <c r="H693" s="6" t="str">
        <f t="shared" si="22"/>
        <v/>
      </c>
      <c r="I6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3" s="2" t="str">
        <f>IFERROR(IF('PREENCHER AQUI'!E693="","",'PREENCHER AQUI'!E693),"")</f>
        <v/>
      </c>
      <c r="K693" s="2" t="str">
        <f>IFERROR(IF('PREENCHER AQUI'!F693="","",'PREENCHER AQUI'!F693),"")</f>
        <v/>
      </c>
      <c r="L693" s="2" t="str">
        <f>IF(Tabela1[[#This Row],[IPU_COD]]=9,"91",IF(Tabela1[[#This Row],[ACAO_COD]]="","",VLOOKUP(CONCATENATE("G",J693,"M",K693),qdd!$BC$2:$BD$46,2,FALSE)))</f>
        <v/>
      </c>
      <c r="M693" s="2" t="str">
        <f>TEXT(IFERROR(VLOOKUP(CONCATENATE(C693,D693),qdd!$C$2:$G$1000,5,FALSE),""),0)</f>
        <v/>
      </c>
      <c r="N693" s="2" t="str">
        <f>IFERROR(IF('PREENCHER AQUI'!I693="","",'PREENCHER AQUI'!I693),"")</f>
        <v/>
      </c>
      <c r="O693" s="2" t="str">
        <f>IFERROR(IF('PREENCHER AQUI'!J693="","",'PREENCHER AQUI'!J693),"")</f>
        <v/>
      </c>
      <c r="P693" s="7" t="str">
        <f t="shared" si="23"/>
        <v/>
      </c>
      <c r="Q693" s="8" t="str">
        <f>IFERROR(IF(Tabela4[[#This Row],[VALOR]]="","",IF(Tabela1[[#This Row],[ORIENTACAO]]="Anular",'PREENCHER AQUI'!K693*-1*100,'PREENCHER AQUI'!K693*100)),"")</f>
        <v/>
      </c>
      <c r="T693" s="7" t="str">
        <f>IFERROR(IF('PREENCHER AQUI'!L693="","999",LEFT('PREENCHER AQUI'!L693,1)),"")</f>
        <v>999</v>
      </c>
      <c r="V693" s="19"/>
      <c r="W693" s="1" t="str">
        <f>IFERROR(VLOOKUP(Tabela1[[#This Row],[UO_COD]],qdd!$AT$1:$AU$102,2,FALSE),"")</f>
        <v/>
      </c>
      <c r="X693" s="1" t="str">
        <f>CONCATENATE("F",Tabela1[[#This Row],[FONTE_COD]],Tabela1[[#This Row],[IPU_COD]],"G",Tabela1[[#This Row],[GRUPO_COD]],"T",Tabela1[[#This Row],[TIPO]])</f>
        <v>FGT999</v>
      </c>
      <c r="Y6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3" s="19"/>
      <c r="AA693" s="29" t="str">
        <f>IFERROR(VLOOKUP(CONCATENATE("B",Tabela1[[#This Row],[BLOCO]],Tabela1[[#This Row],[UO_COD]]),qdd!$AW$2:$AX$1000,2,FALSE),"")</f>
        <v/>
      </c>
      <c r="AB693" s="30" t="str">
        <f>IFERROR(Tabela1[[#This Row],[VALOR]]/100,"")</f>
        <v/>
      </c>
      <c r="AC693" s="7" t="str" cm="1">
        <f t="array" aca="1" ref="AC693" ca="1">IF(Tabela1[[#This Row],[VALOR]]&lt;0,"",IFERROR(SUBSTITUTE(Converter_numero(Tabela1[[#This Row],[VALOR INCISO]]),",",""),""))</f>
        <v/>
      </c>
      <c r="AD693" s="29" t="str">
        <f>IF(Tabela1[[#This Row],[TIPO]]=REGRAS!$W$2,REGRAS!$X$2,IF(Tabela1[[#This Row],[TIPO]]=REGRAS!$W$4,REGRAS!$X$4,""))</f>
        <v/>
      </c>
      <c r="AE693" s="29" t="e">
        <f>VLOOKUP(Tabela1[[#This Row],[FONTE_COD]],REGRAS!$O$2:$P$69,2,FALSE)</f>
        <v>#N/A</v>
      </c>
      <c r="AF6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4" spans="1:32" ht="18.75" customHeight="1">
      <c r="A694" s="2" t="str">
        <f>IFERROR(IF('PREENCHER AQUI'!A694="","",'PREENCHER AQUI'!A694),"")</f>
        <v/>
      </c>
      <c r="B694" s="1" t="str">
        <f>IFERROR(IF('PREENCHER AQUI'!B694="","",PROPER('PREENCHER AQUI'!B694)),"")</f>
        <v/>
      </c>
      <c r="C694" s="1" t="str">
        <f>IFERROR(IF('PREENCHER AQUI'!C694="","",'PREENCHER AQUI'!C694),"")</f>
        <v/>
      </c>
      <c r="D694" s="2" t="str">
        <f>IFERROR(IF('PREENCHER AQUI'!D694="","",'PREENCHER AQUI'!D694),"")</f>
        <v/>
      </c>
      <c r="E694" s="2" t="str">
        <f>IFERROR(VLOOKUP(CONCATENATE(C694,D694),qdd!$C$2:$F$1000,2,FALSE),"")</f>
        <v/>
      </c>
      <c r="F694" s="2" t="str">
        <f>IFERROR(VLOOKUP(CONCATENATE(C694,D694),qdd!$C$2:$F$1000,3,FALSE),"")</f>
        <v/>
      </c>
      <c r="G694" s="2" t="str">
        <f>IFERROR(VLOOKUP(CONCATENATE(C694,D694),qdd!$C$2:$F$1000,4,FALSE),"")</f>
        <v/>
      </c>
      <c r="H694" s="6" t="str">
        <f t="shared" si="22"/>
        <v/>
      </c>
      <c r="I6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4" s="2" t="str">
        <f>IFERROR(IF('PREENCHER AQUI'!E694="","",'PREENCHER AQUI'!E694),"")</f>
        <v/>
      </c>
      <c r="K694" s="2" t="str">
        <f>IFERROR(IF('PREENCHER AQUI'!F694="","",'PREENCHER AQUI'!F694),"")</f>
        <v/>
      </c>
      <c r="L694" s="2" t="str">
        <f>IF(Tabela1[[#This Row],[IPU_COD]]=9,"91",IF(Tabela1[[#This Row],[ACAO_COD]]="","",VLOOKUP(CONCATENATE("G",J694,"M",K694),qdd!$BC$2:$BD$46,2,FALSE)))</f>
        <v/>
      </c>
      <c r="M694" s="2" t="str">
        <f>TEXT(IFERROR(VLOOKUP(CONCATENATE(C694,D694),qdd!$C$2:$G$1000,5,FALSE),""),0)</f>
        <v/>
      </c>
      <c r="N694" s="2" t="str">
        <f>IFERROR(IF('PREENCHER AQUI'!I694="","",'PREENCHER AQUI'!I694),"")</f>
        <v/>
      </c>
      <c r="O694" s="2" t="str">
        <f>IFERROR(IF('PREENCHER AQUI'!J694="","",'PREENCHER AQUI'!J694),"")</f>
        <v/>
      </c>
      <c r="P694" s="7" t="str">
        <f t="shared" si="23"/>
        <v/>
      </c>
      <c r="Q694" s="8" t="str">
        <f>IFERROR(IF(Tabela4[[#This Row],[VALOR]]="","",IF(Tabela1[[#This Row],[ORIENTACAO]]="Anular",'PREENCHER AQUI'!K694*-1*100,'PREENCHER AQUI'!K694*100)),"")</f>
        <v/>
      </c>
      <c r="T694" s="7" t="str">
        <f>IFERROR(IF('PREENCHER AQUI'!L694="","999",LEFT('PREENCHER AQUI'!L694,1)),"")</f>
        <v>999</v>
      </c>
      <c r="V694" s="19"/>
      <c r="W694" s="1" t="str">
        <f>IFERROR(VLOOKUP(Tabela1[[#This Row],[UO_COD]],qdd!$AT$1:$AU$102,2,FALSE),"")</f>
        <v/>
      </c>
      <c r="X694" s="1" t="str">
        <f>CONCATENATE("F",Tabela1[[#This Row],[FONTE_COD]],Tabela1[[#This Row],[IPU_COD]],"G",Tabela1[[#This Row],[GRUPO_COD]],"T",Tabela1[[#This Row],[TIPO]])</f>
        <v>FGT999</v>
      </c>
      <c r="Y6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4" s="19"/>
      <c r="AA694" s="29" t="str">
        <f>IFERROR(VLOOKUP(CONCATENATE("B",Tabela1[[#This Row],[BLOCO]],Tabela1[[#This Row],[UO_COD]]),qdd!$AW$2:$AX$1000,2,FALSE),"")</f>
        <v/>
      </c>
      <c r="AB694" s="30" t="str">
        <f>IFERROR(Tabela1[[#This Row],[VALOR]]/100,"")</f>
        <v/>
      </c>
      <c r="AC694" s="7" t="str" cm="1">
        <f t="array" aca="1" ref="AC694" ca="1">IF(Tabela1[[#This Row],[VALOR]]&lt;0,"",IFERROR(SUBSTITUTE(Converter_numero(Tabela1[[#This Row],[VALOR INCISO]]),",",""),""))</f>
        <v/>
      </c>
      <c r="AD694" s="29" t="str">
        <f>IF(Tabela1[[#This Row],[TIPO]]=REGRAS!$W$2,REGRAS!$X$2,IF(Tabela1[[#This Row],[TIPO]]=REGRAS!$W$4,REGRAS!$X$4,""))</f>
        <v/>
      </c>
      <c r="AE694" s="29" t="e">
        <f>VLOOKUP(Tabela1[[#This Row],[FONTE_COD]],REGRAS!$O$2:$P$69,2,FALSE)</f>
        <v>#N/A</v>
      </c>
      <c r="AF6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5" spans="1:32" ht="18.75" customHeight="1">
      <c r="A695" s="2" t="str">
        <f>IFERROR(IF('PREENCHER AQUI'!A695="","",'PREENCHER AQUI'!A695),"")</f>
        <v/>
      </c>
      <c r="B695" s="1" t="str">
        <f>IFERROR(IF('PREENCHER AQUI'!B695="","",PROPER('PREENCHER AQUI'!B695)),"")</f>
        <v/>
      </c>
      <c r="C695" s="1" t="str">
        <f>IFERROR(IF('PREENCHER AQUI'!C695="","",'PREENCHER AQUI'!C695),"")</f>
        <v/>
      </c>
      <c r="D695" s="2" t="str">
        <f>IFERROR(IF('PREENCHER AQUI'!D695="","",'PREENCHER AQUI'!D695),"")</f>
        <v/>
      </c>
      <c r="E695" s="2" t="str">
        <f>IFERROR(VLOOKUP(CONCATENATE(C695,D695),qdd!$C$2:$F$1000,2,FALSE),"")</f>
        <v/>
      </c>
      <c r="F695" s="2" t="str">
        <f>IFERROR(VLOOKUP(CONCATENATE(C695,D695),qdd!$C$2:$F$1000,3,FALSE),"")</f>
        <v/>
      </c>
      <c r="G695" s="2" t="str">
        <f>IFERROR(VLOOKUP(CONCATENATE(C695,D695),qdd!$C$2:$F$1000,4,FALSE),"")</f>
        <v/>
      </c>
      <c r="H695" s="6" t="str">
        <f t="shared" si="22"/>
        <v/>
      </c>
      <c r="I6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5" s="2" t="str">
        <f>IFERROR(IF('PREENCHER AQUI'!E695="","",'PREENCHER AQUI'!E695),"")</f>
        <v/>
      </c>
      <c r="K695" s="2" t="str">
        <f>IFERROR(IF('PREENCHER AQUI'!F695="","",'PREENCHER AQUI'!F695),"")</f>
        <v/>
      </c>
      <c r="L695" s="2" t="str">
        <f>IF(Tabela1[[#This Row],[IPU_COD]]=9,"91",IF(Tabela1[[#This Row],[ACAO_COD]]="","",VLOOKUP(CONCATENATE("G",J695,"M",K695),qdd!$BC$2:$BD$46,2,FALSE)))</f>
        <v/>
      </c>
      <c r="M695" s="2" t="str">
        <f>TEXT(IFERROR(VLOOKUP(CONCATENATE(C695,D695),qdd!$C$2:$G$1000,5,FALSE),""),0)</f>
        <v/>
      </c>
      <c r="N695" s="2" t="str">
        <f>IFERROR(IF('PREENCHER AQUI'!I695="","",'PREENCHER AQUI'!I695),"")</f>
        <v/>
      </c>
      <c r="O695" s="2" t="str">
        <f>IFERROR(IF('PREENCHER AQUI'!J695="","",'PREENCHER AQUI'!J695),"")</f>
        <v/>
      </c>
      <c r="P695" s="7" t="str">
        <f t="shared" si="23"/>
        <v/>
      </c>
      <c r="Q695" s="8" t="str">
        <f>IFERROR(IF(Tabela4[[#This Row],[VALOR]]="","",IF(Tabela1[[#This Row],[ORIENTACAO]]="Anular",'PREENCHER AQUI'!K695*-1*100,'PREENCHER AQUI'!K695*100)),"")</f>
        <v/>
      </c>
      <c r="T695" s="7" t="str">
        <f>IFERROR(IF('PREENCHER AQUI'!L695="","999",LEFT('PREENCHER AQUI'!L695,1)),"")</f>
        <v>999</v>
      </c>
      <c r="V695" s="19"/>
      <c r="W695" s="20" t="str">
        <f>IFERROR(VLOOKUP(Tabela1[[#This Row],[UO_COD]],qdd!$AT$1:$AU$102,2,FALSE),"")</f>
        <v/>
      </c>
      <c r="X695" s="20" t="str">
        <f>CONCATENATE("F",Tabela1[[#This Row],[FONTE_COD]],Tabela1[[#This Row],[IPU_COD]],"G",Tabela1[[#This Row],[GRUPO_COD]],"T",Tabela1[[#This Row],[TIPO]])</f>
        <v>FGT999</v>
      </c>
      <c r="Y6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5" s="19"/>
      <c r="AA695" s="29" t="str">
        <f>IFERROR(VLOOKUP(CONCATENATE("B",Tabela1[[#This Row],[BLOCO]],Tabela1[[#This Row],[UO_COD]]),qdd!$AW$2:$AX$1000,2,FALSE),"")</f>
        <v/>
      </c>
      <c r="AB695" s="30" t="str">
        <f>IFERROR(Tabela1[[#This Row],[VALOR]]/100,"")</f>
        <v/>
      </c>
      <c r="AC695" s="7" t="str" cm="1">
        <f t="array" aca="1" ref="AC695" ca="1">IF(Tabela1[[#This Row],[VALOR]]&lt;0,"",IFERROR(SUBSTITUTE(Converter_numero(Tabela1[[#This Row],[VALOR INCISO]]),",",""),""))</f>
        <v/>
      </c>
      <c r="AD695" s="29" t="str">
        <f>IF(Tabela1[[#This Row],[TIPO]]=REGRAS!$W$2,REGRAS!$X$2,IF(Tabela1[[#This Row],[TIPO]]=REGRAS!$W$4,REGRAS!$X$4,""))</f>
        <v/>
      </c>
      <c r="AE695" s="29" t="e">
        <f>VLOOKUP(Tabela1[[#This Row],[FONTE_COD]],REGRAS!$O$2:$P$69,2,FALSE)</f>
        <v>#N/A</v>
      </c>
      <c r="AF6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6" spans="1:32" ht="18.75" customHeight="1">
      <c r="A696" s="2" t="str">
        <f>IFERROR(IF('PREENCHER AQUI'!A696="","",'PREENCHER AQUI'!A696),"")</f>
        <v/>
      </c>
      <c r="B696" s="1" t="str">
        <f>IFERROR(IF('PREENCHER AQUI'!B696="","",PROPER('PREENCHER AQUI'!B696)),"")</f>
        <v/>
      </c>
      <c r="C696" s="1" t="str">
        <f>IFERROR(IF('PREENCHER AQUI'!C696="","",'PREENCHER AQUI'!C696),"")</f>
        <v/>
      </c>
      <c r="D696" s="2" t="str">
        <f>IFERROR(IF('PREENCHER AQUI'!D696="","",'PREENCHER AQUI'!D696),"")</f>
        <v/>
      </c>
      <c r="E696" s="2" t="str">
        <f>IFERROR(VLOOKUP(CONCATENATE(C696,D696),qdd!$C$2:$F$1000,2,FALSE),"")</f>
        <v/>
      </c>
      <c r="F696" s="2" t="str">
        <f>IFERROR(VLOOKUP(CONCATENATE(C696,D696),qdd!$C$2:$F$1000,3,FALSE),"")</f>
        <v/>
      </c>
      <c r="G696" s="2" t="str">
        <f>IFERROR(VLOOKUP(CONCATENATE(C696,D696),qdd!$C$2:$F$1000,4,FALSE),"")</f>
        <v/>
      </c>
      <c r="H696" s="6" t="str">
        <f t="shared" si="22"/>
        <v/>
      </c>
      <c r="I6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6" s="2" t="str">
        <f>IFERROR(IF('PREENCHER AQUI'!E696="","",'PREENCHER AQUI'!E696),"")</f>
        <v/>
      </c>
      <c r="K696" s="2" t="str">
        <f>IFERROR(IF('PREENCHER AQUI'!F696="","",'PREENCHER AQUI'!F696),"")</f>
        <v/>
      </c>
      <c r="L696" s="2" t="str">
        <f>IF(Tabela1[[#This Row],[IPU_COD]]=9,"91",IF(Tabela1[[#This Row],[ACAO_COD]]="","",VLOOKUP(CONCATENATE("G",J696,"M",K696),qdd!$BC$2:$BD$46,2,FALSE)))</f>
        <v/>
      </c>
      <c r="M696" s="2" t="str">
        <f>TEXT(IFERROR(VLOOKUP(CONCATENATE(C696,D696),qdd!$C$2:$G$1000,5,FALSE),""),0)</f>
        <v/>
      </c>
      <c r="N696" s="2" t="str">
        <f>IFERROR(IF('PREENCHER AQUI'!I696="","",'PREENCHER AQUI'!I696),"")</f>
        <v/>
      </c>
      <c r="O696" s="2" t="str">
        <f>IFERROR(IF('PREENCHER AQUI'!J696="","",'PREENCHER AQUI'!J696),"")</f>
        <v/>
      </c>
      <c r="P696" s="7" t="str">
        <f t="shared" si="23"/>
        <v/>
      </c>
      <c r="Q696" s="8" t="str">
        <f>IFERROR(IF(Tabela4[[#This Row],[VALOR]]="","",IF(Tabela1[[#This Row],[ORIENTACAO]]="Anular",'PREENCHER AQUI'!K696*-1*100,'PREENCHER AQUI'!K696*100)),"")</f>
        <v/>
      </c>
      <c r="T696" s="7" t="str">
        <f>IFERROR(IF('PREENCHER AQUI'!L696="","999",LEFT('PREENCHER AQUI'!L696,1)),"")</f>
        <v>999</v>
      </c>
      <c r="V696" s="19"/>
      <c r="W696" s="1" t="str">
        <f>IFERROR(VLOOKUP(Tabela1[[#This Row],[UO_COD]],qdd!$AT$1:$AU$102,2,FALSE),"")</f>
        <v/>
      </c>
      <c r="X696" s="1" t="str">
        <f>CONCATENATE("F",Tabela1[[#This Row],[FONTE_COD]],Tabela1[[#This Row],[IPU_COD]],"G",Tabela1[[#This Row],[GRUPO_COD]],"T",Tabela1[[#This Row],[TIPO]])</f>
        <v>FGT999</v>
      </c>
      <c r="Y6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6" s="19"/>
      <c r="AA696" s="29" t="str">
        <f>IFERROR(VLOOKUP(CONCATENATE("B",Tabela1[[#This Row],[BLOCO]],Tabela1[[#This Row],[UO_COD]]),qdd!$AW$2:$AX$1000,2,FALSE),"")</f>
        <v/>
      </c>
      <c r="AB696" s="30" t="str">
        <f>IFERROR(Tabela1[[#This Row],[VALOR]]/100,"")</f>
        <v/>
      </c>
      <c r="AC696" s="7" t="str" cm="1">
        <f t="array" aca="1" ref="AC696" ca="1">IF(Tabela1[[#This Row],[VALOR]]&lt;0,"",IFERROR(SUBSTITUTE(Converter_numero(Tabela1[[#This Row],[VALOR INCISO]]),",",""),""))</f>
        <v/>
      </c>
      <c r="AD696" s="29" t="str">
        <f>IF(Tabela1[[#This Row],[TIPO]]=REGRAS!$W$2,REGRAS!$X$2,IF(Tabela1[[#This Row],[TIPO]]=REGRAS!$W$4,REGRAS!$X$4,""))</f>
        <v/>
      </c>
      <c r="AE696" s="29" t="e">
        <f>VLOOKUP(Tabela1[[#This Row],[FONTE_COD]],REGRAS!$O$2:$P$69,2,FALSE)</f>
        <v>#N/A</v>
      </c>
      <c r="AF6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7" spans="1:32" ht="18.75" customHeight="1">
      <c r="A697" s="2" t="str">
        <f>IFERROR(IF('PREENCHER AQUI'!A697="","",'PREENCHER AQUI'!A697),"")</f>
        <v/>
      </c>
      <c r="B697" s="1" t="str">
        <f>IFERROR(IF('PREENCHER AQUI'!B697="","",PROPER('PREENCHER AQUI'!B697)),"")</f>
        <v/>
      </c>
      <c r="C697" s="1" t="str">
        <f>IFERROR(IF('PREENCHER AQUI'!C697="","",'PREENCHER AQUI'!C697),"")</f>
        <v/>
      </c>
      <c r="D697" s="2" t="str">
        <f>IFERROR(IF('PREENCHER AQUI'!D697="","",'PREENCHER AQUI'!D697),"")</f>
        <v/>
      </c>
      <c r="E697" s="2" t="str">
        <f>IFERROR(VLOOKUP(CONCATENATE(C697,D697),qdd!$C$2:$F$1000,2,FALSE),"")</f>
        <v/>
      </c>
      <c r="F697" s="2" t="str">
        <f>IFERROR(VLOOKUP(CONCATENATE(C697,D697),qdd!$C$2:$F$1000,3,FALSE),"")</f>
        <v/>
      </c>
      <c r="G697" s="2" t="str">
        <f>IFERROR(VLOOKUP(CONCATENATE(C697,D697),qdd!$C$2:$F$1000,4,FALSE),"")</f>
        <v/>
      </c>
      <c r="H697" s="6" t="str">
        <f t="shared" si="22"/>
        <v/>
      </c>
      <c r="I6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7" s="2" t="str">
        <f>IFERROR(IF('PREENCHER AQUI'!E697="","",'PREENCHER AQUI'!E697),"")</f>
        <v/>
      </c>
      <c r="K697" s="2" t="str">
        <f>IFERROR(IF('PREENCHER AQUI'!F697="","",'PREENCHER AQUI'!F697),"")</f>
        <v/>
      </c>
      <c r="L697" s="2" t="str">
        <f>IF(Tabela1[[#This Row],[IPU_COD]]=9,"91",IF(Tabela1[[#This Row],[ACAO_COD]]="","",VLOOKUP(CONCATENATE("G",J697,"M",K697),qdd!$BC$2:$BD$46,2,FALSE)))</f>
        <v/>
      </c>
      <c r="M697" s="2" t="str">
        <f>TEXT(IFERROR(VLOOKUP(CONCATENATE(C697,D697),qdd!$C$2:$G$1000,5,FALSE),""),0)</f>
        <v/>
      </c>
      <c r="N697" s="2" t="str">
        <f>IFERROR(IF('PREENCHER AQUI'!I697="","",'PREENCHER AQUI'!I697),"")</f>
        <v/>
      </c>
      <c r="O697" s="2" t="str">
        <f>IFERROR(IF('PREENCHER AQUI'!J697="","",'PREENCHER AQUI'!J697),"")</f>
        <v/>
      </c>
      <c r="P697" s="7" t="str">
        <f t="shared" si="23"/>
        <v/>
      </c>
      <c r="Q697" s="8" t="str">
        <f>IFERROR(IF(Tabela4[[#This Row],[VALOR]]="","",IF(Tabela1[[#This Row],[ORIENTACAO]]="Anular",'PREENCHER AQUI'!K697*-1*100,'PREENCHER AQUI'!K697*100)),"")</f>
        <v/>
      </c>
      <c r="T697" s="7" t="str">
        <f>IFERROR(IF('PREENCHER AQUI'!L697="","999",LEFT('PREENCHER AQUI'!L697,1)),"")</f>
        <v>999</v>
      </c>
      <c r="W697" s="1" t="str">
        <f>IFERROR(VLOOKUP(Tabela1[[#This Row],[UO_COD]],qdd!$AT$1:$AU$102,2,FALSE),"")</f>
        <v/>
      </c>
      <c r="X697" s="1" t="str">
        <f>CONCATENATE("F",Tabela1[[#This Row],[FONTE_COD]],Tabela1[[#This Row],[IPU_COD]],"G",Tabela1[[#This Row],[GRUPO_COD]],"T",Tabela1[[#This Row],[TIPO]])</f>
        <v>FGT999</v>
      </c>
      <c r="Y6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7" s="19"/>
      <c r="AA697" s="29" t="str">
        <f>IFERROR(VLOOKUP(CONCATENATE("B",Tabela1[[#This Row],[BLOCO]],Tabela1[[#This Row],[UO_COD]]),qdd!$AW$2:$AX$1000,2,FALSE),"")</f>
        <v/>
      </c>
      <c r="AB697" s="30" t="str">
        <f>IFERROR(Tabela1[[#This Row],[VALOR]]/100,"")</f>
        <v/>
      </c>
      <c r="AC697" s="7" t="str" cm="1">
        <f t="array" aca="1" ref="AC697" ca="1">IF(Tabela1[[#This Row],[VALOR]]&lt;0,"",IFERROR(SUBSTITUTE(Converter_numero(Tabela1[[#This Row],[VALOR INCISO]]),",",""),""))</f>
        <v/>
      </c>
      <c r="AD697" s="7" t="str">
        <f>IF(Tabela1[[#This Row],[TIPO]]=REGRAS!$W$2,REGRAS!$X$2,IF(Tabela1[[#This Row],[TIPO]]=REGRAS!$W$4,REGRAS!$X$4,""))</f>
        <v/>
      </c>
      <c r="AE697" s="29" t="e">
        <f>VLOOKUP(Tabela1[[#This Row],[FONTE_COD]],REGRAS!$O$2:$P$69,2,FALSE)</f>
        <v>#N/A</v>
      </c>
      <c r="AF6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8" spans="1:32" ht="18.75" customHeight="1">
      <c r="A698" s="2" t="str">
        <f>IFERROR(IF('PREENCHER AQUI'!A698="","",'PREENCHER AQUI'!A698),"")</f>
        <v/>
      </c>
      <c r="B698" s="1" t="str">
        <f>IFERROR(IF('PREENCHER AQUI'!B698="","",PROPER('PREENCHER AQUI'!B698)),"")</f>
        <v/>
      </c>
      <c r="C698" s="1" t="str">
        <f>IFERROR(IF('PREENCHER AQUI'!C698="","",'PREENCHER AQUI'!C698),"")</f>
        <v/>
      </c>
      <c r="D698" s="2" t="str">
        <f>IFERROR(IF('PREENCHER AQUI'!D698="","",'PREENCHER AQUI'!D698),"")</f>
        <v/>
      </c>
      <c r="E698" s="2" t="str">
        <f>IFERROR(VLOOKUP(CONCATENATE(C698,D698),qdd!$C$2:$F$1000,2,FALSE),"")</f>
        <v/>
      </c>
      <c r="F698" s="2" t="str">
        <f>IFERROR(VLOOKUP(CONCATENATE(C698,D698),qdd!$C$2:$F$1000,3,FALSE),"")</f>
        <v/>
      </c>
      <c r="G698" s="2" t="str">
        <f>IFERROR(VLOOKUP(CONCATENATE(C698,D698),qdd!$C$2:$F$1000,4,FALSE),"")</f>
        <v/>
      </c>
      <c r="H698" s="6" t="str">
        <f t="shared" si="22"/>
        <v/>
      </c>
      <c r="I6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8" s="2" t="str">
        <f>IFERROR(IF('PREENCHER AQUI'!E698="","",'PREENCHER AQUI'!E698),"")</f>
        <v/>
      </c>
      <c r="K698" s="2" t="str">
        <f>IFERROR(IF('PREENCHER AQUI'!F698="","",'PREENCHER AQUI'!F698),"")</f>
        <v/>
      </c>
      <c r="L698" s="2" t="str">
        <f>IF(Tabela1[[#This Row],[IPU_COD]]=9,"91",IF(Tabela1[[#This Row],[ACAO_COD]]="","",VLOOKUP(CONCATENATE("G",J698,"M",K698),qdd!$BC$2:$BD$46,2,FALSE)))</f>
        <v/>
      </c>
      <c r="M698" s="2" t="str">
        <f>TEXT(IFERROR(VLOOKUP(CONCATENATE(C698,D698),qdd!$C$2:$G$1000,5,FALSE),""),0)</f>
        <v/>
      </c>
      <c r="N698" s="2" t="str">
        <f>IFERROR(IF('PREENCHER AQUI'!I698="","",'PREENCHER AQUI'!I698),"")</f>
        <v/>
      </c>
      <c r="O698" s="2" t="str">
        <f>IFERROR(IF('PREENCHER AQUI'!J698="","",'PREENCHER AQUI'!J698),"")</f>
        <v/>
      </c>
      <c r="P698" s="7" t="str">
        <f t="shared" si="23"/>
        <v/>
      </c>
      <c r="Q698" s="8" t="str">
        <f>IFERROR(IF(Tabela4[[#This Row],[VALOR]]="","",IF(Tabela1[[#This Row],[ORIENTACAO]]="Anular",'PREENCHER AQUI'!K698*-1*100,'PREENCHER AQUI'!K698*100)),"")</f>
        <v/>
      </c>
      <c r="T698" s="7" t="str">
        <f>IFERROR(IF('PREENCHER AQUI'!L698="","999",LEFT('PREENCHER AQUI'!L698,1)),"")</f>
        <v>999</v>
      </c>
      <c r="V698" s="19"/>
      <c r="W698" s="1" t="str">
        <f>IFERROR(VLOOKUP(Tabela1[[#This Row],[UO_COD]],qdd!$AT$1:$AU$102,2,FALSE),"")</f>
        <v/>
      </c>
      <c r="X698" s="1" t="str">
        <f>CONCATENATE("F",Tabela1[[#This Row],[FONTE_COD]],Tabela1[[#This Row],[IPU_COD]],"G",Tabela1[[#This Row],[GRUPO_COD]],"T",Tabela1[[#This Row],[TIPO]])</f>
        <v>FGT999</v>
      </c>
      <c r="Y6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8" s="19"/>
      <c r="AA698" s="29" t="str">
        <f>IFERROR(VLOOKUP(CONCATENATE("B",Tabela1[[#This Row],[BLOCO]],Tabela1[[#This Row],[UO_COD]]),qdd!$AW$2:$AX$1000,2,FALSE),"")</f>
        <v/>
      </c>
      <c r="AB698" s="30" t="str">
        <f>IFERROR(Tabela1[[#This Row],[VALOR]]/100,"")</f>
        <v/>
      </c>
      <c r="AC698" s="7" t="str" cm="1">
        <f t="array" aca="1" ref="AC698" ca="1">IF(Tabela1[[#This Row],[VALOR]]&lt;0,"",IFERROR(SUBSTITUTE(Converter_numero(Tabela1[[#This Row],[VALOR INCISO]]),",",""),""))</f>
        <v/>
      </c>
      <c r="AD698" s="29" t="str">
        <f>IF(Tabela1[[#This Row],[TIPO]]=REGRAS!$W$2,REGRAS!$X$2,IF(Tabela1[[#This Row],[TIPO]]=REGRAS!$W$4,REGRAS!$X$4,""))</f>
        <v/>
      </c>
      <c r="AE698" s="29" t="e">
        <f>VLOOKUP(Tabela1[[#This Row],[FONTE_COD]],REGRAS!$O$2:$P$69,2,FALSE)</f>
        <v>#N/A</v>
      </c>
      <c r="AF6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9" spans="1:32" ht="18.75" customHeight="1">
      <c r="A699" s="2" t="str">
        <f>IFERROR(IF('PREENCHER AQUI'!A699="","",'PREENCHER AQUI'!A699),"")</f>
        <v/>
      </c>
      <c r="B699" s="1" t="str">
        <f>IFERROR(IF('PREENCHER AQUI'!B699="","",PROPER('PREENCHER AQUI'!B699)),"")</f>
        <v/>
      </c>
      <c r="C699" s="1" t="str">
        <f>IFERROR(IF('PREENCHER AQUI'!C699="","",'PREENCHER AQUI'!C699),"")</f>
        <v/>
      </c>
      <c r="D699" s="2" t="str">
        <f>IFERROR(IF('PREENCHER AQUI'!D699="","",'PREENCHER AQUI'!D699),"")</f>
        <v/>
      </c>
      <c r="E699" s="2" t="str">
        <f>IFERROR(VLOOKUP(CONCATENATE(C699,D699),qdd!$C$2:$F$1000,2,FALSE),"")</f>
        <v/>
      </c>
      <c r="F699" s="2" t="str">
        <f>IFERROR(VLOOKUP(CONCATENATE(C699,D699),qdd!$C$2:$F$1000,3,FALSE),"")</f>
        <v/>
      </c>
      <c r="G699" s="2" t="str">
        <f>IFERROR(VLOOKUP(CONCATENATE(C699,D699),qdd!$C$2:$F$1000,4,FALSE),"")</f>
        <v/>
      </c>
      <c r="H699" s="6" t="str">
        <f t="shared" si="22"/>
        <v/>
      </c>
      <c r="I6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9" s="2" t="str">
        <f>IFERROR(IF('PREENCHER AQUI'!E699="","",'PREENCHER AQUI'!E699),"")</f>
        <v/>
      </c>
      <c r="K699" s="2" t="str">
        <f>IFERROR(IF('PREENCHER AQUI'!F699="","",'PREENCHER AQUI'!F699),"")</f>
        <v/>
      </c>
      <c r="L699" s="2" t="str">
        <f>IF(Tabela1[[#This Row],[IPU_COD]]=9,"91",IF(Tabela1[[#This Row],[ACAO_COD]]="","",VLOOKUP(CONCATENATE("G",J699,"M",K699),qdd!$BC$2:$BD$46,2,FALSE)))</f>
        <v/>
      </c>
      <c r="M699" s="2" t="str">
        <f>TEXT(IFERROR(VLOOKUP(CONCATENATE(C699,D699),qdd!$C$2:$G$1000,5,FALSE),""),0)</f>
        <v/>
      </c>
      <c r="N699" s="2" t="str">
        <f>IFERROR(IF('PREENCHER AQUI'!I699="","",'PREENCHER AQUI'!I699),"")</f>
        <v/>
      </c>
      <c r="O699" s="2" t="str">
        <f>IFERROR(IF('PREENCHER AQUI'!J699="","",'PREENCHER AQUI'!J699),"")</f>
        <v/>
      </c>
      <c r="P699" s="7" t="str">
        <f t="shared" si="23"/>
        <v/>
      </c>
      <c r="Q699" s="8" t="str">
        <f>IFERROR(IF(Tabela4[[#This Row],[VALOR]]="","",IF(Tabela1[[#This Row],[ORIENTACAO]]="Anular",'PREENCHER AQUI'!K699*-1*100,'PREENCHER AQUI'!K699*100)),"")</f>
        <v/>
      </c>
      <c r="T699" s="7" t="str">
        <f>IFERROR(IF('PREENCHER AQUI'!L699="","999",LEFT('PREENCHER AQUI'!L699,1)),"")</f>
        <v>999</v>
      </c>
      <c r="V699" s="19"/>
      <c r="W699" s="1" t="str">
        <f>IFERROR(VLOOKUP(Tabela1[[#This Row],[UO_COD]],qdd!$AT$1:$AU$102,2,FALSE),"")</f>
        <v/>
      </c>
      <c r="X699" s="1" t="str">
        <f>CONCATENATE("F",Tabela1[[#This Row],[FONTE_COD]],Tabela1[[#This Row],[IPU_COD]],"G",Tabela1[[#This Row],[GRUPO_COD]],"T",Tabela1[[#This Row],[TIPO]])</f>
        <v>FGT999</v>
      </c>
      <c r="Y6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9" s="19"/>
      <c r="AA699" s="29" t="str">
        <f>IFERROR(VLOOKUP(CONCATENATE("B",Tabela1[[#This Row],[BLOCO]],Tabela1[[#This Row],[UO_COD]]),qdd!$AW$2:$AX$1000,2,FALSE),"")</f>
        <v/>
      </c>
      <c r="AB699" s="30" t="str">
        <f>IFERROR(Tabela1[[#This Row],[VALOR]]/100,"")</f>
        <v/>
      </c>
      <c r="AC699" s="7" t="str" cm="1">
        <f t="array" aca="1" ref="AC699" ca="1">IF(Tabela1[[#This Row],[VALOR]]&lt;0,"",IFERROR(SUBSTITUTE(Converter_numero(Tabela1[[#This Row],[VALOR INCISO]]),",",""),""))</f>
        <v/>
      </c>
      <c r="AD699" s="29" t="str">
        <f>IF(Tabela1[[#This Row],[TIPO]]=REGRAS!$W$2,REGRAS!$X$2,IF(Tabela1[[#This Row],[TIPO]]=REGRAS!$W$4,REGRAS!$X$4,""))</f>
        <v/>
      </c>
      <c r="AE699" s="29" t="e">
        <f>VLOOKUP(Tabela1[[#This Row],[FONTE_COD]],REGRAS!$O$2:$P$69,2,FALSE)</f>
        <v>#N/A</v>
      </c>
      <c r="AF6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0" spans="1:32" ht="18.75" customHeight="1">
      <c r="A700" s="2" t="str">
        <f>IFERROR(IF('PREENCHER AQUI'!A700="","",'PREENCHER AQUI'!A700),"")</f>
        <v/>
      </c>
      <c r="B700" s="1" t="str">
        <f>IFERROR(IF('PREENCHER AQUI'!B700="","",PROPER('PREENCHER AQUI'!B700)),"")</f>
        <v/>
      </c>
      <c r="C700" s="1" t="str">
        <f>IFERROR(IF('PREENCHER AQUI'!C700="","",'PREENCHER AQUI'!C700),"")</f>
        <v/>
      </c>
      <c r="D700" s="2" t="str">
        <f>IFERROR(IF('PREENCHER AQUI'!D700="","",'PREENCHER AQUI'!D700),"")</f>
        <v/>
      </c>
      <c r="E700" s="2" t="str">
        <f>IFERROR(VLOOKUP(CONCATENATE(C700,D700),qdd!$C$2:$F$1000,2,FALSE),"")</f>
        <v/>
      </c>
      <c r="F700" s="2" t="str">
        <f>IFERROR(VLOOKUP(CONCATENATE(C700,D700),qdd!$C$2:$F$1000,3,FALSE),"")</f>
        <v/>
      </c>
      <c r="G700" s="2" t="str">
        <f>IFERROR(VLOOKUP(CONCATENATE(C700,D700),qdd!$C$2:$F$1000,4,FALSE),"")</f>
        <v/>
      </c>
      <c r="H700" s="6" t="str">
        <f t="shared" si="22"/>
        <v/>
      </c>
      <c r="I7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0" s="2" t="str">
        <f>IFERROR(IF('PREENCHER AQUI'!E700="","",'PREENCHER AQUI'!E700),"")</f>
        <v/>
      </c>
      <c r="K700" s="2" t="str">
        <f>IFERROR(IF('PREENCHER AQUI'!F700="","",'PREENCHER AQUI'!F700),"")</f>
        <v/>
      </c>
      <c r="L700" s="2" t="str">
        <f>IF(Tabela1[[#This Row],[IPU_COD]]=9,"91",IF(Tabela1[[#This Row],[ACAO_COD]]="","",VLOOKUP(CONCATENATE("G",J700,"M",K700),qdd!$BC$2:$BD$46,2,FALSE)))</f>
        <v/>
      </c>
      <c r="M700" s="2" t="str">
        <f>TEXT(IFERROR(VLOOKUP(CONCATENATE(C700,D700),qdd!$C$2:$G$1000,5,FALSE),""),0)</f>
        <v/>
      </c>
      <c r="N700" s="2" t="str">
        <f>IFERROR(IF('PREENCHER AQUI'!I700="","",'PREENCHER AQUI'!I700),"")</f>
        <v/>
      </c>
      <c r="O700" s="2" t="str">
        <f>IFERROR(IF('PREENCHER AQUI'!J700="","",'PREENCHER AQUI'!J700),"")</f>
        <v/>
      </c>
      <c r="P700" s="7" t="str">
        <f t="shared" si="23"/>
        <v/>
      </c>
      <c r="Q700" s="8" t="str">
        <f>IFERROR(IF(Tabela4[[#This Row],[VALOR]]="","",IF(Tabela1[[#This Row],[ORIENTACAO]]="Anular",'PREENCHER AQUI'!K700*-1*100,'PREENCHER AQUI'!K700*100)),"")</f>
        <v/>
      </c>
      <c r="T700" s="7" t="str">
        <f>IFERROR(IF('PREENCHER AQUI'!L700="","999",LEFT('PREENCHER AQUI'!L700,1)),"")</f>
        <v>999</v>
      </c>
      <c r="V700" s="19"/>
      <c r="W700" s="20" t="str">
        <f>IFERROR(VLOOKUP(Tabela1[[#This Row],[UO_COD]],qdd!$AT$1:$AU$102,2,FALSE),"")</f>
        <v/>
      </c>
      <c r="X700" s="20" t="str">
        <f>CONCATENATE("F",Tabela1[[#This Row],[FONTE_COD]],Tabela1[[#This Row],[IPU_COD]],"G",Tabela1[[#This Row],[GRUPO_COD]],"T",Tabela1[[#This Row],[TIPO]])</f>
        <v>FGT999</v>
      </c>
      <c r="Y7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0" s="19"/>
      <c r="AA700" s="29" t="str">
        <f>IFERROR(VLOOKUP(CONCATENATE("B",Tabela1[[#This Row],[BLOCO]],Tabela1[[#This Row],[UO_COD]]),qdd!$AW$2:$AX$1000,2,FALSE),"")</f>
        <v/>
      </c>
      <c r="AB700" s="30" t="str">
        <f>IFERROR(Tabela1[[#This Row],[VALOR]]/100,"")</f>
        <v/>
      </c>
      <c r="AC700" s="7" t="str" cm="1">
        <f t="array" aca="1" ref="AC700" ca="1">IF(Tabela1[[#This Row],[VALOR]]&lt;0,"",IFERROR(SUBSTITUTE(Converter_numero(Tabela1[[#This Row],[VALOR INCISO]]),",",""),""))</f>
        <v/>
      </c>
      <c r="AD700" s="29" t="str">
        <f>IF(Tabela1[[#This Row],[TIPO]]=REGRAS!$W$2,REGRAS!$X$2,IF(Tabela1[[#This Row],[TIPO]]=REGRAS!$W$4,REGRAS!$X$4,""))</f>
        <v/>
      </c>
      <c r="AE700" s="29" t="e">
        <f>VLOOKUP(Tabela1[[#This Row],[FONTE_COD]],REGRAS!$O$2:$P$69,2,FALSE)</f>
        <v>#N/A</v>
      </c>
      <c r="AF7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1" spans="1:32" ht="18.75" customHeight="1">
      <c r="A701" s="2" t="str">
        <f>IFERROR(IF('PREENCHER AQUI'!A701="","",'PREENCHER AQUI'!A701),"")</f>
        <v/>
      </c>
      <c r="B701" s="1" t="str">
        <f>IFERROR(IF('PREENCHER AQUI'!B701="","",PROPER('PREENCHER AQUI'!B701)),"")</f>
        <v/>
      </c>
      <c r="C701" s="1" t="str">
        <f>IFERROR(IF('PREENCHER AQUI'!C701="","",'PREENCHER AQUI'!C701),"")</f>
        <v/>
      </c>
      <c r="D701" s="2" t="str">
        <f>IFERROR(IF('PREENCHER AQUI'!D701="","",'PREENCHER AQUI'!D701),"")</f>
        <v/>
      </c>
      <c r="E701" s="2" t="str">
        <f>IFERROR(VLOOKUP(CONCATENATE(C701,D701),qdd!$C$2:$F$1000,2,FALSE),"")</f>
        <v/>
      </c>
      <c r="F701" s="2" t="str">
        <f>IFERROR(VLOOKUP(CONCATENATE(C701,D701),qdd!$C$2:$F$1000,3,FALSE),"")</f>
        <v/>
      </c>
      <c r="G701" s="2" t="str">
        <f>IFERROR(VLOOKUP(CONCATENATE(C701,D701),qdd!$C$2:$F$1000,4,FALSE),"")</f>
        <v/>
      </c>
      <c r="H701" s="6" t="str">
        <f t="shared" si="22"/>
        <v/>
      </c>
      <c r="I7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1" s="2" t="str">
        <f>IFERROR(IF('PREENCHER AQUI'!E701="","",'PREENCHER AQUI'!E701),"")</f>
        <v/>
      </c>
      <c r="K701" s="2" t="str">
        <f>IFERROR(IF('PREENCHER AQUI'!F701="","",'PREENCHER AQUI'!F701),"")</f>
        <v/>
      </c>
      <c r="L701" s="2" t="str">
        <f>IF(Tabela1[[#This Row],[IPU_COD]]=9,"91",IF(Tabela1[[#This Row],[ACAO_COD]]="","",VLOOKUP(CONCATENATE("G",J701,"M",K701),qdd!$BC$2:$BD$46,2,FALSE)))</f>
        <v/>
      </c>
      <c r="M701" s="2" t="str">
        <f>TEXT(IFERROR(VLOOKUP(CONCATENATE(C701,D701),qdd!$C$2:$G$1000,5,FALSE),""),0)</f>
        <v/>
      </c>
      <c r="N701" s="2" t="str">
        <f>IFERROR(IF('PREENCHER AQUI'!I701="","",'PREENCHER AQUI'!I701),"")</f>
        <v/>
      </c>
      <c r="O701" s="2" t="str">
        <f>IFERROR(IF('PREENCHER AQUI'!J701="","",'PREENCHER AQUI'!J701),"")</f>
        <v/>
      </c>
      <c r="P701" s="7" t="str">
        <f t="shared" si="23"/>
        <v/>
      </c>
      <c r="Q701" s="8" t="str">
        <f>IFERROR(IF(Tabela4[[#This Row],[VALOR]]="","",IF(Tabela1[[#This Row],[ORIENTACAO]]="Anular",'PREENCHER AQUI'!K701*-1*100,'PREENCHER AQUI'!K701*100)),"")</f>
        <v/>
      </c>
      <c r="T701" s="7" t="str">
        <f>IFERROR(IF('PREENCHER AQUI'!L701="","999",LEFT('PREENCHER AQUI'!L701,1)),"")</f>
        <v>999</v>
      </c>
      <c r="V701" s="19"/>
      <c r="W701" s="1" t="str">
        <f>IFERROR(VLOOKUP(Tabela1[[#This Row],[UO_COD]],qdd!$AT$1:$AU$102,2,FALSE),"")</f>
        <v/>
      </c>
      <c r="X701" s="1" t="str">
        <f>CONCATENATE("F",Tabela1[[#This Row],[FONTE_COD]],Tabela1[[#This Row],[IPU_COD]],"G",Tabela1[[#This Row],[GRUPO_COD]],"T",Tabela1[[#This Row],[TIPO]])</f>
        <v>FGT999</v>
      </c>
      <c r="Y7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1" s="19"/>
      <c r="AA701" s="29" t="str">
        <f>IFERROR(VLOOKUP(CONCATENATE("B",Tabela1[[#This Row],[BLOCO]],Tabela1[[#This Row],[UO_COD]]),qdd!$AW$2:$AX$1000,2,FALSE),"")</f>
        <v/>
      </c>
      <c r="AB701" s="30" t="str">
        <f>IFERROR(Tabela1[[#This Row],[VALOR]]/100,"")</f>
        <v/>
      </c>
      <c r="AC701" s="7" t="str" cm="1">
        <f t="array" aca="1" ref="AC701" ca="1">IF(Tabela1[[#This Row],[VALOR]]&lt;0,"",IFERROR(SUBSTITUTE(Converter_numero(Tabela1[[#This Row],[VALOR INCISO]]),",",""),""))</f>
        <v/>
      </c>
      <c r="AD701" s="29" t="str">
        <f>IF(Tabela1[[#This Row],[TIPO]]=REGRAS!$W$2,REGRAS!$X$2,IF(Tabela1[[#This Row],[TIPO]]=REGRAS!$W$4,REGRAS!$X$4,""))</f>
        <v/>
      </c>
      <c r="AE701" s="29" t="e">
        <f>VLOOKUP(Tabela1[[#This Row],[FONTE_COD]],REGRAS!$O$2:$P$69,2,FALSE)</f>
        <v>#N/A</v>
      </c>
      <c r="AF7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2" spans="1:32" ht="18.75" customHeight="1">
      <c r="A702" s="2" t="str">
        <f>IFERROR(IF('PREENCHER AQUI'!A702="","",'PREENCHER AQUI'!A702),"")</f>
        <v/>
      </c>
      <c r="B702" s="1" t="str">
        <f>IFERROR(IF('PREENCHER AQUI'!B702="","",PROPER('PREENCHER AQUI'!B702)),"")</f>
        <v/>
      </c>
      <c r="C702" s="1" t="str">
        <f>IFERROR(IF('PREENCHER AQUI'!C702="","",'PREENCHER AQUI'!C702),"")</f>
        <v/>
      </c>
      <c r="D702" s="2" t="str">
        <f>IFERROR(IF('PREENCHER AQUI'!D702="","",'PREENCHER AQUI'!D702),"")</f>
        <v/>
      </c>
      <c r="E702" s="2" t="str">
        <f>IFERROR(VLOOKUP(CONCATENATE(C702,D702),qdd!$C$2:$F$1000,2,FALSE),"")</f>
        <v/>
      </c>
      <c r="F702" s="2" t="str">
        <f>IFERROR(VLOOKUP(CONCATENATE(C702,D702),qdd!$C$2:$F$1000,3,FALSE),"")</f>
        <v/>
      </c>
      <c r="G702" s="2" t="str">
        <f>IFERROR(VLOOKUP(CONCATENATE(C702,D702),qdd!$C$2:$F$1000,4,FALSE),"")</f>
        <v/>
      </c>
      <c r="H702" s="6" t="str">
        <f t="shared" si="22"/>
        <v/>
      </c>
      <c r="I7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2" s="2" t="str">
        <f>IFERROR(IF('PREENCHER AQUI'!E702="","",'PREENCHER AQUI'!E702),"")</f>
        <v/>
      </c>
      <c r="K702" s="2" t="str">
        <f>IFERROR(IF('PREENCHER AQUI'!F702="","",'PREENCHER AQUI'!F702),"")</f>
        <v/>
      </c>
      <c r="L702" s="2" t="str">
        <f>IF(Tabela1[[#This Row],[IPU_COD]]=9,"91",IF(Tabela1[[#This Row],[ACAO_COD]]="","",VLOOKUP(CONCATENATE("G",J702,"M",K702),qdd!$BC$2:$BD$46,2,FALSE)))</f>
        <v/>
      </c>
      <c r="M702" s="2" t="str">
        <f>TEXT(IFERROR(VLOOKUP(CONCATENATE(C702,D702),qdd!$C$2:$G$1000,5,FALSE),""),0)</f>
        <v/>
      </c>
      <c r="N702" s="2" t="str">
        <f>IFERROR(IF('PREENCHER AQUI'!I702="","",'PREENCHER AQUI'!I702),"")</f>
        <v/>
      </c>
      <c r="O702" s="2" t="str">
        <f>IFERROR(IF('PREENCHER AQUI'!J702="","",'PREENCHER AQUI'!J702),"")</f>
        <v/>
      </c>
      <c r="P702" s="7" t="str">
        <f t="shared" si="23"/>
        <v/>
      </c>
      <c r="Q702" s="8" t="str">
        <f>IFERROR(IF(Tabela4[[#This Row],[VALOR]]="","",IF(Tabela1[[#This Row],[ORIENTACAO]]="Anular",'PREENCHER AQUI'!K702*-1*100,'PREENCHER AQUI'!K702*100)),"")</f>
        <v/>
      </c>
      <c r="T702" s="7" t="str">
        <f>IFERROR(IF('PREENCHER AQUI'!L702="","999",LEFT('PREENCHER AQUI'!L702,1)),"")</f>
        <v>999</v>
      </c>
      <c r="W702" s="1" t="str">
        <f>IFERROR(VLOOKUP(Tabela1[[#This Row],[UO_COD]],qdd!$AT$1:$AU$102,2,FALSE),"")</f>
        <v/>
      </c>
      <c r="X702" s="1" t="str">
        <f>CONCATENATE("F",Tabela1[[#This Row],[FONTE_COD]],Tabela1[[#This Row],[IPU_COD]],"G",Tabela1[[#This Row],[GRUPO_COD]],"T",Tabela1[[#This Row],[TIPO]])</f>
        <v>FGT999</v>
      </c>
      <c r="Y7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2" s="19"/>
      <c r="AA702" s="29" t="str">
        <f>IFERROR(VLOOKUP(CONCATENATE("B",Tabela1[[#This Row],[BLOCO]],Tabela1[[#This Row],[UO_COD]]),qdd!$AW$2:$AX$1000,2,FALSE),"")</f>
        <v/>
      </c>
      <c r="AB702" s="30" t="str">
        <f>IFERROR(Tabela1[[#This Row],[VALOR]]/100,"")</f>
        <v/>
      </c>
      <c r="AC702" s="7" t="str" cm="1">
        <f t="array" aca="1" ref="AC702" ca="1">IF(Tabela1[[#This Row],[VALOR]]&lt;0,"",IFERROR(SUBSTITUTE(Converter_numero(Tabela1[[#This Row],[VALOR INCISO]]),",",""),""))</f>
        <v/>
      </c>
      <c r="AD702" s="7" t="str">
        <f>IF(Tabela1[[#This Row],[TIPO]]=REGRAS!$W$2,REGRAS!$X$2,IF(Tabela1[[#This Row],[TIPO]]=REGRAS!$W$4,REGRAS!$X$4,""))</f>
        <v/>
      </c>
      <c r="AE702" s="29" t="e">
        <f>VLOOKUP(Tabela1[[#This Row],[FONTE_COD]],REGRAS!$O$2:$P$69,2,FALSE)</f>
        <v>#N/A</v>
      </c>
      <c r="AF7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3" spans="1:32" ht="18.75" customHeight="1">
      <c r="A703" s="2" t="str">
        <f>IFERROR(IF('PREENCHER AQUI'!A703="","",'PREENCHER AQUI'!A703),"")</f>
        <v/>
      </c>
      <c r="B703" s="1" t="str">
        <f>IFERROR(IF('PREENCHER AQUI'!B703="","",PROPER('PREENCHER AQUI'!B703)),"")</f>
        <v/>
      </c>
      <c r="C703" s="1" t="str">
        <f>IFERROR(IF('PREENCHER AQUI'!C703="","",'PREENCHER AQUI'!C703),"")</f>
        <v/>
      </c>
      <c r="D703" s="2" t="str">
        <f>IFERROR(IF('PREENCHER AQUI'!D703="","",'PREENCHER AQUI'!D703),"")</f>
        <v/>
      </c>
      <c r="E703" s="2" t="str">
        <f>IFERROR(VLOOKUP(CONCATENATE(C703,D703),qdd!$C$2:$F$1000,2,FALSE),"")</f>
        <v/>
      </c>
      <c r="F703" s="2" t="str">
        <f>IFERROR(VLOOKUP(CONCATENATE(C703,D703),qdd!$C$2:$F$1000,3,FALSE),"")</f>
        <v/>
      </c>
      <c r="G703" s="2" t="str">
        <f>IFERROR(VLOOKUP(CONCATENATE(C703,D703),qdd!$C$2:$F$1000,4,FALSE),"")</f>
        <v/>
      </c>
      <c r="H703" s="6" t="str">
        <f t="shared" si="22"/>
        <v/>
      </c>
      <c r="I7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3" s="2" t="str">
        <f>IFERROR(IF('PREENCHER AQUI'!E703="","",'PREENCHER AQUI'!E703),"")</f>
        <v/>
      </c>
      <c r="K703" s="2" t="str">
        <f>IFERROR(IF('PREENCHER AQUI'!F703="","",'PREENCHER AQUI'!F703),"")</f>
        <v/>
      </c>
      <c r="L703" s="2" t="str">
        <f>IF(Tabela1[[#This Row],[IPU_COD]]=9,"91",IF(Tabela1[[#This Row],[ACAO_COD]]="","",VLOOKUP(CONCATENATE("G",J703,"M",K703),qdd!$BC$2:$BD$46,2,FALSE)))</f>
        <v/>
      </c>
      <c r="M703" s="2" t="str">
        <f>TEXT(IFERROR(VLOOKUP(CONCATENATE(C703,D703),qdd!$C$2:$G$1000,5,FALSE),""),0)</f>
        <v/>
      </c>
      <c r="N703" s="2" t="str">
        <f>IFERROR(IF('PREENCHER AQUI'!I703="","",'PREENCHER AQUI'!I703),"")</f>
        <v/>
      </c>
      <c r="O703" s="2" t="str">
        <f>IFERROR(IF('PREENCHER AQUI'!J703="","",'PREENCHER AQUI'!J703),"")</f>
        <v/>
      </c>
      <c r="P703" s="7" t="str">
        <f t="shared" si="23"/>
        <v/>
      </c>
      <c r="Q703" s="8" t="str">
        <f>IFERROR(IF(Tabela4[[#This Row],[VALOR]]="","",IF(Tabela1[[#This Row],[ORIENTACAO]]="Anular",'PREENCHER AQUI'!K703*-1*100,'PREENCHER AQUI'!K703*100)),"")</f>
        <v/>
      </c>
      <c r="T703" s="7" t="str">
        <f>IFERROR(IF('PREENCHER AQUI'!L703="","999",LEFT('PREENCHER AQUI'!L703,1)),"")</f>
        <v>999</v>
      </c>
      <c r="V703" s="19"/>
      <c r="W703" s="1" t="str">
        <f>IFERROR(VLOOKUP(Tabela1[[#This Row],[UO_COD]],qdd!$AT$1:$AU$102,2,FALSE),"")</f>
        <v/>
      </c>
      <c r="X703" s="1" t="str">
        <f>CONCATENATE("F",Tabela1[[#This Row],[FONTE_COD]],Tabela1[[#This Row],[IPU_COD]],"G",Tabela1[[#This Row],[GRUPO_COD]],"T",Tabela1[[#This Row],[TIPO]])</f>
        <v>FGT999</v>
      </c>
      <c r="Y7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3" s="19"/>
      <c r="AA703" s="29" t="str">
        <f>IFERROR(VLOOKUP(CONCATENATE("B",Tabela1[[#This Row],[BLOCO]],Tabela1[[#This Row],[UO_COD]]),qdd!$AW$2:$AX$1000,2,FALSE),"")</f>
        <v/>
      </c>
      <c r="AB703" s="30" t="str">
        <f>IFERROR(Tabela1[[#This Row],[VALOR]]/100,"")</f>
        <v/>
      </c>
      <c r="AC703" s="7" t="str" cm="1">
        <f t="array" aca="1" ref="AC703" ca="1">IF(Tabela1[[#This Row],[VALOR]]&lt;0,"",IFERROR(SUBSTITUTE(Converter_numero(Tabela1[[#This Row],[VALOR INCISO]]),",",""),""))</f>
        <v/>
      </c>
      <c r="AD703" s="29" t="str">
        <f>IF(Tabela1[[#This Row],[TIPO]]=REGRAS!$W$2,REGRAS!$X$2,IF(Tabela1[[#This Row],[TIPO]]=REGRAS!$W$4,REGRAS!$X$4,""))</f>
        <v/>
      </c>
      <c r="AE703" s="29" t="e">
        <f>VLOOKUP(Tabela1[[#This Row],[FONTE_COD]],REGRAS!$O$2:$P$69,2,FALSE)</f>
        <v>#N/A</v>
      </c>
      <c r="AF7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4" spans="1:32" ht="18.75" customHeight="1">
      <c r="A704" s="2" t="str">
        <f>IFERROR(IF('PREENCHER AQUI'!A704="","",'PREENCHER AQUI'!A704),"")</f>
        <v/>
      </c>
      <c r="B704" s="1" t="str">
        <f>IFERROR(IF('PREENCHER AQUI'!B704="","",PROPER('PREENCHER AQUI'!B704)),"")</f>
        <v/>
      </c>
      <c r="C704" s="1" t="str">
        <f>IFERROR(IF('PREENCHER AQUI'!C704="","",'PREENCHER AQUI'!C704),"")</f>
        <v/>
      </c>
      <c r="D704" s="2" t="str">
        <f>IFERROR(IF('PREENCHER AQUI'!D704="","",'PREENCHER AQUI'!D704),"")</f>
        <v/>
      </c>
      <c r="E704" s="2" t="str">
        <f>IFERROR(VLOOKUP(CONCATENATE(C704,D704),qdd!$C$2:$F$1000,2,FALSE),"")</f>
        <v/>
      </c>
      <c r="F704" s="2" t="str">
        <f>IFERROR(VLOOKUP(CONCATENATE(C704,D704),qdd!$C$2:$F$1000,3,FALSE),"")</f>
        <v/>
      </c>
      <c r="G704" s="2" t="str">
        <f>IFERROR(VLOOKUP(CONCATENATE(C704,D704),qdd!$C$2:$F$1000,4,FALSE),"")</f>
        <v/>
      </c>
      <c r="H704" s="6" t="str">
        <f t="shared" si="22"/>
        <v/>
      </c>
      <c r="I7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4" s="2" t="str">
        <f>IFERROR(IF('PREENCHER AQUI'!E704="","",'PREENCHER AQUI'!E704),"")</f>
        <v/>
      </c>
      <c r="K704" s="2" t="str">
        <f>IFERROR(IF('PREENCHER AQUI'!F704="","",'PREENCHER AQUI'!F704),"")</f>
        <v/>
      </c>
      <c r="L704" s="2" t="str">
        <f>IF(Tabela1[[#This Row],[IPU_COD]]=9,"91",IF(Tabela1[[#This Row],[ACAO_COD]]="","",VLOOKUP(CONCATENATE("G",J704,"M",K704),qdd!$BC$2:$BD$46,2,FALSE)))</f>
        <v/>
      </c>
      <c r="M704" s="2" t="str">
        <f>TEXT(IFERROR(VLOOKUP(CONCATENATE(C704,D704),qdd!$C$2:$G$1000,5,FALSE),""),0)</f>
        <v/>
      </c>
      <c r="N704" s="2" t="str">
        <f>IFERROR(IF('PREENCHER AQUI'!I704="","",'PREENCHER AQUI'!I704),"")</f>
        <v/>
      </c>
      <c r="O704" s="2" t="str">
        <f>IFERROR(IF('PREENCHER AQUI'!J704="","",'PREENCHER AQUI'!J704),"")</f>
        <v/>
      </c>
      <c r="P704" s="7" t="str">
        <f t="shared" si="23"/>
        <v/>
      </c>
      <c r="Q704" s="8" t="str">
        <f>IFERROR(IF(Tabela4[[#This Row],[VALOR]]="","",IF(Tabela1[[#This Row],[ORIENTACAO]]="Anular",'PREENCHER AQUI'!K704*-1*100,'PREENCHER AQUI'!K704*100)),"")</f>
        <v/>
      </c>
      <c r="T704" s="7" t="str">
        <f>IFERROR(IF('PREENCHER AQUI'!L704="","999",LEFT('PREENCHER AQUI'!L704,1)),"")</f>
        <v>999</v>
      </c>
      <c r="V704" s="19"/>
      <c r="W704" s="1" t="str">
        <f>IFERROR(VLOOKUP(Tabela1[[#This Row],[UO_COD]],qdd!$AT$1:$AU$102,2,FALSE),"")</f>
        <v/>
      </c>
      <c r="X704" s="1" t="str">
        <f>CONCATENATE("F",Tabela1[[#This Row],[FONTE_COD]],Tabela1[[#This Row],[IPU_COD]],"G",Tabela1[[#This Row],[GRUPO_COD]],"T",Tabela1[[#This Row],[TIPO]])</f>
        <v>FGT999</v>
      </c>
      <c r="Y7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4" s="19"/>
      <c r="AA704" s="29" t="str">
        <f>IFERROR(VLOOKUP(CONCATENATE("B",Tabela1[[#This Row],[BLOCO]],Tabela1[[#This Row],[UO_COD]]),qdd!$AW$2:$AX$1000,2,FALSE),"")</f>
        <v/>
      </c>
      <c r="AB704" s="30" t="str">
        <f>IFERROR(Tabela1[[#This Row],[VALOR]]/100,"")</f>
        <v/>
      </c>
      <c r="AC704" s="7" t="str" cm="1">
        <f t="array" aca="1" ref="AC704" ca="1">IF(Tabela1[[#This Row],[VALOR]]&lt;0,"",IFERROR(SUBSTITUTE(Converter_numero(Tabela1[[#This Row],[VALOR INCISO]]),",",""),""))</f>
        <v/>
      </c>
      <c r="AD704" s="29" t="str">
        <f>IF(Tabela1[[#This Row],[TIPO]]=REGRAS!$W$2,REGRAS!$X$2,IF(Tabela1[[#This Row],[TIPO]]=REGRAS!$W$4,REGRAS!$X$4,""))</f>
        <v/>
      </c>
      <c r="AE704" s="29" t="e">
        <f>VLOOKUP(Tabela1[[#This Row],[FONTE_COD]],REGRAS!$O$2:$P$69,2,FALSE)</f>
        <v>#N/A</v>
      </c>
      <c r="AF7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5" spans="1:32" ht="18.75" customHeight="1">
      <c r="A705" s="2" t="str">
        <f>IFERROR(IF('PREENCHER AQUI'!A705="","",'PREENCHER AQUI'!A705),"")</f>
        <v/>
      </c>
      <c r="B705" s="1" t="str">
        <f>IFERROR(IF('PREENCHER AQUI'!B705="","",PROPER('PREENCHER AQUI'!B705)),"")</f>
        <v/>
      </c>
      <c r="C705" s="1" t="str">
        <f>IFERROR(IF('PREENCHER AQUI'!C705="","",'PREENCHER AQUI'!C705),"")</f>
        <v/>
      </c>
      <c r="D705" s="2" t="str">
        <f>IFERROR(IF('PREENCHER AQUI'!D705="","",'PREENCHER AQUI'!D705),"")</f>
        <v/>
      </c>
      <c r="E705" s="2" t="str">
        <f>IFERROR(VLOOKUP(CONCATENATE(C705,D705),qdd!$C$2:$F$1000,2,FALSE),"")</f>
        <v/>
      </c>
      <c r="F705" s="2" t="str">
        <f>IFERROR(VLOOKUP(CONCATENATE(C705,D705),qdd!$C$2:$F$1000,3,FALSE),"")</f>
        <v/>
      </c>
      <c r="G705" s="2" t="str">
        <f>IFERROR(VLOOKUP(CONCATENATE(C705,D705),qdd!$C$2:$F$1000,4,FALSE),"")</f>
        <v/>
      </c>
      <c r="H705" s="6" t="str">
        <f t="shared" si="22"/>
        <v/>
      </c>
      <c r="I7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5" s="2" t="str">
        <f>IFERROR(IF('PREENCHER AQUI'!E705="","",'PREENCHER AQUI'!E705),"")</f>
        <v/>
      </c>
      <c r="K705" s="2" t="str">
        <f>IFERROR(IF('PREENCHER AQUI'!F705="","",'PREENCHER AQUI'!F705),"")</f>
        <v/>
      </c>
      <c r="L705" s="2" t="str">
        <f>IF(Tabela1[[#This Row],[IPU_COD]]=9,"91",IF(Tabela1[[#This Row],[ACAO_COD]]="","",VLOOKUP(CONCATENATE("G",J705,"M",K705),qdd!$BC$2:$BD$46,2,FALSE)))</f>
        <v/>
      </c>
      <c r="M705" s="2" t="str">
        <f>TEXT(IFERROR(VLOOKUP(CONCATENATE(C705,D705),qdd!$C$2:$G$1000,5,FALSE),""),0)</f>
        <v/>
      </c>
      <c r="N705" s="2" t="str">
        <f>IFERROR(IF('PREENCHER AQUI'!I705="","",'PREENCHER AQUI'!I705),"")</f>
        <v/>
      </c>
      <c r="O705" s="2" t="str">
        <f>IFERROR(IF('PREENCHER AQUI'!J705="","",'PREENCHER AQUI'!J705),"")</f>
        <v/>
      </c>
      <c r="P705" s="7" t="str">
        <f t="shared" si="23"/>
        <v/>
      </c>
      <c r="Q705" s="8" t="str">
        <f>IFERROR(IF(Tabela4[[#This Row],[VALOR]]="","",IF(Tabela1[[#This Row],[ORIENTACAO]]="Anular",'PREENCHER AQUI'!K705*-1*100,'PREENCHER AQUI'!K705*100)),"")</f>
        <v/>
      </c>
      <c r="T705" s="7" t="str">
        <f>IFERROR(IF('PREENCHER AQUI'!L705="","999",LEFT('PREENCHER AQUI'!L705,1)),"")</f>
        <v>999</v>
      </c>
      <c r="V705" s="19"/>
      <c r="W705" s="20" t="str">
        <f>IFERROR(VLOOKUP(Tabela1[[#This Row],[UO_COD]],qdd!$AT$1:$AU$102,2,FALSE),"")</f>
        <v/>
      </c>
      <c r="X705" s="20" t="str">
        <f>CONCATENATE("F",Tabela1[[#This Row],[FONTE_COD]],Tabela1[[#This Row],[IPU_COD]],"G",Tabela1[[#This Row],[GRUPO_COD]],"T",Tabela1[[#This Row],[TIPO]])</f>
        <v>FGT999</v>
      </c>
      <c r="Y7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5" s="19"/>
      <c r="AA705" s="29" t="str">
        <f>IFERROR(VLOOKUP(CONCATENATE("B",Tabela1[[#This Row],[BLOCO]],Tabela1[[#This Row],[UO_COD]]),qdd!$AW$2:$AX$1000,2,FALSE),"")</f>
        <v/>
      </c>
      <c r="AB705" s="30" t="str">
        <f>IFERROR(Tabela1[[#This Row],[VALOR]]/100,"")</f>
        <v/>
      </c>
      <c r="AC705" s="7" t="str" cm="1">
        <f t="array" aca="1" ref="AC705" ca="1">IF(Tabela1[[#This Row],[VALOR]]&lt;0,"",IFERROR(SUBSTITUTE(Converter_numero(Tabela1[[#This Row],[VALOR INCISO]]),",",""),""))</f>
        <v/>
      </c>
      <c r="AD705" s="29" t="str">
        <f>IF(Tabela1[[#This Row],[TIPO]]=REGRAS!$W$2,REGRAS!$X$2,IF(Tabela1[[#This Row],[TIPO]]=REGRAS!$W$4,REGRAS!$X$4,""))</f>
        <v/>
      </c>
      <c r="AE705" s="29" t="e">
        <f>VLOOKUP(Tabela1[[#This Row],[FONTE_COD]],REGRAS!$O$2:$P$69,2,FALSE)</f>
        <v>#N/A</v>
      </c>
      <c r="AF7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6" spans="1:32" ht="18.75" customHeight="1">
      <c r="A706" s="2" t="str">
        <f>IFERROR(IF('PREENCHER AQUI'!A706="","",'PREENCHER AQUI'!A706),"")</f>
        <v/>
      </c>
      <c r="B706" s="1" t="str">
        <f>IFERROR(IF('PREENCHER AQUI'!B706="","",PROPER('PREENCHER AQUI'!B706)),"")</f>
        <v/>
      </c>
      <c r="C706" s="1" t="str">
        <f>IFERROR(IF('PREENCHER AQUI'!C706="","",'PREENCHER AQUI'!C706),"")</f>
        <v/>
      </c>
      <c r="D706" s="2" t="str">
        <f>IFERROR(IF('PREENCHER AQUI'!D706="","",'PREENCHER AQUI'!D706),"")</f>
        <v/>
      </c>
      <c r="E706" s="2" t="str">
        <f>IFERROR(VLOOKUP(CONCATENATE(C706,D706),qdd!$C$2:$F$1000,2,FALSE),"")</f>
        <v/>
      </c>
      <c r="F706" s="2" t="str">
        <f>IFERROR(VLOOKUP(CONCATENATE(C706,D706),qdd!$C$2:$F$1000,3,FALSE),"")</f>
        <v/>
      </c>
      <c r="G706" s="2" t="str">
        <f>IFERROR(VLOOKUP(CONCATENATE(C706,D706),qdd!$C$2:$F$1000,4,FALSE),"")</f>
        <v/>
      </c>
      <c r="H706" s="6" t="str">
        <f t="shared" si="22"/>
        <v/>
      </c>
      <c r="I7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6" s="2" t="str">
        <f>IFERROR(IF('PREENCHER AQUI'!E706="","",'PREENCHER AQUI'!E706),"")</f>
        <v/>
      </c>
      <c r="K706" s="2" t="str">
        <f>IFERROR(IF('PREENCHER AQUI'!F706="","",'PREENCHER AQUI'!F706),"")</f>
        <v/>
      </c>
      <c r="L706" s="2" t="str">
        <f>IF(Tabela1[[#This Row],[IPU_COD]]=9,"91",IF(Tabela1[[#This Row],[ACAO_COD]]="","",VLOOKUP(CONCATENATE("G",J706,"M",K706),qdd!$BC$2:$BD$46,2,FALSE)))</f>
        <v/>
      </c>
      <c r="M706" s="2" t="str">
        <f>TEXT(IFERROR(VLOOKUP(CONCATENATE(C706,D706),qdd!$C$2:$G$1000,5,FALSE),""),0)</f>
        <v/>
      </c>
      <c r="N706" s="2" t="str">
        <f>IFERROR(IF('PREENCHER AQUI'!I706="","",'PREENCHER AQUI'!I706),"")</f>
        <v/>
      </c>
      <c r="O706" s="2" t="str">
        <f>IFERROR(IF('PREENCHER AQUI'!J706="","",'PREENCHER AQUI'!J706),"")</f>
        <v/>
      </c>
      <c r="P706" s="7" t="str">
        <f t="shared" si="23"/>
        <v/>
      </c>
      <c r="Q706" s="8" t="str">
        <f>IFERROR(IF(Tabela4[[#This Row],[VALOR]]="","",IF(Tabela1[[#This Row],[ORIENTACAO]]="Anular",'PREENCHER AQUI'!K706*-1*100,'PREENCHER AQUI'!K706*100)),"")</f>
        <v/>
      </c>
      <c r="T706" s="7" t="str">
        <f>IFERROR(IF('PREENCHER AQUI'!L706="","999",LEFT('PREENCHER AQUI'!L706,1)),"")</f>
        <v>999</v>
      </c>
      <c r="V706" s="19"/>
      <c r="W706" s="1" t="str">
        <f>IFERROR(VLOOKUP(Tabela1[[#This Row],[UO_COD]],qdd!$AT$1:$AU$102,2,FALSE),"")</f>
        <v/>
      </c>
      <c r="X706" s="1" t="str">
        <f>CONCATENATE("F",Tabela1[[#This Row],[FONTE_COD]],Tabela1[[#This Row],[IPU_COD]],"G",Tabela1[[#This Row],[GRUPO_COD]],"T",Tabela1[[#This Row],[TIPO]])</f>
        <v>FGT999</v>
      </c>
      <c r="Y7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6" s="19"/>
      <c r="AA706" s="29" t="str">
        <f>IFERROR(VLOOKUP(CONCATENATE("B",Tabela1[[#This Row],[BLOCO]],Tabela1[[#This Row],[UO_COD]]),qdd!$AW$2:$AX$1000,2,FALSE),"")</f>
        <v/>
      </c>
      <c r="AB706" s="30" t="str">
        <f>IFERROR(Tabela1[[#This Row],[VALOR]]/100,"")</f>
        <v/>
      </c>
      <c r="AC706" s="7" t="str" cm="1">
        <f t="array" aca="1" ref="AC706" ca="1">IF(Tabela1[[#This Row],[VALOR]]&lt;0,"",IFERROR(SUBSTITUTE(Converter_numero(Tabela1[[#This Row],[VALOR INCISO]]),",",""),""))</f>
        <v/>
      </c>
      <c r="AD706" s="29" t="str">
        <f>IF(Tabela1[[#This Row],[TIPO]]=REGRAS!$W$2,REGRAS!$X$2,IF(Tabela1[[#This Row],[TIPO]]=REGRAS!$W$4,REGRAS!$X$4,""))</f>
        <v/>
      </c>
      <c r="AE706" s="29" t="e">
        <f>VLOOKUP(Tabela1[[#This Row],[FONTE_COD]],REGRAS!$O$2:$P$69,2,FALSE)</f>
        <v>#N/A</v>
      </c>
      <c r="AF7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7" spans="1:32" ht="18.75" customHeight="1">
      <c r="A707" s="2" t="str">
        <f>IFERROR(IF('PREENCHER AQUI'!A707="","",'PREENCHER AQUI'!A707),"")</f>
        <v/>
      </c>
      <c r="B707" s="1" t="str">
        <f>IFERROR(IF('PREENCHER AQUI'!B707="","",PROPER('PREENCHER AQUI'!B707)),"")</f>
        <v/>
      </c>
      <c r="C707" s="1" t="str">
        <f>IFERROR(IF('PREENCHER AQUI'!C707="","",'PREENCHER AQUI'!C707),"")</f>
        <v/>
      </c>
      <c r="D707" s="2" t="str">
        <f>IFERROR(IF('PREENCHER AQUI'!D707="","",'PREENCHER AQUI'!D707),"")</f>
        <v/>
      </c>
      <c r="E707" s="2" t="str">
        <f>IFERROR(VLOOKUP(CONCATENATE(C707,D707),qdd!$C$2:$F$1000,2,FALSE),"")</f>
        <v/>
      </c>
      <c r="F707" s="2" t="str">
        <f>IFERROR(VLOOKUP(CONCATENATE(C707,D707),qdd!$C$2:$F$1000,3,FALSE),"")</f>
        <v/>
      </c>
      <c r="G707" s="2" t="str">
        <f>IFERROR(VLOOKUP(CONCATENATE(C707,D707),qdd!$C$2:$F$1000,4,FALSE),"")</f>
        <v/>
      </c>
      <c r="H707" s="6" t="str">
        <f t="shared" ref="H707:H770" si="24">IF(E707="","","0001")</f>
        <v/>
      </c>
      <c r="I7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7" s="2" t="str">
        <f>IFERROR(IF('PREENCHER AQUI'!E707="","",'PREENCHER AQUI'!E707),"")</f>
        <v/>
      </c>
      <c r="K707" s="2" t="str">
        <f>IFERROR(IF('PREENCHER AQUI'!F707="","",'PREENCHER AQUI'!F707),"")</f>
        <v/>
      </c>
      <c r="L707" s="2" t="str">
        <f>IF(Tabela1[[#This Row],[IPU_COD]]=9,"91",IF(Tabela1[[#This Row],[ACAO_COD]]="","",VLOOKUP(CONCATENATE("G",J707,"M",K707),qdd!$BC$2:$BD$46,2,FALSE)))</f>
        <v/>
      </c>
      <c r="M707" s="2" t="str">
        <f>TEXT(IFERROR(VLOOKUP(CONCATENATE(C707,D707),qdd!$C$2:$G$1000,5,FALSE),""),0)</f>
        <v/>
      </c>
      <c r="N707" s="2" t="str">
        <f>IFERROR(IF('PREENCHER AQUI'!I707="","",'PREENCHER AQUI'!I707),"")</f>
        <v/>
      </c>
      <c r="O707" s="2" t="str">
        <f>IFERROR(IF('PREENCHER AQUI'!J707="","",'PREENCHER AQUI'!J707),"")</f>
        <v/>
      </c>
      <c r="P707" s="7" t="str">
        <f t="shared" ref="P707:P770" si="25">IFERROR(CONCATENATE(E707,F707,G707,D707,H707,I707,J707,K707,L707,M707,N707,O707),"")</f>
        <v/>
      </c>
      <c r="Q707" s="8" t="str">
        <f>IFERROR(IF(Tabela4[[#This Row],[VALOR]]="","",IF(Tabela1[[#This Row],[ORIENTACAO]]="Anular",'PREENCHER AQUI'!K707*-1*100,'PREENCHER AQUI'!K707*100)),"")</f>
        <v/>
      </c>
      <c r="T707" s="7" t="str">
        <f>IFERROR(IF('PREENCHER AQUI'!L707="","999",LEFT('PREENCHER AQUI'!L707,1)),"")</f>
        <v>999</v>
      </c>
      <c r="W707" s="1" t="str">
        <f>IFERROR(VLOOKUP(Tabela1[[#This Row],[UO_COD]],qdd!$AT$1:$AU$102,2,FALSE),"")</f>
        <v/>
      </c>
      <c r="X707" s="1" t="str">
        <f>CONCATENATE("F",Tabela1[[#This Row],[FONTE_COD]],Tabela1[[#This Row],[IPU_COD]],"G",Tabela1[[#This Row],[GRUPO_COD]],"T",Tabela1[[#This Row],[TIPO]])</f>
        <v>FGT999</v>
      </c>
      <c r="Y7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7" s="19"/>
      <c r="AA707" s="29" t="str">
        <f>IFERROR(VLOOKUP(CONCATENATE("B",Tabela1[[#This Row],[BLOCO]],Tabela1[[#This Row],[UO_COD]]),qdd!$AW$2:$AX$1000,2,FALSE),"")</f>
        <v/>
      </c>
      <c r="AB707" s="30" t="str">
        <f>IFERROR(Tabela1[[#This Row],[VALOR]]/100,"")</f>
        <v/>
      </c>
      <c r="AC707" s="7" t="str" cm="1">
        <f t="array" aca="1" ref="AC707" ca="1">IF(Tabela1[[#This Row],[VALOR]]&lt;0,"",IFERROR(SUBSTITUTE(Converter_numero(Tabela1[[#This Row],[VALOR INCISO]]),",",""),""))</f>
        <v/>
      </c>
      <c r="AD707" s="7" t="str">
        <f>IF(Tabela1[[#This Row],[TIPO]]=REGRAS!$W$2,REGRAS!$X$2,IF(Tabela1[[#This Row],[TIPO]]=REGRAS!$W$4,REGRAS!$X$4,""))</f>
        <v/>
      </c>
      <c r="AE707" s="29" t="e">
        <f>VLOOKUP(Tabela1[[#This Row],[FONTE_COD]],REGRAS!$O$2:$P$69,2,FALSE)</f>
        <v>#N/A</v>
      </c>
      <c r="AF7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8" spans="1:32" ht="18.75" customHeight="1">
      <c r="A708" s="2" t="str">
        <f>IFERROR(IF('PREENCHER AQUI'!A708="","",'PREENCHER AQUI'!A708),"")</f>
        <v/>
      </c>
      <c r="B708" s="1" t="str">
        <f>IFERROR(IF('PREENCHER AQUI'!B708="","",PROPER('PREENCHER AQUI'!B708)),"")</f>
        <v/>
      </c>
      <c r="C708" s="1" t="str">
        <f>IFERROR(IF('PREENCHER AQUI'!C708="","",'PREENCHER AQUI'!C708),"")</f>
        <v/>
      </c>
      <c r="D708" s="2" t="str">
        <f>IFERROR(IF('PREENCHER AQUI'!D708="","",'PREENCHER AQUI'!D708),"")</f>
        <v/>
      </c>
      <c r="E708" s="2" t="str">
        <f>IFERROR(VLOOKUP(CONCATENATE(C708,D708),qdd!$C$2:$F$1000,2,FALSE),"")</f>
        <v/>
      </c>
      <c r="F708" s="2" t="str">
        <f>IFERROR(VLOOKUP(CONCATENATE(C708,D708),qdd!$C$2:$F$1000,3,FALSE),"")</f>
        <v/>
      </c>
      <c r="G708" s="2" t="str">
        <f>IFERROR(VLOOKUP(CONCATENATE(C708,D708),qdd!$C$2:$F$1000,4,FALSE),"")</f>
        <v/>
      </c>
      <c r="H708" s="6" t="str">
        <f t="shared" si="24"/>
        <v/>
      </c>
      <c r="I7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8" s="2" t="str">
        <f>IFERROR(IF('PREENCHER AQUI'!E708="","",'PREENCHER AQUI'!E708),"")</f>
        <v/>
      </c>
      <c r="K708" s="2" t="str">
        <f>IFERROR(IF('PREENCHER AQUI'!F708="","",'PREENCHER AQUI'!F708),"")</f>
        <v/>
      </c>
      <c r="L708" s="2" t="str">
        <f>IF(Tabela1[[#This Row],[IPU_COD]]=9,"91",IF(Tabela1[[#This Row],[ACAO_COD]]="","",VLOOKUP(CONCATENATE("G",J708,"M",K708),qdd!$BC$2:$BD$46,2,FALSE)))</f>
        <v/>
      </c>
      <c r="M708" s="2" t="str">
        <f>TEXT(IFERROR(VLOOKUP(CONCATENATE(C708,D708),qdd!$C$2:$G$1000,5,FALSE),""),0)</f>
        <v/>
      </c>
      <c r="N708" s="2" t="str">
        <f>IFERROR(IF('PREENCHER AQUI'!I708="","",'PREENCHER AQUI'!I708),"")</f>
        <v/>
      </c>
      <c r="O708" s="2" t="str">
        <f>IFERROR(IF('PREENCHER AQUI'!J708="","",'PREENCHER AQUI'!J708),"")</f>
        <v/>
      </c>
      <c r="P708" s="7" t="str">
        <f t="shared" si="25"/>
        <v/>
      </c>
      <c r="Q708" s="8" t="str">
        <f>IFERROR(IF(Tabela4[[#This Row],[VALOR]]="","",IF(Tabela1[[#This Row],[ORIENTACAO]]="Anular",'PREENCHER AQUI'!K708*-1*100,'PREENCHER AQUI'!K708*100)),"")</f>
        <v/>
      </c>
      <c r="T708" s="7" t="str">
        <f>IFERROR(IF('PREENCHER AQUI'!L708="","999",LEFT('PREENCHER AQUI'!L708,1)),"")</f>
        <v>999</v>
      </c>
      <c r="V708" s="19"/>
      <c r="W708" s="1" t="str">
        <f>IFERROR(VLOOKUP(Tabela1[[#This Row],[UO_COD]],qdd!$AT$1:$AU$102,2,FALSE),"")</f>
        <v/>
      </c>
      <c r="X708" s="1" t="str">
        <f>CONCATENATE("F",Tabela1[[#This Row],[FONTE_COD]],Tabela1[[#This Row],[IPU_COD]],"G",Tabela1[[#This Row],[GRUPO_COD]],"T",Tabela1[[#This Row],[TIPO]])</f>
        <v>FGT999</v>
      </c>
      <c r="Y7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8" s="19"/>
      <c r="AA708" s="29" t="str">
        <f>IFERROR(VLOOKUP(CONCATENATE("B",Tabela1[[#This Row],[BLOCO]],Tabela1[[#This Row],[UO_COD]]),qdd!$AW$2:$AX$1000,2,FALSE),"")</f>
        <v/>
      </c>
      <c r="AB708" s="30" t="str">
        <f>IFERROR(Tabela1[[#This Row],[VALOR]]/100,"")</f>
        <v/>
      </c>
      <c r="AC708" s="7" t="str" cm="1">
        <f t="array" aca="1" ref="AC708" ca="1">IF(Tabela1[[#This Row],[VALOR]]&lt;0,"",IFERROR(SUBSTITUTE(Converter_numero(Tabela1[[#This Row],[VALOR INCISO]]),",",""),""))</f>
        <v/>
      </c>
      <c r="AD708" s="29" t="str">
        <f>IF(Tabela1[[#This Row],[TIPO]]=REGRAS!$W$2,REGRAS!$X$2,IF(Tabela1[[#This Row],[TIPO]]=REGRAS!$W$4,REGRAS!$X$4,""))</f>
        <v/>
      </c>
      <c r="AE708" s="29" t="e">
        <f>VLOOKUP(Tabela1[[#This Row],[FONTE_COD]],REGRAS!$O$2:$P$69,2,FALSE)</f>
        <v>#N/A</v>
      </c>
      <c r="AF7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9" spans="1:32" ht="18.75" customHeight="1">
      <c r="A709" s="2" t="str">
        <f>IFERROR(IF('PREENCHER AQUI'!A709="","",'PREENCHER AQUI'!A709),"")</f>
        <v/>
      </c>
      <c r="B709" s="1" t="str">
        <f>IFERROR(IF('PREENCHER AQUI'!B709="","",PROPER('PREENCHER AQUI'!B709)),"")</f>
        <v/>
      </c>
      <c r="C709" s="1" t="str">
        <f>IFERROR(IF('PREENCHER AQUI'!C709="","",'PREENCHER AQUI'!C709),"")</f>
        <v/>
      </c>
      <c r="D709" s="2" t="str">
        <f>IFERROR(IF('PREENCHER AQUI'!D709="","",'PREENCHER AQUI'!D709),"")</f>
        <v/>
      </c>
      <c r="E709" s="2" t="str">
        <f>IFERROR(VLOOKUP(CONCATENATE(C709,D709),qdd!$C$2:$F$1000,2,FALSE),"")</f>
        <v/>
      </c>
      <c r="F709" s="2" t="str">
        <f>IFERROR(VLOOKUP(CONCATENATE(C709,D709),qdd!$C$2:$F$1000,3,FALSE),"")</f>
        <v/>
      </c>
      <c r="G709" s="2" t="str">
        <f>IFERROR(VLOOKUP(CONCATENATE(C709,D709),qdd!$C$2:$F$1000,4,FALSE),"")</f>
        <v/>
      </c>
      <c r="H709" s="6" t="str">
        <f t="shared" si="24"/>
        <v/>
      </c>
      <c r="I7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9" s="2" t="str">
        <f>IFERROR(IF('PREENCHER AQUI'!E709="","",'PREENCHER AQUI'!E709),"")</f>
        <v/>
      </c>
      <c r="K709" s="2" t="str">
        <f>IFERROR(IF('PREENCHER AQUI'!F709="","",'PREENCHER AQUI'!F709),"")</f>
        <v/>
      </c>
      <c r="L709" s="2" t="str">
        <f>IF(Tabela1[[#This Row],[IPU_COD]]=9,"91",IF(Tabela1[[#This Row],[ACAO_COD]]="","",VLOOKUP(CONCATENATE("G",J709,"M",K709),qdd!$BC$2:$BD$46,2,FALSE)))</f>
        <v/>
      </c>
      <c r="M709" s="2" t="str">
        <f>TEXT(IFERROR(VLOOKUP(CONCATENATE(C709,D709),qdd!$C$2:$G$1000,5,FALSE),""),0)</f>
        <v/>
      </c>
      <c r="N709" s="2" t="str">
        <f>IFERROR(IF('PREENCHER AQUI'!I709="","",'PREENCHER AQUI'!I709),"")</f>
        <v/>
      </c>
      <c r="O709" s="2" t="str">
        <f>IFERROR(IF('PREENCHER AQUI'!J709="","",'PREENCHER AQUI'!J709),"")</f>
        <v/>
      </c>
      <c r="P709" s="7" t="str">
        <f t="shared" si="25"/>
        <v/>
      </c>
      <c r="Q709" s="8" t="str">
        <f>IFERROR(IF(Tabela4[[#This Row],[VALOR]]="","",IF(Tabela1[[#This Row],[ORIENTACAO]]="Anular",'PREENCHER AQUI'!K709*-1*100,'PREENCHER AQUI'!K709*100)),"")</f>
        <v/>
      </c>
      <c r="T709" s="7" t="str">
        <f>IFERROR(IF('PREENCHER AQUI'!L709="","999",LEFT('PREENCHER AQUI'!L709,1)),"")</f>
        <v>999</v>
      </c>
      <c r="V709" s="19"/>
      <c r="W709" s="1" t="str">
        <f>IFERROR(VLOOKUP(Tabela1[[#This Row],[UO_COD]],qdd!$AT$1:$AU$102,2,FALSE),"")</f>
        <v/>
      </c>
      <c r="X709" s="1" t="str">
        <f>CONCATENATE("F",Tabela1[[#This Row],[FONTE_COD]],Tabela1[[#This Row],[IPU_COD]],"G",Tabela1[[#This Row],[GRUPO_COD]],"T",Tabela1[[#This Row],[TIPO]])</f>
        <v>FGT999</v>
      </c>
      <c r="Y7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9" s="19"/>
      <c r="AA709" s="29" t="str">
        <f>IFERROR(VLOOKUP(CONCATENATE("B",Tabela1[[#This Row],[BLOCO]],Tabela1[[#This Row],[UO_COD]]),qdd!$AW$2:$AX$1000,2,FALSE),"")</f>
        <v/>
      </c>
      <c r="AB709" s="30" t="str">
        <f>IFERROR(Tabela1[[#This Row],[VALOR]]/100,"")</f>
        <v/>
      </c>
      <c r="AC709" s="7" t="str" cm="1">
        <f t="array" aca="1" ref="AC709" ca="1">IF(Tabela1[[#This Row],[VALOR]]&lt;0,"",IFERROR(SUBSTITUTE(Converter_numero(Tabela1[[#This Row],[VALOR INCISO]]),",",""),""))</f>
        <v/>
      </c>
      <c r="AD709" s="29" t="str">
        <f>IF(Tabela1[[#This Row],[TIPO]]=REGRAS!$W$2,REGRAS!$X$2,IF(Tabela1[[#This Row],[TIPO]]=REGRAS!$W$4,REGRAS!$X$4,""))</f>
        <v/>
      </c>
      <c r="AE709" s="29" t="e">
        <f>VLOOKUP(Tabela1[[#This Row],[FONTE_COD]],REGRAS!$O$2:$P$69,2,FALSE)</f>
        <v>#N/A</v>
      </c>
      <c r="AF7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0" spans="1:32" ht="18.75" customHeight="1">
      <c r="A710" s="2" t="str">
        <f>IFERROR(IF('PREENCHER AQUI'!A710="","",'PREENCHER AQUI'!A710),"")</f>
        <v/>
      </c>
      <c r="B710" s="1" t="str">
        <f>IFERROR(IF('PREENCHER AQUI'!B710="","",PROPER('PREENCHER AQUI'!B710)),"")</f>
        <v/>
      </c>
      <c r="C710" s="1" t="str">
        <f>IFERROR(IF('PREENCHER AQUI'!C710="","",'PREENCHER AQUI'!C710),"")</f>
        <v/>
      </c>
      <c r="D710" s="2" t="str">
        <f>IFERROR(IF('PREENCHER AQUI'!D710="","",'PREENCHER AQUI'!D710),"")</f>
        <v/>
      </c>
      <c r="E710" s="2" t="str">
        <f>IFERROR(VLOOKUP(CONCATENATE(C710,D710),qdd!$C$2:$F$1000,2,FALSE),"")</f>
        <v/>
      </c>
      <c r="F710" s="2" t="str">
        <f>IFERROR(VLOOKUP(CONCATENATE(C710,D710),qdd!$C$2:$F$1000,3,FALSE),"")</f>
        <v/>
      </c>
      <c r="G710" s="2" t="str">
        <f>IFERROR(VLOOKUP(CONCATENATE(C710,D710),qdd!$C$2:$F$1000,4,FALSE),"")</f>
        <v/>
      </c>
      <c r="H710" s="6" t="str">
        <f t="shared" si="24"/>
        <v/>
      </c>
      <c r="I7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0" s="2" t="str">
        <f>IFERROR(IF('PREENCHER AQUI'!E710="","",'PREENCHER AQUI'!E710),"")</f>
        <v/>
      </c>
      <c r="K710" s="2" t="str">
        <f>IFERROR(IF('PREENCHER AQUI'!F710="","",'PREENCHER AQUI'!F710),"")</f>
        <v/>
      </c>
      <c r="L710" s="2" t="str">
        <f>IF(Tabela1[[#This Row],[IPU_COD]]=9,"91",IF(Tabela1[[#This Row],[ACAO_COD]]="","",VLOOKUP(CONCATENATE("G",J710,"M",K710),qdd!$BC$2:$BD$46,2,FALSE)))</f>
        <v/>
      </c>
      <c r="M710" s="2" t="str">
        <f>TEXT(IFERROR(VLOOKUP(CONCATENATE(C710,D710),qdd!$C$2:$G$1000,5,FALSE),""),0)</f>
        <v/>
      </c>
      <c r="N710" s="2" t="str">
        <f>IFERROR(IF('PREENCHER AQUI'!I710="","",'PREENCHER AQUI'!I710),"")</f>
        <v/>
      </c>
      <c r="O710" s="2" t="str">
        <f>IFERROR(IF('PREENCHER AQUI'!J710="","",'PREENCHER AQUI'!J710),"")</f>
        <v/>
      </c>
      <c r="P710" s="7" t="str">
        <f t="shared" si="25"/>
        <v/>
      </c>
      <c r="Q710" s="8" t="str">
        <f>IFERROR(IF(Tabela4[[#This Row],[VALOR]]="","",IF(Tabela1[[#This Row],[ORIENTACAO]]="Anular",'PREENCHER AQUI'!K710*-1*100,'PREENCHER AQUI'!K710*100)),"")</f>
        <v/>
      </c>
      <c r="T710" s="7" t="str">
        <f>IFERROR(IF('PREENCHER AQUI'!L710="","999",LEFT('PREENCHER AQUI'!L710,1)),"")</f>
        <v>999</v>
      </c>
      <c r="V710" s="19"/>
      <c r="W710" s="20" t="str">
        <f>IFERROR(VLOOKUP(Tabela1[[#This Row],[UO_COD]],qdd!$AT$1:$AU$102,2,FALSE),"")</f>
        <v/>
      </c>
      <c r="X710" s="20" t="str">
        <f>CONCATENATE("F",Tabela1[[#This Row],[FONTE_COD]],Tabela1[[#This Row],[IPU_COD]],"G",Tabela1[[#This Row],[GRUPO_COD]],"T",Tabela1[[#This Row],[TIPO]])</f>
        <v>FGT999</v>
      </c>
      <c r="Y7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0" s="19"/>
      <c r="AA710" s="29" t="str">
        <f>IFERROR(VLOOKUP(CONCATENATE("B",Tabela1[[#This Row],[BLOCO]],Tabela1[[#This Row],[UO_COD]]),qdd!$AW$2:$AX$1000,2,FALSE),"")</f>
        <v/>
      </c>
      <c r="AB710" s="30" t="str">
        <f>IFERROR(Tabela1[[#This Row],[VALOR]]/100,"")</f>
        <v/>
      </c>
      <c r="AC710" s="7" t="str" cm="1">
        <f t="array" aca="1" ref="AC710" ca="1">IF(Tabela1[[#This Row],[VALOR]]&lt;0,"",IFERROR(SUBSTITUTE(Converter_numero(Tabela1[[#This Row],[VALOR INCISO]]),",",""),""))</f>
        <v/>
      </c>
      <c r="AD710" s="29" t="str">
        <f>IF(Tabela1[[#This Row],[TIPO]]=REGRAS!$W$2,REGRAS!$X$2,IF(Tabela1[[#This Row],[TIPO]]=REGRAS!$W$4,REGRAS!$X$4,""))</f>
        <v/>
      </c>
      <c r="AE710" s="29" t="e">
        <f>VLOOKUP(Tabela1[[#This Row],[FONTE_COD]],REGRAS!$O$2:$P$69,2,FALSE)</f>
        <v>#N/A</v>
      </c>
      <c r="AF7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1" spans="1:32" ht="18.75" customHeight="1">
      <c r="A711" s="2" t="str">
        <f>IFERROR(IF('PREENCHER AQUI'!A711="","",'PREENCHER AQUI'!A711),"")</f>
        <v/>
      </c>
      <c r="B711" s="1" t="str">
        <f>IFERROR(IF('PREENCHER AQUI'!B711="","",PROPER('PREENCHER AQUI'!B711)),"")</f>
        <v/>
      </c>
      <c r="C711" s="1" t="str">
        <f>IFERROR(IF('PREENCHER AQUI'!C711="","",'PREENCHER AQUI'!C711),"")</f>
        <v/>
      </c>
      <c r="D711" s="2" t="str">
        <f>IFERROR(IF('PREENCHER AQUI'!D711="","",'PREENCHER AQUI'!D711),"")</f>
        <v/>
      </c>
      <c r="E711" s="2" t="str">
        <f>IFERROR(VLOOKUP(CONCATENATE(C711,D711),qdd!$C$2:$F$1000,2,FALSE),"")</f>
        <v/>
      </c>
      <c r="F711" s="2" t="str">
        <f>IFERROR(VLOOKUP(CONCATENATE(C711,D711),qdd!$C$2:$F$1000,3,FALSE),"")</f>
        <v/>
      </c>
      <c r="G711" s="2" t="str">
        <f>IFERROR(VLOOKUP(CONCATENATE(C711,D711),qdd!$C$2:$F$1000,4,FALSE),"")</f>
        <v/>
      </c>
      <c r="H711" s="6" t="str">
        <f t="shared" si="24"/>
        <v/>
      </c>
      <c r="I7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1" s="2" t="str">
        <f>IFERROR(IF('PREENCHER AQUI'!E711="","",'PREENCHER AQUI'!E711),"")</f>
        <v/>
      </c>
      <c r="K711" s="2" t="str">
        <f>IFERROR(IF('PREENCHER AQUI'!F711="","",'PREENCHER AQUI'!F711),"")</f>
        <v/>
      </c>
      <c r="L711" s="2" t="str">
        <f>IF(Tabela1[[#This Row],[IPU_COD]]=9,"91",IF(Tabela1[[#This Row],[ACAO_COD]]="","",VLOOKUP(CONCATENATE("G",J711,"M",K711),qdd!$BC$2:$BD$46,2,FALSE)))</f>
        <v/>
      </c>
      <c r="M711" s="2" t="str">
        <f>TEXT(IFERROR(VLOOKUP(CONCATENATE(C711,D711),qdd!$C$2:$G$1000,5,FALSE),""),0)</f>
        <v/>
      </c>
      <c r="N711" s="2" t="str">
        <f>IFERROR(IF('PREENCHER AQUI'!I711="","",'PREENCHER AQUI'!I711),"")</f>
        <v/>
      </c>
      <c r="O711" s="2" t="str">
        <f>IFERROR(IF('PREENCHER AQUI'!J711="","",'PREENCHER AQUI'!J711),"")</f>
        <v/>
      </c>
      <c r="P711" s="7" t="str">
        <f t="shared" si="25"/>
        <v/>
      </c>
      <c r="Q711" s="8" t="str">
        <f>IFERROR(IF(Tabela4[[#This Row],[VALOR]]="","",IF(Tabela1[[#This Row],[ORIENTACAO]]="Anular",'PREENCHER AQUI'!K711*-1*100,'PREENCHER AQUI'!K711*100)),"")</f>
        <v/>
      </c>
      <c r="T711" s="7" t="str">
        <f>IFERROR(IF('PREENCHER AQUI'!L711="","999",LEFT('PREENCHER AQUI'!L711,1)),"")</f>
        <v>999</v>
      </c>
      <c r="V711" s="19"/>
      <c r="W711" s="1" t="str">
        <f>IFERROR(VLOOKUP(Tabela1[[#This Row],[UO_COD]],qdd!$AT$1:$AU$102,2,FALSE),"")</f>
        <v/>
      </c>
      <c r="X711" s="1" t="str">
        <f>CONCATENATE("F",Tabela1[[#This Row],[FONTE_COD]],Tabela1[[#This Row],[IPU_COD]],"G",Tabela1[[#This Row],[GRUPO_COD]],"T",Tabela1[[#This Row],[TIPO]])</f>
        <v>FGT999</v>
      </c>
      <c r="Y7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1" s="19"/>
      <c r="AA711" s="29" t="str">
        <f>IFERROR(VLOOKUP(CONCATENATE("B",Tabela1[[#This Row],[BLOCO]],Tabela1[[#This Row],[UO_COD]]),qdd!$AW$2:$AX$1000,2,FALSE),"")</f>
        <v/>
      </c>
      <c r="AB711" s="30" t="str">
        <f>IFERROR(Tabela1[[#This Row],[VALOR]]/100,"")</f>
        <v/>
      </c>
      <c r="AC711" s="7" t="str" cm="1">
        <f t="array" aca="1" ref="AC711" ca="1">IF(Tabela1[[#This Row],[VALOR]]&lt;0,"",IFERROR(SUBSTITUTE(Converter_numero(Tabela1[[#This Row],[VALOR INCISO]]),",",""),""))</f>
        <v/>
      </c>
      <c r="AD711" s="29" t="str">
        <f>IF(Tabela1[[#This Row],[TIPO]]=REGRAS!$W$2,REGRAS!$X$2,IF(Tabela1[[#This Row],[TIPO]]=REGRAS!$W$4,REGRAS!$X$4,""))</f>
        <v/>
      </c>
      <c r="AE711" s="29" t="e">
        <f>VLOOKUP(Tabela1[[#This Row],[FONTE_COD]],REGRAS!$O$2:$P$69,2,FALSE)</f>
        <v>#N/A</v>
      </c>
      <c r="AF7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2" spans="1:32" ht="18.75" customHeight="1">
      <c r="A712" s="2" t="str">
        <f>IFERROR(IF('PREENCHER AQUI'!A712="","",'PREENCHER AQUI'!A712),"")</f>
        <v/>
      </c>
      <c r="B712" s="1" t="str">
        <f>IFERROR(IF('PREENCHER AQUI'!B712="","",PROPER('PREENCHER AQUI'!B712)),"")</f>
        <v/>
      </c>
      <c r="C712" s="1" t="str">
        <f>IFERROR(IF('PREENCHER AQUI'!C712="","",'PREENCHER AQUI'!C712),"")</f>
        <v/>
      </c>
      <c r="D712" s="2" t="str">
        <f>IFERROR(IF('PREENCHER AQUI'!D712="","",'PREENCHER AQUI'!D712),"")</f>
        <v/>
      </c>
      <c r="E712" s="2" t="str">
        <f>IFERROR(VLOOKUP(CONCATENATE(C712,D712),qdd!$C$2:$F$1000,2,FALSE),"")</f>
        <v/>
      </c>
      <c r="F712" s="2" t="str">
        <f>IFERROR(VLOOKUP(CONCATENATE(C712,D712),qdd!$C$2:$F$1000,3,FALSE),"")</f>
        <v/>
      </c>
      <c r="G712" s="2" t="str">
        <f>IFERROR(VLOOKUP(CONCATENATE(C712,D712),qdd!$C$2:$F$1000,4,FALSE),"")</f>
        <v/>
      </c>
      <c r="H712" s="6" t="str">
        <f t="shared" si="24"/>
        <v/>
      </c>
      <c r="I7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2" s="2" t="str">
        <f>IFERROR(IF('PREENCHER AQUI'!E712="","",'PREENCHER AQUI'!E712),"")</f>
        <v/>
      </c>
      <c r="K712" s="2" t="str">
        <f>IFERROR(IF('PREENCHER AQUI'!F712="","",'PREENCHER AQUI'!F712),"")</f>
        <v/>
      </c>
      <c r="L712" s="2" t="str">
        <f>IF(Tabela1[[#This Row],[IPU_COD]]=9,"91",IF(Tabela1[[#This Row],[ACAO_COD]]="","",VLOOKUP(CONCATENATE("G",J712,"M",K712),qdd!$BC$2:$BD$46,2,FALSE)))</f>
        <v/>
      </c>
      <c r="M712" s="2" t="str">
        <f>TEXT(IFERROR(VLOOKUP(CONCATENATE(C712,D712),qdd!$C$2:$G$1000,5,FALSE),""),0)</f>
        <v/>
      </c>
      <c r="N712" s="2" t="str">
        <f>IFERROR(IF('PREENCHER AQUI'!I712="","",'PREENCHER AQUI'!I712),"")</f>
        <v/>
      </c>
      <c r="O712" s="2" t="str">
        <f>IFERROR(IF('PREENCHER AQUI'!J712="","",'PREENCHER AQUI'!J712),"")</f>
        <v/>
      </c>
      <c r="P712" s="7" t="str">
        <f t="shared" si="25"/>
        <v/>
      </c>
      <c r="Q712" s="8" t="str">
        <f>IFERROR(IF(Tabela4[[#This Row],[VALOR]]="","",IF(Tabela1[[#This Row],[ORIENTACAO]]="Anular",'PREENCHER AQUI'!K712*-1*100,'PREENCHER AQUI'!K712*100)),"")</f>
        <v/>
      </c>
      <c r="T712" s="7" t="str">
        <f>IFERROR(IF('PREENCHER AQUI'!L712="","999",LEFT('PREENCHER AQUI'!L712,1)),"")</f>
        <v>999</v>
      </c>
      <c r="W712" s="1" t="str">
        <f>IFERROR(VLOOKUP(Tabela1[[#This Row],[UO_COD]],qdd!$AT$1:$AU$102,2,FALSE),"")</f>
        <v/>
      </c>
      <c r="X712" s="1" t="str">
        <f>CONCATENATE("F",Tabela1[[#This Row],[FONTE_COD]],Tabela1[[#This Row],[IPU_COD]],"G",Tabela1[[#This Row],[GRUPO_COD]],"T",Tabela1[[#This Row],[TIPO]])</f>
        <v>FGT999</v>
      </c>
      <c r="Y7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2" s="19"/>
      <c r="AA712" s="29" t="str">
        <f>IFERROR(VLOOKUP(CONCATENATE("B",Tabela1[[#This Row],[BLOCO]],Tabela1[[#This Row],[UO_COD]]),qdd!$AW$2:$AX$1000,2,FALSE),"")</f>
        <v/>
      </c>
      <c r="AB712" s="30" t="str">
        <f>IFERROR(Tabela1[[#This Row],[VALOR]]/100,"")</f>
        <v/>
      </c>
      <c r="AC712" s="7" t="str" cm="1">
        <f t="array" aca="1" ref="AC712" ca="1">IF(Tabela1[[#This Row],[VALOR]]&lt;0,"",IFERROR(SUBSTITUTE(Converter_numero(Tabela1[[#This Row],[VALOR INCISO]]),",",""),""))</f>
        <v/>
      </c>
      <c r="AD712" s="7" t="str">
        <f>IF(Tabela1[[#This Row],[TIPO]]=REGRAS!$W$2,REGRAS!$X$2,IF(Tabela1[[#This Row],[TIPO]]=REGRAS!$W$4,REGRAS!$X$4,""))</f>
        <v/>
      </c>
      <c r="AE712" s="29" t="e">
        <f>VLOOKUP(Tabela1[[#This Row],[FONTE_COD]],REGRAS!$O$2:$P$69,2,FALSE)</f>
        <v>#N/A</v>
      </c>
      <c r="AF7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3" spans="1:32" ht="18.75" customHeight="1">
      <c r="A713" s="2" t="str">
        <f>IFERROR(IF('PREENCHER AQUI'!A713="","",'PREENCHER AQUI'!A713),"")</f>
        <v/>
      </c>
      <c r="B713" s="1" t="str">
        <f>IFERROR(IF('PREENCHER AQUI'!B713="","",PROPER('PREENCHER AQUI'!B713)),"")</f>
        <v/>
      </c>
      <c r="C713" s="1" t="str">
        <f>IFERROR(IF('PREENCHER AQUI'!C713="","",'PREENCHER AQUI'!C713),"")</f>
        <v/>
      </c>
      <c r="D713" s="2" t="str">
        <f>IFERROR(IF('PREENCHER AQUI'!D713="","",'PREENCHER AQUI'!D713),"")</f>
        <v/>
      </c>
      <c r="E713" s="2" t="str">
        <f>IFERROR(VLOOKUP(CONCATENATE(C713,D713),qdd!$C$2:$F$1000,2,FALSE),"")</f>
        <v/>
      </c>
      <c r="F713" s="2" t="str">
        <f>IFERROR(VLOOKUP(CONCATENATE(C713,D713),qdd!$C$2:$F$1000,3,FALSE),"")</f>
        <v/>
      </c>
      <c r="G713" s="2" t="str">
        <f>IFERROR(VLOOKUP(CONCATENATE(C713,D713),qdd!$C$2:$F$1000,4,FALSE),"")</f>
        <v/>
      </c>
      <c r="H713" s="6" t="str">
        <f t="shared" si="24"/>
        <v/>
      </c>
      <c r="I7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3" s="2" t="str">
        <f>IFERROR(IF('PREENCHER AQUI'!E713="","",'PREENCHER AQUI'!E713),"")</f>
        <v/>
      </c>
      <c r="K713" s="2" t="str">
        <f>IFERROR(IF('PREENCHER AQUI'!F713="","",'PREENCHER AQUI'!F713),"")</f>
        <v/>
      </c>
      <c r="L713" s="2" t="str">
        <f>IF(Tabela1[[#This Row],[IPU_COD]]=9,"91",IF(Tabela1[[#This Row],[ACAO_COD]]="","",VLOOKUP(CONCATENATE("G",J713,"M",K713),qdd!$BC$2:$BD$46,2,FALSE)))</f>
        <v/>
      </c>
      <c r="M713" s="2" t="str">
        <f>TEXT(IFERROR(VLOOKUP(CONCATENATE(C713,D713),qdd!$C$2:$G$1000,5,FALSE),""),0)</f>
        <v/>
      </c>
      <c r="N713" s="2" t="str">
        <f>IFERROR(IF('PREENCHER AQUI'!I713="","",'PREENCHER AQUI'!I713),"")</f>
        <v/>
      </c>
      <c r="O713" s="2" t="str">
        <f>IFERROR(IF('PREENCHER AQUI'!J713="","",'PREENCHER AQUI'!J713),"")</f>
        <v/>
      </c>
      <c r="P713" s="7" t="str">
        <f t="shared" si="25"/>
        <v/>
      </c>
      <c r="Q713" s="8" t="str">
        <f>IFERROR(IF(Tabela4[[#This Row],[VALOR]]="","",IF(Tabela1[[#This Row],[ORIENTACAO]]="Anular",'PREENCHER AQUI'!K713*-1*100,'PREENCHER AQUI'!K713*100)),"")</f>
        <v/>
      </c>
      <c r="T713" s="7" t="str">
        <f>IFERROR(IF('PREENCHER AQUI'!L713="","999",LEFT('PREENCHER AQUI'!L713,1)),"")</f>
        <v>999</v>
      </c>
      <c r="V713" s="19"/>
      <c r="W713" s="1" t="str">
        <f>IFERROR(VLOOKUP(Tabela1[[#This Row],[UO_COD]],qdd!$AT$1:$AU$102,2,FALSE),"")</f>
        <v/>
      </c>
      <c r="X713" s="1" t="str">
        <f>CONCATENATE("F",Tabela1[[#This Row],[FONTE_COD]],Tabela1[[#This Row],[IPU_COD]],"G",Tabela1[[#This Row],[GRUPO_COD]],"T",Tabela1[[#This Row],[TIPO]])</f>
        <v>FGT999</v>
      </c>
      <c r="Y7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3" s="19"/>
      <c r="AA713" s="29" t="str">
        <f>IFERROR(VLOOKUP(CONCATENATE("B",Tabela1[[#This Row],[BLOCO]],Tabela1[[#This Row],[UO_COD]]),qdd!$AW$2:$AX$1000,2,FALSE),"")</f>
        <v/>
      </c>
      <c r="AB713" s="30" t="str">
        <f>IFERROR(Tabela1[[#This Row],[VALOR]]/100,"")</f>
        <v/>
      </c>
      <c r="AC713" s="7" t="str" cm="1">
        <f t="array" aca="1" ref="AC713" ca="1">IF(Tabela1[[#This Row],[VALOR]]&lt;0,"",IFERROR(SUBSTITUTE(Converter_numero(Tabela1[[#This Row],[VALOR INCISO]]),",",""),""))</f>
        <v/>
      </c>
      <c r="AD713" s="29" t="str">
        <f>IF(Tabela1[[#This Row],[TIPO]]=REGRAS!$W$2,REGRAS!$X$2,IF(Tabela1[[#This Row],[TIPO]]=REGRAS!$W$4,REGRAS!$X$4,""))</f>
        <v/>
      </c>
      <c r="AE713" s="29" t="e">
        <f>VLOOKUP(Tabela1[[#This Row],[FONTE_COD]],REGRAS!$O$2:$P$69,2,FALSE)</f>
        <v>#N/A</v>
      </c>
      <c r="AF7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4" spans="1:32" ht="18.75" customHeight="1">
      <c r="A714" s="2" t="str">
        <f>IFERROR(IF('PREENCHER AQUI'!A714="","",'PREENCHER AQUI'!A714),"")</f>
        <v/>
      </c>
      <c r="B714" s="1" t="str">
        <f>IFERROR(IF('PREENCHER AQUI'!B714="","",PROPER('PREENCHER AQUI'!B714)),"")</f>
        <v/>
      </c>
      <c r="C714" s="1" t="str">
        <f>IFERROR(IF('PREENCHER AQUI'!C714="","",'PREENCHER AQUI'!C714),"")</f>
        <v/>
      </c>
      <c r="D714" s="2" t="str">
        <f>IFERROR(IF('PREENCHER AQUI'!D714="","",'PREENCHER AQUI'!D714),"")</f>
        <v/>
      </c>
      <c r="E714" s="2" t="str">
        <f>IFERROR(VLOOKUP(CONCATENATE(C714,D714),qdd!$C$2:$F$1000,2,FALSE),"")</f>
        <v/>
      </c>
      <c r="F714" s="2" t="str">
        <f>IFERROR(VLOOKUP(CONCATENATE(C714,D714),qdd!$C$2:$F$1000,3,FALSE),"")</f>
        <v/>
      </c>
      <c r="G714" s="2" t="str">
        <f>IFERROR(VLOOKUP(CONCATENATE(C714,D714),qdd!$C$2:$F$1000,4,FALSE),"")</f>
        <v/>
      </c>
      <c r="H714" s="6" t="str">
        <f t="shared" si="24"/>
        <v/>
      </c>
      <c r="I7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4" s="2" t="str">
        <f>IFERROR(IF('PREENCHER AQUI'!E714="","",'PREENCHER AQUI'!E714),"")</f>
        <v/>
      </c>
      <c r="K714" s="2" t="str">
        <f>IFERROR(IF('PREENCHER AQUI'!F714="","",'PREENCHER AQUI'!F714),"")</f>
        <v/>
      </c>
      <c r="L714" s="2" t="str">
        <f>IF(Tabela1[[#This Row],[IPU_COD]]=9,"91",IF(Tabela1[[#This Row],[ACAO_COD]]="","",VLOOKUP(CONCATENATE("G",J714,"M",K714),qdd!$BC$2:$BD$46,2,FALSE)))</f>
        <v/>
      </c>
      <c r="M714" s="2" t="str">
        <f>TEXT(IFERROR(VLOOKUP(CONCATENATE(C714,D714),qdd!$C$2:$G$1000,5,FALSE),""),0)</f>
        <v/>
      </c>
      <c r="N714" s="2" t="str">
        <f>IFERROR(IF('PREENCHER AQUI'!I714="","",'PREENCHER AQUI'!I714),"")</f>
        <v/>
      </c>
      <c r="O714" s="2" t="str">
        <f>IFERROR(IF('PREENCHER AQUI'!J714="","",'PREENCHER AQUI'!J714),"")</f>
        <v/>
      </c>
      <c r="P714" s="7" t="str">
        <f t="shared" si="25"/>
        <v/>
      </c>
      <c r="Q714" s="8" t="str">
        <f>IFERROR(IF(Tabela4[[#This Row],[VALOR]]="","",IF(Tabela1[[#This Row],[ORIENTACAO]]="Anular",'PREENCHER AQUI'!K714*-1*100,'PREENCHER AQUI'!K714*100)),"")</f>
        <v/>
      </c>
      <c r="T714" s="7" t="str">
        <f>IFERROR(IF('PREENCHER AQUI'!L714="","999",LEFT('PREENCHER AQUI'!L714,1)),"")</f>
        <v>999</v>
      </c>
      <c r="V714" s="19"/>
      <c r="W714" s="1" t="str">
        <f>IFERROR(VLOOKUP(Tabela1[[#This Row],[UO_COD]],qdd!$AT$1:$AU$102,2,FALSE),"")</f>
        <v/>
      </c>
      <c r="X714" s="1" t="str">
        <f>CONCATENATE("F",Tabela1[[#This Row],[FONTE_COD]],Tabela1[[#This Row],[IPU_COD]],"G",Tabela1[[#This Row],[GRUPO_COD]],"T",Tabela1[[#This Row],[TIPO]])</f>
        <v>FGT999</v>
      </c>
      <c r="Y7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4" s="19"/>
      <c r="AA714" s="29" t="str">
        <f>IFERROR(VLOOKUP(CONCATENATE("B",Tabela1[[#This Row],[BLOCO]],Tabela1[[#This Row],[UO_COD]]),qdd!$AW$2:$AX$1000,2,FALSE),"")</f>
        <v/>
      </c>
      <c r="AB714" s="30" t="str">
        <f>IFERROR(Tabela1[[#This Row],[VALOR]]/100,"")</f>
        <v/>
      </c>
      <c r="AC714" s="7" t="str" cm="1">
        <f t="array" aca="1" ref="AC714" ca="1">IF(Tabela1[[#This Row],[VALOR]]&lt;0,"",IFERROR(SUBSTITUTE(Converter_numero(Tabela1[[#This Row],[VALOR INCISO]]),",",""),""))</f>
        <v/>
      </c>
      <c r="AD714" s="29" t="str">
        <f>IF(Tabela1[[#This Row],[TIPO]]=REGRAS!$W$2,REGRAS!$X$2,IF(Tabela1[[#This Row],[TIPO]]=REGRAS!$W$4,REGRAS!$X$4,""))</f>
        <v/>
      </c>
      <c r="AE714" s="29" t="e">
        <f>VLOOKUP(Tabela1[[#This Row],[FONTE_COD]],REGRAS!$O$2:$P$69,2,FALSE)</f>
        <v>#N/A</v>
      </c>
      <c r="AF7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5" spans="1:32" ht="18.75" customHeight="1">
      <c r="A715" s="2" t="str">
        <f>IFERROR(IF('PREENCHER AQUI'!A715="","",'PREENCHER AQUI'!A715),"")</f>
        <v/>
      </c>
      <c r="B715" s="1" t="str">
        <f>IFERROR(IF('PREENCHER AQUI'!B715="","",PROPER('PREENCHER AQUI'!B715)),"")</f>
        <v/>
      </c>
      <c r="C715" s="1" t="str">
        <f>IFERROR(IF('PREENCHER AQUI'!C715="","",'PREENCHER AQUI'!C715),"")</f>
        <v/>
      </c>
      <c r="D715" s="2" t="str">
        <f>IFERROR(IF('PREENCHER AQUI'!D715="","",'PREENCHER AQUI'!D715),"")</f>
        <v/>
      </c>
      <c r="E715" s="2" t="str">
        <f>IFERROR(VLOOKUP(CONCATENATE(C715,D715),qdd!$C$2:$F$1000,2,FALSE),"")</f>
        <v/>
      </c>
      <c r="F715" s="2" t="str">
        <f>IFERROR(VLOOKUP(CONCATENATE(C715,D715),qdd!$C$2:$F$1000,3,FALSE),"")</f>
        <v/>
      </c>
      <c r="G715" s="2" t="str">
        <f>IFERROR(VLOOKUP(CONCATENATE(C715,D715),qdd!$C$2:$F$1000,4,FALSE),"")</f>
        <v/>
      </c>
      <c r="H715" s="6" t="str">
        <f t="shared" si="24"/>
        <v/>
      </c>
      <c r="I7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5" s="2" t="str">
        <f>IFERROR(IF('PREENCHER AQUI'!E715="","",'PREENCHER AQUI'!E715),"")</f>
        <v/>
      </c>
      <c r="K715" s="2" t="str">
        <f>IFERROR(IF('PREENCHER AQUI'!F715="","",'PREENCHER AQUI'!F715),"")</f>
        <v/>
      </c>
      <c r="L715" s="2" t="str">
        <f>IF(Tabela1[[#This Row],[IPU_COD]]=9,"91",IF(Tabela1[[#This Row],[ACAO_COD]]="","",VLOOKUP(CONCATENATE("G",J715,"M",K715),qdd!$BC$2:$BD$46,2,FALSE)))</f>
        <v/>
      </c>
      <c r="M715" s="2" t="str">
        <f>TEXT(IFERROR(VLOOKUP(CONCATENATE(C715,D715),qdd!$C$2:$G$1000,5,FALSE),""),0)</f>
        <v/>
      </c>
      <c r="N715" s="2" t="str">
        <f>IFERROR(IF('PREENCHER AQUI'!I715="","",'PREENCHER AQUI'!I715),"")</f>
        <v/>
      </c>
      <c r="O715" s="2" t="str">
        <f>IFERROR(IF('PREENCHER AQUI'!J715="","",'PREENCHER AQUI'!J715),"")</f>
        <v/>
      </c>
      <c r="P715" s="7" t="str">
        <f t="shared" si="25"/>
        <v/>
      </c>
      <c r="Q715" s="8" t="str">
        <f>IFERROR(IF(Tabela4[[#This Row],[VALOR]]="","",IF(Tabela1[[#This Row],[ORIENTACAO]]="Anular",'PREENCHER AQUI'!K715*-1*100,'PREENCHER AQUI'!K715*100)),"")</f>
        <v/>
      </c>
      <c r="T715" s="7" t="str">
        <f>IFERROR(IF('PREENCHER AQUI'!L715="","999",LEFT('PREENCHER AQUI'!L715,1)),"")</f>
        <v>999</v>
      </c>
      <c r="V715" s="19"/>
      <c r="W715" s="20" t="str">
        <f>IFERROR(VLOOKUP(Tabela1[[#This Row],[UO_COD]],qdd!$AT$1:$AU$102,2,FALSE),"")</f>
        <v/>
      </c>
      <c r="X715" s="20" t="str">
        <f>CONCATENATE("F",Tabela1[[#This Row],[FONTE_COD]],Tabela1[[#This Row],[IPU_COD]],"G",Tabela1[[#This Row],[GRUPO_COD]],"T",Tabela1[[#This Row],[TIPO]])</f>
        <v>FGT999</v>
      </c>
      <c r="Y7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5" s="19"/>
      <c r="AA715" s="29" t="str">
        <f>IFERROR(VLOOKUP(CONCATENATE("B",Tabela1[[#This Row],[BLOCO]],Tabela1[[#This Row],[UO_COD]]),qdd!$AW$2:$AX$1000,2,FALSE),"")</f>
        <v/>
      </c>
      <c r="AB715" s="30" t="str">
        <f>IFERROR(Tabela1[[#This Row],[VALOR]]/100,"")</f>
        <v/>
      </c>
      <c r="AC715" s="7" t="str" cm="1">
        <f t="array" aca="1" ref="AC715" ca="1">IF(Tabela1[[#This Row],[VALOR]]&lt;0,"",IFERROR(SUBSTITUTE(Converter_numero(Tabela1[[#This Row],[VALOR INCISO]]),",",""),""))</f>
        <v/>
      </c>
      <c r="AD715" s="29" t="str">
        <f>IF(Tabela1[[#This Row],[TIPO]]=REGRAS!$W$2,REGRAS!$X$2,IF(Tabela1[[#This Row],[TIPO]]=REGRAS!$W$4,REGRAS!$X$4,""))</f>
        <v/>
      </c>
      <c r="AE715" s="29" t="e">
        <f>VLOOKUP(Tabela1[[#This Row],[FONTE_COD]],REGRAS!$O$2:$P$69,2,FALSE)</f>
        <v>#N/A</v>
      </c>
      <c r="AF7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6" spans="1:32" ht="18.75" customHeight="1">
      <c r="A716" s="2" t="str">
        <f>IFERROR(IF('PREENCHER AQUI'!A716="","",'PREENCHER AQUI'!A716),"")</f>
        <v/>
      </c>
      <c r="B716" s="1" t="str">
        <f>IFERROR(IF('PREENCHER AQUI'!B716="","",PROPER('PREENCHER AQUI'!B716)),"")</f>
        <v/>
      </c>
      <c r="C716" s="1" t="str">
        <f>IFERROR(IF('PREENCHER AQUI'!C716="","",'PREENCHER AQUI'!C716),"")</f>
        <v/>
      </c>
      <c r="D716" s="2" t="str">
        <f>IFERROR(IF('PREENCHER AQUI'!D716="","",'PREENCHER AQUI'!D716),"")</f>
        <v/>
      </c>
      <c r="E716" s="2" t="str">
        <f>IFERROR(VLOOKUP(CONCATENATE(C716,D716),qdd!$C$2:$F$1000,2,FALSE),"")</f>
        <v/>
      </c>
      <c r="F716" s="2" t="str">
        <f>IFERROR(VLOOKUP(CONCATENATE(C716,D716),qdd!$C$2:$F$1000,3,FALSE),"")</f>
        <v/>
      </c>
      <c r="G716" s="2" t="str">
        <f>IFERROR(VLOOKUP(CONCATENATE(C716,D716),qdd!$C$2:$F$1000,4,FALSE),"")</f>
        <v/>
      </c>
      <c r="H716" s="6" t="str">
        <f t="shared" si="24"/>
        <v/>
      </c>
      <c r="I7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6" s="2" t="str">
        <f>IFERROR(IF('PREENCHER AQUI'!E716="","",'PREENCHER AQUI'!E716),"")</f>
        <v/>
      </c>
      <c r="K716" s="2" t="str">
        <f>IFERROR(IF('PREENCHER AQUI'!F716="","",'PREENCHER AQUI'!F716),"")</f>
        <v/>
      </c>
      <c r="L716" s="2" t="str">
        <f>IF(Tabela1[[#This Row],[IPU_COD]]=9,"91",IF(Tabela1[[#This Row],[ACAO_COD]]="","",VLOOKUP(CONCATENATE("G",J716,"M",K716),qdd!$BC$2:$BD$46,2,FALSE)))</f>
        <v/>
      </c>
      <c r="M716" s="2" t="str">
        <f>TEXT(IFERROR(VLOOKUP(CONCATENATE(C716,D716),qdd!$C$2:$G$1000,5,FALSE),""),0)</f>
        <v/>
      </c>
      <c r="N716" s="2" t="str">
        <f>IFERROR(IF('PREENCHER AQUI'!I716="","",'PREENCHER AQUI'!I716),"")</f>
        <v/>
      </c>
      <c r="O716" s="2" t="str">
        <f>IFERROR(IF('PREENCHER AQUI'!J716="","",'PREENCHER AQUI'!J716),"")</f>
        <v/>
      </c>
      <c r="P716" s="7" t="str">
        <f t="shared" si="25"/>
        <v/>
      </c>
      <c r="Q716" s="8" t="str">
        <f>IFERROR(IF(Tabela4[[#This Row],[VALOR]]="","",IF(Tabela1[[#This Row],[ORIENTACAO]]="Anular",'PREENCHER AQUI'!K716*-1*100,'PREENCHER AQUI'!K716*100)),"")</f>
        <v/>
      </c>
      <c r="T716" s="7" t="str">
        <f>IFERROR(IF('PREENCHER AQUI'!L716="","999",LEFT('PREENCHER AQUI'!L716,1)),"")</f>
        <v>999</v>
      </c>
      <c r="V716" s="19"/>
      <c r="W716" s="1" t="str">
        <f>IFERROR(VLOOKUP(Tabela1[[#This Row],[UO_COD]],qdd!$AT$1:$AU$102,2,FALSE),"")</f>
        <v/>
      </c>
      <c r="X716" s="1" t="str">
        <f>CONCATENATE("F",Tabela1[[#This Row],[FONTE_COD]],Tabela1[[#This Row],[IPU_COD]],"G",Tabela1[[#This Row],[GRUPO_COD]],"T",Tabela1[[#This Row],[TIPO]])</f>
        <v>FGT999</v>
      </c>
      <c r="Y7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6" s="19"/>
      <c r="AA716" s="29" t="str">
        <f>IFERROR(VLOOKUP(CONCATENATE("B",Tabela1[[#This Row],[BLOCO]],Tabela1[[#This Row],[UO_COD]]),qdd!$AW$2:$AX$1000,2,FALSE),"")</f>
        <v/>
      </c>
      <c r="AB716" s="30" t="str">
        <f>IFERROR(Tabela1[[#This Row],[VALOR]]/100,"")</f>
        <v/>
      </c>
      <c r="AC716" s="7" t="str" cm="1">
        <f t="array" aca="1" ref="AC716" ca="1">IF(Tabela1[[#This Row],[VALOR]]&lt;0,"",IFERROR(SUBSTITUTE(Converter_numero(Tabela1[[#This Row],[VALOR INCISO]]),",",""),""))</f>
        <v/>
      </c>
      <c r="AD716" s="29" t="str">
        <f>IF(Tabela1[[#This Row],[TIPO]]=REGRAS!$W$2,REGRAS!$X$2,IF(Tabela1[[#This Row],[TIPO]]=REGRAS!$W$4,REGRAS!$X$4,""))</f>
        <v/>
      </c>
      <c r="AE716" s="29" t="e">
        <f>VLOOKUP(Tabela1[[#This Row],[FONTE_COD]],REGRAS!$O$2:$P$69,2,FALSE)</f>
        <v>#N/A</v>
      </c>
      <c r="AF7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7" spans="1:32" ht="18.75" customHeight="1">
      <c r="A717" s="2" t="str">
        <f>IFERROR(IF('PREENCHER AQUI'!A717="","",'PREENCHER AQUI'!A717),"")</f>
        <v/>
      </c>
      <c r="B717" s="1" t="str">
        <f>IFERROR(IF('PREENCHER AQUI'!B717="","",PROPER('PREENCHER AQUI'!B717)),"")</f>
        <v/>
      </c>
      <c r="C717" s="1" t="str">
        <f>IFERROR(IF('PREENCHER AQUI'!C717="","",'PREENCHER AQUI'!C717),"")</f>
        <v/>
      </c>
      <c r="D717" s="2" t="str">
        <f>IFERROR(IF('PREENCHER AQUI'!D717="","",'PREENCHER AQUI'!D717),"")</f>
        <v/>
      </c>
      <c r="E717" s="2" t="str">
        <f>IFERROR(VLOOKUP(CONCATENATE(C717,D717),qdd!$C$2:$F$1000,2,FALSE),"")</f>
        <v/>
      </c>
      <c r="F717" s="2" t="str">
        <f>IFERROR(VLOOKUP(CONCATENATE(C717,D717),qdd!$C$2:$F$1000,3,FALSE),"")</f>
        <v/>
      </c>
      <c r="G717" s="2" t="str">
        <f>IFERROR(VLOOKUP(CONCATENATE(C717,D717),qdd!$C$2:$F$1000,4,FALSE),"")</f>
        <v/>
      </c>
      <c r="H717" s="6" t="str">
        <f t="shared" si="24"/>
        <v/>
      </c>
      <c r="I7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7" s="2" t="str">
        <f>IFERROR(IF('PREENCHER AQUI'!E717="","",'PREENCHER AQUI'!E717),"")</f>
        <v/>
      </c>
      <c r="K717" s="2" t="str">
        <f>IFERROR(IF('PREENCHER AQUI'!F717="","",'PREENCHER AQUI'!F717),"")</f>
        <v/>
      </c>
      <c r="L717" s="2" t="str">
        <f>IF(Tabela1[[#This Row],[IPU_COD]]=9,"91",IF(Tabela1[[#This Row],[ACAO_COD]]="","",VLOOKUP(CONCATENATE("G",J717,"M",K717),qdd!$BC$2:$BD$46,2,FALSE)))</f>
        <v/>
      </c>
      <c r="M717" s="2" t="str">
        <f>TEXT(IFERROR(VLOOKUP(CONCATENATE(C717,D717),qdd!$C$2:$G$1000,5,FALSE),""),0)</f>
        <v/>
      </c>
      <c r="N717" s="2" t="str">
        <f>IFERROR(IF('PREENCHER AQUI'!I717="","",'PREENCHER AQUI'!I717),"")</f>
        <v/>
      </c>
      <c r="O717" s="2" t="str">
        <f>IFERROR(IF('PREENCHER AQUI'!J717="","",'PREENCHER AQUI'!J717),"")</f>
        <v/>
      </c>
      <c r="P717" s="7" t="str">
        <f t="shared" si="25"/>
        <v/>
      </c>
      <c r="Q717" s="8" t="str">
        <f>IFERROR(IF(Tabela4[[#This Row],[VALOR]]="","",IF(Tabela1[[#This Row],[ORIENTACAO]]="Anular",'PREENCHER AQUI'!K717*-1*100,'PREENCHER AQUI'!K717*100)),"")</f>
        <v/>
      </c>
      <c r="T717" s="7" t="str">
        <f>IFERROR(IF('PREENCHER AQUI'!L717="","999",LEFT('PREENCHER AQUI'!L717,1)),"")</f>
        <v>999</v>
      </c>
      <c r="W717" s="1" t="str">
        <f>IFERROR(VLOOKUP(Tabela1[[#This Row],[UO_COD]],qdd!$AT$1:$AU$102,2,FALSE),"")</f>
        <v/>
      </c>
      <c r="X717" s="1" t="str">
        <f>CONCATENATE("F",Tabela1[[#This Row],[FONTE_COD]],Tabela1[[#This Row],[IPU_COD]],"G",Tabela1[[#This Row],[GRUPO_COD]],"T",Tabela1[[#This Row],[TIPO]])</f>
        <v>FGT999</v>
      </c>
      <c r="Y7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7" s="19"/>
      <c r="AA717" s="29" t="str">
        <f>IFERROR(VLOOKUP(CONCATENATE("B",Tabela1[[#This Row],[BLOCO]],Tabela1[[#This Row],[UO_COD]]),qdd!$AW$2:$AX$1000,2,FALSE),"")</f>
        <v/>
      </c>
      <c r="AB717" s="30" t="str">
        <f>IFERROR(Tabela1[[#This Row],[VALOR]]/100,"")</f>
        <v/>
      </c>
      <c r="AC717" s="7" t="str" cm="1">
        <f t="array" aca="1" ref="AC717" ca="1">IF(Tabela1[[#This Row],[VALOR]]&lt;0,"",IFERROR(SUBSTITUTE(Converter_numero(Tabela1[[#This Row],[VALOR INCISO]]),",",""),""))</f>
        <v/>
      </c>
      <c r="AD717" s="7" t="str">
        <f>IF(Tabela1[[#This Row],[TIPO]]=REGRAS!$W$2,REGRAS!$X$2,IF(Tabela1[[#This Row],[TIPO]]=REGRAS!$W$4,REGRAS!$X$4,""))</f>
        <v/>
      </c>
      <c r="AE717" s="29" t="e">
        <f>VLOOKUP(Tabela1[[#This Row],[FONTE_COD]],REGRAS!$O$2:$P$69,2,FALSE)</f>
        <v>#N/A</v>
      </c>
      <c r="AF7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8" spans="1:32" ht="18.75" customHeight="1">
      <c r="A718" s="2" t="str">
        <f>IFERROR(IF('PREENCHER AQUI'!A718="","",'PREENCHER AQUI'!A718),"")</f>
        <v/>
      </c>
      <c r="B718" s="1" t="str">
        <f>IFERROR(IF('PREENCHER AQUI'!B718="","",PROPER('PREENCHER AQUI'!B718)),"")</f>
        <v/>
      </c>
      <c r="C718" s="1" t="str">
        <f>IFERROR(IF('PREENCHER AQUI'!C718="","",'PREENCHER AQUI'!C718),"")</f>
        <v/>
      </c>
      <c r="D718" s="2" t="str">
        <f>IFERROR(IF('PREENCHER AQUI'!D718="","",'PREENCHER AQUI'!D718),"")</f>
        <v/>
      </c>
      <c r="E718" s="2" t="str">
        <f>IFERROR(VLOOKUP(CONCATENATE(C718,D718),qdd!$C$2:$F$1000,2,FALSE),"")</f>
        <v/>
      </c>
      <c r="F718" s="2" t="str">
        <f>IFERROR(VLOOKUP(CONCATENATE(C718,D718),qdd!$C$2:$F$1000,3,FALSE),"")</f>
        <v/>
      </c>
      <c r="G718" s="2" t="str">
        <f>IFERROR(VLOOKUP(CONCATENATE(C718,D718),qdd!$C$2:$F$1000,4,FALSE),"")</f>
        <v/>
      </c>
      <c r="H718" s="6" t="str">
        <f t="shared" si="24"/>
        <v/>
      </c>
      <c r="I7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8" s="2" t="str">
        <f>IFERROR(IF('PREENCHER AQUI'!E718="","",'PREENCHER AQUI'!E718),"")</f>
        <v/>
      </c>
      <c r="K718" s="2" t="str">
        <f>IFERROR(IF('PREENCHER AQUI'!F718="","",'PREENCHER AQUI'!F718),"")</f>
        <v/>
      </c>
      <c r="L718" s="2" t="str">
        <f>IF(Tabela1[[#This Row],[IPU_COD]]=9,"91",IF(Tabela1[[#This Row],[ACAO_COD]]="","",VLOOKUP(CONCATENATE("G",J718,"M",K718),qdd!$BC$2:$BD$46,2,FALSE)))</f>
        <v/>
      </c>
      <c r="M718" s="2" t="str">
        <f>TEXT(IFERROR(VLOOKUP(CONCATENATE(C718,D718),qdd!$C$2:$G$1000,5,FALSE),""),0)</f>
        <v/>
      </c>
      <c r="N718" s="2" t="str">
        <f>IFERROR(IF('PREENCHER AQUI'!I718="","",'PREENCHER AQUI'!I718),"")</f>
        <v/>
      </c>
      <c r="O718" s="2" t="str">
        <f>IFERROR(IF('PREENCHER AQUI'!J718="","",'PREENCHER AQUI'!J718),"")</f>
        <v/>
      </c>
      <c r="P718" s="7" t="str">
        <f t="shared" si="25"/>
        <v/>
      </c>
      <c r="Q718" s="8" t="str">
        <f>IFERROR(IF(Tabela4[[#This Row],[VALOR]]="","",IF(Tabela1[[#This Row],[ORIENTACAO]]="Anular",'PREENCHER AQUI'!K718*-1*100,'PREENCHER AQUI'!K718*100)),"")</f>
        <v/>
      </c>
      <c r="T718" s="7" t="str">
        <f>IFERROR(IF('PREENCHER AQUI'!L718="","999",LEFT('PREENCHER AQUI'!L718,1)),"")</f>
        <v>999</v>
      </c>
      <c r="V718" s="19"/>
      <c r="W718" s="1" t="str">
        <f>IFERROR(VLOOKUP(Tabela1[[#This Row],[UO_COD]],qdd!$AT$1:$AU$102,2,FALSE),"")</f>
        <v/>
      </c>
      <c r="X718" s="1" t="str">
        <f>CONCATENATE("F",Tabela1[[#This Row],[FONTE_COD]],Tabela1[[#This Row],[IPU_COD]],"G",Tabela1[[#This Row],[GRUPO_COD]],"T",Tabela1[[#This Row],[TIPO]])</f>
        <v>FGT999</v>
      </c>
      <c r="Y7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8" s="19"/>
      <c r="AA718" s="29" t="str">
        <f>IFERROR(VLOOKUP(CONCATENATE("B",Tabela1[[#This Row],[BLOCO]],Tabela1[[#This Row],[UO_COD]]),qdd!$AW$2:$AX$1000,2,FALSE),"")</f>
        <v/>
      </c>
      <c r="AB718" s="30" t="str">
        <f>IFERROR(Tabela1[[#This Row],[VALOR]]/100,"")</f>
        <v/>
      </c>
      <c r="AC718" s="7" t="str" cm="1">
        <f t="array" aca="1" ref="AC718" ca="1">IF(Tabela1[[#This Row],[VALOR]]&lt;0,"",IFERROR(SUBSTITUTE(Converter_numero(Tabela1[[#This Row],[VALOR INCISO]]),",",""),""))</f>
        <v/>
      </c>
      <c r="AD718" s="29" t="str">
        <f>IF(Tabela1[[#This Row],[TIPO]]=REGRAS!$W$2,REGRAS!$X$2,IF(Tabela1[[#This Row],[TIPO]]=REGRAS!$W$4,REGRAS!$X$4,""))</f>
        <v/>
      </c>
      <c r="AE718" s="29" t="e">
        <f>VLOOKUP(Tabela1[[#This Row],[FONTE_COD]],REGRAS!$O$2:$P$69,2,FALSE)</f>
        <v>#N/A</v>
      </c>
      <c r="AF7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9" spans="1:32" ht="18.75" customHeight="1">
      <c r="A719" s="2" t="str">
        <f>IFERROR(IF('PREENCHER AQUI'!A719="","",'PREENCHER AQUI'!A719),"")</f>
        <v/>
      </c>
      <c r="B719" s="1" t="str">
        <f>IFERROR(IF('PREENCHER AQUI'!B719="","",PROPER('PREENCHER AQUI'!B719)),"")</f>
        <v/>
      </c>
      <c r="C719" s="1" t="str">
        <f>IFERROR(IF('PREENCHER AQUI'!C719="","",'PREENCHER AQUI'!C719),"")</f>
        <v/>
      </c>
      <c r="D719" s="2" t="str">
        <f>IFERROR(IF('PREENCHER AQUI'!D719="","",'PREENCHER AQUI'!D719),"")</f>
        <v/>
      </c>
      <c r="E719" s="2" t="str">
        <f>IFERROR(VLOOKUP(CONCATENATE(C719,D719),qdd!$C$2:$F$1000,2,FALSE),"")</f>
        <v/>
      </c>
      <c r="F719" s="2" t="str">
        <f>IFERROR(VLOOKUP(CONCATENATE(C719,D719),qdd!$C$2:$F$1000,3,FALSE),"")</f>
        <v/>
      </c>
      <c r="G719" s="2" t="str">
        <f>IFERROR(VLOOKUP(CONCATENATE(C719,D719),qdd!$C$2:$F$1000,4,FALSE),"")</f>
        <v/>
      </c>
      <c r="H719" s="6" t="str">
        <f t="shared" si="24"/>
        <v/>
      </c>
      <c r="I7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9" s="2" t="str">
        <f>IFERROR(IF('PREENCHER AQUI'!E719="","",'PREENCHER AQUI'!E719),"")</f>
        <v/>
      </c>
      <c r="K719" s="2" t="str">
        <f>IFERROR(IF('PREENCHER AQUI'!F719="","",'PREENCHER AQUI'!F719),"")</f>
        <v/>
      </c>
      <c r="L719" s="2" t="str">
        <f>IF(Tabela1[[#This Row],[IPU_COD]]=9,"91",IF(Tabela1[[#This Row],[ACAO_COD]]="","",VLOOKUP(CONCATENATE("G",J719,"M",K719),qdd!$BC$2:$BD$46,2,FALSE)))</f>
        <v/>
      </c>
      <c r="M719" s="2" t="str">
        <f>TEXT(IFERROR(VLOOKUP(CONCATENATE(C719,D719),qdd!$C$2:$G$1000,5,FALSE),""),0)</f>
        <v/>
      </c>
      <c r="N719" s="2" t="str">
        <f>IFERROR(IF('PREENCHER AQUI'!I719="","",'PREENCHER AQUI'!I719),"")</f>
        <v/>
      </c>
      <c r="O719" s="2" t="str">
        <f>IFERROR(IF('PREENCHER AQUI'!J719="","",'PREENCHER AQUI'!J719),"")</f>
        <v/>
      </c>
      <c r="P719" s="7" t="str">
        <f t="shared" si="25"/>
        <v/>
      </c>
      <c r="Q719" s="8" t="str">
        <f>IFERROR(IF(Tabela4[[#This Row],[VALOR]]="","",IF(Tabela1[[#This Row],[ORIENTACAO]]="Anular",'PREENCHER AQUI'!K719*-1*100,'PREENCHER AQUI'!K719*100)),"")</f>
        <v/>
      </c>
      <c r="T719" s="7" t="str">
        <f>IFERROR(IF('PREENCHER AQUI'!L719="","999",LEFT('PREENCHER AQUI'!L719,1)),"")</f>
        <v>999</v>
      </c>
      <c r="V719" s="19"/>
      <c r="W719" s="1" t="str">
        <f>IFERROR(VLOOKUP(Tabela1[[#This Row],[UO_COD]],qdd!$AT$1:$AU$102,2,FALSE),"")</f>
        <v/>
      </c>
      <c r="X719" s="1" t="str">
        <f>CONCATENATE("F",Tabela1[[#This Row],[FONTE_COD]],Tabela1[[#This Row],[IPU_COD]],"G",Tabela1[[#This Row],[GRUPO_COD]],"T",Tabela1[[#This Row],[TIPO]])</f>
        <v>FGT999</v>
      </c>
      <c r="Y7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9" s="19"/>
      <c r="AA719" s="29" t="str">
        <f>IFERROR(VLOOKUP(CONCATENATE("B",Tabela1[[#This Row],[BLOCO]],Tabela1[[#This Row],[UO_COD]]),qdd!$AW$2:$AX$1000,2,FALSE),"")</f>
        <v/>
      </c>
      <c r="AB719" s="30" t="str">
        <f>IFERROR(Tabela1[[#This Row],[VALOR]]/100,"")</f>
        <v/>
      </c>
      <c r="AC719" s="7" t="str" cm="1">
        <f t="array" aca="1" ref="AC719" ca="1">IF(Tabela1[[#This Row],[VALOR]]&lt;0,"",IFERROR(SUBSTITUTE(Converter_numero(Tabela1[[#This Row],[VALOR INCISO]]),",",""),""))</f>
        <v/>
      </c>
      <c r="AD719" s="29" t="str">
        <f>IF(Tabela1[[#This Row],[TIPO]]=REGRAS!$W$2,REGRAS!$X$2,IF(Tabela1[[#This Row],[TIPO]]=REGRAS!$W$4,REGRAS!$X$4,""))</f>
        <v/>
      </c>
      <c r="AE719" s="29" t="e">
        <f>VLOOKUP(Tabela1[[#This Row],[FONTE_COD]],REGRAS!$O$2:$P$69,2,FALSE)</f>
        <v>#N/A</v>
      </c>
      <c r="AF7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0" spans="1:32" ht="18.75" customHeight="1">
      <c r="A720" s="2" t="str">
        <f>IFERROR(IF('PREENCHER AQUI'!A720="","",'PREENCHER AQUI'!A720),"")</f>
        <v/>
      </c>
      <c r="B720" s="1" t="str">
        <f>IFERROR(IF('PREENCHER AQUI'!B720="","",PROPER('PREENCHER AQUI'!B720)),"")</f>
        <v/>
      </c>
      <c r="C720" s="1" t="str">
        <f>IFERROR(IF('PREENCHER AQUI'!C720="","",'PREENCHER AQUI'!C720),"")</f>
        <v/>
      </c>
      <c r="D720" s="2" t="str">
        <f>IFERROR(IF('PREENCHER AQUI'!D720="","",'PREENCHER AQUI'!D720),"")</f>
        <v/>
      </c>
      <c r="E720" s="2" t="str">
        <f>IFERROR(VLOOKUP(CONCATENATE(C720,D720),qdd!$C$2:$F$1000,2,FALSE),"")</f>
        <v/>
      </c>
      <c r="F720" s="2" t="str">
        <f>IFERROR(VLOOKUP(CONCATENATE(C720,D720),qdd!$C$2:$F$1000,3,FALSE),"")</f>
        <v/>
      </c>
      <c r="G720" s="2" t="str">
        <f>IFERROR(VLOOKUP(CONCATENATE(C720,D720),qdd!$C$2:$F$1000,4,FALSE),"")</f>
        <v/>
      </c>
      <c r="H720" s="6" t="str">
        <f t="shared" si="24"/>
        <v/>
      </c>
      <c r="I7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0" s="2" t="str">
        <f>IFERROR(IF('PREENCHER AQUI'!E720="","",'PREENCHER AQUI'!E720),"")</f>
        <v/>
      </c>
      <c r="K720" s="2" t="str">
        <f>IFERROR(IF('PREENCHER AQUI'!F720="","",'PREENCHER AQUI'!F720),"")</f>
        <v/>
      </c>
      <c r="L720" s="2" t="str">
        <f>IF(Tabela1[[#This Row],[IPU_COD]]=9,"91",IF(Tabela1[[#This Row],[ACAO_COD]]="","",VLOOKUP(CONCATENATE("G",J720,"M",K720),qdd!$BC$2:$BD$46,2,FALSE)))</f>
        <v/>
      </c>
      <c r="M720" s="2" t="str">
        <f>TEXT(IFERROR(VLOOKUP(CONCATENATE(C720,D720),qdd!$C$2:$G$1000,5,FALSE),""),0)</f>
        <v/>
      </c>
      <c r="N720" s="2" t="str">
        <f>IFERROR(IF('PREENCHER AQUI'!I720="","",'PREENCHER AQUI'!I720),"")</f>
        <v/>
      </c>
      <c r="O720" s="2" t="str">
        <f>IFERROR(IF('PREENCHER AQUI'!J720="","",'PREENCHER AQUI'!J720),"")</f>
        <v/>
      </c>
      <c r="P720" s="7" t="str">
        <f t="shared" si="25"/>
        <v/>
      </c>
      <c r="Q720" s="8" t="str">
        <f>IFERROR(IF(Tabela4[[#This Row],[VALOR]]="","",IF(Tabela1[[#This Row],[ORIENTACAO]]="Anular",'PREENCHER AQUI'!K720*-1*100,'PREENCHER AQUI'!K720*100)),"")</f>
        <v/>
      </c>
      <c r="T720" s="7" t="str">
        <f>IFERROR(IF('PREENCHER AQUI'!L720="","999",LEFT('PREENCHER AQUI'!L720,1)),"")</f>
        <v>999</v>
      </c>
      <c r="V720" s="19"/>
      <c r="W720" s="20" t="str">
        <f>IFERROR(VLOOKUP(Tabela1[[#This Row],[UO_COD]],qdd!$AT$1:$AU$102,2,FALSE),"")</f>
        <v/>
      </c>
      <c r="X720" s="20" t="str">
        <f>CONCATENATE("F",Tabela1[[#This Row],[FONTE_COD]],Tabela1[[#This Row],[IPU_COD]],"G",Tabela1[[#This Row],[GRUPO_COD]],"T",Tabela1[[#This Row],[TIPO]])</f>
        <v>FGT999</v>
      </c>
      <c r="Y7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0" s="19"/>
      <c r="AA720" s="29" t="str">
        <f>IFERROR(VLOOKUP(CONCATENATE("B",Tabela1[[#This Row],[BLOCO]],Tabela1[[#This Row],[UO_COD]]),qdd!$AW$2:$AX$1000,2,FALSE),"")</f>
        <v/>
      </c>
      <c r="AB720" s="30" t="str">
        <f>IFERROR(Tabela1[[#This Row],[VALOR]]/100,"")</f>
        <v/>
      </c>
      <c r="AC720" s="7" t="str" cm="1">
        <f t="array" aca="1" ref="AC720" ca="1">IF(Tabela1[[#This Row],[VALOR]]&lt;0,"",IFERROR(SUBSTITUTE(Converter_numero(Tabela1[[#This Row],[VALOR INCISO]]),",",""),""))</f>
        <v/>
      </c>
      <c r="AD720" s="29" t="str">
        <f>IF(Tabela1[[#This Row],[TIPO]]=REGRAS!$W$2,REGRAS!$X$2,IF(Tabela1[[#This Row],[TIPO]]=REGRAS!$W$4,REGRAS!$X$4,""))</f>
        <v/>
      </c>
      <c r="AE720" s="29" t="e">
        <f>VLOOKUP(Tabela1[[#This Row],[FONTE_COD]],REGRAS!$O$2:$P$69,2,FALSE)</f>
        <v>#N/A</v>
      </c>
      <c r="AF7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1" spans="1:32" ht="18.75" customHeight="1">
      <c r="A721" s="2" t="str">
        <f>IFERROR(IF('PREENCHER AQUI'!A721="","",'PREENCHER AQUI'!A721),"")</f>
        <v/>
      </c>
      <c r="B721" s="1" t="str">
        <f>IFERROR(IF('PREENCHER AQUI'!B721="","",PROPER('PREENCHER AQUI'!B721)),"")</f>
        <v/>
      </c>
      <c r="C721" s="1" t="str">
        <f>IFERROR(IF('PREENCHER AQUI'!C721="","",'PREENCHER AQUI'!C721),"")</f>
        <v/>
      </c>
      <c r="D721" s="2" t="str">
        <f>IFERROR(IF('PREENCHER AQUI'!D721="","",'PREENCHER AQUI'!D721),"")</f>
        <v/>
      </c>
      <c r="E721" s="2" t="str">
        <f>IFERROR(VLOOKUP(CONCATENATE(C721,D721),qdd!$C$2:$F$1000,2,FALSE),"")</f>
        <v/>
      </c>
      <c r="F721" s="2" t="str">
        <f>IFERROR(VLOOKUP(CONCATENATE(C721,D721),qdd!$C$2:$F$1000,3,FALSE),"")</f>
        <v/>
      </c>
      <c r="G721" s="2" t="str">
        <f>IFERROR(VLOOKUP(CONCATENATE(C721,D721),qdd!$C$2:$F$1000,4,FALSE),"")</f>
        <v/>
      </c>
      <c r="H721" s="6" t="str">
        <f t="shared" si="24"/>
        <v/>
      </c>
      <c r="I7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1" s="2" t="str">
        <f>IFERROR(IF('PREENCHER AQUI'!E721="","",'PREENCHER AQUI'!E721),"")</f>
        <v/>
      </c>
      <c r="K721" s="2" t="str">
        <f>IFERROR(IF('PREENCHER AQUI'!F721="","",'PREENCHER AQUI'!F721),"")</f>
        <v/>
      </c>
      <c r="L721" s="2" t="str">
        <f>IF(Tabela1[[#This Row],[IPU_COD]]=9,"91",IF(Tabela1[[#This Row],[ACAO_COD]]="","",VLOOKUP(CONCATENATE("G",J721,"M",K721),qdd!$BC$2:$BD$46,2,FALSE)))</f>
        <v/>
      </c>
      <c r="M721" s="2" t="str">
        <f>TEXT(IFERROR(VLOOKUP(CONCATENATE(C721,D721),qdd!$C$2:$G$1000,5,FALSE),""),0)</f>
        <v/>
      </c>
      <c r="N721" s="2" t="str">
        <f>IFERROR(IF('PREENCHER AQUI'!I721="","",'PREENCHER AQUI'!I721),"")</f>
        <v/>
      </c>
      <c r="O721" s="2" t="str">
        <f>IFERROR(IF('PREENCHER AQUI'!J721="","",'PREENCHER AQUI'!J721),"")</f>
        <v/>
      </c>
      <c r="P721" s="7" t="str">
        <f t="shared" si="25"/>
        <v/>
      </c>
      <c r="Q721" s="8" t="str">
        <f>IFERROR(IF(Tabela4[[#This Row],[VALOR]]="","",IF(Tabela1[[#This Row],[ORIENTACAO]]="Anular",'PREENCHER AQUI'!K721*-1*100,'PREENCHER AQUI'!K721*100)),"")</f>
        <v/>
      </c>
      <c r="T721" s="7" t="str">
        <f>IFERROR(IF('PREENCHER AQUI'!L721="","999",LEFT('PREENCHER AQUI'!L721,1)),"")</f>
        <v>999</v>
      </c>
      <c r="V721" s="19"/>
      <c r="W721" s="1" t="str">
        <f>IFERROR(VLOOKUP(Tabela1[[#This Row],[UO_COD]],qdd!$AT$1:$AU$102,2,FALSE),"")</f>
        <v/>
      </c>
      <c r="X721" s="1" t="str">
        <f>CONCATENATE("F",Tabela1[[#This Row],[FONTE_COD]],Tabela1[[#This Row],[IPU_COD]],"G",Tabela1[[#This Row],[GRUPO_COD]],"T",Tabela1[[#This Row],[TIPO]])</f>
        <v>FGT999</v>
      </c>
      <c r="Y7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1" s="19"/>
      <c r="AA721" s="29" t="str">
        <f>IFERROR(VLOOKUP(CONCATENATE("B",Tabela1[[#This Row],[BLOCO]],Tabela1[[#This Row],[UO_COD]]),qdd!$AW$2:$AX$1000,2,FALSE),"")</f>
        <v/>
      </c>
      <c r="AB721" s="30" t="str">
        <f>IFERROR(Tabela1[[#This Row],[VALOR]]/100,"")</f>
        <v/>
      </c>
      <c r="AC721" s="7" t="str" cm="1">
        <f t="array" aca="1" ref="AC721" ca="1">IF(Tabela1[[#This Row],[VALOR]]&lt;0,"",IFERROR(SUBSTITUTE(Converter_numero(Tabela1[[#This Row],[VALOR INCISO]]),",",""),""))</f>
        <v/>
      </c>
      <c r="AD721" s="29" t="str">
        <f>IF(Tabela1[[#This Row],[TIPO]]=REGRAS!$W$2,REGRAS!$X$2,IF(Tabela1[[#This Row],[TIPO]]=REGRAS!$W$4,REGRAS!$X$4,""))</f>
        <v/>
      </c>
      <c r="AE721" s="29" t="e">
        <f>VLOOKUP(Tabela1[[#This Row],[FONTE_COD]],REGRAS!$O$2:$P$69,2,FALSE)</f>
        <v>#N/A</v>
      </c>
      <c r="AF7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2" spans="1:32" ht="18.75" customHeight="1">
      <c r="A722" s="2" t="str">
        <f>IFERROR(IF('PREENCHER AQUI'!A722="","",'PREENCHER AQUI'!A722),"")</f>
        <v/>
      </c>
      <c r="B722" s="1" t="str">
        <f>IFERROR(IF('PREENCHER AQUI'!B722="","",PROPER('PREENCHER AQUI'!B722)),"")</f>
        <v/>
      </c>
      <c r="C722" s="1" t="str">
        <f>IFERROR(IF('PREENCHER AQUI'!C722="","",'PREENCHER AQUI'!C722),"")</f>
        <v/>
      </c>
      <c r="D722" s="2" t="str">
        <f>IFERROR(IF('PREENCHER AQUI'!D722="","",'PREENCHER AQUI'!D722),"")</f>
        <v/>
      </c>
      <c r="E722" s="2" t="str">
        <f>IFERROR(VLOOKUP(CONCATENATE(C722,D722),qdd!$C$2:$F$1000,2,FALSE),"")</f>
        <v/>
      </c>
      <c r="F722" s="2" t="str">
        <f>IFERROR(VLOOKUP(CONCATENATE(C722,D722),qdd!$C$2:$F$1000,3,FALSE),"")</f>
        <v/>
      </c>
      <c r="G722" s="2" t="str">
        <f>IFERROR(VLOOKUP(CONCATENATE(C722,D722),qdd!$C$2:$F$1000,4,FALSE),"")</f>
        <v/>
      </c>
      <c r="H722" s="6" t="str">
        <f t="shared" si="24"/>
        <v/>
      </c>
      <c r="I7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2" s="2" t="str">
        <f>IFERROR(IF('PREENCHER AQUI'!E722="","",'PREENCHER AQUI'!E722),"")</f>
        <v/>
      </c>
      <c r="K722" s="2" t="str">
        <f>IFERROR(IF('PREENCHER AQUI'!F722="","",'PREENCHER AQUI'!F722),"")</f>
        <v/>
      </c>
      <c r="L722" s="2" t="str">
        <f>IF(Tabela1[[#This Row],[IPU_COD]]=9,"91",IF(Tabela1[[#This Row],[ACAO_COD]]="","",VLOOKUP(CONCATENATE("G",J722,"M",K722),qdd!$BC$2:$BD$46,2,FALSE)))</f>
        <v/>
      </c>
      <c r="M722" s="2" t="str">
        <f>TEXT(IFERROR(VLOOKUP(CONCATENATE(C722,D722),qdd!$C$2:$G$1000,5,FALSE),""),0)</f>
        <v/>
      </c>
      <c r="N722" s="2" t="str">
        <f>IFERROR(IF('PREENCHER AQUI'!I722="","",'PREENCHER AQUI'!I722),"")</f>
        <v/>
      </c>
      <c r="O722" s="2" t="str">
        <f>IFERROR(IF('PREENCHER AQUI'!J722="","",'PREENCHER AQUI'!J722),"")</f>
        <v/>
      </c>
      <c r="P722" s="7" t="str">
        <f t="shared" si="25"/>
        <v/>
      </c>
      <c r="Q722" s="8" t="str">
        <f>IFERROR(IF(Tabela4[[#This Row],[VALOR]]="","",IF(Tabela1[[#This Row],[ORIENTACAO]]="Anular",'PREENCHER AQUI'!K722*-1*100,'PREENCHER AQUI'!K722*100)),"")</f>
        <v/>
      </c>
      <c r="T722" s="7" t="str">
        <f>IFERROR(IF('PREENCHER AQUI'!L722="","999",LEFT('PREENCHER AQUI'!L722,1)),"")</f>
        <v>999</v>
      </c>
      <c r="W722" s="1" t="str">
        <f>IFERROR(VLOOKUP(Tabela1[[#This Row],[UO_COD]],qdd!$AT$1:$AU$102,2,FALSE),"")</f>
        <v/>
      </c>
      <c r="X722" s="1" t="str">
        <f>CONCATENATE("F",Tabela1[[#This Row],[FONTE_COD]],Tabela1[[#This Row],[IPU_COD]],"G",Tabela1[[#This Row],[GRUPO_COD]],"T",Tabela1[[#This Row],[TIPO]])</f>
        <v>FGT999</v>
      </c>
      <c r="Y7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2" s="19"/>
      <c r="AA722" s="29" t="str">
        <f>IFERROR(VLOOKUP(CONCATENATE("B",Tabela1[[#This Row],[BLOCO]],Tabela1[[#This Row],[UO_COD]]),qdd!$AW$2:$AX$1000,2,FALSE),"")</f>
        <v/>
      </c>
      <c r="AB722" s="30" t="str">
        <f>IFERROR(Tabela1[[#This Row],[VALOR]]/100,"")</f>
        <v/>
      </c>
      <c r="AC722" s="7" t="str" cm="1">
        <f t="array" aca="1" ref="AC722" ca="1">IF(Tabela1[[#This Row],[VALOR]]&lt;0,"",IFERROR(SUBSTITUTE(Converter_numero(Tabela1[[#This Row],[VALOR INCISO]]),",",""),""))</f>
        <v/>
      </c>
      <c r="AD722" s="7" t="str">
        <f>IF(Tabela1[[#This Row],[TIPO]]=REGRAS!$W$2,REGRAS!$X$2,IF(Tabela1[[#This Row],[TIPO]]=REGRAS!$W$4,REGRAS!$X$4,""))</f>
        <v/>
      </c>
      <c r="AE722" s="29" t="e">
        <f>VLOOKUP(Tabela1[[#This Row],[FONTE_COD]],REGRAS!$O$2:$P$69,2,FALSE)</f>
        <v>#N/A</v>
      </c>
      <c r="AF7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3" spans="1:32" ht="18.75" customHeight="1">
      <c r="A723" s="2" t="str">
        <f>IFERROR(IF('PREENCHER AQUI'!A723="","",'PREENCHER AQUI'!A723),"")</f>
        <v/>
      </c>
      <c r="B723" s="1" t="str">
        <f>IFERROR(IF('PREENCHER AQUI'!B723="","",PROPER('PREENCHER AQUI'!B723)),"")</f>
        <v/>
      </c>
      <c r="C723" s="1" t="str">
        <f>IFERROR(IF('PREENCHER AQUI'!C723="","",'PREENCHER AQUI'!C723),"")</f>
        <v/>
      </c>
      <c r="D723" s="2" t="str">
        <f>IFERROR(IF('PREENCHER AQUI'!D723="","",'PREENCHER AQUI'!D723),"")</f>
        <v/>
      </c>
      <c r="E723" s="2" t="str">
        <f>IFERROR(VLOOKUP(CONCATENATE(C723,D723),qdd!$C$2:$F$1000,2,FALSE),"")</f>
        <v/>
      </c>
      <c r="F723" s="2" t="str">
        <f>IFERROR(VLOOKUP(CONCATENATE(C723,D723),qdd!$C$2:$F$1000,3,FALSE),"")</f>
        <v/>
      </c>
      <c r="G723" s="2" t="str">
        <f>IFERROR(VLOOKUP(CONCATENATE(C723,D723),qdd!$C$2:$F$1000,4,FALSE),"")</f>
        <v/>
      </c>
      <c r="H723" s="6" t="str">
        <f t="shared" si="24"/>
        <v/>
      </c>
      <c r="I7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3" s="2" t="str">
        <f>IFERROR(IF('PREENCHER AQUI'!E723="","",'PREENCHER AQUI'!E723),"")</f>
        <v/>
      </c>
      <c r="K723" s="2" t="str">
        <f>IFERROR(IF('PREENCHER AQUI'!F723="","",'PREENCHER AQUI'!F723),"")</f>
        <v/>
      </c>
      <c r="L723" s="2" t="str">
        <f>IF(Tabela1[[#This Row],[IPU_COD]]=9,"91",IF(Tabela1[[#This Row],[ACAO_COD]]="","",VLOOKUP(CONCATENATE("G",J723,"M",K723),qdd!$BC$2:$BD$46,2,FALSE)))</f>
        <v/>
      </c>
      <c r="M723" s="2" t="str">
        <f>TEXT(IFERROR(VLOOKUP(CONCATENATE(C723,D723),qdd!$C$2:$G$1000,5,FALSE),""),0)</f>
        <v/>
      </c>
      <c r="N723" s="2" t="str">
        <f>IFERROR(IF('PREENCHER AQUI'!I723="","",'PREENCHER AQUI'!I723),"")</f>
        <v/>
      </c>
      <c r="O723" s="2" t="str">
        <f>IFERROR(IF('PREENCHER AQUI'!J723="","",'PREENCHER AQUI'!J723),"")</f>
        <v/>
      </c>
      <c r="P723" s="7" t="str">
        <f t="shared" si="25"/>
        <v/>
      </c>
      <c r="Q723" s="8" t="str">
        <f>IFERROR(IF(Tabela4[[#This Row],[VALOR]]="","",IF(Tabela1[[#This Row],[ORIENTACAO]]="Anular",'PREENCHER AQUI'!K723*-1*100,'PREENCHER AQUI'!K723*100)),"")</f>
        <v/>
      </c>
      <c r="T723" s="7" t="str">
        <f>IFERROR(IF('PREENCHER AQUI'!L723="","999",LEFT('PREENCHER AQUI'!L723,1)),"")</f>
        <v>999</v>
      </c>
      <c r="V723" s="19"/>
      <c r="W723" s="1" t="str">
        <f>IFERROR(VLOOKUP(Tabela1[[#This Row],[UO_COD]],qdd!$AT$1:$AU$102,2,FALSE),"")</f>
        <v/>
      </c>
      <c r="X723" s="1" t="str">
        <f>CONCATENATE("F",Tabela1[[#This Row],[FONTE_COD]],Tabela1[[#This Row],[IPU_COD]],"G",Tabela1[[#This Row],[GRUPO_COD]],"T",Tabela1[[#This Row],[TIPO]])</f>
        <v>FGT999</v>
      </c>
      <c r="Y7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3" s="19"/>
      <c r="AA723" s="29" t="str">
        <f>IFERROR(VLOOKUP(CONCATENATE("B",Tabela1[[#This Row],[BLOCO]],Tabela1[[#This Row],[UO_COD]]),qdd!$AW$2:$AX$1000,2,FALSE),"")</f>
        <v/>
      </c>
      <c r="AB723" s="30" t="str">
        <f>IFERROR(Tabela1[[#This Row],[VALOR]]/100,"")</f>
        <v/>
      </c>
      <c r="AC723" s="7" t="str" cm="1">
        <f t="array" aca="1" ref="AC723" ca="1">IF(Tabela1[[#This Row],[VALOR]]&lt;0,"",IFERROR(SUBSTITUTE(Converter_numero(Tabela1[[#This Row],[VALOR INCISO]]),",",""),""))</f>
        <v/>
      </c>
      <c r="AD723" s="29" t="str">
        <f>IF(Tabela1[[#This Row],[TIPO]]=REGRAS!$W$2,REGRAS!$X$2,IF(Tabela1[[#This Row],[TIPO]]=REGRAS!$W$4,REGRAS!$X$4,""))</f>
        <v/>
      </c>
      <c r="AE723" s="29" t="e">
        <f>VLOOKUP(Tabela1[[#This Row],[FONTE_COD]],REGRAS!$O$2:$P$69,2,FALSE)</f>
        <v>#N/A</v>
      </c>
      <c r="AF7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4" spans="1:32" ht="18.75" customHeight="1">
      <c r="A724" s="2" t="str">
        <f>IFERROR(IF('PREENCHER AQUI'!A724="","",'PREENCHER AQUI'!A724),"")</f>
        <v/>
      </c>
      <c r="B724" s="1" t="str">
        <f>IFERROR(IF('PREENCHER AQUI'!B724="","",PROPER('PREENCHER AQUI'!B724)),"")</f>
        <v/>
      </c>
      <c r="C724" s="1" t="str">
        <f>IFERROR(IF('PREENCHER AQUI'!C724="","",'PREENCHER AQUI'!C724),"")</f>
        <v/>
      </c>
      <c r="D724" s="2" t="str">
        <f>IFERROR(IF('PREENCHER AQUI'!D724="","",'PREENCHER AQUI'!D724),"")</f>
        <v/>
      </c>
      <c r="E724" s="2" t="str">
        <f>IFERROR(VLOOKUP(CONCATENATE(C724,D724),qdd!$C$2:$F$1000,2,FALSE),"")</f>
        <v/>
      </c>
      <c r="F724" s="2" t="str">
        <f>IFERROR(VLOOKUP(CONCATENATE(C724,D724),qdd!$C$2:$F$1000,3,FALSE),"")</f>
        <v/>
      </c>
      <c r="G724" s="2" t="str">
        <f>IFERROR(VLOOKUP(CONCATENATE(C724,D724),qdd!$C$2:$F$1000,4,FALSE),"")</f>
        <v/>
      </c>
      <c r="H724" s="6" t="str">
        <f t="shared" si="24"/>
        <v/>
      </c>
      <c r="I7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4" s="2" t="str">
        <f>IFERROR(IF('PREENCHER AQUI'!E724="","",'PREENCHER AQUI'!E724),"")</f>
        <v/>
      </c>
      <c r="K724" s="2" t="str">
        <f>IFERROR(IF('PREENCHER AQUI'!F724="","",'PREENCHER AQUI'!F724),"")</f>
        <v/>
      </c>
      <c r="L724" s="2" t="str">
        <f>IF(Tabela1[[#This Row],[IPU_COD]]=9,"91",IF(Tabela1[[#This Row],[ACAO_COD]]="","",VLOOKUP(CONCATENATE("G",J724,"M",K724),qdd!$BC$2:$BD$46,2,FALSE)))</f>
        <v/>
      </c>
      <c r="M724" s="2" t="str">
        <f>TEXT(IFERROR(VLOOKUP(CONCATENATE(C724,D724),qdd!$C$2:$G$1000,5,FALSE),""),0)</f>
        <v/>
      </c>
      <c r="N724" s="2" t="str">
        <f>IFERROR(IF('PREENCHER AQUI'!I724="","",'PREENCHER AQUI'!I724),"")</f>
        <v/>
      </c>
      <c r="O724" s="2" t="str">
        <f>IFERROR(IF('PREENCHER AQUI'!J724="","",'PREENCHER AQUI'!J724),"")</f>
        <v/>
      </c>
      <c r="P724" s="7" t="str">
        <f t="shared" si="25"/>
        <v/>
      </c>
      <c r="Q724" s="8" t="str">
        <f>IFERROR(IF(Tabela4[[#This Row],[VALOR]]="","",IF(Tabela1[[#This Row],[ORIENTACAO]]="Anular",'PREENCHER AQUI'!K724*-1*100,'PREENCHER AQUI'!K724*100)),"")</f>
        <v/>
      </c>
      <c r="T724" s="7" t="str">
        <f>IFERROR(IF('PREENCHER AQUI'!L724="","999",LEFT('PREENCHER AQUI'!L724,1)),"")</f>
        <v>999</v>
      </c>
      <c r="V724" s="19"/>
      <c r="W724" s="1" t="str">
        <f>IFERROR(VLOOKUP(Tabela1[[#This Row],[UO_COD]],qdd!$AT$1:$AU$102,2,FALSE),"")</f>
        <v/>
      </c>
      <c r="X724" s="1" t="str">
        <f>CONCATENATE("F",Tabela1[[#This Row],[FONTE_COD]],Tabela1[[#This Row],[IPU_COD]],"G",Tabela1[[#This Row],[GRUPO_COD]],"T",Tabela1[[#This Row],[TIPO]])</f>
        <v>FGT999</v>
      </c>
      <c r="Y7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4" s="19"/>
      <c r="AA724" s="29" t="str">
        <f>IFERROR(VLOOKUP(CONCATENATE("B",Tabela1[[#This Row],[BLOCO]],Tabela1[[#This Row],[UO_COD]]),qdd!$AW$2:$AX$1000,2,FALSE),"")</f>
        <v/>
      </c>
      <c r="AB724" s="30" t="str">
        <f>IFERROR(Tabela1[[#This Row],[VALOR]]/100,"")</f>
        <v/>
      </c>
      <c r="AC724" s="7" t="str" cm="1">
        <f t="array" aca="1" ref="AC724" ca="1">IF(Tabela1[[#This Row],[VALOR]]&lt;0,"",IFERROR(SUBSTITUTE(Converter_numero(Tabela1[[#This Row],[VALOR INCISO]]),",",""),""))</f>
        <v/>
      </c>
      <c r="AD724" s="29" t="str">
        <f>IF(Tabela1[[#This Row],[TIPO]]=REGRAS!$W$2,REGRAS!$X$2,IF(Tabela1[[#This Row],[TIPO]]=REGRAS!$W$4,REGRAS!$X$4,""))</f>
        <v/>
      </c>
      <c r="AE724" s="29" t="e">
        <f>VLOOKUP(Tabela1[[#This Row],[FONTE_COD]],REGRAS!$O$2:$P$69,2,FALSE)</f>
        <v>#N/A</v>
      </c>
      <c r="AF7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5" spans="1:32" ht="18.75" customHeight="1">
      <c r="A725" s="2" t="str">
        <f>IFERROR(IF('PREENCHER AQUI'!A725="","",'PREENCHER AQUI'!A725),"")</f>
        <v/>
      </c>
      <c r="B725" s="1" t="str">
        <f>IFERROR(IF('PREENCHER AQUI'!B725="","",PROPER('PREENCHER AQUI'!B725)),"")</f>
        <v/>
      </c>
      <c r="C725" s="1" t="str">
        <f>IFERROR(IF('PREENCHER AQUI'!C725="","",'PREENCHER AQUI'!C725),"")</f>
        <v/>
      </c>
      <c r="D725" s="2" t="str">
        <f>IFERROR(IF('PREENCHER AQUI'!D725="","",'PREENCHER AQUI'!D725),"")</f>
        <v/>
      </c>
      <c r="E725" s="2" t="str">
        <f>IFERROR(VLOOKUP(CONCATENATE(C725,D725),qdd!$C$2:$F$1000,2,FALSE),"")</f>
        <v/>
      </c>
      <c r="F725" s="2" t="str">
        <f>IFERROR(VLOOKUP(CONCATENATE(C725,D725),qdd!$C$2:$F$1000,3,FALSE),"")</f>
        <v/>
      </c>
      <c r="G725" s="2" t="str">
        <f>IFERROR(VLOOKUP(CONCATENATE(C725,D725),qdd!$C$2:$F$1000,4,FALSE),"")</f>
        <v/>
      </c>
      <c r="H725" s="6" t="str">
        <f t="shared" si="24"/>
        <v/>
      </c>
      <c r="I7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5" s="2" t="str">
        <f>IFERROR(IF('PREENCHER AQUI'!E725="","",'PREENCHER AQUI'!E725),"")</f>
        <v/>
      </c>
      <c r="K725" s="2" t="str">
        <f>IFERROR(IF('PREENCHER AQUI'!F725="","",'PREENCHER AQUI'!F725),"")</f>
        <v/>
      </c>
      <c r="L725" s="2" t="str">
        <f>IF(Tabela1[[#This Row],[IPU_COD]]=9,"91",IF(Tabela1[[#This Row],[ACAO_COD]]="","",VLOOKUP(CONCATENATE("G",J725,"M",K725),qdd!$BC$2:$BD$46,2,FALSE)))</f>
        <v/>
      </c>
      <c r="M725" s="2" t="str">
        <f>TEXT(IFERROR(VLOOKUP(CONCATENATE(C725,D725),qdd!$C$2:$G$1000,5,FALSE),""),0)</f>
        <v/>
      </c>
      <c r="N725" s="2" t="str">
        <f>IFERROR(IF('PREENCHER AQUI'!I725="","",'PREENCHER AQUI'!I725),"")</f>
        <v/>
      </c>
      <c r="O725" s="2" t="str">
        <f>IFERROR(IF('PREENCHER AQUI'!J725="","",'PREENCHER AQUI'!J725),"")</f>
        <v/>
      </c>
      <c r="P725" s="7" t="str">
        <f t="shared" si="25"/>
        <v/>
      </c>
      <c r="Q725" s="8" t="str">
        <f>IFERROR(IF(Tabela4[[#This Row],[VALOR]]="","",IF(Tabela1[[#This Row],[ORIENTACAO]]="Anular",'PREENCHER AQUI'!K725*-1*100,'PREENCHER AQUI'!K725*100)),"")</f>
        <v/>
      </c>
      <c r="T725" s="7" t="str">
        <f>IFERROR(IF('PREENCHER AQUI'!L725="","999",LEFT('PREENCHER AQUI'!L725,1)),"")</f>
        <v>999</v>
      </c>
      <c r="V725" s="19"/>
      <c r="W725" s="20" t="str">
        <f>IFERROR(VLOOKUP(Tabela1[[#This Row],[UO_COD]],qdd!$AT$1:$AU$102,2,FALSE),"")</f>
        <v/>
      </c>
      <c r="X725" s="20" t="str">
        <f>CONCATENATE("F",Tabela1[[#This Row],[FONTE_COD]],Tabela1[[#This Row],[IPU_COD]],"G",Tabela1[[#This Row],[GRUPO_COD]],"T",Tabela1[[#This Row],[TIPO]])</f>
        <v>FGT999</v>
      </c>
      <c r="Y7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5" s="19"/>
      <c r="AA725" s="29" t="str">
        <f>IFERROR(VLOOKUP(CONCATENATE("B",Tabela1[[#This Row],[BLOCO]],Tabela1[[#This Row],[UO_COD]]),qdd!$AW$2:$AX$1000,2,FALSE),"")</f>
        <v/>
      </c>
      <c r="AB725" s="30" t="str">
        <f>IFERROR(Tabela1[[#This Row],[VALOR]]/100,"")</f>
        <v/>
      </c>
      <c r="AC725" s="7" t="str" cm="1">
        <f t="array" aca="1" ref="AC725" ca="1">IF(Tabela1[[#This Row],[VALOR]]&lt;0,"",IFERROR(SUBSTITUTE(Converter_numero(Tabela1[[#This Row],[VALOR INCISO]]),",",""),""))</f>
        <v/>
      </c>
      <c r="AD725" s="29" t="str">
        <f>IF(Tabela1[[#This Row],[TIPO]]=REGRAS!$W$2,REGRAS!$X$2,IF(Tabela1[[#This Row],[TIPO]]=REGRAS!$W$4,REGRAS!$X$4,""))</f>
        <v/>
      </c>
      <c r="AE725" s="29" t="e">
        <f>VLOOKUP(Tabela1[[#This Row],[FONTE_COD]],REGRAS!$O$2:$P$69,2,FALSE)</f>
        <v>#N/A</v>
      </c>
      <c r="AF7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6" spans="1:32" ht="18.75" customHeight="1">
      <c r="A726" s="2" t="str">
        <f>IFERROR(IF('PREENCHER AQUI'!A726="","",'PREENCHER AQUI'!A726),"")</f>
        <v/>
      </c>
      <c r="B726" s="1" t="str">
        <f>IFERROR(IF('PREENCHER AQUI'!B726="","",PROPER('PREENCHER AQUI'!B726)),"")</f>
        <v/>
      </c>
      <c r="C726" s="1" t="str">
        <f>IFERROR(IF('PREENCHER AQUI'!C726="","",'PREENCHER AQUI'!C726),"")</f>
        <v/>
      </c>
      <c r="D726" s="2" t="str">
        <f>IFERROR(IF('PREENCHER AQUI'!D726="","",'PREENCHER AQUI'!D726),"")</f>
        <v/>
      </c>
      <c r="E726" s="2" t="str">
        <f>IFERROR(VLOOKUP(CONCATENATE(C726,D726),qdd!$C$2:$F$1000,2,FALSE),"")</f>
        <v/>
      </c>
      <c r="F726" s="2" t="str">
        <f>IFERROR(VLOOKUP(CONCATENATE(C726,D726),qdd!$C$2:$F$1000,3,FALSE),"")</f>
        <v/>
      </c>
      <c r="G726" s="2" t="str">
        <f>IFERROR(VLOOKUP(CONCATENATE(C726,D726),qdd!$C$2:$F$1000,4,FALSE),"")</f>
        <v/>
      </c>
      <c r="H726" s="6" t="str">
        <f t="shared" si="24"/>
        <v/>
      </c>
      <c r="I7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6" s="2" t="str">
        <f>IFERROR(IF('PREENCHER AQUI'!E726="","",'PREENCHER AQUI'!E726),"")</f>
        <v/>
      </c>
      <c r="K726" s="2" t="str">
        <f>IFERROR(IF('PREENCHER AQUI'!F726="","",'PREENCHER AQUI'!F726),"")</f>
        <v/>
      </c>
      <c r="L726" s="2" t="str">
        <f>IF(Tabela1[[#This Row],[IPU_COD]]=9,"91",IF(Tabela1[[#This Row],[ACAO_COD]]="","",VLOOKUP(CONCATENATE("G",J726,"M",K726),qdd!$BC$2:$BD$46,2,FALSE)))</f>
        <v/>
      </c>
      <c r="M726" s="2" t="str">
        <f>TEXT(IFERROR(VLOOKUP(CONCATENATE(C726,D726),qdd!$C$2:$G$1000,5,FALSE),""),0)</f>
        <v/>
      </c>
      <c r="N726" s="2" t="str">
        <f>IFERROR(IF('PREENCHER AQUI'!I726="","",'PREENCHER AQUI'!I726),"")</f>
        <v/>
      </c>
      <c r="O726" s="2" t="str">
        <f>IFERROR(IF('PREENCHER AQUI'!J726="","",'PREENCHER AQUI'!J726),"")</f>
        <v/>
      </c>
      <c r="P726" s="7" t="str">
        <f t="shared" si="25"/>
        <v/>
      </c>
      <c r="Q726" s="8" t="str">
        <f>IFERROR(IF(Tabela4[[#This Row],[VALOR]]="","",IF(Tabela1[[#This Row],[ORIENTACAO]]="Anular",'PREENCHER AQUI'!K726*-1*100,'PREENCHER AQUI'!K726*100)),"")</f>
        <v/>
      </c>
      <c r="T726" s="7" t="str">
        <f>IFERROR(IF('PREENCHER AQUI'!L726="","999",LEFT('PREENCHER AQUI'!L726,1)),"")</f>
        <v>999</v>
      </c>
      <c r="V726" s="19"/>
      <c r="W726" s="1" t="str">
        <f>IFERROR(VLOOKUP(Tabela1[[#This Row],[UO_COD]],qdd!$AT$1:$AU$102,2,FALSE),"")</f>
        <v/>
      </c>
      <c r="X726" s="1" t="str">
        <f>CONCATENATE("F",Tabela1[[#This Row],[FONTE_COD]],Tabela1[[#This Row],[IPU_COD]],"G",Tabela1[[#This Row],[GRUPO_COD]],"T",Tabela1[[#This Row],[TIPO]])</f>
        <v>FGT999</v>
      </c>
      <c r="Y7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6" s="19"/>
      <c r="AA726" s="29" t="str">
        <f>IFERROR(VLOOKUP(CONCATENATE("B",Tabela1[[#This Row],[BLOCO]],Tabela1[[#This Row],[UO_COD]]),qdd!$AW$2:$AX$1000,2,FALSE),"")</f>
        <v/>
      </c>
      <c r="AB726" s="30" t="str">
        <f>IFERROR(Tabela1[[#This Row],[VALOR]]/100,"")</f>
        <v/>
      </c>
      <c r="AC726" s="7" t="str" cm="1">
        <f t="array" aca="1" ref="AC726" ca="1">IF(Tabela1[[#This Row],[VALOR]]&lt;0,"",IFERROR(SUBSTITUTE(Converter_numero(Tabela1[[#This Row],[VALOR INCISO]]),",",""),""))</f>
        <v/>
      </c>
      <c r="AD726" s="29" t="str">
        <f>IF(Tabela1[[#This Row],[TIPO]]=REGRAS!$W$2,REGRAS!$X$2,IF(Tabela1[[#This Row],[TIPO]]=REGRAS!$W$4,REGRAS!$X$4,""))</f>
        <v/>
      </c>
      <c r="AE726" s="29" t="e">
        <f>VLOOKUP(Tabela1[[#This Row],[FONTE_COD]],REGRAS!$O$2:$P$69,2,FALSE)</f>
        <v>#N/A</v>
      </c>
      <c r="AF7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7" spans="1:32" ht="18.75" customHeight="1">
      <c r="A727" s="2" t="str">
        <f>IFERROR(IF('PREENCHER AQUI'!A727="","",'PREENCHER AQUI'!A727),"")</f>
        <v/>
      </c>
      <c r="B727" s="1" t="str">
        <f>IFERROR(IF('PREENCHER AQUI'!B727="","",PROPER('PREENCHER AQUI'!B727)),"")</f>
        <v/>
      </c>
      <c r="C727" s="1" t="str">
        <f>IFERROR(IF('PREENCHER AQUI'!C727="","",'PREENCHER AQUI'!C727),"")</f>
        <v/>
      </c>
      <c r="D727" s="2" t="str">
        <f>IFERROR(IF('PREENCHER AQUI'!D727="","",'PREENCHER AQUI'!D727),"")</f>
        <v/>
      </c>
      <c r="E727" s="2" t="str">
        <f>IFERROR(VLOOKUP(CONCATENATE(C727,D727),qdd!$C$2:$F$1000,2,FALSE),"")</f>
        <v/>
      </c>
      <c r="F727" s="2" t="str">
        <f>IFERROR(VLOOKUP(CONCATENATE(C727,D727),qdd!$C$2:$F$1000,3,FALSE),"")</f>
        <v/>
      </c>
      <c r="G727" s="2" t="str">
        <f>IFERROR(VLOOKUP(CONCATENATE(C727,D727),qdd!$C$2:$F$1000,4,FALSE),"")</f>
        <v/>
      </c>
      <c r="H727" s="6" t="str">
        <f t="shared" si="24"/>
        <v/>
      </c>
      <c r="I7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7" s="2" t="str">
        <f>IFERROR(IF('PREENCHER AQUI'!E727="","",'PREENCHER AQUI'!E727),"")</f>
        <v/>
      </c>
      <c r="K727" s="2" t="str">
        <f>IFERROR(IF('PREENCHER AQUI'!F727="","",'PREENCHER AQUI'!F727),"")</f>
        <v/>
      </c>
      <c r="L727" s="2" t="str">
        <f>IF(Tabela1[[#This Row],[IPU_COD]]=9,"91",IF(Tabela1[[#This Row],[ACAO_COD]]="","",VLOOKUP(CONCATENATE("G",J727,"M",K727),qdd!$BC$2:$BD$46,2,FALSE)))</f>
        <v/>
      </c>
      <c r="M727" s="2" t="str">
        <f>TEXT(IFERROR(VLOOKUP(CONCATENATE(C727,D727),qdd!$C$2:$G$1000,5,FALSE),""),0)</f>
        <v/>
      </c>
      <c r="N727" s="2" t="str">
        <f>IFERROR(IF('PREENCHER AQUI'!I727="","",'PREENCHER AQUI'!I727),"")</f>
        <v/>
      </c>
      <c r="O727" s="2" t="str">
        <f>IFERROR(IF('PREENCHER AQUI'!J727="","",'PREENCHER AQUI'!J727),"")</f>
        <v/>
      </c>
      <c r="P727" s="7" t="str">
        <f t="shared" si="25"/>
        <v/>
      </c>
      <c r="Q727" s="8" t="str">
        <f>IFERROR(IF(Tabela4[[#This Row],[VALOR]]="","",IF(Tabela1[[#This Row],[ORIENTACAO]]="Anular",'PREENCHER AQUI'!K727*-1*100,'PREENCHER AQUI'!K727*100)),"")</f>
        <v/>
      </c>
      <c r="T727" s="7" t="str">
        <f>IFERROR(IF('PREENCHER AQUI'!L727="","999",LEFT('PREENCHER AQUI'!L727,1)),"")</f>
        <v>999</v>
      </c>
      <c r="W727" s="1" t="str">
        <f>IFERROR(VLOOKUP(Tabela1[[#This Row],[UO_COD]],qdd!$AT$1:$AU$102,2,FALSE),"")</f>
        <v/>
      </c>
      <c r="X727" s="1" t="str">
        <f>CONCATENATE("F",Tabela1[[#This Row],[FONTE_COD]],Tabela1[[#This Row],[IPU_COD]],"G",Tabela1[[#This Row],[GRUPO_COD]],"T",Tabela1[[#This Row],[TIPO]])</f>
        <v>FGT999</v>
      </c>
      <c r="Y7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7" s="19"/>
      <c r="AA727" s="29" t="str">
        <f>IFERROR(VLOOKUP(CONCATENATE("B",Tabela1[[#This Row],[BLOCO]],Tabela1[[#This Row],[UO_COD]]),qdd!$AW$2:$AX$1000,2,FALSE),"")</f>
        <v/>
      </c>
      <c r="AB727" s="30" t="str">
        <f>IFERROR(Tabela1[[#This Row],[VALOR]]/100,"")</f>
        <v/>
      </c>
      <c r="AC727" s="7" t="str" cm="1">
        <f t="array" aca="1" ref="AC727" ca="1">IF(Tabela1[[#This Row],[VALOR]]&lt;0,"",IFERROR(SUBSTITUTE(Converter_numero(Tabela1[[#This Row],[VALOR INCISO]]),",",""),""))</f>
        <v/>
      </c>
      <c r="AD727" s="7" t="str">
        <f>IF(Tabela1[[#This Row],[TIPO]]=REGRAS!$W$2,REGRAS!$X$2,IF(Tabela1[[#This Row],[TIPO]]=REGRAS!$W$4,REGRAS!$X$4,""))</f>
        <v/>
      </c>
      <c r="AE727" s="29" t="e">
        <f>VLOOKUP(Tabela1[[#This Row],[FONTE_COD]],REGRAS!$O$2:$P$69,2,FALSE)</f>
        <v>#N/A</v>
      </c>
      <c r="AF7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8" spans="1:32" ht="18.75" customHeight="1">
      <c r="A728" s="2" t="str">
        <f>IFERROR(IF('PREENCHER AQUI'!A728="","",'PREENCHER AQUI'!A728),"")</f>
        <v/>
      </c>
      <c r="B728" s="1" t="str">
        <f>IFERROR(IF('PREENCHER AQUI'!B728="","",PROPER('PREENCHER AQUI'!B728)),"")</f>
        <v/>
      </c>
      <c r="C728" s="1" t="str">
        <f>IFERROR(IF('PREENCHER AQUI'!C728="","",'PREENCHER AQUI'!C728),"")</f>
        <v/>
      </c>
      <c r="D728" s="2" t="str">
        <f>IFERROR(IF('PREENCHER AQUI'!D728="","",'PREENCHER AQUI'!D728),"")</f>
        <v/>
      </c>
      <c r="E728" s="2" t="str">
        <f>IFERROR(VLOOKUP(CONCATENATE(C728,D728),qdd!$C$2:$F$1000,2,FALSE),"")</f>
        <v/>
      </c>
      <c r="F728" s="2" t="str">
        <f>IFERROR(VLOOKUP(CONCATENATE(C728,D728),qdd!$C$2:$F$1000,3,FALSE),"")</f>
        <v/>
      </c>
      <c r="G728" s="2" t="str">
        <f>IFERROR(VLOOKUP(CONCATENATE(C728,D728),qdd!$C$2:$F$1000,4,FALSE),"")</f>
        <v/>
      </c>
      <c r="H728" s="6" t="str">
        <f t="shared" si="24"/>
        <v/>
      </c>
      <c r="I7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8" s="2" t="str">
        <f>IFERROR(IF('PREENCHER AQUI'!E728="","",'PREENCHER AQUI'!E728),"")</f>
        <v/>
      </c>
      <c r="K728" s="2" t="str">
        <f>IFERROR(IF('PREENCHER AQUI'!F728="","",'PREENCHER AQUI'!F728),"")</f>
        <v/>
      </c>
      <c r="L728" s="2" t="str">
        <f>IF(Tabela1[[#This Row],[IPU_COD]]=9,"91",IF(Tabela1[[#This Row],[ACAO_COD]]="","",VLOOKUP(CONCATENATE("G",J728,"M",K728),qdd!$BC$2:$BD$46,2,FALSE)))</f>
        <v/>
      </c>
      <c r="M728" s="2" t="str">
        <f>TEXT(IFERROR(VLOOKUP(CONCATENATE(C728,D728),qdd!$C$2:$G$1000,5,FALSE),""),0)</f>
        <v/>
      </c>
      <c r="N728" s="2" t="str">
        <f>IFERROR(IF('PREENCHER AQUI'!I728="","",'PREENCHER AQUI'!I728),"")</f>
        <v/>
      </c>
      <c r="O728" s="2" t="str">
        <f>IFERROR(IF('PREENCHER AQUI'!J728="","",'PREENCHER AQUI'!J728),"")</f>
        <v/>
      </c>
      <c r="P728" s="7" t="str">
        <f t="shared" si="25"/>
        <v/>
      </c>
      <c r="Q728" s="8" t="str">
        <f>IFERROR(IF(Tabela4[[#This Row],[VALOR]]="","",IF(Tabela1[[#This Row],[ORIENTACAO]]="Anular",'PREENCHER AQUI'!K728*-1*100,'PREENCHER AQUI'!K728*100)),"")</f>
        <v/>
      </c>
      <c r="T728" s="7" t="str">
        <f>IFERROR(IF('PREENCHER AQUI'!L728="","999",LEFT('PREENCHER AQUI'!L728,1)),"")</f>
        <v>999</v>
      </c>
      <c r="V728" s="19"/>
      <c r="W728" s="1" t="str">
        <f>IFERROR(VLOOKUP(Tabela1[[#This Row],[UO_COD]],qdd!$AT$1:$AU$102,2,FALSE),"")</f>
        <v/>
      </c>
      <c r="X728" s="1" t="str">
        <f>CONCATENATE("F",Tabela1[[#This Row],[FONTE_COD]],Tabela1[[#This Row],[IPU_COD]],"G",Tabela1[[#This Row],[GRUPO_COD]],"T",Tabela1[[#This Row],[TIPO]])</f>
        <v>FGT999</v>
      </c>
      <c r="Y7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8" s="19"/>
      <c r="AA728" s="29" t="str">
        <f>IFERROR(VLOOKUP(CONCATENATE("B",Tabela1[[#This Row],[BLOCO]],Tabela1[[#This Row],[UO_COD]]),qdd!$AW$2:$AX$1000,2,FALSE),"")</f>
        <v/>
      </c>
      <c r="AB728" s="30" t="str">
        <f>IFERROR(Tabela1[[#This Row],[VALOR]]/100,"")</f>
        <v/>
      </c>
      <c r="AC728" s="7" t="str" cm="1">
        <f t="array" aca="1" ref="AC728" ca="1">IF(Tabela1[[#This Row],[VALOR]]&lt;0,"",IFERROR(SUBSTITUTE(Converter_numero(Tabela1[[#This Row],[VALOR INCISO]]),",",""),""))</f>
        <v/>
      </c>
      <c r="AD728" s="29" t="str">
        <f>IF(Tabela1[[#This Row],[TIPO]]=REGRAS!$W$2,REGRAS!$X$2,IF(Tabela1[[#This Row],[TIPO]]=REGRAS!$W$4,REGRAS!$X$4,""))</f>
        <v/>
      </c>
      <c r="AE728" s="29" t="e">
        <f>VLOOKUP(Tabela1[[#This Row],[FONTE_COD]],REGRAS!$O$2:$P$69,2,FALSE)</f>
        <v>#N/A</v>
      </c>
      <c r="AF7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9" spans="1:32" ht="18.75" customHeight="1">
      <c r="A729" s="2" t="str">
        <f>IFERROR(IF('PREENCHER AQUI'!A729="","",'PREENCHER AQUI'!A729),"")</f>
        <v/>
      </c>
      <c r="B729" s="1" t="str">
        <f>IFERROR(IF('PREENCHER AQUI'!B729="","",PROPER('PREENCHER AQUI'!B729)),"")</f>
        <v/>
      </c>
      <c r="C729" s="1" t="str">
        <f>IFERROR(IF('PREENCHER AQUI'!C729="","",'PREENCHER AQUI'!C729),"")</f>
        <v/>
      </c>
      <c r="D729" s="2" t="str">
        <f>IFERROR(IF('PREENCHER AQUI'!D729="","",'PREENCHER AQUI'!D729),"")</f>
        <v/>
      </c>
      <c r="E729" s="2" t="str">
        <f>IFERROR(VLOOKUP(CONCATENATE(C729,D729),qdd!$C$2:$F$1000,2,FALSE),"")</f>
        <v/>
      </c>
      <c r="F729" s="2" t="str">
        <f>IFERROR(VLOOKUP(CONCATENATE(C729,D729),qdd!$C$2:$F$1000,3,FALSE),"")</f>
        <v/>
      </c>
      <c r="G729" s="2" t="str">
        <f>IFERROR(VLOOKUP(CONCATENATE(C729,D729),qdd!$C$2:$F$1000,4,FALSE),"")</f>
        <v/>
      </c>
      <c r="H729" s="6" t="str">
        <f t="shared" si="24"/>
        <v/>
      </c>
      <c r="I7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9" s="2" t="str">
        <f>IFERROR(IF('PREENCHER AQUI'!E729="","",'PREENCHER AQUI'!E729),"")</f>
        <v/>
      </c>
      <c r="K729" s="2" t="str">
        <f>IFERROR(IF('PREENCHER AQUI'!F729="","",'PREENCHER AQUI'!F729),"")</f>
        <v/>
      </c>
      <c r="L729" s="2" t="str">
        <f>IF(Tabela1[[#This Row],[IPU_COD]]=9,"91",IF(Tabela1[[#This Row],[ACAO_COD]]="","",VLOOKUP(CONCATENATE("G",J729,"M",K729),qdd!$BC$2:$BD$46,2,FALSE)))</f>
        <v/>
      </c>
      <c r="M729" s="2" t="str">
        <f>TEXT(IFERROR(VLOOKUP(CONCATENATE(C729,D729),qdd!$C$2:$G$1000,5,FALSE),""),0)</f>
        <v/>
      </c>
      <c r="N729" s="2" t="str">
        <f>IFERROR(IF('PREENCHER AQUI'!I729="","",'PREENCHER AQUI'!I729),"")</f>
        <v/>
      </c>
      <c r="O729" s="2" t="str">
        <f>IFERROR(IF('PREENCHER AQUI'!J729="","",'PREENCHER AQUI'!J729),"")</f>
        <v/>
      </c>
      <c r="P729" s="7" t="str">
        <f t="shared" si="25"/>
        <v/>
      </c>
      <c r="Q729" s="8" t="str">
        <f>IFERROR(IF(Tabela4[[#This Row],[VALOR]]="","",IF(Tabela1[[#This Row],[ORIENTACAO]]="Anular",'PREENCHER AQUI'!K729*-1*100,'PREENCHER AQUI'!K729*100)),"")</f>
        <v/>
      </c>
      <c r="T729" s="7" t="str">
        <f>IFERROR(IF('PREENCHER AQUI'!L729="","999",LEFT('PREENCHER AQUI'!L729,1)),"")</f>
        <v>999</v>
      </c>
      <c r="V729" s="19"/>
      <c r="W729" s="1" t="str">
        <f>IFERROR(VLOOKUP(Tabela1[[#This Row],[UO_COD]],qdd!$AT$1:$AU$102,2,FALSE),"")</f>
        <v/>
      </c>
      <c r="X729" s="1" t="str">
        <f>CONCATENATE("F",Tabela1[[#This Row],[FONTE_COD]],Tabela1[[#This Row],[IPU_COD]],"G",Tabela1[[#This Row],[GRUPO_COD]],"T",Tabela1[[#This Row],[TIPO]])</f>
        <v>FGT999</v>
      </c>
      <c r="Y7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9" s="19"/>
      <c r="AA729" s="29" t="str">
        <f>IFERROR(VLOOKUP(CONCATENATE("B",Tabela1[[#This Row],[BLOCO]],Tabela1[[#This Row],[UO_COD]]),qdd!$AW$2:$AX$1000,2,FALSE),"")</f>
        <v/>
      </c>
      <c r="AB729" s="30" t="str">
        <f>IFERROR(Tabela1[[#This Row],[VALOR]]/100,"")</f>
        <v/>
      </c>
      <c r="AC729" s="7" t="str" cm="1">
        <f t="array" aca="1" ref="AC729" ca="1">IF(Tabela1[[#This Row],[VALOR]]&lt;0,"",IFERROR(SUBSTITUTE(Converter_numero(Tabela1[[#This Row],[VALOR INCISO]]),",",""),""))</f>
        <v/>
      </c>
      <c r="AD729" s="29" t="str">
        <f>IF(Tabela1[[#This Row],[TIPO]]=REGRAS!$W$2,REGRAS!$X$2,IF(Tabela1[[#This Row],[TIPO]]=REGRAS!$W$4,REGRAS!$X$4,""))</f>
        <v/>
      </c>
      <c r="AE729" s="29" t="e">
        <f>VLOOKUP(Tabela1[[#This Row],[FONTE_COD]],REGRAS!$O$2:$P$69,2,FALSE)</f>
        <v>#N/A</v>
      </c>
      <c r="AF7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0" spans="1:32" ht="18.75" customHeight="1">
      <c r="A730" s="2" t="str">
        <f>IFERROR(IF('PREENCHER AQUI'!A730="","",'PREENCHER AQUI'!A730),"")</f>
        <v/>
      </c>
      <c r="B730" s="1" t="str">
        <f>IFERROR(IF('PREENCHER AQUI'!B730="","",PROPER('PREENCHER AQUI'!B730)),"")</f>
        <v/>
      </c>
      <c r="C730" s="1" t="str">
        <f>IFERROR(IF('PREENCHER AQUI'!C730="","",'PREENCHER AQUI'!C730),"")</f>
        <v/>
      </c>
      <c r="D730" s="2" t="str">
        <f>IFERROR(IF('PREENCHER AQUI'!D730="","",'PREENCHER AQUI'!D730),"")</f>
        <v/>
      </c>
      <c r="E730" s="2" t="str">
        <f>IFERROR(VLOOKUP(CONCATENATE(C730,D730),qdd!$C$2:$F$1000,2,FALSE),"")</f>
        <v/>
      </c>
      <c r="F730" s="2" t="str">
        <f>IFERROR(VLOOKUP(CONCATENATE(C730,D730),qdd!$C$2:$F$1000,3,FALSE),"")</f>
        <v/>
      </c>
      <c r="G730" s="2" t="str">
        <f>IFERROR(VLOOKUP(CONCATENATE(C730,D730),qdd!$C$2:$F$1000,4,FALSE),"")</f>
        <v/>
      </c>
      <c r="H730" s="6" t="str">
        <f t="shared" si="24"/>
        <v/>
      </c>
      <c r="I7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0" s="2" t="str">
        <f>IFERROR(IF('PREENCHER AQUI'!E730="","",'PREENCHER AQUI'!E730),"")</f>
        <v/>
      </c>
      <c r="K730" s="2" t="str">
        <f>IFERROR(IF('PREENCHER AQUI'!F730="","",'PREENCHER AQUI'!F730),"")</f>
        <v/>
      </c>
      <c r="L730" s="2" t="str">
        <f>IF(Tabela1[[#This Row],[IPU_COD]]=9,"91",IF(Tabela1[[#This Row],[ACAO_COD]]="","",VLOOKUP(CONCATENATE("G",J730,"M",K730),qdd!$BC$2:$BD$46,2,FALSE)))</f>
        <v/>
      </c>
      <c r="M730" s="2" t="str">
        <f>TEXT(IFERROR(VLOOKUP(CONCATENATE(C730,D730),qdd!$C$2:$G$1000,5,FALSE),""),0)</f>
        <v/>
      </c>
      <c r="N730" s="2" t="str">
        <f>IFERROR(IF('PREENCHER AQUI'!I730="","",'PREENCHER AQUI'!I730),"")</f>
        <v/>
      </c>
      <c r="O730" s="2" t="str">
        <f>IFERROR(IF('PREENCHER AQUI'!J730="","",'PREENCHER AQUI'!J730),"")</f>
        <v/>
      </c>
      <c r="P730" s="7" t="str">
        <f t="shared" si="25"/>
        <v/>
      </c>
      <c r="Q730" s="8" t="str">
        <f>IFERROR(IF(Tabela4[[#This Row],[VALOR]]="","",IF(Tabela1[[#This Row],[ORIENTACAO]]="Anular",'PREENCHER AQUI'!K730*-1*100,'PREENCHER AQUI'!K730*100)),"")</f>
        <v/>
      </c>
      <c r="T730" s="7" t="str">
        <f>IFERROR(IF('PREENCHER AQUI'!L730="","999",LEFT('PREENCHER AQUI'!L730,1)),"")</f>
        <v>999</v>
      </c>
      <c r="V730" s="19"/>
      <c r="W730" s="20" t="str">
        <f>IFERROR(VLOOKUP(Tabela1[[#This Row],[UO_COD]],qdd!$AT$1:$AU$102,2,FALSE),"")</f>
        <v/>
      </c>
      <c r="X730" s="20" t="str">
        <f>CONCATENATE("F",Tabela1[[#This Row],[FONTE_COD]],Tabela1[[#This Row],[IPU_COD]],"G",Tabela1[[#This Row],[GRUPO_COD]],"T",Tabela1[[#This Row],[TIPO]])</f>
        <v>FGT999</v>
      </c>
      <c r="Y7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0" s="19"/>
      <c r="AA730" s="29" t="str">
        <f>IFERROR(VLOOKUP(CONCATENATE("B",Tabela1[[#This Row],[BLOCO]],Tabela1[[#This Row],[UO_COD]]),qdd!$AW$2:$AX$1000,2,FALSE),"")</f>
        <v/>
      </c>
      <c r="AB730" s="30" t="str">
        <f>IFERROR(Tabela1[[#This Row],[VALOR]]/100,"")</f>
        <v/>
      </c>
      <c r="AC730" s="7" t="str" cm="1">
        <f t="array" aca="1" ref="AC730" ca="1">IF(Tabela1[[#This Row],[VALOR]]&lt;0,"",IFERROR(SUBSTITUTE(Converter_numero(Tabela1[[#This Row],[VALOR INCISO]]),",",""),""))</f>
        <v/>
      </c>
      <c r="AD730" s="29" t="str">
        <f>IF(Tabela1[[#This Row],[TIPO]]=REGRAS!$W$2,REGRAS!$X$2,IF(Tabela1[[#This Row],[TIPO]]=REGRAS!$W$4,REGRAS!$X$4,""))</f>
        <v/>
      </c>
      <c r="AE730" s="29" t="e">
        <f>VLOOKUP(Tabela1[[#This Row],[FONTE_COD]],REGRAS!$O$2:$P$69,2,FALSE)</f>
        <v>#N/A</v>
      </c>
      <c r="AF7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1" spans="1:32" ht="18.75" customHeight="1">
      <c r="A731" s="2" t="str">
        <f>IFERROR(IF('PREENCHER AQUI'!A731="","",'PREENCHER AQUI'!A731),"")</f>
        <v/>
      </c>
      <c r="B731" s="1" t="str">
        <f>IFERROR(IF('PREENCHER AQUI'!B731="","",PROPER('PREENCHER AQUI'!B731)),"")</f>
        <v/>
      </c>
      <c r="C731" s="1" t="str">
        <f>IFERROR(IF('PREENCHER AQUI'!C731="","",'PREENCHER AQUI'!C731),"")</f>
        <v/>
      </c>
      <c r="D731" s="2" t="str">
        <f>IFERROR(IF('PREENCHER AQUI'!D731="","",'PREENCHER AQUI'!D731),"")</f>
        <v/>
      </c>
      <c r="E731" s="2" t="str">
        <f>IFERROR(VLOOKUP(CONCATENATE(C731,D731),qdd!$C$2:$F$1000,2,FALSE),"")</f>
        <v/>
      </c>
      <c r="F731" s="2" t="str">
        <f>IFERROR(VLOOKUP(CONCATENATE(C731,D731),qdd!$C$2:$F$1000,3,FALSE),"")</f>
        <v/>
      </c>
      <c r="G731" s="2" t="str">
        <f>IFERROR(VLOOKUP(CONCATENATE(C731,D731),qdd!$C$2:$F$1000,4,FALSE),"")</f>
        <v/>
      </c>
      <c r="H731" s="6" t="str">
        <f t="shared" si="24"/>
        <v/>
      </c>
      <c r="I7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1" s="2" t="str">
        <f>IFERROR(IF('PREENCHER AQUI'!E731="","",'PREENCHER AQUI'!E731),"")</f>
        <v/>
      </c>
      <c r="K731" s="2" t="str">
        <f>IFERROR(IF('PREENCHER AQUI'!F731="","",'PREENCHER AQUI'!F731),"")</f>
        <v/>
      </c>
      <c r="L731" s="2" t="str">
        <f>IF(Tabela1[[#This Row],[IPU_COD]]=9,"91",IF(Tabela1[[#This Row],[ACAO_COD]]="","",VLOOKUP(CONCATENATE("G",J731,"M",K731),qdd!$BC$2:$BD$46,2,FALSE)))</f>
        <v/>
      </c>
      <c r="M731" s="2" t="str">
        <f>TEXT(IFERROR(VLOOKUP(CONCATENATE(C731,D731),qdd!$C$2:$G$1000,5,FALSE),""),0)</f>
        <v/>
      </c>
      <c r="N731" s="2" t="str">
        <f>IFERROR(IF('PREENCHER AQUI'!I731="","",'PREENCHER AQUI'!I731),"")</f>
        <v/>
      </c>
      <c r="O731" s="2" t="str">
        <f>IFERROR(IF('PREENCHER AQUI'!J731="","",'PREENCHER AQUI'!J731),"")</f>
        <v/>
      </c>
      <c r="P731" s="7" t="str">
        <f t="shared" si="25"/>
        <v/>
      </c>
      <c r="Q731" s="8" t="str">
        <f>IFERROR(IF(Tabela4[[#This Row],[VALOR]]="","",IF(Tabela1[[#This Row],[ORIENTACAO]]="Anular",'PREENCHER AQUI'!K731*-1*100,'PREENCHER AQUI'!K731*100)),"")</f>
        <v/>
      </c>
      <c r="T731" s="7" t="str">
        <f>IFERROR(IF('PREENCHER AQUI'!L731="","999",LEFT('PREENCHER AQUI'!L731,1)),"")</f>
        <v>999</v>
      </c>
      <c r="V731" s="19"/>
      <c r="W731" s="1" t="str">
        <f>IFERROR(VLOOKUP(Tabela1[[#This Row],[UO_COD]],qdd!$AT$1:$AU$102,2,FALSE),"")</f>
        <v/>
      </c>
      <c r="X731" s="1" t="str">
        <f>CONCATENATE("F",Tabela1[[#This Row],[FONTE_COD]],Tabela1[[#This Row],[IPU_COD]],"G",Tabela1[[#This Row],[GRUPO_COD]],"T",Tabela1[[#This Row],[TIPO]])</f>
        <v>FGT999</v>
      </c>
      <c r="Y7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1" s="19"/>
      <c r="AA731" s="29" t="str">
        <f>IFERROR(VLOOKUP(CONCATENATE("B",Tabela1[[#This Row],[BLOCO]],Tabela1[[#This Row],[UO_COD]]),qdd!$AW$2:$AX$1000,2,FALSE),"")</f>
        <v/>
      </c>
      <c r="AB731" s="30" t="str">
        <f>IFERROR(Tabela1[[#This Row],[VALOR]]/100,"")</f>
        <v/>
      </c>
      <c r="AC731" s="7" t="str" cm="1">
        <f t="array" aca="1" ref="AC731" ca="1">IF(Tabela1[[#This Row],[VALOR]]&lt;0,"",IFERROR(SUBSTITUTE(Converter_numero(Tabela1[[#This Row],[VALOR INCISO]]),",",""),""))</f>
        <v/>
      </c>
      <c r="AD731" s="29" t="str">
        <f>IF(Tabela1[[#This Row],[TIPO]]=REGRAS!$W$2,REGRAS!$X$2,IF(Tabela1[[#This Row],[TIPO]]=REGRAS!$W$4,REGRAS!$X$4,""))</f>
        <v/>
      </c>
      <c r="AE731" s="29" t="e">
        <f>VLOOKUP(Tabela1[[#This Row],[FONTE_COD]],REGRAS!$O$2:$P$69,2,FALSE)</f>
        <v>#N/A</v>
      </c>
      <c r="AF7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2" spans="1:32" ht="18.75" customHeight="1">
      <c r="A732" s="2" t="str">
        <f>IFERROR(IF('PREENCHER AQUI'!A732="","",'PREENCHER AQUI'!A732),"")</f>
        <v/>
      </c>
      <c r="B732" s="1" t="str">
        <f>IFERROR(IF('PREENCHER AQUI'!B732="","",PROPER('PREENCHER AQUI'!B732)),"")</f>
        <v/>
      </c>
      <c r="C732" s="1" t="str">
        <f>IFERROR(IF('PREENCHER AQUI'!C732="","",'PREENCHER AQUI'!C732),"")</f>
        <v/>
      </c>
      <c r="D732" s="2" t="str">
        <f>IFERROR(IF('PREENCHER AQUI'!D732="","",'PREENCHER AQUI'!D732),"")</f>
        <v/>
      </c>
      <c r="E732" s="2" t="str">
        <f>IFERROR(VLOOKUP(CONCATENATE(C732,D732),qdd!$C$2:$F$1000,2,FALSE),"")</f>
        <v/>
      </c>
      <c r="F732" s="2" t="str">
        <f>IFERROR(VLOOKUP(CONCATENATE(C732,D732),qdd!$C$2:$F$1000,3,FALSE),"")</f>
        <v/>
      </c>
      <c r="G732" s="2" t="str">
        <f>IFERROR(VLOOKUP(CONCATENATE(C732,D732),qdd!$C$2:$F$1000,4,FALSE),"")</f>
        <v/>
      </c>
      <c r="H732" s="6" t="str">
        <f t="shared" si="24"/>
        <v/>
      </c>
      <c r="I7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2" s="2" t="str">
        <f>IFERROR(IF('PREENCHER AQUI'!E732="","",'PREENCHER AQUI'!E732),"")</f>
        <v/>
      </c>
      <c r="K732" s="2" t="str">
        <f>IFERROR(IF('PREENCHER AQUI'!F732="","",'PREENCHER AQUI'!F732),"")</f>
        <v/>
      </c>
      <c r="L732" s="2" t="str">
        <f>IF(Tabela1[[#This Row],[IPU_COD]]=9,"91",IF(Tabela1[[#This Row],[ACAO_COD]]="","",VLOOKUP(CONCATENATE("G",J732,"M",K732),qdd!$BC$2:$BD$46,2,FALSE)))</f>
        <v/>
      </c>
      <c r="M732" s="2" t="str">
        <f>TEXT(IFERROR(VLOOKUP(CONCATENATE(C732,D732),qdd!$C$2:$G$1000,5,FALSE),""),0)</f>
        <v/>
      </c>
      <c r="N732" s="2" t="str">
        <f>IFERROR(IF('PREENCHER AQUI'!I732="","",'PREENCHER AQUI'!I732),"")</f>
        <v/>
      </c>
      <c r="O732" s="2" t="str">
        <f>IFERROR(IF('PREENCHER AQUI'!J732="","",'PREENCHER AQUI'!J732),"")</f>
        <v/>
      </c>
      <c r="P732" s="7" t="str">
        <f t="shared" si="25"/>
        <v/>
      </c>
      <c r="Q732" s="8" t="str">
        <f>IFERROR(IF(Tabela4[[#This Row],[VALOR]]="","",IF(Tabela1[[#This Row],[ORIENTACAO]]="Anular",'PREENCHER AQUI'!K732*-1*100,'PREENCHER AQUI'!K732*100)),"")</f>
        <v/>
      </c>
      <c r="T732" s="7" t="str">
        <f>IFERROR(IF('PREENCHER AQUI'!L732="","999",LEFT('PREENCHER AQUI'!L732,1)),"")</f>
        <v>999</v>
      </c>
      <c r="W732" s="1" t="str">
        <f>IFERROR(VLOOKUP(Tabela1[[#This Row],[UO_COD]],qdd!$AT$1:$AU$102,2,FALSE),"")</f>
        <v/>
      </c>
      <c r="X732" s="1" t="str">
        <f>CONCATENATE("F",Tabela1[[#This Row],[FONTE_COD]],Tabela1[[#This Row],[IPU_COD]],"G",Tabela1[[#This Row],[GRUPO_COD]],"T",Tabela1[[#This Row],[TIPO]])</f>
        <v>FGT999</v>
      </c>
      <c r="Y7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2" s="19"/>
      <c r="AA732" s="29" t="str">
        <f>IFERROR(VLOOKUP(CONCATENATE("B",Tabela1[[#This Row],[BLOCO]],Tabela1[[#This Row],[UO_COD]]),qdd!$AW$2:$AX$1000,2,FALSE),"")</f>
        <v/>
      </c>
      <c r="AB732" s="30" t="str">
        <f>IFERROR(Tabela1[[#This Row],[VALOR]]/100,"")</f>
        <v/>
      </c>
      <c r="AC732" s="7" t="str" cm="1">
        <f t="array" aca="1" ref="AC732" ca="1">IF(Tabela1[[#This Row],[VALOR]]&lt;0,"",IFERROR(SUBSTITUTE(Converter_numero(Tabela1[[#This Row],[VALOR INCISO]]),",",""),""))</f>
        <v/>
      </c>
      <c r="AD732" s="7" t="str">
        <f>IF(Tabela1[[#This Row],[TIPO]]=REGRAS!$W$2,REGRAS!$X$2,IF(Tabela1[[#This Row],[TIPO]]=REGRAS!$W$4,REGRAS!$X$4,""))</f>
        <v/>
      </c>
      <c r="AE732" s="29" t="e">
        <f>VLOOKUP(Tabela1[[#This Row],[FONTE_COD]],REGRAS!$O$2:$P$69,2,FALSE)</f>
        <v>#N/A</v>
      </c>
      <c r="AF7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3" spans="1:32" ht="18.75" customHeight="1">
      <c r="A733" s="2" t="str">
        <f>IFERROR(IF('PREENCHER AQUI'!A733="","",'PREENCHER AQUI'!A733),"")</f>
        <v/>
      </c>
      <c r="B733" s="1" t="str">
        <f>IFERROR(IF('PREENCHER AQUI'!B733="","",PROPER('PREENCHER AQUI'!B733)),"")</f>
        <v/>
      </c>
      <c r="C733" s="1" t="str">
        <f>IFERROR(IF('PREENCHER AQUI'!C733="","",'PREENCHER AQUI'!C733),"")</f>
        <v/>
      </c>
      <c r="D733" s="2" t="str">
        <f>IFERROR(IF('PREENCHER AQUI'!D733="","",'PREENCHER AQUI'!D733),"")</f>
        <v/>
      </c>
      <c r="E733" s="2" t="str">
        <f>IFERROR(VLOOKUP(CONCATENATE(C733,D733),qdd!$C$2:$F$1000,2,FALSE),"")</f>
        <v/>
      </c>
      <c r="F733" s="2" t="str">
        <f>IFERROR(VLOOKUP(CONCATENATE(C733,D733),qdd!$C$2:$F$1000,3,FALSE),"")</f>
        <v/>
      </c>
      <c r="G733" s="2" t="str">
        <f>IFERROR(VLOOKUP(CONCATENATE(C733,D733),qdd!$C$2:$F$1000,4,FALSE),"")</f>
        <v/>
      </c>
      <c r="H733" s="6" t="str">
        <f t="shared" si="24"/>
        <v/>
      </c>
      <c r="I7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3" s="2" t="str">
        <f>IFERROR(IF('PREENCHER AQUI'!E733="","",'PREENCHER AQUI'!E733),"")</f>
        <v/>
      </c>
      <c r="K733" s="2" t="str">
        <f>IFERROR(IF('PREENCHER AQUI'!F733="","",'PREENCHER AQUI'!F733),"")</f>
        <v/>
      </c>
      <c r="L733" s="2" t="str">
        <f>IF(Tabela1[[#This Row],[IPU_COD]]=9,"91",IF(Tabela1[[#This Row],[ACAO_COD]]="","",VLOOKUP(CONCATENATE("G",J733,"M",K733),qdd!$BC$2:$BD$46,2,FALSE)))</f>
        <v/>
      </c>
      <c r="M733" s="2" t="str">
        <f>TEXT(IFERROR(VLOOKUP(CONCATENATE(C733,D733),qdd!$C$2:$G$1000,5,FALSE),""),0)</f>
        <v/>
      </c>
      <c r="N733" s="2" t="str">
        <f>IFERROR(IF('PREENCHER AQUI'!I733="","",'PREENCHER AQUI'!I733),"")</f>
        <v/>
      </c>
      <c r="O733" s="2" t="str">
        <f>IFERROR(IF('PREENCHER AQUI'!J733="","",'PREENCHER AQUI'!J733),"")</f>
        <v/>
      </c>
      <c r="P733" s="7" t="str">
        <f t="shared" si="25"/>
        <v/>
      </c>
      <c r="Q733" s="8" t="str">
        <f>IFERROR(IF(Tabela4[[#This Row],[VALOR]]="","",IF(Tabela1[[#This Row],[ORIENTACAO]]="Anular",'PREENCHER AQUI'!K733*-1*100,'PREENCHER AQUI'!K733*100)),"")</f>
        <v/>
      </c>
      <c r="T733" s="7" t="str">
        <f>IFERROR(IF('PREENCHER AQUI'!L733="","999",LEFT('PREENCHER AQUI'!L733,1)),"")</f>
        <v>999</v>
      </c>
      <c r="V733" s="19"/>
      <c r="W733" s="1" t="str">
        <f>IFERROR(VLOOKUP(Tabela1[[#This Row],[UO_COD]],qdd!$AT$1:$AU$102,2,FALSE),"")</f>
        <v/>
      </c>
      <c r="X733" s="1" t="str">
        <f>CONCATENATE("F",Tabela1[[#This Row],[FONTE_COD]],Tabela1[[#This Row],[IPU_COD]],"G",Tabela1[[#This Row],[GRUPO_COD]],"T",Tabela1[[#This Row],[TIPO]])</f>
        <v>FGT999</v>
      </c>
      <c r="Y7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3" s="19"/>
      <c r="AA733" s="29" t="str">
        <f>IFERROR(VLOOKUP(CONCATENATE("B",Tabela1[[#This Row],[BLOCO]],Tabela1[[#This Row],[UO_COD]]),qdd!$AW$2:$AX$1000,2,FALSE),"")</f>
        <v/>
      </c>
      <c r="AB733" s="30" t="str">
        <f>IFERROR(Tabela1[[#This Row],[VALOR]]/100,"")</f>
        <v/>
      </c>
      <c r="AC733" s="7" t="str" cm="1">
        <f t="array" aca="1" ref="AC733" ca="1">IF(Tabela1[[#This Row],[VALOR]]&lt;0,"",IFERROR(SUBSTITUTE(Converter_numero(Tabela1[[#This Row],[VALOR INCISO]]),",",""),""))</f>
        <v/>
      </c>
      <c r="AD733" s="29" t="str">
        <f>IF(Tabela1[[#This Row],[TIPO]]=REGRAS!$W$2,REGRAS!$X$2,IF(Tabela1[[#This Row],[TIPO]]=REGRAS!$W$4,REGRAS!$X$4,""))</f>
        <v/>
      </c>
      <c r="AE733" s="29" t="e">
        <f>VLOOKUP(Tabela1[[#This Row],[FONTE_COD]],REGRAS!$O$2:$P$69,2,FALSE)</f>
        <v>#N/A</v>
      </c>
      <c r="AF7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4" spans="1:32" ht="18.75" customHeight="1">
      <c r="A734" s="2" t="str">
        <f>IFERROR(IF('PREENCHER AQUI'!A734="","",'PREENCHER AQUI'!A734),"")</f>
        <v/>
      </c>
      <c r="B734" s="1" t="str">
        <f>IFERROR(IF('PREENCHER AQUI'!B734="","",PROPER('PREENCHER AQUI'!B734)),"")</f>
        <v/>
      </c>
      <c r="C734" s="1" t="str">
        <f>IFERROR(IF('PREENCHER AQUI'!C734="","",'PREENCHER AQUI'!C734),"")</f>
        <v/>
      </c>
      <c r="D734" s="2" t="str">
        <f>IFERROR(IF('PREENCHER AQUI'!D734="","",'PREENCHER AQUI'!D734),"")</f>
        <v/>
      </c>
      <c r="E734" s="2" t="str">
        <f>IFERROR(VLOOKUP(CONCATENATE(C734,D734),qdd!$C$2:$F$1000,2,FALSE),"")</f>
        <v/>
      </c>
      <c r="F734" s="2" t="str">
        <f>IFERROR(VLOOKUP(CONCATENATE(C734,D734),qdd!$C$2:$F$1000,3,FALSE),"")</f>
        <v/>
      </c>
      <c r="G734" s="2" t="str">
        <f>IFERROR(VLOOKUP(CONCATENATE(C734,D734),qdd!$C$2:$F$1000,4,FALSE),"")</f>
        <v/>
      </c>
      <c r="H734" s="6" t="str">
        <f t="shared" si="24"/>
        <v/>
      </c>
      <c r="I7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4" s="2" t="str">
        <f>IFERROR(IF('PREENCHER AQUI'!E734="","",'PREENCHER AQUI'!E734),"")</f>
        <v/>
      </c>
      <c r="K734" s="2" t="str">
        <f>IFERROR(IF('PREENCHER AQUI'!F734="","",'PREENCHER AQUI'!F734),"")</f>
        <v/>
      </c>
      <c r="L734" s="2" t="str">
        <f>IF(Tabela1[[#This Row],[IPU_COD]]=9,"91",IF(Tabela1[[#This Row],[ACAO_COD]]="","",VLOOKUP(CONCATENATE("G",J734,"M",K734),qdd!$BC$2:$BD$46,2,FALSE)))</f>
        <v/>
      </c>
      <c r="M734" s="2" t="str">
        <f>TEXT(IFERROR(VLOOKUP(CONCATENATE(C734,D734),qdd!$C$2:$G$1000,5,FALSE),""),0)</f>
        <v/>
      </c>
      <c r="N734" s="2" t="str">
        <f>IFERROR(IF('PREENCHER AQUI'!I734="","",'PREENCHER AQUI'!I734),"")</f>
        <v/>
      </c>
      <c r="O734" s="2" t="str">
        <f>IFERROR(IF('PREENCHER AQUI'!J734="","",'PREENCHER AQUI'!J734),"")</f>
        <v/>
      </c>
      <c r="P734" s="7" t="str">
        <f t="shared" si="25"/>
        <v/>
      </c>
      <c r="Q734" s="8" t="str">
        <f>IFERROR(IF(Tabela4[[#This Row],[VALOR]]="","",IF(Tabela1[[#This Row],[ORIENTACAO]]="Anular",'PREENCHER AQUI'!K734*-1*100,'PREENCHER AQUI'!K734*100)),"")</f>
        <v/>
      </c>
      <c r="T734" s="7" t="str">
        <f>IFERROR(IF('PREENCHER AQUI'!L734="","999",LEFT('PREENCHER AQUI'!L734,1)),"")</f>
        <v>999</v>
      </c>
      <c r="V734" s="19"/>
      <c r="W734" s="1" t="str">
        <f>IFERROR(VLOOKUP(Tabela1[[#This Row],[UO_COD]],qdd!$AT$1:$AU$102,2,FALSE),"")</f>
        <v/>
      </c>
      <c r="X734" s="1" t="str">
        <f>CONCATENATE("F",Tabela1[[#This Row],[FONTE_COD]],Tabela1[[#This Row],[IPU_COD]],"G",Tabela1[[#This Row],[GRUPO_COD]],"T",Tabela1[[#This Row],[TIPO]])</f>
        <v>FGT999</v>
      </c>
      <c r="Y7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4" s="19"/>
      <c r="AA734" s="29" t="str">
        <f>IFERROR(VLOOKUP(CONCATENATE("B",Tabela1[[#This Row],[BLOCO]],Tabela1[[#This Row],[UO_COD]]),qdd!$AW$2:$AX$1000,2,FALSE),"")</f>
        <v/>
      </c>
      <c r="AB734" s="30" t="str">
        <f>IFERROR(Tabela1[[#This Row],[VALOR]]/100,"")</f>
        <v/>
      </c>
      <c r="AC734" s="7" t="str" cm="1">
        <f t="array" aca="1" ref="AC734" ca="1">IF(Tabela1[[#This Row],[VALOR]]&lt;0,"",IFERROR(SUBSTITUTE(Converter_numero(Tabela1[[#This Row],[VALOR INCISO]]),",",""),""))</f>
        <v/>
      </c>
      <c r="AD734" s="29" t="str">
        <f>IF(Tabela1[[#This Row],[TIPO]]=REGRAS!$W$2,REGRAS!$X$2,IF(Tabela1[[#This Row],[TIPO]]=REGRAS!$W$4,REGRAS!$X$4,""))</f>
        <v/>
      </c>
      <c r="AE734" s="29" t="e">
        <f>VLOOKUP(Tabela1[[#This Row],[FONTE_COD]],REGRAS!$O$2:$P$69,2,FALSE)</f>
        <v>#N/A</v>
      </c>
      <c r="AF7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5" spans="1:32" ht="18.75" customHeight="1">
      <c r="A735" s="2" t="str">
        <f>IFERROR(IF('PREENCHER AQUI'!A735="","",'PREENCHER AQUI'!A735),"")</f>
        <v/>
      </c>
      <c r="B735" s="1" t="str">
        <f>IFERROR(IF('PREENCHER AQUI'!B735="","",PROPER('PREENCHER AQUI'!B735)),"")</f>
        <v/>
      </c>
      <c r="C735" s="1" t="str">
        <f>IFERROR(IF('PREENCHER AQUI'!C735="","",'PREENCHER AQUI'!C735),"")</f>
        <v/>
      </c>
      <c r="D735" s="2" t="str">
        <f>IFERROR(IF('PREENCHER AQUI'!D735="","",'PREENCHER AQUI'!D735),"")</f>
        <v/>
      </c>
      <c r="E735" s="2" t="str">
        <f>IFERROR(VLOOKUP(CONCATENATE(C735,D735),qdd!$C$2:$F$1000,2,FALSE),"")</f>
        <v/>
      </c>
      <c r="F735" s="2" t="str">
        <f>IFERROR(VLOOKUP(CONCATENATE(C735,D735),qdd!$C$2:$F$1000,3,FALSE),"")</f>
        <v/>
      </c>
      <c r="G735" s="2" t="str">
        <f>IFERROR(VLOOKUP(CONCATENATE(C735,D735),qdd!$C$2:$F$1000,4,FALSE),"")</f>
        <v/>
      </c>
      <c r="H735" s="6" t="str">
        <f t="shared" si="24"/>
        <v/>
      </c>
      <c r="I7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5" s="2" t="str">
        <f>IFERROR(IF('PREENCHER AQUI'!E735="","",'PREENCHER AQUI'!E735),"")</f>
        <v/>
      </c>
      <c r="K735" s="2" t="str">
        <f>IFERROR(IF('PREENCHER AQUI'!F735="","",'PREENCHER AQUI'!F735),"")</f>
        <v/>
      </c>
      <c r="L735" s="2" t="str">
        <f>IF(Tabela1[[#This Row],[IPU_COD]]=9,"91",IF(Tabela1[[#This Row],[ACAO_COD]]="","",VLOOKUP(CONCATENATE("G",J735,"M",K735),qdd!$BC$2:$BD$46,2,FALSE)))</f>
        <v/>
      </c>
      <c r="M735" s="2" t="str">
        <f>TEXT(IFERROR(VLOOKUP(CONCATENATE(C735,D735),qdd!$C$2:$G$1000,5,FALSE),""),0)</f>
        <v/>
      </c>
      <c r="N735" s="2" t="str">
        <f>IFERROR(IF('PREENCHER AQUI'!I735="","",'PREENCHER AQUI'!I735),"")</f>
        <v/>
      </c>
      <c r="O735" s="2" t="str">
        <f>IFERROR(IF('PREENCHER AQUI'!J735="","",'PREENCHER AQUI'!J735),"")</f>
        <v/>
      </c>
      <c r="P735" s="7" t="str">
        <f t="shared" si="25"/>
        <v/>
      </c>
      <c r="Q735" s="8" t="str">
        <f>IFERROR(IF(Tabela4[[#This Row],[VALOR]]="","",IF(Tabela1[[#This Row],[ORIENTACAO]]="Anular",'PREENCHER AQUI'!K735*-1*100,'PREENCHER AQUI'!K735*100)),"")</f>
        <v/>
      </c>
      <c r="T735" s="7" t="str">
        <f>IFERROR(IF('PREENCHER AQUI'!L735="","999",LEFT('PREENCHER AQUI'!L735,1)),"")</f>
        <v>999</v>
      </c>
      <c r="V735" s="19"/>
      <c r="W735" s="20" t="str">
        <f>IFERROR(VLOOKUP(Tabela1[[#This Row],[UO_COD]],qdd!$AT$1:$AU$102,2,FALSE),"")</f>
        <v/>
      </c>
      <c r="X735" s="20" t="str">
        <f>CONCATENATE("F",Tabela1[[#This Row],[FONTE_COD]],Tabela1[[#This Row],[IPU_COD]],"G",Tabela1[[#This Row],[GRUPO_COD]],"T",Tabela1[[#This Row],[TIPO]])</f>
        <v>FGT999</v>
      </c>
      <c r="Y7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5" s="19"/>
      <c r="AA735" s="29" t="str">
        <f>IFERROR(VLOOKUP(CONCATENATE("B",Tabela1[[#This Row],[BLOCO]],Tabela1[[#This Row],[UO_COD]]),qdd!$AW$2:$AX$1000,2,FALSE),"")</f>
        <v/>
      </c>
      <c r="AB735" s="30" t="str">
        <f>IFERROR(Tabela1[[#This Row],[VALOR]]/100,"")</f>
        <v/>
      </c>
      <c r="AC735" s="7" t="str" cm="1">
        <f t="array" aca="1" ref="AC735" ca="1">IF(Tabela1[[#This Row],[VALOR]]&lt;0,"",IFERROR(SUBSTITUTE(Converter_numero(Tabela1[[#This Row],[VALOR INCISO]]),",",""),""))</f>
        <v/>
      </c>
      <c r="AD735" s="29" t="str">
        <f>IF(Tabela1[[#This Row],[TIPO]]=REGRAS!$W$2,REGRAS!$X$2,IF(Tabela1[[#This Row],[TIPO]]=REGRAS!$W$4,REGRAS!$X$4,""))</f>
        <v/>
      </c>
      <c r="AE735" s="29" t="e">
        <f>VLOOKUP(Tabela1[[#This Row],[FONTE_COD]],REGRAS!$O$2:$P$69,2,FALSE)</f>
        <v>#N/A</v>
      </c>
      <c r="AF7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6" spans="1:32" ht="18.75" customHeight="1">
      <c r="A736" s="2" t="str">
        <f>IFERROR(IF('PREENCHER AQUI'!A736="","",'PREENCHER AQUI'!A736),"")</f>
        <v/>
      </c>
      <c r="B736" s="1" t="str">
        <f>IFERROR(IF('PREENCHER AQUI'!B736="","",PROPER('PREENCHER AQUI'!B736)),"")</f>
        <v/>
      </c>
      <c r="C736" s="1" t="str">
        <f>IFERROR(IF('PREENCHER AQUI'!C736="","",'PREENCHER AQUI'!C736),"")</f>
        <v/>
      </c>
      <c r="D736" s="2" t="str">
        <f>IFERROR(IF('PREENCHER AQUI'!D736="","",'PREENCHER AQUI'!D736),"")</f>
        <v/>
      </c>
      <c r="E736" s="2" t="str">
        <f>IFERROR(VLOOKUP(CONCATENATE(C736,D736),qdd!$C$2:$F$1000,2,FALSE),"")</f>
        <v/>
      </c>
      <c r="F736" s="2" t="str">
        <f>IFERROR(VLOOKUP(CONCATENATE(C736,D736),qdd!$C$2:$F$1000,3,FALSE),"")</f>
        <v/>
      </c>
      <c r="G736" s="2" t="str">
        <f>IFERROR(VLOOKUP(CONCATENATE(C736,D736),qdd!$C$2:$F$1000,4,FALSE),"")</f>
        <v/>
      </c>
      <c r="H736" s="6" t="str">
        <f t="shared" si="24"/>
        <v/>
      </c>
      <c r="I7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6" s="2" t="str">
        <f>IFERROR(IF('PREENCHER AQUI'!E736="","",'PREENCHER AQUI'!E736),"")</f>
        <v/>
      </c>
      <c r="K736" s="2" t="str">
        <f>IFERROR(IF('PREENCHER AQUI'!F736="","",'PREENCHER AQUI'!F736),"")</f>
        <v/>
      </c>
      <c r="L736" s="2" t="str">
        <f>IF(Tabela1[[#This Row],[IPU_COD]]=9,"91",IF(Tabela1[[#This Row],[ACAO_COD]]="","",VLOOKUP(CONCATENATE("G",J736,"M",K736),qdd!$BC$2:$BD$46,2,FALSE)))</f>
        <v/>
      </c>
      <c r="M736" s="2" t="str">
        <f>TEXT(IFERROR(VLOOKUP(CONCATENATE(C736,D736),qdd!$C$2:$G$1000,5,FALSE),""),0)</f>
        <v/>
      </c>
      <c r="N736" s="2" t="str">
        <f>IFERROR(IF('PREENCHER AQUI'!I736="","",'PREENCHER AQUI'!I736),"")</f>
        <v/>
      </c>
      <c r="O736" s="2" t="str">
        <f>IFERROR(IF('PREENCHER AQUI'!J736="","",'PREENCHER AQUI'!J736),"")</f>
        <v/>
      </c>
      <c r="P736" s="7" t="str">
        <f t="shared" si="25"/>
        <v/>
      </c>
      <c r="Q736" s="8" t="str">
        <f>IFERROR(IF(Tabela4[[#This Row],[VALOR]]="","",IF(Tabela1[[#This Row],[ORIENTACAO]]="Anular",'PREENCHER AQUI'!K736*-1*100,'PREENCHER AQUI'!K736*100)),"")</f>
        <v/>
      </c>
      <c r="T736" s="7" t="str">
        <f>IFERROR(IF('PREENCHER AQUI'!L736="","999",LEFT('PREENCHER AQUI'!L736,1)),"")</f>
        <v>999</v>
      </c>
      <c r="V736" s="19"/>
      <c r="W736" s="1" t="str">
        <f>IFERROR(VLOOKUP(Tabela1[[#This Row],[UO_COD]],qdd!$AT$1:$AU$102,2,FALSE),"")</f>
        <v/>
      </c>
      <c r="X736" s="1" t="str">
        <f>CONCATENATE("F",Tabela1[[#This Row],[FONTE_COD]],Tabela1[[#This Row],[IPU_COD]],"G",Tabela1[[#This Row],[GRUPO_COD]],"T",Tabela1[[#This Row],[TIPO]])</f>
        <v>FGT999</v>
      </c>
      <c r="Y7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6" s="19"/>
      <c r="AA736" s="29" t="str">
        <f>IFERROR(VLOOKUP(CONCATENATE("B",Tabela1[[#This Row],[BLOCO]],Tabela1[[#This Row],[UO_COD]]),qdd!$AW$2:$AX$1000,2,FALSE),"")</f>
        <v/>
      </c>
      <c r="AB736" s="30" t="str">
        <f>IFERROR(Tabela1[[#This Row],[VALOR]]/100,"")</f>
        <v/>
      </c>
      <c r="AC736" s="7" t="str" cm="1">
        <f t="array" aca="1" ref="AC736" ca="1">IF(Tabela1[[#This Row],[VALOR]]&lt;0,"",IFERROR(SUBSTITUTE(Converter_numero(Tabela1[[#This Row],[VALOR INCISO]]),",",""),""))</f>
        <v/>
      </c>
      <c r="AD736" s="29" t="str">
        <f>IF(Tabela1[[#This Row],[TIPO]]=REGRAS!$W$2,REGRAS!$X$2,IF(Tabela1[[#This Row],[TIPO]]=REGRAS!$W$4,REGRAS!$X$4,""))</f>
        <v/>
      </c>
      <c r="AE736" s="29" t="e">
        <f>VLOOKUP(Tabela1[[#This Row],[FONTE_COD]],REGRAS!$O$2:$P$69,2,FALSE)</f>
        <v>#N/A</v>
      </c>
      <c r="AF7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7" spans="1:32" ht="18.75" customHeight="1">
      <c r="A737" s="2" t="str">
        <f>IFERROR(IF('PREENCHER AQUI'!A737="","",'PREENCHER AQUI'!A737),"")</f>
        <v/>
      </c>
      <c r="B737" s="1" t="str">
        <f>IFERROR(IF('PREENCHER AQUI'!B737="","",PROPER('PREENCHER AQUI'!B737)),"")</f>
        <v/>
      </c>
      <c r="C737" s="1" t="str">
        <f>IFERROR(IF('PREENCHER AQUI'!C737="","",'PREENCHER AQUI'!C737),"")</f>
        <v/>
      </c>
      <c r="D737" s="2" t="str">
        <f>IFERROR(IF('PREENCHER AQUI'!D737="","",'PREENCHER AQUI'!D737),"")</f>
        <v/>
      </c>
      <c r="E737" s="2" t="str">
        <f>IFERROR(VLOOKUP(CONCATENATE(C737,D737),qdd!$C$2:$F$1000,2,FALSE),"")</f>
        <v/>
      </c>
      <c r="F737" s="2" t="str">
        <f>IFERROR(VLOOKUP(CONCATENATE(C737,D737),qdd!$C$2:$F$1000,3,FALSE),"")</f>
        <v/>
      </c>
      <c r="G737" s="2" t="str">
        <f>IFERROR(VLOOKUP(CONCATENATE(C737,D737),qdd!$C$2:$F$1000,4,FALSE),"")</f>
        <v/>
      </c>
      <c r="H737" s="6" t="str">
        <f t="shared" si="24"/>
        <v/>
      </c>
      <c r="I7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7" s="2" t="str">
        <f>IFERROR(IF('PREENCHER AQUI'!E737="","",'PREENCHER AQUI'!E737),"")</f>
        <v/>
      </c>
      <c r="K737" s="2" t="str">
        <f>IFERROR(IF('PREENCHER AQUI'!F737="","",'PREENCHER AQUI'!F737),"")</f>
        <v/>
      </c>
      <c r="L737" s="2" t="str">
        <f>IF(Tabela1[[#This Row],[IPU_COD]]=9,"91",IF(Tabela1[[#This Row],[ACAO_COD]]="","",VLOOKUP(CONCATENATE("G",J737,"M",K737),qdd!$BC$2:$BD$46,2,FALSE)))</f>
        <v/>
      </c>
      <c r="M737" s="2" t="str">
        <f>TEXT(IFERROR(VLOOKUP(CONCATENATE(C737,D737),qdd!$C$2:$G$1000,5,FALSE),""),0)</f>
        <v/>
      </c>
      <c r="N737" s="2" t="str">
        <f>IFERROR(IF('PREENCHER AQUI'!I737="","",'PREENCHER AQUI'!I737),"")</f>
        <v/>
      </c>
      <c r="O737" s="2" t="str">
        <f>IFERROR(IF('PREENCHER AQUI'!J737="","",'PREENCHER AQUI'!J737),"")</f>
        <v/>
      </c>
      <c r="P737" s="7" t="str">
        <f t="shared" si="25"/>
        <v/>
      </c>
      <c r="Q737" s="8" t="str">
        <f>IFERROR(IF(Tabela4[[#This Row],[VALOR]]="","",IF(Tabela1[[#This Row],[ORIENTACAO]]="Anular",'PREENCHER AQUI'!K737*-1*100,'PREENCHER AQUI'!K737*100)),"")</f>
        <v/>
      </c>
      <c r="T737" s="7" t="str">
        <f>IFERROR(IF('PREENCHER AQUI'!L737="","999",LEFT('PREENCHER AQUI'!L737,1)),"")</f>
        <v>999</v>
      </c>
      <c r="W737" s="1" t="str">
        <f>IFERROR(VLOOKUP(Tabela1[[#This Row],[UO_COD]],qdd!$AT$1:$AU$102,2,FALSE),"")</f>
        <v/>
      </c>
      <c r="X737" s="1" t="str">
        <f>CONCATENATE("F",Tabela1[[#This Row],[FONTE_COD]],Tabela1[[#This Row],[IPU_COD]],"G",Tabela1[[#This Row],[GRUPO_COD]],"T",Tabela1[[#This Row],[TIPO]])</f>
        <v>FGT999</v>
      </c>
      <c r="Y7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7" s="19"/>
      <c r="AA737" s="29" t="str">
        <f>IFERROR(VLOOKUP(CONCATENATE("B",Tabela1[[#This Row],[BLOCO]],Tabela1[[#This Row],[UO_COD]]),qdd!$AW$2:$AX$1000,2,FALSE),"")</f>
        <v/>
      </c>
      <c r="AB737" s="30" t="str">
        <f>IFERROR(Tabela1[[#This Row],[VALOR]]/100,"")</f>
        <v/>
      </c>
      <c r="AC737" s="7" t="str" cm="1">
        <f t="array" aca="1" ref="AC737" ca="1">IF(Tabela1[[#This Row],[VALOR]]&lt;0,"",IFERROR(SUBSTITUTE(Converter_numero(Tabela1[[#This Row],[VALOR INCISO]]),",",""),""))</f>
        <v/>
      </c>
      <c r="AD737" s="7" t="str">
        <f>IF(Tabela1[[#This Row],[TIPO]]=REGRAS!$W$2,REGRAS!$X$2,IF(Tabela1[[#This Row],[TIPO]]=REGRAS!$W$4,REGRAS!$X$4,""))</f>
        <v/>
      </c>
      <c r="AE737" s="29" t="e">
        <f>VLOOKUP(Tabela1[[#This Row],[FONTE_COD]],REGRAS!$O$2:$P$69,2,FALSE)</f>
        <v>#N/A</v>
      </c>
      <c r="AF7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8" spans="1:32" ht="18.75" customHeight="1">
      <c r="A738" s="2" t="str">
        <f>IFERROR(IF('PREENCHER AQUI'!A738="","",'PREENCHER AQUI'!A738),"")</f>
        <v/>
      </c>
      <c r="B738" s="1" t="str">
        <f>IFERROR(IF('PREENCHER AQUI'!B738="","",PROPER('PREENCHER AQUI'!B738)),"")</f>
        <v/>
      </c>
      <c r="C738" s="1" t="str">
        <f>IFERROR(IF('PREENCHER AQUI'!C738="","",'PREENCHER AQUI'!C738),"")</f>
        <v/>
      </c>
      <c r="D738" s="2" t="str">
        <f>IFERROR(IF('PREENCHER AQUI'!D738="","",'PREENCHER AQUI'!D738),"")</f>
        <v/>
      </c>
      <c r="E738" s="2" t="str">
        <f>IFERROR(VLOOKUP(CONCATENATE(C738,D738),qdd!$C$2:$F$1000,2,FALSE),"")</f>
        <v/>
      </c>
      <c r="F738" s="2" t="str">
        <f>IFERROR(VLOOKUP(CONCATENATE(C738,D738),qdd!$C$2:$F$1000,3,FALSE),"")</f>
        <v/>
      </c>
      <c r="G738" s="2" t="str">
        <f>IFERROR(VLOOKUP(CONCATENATE(C738,D738),qdd!$C$2:$F$1000,4,FALSE),"")</f>
        <v/>
      </c>
      <c r="H738" s="6" t="str">
        <f t="shared" si="24"/>
        <v/>
      </c>
      <c r="I7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8" s="2" t="str">
        <f>IFERROR(IF('PREENCHER AQUI'!E738="","",'PREENCHER AQUI'!E738),"")</f>
        <v/>
      </c>
      <c r="K738" s="2" t="str">
        <f>IFERROR(IF('PREENCHER AQUI'!F738="","",'PREENCHER AQUI'!F738),"")</f>
        <v/>
      </c>
      <c r="L738" s="2" t="str">
        <f>IF(Tabela1[[#This Row],[IPU_COD]]=9,"91",IF(Tabela1[[#This Row],[ACAO_COD]]="","",VLOOKUP(CONCATENATE("G",J738,"M",K738),qdd!$BC$2:$BD$46,2,FALSE)))</f>
        <v/>
      </c>
      <c r="M738" s="2" t="str">
        <f>TEXT(IFERROR(VLOOKUP(CONCATENATE(C738,D738),qdd!$C$2:$G$1000,5,FALSE),""),0)</f>
        <v/>
      </c>
      <c r="N738" s="2" t="str">
        <f>IFERROR(IF('PREENCHER AQUI'!I738="","",'PREENCHER AQUI'!I738),"")</f>
        <v/>
      </c>
      <c r="O738" s="2" t="str">
        <f>IFERROR(IF('PREENCHER AQUI'!J738="","",'PREENCHER AQUI'!J738),"")</f>
        <v/>
      </c>
      <c r="P738" s="7" t="str">
        <f t="shared" si="25"/>
        <v/>
      </c>
      <c r="Q738" s="8" t="str">
        <f>IFERROR(IF(Tabela4[[#This Row],[VALOR]]="","",IF(Tabela1[[#This Row],[ORIENTACAO]]="Anular",'PREENCHER AQUI'!K738*-1*100,'PREENCHER AQUI'!K738*100)),"")</f>
        <v/>
      </c>
      <c r="T738" s="7" t="str">
        <f>IFERROR(IF('PREENCHER AQUI'!L738="","999",LEFT('PREENCHER AQUI'!L738,1)),"")</f>
        <v>999</v>
      </c>
      <c r="V738" s="19"/>
      <c r="W738" s="1" t="str">
        <f>IFERROR(VLOOKUP(Tabela1[[#This Row],[UO_COD]],qdd!$AT$1:$AU$102,2,FALSE),"")</f>
        <v/>
      </c>
      <c r="X738" s="1" t="str">
        <f>CONCATENATE("F",Tabela1[[#This Row],[FONTE_COD]],Tabela1[[#This Row],[IPU_COD]],"G",Tabela1[[#This Row],[GRUPO_COD]],"T",Tabela1[[#This Row],[TIPO]])</f>
        <v>FGT999</v>
      </c>
      <c r="Y7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8" s="19"/>
      <c r="AA738" s="29" t="str">
        <f>IFERROR(VLOOKUP(CONCATENATE("B",Tabela1[[#This Row],[BLOCO]],Tabela1[[#This Row],[UO_COD]]),qdd!$AW$2:$AX$1000,2,FALSE),"")</f>
        <v/>
      </c>
      <c r="AB738" s="30" t="str">
        <f>IFERROR(Tabela1[[#This Row],[VALOR]]/100,"")</f>
        <v/>
      </c>
      <c r="AC738" s="7" t="str" cm="1">
        <f t="array" aca="1" ref="AC738" ca="1">IF(Tabela1[[#This Row],[VALOR]]&lt;0,"",IFERROR(SUBSTITUTE(Converter_numero(Tabela1[[#This Row],[VALOR INCISO]]),",",""),""))</f>
        <v/>
      </c>
      <c r="AD738" s="29" t="str">
        <f>IF(Tabela1[[#This Row],[TIPO]]=REGRAS!$W$2,REGRAS!$X$2,IF(Tabela1[[#This Row],[TIPO]]=REGRAS!$W$4,REGRAS!$X$4,""))</f>
        <v/>
      </c>
      <c r="AE738" s="29" t="e">
        <f>VLOOKUP(Tabela1[[#This Row],[FONTE_COD]],REGRAS!$O$2:$P$69,2,FALSE)</f>
        <v>#N/A</v>
      </c>
      <c r="AF7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9" spans="1:32" ht="18.75" customHeight="1">
      <c r="A739" s="2" t="str">
        <f>IFERROR(IF('PREENCHER AQUI'!A739="","",'PREENCHER AQUI'!A739),"")</f>
        <v/>
      </c>
      <c r="B739" s="1" t="str">
        <f>IFERROR(IF('PREENCHER AQUI'!B739="","",PROPER('PREENCHER AQUI'!B739)),"")</f>
        <v/>
      </c>
      <c r="C739" s="1" t="str">
        <f>IFERROR(IF('PREENCHER AQUI'!C739="","",'PREENCHER AQUI'!C739),"")</f>
        <v/>
      </c>
      <c r="D739" s="2" t="str">
        <f>IFERROR(IF('PREENCHER AQUI'!D739="","",'PREENCHER AQUI'!D739),"")</f>
        <v/>
      </c>
      <c r="E739" s="2" t="str">
        <f>IFERROR(VLOOKUP(CONCATENATE(C739,D739),qdd!$C$2:$F$1000,2,FALSE),"")</f>
        <v/>
      </c>
      <c r="F739" s="2" t="str">
        <f>IFERROR(VLOOKUP(CONCATENATE(C739,D739),qdd!$C$2:$F$1000,3,FALSE),"")</f>
        <v/>
      </c>
      <c r="G739" s="2" t="str">
        <f>IFERROR(VLOOKUP(CONCATENATE(C739,D739),qdd!$C$2:$F$1000,4,FALSE),"")</f>
        <v/>
      </c>
      <c r="H739" s="6" t="str">
        <f t="shared" si="24"/>
        <v/>
      </c>
      <c r="I7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9" s="2" t="str">
        <f>IFERROR(IF('PREENCHER AQUI'!E739="","",'PREENCHER AQUI'!E739),"")</f>
        <v/>
      </c>
      <c r="K739" s="2" t="str">
        <f>IFERROR(IF('PREENCHER AQUI'!F739="","",'PREENCHER AQUI'!F739),"")</f>
        <v/>
      </c>
      <c r="L739" s="2" t="str">
        <f>IF(Tabela1[[#This Row],[IPU_COD]]=9,"91",IF(Tabela1[[#This Row],[ACAO_COD]]="","",VLOOKUP(CONCATENATE("G",J739,"M",K739),qdd!$BC$2:$BD$46,2,FALSE)))</f>
        <v/>
      </c>
      <c r="M739" s="2" t="str">
        <f>TEXT(IFERROR(VLOOKUP(CONCATENATE(C739,D739),qdd!$C$2:$G$1000,5,FALSE),""),0)</f>
        <v/>
      </c>
      <c r="N739" s="2" t="str">
        <f>IFERROR(IF('PREENCHER AQUI'!I739="","",'PREENCHER AQUI'!I739),"")</f>
        <v/>
      </c>
      <c r="O739" s="2" t="str">
        <f>IFERROR(IF('PREENCHER AQUI'!J739="","",'PREENCHER AQUI'!J739),"")</f>
        <v/>
      </c>
      <c r="P739" s="7" t="str">
        <f t="shared" si="25"/>
        <v/>
      </c>
      <c r="Q739" s="8" t="str">
        <f>IFERROR(IF(Tabela4[[#This Row],[VALOR]]="","",IF(Tabela1[[#This Row],[ORIENTACAO]]="Anular",'PREENCHER AQUI'!K739*-1*100,'PREENCHER AQUI'!K739*100)),"")</f>
        <v/>
      </c>
      <c r="T739" s="7" t="str">
        <f>IFERROR(IF('PREENCHER AQUI'!L739="","999",LEFT('PREENCHER AQUI'!L739,1)),"")</f>
        <v>999</v>
      </c>
      <c r="V739" s="19"/>
      <c r="W739" s="1" t="str">
        <f>IFERROR(VLOOKUP(Tabela1[[#This Row],[UO_COD]],qdd!$AT$1:$AU$102,2,FALSE),"")</f>
        <v/>
      </c>
      <c r="X739" s="1" t="str">
        <f>CONCATENATE("F",Tabela1[[#This Row],[FONTE_COD]],Tabela1[[#This Row],[IPU_COD]],"G",Tabela1[[#This Row],[GRUPO_COD]],"T",Tabela1[[#This Row],[TIPO]])</f>
        <v>FGT999</v>
      </c>
      <c r="Y7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9" s="19"/>
      <c r="AA739" s="29" t="str">
        <f>IFERROR(VLOOKUP(CONCATENATE("B",Tabela1[[#This Row],[BLOCO]],Tabela1[[#This Row],[UO_COD]]),qdd!$AW$2:$AX$1000,2,FALSE),"")</f>
        <v/>
      </c>
      <c r="AB739" s="30" t="str">
        <f>IFERROR(Tabela1[[#This Row],[VALOR]]/100,"")</f>
        <v/>
      </c>
      <c r="AC739" s="7" t="str" cm="1">
        <f t="array" aca="1" ref="AC739" ca="1">IF(Tabela1[[#This Row],[VALOR]]&lt;0,"",IFERROR(SUBSTITUTE(Converter_numero(Tabela1[[#This Row],[VALOR INCISO]]),",",""),""))</f>
        <v/>
      </c>
      <c r="AD739" s="29" t="str">
        <f>IF(Tabela1[[#This Row],[TIPO]]=REGRAS!$W$2,REGRAS!$X$2,IF(Tabela1[[#This Row],[TIPO]]=REGRAS!$W$4,REGRAS!$X$4,""))</f>
        <v/>
      </c>
      <c r="AE739" s="29" t="e">
        <f>VLOOKUP(Tabela1[[#This Row],[FONTE_COD]],REGRAS!$O$2:$P$69,2,FALSE)</f>
        <v>#N/A</v>
      </c>
      <c r="AF7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0" spans="1:32" ht="18.75" customHeight="1">
      <c r="A740" s="2" t="str">
        <f>IFERROR(IF('PREENCHER AQUI'!A740="","",'PREENCHER AQUI'!A740),"")</f>
        <v/>
      </c>
      <c r="B740" s="1" t="str">
        <f>IFERROR(IF('PREENCHER AQUI'!B740="","",PROPER('PREENCHER AQUI'!B740)),"")</f>
        <v/>
      </c>
      <c r="C740" s="1" t="str">
        <f>IFERROR(IF('PREENCHER AQUI'!C740="","",'PREENCHER AQUI'!C740),"")</f>
        <v/>
      </c>
      <c r="D740" s="2" t="str">
        <f>IFERROR(IF('PREENCHER AQUI'!D740="","",'PREENCHER AQUI'!D740),"")</f>
        <v/>
      </c>
      <c r="E740" s="2" t="str">
        <f>IFERROR(VLOOKUP(CONCATENATE(C740,D740),qdd!$C$2:$F$1000,2,FALSE),"")</f>
        <v/>
      </c>
      <c r="F740" s="2" t="str">
        <f>IFERROR(VLOOKUP(CONCATENATE(C740,D740),qdd!$C$2:$F$1000,3,FALSE),"")</f>
        <v/>
      </c>
      <c r="G740" s="2" t="str">
        <f>IFERROR(VLOOKUP(CONCATENATE(C740,D740),qdd!$C$2:$F$1000,4,FALSE),"")</f>
        <v/>
      </c>
      <c r="H740" s="6" t="str">
        <f t="shared" si="24"/>
        <v/>
      </c>
      <c r="I7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0" s="2" t="str">
        <f>IFERROR(IF('PREENCHER AQUI'!E740="","",'PREENCHER AQUI'!E740),"")</f>
        <v/>
      </c>
      <c r="K740" s="2" t="str">
        <f>IFERROR(IF('PREENCHER AQUI'!F740="","",'PREENCHER AQUI'!F740),"")</f>
        <v/>
      </c>
      <c r="L740" s="2" t="str">
        <f>IF(Tabela1[[#This Row],[IPU_COD]]=9,"91",IF(Tabela1[[#This Row],[ACAO_COD]]="","",VLOOKUP(CONCATENATE("G",J740,"M",K740),qdd!$BC$2:$BD$46,2,FALSE)))</f>
        <v/>
      </c>
      <c r="M740" s="2" t="str">
        <f>TEXT(IFERROR(VLOOKUP(CONCATENATE(C740,D740),qdd!$C$2:$G$1000,5,FALSE),""),0)</f>
        <v/>
      </c>
      <c r="N740" s="2" t="str">
        <f>IFERROR(IF('PREENCHER AQUI'!I740="","",'PREENCHER AQUI'!I740),"")</f>
        <v/>
      </c>
      <c r="O740" s="2" t="str">
        <f>IFERROR(IF('PREENCHER AQUI'!J740="","",'PREENCHER AQUI'!J740),"")</f>
        <v/>
      </c>
      <c r="P740" s="7" t="str">
        <f t="shared" si="25"/>
        <v/>
      </c>
      <c r="Q740" s="8" t="str">
        <f>IFERROR(IF(Tabela4[[#This Row],[VALOR]]="","",IF(Tabela1[[#This Row],[ORIENTACAO]]="Anular",'PREENCHER AQUI'!K740*-1*100,'PREENCHER AQUI'!K740*100)),"")</f>
        <v/>
      </c>
      <c r="T740" s="7" t="str">
        <f>IFERROR(IF('PREENCHER AQUI'!L740="","999",LEFT('PREENCHER AQUI'!L740,1)),"")</f>
        <v>999</v>
      </c>
      <c r="V740" s="19"/>
      <c r="W740" s="20" t="str">
        <f>IFERROR(VLOOKUP(Tabela1[[#This Row],[UO_COD]],qdd!$AT$1:$AU$102,2,FALSE),"")</f>
        <v/>
      </c>
      <c r="X740" s="20" t="str">
        <f>CONCATENATE("F",Tabela1[[#This Row],[FONTE_COD]],Tabela1[[#This Row],[IPU_COD]],"G",Tabela1[[#This Row],[GRUPO_COD]],"T",Tabela1[[#This Row],[TIPO]])</f>
        <v>FGT999</v>
      </c>
      <c r="Y7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0" s="19"/>
      <c r="AA740" s="29" t="str">
        <f>IFERROR(VLOOKUP(CONCATENATE("B",Tabela1[[#This Row],[BLOCO]],Tabela1[[#This Row],[UO_COD]]),qdd!$AW$2:$AX$1000,2,FALSE),"")</f>
        <v/>
      </c>
      <c r="AB740" s="30" t="str">
        <f>IFERROR(Tabela1[[#This Row],[VALOR]]/100,"")</f>
        <v/>
      </c>
      <c r="AC740" s="7" t="str" cm="1">
        <f t="array" aca="1" ref="AC740" ca="1">IF(Tabela1[[#This Row],[VALOR]]&lt;0,"",IFERROR(SUBSTITUTE(Converter_numero(Tabela1[[#This Row],[VALOR INCISO]]),",",""),""))</f>
        <v/>
      </c>
      <c r="AD740" s="29" t="str">
        <f>IF(Tabela1[[#This Row],[TIPO]]=REGRAS!$W$2,REGRAS!$X$2,IF(Tabela1[[#This Row],[TIPO]]=REGRAS!$W$4,REGRAS!$X$4,""))</f>
        <v/>
      </c>
      <c r="AE740" s="29" t="e">
        <f>VLOOKUP(Tabela1[[#This Row],[FONTE_COD]],REGRAS!$O$2:$P$69,2,FALSE)</f>
        <v>#N/A</v>
      </c>
      <c r="AF7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1" spans="1:32" ht="18.75" customHeight="1">
      <c r="A741" s="2" t="str">
        <f>IFERROR(IF('PREENCHER AQUI'!A741="","",'PREENCHER AQUI'!A741),"")</f>
        <v/>
      </c>
      <c r="B741" s="1" t="str">
        <f>IFERROR(IF('PREENCHER AQUI'!B741="","",PROPER('PREENCHER AQUI'!B741)),"")</f>
        <v/>
      </c>
      <c r="C741" s="1" t="str">
        <f>IFERROR(IF('PREENCHER AQUI'!C741="","",'PREENCHER AQUI'!C741),"")</f>
        <v/>
      </c>
      <c r="D741" s="2" t="str">
        <f>IFERROR(IF('PREENCHER AQUI'!D741="","",'PREENCHER AQUI'!D741),"")</f>
        <v/>
      </c>
      <c r="E741" s="2" t="str">
        <f>IFERROR(VLOOKUP(CONCATENATE(C741,D741),qdd!$C$2:$F$1000,2,FALSE),"")</f>
        <v/>
      </c>
      <c r="F741" s="2" t="str">
        <f>IFERROR(VLOOKUP(CONCATENATE(C741,D741),qdd!$C$2:$F$1000,3,FALSE),"")</f>
        <v/>
      </c>
      <c r="G741" s="2" t="str">
        <f>IFERROR(VLOOKUP(CONCATENATE(C741,D741),qdd!$C$2:$F$1000,4,FALSE),"")</f>
        <v/>
      </c>
      <c r="H741" s="6" t="str">
        <f t="shared" si="24"/>
        <v/>
      </c>
      <c r="I7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1" s="2" t="str">
        <f>IFERROR(IF('PREENCHER AQUI'!E741="","",'PREENCHER AQUI'!E741),"")</f>
        <v/>
      </c>
      <c r="K741" s="2" t="str">
        <f>IFERROR(IF('PREENCHER AQUI'!F741="","",'PREENCHER AQUI'!F741),"")</f>
        <v/>
      </c>
      <c r="L741" s="2" t="str">
        <f>IF(Tabela1[[#This Row],[IPU_COD]]=9,"91",IF(Tabela1[[#This Row],[ACAO_COD]]="","",VLOOKUP(CONCATENATE("G",J741,"M",K741),qdd!$BC$2:$BD$46,2,FALSE)))</f>
        <v/>
      </c>
      <c r="M741" s="2" t="str">
        <f>TEXT(IFERROR(VLOOKUP(CONCATENATE(C741,D741),qdd!$C$2:$G$1000,5,FALSE),""),0)</f>
        <v/>
      </c>
      <c r="N741" s="2" t="str">
        <f>IFERROR(IF('PREENCHER AQUI'!I741="","",'PREENCHER AQUI'!I741),"")</f>
        <v/>
      </c>
      <c r="O741" s="2" t="str">
        <f>IFERROR(IF('PREENCHER AQUI'!J741="","",'PREENCHER AQUI'!J741),"")</f>
        <v/>
      </c>
      <c r="P741" s="7" t="str">
        <f t="shared" si="25"/>
        <v/>
      </c>
      <c r="Q741" s="8" t="str">
        <f>IFERROR(IF(Tabela4[[#This Row],[VALOR]]="","",IF(Tabela1[[#This Row],[ORIENTACAO]]="Anular",'PREENCHER AQUI'!K741*-1*100,'PREENCHER AQUI'!K741*100)),"")</f>
        <v/>
      </c>
      <c r="T741" s="7" t="str">
        <f>IFERROR(IF('PREENCHER AQUI'!L741="","999",LEFT('PREENCHER AQUI'!L741,1)),"")</f>
        <v>999</v>
      </c>
      <c r="V741" s="19"/>
      <c r="W741" s="1" t="str">
        <f>IFERROR(VLOOKUP(Tabela1[[#This Row],[UO_COD]],qdd!$AT$1:$AU$102,2,FALSE),"")</f>
        <v/>
      </c>
      <c r="X741" s="1" t="str">
        <f>CONCATENATE("F",Tabela1[[#This Row],[FONTE_COD]],Tabela1[[#This Row],[IPU_COD]],"G",Tabela1[[#This Row],[GRUPO_COD]],"T",Tabela1[[#This Row],[TIPO]])</f>
        <v>FGT999</v>
      </c>
      <c r="Y7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1" s="19"/>
      <c r="AA741" s="29" t="str">
        <f>IFERROR(VLOOKUP(CONCATENATE("B",Tabela1[[#This Row],[BLOCO]],Tabela1[[#This Row],[UO_COD]]),qdd!$AW$2:$AX$1000,2,FALSE),"")</f>
        <v/>
      </c>
      <c r="AB741" s="30" t="str">
        <f>IFERROR(Tabela1[[#This Row],[VALOR]]/100,"")</f>
        <v/>
      </c>
      <c r="AC741" s="7" t="str" cm="1">
        <f t="array" aca="1" ref="AC741" ca="1">IF(Tabela1[[#This Row],[VALOR]]&lt;0,"",IFERROR(SUBSTITUTE(Converter_numero(Tabela1[[#This Row],[VALOR INCISO]]),",",""),""))</f>
        <v/>
      </c>
      <c r="AD741" s="29" t="str">
        <f>IF(Tabela1[[#This Row],[TIPO]]=REGRAS!$W$2,REGRAS!$X$2,IF(Tabela1[[#This Row],[TIPO]]=REGRAS!$W$4,REGRAS!$X$4,""))</f>
        <v/>
      </c>
      <c r="AE741" s="29" t="e">
        <f>VLOOKUP(Tabela1[[#This Row],[FONTE_COD]],REGRAS!$O$2:$P$69,2,FALSE)</f>
        <v>#N/A</v>
      </c>
      <c r="AF7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2" spans="1:32" ht="18.75" customHeight="1">
      <c r="A742" s="2" t="str">
        <f>IFERROR(IF('PREENCHER AQUI'!A742="","",'PREENCHER AQUI'!A742),"")</f>
        <v/>
      </c>
      <c r="B742" s="1" t="str">
        <f>IFERROR(IF('PREENCHER AQUI'!B742="","",PROPER('PREENCHER AQUI'!B742)),"")</f>
        <v/>
      </c>
      <c r="C742" s="1" t="str">
        <f>IFERROR(IF('PREENCHER AQUI'!C742="","",'PREENCHER AQUI'!C742),"")</f>
        <v/>
      </c>
      <c r="D742" s="2" t="str">
        <f>IFERROR(IF('PREENCHER AQUI'!D742="","",'PREENCHER AQUI'!D742),"")</f>
        <v/>
      </c>
      <c r="E742" s="2" t="str">
        <f>IFERROR(VLOOKUP(CONCATENATE(C742,D742),qdd!$C$2:$F$1000,2,FALSE),"")</f>
        <v/>
      </c>
      <c r="F742" s="2" t="str">
        <f>IFERROR(VLOOKUP(CONCATENATE(C742,D742),qdd!$C$2:$F$1000,3,FALSE),"")</f>
        <v/>
      </c>
      <c r="G742" s="2" t="str">
        <f>IFERROR(VLOOKUP(CONCATENATE(C742,D742),qdd!$C$2:$F$1000,4,FALSE),"")</f>
        <v/>
      </c>
      <c r="H742" s="6" t="str">
        <f t="shared" si="24"/>
        <v/>
      </c>
      <c r="I7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2" s="2" t="str">
        <f>IFERROR(IF('PREENCHER AQUI'!E742="","",'PREENCHER AQUI'!E742),"")</f>
        <v/>
      </c>
      <c r="K742" s="2" t="str">
        <f>IFERROR(IF('PREENCHER AQUI'!F742="","",'PREENCHER AQUI'!F742),"")</f>
        <v/>
      </c>
      <c r="L742" s="2" t="str">
        <f>IF(Tabela1[[#This Row],[IPU_COD]]=9,"91",IF(Tabela1[[#This Row],[ACAO_COD]]="","",VLOOKUP(CONCATENATE("G",J742,"M",K742),qdd!$BC$2:$BD$46,2,FALSE)))</f>
        <v/>
      </c>
      <c r="M742" s="2" t="str">
        <f>TEXT(IFERROR(VLOOKUP(CONCATENATE(C742,D742),qdd!$C$2:$G$1000,5,FALSE),""),0)</f>
        <v/>
      </c>
      <c r="N742" s="2" t="str">
        <f>IFERROR(IF('PREENCHER AQUI'!I742="","",'PREENCHER AQUI'!I742),"")</f>
        <v/>
      </c>
      <c r="O742" s="2" t="str">
        <f>IFERROR(IF('PREENCHER AQUI'!J742="","",'PREENCHER AQUI'!J742),"")</f>
        <v/>
      </c>
      <c r="P742" s="7" t="str">
        <f t="shared" si="25"/>
        <v/>
      </c>
      <c r="Q742" s="8" t="str">
        <f>IFERROR(IF(Tabela4[[#This Row],[VALOR]]="","",IF(Tabela1[[#This Row],[ORIENTACAO]]="Anular",'PREENCHER AQUI'!K742*-1*100,'PREENCHER AQUI'!K742*100)),"")</f>
        <v/>
      </c>
      <c r="T742" s="7" t="str">
        <f>IFERROR(IF('PREENCHER AQUI'!L742="","999",LEFT('PREENCHER AQUI'!L742,1)),"")</f>
        <v>999</v>
      </c>
      <c r="W742" s="1" t="str">
        <f>IFERROR(VLOOKUP(Tabela1[[#This Row],[UO_COD]],qdd!$AT$1:$AU$102,2,FALSE),"")</f>
        <v/>
      </c>
      <c r="X742" s="1" t="str">
        <f>CONCATENATE("F",Tabela1[[#This Row],[FONTE_COD]],Tabela1[[#This Row],[IPU_COD]],"G",Tabela1[[#This Row],[GRUPO_COD]],"T",Tabela1[[#This Row],[TIPO]])</f>
        <v>FGT999</v>
      </c>
      <c r="Y7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2" s="19"/>
      <c r="AA742" s="29" t="str">
        <f>IFERROR(VLOOKUP(CONCATENATE("B",Tabela1[[#This Row],[BLOCO]],Tabela1[[#This Row],[UO_COD]]),qdd!$AW$2:$AX$1000,2,FALSE),"")</f>
        <v/>
      </c>
      <c r="AB742" s="30" t="str">
        <f>IFERROR(Tabela1[[#This Row],[VALOR]]/100,"")</f>
        <v/>
      </c>
      <c r="AC742" s="7" t="str" cm="1">
        <f t="array" aca="1" ref="AC742" ca="1">IF(Tabela1[[#This Row],[VALOR]]&lt;0,"",IFERROR(SUBSTITUTE(Converter_numero(Tabela1[[#This Row],[VALOR INCISO]]),",",""),""))</f>
        <v/>
      </c>
      <c r="AD742" s="7" t="str">
        <f>IF(Tabela1[[#This Row],[TIPO]]=REGRAS!$W$2,REGRAS!$X$2,IF(Tabela1[[#This Row],[TIPO]]=REGRAS!$W$4,REGRAS!$X$4,""))</f>
        <v/>
      </c>
      <c r="AE742" s="29" t="e">
        <f>VLOOKUP(Tabela1[[#This Row],[FONTE_COD]],REGRAS!$O$2:$P$69,2,FALSE)</f>
        <v>#N/A</v>
      </c>
      <c r="AF7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3" spans="1:32" ht="18.75" customHeight="1">
      <c r="A743" s="2" t="str">
        <f>IFERROR(IF('PREENCHER AQUI'!A743="","",'PREENCHER AQUI'!A743),"")</f>
        <v/>
      </c>
      <c r="B743" s="1" t="str">
        <f>IFERROR(IF('PREENCHER AQUI'!B743="","",PROPER('PREENCHER AQUI'!B743)),"")</f>
        <v/>
      </c>
      <c r="C743" s="1" t="str">
        <f>IFERROR(IF('PREENCHER AQUI'!C743="","",'PREENCHER AQUI'!C743),"")</f>
        <v/>
      </c>
      <c r="D743" s="2" t="str">
        <f>IFERROR(IF('PREENCHER AQUI'!D743="","",'PREENCHER AQUI'!D743),"")</f>
        <v/>
      </c>
      <c r="E743" s="2" t="str">
        <f>IFERROR(VLOOKUP(CONCATENATE(C743,D743),qdd!$C$2:$F$1000,2,FALSE),"")</f>
        <v/>
      </c>
      <c r="F743" s="2" t="str">
        <f>IFERROR(VLOOKUP(CONCATENATE(C743,D743),qdd!$C$2:$F$1000,3,FALSE),"")</f>
        <v/>
      </c>
      <c r="G743" s="2" t="str">
        <f>IFERROR(VLOOKUP(CONCATENATE(C743,D743),qdd!$C$2:$F$1000,4,FALSE),"")</f>
        <v/>
      </c>
      <c r="H743" s="6" t="str">
        <f t="shared" si="24"/>
        <v/>
      </c>
      <c r="I7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3" s="2" t="str">
        <f>IFERROR(IF('PREENCHER AQUI'!E743="","",'PREENCHER AQUI'!E743),"")</f>
        <v/>
      </c>
      <c r="K743" s="2" t="str">
        <f>IFERROR(IF('PREENCHER AQUI'!F743="","",'PREENCHER AQUI'!F743),"")</f>
        <v/>
      </c>
      <c r="L743" s="2" t="str">
        <f>IF(Tabela1[[#This Row],[IPU_COD]]=9,"91",IF(Tabela1[[#This Row],[ACAO_COD]]="","",VLOOKUP(CONCATENATE("G",J743,"M",K743),qdd!$BC$2:$BD$46,2,FALSE)))</f>
        <v/>
      </c>
      <c r="M743" s="2" t="str">
        <f>TEXT(IFERROR(VLOOKUP(CONCATENATE(C743,D743),qdd!$C$2:$G$1000,5,FALSE),""),0)</f>
        <v/>
      </c>
      <c r="N743" s="2" t="str">
        <f>IFERROR(IF('PREENCHER AQUI'!I743="","",'PREENCHER AQUI'!I743),"")</f>
        <v/>
      </c>
      <c r="O743" s="2" t="str">
        <f>IFERROR(IF('PREENCHER AQUI'!J743="","",'PREENCHER AQUI'!J743),"")</f>
        <v/>
      </c>
      <c r="P743" s="7" t="str">
        <f t="shared" si="25"/>
        <v/>
      </c>
      <c r="Q743" s="8" t="str">
        <f>IFERROR(IF(Tabela4[[#This Row],[VALOR]]="","",IF(Tabela1[[#This Row],[ORIENTACAO]]="Anular",'PREENCHER AQUI'!K743*-1*100,'PREENCHER AQUI'!K743*100)),"")</f>
        <v/>
      </c>
      <c r="T743" s="7" t="str">
        <f>IFERROR(IF('PREENCHER AQUI'!L743="","999",LEFT('PREENCHER AQUI'!L743,1)),"")</f>
        <v>999</v>
      </c>
      <c r="V743" s="19"/>
      <c r="W743" s="1" t="str">
        <f>IFERROR(VLOOKUP(Tabela1[[#This Row],[UO_COD]],qdd!$AT$1:$AU$102,2,FALSE),"")</f>
        <v/>
      </c>
      <c r="X743" s="1" t="str">
        <f>CONCATENATE("F",Tabela1[[#This Row],[FONTE_COD]],Tabela1[[#This Row],[IPU_COD]],"G",Tabela1[[#This Row],[GRUPO_COD]],"T",Tabela1[[#This Row],[TIPO]])</f>
        <v>FGT999</v>
      </c>
      <c r="Y7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3" s="19"/>
      <c r="AA743" s="29" t="str">
        <f>IFERROR(VLOOKUP(CONCATENATE("B",Tabela1[[#This Row],[BLOCO]],Tabela1[[#This Row],[UO_COD]]),qdd!$AW$2:$AX$1000,2,FALSE),"")</f>
        <v/>
      </c>
      <c r="AB743" s="30" t="str">
        <f>IFERROR(Tabela1[[#This Row],[VALOR]]/100,"")</f>
        <v/>
      </c>
      <c r="AC743" s="7" t="str" cm="1">
        <f t="array" aca="1" ref="AC743" ca="1">IF(Tabela1[[#This Row],[VALOR]]&lt;0,"",IFERROR(SUBSTITUTE(Converter_numero(Tabela1[[#This Row],[VALOR INCISO]]),",",""),""))</f>
        <v/>
      </c>
      <c r="AD743" s="29" t="str">
        <f>IF(Tabela1[[#This Row],[TIPO]]=REGRAS!$W$2,REGRAS!$X$2,IF(Tabela1[[#This Row],[TIPO]]=REGRAS!$W$4,REGRAS!$X$4,""))</f>
        <v/>
      </c>
      <c r="AE743" s="29" t="e">
        <f>VLOOKUP(Tabela1[[#This Row],[FONTE_COD]],REGRAS!$O$2:$P$69,2,FALSE)</f>
        <v>#N/A</v>
      </c>
      <c r="AF7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4" spans="1:32" ht="18.75" customHeight="1">
      <c r="A744" s="2" t="str">
        <f>IFERROR(IF('PREENCHER AQUI'!A744="","",'PREENCHER AQUI'!A744),"")</f>
        <v/>
      </c>
      <c r="B744" s="1" t="str">
        <f>IFERROR(IF('PREENCHER AQUI'!B744="","",PROPER('PREENCHER AQUI'!B744)),"")</f>
        <v/>
      </c>
      <c r="C744" s="1" t="str">
        <f>IFERROR(IF('PREENCHER AQUI'!C744="","",'PREENCHER AQUI'!C744),"")</f>
        <v/>
      </c>
      <c r="D744" s="2" t="str">
        <f>IFERROR(IF('PREENCHER AQUI'!D744="","",'PREENCHER AQUI'!D744),"")</f>
        <v/>
      </c>
      <c r="E744" s="2" t="str">
        <f>IFERROR(VLOOKUP(CONCATENATE(C744,D744),qdd!$C$2:$F$1000,2,FALSE),"")</f>
        <v/>
      </c>
      <c r="F744" s="2" t="str">
        <f>IFERROR(VLOOKUP(CONCATENATE(C744,D744),qdd!$C$2:$F$1000,3,FALSE),"")</f>
        <v/>
      </c>
      <c r="G744" s="2" t="str">
        <f>IFERROR(VLOOKUP(CONCATENATE(C744,D744),qdd!$C$2:$F$1000,4,FALSE),"")</f>
        <v/>
      </c>
      <c r="H744" s="6" t="str">
        <f t="shared" si="24"/>
        <v/>
      </c>
      <c r="I7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4" s="2" t="str">
        <f>IFERROR(IF('PREENCHER AQUI'!E744="","",'PREENCHER AQUI'!E744),"")</f>
        <v/>
      </c>
      <c r="K744" s="2" t="str">
        <f>IFERROR(IF('PREENCHER AQUI'!F744="","",'PREENCHER AQUI'!F744),"")</f>
        <v/>
      </c>
      <c r="L744" s="2" t="str">
        <f>IF(Tabela1[[#This Row],[IPU_COD]]=9,"91",IF(Tabela1[[#This Row],[ACAO_COD]]="","",VLOOKUP(CONCATENATE("G",J744,"M",K744),qdd!$BC$2:$BD$46,2,FALSE)))</f>
        <v/>
      </c>
      <c r="M744" s="2" t="str">
        <f>TEXT(IFERROR(VLOOKUP(CONCATENATE(C744,D744),qdd!$C$2:$G$1000,5,FALSE),""),0)</f>
        <v/>
      </c>
      <c r="N744" s="2" t="str">
        <f>IFERROR(IF('PREENCHER AQUI'!I744="","",'PREENCHER AQUI'!I744),"")</f>
        <v/>
      </c>
      <c r="O744" s="2" t="str">
        <f>IFERROR(IF('PREENCHER AQUI'!J744="","",'PREENCHER AQUI'!J744),"")</f>
        <v/>
      </c>
      <c r="P744" s="7" t="str">
        <f t="shared" si="25"/>
        <v/>
      </c>
      <c r="Q744" s="8" t="str">
        <f>IFERROR(IF(Tabela4[[#This Row],[VALOR]]="","",IF(Tabela1[[#This Row],[ORIENTACAO]]="Anular",'PREENCHER AQUI'!K744*-1*100,'PREENCHER AQUI'!K744*100)),"")</f>
        <v/>
      </c>
      <c r="T744" s="7" t="str">
        <f>IFERROR(IF('PREENCHER AQUI'!L744="","999",LEFT('PREENCHER AQUI'!L744,1)),"")</f>
        <v>999</v>
      </c>
      <c r="V744" s="19"/>
      <c r="W744" s="1" t="str">
        <f>IFERROR(VLOOKUP(Tabela1[[#This Row],[UO_COD]],qdd!$AT$1:$AU$102,2,FALSE),"")</f>
        <v/>
      </c>
      <c r="X744" s="1" t="str">
        <f>CONCATENATE("F",Tabela1[[#This Row],[FONTE_COD]],Tabela1[[#This Row],[IPU_COD]],"G",Tabela1[[#This Row],[GRUPO_COD]],"T",Tabela1[[#This Row],[TIPO]])</f>
        <v>FGT999</v>
      </c>
      <c r="Y7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4" s="19"/>
      <c r="AA744" s="29" t="str">
        <f>IFERROR(VLOOKUP(CONCATENATE("B",Tabela1[[#This Row],[BLOCO]],Tabela1[[#This Row],[UO_COD]]),qdd!$AW$2:$AX$1000,2,FALSE),"")</f>
        <v/>
      </c>
      <c r="AB744" s="30" t="str">
        <f>IFERROR(Tabela1[[#This Row],[VALOR]]/100,"")</f>
        <v/>
      </c>
      <c r="AC744" s="7" t="str" cm="1">
        <f t="array" aca="1" ref="AC744" ca="1">IF(Tabela1[[#This Row],[VALOR]]&lt;0,"",IFERROR(SUBSTITUTE(Converter_numero(Tabela1[[#This Row],[VALOR INCISO]]),",",""),""))</f>
        <v/>
      </c>
      <c r="AD744" s="29" t="str">
        <f>IF(Tabela1[[#This Row],[TIPO]]=REGRAS!$W$2,REGRAS!$X$2,IF(Tabela1[[#This Row],[TIPO]]=REGRAS!$W$4,REGRAS!$X$4,""))</f>
        <v/>
      </c>
      <c r="AE744" s="29" t="e">
        <f>VLOOKUP(Tabela1[[#This Row],[FONTE_COD]],REGRAS!$O$2:$P$69,2,FALSE)</f>
        <v>#N/A</v>
      </c>
      <c r="AF7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5" spans="1:32" ht="18.75" customHeight="1">
      <c r="A745" s="2" t="str">
        <f>IFERROR(IF('PREENCHER AQUI'!A745="","",'PREENCHER AQUI'!A745),"")</f>
        <v/>
      </c>
      <c r="B745" s="1" t="str">
        <f>IFERROR(IF('PREENCHER AQUI'!B745="","",PROPER('PREENCHER AQUI'!B745)),"")</f>
        <v/>
      </c>
      <c r="C745" s="1" t="str">
        <f>IFERROR(IF('PREENCHER AQUI'!C745="","",'PREENCHER AQUI'!C745),"")</f>
        <v/>
      </c>
      <c r="D745" s="2" t="str">
        <f>IFERROR(IF('PREENCHER AQUI'!D745="","",'PREENCHER AQUI'!D745),"")</f>
        <v/>
      </c>
      <c r="E745" s="2" t="str">
        <f>IFERROR(VLOOKUP(CONCATENATE(C745,D745),qdd!$C$2:$F$1000,2,FALSE),"")</f>
        <v/>
      </c>
      <c r="F745" s="2" t="str">
        <f>IFERROR(VLOOKUP(CONCATENATE(C745,D745),qdd!$C$2:$F$1000,3,FALSE),"")</f>
        <v/>
      </c>
      <c r="G745" s="2" t="str">
        <f>IFERROR(VLOOKUP(CONCATENATE(C745,D745),qdd!$C$2:$F$1000,4,FALSE),"")</f>
        <v/>
      </c>
      <c r="H745" s="6" t="str">
        <f t="shared" si="24"/>
        <v/>
      </c>
      <c r="I7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5" s="2" t="str">
        <f>IFERROR(IF('PREENCHER AQUI'!E745="","",'PREENCHER AQUI'!E745),"")</f>
        <v/>
      </c>
      <c r="K745" s="2" t="str">
        <f>IFERROR(IF('PREENCHER AQUI'!F745="","",'PREENCHER AQUI'!F745),"")</f>
        <v/>
      </c>
      <c r="L745" s="2" t="str">
        <f>IF(Tabela1[[#This Row],[IPU_COD]]=9,"91",IF(Tabela1[[#This Row],[ACAO_COD]]="","",VLOOKUP(CONCATENATE("G",J745,"M",K745),qdd!$BC$2:$BD$46,2,FALSE)))</f>
        <v/>
      </c>
      <c r="M745" s="2" t="str">
        <f>TEXT(IFERROR(VLOOKUP(CONCATENATE(C745,D745),qdd!$C$2:$G$1000,5,FALSE),""),0)</f>
        <v/>
      </c>
      <c r="N745" s="2" t="str">
        <f>IFERROR(IF('PREENCHER AQUI'!I745="","",'PREENCHER AQUI'!I745),"")</f>
        <v/>
      </c>
      <c r="O745" s="2" t="str">
        <f>IFERROR(IF('PREENCHER AQUI'!J745="","",'PREENCHER AQUI'!J745),"")</f>
        <v/>
      </c>
      <c r="P745" s="7" t="str">
        <f t="shared" si="25"/>
        <v/>
      </c>
      <c r="Q745" s="8" t="str">
        <f>IFERROR(IF(Tabela4[[#This Row],[VALOR]]="","",IF(Tabela1[[#This Row],[ORIENTACAO]]="Anular",'PREENCHER AQUI'!K745*-1*100,'PREENCHER AQUI'!K745*100)),"")</f>
        <v/>
      </c>
      <c r="T745" s="7" t="str">
        <f>IFERROR(IF('PREENCHER AQUI'!L745="","999",LEFT('PREENCHER AQUI'!L745,1)),"")</f>
        <v>999</v>
      </c>
      <c r="V745" s="19"/>
      <c r="W745" s="20" t="str">
        <f>IFERROR(VLOOKUP(Tabela1[[#This Row],[UO_COD]],qdd!$AT$1:$AU$102,2,FALSE),"")</f>
        <v/>
      </c>
      <c r="X745" s="20" t="str">
        <f>CONCATENATE("F",Tabela1[[#This Row],[FONTE_COD]],Tabela1[[#This Row],[IPU_COD]],"G",Tabela1[[#This Row],[GRUPO_COD]],"T",Tabela1[[#This Row],[TIPO]])</f>
        <v>FGT999</v>
      </c>
      <c r="Y7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5" s="19"/>
      <c r="AA745" s="29" t="str">
        <f>IFERROR(VLOOKUP(CONCATENATE("B",Tabela1[[#This Row],[BLOCO]],Tabela1[[#This Row],[UO_COD]]),qdd!$AW$2:$AX$1000,2,FALSE),"")</f>
        <v/>
      </c>
      <c r="AB745" s="30" t="str">
        <f>IFERROR(Tabela1[[#This Row],[VALOR]]/100,"")</f>
        <v/>
      </c>
      <c r="AC745" s="7" t="str" cm="1">
        <f t="array" aca="1" ref="AC745" ca="1">IF(Tabela1[[#This Row],[VALOR]]&lt;0,"",IFERROR(SUBSTITUTE(Converter_numero(Tabela1[[#This Row],[VALOR INCISO]]),",",""),""))</f>
        <v/>
      </c>
      <c r="AD745" s="29" t="str">
        <f>IF(Tabela1[[#This Row],[TIPO]]=REGRAS!$W$2,REGRAS!$X$2,IF(Tabela1[[#This Row],[TIPO]]=REGRAS!$W$4,REGRAS!$X$4,""))</f>
        <v/>
      </c>
      <c r="AE745" s="29" t="e">
        <f>VLOOKUP(Tabela1[[#This Row],[FONTE_COD]],REGRAS!$O$2:$P$69,2,FALSE)</f>
        <v>#N/A</v>
      </c>
      <c r="AF7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6" spans="1:32" ht="18.75" customHeight="1">
      <c r="A746" s="2" t="str">
        <f>IFERROR(IF('PREENCHER AQUI'!A746="","",'PREENCHER AQUI'!A746),"")</f>
        <v/>
      </c>
      <c r="B746" s="1" t="str">
        <f>IFERROR(IF('PREENCHER AQUI'!B746="","",PROPER('PREENCHER AQUI'!B746)),"")</f>
        <v/>
      </c>
      <c r="C746" s="1" t="str">
        <f>IFERROR(IF('PREENCHER AQUI'!C746="","",'PREENCHER AQUI'!C746),"")</f>
        <v/>
      </c>
      <c r="D746" s="2" t="str">
        <f>IFERROR(IF('PREENCHER AQUI'!D746="","",'PREENCHER AQUI'!D746),"")</f>
        <v/>
      </c>
      <c r="E746" s="2" t="str">
        <f>IFERROR(VLOOKUP(CONCATENATE(C746,D746),qdd!$C$2:$F$1000,2,FALSE),"")</f>
        <v/>
      </c>
      <c r="F746" s="2" t="str">
        <f>IFERROR(VLOOKUP(CONCATENATE(C746,D746),qdd!$C$2:$F$1000,3,FALSE),"")</f>
        <v/>
      </c>
      <c r="G746" s="2" t="str">
        <f>IFERROR(VLOOKUP(CONCATENATE(C746,D746),qdd!$C$2:$F$1000,4,FALSE),"")</f>
        <v/>
      </c>
      <c r="H746" s="6" t="str">
        <f t="shared" si="24"/>
        <v/>
      </c>
      <c r="I7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6" s="2" t="str">
        <f>IFERROR(IF('PREENCHER AQUI'!E746="","",'PREENCHER AQUI'!E746),"")</f>
        <v/>
      </c>
      <c r="K746" s="2" t="str">
        <f>IFERROR(IF('PREENCHER AQUI'!F746="","",'PREENCHER AQUI'!F746),"")</f>
        <v/>
      </c>
      <c r="L746" s="2" t="str">
        <f>IF(Tabela1[[#This Row],[IPU_COD]]=9,"91",IF(Tabela1[[#This Row],[ACAO_COD]]="","",VLOOKUP(CONCATENATE("G",J746,"M",K746),qdd!$BC$2:$BD$46,2,FALSE)))</f>
        <v/>
      </c>
      <c r="M746" s="2" t="str">
        <f>TEXT(IFERROR(VLOOKUP(CONCATENATE(C746,D746),qdd!$C$2:$G$1000,5,FALSE),""),0)</f>
        <v/>
      </c>
      <c r="N746" s="2" t="str">
        <f>IFERROR(IF('PREENCHER AQUI'!I746="","",'PREENCHER AQUI'!I746),"")</f>
        <v/>
      </c>
      <c r="O746" s="2" t="str">
        <f>IFERROR(IF('PREENCHER AQUI'!J746="","",'PREENCHER AQUI'!J746),"")</f>
        <v/>
      </c>
      <c r="P746" s="7" t="str">
        <f t="shared" si="25"/>
        <v/>
      </c>
      <c r="Q746" s="8" t="str">
        <f>IFERROR(IF(Tabela4[[#This Row],[VALOR]]="","",IF(Tabela1[[#This Row],[ORIENTACAO]]="Anular",'PREENCHER AQUI'!K746*-1*100,'PREENCHER AQUI'!K746*100)),"")</f>
        <v/>
      </c>
      <c r="T746" s="7" t="str">
        <f>IFERROR(IF('PREENCHER AQUI'!L746="","999",LEFT('PREENCHER AQUI'!L746,1)),"")</f>
        <v>999</v>
      </c>
      <c r="V746" s="19"/>
      <c r="W746" s="1" t="str">
        <f>IFERROR(VLOOKUP(Tabela1[[#This Row],[UO_COD]],qdd!$AT$1:$AU$102,2,FALSE),"")</f>
        <v/>
      </c>
      <c r="X746" s="1" t="str">
        <f>CONCATENATE("F",Tabela1[[#This Row],[FONTE_COD]],Tabela1[[#This Row],[IPU_COD]],"G",Tabela1[[#This Row],[GRUPO_COD]],"T",Tabela1[[#This Row],[TIPO]])</f>
        <v>FGT999</v>
      </c>
      <c r="Y7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6" s="19"/>
      <c r="AA746" s="29" t="str">
        <f>IFERROR(VLOOKUP(CONCATENATE("B",Tabela1[[#This Row],[BLOCO]],Tabela1[[#This Row],[UO_COD]]),qdd!$AW$2:$AX$1000,2,FALSE),"")</f>
        <v/>
      </c>
      <c r="AB746" s="30" t="str">
        <f>IFERROR(Tabela1[[#This Row],[VALOR]]/100,"")</f>
        <v/>
      </c>
      <c r="AC746" s="7" t="str" cm="1">
        <f t="array" aca="1" ref="AC746" ca="1">IF(Tabela1[[#This Row],[VALOR]]&lt;0,"",IFERROR(SUBSTITUTE(Converter_numero(Tabela1[[#This Row],[VALOR INCISO]]),",",""),""))</f>
        <v/>
      </c>
      <c r="AD746" s="29" t="str">
        <f>IF(Tabela1[[#This Row],[TIPO]]=REGRAS!$W$2,REGRAS!$X$2,IF(Tabela1[[#This Row],[TIPO]]=REGRAS!$W$4,REGRAS!$X$4,""))</f>
        <v/>
      </c>
      <c r="AE746" s="29" t="e">
        <f>VLOOKUP(Tabela1[[#This Row],[FONTE_COD]],REGRAS!$O$2:$P$69,2,FALSE)</f>
        <v>#N/A</v>
      </c>
      <c r="AF7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7" spans="1:32" ht="18.75" customHeight="1">
      <c r="A747" s="2" t="str">
        <f>IFERROR(IF('PREENCHER AQUI'!A747="","",'PREENCHER AQUI'!A747),"")</f>
        <v/>
      </c>
      <c r="B747" s="1" t="str">
        <f>IFERROR(IF('PREENCHER AQUI'!B747="","",PROPER('PREENCHER AQUI'!B747)),"")</f>
        <v/>
      </c>
      <c r="C747" s="1" t="str">
        <f>IFERROR(IF('PREENCHER AQUI'!C747="","",'PREENCHER AQUI'!C747),"")</f>
        <v/>
      </c>
      <c r="D747" s="2" t="str">
        <f>IFERROR(IF('PREENCHER AQUI'!D747="","",'PREENCHER AQUI'!D747),"")</f>
        <v/>
      </c>
      <c r="E747" s="2" t="str">
        <f>IFERROR(VLOOKUP(CONCATENATE(C747,D747),qdd!$C$2:$F$1000,2,FALSE),"")</f>
        <v/>
      </c>
      <c r="F747" s="2" t="str">
        <f>IFERROR(VLOOKUP(CONCATENATE(C747,D747),qdd!$C$2:$F$1000,3,FALSE),"")</f>
        <v/>
      </c>
      <c r="G747" s="2" t="str">
        <f>IFERROR(VLOOKUP(CONCATENATE(C747,D747),qdd!$C$2:$F$1000,4,FALSE),"")</f>
        <v/>
      </c>
      <c r="H747" s="6" t="str">
        <f t="shared" si="24"/>
        <v/>
      </c>
      <c r="I7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7" s="2" t="str">
        <f>IFERROR(IF('PREENCHER AQUI'!E747="","",'PREENCHER AQUI'!E747),"")</f>
        <v/>
      </c>
      <c r="K747" s="2" t="str">
        <f>IFERROR(IF('PREENCHER AQUI'!F747="","",'PREENCHER AQUI'!F747),"")</f>
        <v/>
      </c>
      <c r="L747" s="2" t="str">
        <f>IF(Tabela1[[#This Row],[IPU_COD]]=9,"91",IF(Tabela1[[#This Row],[ACAO_COD]]="","",VLOOKUP(CONCATENATE("G",J747,"M",K747),qdd!$BC$2:$BD$46,2,FALSE)))</f>
        <v/>
      </c>
      <c r="M747" s="2" t="str">
        <f>TEXT(IFERROR(VLOOKUP(CONCATENATE(C747,D747),qdd!$C$2:$G$1000,5,FALSE),""),0)</f>
        <v/>
      </c>
      <c r="N747" s="2" t="str">
        <f>IFERROR(IF('PREENCHER AQUI'!I747="","",'PREENCHER AQUI'!I747),"")</f>
        <v/>
      </c>
      <c r="O747" s="2" t="str">
        <f>IFERROR(IF('PREENCHER AQUI'!J747="","",'PREENCHER AQUI'!J747),"")</f>
        <v/>
      </c>
      <c r="P747" s="7" t="str">
        <f t="shared" si="25"/>
        <v/>
      </c>
      <c r="Q747" s="8" t="str">
        <f>IFERROR(IF(Tabela4[[#This Row],[VALOR]]="","",IF(Tabela1[[#This Row],[ORIENTACAO]]="Anular",'PREENCHER AQUI'!K747*-1*100,'PREENCHER AQUI'!K747*100)),"")</f>
        <v/>
      </c>
      <c r="T747" s="7" t="str">
        <f>IFERROR(IF('PREENCHER AQUI'!L747="","999",LEFT('PREENCHER AQUI'!L747,1)),"")</f>
        <v>999</v>
      </c>
      <c r="W747" s="1" t="str">
        <f>IFERROR(VLOOKUP(Tabela1[[#This Row],[UO_COD]],qdd!$AT$1:$AU$102,2,FALSE),"")</f>
        <v/>
      </c>
      <c r="X747" s="1" t="str">
        <f>CONCATENATE("F",Tabela1[[#This Row],[FONTE_COD]],Tabela1[[#This Row],[IPU_COD]],"G",Tabela1[[#This Row],[GRUPO_COD]],"T",Tabela1[[#This Row],[TIPO]])</f>
        <v>FGT999</v>
      </c>
      <c r="Y7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7" s="19"/>
      <c r="AA747" s="29" t="str">
        <f>IFERROR(VLOOKUP(CONCATENATE("B",Tabela1[[#This Row],[BLOCO]],Tabela1[[#This Row],[UO_COD]]),qdd!$AW$2:$AX$1000,2,FALSE),"")</f>
        <v/>
      </c>
      <c r="AB747" s="30" t="str">
        <f>IFERROR(Tabela1[[#This Row],[VALOR]]/100,"")</f>
        <v/>
      </c>
      <c r="AC747" s="7" t="str" cm="1">
        <f t="array" aca="1" ref="AC747" ca="1">IF(Tabela1[[#This Row],[VALOR]]&lt;0,"",IFERROR(SUBSTITUTE(Converter_numero(Tabela1[[#This Row],[VALOR INCISO]]),",",""),""))</f>
        <v/>
      </c>
      <c r="AD747" s="7" t="str">
        <f>IF(Tabela1[[#This Row],[TIPO]]=REGRAS!$W$2,REGRAS!$X$2,IF(Tabela1[[#This Row],[TIPO]]=REGRAS!$W$4,REGRAS!$X$4,""))</f>
        <v/>
      </c>
      <c r="AE747" s="29" t="e">
        <f>VLOOKUP(Tabela1[[#This Row],[FONTE_COD]],REGRAS!$O$2:$P$69,2,FALSE)</f>
        <v>#N/A</v>
      </c>
      <c r="AF7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8" spans="1:32" ht="18.75" customHeight="1">
      <c r="A748" s="2" t="str">
        <f>IFERROR(IF('PREENCHER AQUI'!A748="","",'PREENCHER AQUI'!A748),"")</f>
        <v/>
      </c>
      <c r="B748" s="1" t="str">
        <f>IFERROR(IF('PREENCHER AQUI'!B748="","",PROPER('PREENCHER AQUI'!B748)),"")</f>
        <v/>
      </c>
      <c r="C748" s="1" t="str">
        <f>IFERROR(IF('PREENCHER AQUI'!C748="","",'PREENCHER AQUI'!C748),"")</f>
        <v/>
      </c>
      <c r="D748" s="2" t="str">
        <f>IFERROR(IF('PREENCHER AQUI'!D748="","",'PREENCHER AQUI'!D748),"")</f>
        <v/>
      </c>
      <c r="E748" s="2" t="str">
        <f>IFERROR(VLOOKUP(CONCATENATE(C748,D748),qdd!$C$2:$F$1000,2,FALSE),"")</f>
        <v/>
      </c>
      <c r="F748" s="2" t="str">
        <f>IFERROR(VLOOKUP(CONCATENATE(C748,D748),qdd!$C$2:$F$1000,3,FALSE),"")</f>
        <v/>
      </c>
      <c r="G748" s="2" t="str">
        <f>IFERROR(VLOOKUP(CONCATENATE(C748,D748),qdd!$C$2:$F$1000,4,FALSE),"")</f>
        <v/>
      </c>
      <c r="H748" s="6" t="str">
        <f t="shared" si="24"/>
        <v/>
      </c>
      <c r="I7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8" s="2" t="str">
        <f>IFERROR(IF('PREENCHER AQUI'!E748="","",'PREENCHER AQUI'!E748),"")</f>
        <v/>
      </c>
      <c r="K748" s="2" t="str">
        <f>IFERROR(IF('PREENCHER AQUI'!F748="","",'PREENCHER AQUI'!F748),"")</f>
        <v/>
      </c>
      <c r="L748" s="2" t="str">
        <f>IF(Tabela1[[#This Row],[IPU_COD]]=9,"91",IF(Tabela1[[#This Row],[ACAO_COD]]="","",VLOOKUP(CONCATENATE("G",J748,"M",K748),qdd!$BC$2:$BD$46,2,FALSE)))</f>
        <v/>
      </c>
      <c r="M748" s="2" t="str">
        <f>TEXT(IFERROR(VLOOKUP(CONCATENATE(C748,D748),qdd!$C$2:$G$1000,5,FALSE),""),0)</f>
        <v/>
      </c>
      <c r="N748" s="2" t="str">
        <f>IFERROR(IF('PREENCHER AQUI'!I748="","",'PREENCHER AQUI'!I748),"")</f>
        <v/>
      </c>
      <c r="O748" s="2" t="str">
        <f>IFERROR(IF('PREENCHER AQUI'!J748="","",'PREENCHER AQUI'!J748),"")</f>
        <v/>
      </c>
      <c r="P748" s="7" t="str">
        <f t="shared" si="25"/>
        <v/>
      </c>
      <c r="Q748" s="8" t="str">
        <f>IFERROR(IF(Tabela4[[#This Row],[VALOR]]="","",IF(Tabela1[[#This Row],[ORIENTACAO]]="Anular",'PREENCHER AQUI'!K748*-1*100,'PREENCHER AQUI'!K748*100)),"")</f>
        <v/>
      </c>
      <c r="T748" s="7" t="str">
        <f>IFERROR(IF('PREENCHER AQUI'!L748="","999",LEFT('PREENCHER AQUI'!L748,1)),"")</f>
        <v>999</v>
      </c>
      <c r="V748" s="19"/>
      <c r="W748" s="1" t="str">
        <f>IFERROR(VLOOKUP(Tabela1[[#This Row],[UO_COD]],qdd!$AT$1:$AU$102,2,FALSE),"")</f>
        <v/>
      </c>
      <c r="X748" s="1" t="str">
        <f>CONCATENATE("F",Tabela1[[#This Row],[FONTE_COD]],Tabela1[[#This Row],[IPU_COD]],"G",Tabela1[[#This Row],[GRUPO_COD]],"T",Tabela1[[#This Row],[TIPO]])</f>
        <v>FGT999</v>
      </c>
      <c r="Y7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8" s="19"/>
      <c r="AA748" s="29" t="str">
        <f>IFERROR(VLOOKUP(CONCATENATE("B",Tabela1[[#This Row],[BLOCO]],Tabela1[[#This Row],[UO_COD]]),qdd!$AW$2:$AX$1000,2,FALSE),"")</f>
        <v/>
      </c>
      <c r="AB748" s="30" t="str">
        <f>IFERROR(Tabela1[[#This Row],[VALOR]]/100,"")</f>
        <v/>
      </c>
      <c r="AC748" s="7" t="str" cm="1">
        <f t="array" aca="1" ref="AC748" ca="1">IF(Tabela1[[#This Row],[VALOR]]&lt;0,"",IFERROR(SUBSTITUTE(Converter_numero(Tabela1[[#This Row],[VALOR INCISO]]),",",""),""))</f>
        <v/>
      </c>
      <c r="AD748" s="29" t="str">
        <f>IF(Tabela1[[#This Row],[TIPO]]=REGRAS!$W$2,REGRAS!$X$2,IF(Tabela1[[#This Row],[TIPO]]=REGRAS!$W$4,REGRAS!$X$4,""))</f>
        <v/>
      </c>
      <c r="AE748" s="29" t="e">
        <f>VLOOKUP(Tabela1[[#This Row],[FONTE_COD]],REGRAS!$O$2:$P$69,2,FALSE)</f>
        <v>#N/A</v>
      </c>
      <c r="AF7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9" spans="1:32" ht="18.75" customHeight="1">
      <c r="A749" s="2" t="str">
        <f>IFERROR(IF('PREENCHER AQUI'!A749="","",'PREENCHER AQUI'!A749),"")</f>
        <v/>
      </c>
      <c r="B749" s="1" t="str">
        <f>IFERROR(IF('PREENCHER AQUI'!B749="","",PROPER('PREENCHER AQUI'!B749)),"")</f>
        <v/>
      </c>
      <c r="C749" s="1" t="str">
        <f>IFERROR(IF('PREENCHER AQUI'!C749="","",'PREENCHER AQUI'!C749),"")</f>
        <v/>
      </c>
      <c r="D749" s="2" t="str">
        <f>IFERROR(IF('PREENCHER AQUI'!D749="","",'PREENCHER AQUI'!D749),"")</f>
        <v/>
      </c>
      <c r="E749" s="2" t="str">
        <f>IFERROR(VLOOKUP(CONCATENATE(C749,D749),qdd!$C$2:$F$1000,2,FALSE),"")</f>
        <v/>
      </c>
      <c r="F749" s="2" t="str">
        <f>IFERROR(VLOOKUP(CONCATENATE(C749,D749),qdd!$C$2:$F$1000,3,FALSE),"")</f>
        <v/>
      </c>
      <c r="G749" s="2" t="str">
        <f>IFERROR(VLOOKUP(CONCATENATE(C749,D749),qdd!$C$2:$F$1000,4,FALSE),"")</f>
        <v/>
      </c>
      <c r="H749" s="6" t="str">
        <f t="shared" si="24"/>
        <v/>
      </c>
      <c r="I7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9" s="2" t="str">
        <f>IFERROR(IF('PREENCHER AQUI'!E749="","",'PREENCHER AQUI'!E749),"")</f>
        <v/>
      </c>
      <c r="K749" s="2" t="str">
        <f>IFERROR(IF('PREENCHER AQUI'!F749="","",'PREENCHER AQUI'!F749),"")</f>
        <v/>
      </c>
      <c r="L749" s="2" t="str">
        <f>IF(Tabela1[[#This Row],[IPU_COD]]=9,"91",IF(Tabela1[[#This Row],[ACAO_COD]]="","",VLOOKUP(CONCATENATE("G",J749,"M",K749),qdd!$BC$2:$BD$46,2,FALSE)))</f>
        <v/>
      </c>
      <c r="M749" s="2" t="str">
        <f>TEXT(IFERROR(VLOOKUP(CONCATENATE(C749,D749),qdd!$C$2:$G$1000,5,FALSE),""),0)</f>
        <v/>
      </c>
      <c r="N749" s="2" t="str">
        <f>IFERROR(IF('PREENCHER AQUI'!I749="","",'PREENCHER AQUI'!I749),"")</f>
        <v/>
      </c>
      <c r="O749" s="2" t="str">
        <f>IFERROR(IF('PREENCHER AQUI'!J749="","",'PREENCHER AQUI'!J749),"")</f>
        <v/>
      </c>
      <c r="P749" s="7" t="str">
        <f t="shared" si="25"/>
        <v/>
      </c>
      <c r="Q749" s="8" t="str">
        <f>IFERROR(IF(Tabela4[[#This Row],[VALOR]]="","",IF(Tabela1[[#This Row],[ORIENTACAO]]="Anular",'PREENCHER AQUI'!K749*-1*100,'PREENCHER AQUI'!K749*100)),"")</f>
        <v/>
      </c>
      <c r="T749" s="7" t="str">
        <f>IFERROR(IF('PREENCHER AQUI'!L749="","999",LEFT('PREENCHER AQUI'!L749,1)),"")</f>
        <v>999</v>
      </c>
      <c r="V749" s="19"/>
      <c r="W749" s="1" t="str">
        <f>IFERROR(VLOOKUP(Tabela1[[#This Row],[UO_COD]],qdd!$AT$1:$AU$102,2,FALSE),"")</f>
        <v/>
      </c>
      <c r="X749" s="1" t="str">
        <f>CONCATENATE("F",Tabela1[[#This Row],[FONTE_COD]],Tabela1[[#This Row],[IPU_COD]],"G",Tabela1[[#This Row],[GRUPO_COD]],"T",Tabela1[[#This Row],[TIPO]])</f>
        <v>FGT999</v>
      </c>
      <c r="Y7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9" s="19"/>
      <c r="AA749" s="29" t="str">
        <f>IFERROR(VLOOKUP(CONCATENATE("B",Tabela1[[#This Row],[BLOCO]],Tabela1[[#This Row],[UO_COD]]),qdd!$AW$2:$AX$1000,2,FALSE),"")</f>
        <v/>
      </c>
      <c r="AB749" s="30" t="str">
        <f>IFERROR(Tabela1[[#This Row],[VALOR]]/100,"")</f>
        <v/>
      </c>
      <c r="AC749" s="7" t="str" cm="1">
        <f t="array" aca="1" ref="AC749" ca="1">IF(Tabela1[[#This Row],[VALOR]]&lt;0,"",IFERROR(SUBSTITUTE(Converter_numero(Tabela1[[#This Row],[VALOR INCISO]]),",",""),""))</f>
        <v/>
      </c>
      <c r="AD749" s="29" t="str">
        <f>IF(Tabela1[[#This Row],[TIPO]]=REGRAS!$W$2,REGRAS!$X$2,IF(Tabela1[[#This Row],[TIPO]]=REGRAS!$W$4,REGRAS!$X$4,""))</f>
        <v/>
      </c>
      <c r="AE749" s="29" t="e">
        <f>VLOOKUP(Tabela1[[#This Row],[FONTE_COD]],REGRAS!$O$2:$P$69,2,FALSE)</f>
        <v>#N/A</v>
      </c>
      <c r="AF7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0" spans="1:32" ht="18.75" customHeight="1">
      <c r="A750" s="2" t="str">
        <f>IFERROR(IF('PREENCHER AQUI'!A750="","",'PREENCHER AQUI'!A750),"")</f>
        <v/>
      </c>
      <c r="B750" s="1" t="str">
        <f>IFERROR(IF('PREENCHER AQUI'!B750="","",PROPER('PREENCHER AQUI'!B750)),"")</f>
        <v/>
      </c>
      <c r="C750" s="1" t="str">
        <f>IFERROR(IF('PREENCHER AQUI'!C750="","",'PREENCHER AQUI'!C750),"")</f>
        <v/>
      </c>
      <c r="D750" s="2" t="str">
        <f>IFERROR(IF('PREENCHER AQUI'!D750="","",'PREENCHER AQUI'!D750),"")</f>
        <v/>
      </c>
      <c r="E750" s="2" t="str">
        <f>IFERROR(VLOOKUP(CONCATENATE(C750,D750),qdd!$C$2:$F$1000,2,FALSE),"")</f>
        <v/>
      </c>
      <c r="F750" s="2" t="str">
        <f>IFERROR(VLOOKUP(CONCATENATE(C750,D750),qdd!$C$2:$F$1000,3,FALSE),"")</f>
        <v/>
      </c>
      <c r="G750" s="2" t="str">
        <f>IFERROR(VLOOKUP(CONCATENATE(C750,D750),qdd!$C$2:$F$1000,4,FALSE),"")</f>
        <v/>
      </c>
      <c r="H750" s="6" t="str">
        <f t="shared" si="24"/>
        <v/>
      </c>
      <c r="I7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0" s="2" t="str">
        <f>IFERROR(IF('PREENCHER AQUI'!E750="","",'PREENCHER AQUI'!E750),"")</f>
        <v/>
      </c>
      <c r="K750" s="2" t="str">
        <f>IFERROR(IF('PREENCHER AQUI'!F750="","",'PREENCHER AQUI'!F750),"")</f>
        <v/>
      </c>
      <c r="L750" s="2" t="str">
        <f>IF(Tabela1[[#This Row],[IPU_COD]]=9,"91",IF(Tabela1[[#This Row],[ACAO_COD]]="","",VLOOKUP(CONCATENATE("G",J750,"M",K750),qdd!$BC$2:$BD$46,2,FALSE)))</f>
        <v/>
      </c>
      <c r="M750" s="2" t="str">
        <f>TEXT(IFERROR(VLOOKUP(CONCATENATE(C750,D750),qdd!$C$2:$G$1000,5,FALSE),""),0)</f>
        <v/>
      </c>
      <c r="N750" s="2" t="str">
        <f>IFERROR(IF('PREENCHER AQUI'!I750="","",'PREENCHER AQUI'!I750),"")</f>
        <v/>
      </c>
      <c r="O750" s="2" t="str">
        <f>IFERROR(IF('PREENCHER AQUI'!J750="","",'PREENCHER AQUI'!J750),"")</f>
        <v/>
      </c>
      <c r="P750" s="7" t="str">
        <f t="shared" si="25"/>
        <v/>
      </c>
      <c r="Q750" s="8" t="str">
        <f>IFERROR(IF(Tabela4[[#This Row],[VALOR]]="","",IF(Tabela1[[#This Row],[ORIENTACAO]]="Anular",'PREENCHER AQUI'!K750*-1*100,'PREENCHER AQUI'!K750*100)),"")</f>
        <v/>
      </c>
      <c r="T750" s="7" t="str">
        <f>IFERROR(IF('PREENCHER AQUI'!L750="","999",LEFT('PREENCHER AQUI'!L750,1)),"")</f>
        <v>999</v>
      </c>
      <c r="V750" s="19"/>
      <c r="W750" s="20" t="str">
        <f>IFERROR(VLOOKUP(Tabela1[[#This Row],[UO_COD]],qdd!$AT$1:$AU$102,2,FALSE),"")</f>
        <v/>
      </c>
      <c r="X750" s="20" t="str">
        <f>CONCATENATE("F",Tabela1[[#This Row],[FONTE_COD]],Tabela1[[#This Row],[IPU_COD]],"G",Tabela1[[#This Row],[GRUPO_COD]],"T",Tabela1[[#This Row],[TIPO]])</f>
        <v>FGT999</v>
      </c>
      <c r="Y7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0" s="19"/>
      <c r="AA750" s="29" t="str">
        <f>IFERROR(VLOOKUP(CONCATENATE("B",Tabela1[[#This Row],[BLOCO]],Tabela1[[#This Row],[UO_COD]]),qdd!$AW$2:$AX$1000,2,FALSE),"")</f>
        <v/>
      </c>
      <c r="AB750" s="30" t="str">
        <f>IFERROR(Tabela1[[#This Row],[VALOR]]/100,"")</f>
        <v/>
      </c>
      <c r="AC750" s="7" t="str" cm="1">
        <f t="array" aca="1" ref="AC750" ca="1">IF(Tabela1[[#This Row],[VALOR]]&lt;0,"",IFERROR(SUBSTITUTE(Converter_numero(Tabela1[[#This Row],[VALOR INCISO]]),",",""),""))</f>
        <v/>
      </c>
      <c r="AD750" s="29" t="str">
        <f>IF(Tabela1[[#This Row],[TIPO]]=REGRAS!$W$2,REGRAS!$X$2,IF(Tabela1[[#This Row],[TIPO]]=REGRAS!$W$4,REGRAS!$X$4,""))</f>
        <v/>
      </c>
      <c r="AE750" s="29" t="e">
        <f>VLOOKUP(Tabela1[[#This Row],[FONTE_COD]],REGRAS!$O$2:$P$69,2,FALSE)</f>
        <v>#N/A</v>
      </c>
      <c r="AF7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1" spans="1:32" ht="18.75" customHeight="1">
      <c r="A751" s="2" t="str">
        <f>IFERROR(IF('PREENCHER AQUI'!A751="","",'PREENCHER AQUI'!A751),"")</f>
        <v/>
      </c>
      <c r="B751" s="1" t="str">
        <f>IFERROR(IF('PREENCHER AQUI'!B751="","",PROPER('PREENCHER AQUI'!B751)),"")</f>
        <v/>
      </c>
      <c r="C751" s="1" t="str">
        <f>IFERROR(IF('PREENCHER AQUI'!C751="","",'PREENCHER AQUI'!C751),"")</f>
        <v/>
      </c>
      <c r="D751" s="2" t="str">
        <f>IFERROR(IF('PREENCHER AQUI'!D751="","",'PREENCHER AQUI'!D751),"")</f>
        <v/>
      </c>
      <c r="E751" s="2" t="str">
        <f>IFERROR(VLOOKUP(CONCATENATE(C751,D751),qdd!$C$2:$F$1000,2,FALSE),"")</f>
        <v/>
      </c>
      <c r="F751" s="2" t="str">
        <f>IFERROR(VLOOKUP(CONCATENATE(C751,D751),qdd!$C$2:$F$1000,3,FALSE),"")</f>
        <v/>
      </c>
      <c r="G751" s="2" t="str">
        <f>IFERROR(VLOOKUP(CONCATENATE(C751,D751),qdd!$C$2:$F$1000,4,FALSE),"")</f>
        <v/>
      </c>
      <c r="H751" s="6" t="str">
        <f t="shared" si="24"/>
        <v/>
      </c>
      <c r="I7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1" s="2" t="str">
        <f>IFERROR(IF('PREENCHER AQUI'!E751="","",'PREENCHER AQUI'!E751),"")</f>
        <v/>
      </c>
      <c r="K751" s="2" t="str">
        <f>IFERROR(IF('PREENCHER AQUI'!F751="","",'PREENCHER AQUI'!F751),"")</f>
        <v/>
      </c>
      <c r="L751" s="2" t="str">
        <f>IF(Tabela1[[#This Row],[IPU_COD]]=9,"91",IF(Tabela1[[#This Row],[ACAO_COD]]="","",VLOOKUP(CONCATENATE("G",J751,"M",K751),qdd!$BC$2:$BD$46,2,FALSE)))</f>
        <v/>
      </c>
      <c r="M751" s="2" t="str">
        <f>TEXT(IFERROR(VLOOKUP(CONCATENATE(C751,D751),qdd!$C$2:$G$1000,5,FALSE),""),0)</f>
        <v/>
      </c>
      <c r="N751" s="2" t="str">
        <f>IFERROR(IF('PREENCHER AQUI'!I751="","",'PREENCHER AQUI'!I751),"")</f>
        <v/>
      </c>
      <c r="O751" s="2" t="str">
        <f>IFERROR(IF('PREENCHER AQUI'!J751="","",'PREENCHER AQUI'!J751),"")</f>
        <v/>
      </c>
      <c r="P751" s="7" t="str">
        <f t="shared" si="25"/>
        <v/>
      </c>
      <c r="Q751" s="8" t="str">
        <f>IFERROR(IF(Tabela4[[#This Row],[VALOR]]="","",IF(Tabela1[[#This Row],[ORIENTACAO]]="Anular",'PREENCHER AQUI'!K751*-1*100,'PREENCHER AQUI'!K751*100)),"")</f>
        <v/>
      </c>
      <c r="T751" s="7" t="str">
        <f>IFERROR(IF('PREENCHER AQUI'!L751="","999",LEFT('PREENCHER AQUI'!L751,1)),"")</f>
        <v>999</v>
      </c>
      <c r="V751" s="19"/>
      <c r="W751" s="1" t="str">
        <f>IFERROR(VLOOKUP(Tabela1[[#This Row],[UO_COD]],qdd!$AT$1:$AU$102,2,FALSE),"")</f>
        <v/>
      </c>
      <c r="X751" s="1" t="str">
        <f>CONCATENATE("F",Tabela1[[#This Row],[FONTE_COD]],Tabela1[[#This Row],[IPU_COD]],"G",Tabela1[[#This Row],[GRUPO_COD]],"T",Tabela1[[#This Row],[TIPO]])</f>
        <v>FGT999</v>
      </c>
      <c r="Y7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1" s="19"/>
      <c r="AA751" s="29" t="str">
        <f>IFERROR(VLOOKUP(CONCATENATE("B",Tabela1[[#This Row],[BLOCO]],Tabela1[[#This Row],[UO_COD]]),qdd!$AW$2:$AX$1000,2,FALSE),"")</f>
        <v/>
      </c>
      <c r="AB751" s="30" t="str">
        <f>IFERROR(Tabela1[[#This Row],[VALOR]]/100,"")</f>
        <v/>
      </c>
      <c r="AC751" s="7" t="str" cm="1">
        <f t="array" aca="1" ref="AC751" ca="1">IF(Tabela1[[#This Row],[VALOR]]&lt;0,"",IFERROR(SUBSTITUTE(Converter_numero(Tabela1[[#This Row],[VALOR INCISO]]),",",""),""))</f>
        <v/>
      </c>
      <c r="AD751" s="29" t="str">
        <f>IF(Tabela1[[#This Row],[TIPO]]=REGRAS!$W$2,REGRAS!$X$2,IF(Tabela1[[#This Row],[TIPO]]=REGRAS!$W$4,REGRAS!$X$4,""))</f>
        <v/>
      </c>
      <c r="AE751" s="29" t="e">
        <f>VLOOKUP(Tabela1[[#This Row],[FONTE_COD]],REGRAS!$O$2:$P$69,2,FALSE)</f>
        <v>#N/A</v>
      </c>
      <c r="AF7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2" spans="1:32" ht="18.75" customHeight="1">
      <c r="A752" s="2" t="str">
        <f>IFERROR(IF('PREENCHER AQUI'!A752="","",'PREENCHER AQUI'!A752),"")</f>
        <v/>
      </c>
      <c r="B752" s="1" t="str">
        <f>IFERROR(IF('PREENCHER AQUI'!B752="","",PROPER('PREENCHER AQUI'!B752)),"")</f>
        <v/>
      </c>
      <c r="C752" s="1" t="str">
        <f>IFERROR(IF('PREENCHER AQUI'!C752="","",'PREENCHER AQUI'!C752),"")</f>
        <v/>
      </c>
      <c r="D752" s="2" t="str">
        <f>IFERROR(IF('PREENCHER AQUI'!D752="","",'PREENCHER AQUI'!D752),"")</f>
        <v/>
      </c>
      <c r="E752" s="2" t="str">
        <f>IFERROR(VLOOKUP(CONCATENATE(C752,D752),qdd!$C$2:$F$1000,2,FALSE),"")</f>
        <v/>
      </c>
      <c r="F752" s="2" t="str">
        <f>IFERROR(VLOOKUP(CONCATENATE(C752,D752),qdd!$C$2:$F$1000,3,FALSE),"")</f>
        <v/>
      </c>
      <c r="G752" s="2" t="str">
        <f>IFERROR(VLOOKUP(CONCATENATE(C752,D752),qdd!$C$2:$F$1000,4,FALSE),"")</f>
        <v/>
      </c>
      <c r="H752" s="6" t="str">
        <f t="shared" si="24"/>
        <v/>
      </c>
      <c r="I7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2" s="2" t="str">
        <f>IFERROR(IF('PREENCHER AQUI'!E752="","",'PREENCHER AQUI'!E752),"")</f>
        <v/>
      </c>
      <c r="K752" s="2" t="str">
        <f>IFERROR(IF('PREENCHER AQUI'!F752="","",'PREENCHER AQUI'!F752),"")</f>
        <v/>
      </c>
      <c r="L752" s="2" t="str">
        <f>IF(Tabela1[[#This Row],[IPU_COD]]=9,"91",IF(Tabela1[[#This Row],[ACAO_COD]]="","",VLOOKUP(CONCATENATE("G",J752,"M",K752),qdd!$BC$2:$BD$46,2,FALSE)))</f>
        <v/>
      </c>
      <c r="M752" s="2" t="str">
        <f>TEXT(IFERROR(VLOOKUP(CONCATENATE(C752,D752),qdd!$C$2:$G$1000,5,FALSE),""),0)</f>
        <v/>
      </c>
      <c r="N752" s="2" t="str">
        <f>IFERROR(IF('PREENCHER AQUI'!I752="","",'PREENCHER AQUI'!I752),"")</f>
        <v/>
      </c>
      <c r="O752" s="2" t="str">
        <f>IFERROR(IF('PREENCHER AQUI'!J752="","",'PREENCHER AQUI'!J752),"")</f>
        <v/>
      </c>
      <c r="P752" s="7" t="str">
        <f t="shared" si="25"/>
        <v/>
      </c>
      <c r="Q752" s="8" t="str">
        <f>IFERROR(IF(Tabela4[[#This Row],[VALOR]]="","",IF(Tabela1[[#This Row],[ORIENTACAO]]="Anular",'PREENCHER AQUI'!K752*-1*100,'PREENCHER AQUI'!K752*100)),"")</f>
        <v/>
      </c>
      <c r="T752" s="7" t="str">
        <f>IFERROR(IF('PREENCHER AQUI'!L752="","999",LEFT('PREENCHER AQUI'!L752,1)),"")</f>
        <v>999</v>
      </c>
      <c r="W752" s="1" t="str">
        <f>IFERROR(VLOOKUP(Tabela1[[#This Row],[UO_COD]],qdd!$AT$1:$AU$102,2,FALSE),"")</f>
        <v/>
      </c>
      <c r="X752" s="1" t="str">
        <f>CONCATENATE("F",Tabela1[[#This Row],[FONTE_COD]],Tabela1[[#This Row],[IPU_COD]],"G",Tabela1[[#This Row],[GRUPO_COD]],"T",Tabela1[[#This Row],[TIPO]])</f>
        <v>FGT999</v>
      </c>
      <c r="Y7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2" s="19"/>
      <c r="AA752" s="29" t="str">
        <f>IFERROR(VLOOKUP(CONCATENATE("B",Tabela1[[#This Row],[BLOCO]],Tabela1[[#This Row],[UO_COD]]),qdd!$AW$2:$AX$1000,2,FALSE),"")</f>
        <v/>
      </c>
      <c r="AB752" s="30" t="str">
        <f>IFERROR(Tabela1[[#This Row],[VALOR]]/100,"")</f>
        <v/>
      </c>
      <c r="AC752" s="7" t="str" cm="1">
        <f t="array" aca="1" ref="AC752" ca="1">IF(Tabela1[[#This Row],[VALOR]]&lt;0,"",IFERROR(SUBSTITUTE(Converter_numero(Tabela1[[#This Row],[VALOR INCISO]]),",",""),""))</f>
        <v/>
      </c>
      <c r="AD752" s="7" t="str">
        <f>IF(Tabela1[[#This Row],[TIPO]]=REGRAS!$W$2,REGRAS!$X$2,IF(Tabela1[[#This Row],[TIPO]]=REGRAS!$W$4,REGRAS!$X$4,""))</f>
        <v/>
      </c>
      <c r="AE752" s="29" t="e">
        <f>VLOOKUP(Tabela1[[#This Row],[FONTE_COD]],REGRAS!$O$2:$P$69,2,FALSE)</f>
        <v>#N/A</v>
      </c>
      <c r="AF7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3" spans="1:32" ht="18.75" customHeight="1">
      <c r="A753" s="2" t="str">
        <f>IFERROR(IF('PREENCHER AQUI'!A753="","",'PREENCHER AQUI'!A753),"")</f>
        <v/>
      </c>
      <c r="B753" s="1" t="str">
        <f>IFERROR(IF('PREENCHER AQUI'!B753="","",PROPER('PREENCHER AQUI'!B753)),"")</f>
        <v/>
      </c>
      <c r="C753" s="1" t="str">
        <f>IFERROR(IF('PREENCHER AQUI'!C753="","",'PREENCHER AQUI'!C753),"")</f>
        <v/>
      </c>
      <c r="D753" s="2" t="str">
        <f>IFERROR(IF('PREENCHER AQUI'!D753="","",'PREENCHER AQUI'!D753),"")</f>
        <v/>
      </c>
      <c r="E753" s="2" t="str">
        <f>IFERROR(VLOOKUP(CONCATENATE(C753,D753),qdd!$C$2:$F$1000,2,FALSE),"")</f>
        <v/>
      </c>
      <c r="F753" s="2" t="str">
        <f>IFERROR(VLOOKUP(CONCATENATE(C753,D753),qdd!$C$2:$F$1000,3,FALSE),"")</f>
        <v/>
      </c>
      <c r="G753" s="2" t="str">
        <f>IFERROR(VLOOKUP(CONCATENATE(C753,D753),qdd!$C$2:$F$1000,4,FALSE),"")</f>
        <v/>
      </c>
      <c r="H753" s="6" t="str">
        <f t="shared" si="24"/>
        <v/>
      </c>
      <c r="I7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3" s="2" t="str">
        <f>IFERROR(IF('PREENCHER AQUI'!E753="","",'PREENCHER AQUI'!E753),"")</f>
        <v/>
      </c>
      <c r="K753" s="2" t="str">
        <f>IFERROR(IF('PREENCHER AQUI'!F753="","",'PREENCHER AQUI'!F753),"")</f>
        <v/>
      </c>
      <c r="L753" s="2" t="str">
        <f>IF(Tabela1[[#This Row],[IPU_COD]]=9,"91",IF(Tabela1[[#This Row],[ACAO_COD]]="","",VLOOKUP(CONCATENATE("G",J753,"M",K753),qdd!$BC$2:$BD$46,2,FALSE)))</f>
        <v/>
      </c>
      <c r="M753" s="2" t="str">
        <f>TEXT(IFERROR(VLOOKUP(CONCATENATE(C753,D753),qdd!$C$2:$G$1000,5,FALSE),""),0)</f>
        <v/>
      </c>
      <c r="N753" s="2" t="str">
        <f>IFERROR(IF('PREENCHER AQUI'!I753="","",'PREENCHER AQUI'!I753),"")</f>
        <v/>
      </c>
      <c r="O753" s="2" t="str">
        <f>IFERROR(IF('PREENCHER AQUI'!J753="","",'PREENCHER AQUI'!J753),"")</f>
        <v/>
      </c>
      <c r="P753" s="7" t="str">
        <f t="shared" si="25"/>
        <v/>
      </c>
      <c r="Q753" s="8" t="str">
        <f>IFERROR(IF(Tabela4[[#This Row],[VALOR]]="","",IF(Tabela1[[#This Row],[ORIENTACAO]]="Anular",'PREENCHER AQUI'!K753*-1*100,'PREENCHER AQUI'!K753*100)),"")</f>
        <v/>
      </c>
      <c r="T753" s="7" t="str">
        <f>IFERROR(IF('PREENCHER AQUI'!L753="","999",LEFT('PREENCHER AQUI'!L753,1)),"")</f>
        <v>999</v>
      </c>
      <c r="V753" s="19"/>
      <c r="W753" s="1" t="str">
        <f>IFERROR(VLOOKUP(Tabela1[[#This Row],[UO_COD]],qdd!$AT$1:$AU$102,2,FALSE),"")</f>
        <v/>
      </c>
      <c r="X753" s="1" t="str">
        <f>CONCATENATE("F",Tabela1[[#This Row],[FONTE_COD]],Tabela1[[#This Row],[IPU_COD]],"G",Tabela1[[#This Row],[GRUPO_COD]],"T",Tabela1[[#This Row],[TIPO]])</f>
        <v>FGT999</v>
      </c>
      <c r="Y7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3" s="19"/>
      <c r="AA753" s="29" t="str">
        <f>IFERROR(VLOOKUP(CONCATENATE("B",Tabela1[[#This Row],[BLOCO]],Tabela1[[#This Row],[UO_COD]]),qdd!$AW$2:$AX$1000,2,FALSE),"")</f>
        <v/>
      </c>
      <c r="AB753" s="30" t="str">
        <f>IFERROR(Tabela1[[#This Row],[VALOR]]/100,"")</f>
        <v/>
      </c>
      <c r="AC753" s="7" t="str" cm="1">
        <f t="array" aca="1" ref="AC753" ca="1">IF(Tabela1[[#This Row],[VALOR]]&lt;0,"",IFERROR(SUBSTITUTE(Converter_numero(Tabela1[[#This Row],[VALOR INCISO]]),",",""),""))</f>
        <v/>
      </c>
      <c r="AD753" s="29" t="str">
        <f>IF(Tabela1[[#This Row],[TIPO]]=REGRAS!$W$2,REGRAS!$X$2,IF(Tabela1[[#This Row],[TIPO]]=REGRAS!$W$4,REGRAS!$X$4,""))</f>
        <v/>
      </c>
      <c r="AE753" s="29" t="e">
        <f>VLOOKUP(Tabela1[[#This Row],[FONTE_COD]],REGRAS!$O$2:$P$69,2,FALSE)</f>
        <v>#N/A</v>
      </c>
      <c r="AF7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4" spans="1:32" ht="18.75" customHeight="1">
      <c r="A754" s="2" t="str">
        <f>IFERROR(IF('PREENCHER AQUI'!A754="","",'PREENCHER AQUI'!A754),"")</f>
        <v/>
      </c>
      <c r="B754" s="1" t="str">
        <f>IFERROR(IF('PREENCHER AQUI'!B754="","",PROPER('PREENCHER AQUI'!B754)),"")</f>
        <v/>
      </c>
      <c r="C754" s="1" t="str">
        <f>IFERROR(IF('PREENCHER AQUI'!C754="","",'PREENCHER AQUI'!C754),"")</f>
        <v/>
      </c>
      <c r="D754" s="2" t="str">
        <f>IFERROR(IF('PREENCHER AQUI'!D754="","",'PREENCHER AQUI'!D754),"")</f>
        <v/>
      </c>
      <c r="E754" s="2" t="str">
        <f>IFERROR(VLOOKUP(CONCATENATE(C754,D754),qdd!$C$2:$F$1000,2,FALSE),"")</f>
        <v/>
      </c>
      <c r="F754" s="2" t="str">
        <f>IFERROR(VLOOKUP(CONCATENATE(C754,D754),qdd!$C$2:$F$1000,3,FALSE),"")</f>
        <v/>
      </c>
      <c r="G754" s="2" t="str">
        <f>IFERROR(VLOOKUP(CONCATENATE(C754,D754),qdd!$C$2:$F$1000,4,FALSE),"")</f>
        <v/>
      </c>
      <c r="H754" s="6" t="str">
        <f t="shared" si="24"/>
        <v/>
      </c>
      <c r="I7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4" s="2" t="str">
        <f>IFERROR(IF('PREENCHER AQUI'!E754="","",'PREENCHER AQUI'!E754),"")</f>
        <v/>
      </c>
      <c r="K754" s="2" t="str">
        <f>IFERROR(IF('PREENCHER AQUI'!F754="","",'PREENCHER AQUI'!F754),"")</f>
        <v/>
      </c>
      <c r="L754" s="2" t="str">
        <f>IF(Tabela1[[#This Row],[IPU_COD]]=9,"91",IF(Tabela1[[#This Row],[ACAO_COD]]="","",VLOOKUP(CONCATENATE("G",J754,"M",K754),qdd!$BC$2:$BD$46,2,FALSE)))</f>
        <v/>
      </c>
      <c r="M754" s="2" t="str">
        <f>TEXT(IFERROR(VLOOKUP(CONCATENATE(C754,D754),qdd!$C$2:$G$1000,5,FALSE),""),0)</f>
        <v/>
      </c>
      <c r="N754" s="2" t="str">
        <f>IFERROR(IF('PREENCHER AQUI'!I754="","",'PREENCHER AQUI'!I754),"")</f>
        <v/>
      </c>
      <c r="O754" s="2" t="str">
        <f>IFERROR(IF('PREENCHER AQUI'!J754="","",'PREENCHER AQUI'!J754),"")</f>
        <v/>
      </c>
      <c r="P754" s="7" t="str">
        <f t="shared" si="25"/>
        <v/>
      </c>
      <c r="Q754" s="8" t="str">
        <f>IFERROR(IF(Tabela4[[#This Row],[VALOR]]="","",IF(Tabela1[[#This Row],[ORIENTACAO]]="Anular",'PREENCHER AQUI'!K754*-1*100,'PREENCHER AQUI'!K754*100)),"")</f>
        <v/>
      </c>
      <c r="T754" s="7" t="str">
        <f>IFERROR(IF('PREENCHER AQUI'!L754="","999",LEFT('PREENCHER AQUI'!L754,1)),"")</f>
        <v>999</v>
      </c>
      <c r="V754" s="19"/>
      <c r="W754" s="1" t="str">
        <f>IFERROR(VLOOKUP(Tabela1[[#This Row],[UO_COD]],qdd!$AT$1:$AU$102,2,FALSE),"")</f>
        <v/>
      </c>
      <c r="X754" s="1" t="str">
        <f>CONCATENATE("F",Tabela1[[#This Row],[FONTE_COD]],Tabela1[[#This Row],[IPU_COD]],"G",Tabela1[[#This Row],[GRUPO_COD]],"T",Tabela1[[#This Row],[TIPO]])</f>
        <v>FGT999</v>
      </c>
      <c r="Y7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4" s="19"/>
      <c r="AA754" s="29" t="str">
        <f>IFERROR(VLOOKUP(CONCATENATE("B",Tabela1[[#This Row],[BLOCO]],Tabela1[[#This Row],[UO_COD]]),qdd!$AW$2:$AX$1000,2,FALSE),"")</f>
        <v/>
      </c>
      <c r="AB754" s="30" t="str">
        <f>IFERROR(Tabela1[[#This Row],[VALOR]]/100,"")</f>
        <v/>
      </c>
      <c r="AC754" s="7" t="str" cm="1">
        <f t="array" aca="1" ref="AC754" ca="1">IF(Tabela1[[#This Row],[VALOR]]&lt;0,"",IFERROR(SUBSTITUTE(Converter_numero(Tabela1[[#This Row],[VALOR INCISO]]),",",""),""))</f>
        <v/>
      </c>
      <c r="AD754" s="29" t="str">
        <f>IF(Tabela1[[#This Row],[TIPO]]=REGRAS!$W$2,REGRAS!$X$2,IF(Tabela1[[#This Row],[TIPO]]=REGRAS!$W$4,REGRAS!$X$4,""))</f>
        <v/>
      </c>
      <c r="AE754" s="29" t="e">
        <f>VLOOKUP(Tabela1[[#This Row],[FONTE_COD]],REGRAS!$O$2:$P$69,2,FALSE)</f>
        <v>#N/A</v>
      </c>
      <c r="AF7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5" spans="1:32" ht="18.75" customHeight="1">
      <c r="A755" s="2" t="str">
        <f>IFERROR(IF('PREENCHER AQUI'!A755="","",'PREENCHER AQUI'!A755),"")</f>
        <v/>
      </c>
      <c r="B755" s="1" t="str">
        <f>IFERROR(IF('PREENCHER AQUI'!B755="","",PROPER('PREENCHER AQUI'!B755)),"")</f>
        <v/>
      </c>
      <c r="C755" s="1" t="str">
        <f>IFERROR(IF('PREENCHER AQUI'!C755="","",'PREENCHER AQUI'!C755),"")</f>
        <v/>
      </c>
      <c r="D755" s="2" t="str">
        <f>IFERROR(IF('PREENCHER AQUI'!D755="","",'PREENCHER AQUI'!D755),"")</f>
        <v/>
      </c>
      <c r="E755" s="2" t="str">
        <f>IFERROR(VLOOKUP(CONCATENATE(C755,D755),qdd!$C$2:$F$1000,2,FALSE),"")</f>
        <v/>
      </c>
      <c r="F755" s="2" t="str">
        <f>IFERROR(VLOOKUP(CONCATENATE(C755,D755),qdd!$C$2:$F$1000,3,FALSE),"")</f>
        <v/>
      </c>
      <c r="G755" s="2" t="str">
        <f>IFERROR(VLOOKUP(CONCATENATE(C755,D755),qdd!$C$2:$F$1000,4,FALSE),"")</f>
        <v/>
      </c>
      <c r="H755" s="6" t="str">
        <f t="shared" si="24"/>
        <v/>
      </c>
      <c r="I7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5" s="2" t="str">
        <f>IFERROR(IF('PREENCHER AQUI'!E755="","",'PREENCHER AQUI'!E755),"")</f>
        <v/>
      </c>
      <c r="K755" s="2" t="str">
        <f>IFERROR(IF('PREENCHER AQUI'!F755="","",'PREENCHER AQUI'!F755),"")</f>
        <v/>
      </c>
      <c r="L755" s="2" t="str">
        <f>IF(Tabela1[[#This Row],[IPU_COD]]=9,"91",IF(Tabela1[[#This Row],[ACAO_COD]]="","",VLOOKUP(CONCATENATE("G",J755,"M",K755),qdd!$BC$2:$BD$46,2,FALSE)))</f>
        <v/>
      </c>
      <c r="M755" s="2" t="str">
        <f>TEXT(IFERROR(VLOOKUP(CONCATENATE(C755,D755),qdd!$C$2:$G$1000,5,FALSE),""),0)</f>
        <v/>
      </c>
      <c r="N755" s="2" t="str">
        <f>IFERROR(IF('PREENCHER AQUI'!I755="","",'PREENCHER AQUI'!I755),"")</f>
        <v/>
      </c>
      <c r="O755" s="2" t="str">
        <f>IFERROR(IF('PREENCHER AQUI'!J755="","",'PREENCHER AQUI'!J755),"")</f>
        <v/>
      </c>
      <c r="P755" s="7" t="str">
        <f t="shared" si="25"/>
        <v/>
      </c>
      <c r="Q755" s="8" t="str">
        <f>IFERROR(IF(Tabela4[[#This Row],[VALOR]]="","",IF(Tabela1[[#This Row],[ORIENTACAO]]="Anular",'PREENCHER AQUI'!K755*-1*100,'PREENCHER AQUI'!K755*100)),"")</f>
        <v/>
      </c>
      <c r="T755" s="7" t="str">
        <f>IFERROR(IF('PREENCHER AQUI'!L755="","999",LEFT('PREENCHER AQUI'!L755,1)),"")</f>
        <v>999</v>
      </c>
      <c r="V755" s="19"/>
      <c r="W755" s="20" t="str">
        <f>IFERROR(VLOOKUP(Tabela1[[#This Row],[UO_COD]],qdd!$AT$1:$AU$102,2,FALSE),"")</f>
        <v/>
      </c>
      <c r="X755" s="20" t="str">
        <f>CONCATENATE("F",Tabela1[[#This Row],[FONTE_COD]],Tabela1[[#This Row],[IPU_COD]],"G",Tabela1[[#This Row],[GRUPO_COD]],"T",Tabela1[[#This Row],[TIPO]])</f>
        <v>FGT999</v>
      </c>
      <c r="Y7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5" s="19"/>
      <c r="AA755" s="29" t="str">
        <f>IFERROR(VLOOKUP(CONCATENATE("B",Tabela1[[#This Row],[BLOCO]],Tabela1[[#This Row],[UO_COD]]),qdd!$AW$2:$AX$1000,2,FALSE),"")</f>
        <v/>
      </c>
      <c r="AB755" s="30" t="str">
        <f>IFERROR(Tabela1[[#This Row],[VALOR]]/100,"")</f>
        <v/>
      </c>
      <c r="AC755" s="7" t="str" cm="1">
        <f t="array" aca="1" ref="AC755" ca="1">IF(Tabela1[[#This Row],[VALOR]]&lt;0,"",IFERROR(SUBSTITUTE(Converter_numero(Tabela1[[#This Row],[VALOR INCISO]]),",",""),""))</f>
        <v/>
      </c>
      <c r="AD755" s="29" t="str">
        <f>IF(Tabela1[[#This Row],[TIPO]]=REGRAS!$W$2,REGRAS!$X$2,IF(Tabela1[[#This Row],[TIPO]]=REGRAS!$W$4,REGRAS!$X$4,""))</f>
        <v/>
      </c>
      <c r="AE755" s="29" t="e">
        <f>VLOOKUP(Tabela1[[#This Row],[FONTE_COD]],REGRAS!$O$2:$P$69,2,FALSE)</f>
        <v>#N/A</v>
      </c>
      <c r="AF7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6" spans="1:32" ht="18.75" customHeight="1">
      <c r="A756" s="2" t="str">
        <f>IFERROR(IF('PREENCHER AQUI'!A756="","",'PREENCHER AQUI'!A756),"")</f>
        <v/>
      </c>
      <c r="B756" s="1" t="str">
        <f>IFERROR(IF('PREENCHER AQUI'!B756="","",PROPER('PREENCHER AQUI'!B756)),"")</f>
        <v/>
      </c>
      <c r="C756" s="1" t="str">
        <f>IFERROR(IF('PREENCHER AQUI'!C756="","",'PREENCHER AQUI'!C756),"")</f>
        <v/>
      </c>
      <c r="D756" s="2" t="str">
        <f>IFERROR(IF('PREENCHER AQUI'!D756="","",'PREENCHER AQUI'!D756),"")</f>
        <v/>
      </c>
      <c r="E756" s="2" t="str">
        <f>IFERROR(VLOOKUP(CONCATENATE(C756,D756),qdd!$C$2:$F$1000,2,FALSE),"")</f>
        <v/>
      </c>
      <c r="F756" s="2" t="str">
        <f>IFERROR(VLOOKUP(CONCATENATE(C756,D756),qdd!$C$2:$F$1000,3,FALSE),"")</f>
        <v/>
      </c>
      <c r="G756" s="2" t="str">
        <f>IFERROR(VLOOKUP(CONCATENATE(C756,D756),qdd!$C$2:$F$1000,4,FALSE),"")</f>
        <v/>
      </c>
      <c r="H756" s="6" t="str">
        <f t="shared" si="24"/>
        <v/>
      </c>
      <c r="I7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6" s="2" t="str">
        <f>IFERROR(IF('PREENCHER AQUI'!E756="","",'PREENCHER AQUI'!E756),"")</f>
        <v/>
      </c>
      <c r="K756" s="2" t="str">
        <f>IFERROR(IF('PREENCHER AQUI'!F756="","",'PREENCHER AQUI'!F756),"")</f>
        <v/>
      </c>
      <c r="L756" s="2" t="str">
        <f>IF(Tabela1[[#This Row],[IPU_COD]]=9,"91",IF(Tabela1[[#This Row],[ACAO_COD]]="","",VLOOKUP(CONCATENATE("G",J756,"M",K756),qdd!$BC$2:$BD$46,2,FALSE)))</f>
        <v/>
      </c>
      <c r="M756" s="2" t="str">
        <f>TEXT(IFERROR(VLOOKUP(CONCATENATE(C756,D756),qdd!$C$2:$G$1000,5,FALSE),""),0)</f>
        <v/>
      </c>
      <c r="N756" s="2" t="str">
        <f>IFERROR(IF('PREENCHER AQUI'!I756="","",'PREENCHER AQUI'!I756),"")</f>
        <v/>
      </c>
      <c r="O756" s="2" t="str">
        <f>IFERROR(IF('PREENCHER AQUI'!J756="","",'PREENCHER AQUI'!J756),"")</f>
        <v/>
      </c>
      <c r="P756" s="7" t="str">
        <f t="shared" si="25"/>
        <v/>
      </c>
      <c r="Q756" s="8" t="str">
        <f>IFERROR(IF(Tabela4[[#This Row],[VALOR]]="","",IF(Tabela1[[#This Row],[ORIENTACAO]]="Anular",'PREENCHER AQUI'!K756*-1*100,'PREENCHER AQUI'!K756*100)),"")</f>
        <v/>
      </c>
      <c r="T756" s="7" t="str">
        <f>IFERROR(IF('PREENCHER AQUI'!L756="","999",LEFT('PREENCHER AQUI'!L756,1)),"")</f>
        <v>999</v>
      </c>
      <c r="V756" s="19"/>
      <c r="W756" s="1" t="str">
        <f>IFERROR(VLOOKUP(Tabela1[[#This Row],[UO_COD]],qdd!$AT$1:$AU$102,2,FALSE),"")</f>
        <v/>
      </c>
      <c r="X756" s="1" t="str">
        <f>CONCATENATE("F",Tabela1[[#This Row],[FONTE_COD]],Tabela1[[#This Row],[IPU_COD]],"G",Tabela1[[#This Row],[GRUPO_COD]],"T",Tabela1[[#This Row],[TIPO]])</f>
        <v>FGT999</v>
      </c>
      <c r="Y7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6" s="19"/>
      <c r="AA756" s="29" t="str">
        <f>IFERROR(VLOOKUP(CONCATENATE("B",Tabela1[[#This Row],[BLOCO]],Tabela1[[#This Row],[UO_COD]]),qdd!$AW$2:$AX$1000,2,FALSE),"")</f>
        <v/>
      </c>
      <c r="AB756" s="30" t="str">
        <f>IFERROR(Tabela1[[#This Row],[VALOR]]/100,"")</f>
        <v/>
      </c>
      <c r="AC756" s="7" t="str" cm="1">
        <f t="array" aca="1" ref="AC756" ca="1">IF(Tabela1[[#This Row],[VALOR]]&lt;0,"",IFERROR(SUBSTITUTE(Converter_numero(Tabela1[[#This Row],[VALOR INCISO]]),",",""),""))</f>
        <v/>
      </c>
      <c r="AD756" s="29" t="str">
        <f>IF(Tabela1[[#This Row],[TIPO]]=REGRAS!$W$2,REGRAS!$X$2,IF(Tabela1[[#This Row],[TIPO]]=REGRAS!$W$4,REGRAS!$X$4,""))</f>
        <v/>
      </c>
      <c r="AE756" s="29" t="e">
        <f>VLOOKUP(Tabela1[[#This Row],[FONTE_COD]],REGRAS!$O$2:$P$69,2,FALSE)</f>
        <v>#N/A</v>
      </c>
      <c r="AF7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7" spans="1:32" ht="18.75" customHeight="1">
      <c r="A757" s="2" t="str">
        <f>IFERROR(IF('PREENCHER AQUI'!A757="","",'PREENCHER AQUI'!A757),"")</f>
        <v/>
      </c>
      <c r="B757" s="1" t="str">
        <f>IFERROR(IF('PREENCHER AQUI'!B757="","",PROPER('PREENCHER AQUI'!B757)),"")</f>
        <v/>
      </c>
      <c r="C757" s="1" t="str">
        <f>IFERROR(IF('PREENCHER AQUI'!C757="","",'PREENCHER AQUI'!C757),"")</f>
        <v/>
      </c>
      <c r="D757" s="2" t="str">
        <f>IFERROR(IF('PREENCHER AQUI'!D757="","",'PREENCHER AQUI'!D757),"")</f>
        <v/>
      </c>
      <c r="E757" s="2" t="str">
        <f>IFERROR(VLOOKUP(CONCATENATE(C757,D757),qdd!$C$2:$F$1000,2,FALSE),"")</f>
        <v/>
      </c>
      <c r="F757" s="2" t="str">
        <f>IFERROR(VLOOKUP(CONCATENATE(C757,D757),qdd!$C$2:$F$1000,3,FALSE),"")</f>
        <v/>
      </c>
      <c r="G757" s="2" t="str">
        <f>IFERROR(VLOOKUP(CONCATENATE(C757,D757),qdd!$C$2:$F$1000,4,FALSE),"")</f>
        <v/>
      </c>
      <c r="H757" s="6" t="str">
        <f t="shared" si="24"/>
        <v/>
      </c>
      <c r="I7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7" s="2" t="str">
        <f>IFERROR(IF('PREENCHER AQUI'!E757="","",'PREENCHER AQUI'!E757),"")</f>
        <v/>
      </c>
      <c r="K757" s="2" t="str">
        <f>IFERROR(IF('PREENCHER AQUI'!F757="","",'PREENCHER AQUI'!F757),"")</f>
        <v/>
      </c>
      <c r="L757" s="2" t="str">
        <f>IF(Tabela1[[#This Row],[IPU_COD]]=9,"91",IF(Tabela1[[#This Row],[ACAO_COD]]="","",VLOOKUP(CONCATENATE("G",J757,"M",K757),qdd!$BC$2:$BD$46,2,FALSE)))</f>
        <v/>
      </c>
      <c r="M757" s="2" t="str">
        <f>TEXT(IFERROR(VLOOKUP(CONCATENATE(C757,D757),qdd!$C$2:$G$1000,5,FALSE),""),0)</f>
        <v/>
      </c>
      <c r="N757" s="2" t="str">
        <f>IFERROR(IF('PREENCHER AQUI'!I757="","",'PREENCHER AQUI'!I757),"")</f>
        <v/>
      </c>
      <c r="O757" s="2" t="str">
        <f>IFERROR(IF('PREENCHER AQUI'!J757="","",'PREENCHER AQUI'!J757),"")</f>
        <v/>
      </c>
      <c r="P757" s="7" t="str">
        <f t="shared" si="25"/>
        <v/>
      </c>
      <c r="Q757" s="8" t="str">
        <f>IFERROR(IF(Tabela4[[#This Row],[VALOR]]="","",IF(Tabela1[[#This Row],[ORIENTACAO]]="Anular",'PREENCHER AQUI'!K757*-1*100,'PREENCHER AQUI'!K757*100)),"")</f>
        <v/>
      </c>
      <c r="T757" s="7" t="str">
        <f>IFERROR(IF('PREENCHER AQUI'!L757="","999",LEFT('PREENCHER AQUI'!L757,1)),"")</f>
        <v>999</v>
      </c>
      <c r="W757" s="1" t="str">
        <f>IFERROR(VLOOKUP(Tabela1[[#This Row],[UO_COD]],qdd!$AT$1:$AU$102,2,FALSE),"")</f>
        <v/>
      </c>
      <c r="X757" s="1" t="str">
        <f>CONCATENATE("F",Tabela1[[#This Row],[FONTE_COD]],Tabela1[[#This Row],[IPU_COD]],"G",Tabela1[[#This Row],[GRUPO_COD]],"T",Tabela1[[#This Row],[TIPO]])</f>
        <v>FGT999</v>
      </c>
      <c r="Y7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7" s="19"/>
      <c r="AA757" s="29" t="str">
        <f>IFERROR(VLOOKUP(CONCATENATE("B",Tabela1[[#This Row],[BLOCO]],Tabela1[[#This Row],[UO_COD]]),qdd!$AW$2:$AX$1000,2,FALSE),"")</f>
        <v/>
      </c>
      <c r="AB757" s="30" t="str">
        <f>IFERROR(Tabela1[[#This Row],[VALOR]]/100,"")</f>
        <v/>
      </c>
      <c r="AC757" s="7" t="str" cm="1">
        <f t="array" aca="1" ref="AC757" ca="1">IF(Tabela1[[#This Row],[VALOR]]&lt;0,"",IFERROR(SUBSTITUTE(Converter_numero(Tabela1[[#This Row],[VALOR INCISO]]),",",""),""))</f>
        <v/>
      </c>
      <c r="AD757" s="7" t="str">
        <f>IF(Tabela1[[#This Row],[TIPO]]=REGRAS!$W$2,REGRAS!$X$2,IF(Tabela1[[#This Row],[TIPO]]=REGRAS!$W$4,REGRAS!$X$4,""))</f>
        <v/>
      </c>
      <c r="AE757" s="29" t="e">
        <f>VLOOKUP(Tabela1[[#This Row],[FONTE_COD]],REGRAS!$O$2:$P$69,2,FALSE)</f>
        <v>#N/A</v>
      </c>
      <c r="AF7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8" spans="1:32" ht="18.75" customHeight="1">
      <c r="A758" s="2" t="str">
        <f>IFERROR(IF('PREENCHER AQUI'!A758="","",'PREENCHER AQUI'!A758),"")</f>
        <v/>
      </c>
      <c r="B758" s="1" t="str">
        <f>IFERROR(IF('PREENCHER AQUI'!B758="","",PROPER('PREENCHER AQUI'!B758)),"")</f>
        <v/>
      </c>
      <c r="C758" s="1" t="str">
        <f>IFERROR(IF('PREENCHER AQUI'!C758="","",'PREENCHER AQUI'!C758),"")</f>
        <v/>
      </c>
      <c r="D758" s="2" t="str">
        <f>IFERROR(IF('PREENCHER AQUI'!D758="","",'PREENCHER AQUI'!D758),"")</f>
        <v/>
      </c>
      <c r="E758" s="2" t="str">
        <f>IFERROR(VLOOKUP(CONCATENATE(C758,D758),qdd!$C$2:$F$1000,2,FALSE),"")</f>
        <v/>
      </c>
      <c r="F758" s="2" t="str">
        <f>IFERROR(VLOOKUP(CONCATENATE(C758,D758),qdd!$C$2:$F$1000,3,FALSE),"")</f>
        <v/>
      </c>
      <c r="G758" s="2" t="str">
        <f>IFERROR(VLOOKUP(CONCATENATE(C758,D758),qdd!$C$2:$F$1000,4,FALSE),"")</f>
        <v/>
      </c>
      <c r="H758" s="6" t="str">
        <f t="shared" si="24"/>
        <v/>
      </c>
      <c r="I7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8" s="2" t="str">
        <f>IFERROR(IF('PREENCHER AQUI'!E758="","",'PREENCHER AQUI'!E758),"")</f>
        <v/>
      </c>
      <c r="K758" s="2" t="str">
        <f>IFERROR(IF('PREENCHER AQUI'!F758="","",'PREENCHER AQUI'!F758),"")</f>
        <v/>
      </c>
      <c r="L758" s="2" t="str">
        <f>IF(Tabela1[[#This Row],[IPU_COD]]=9,"91",IF(Tabela1[[#This Row],[ACAO_COD]]="","",VLOOKUP(CONCATENATE("G",J758,"M",K758),qdd!$BC$2:$BD$46,2,FALSE)))</f>
        <v/>
      </c>
      <c r="M758" s="2" t="str">
        <f>TEXT(IFERROR(VLOOKUP(CONCATENATE(C758,D758),qdd!$C$2:$G$1000,5,FALSE),""),0)</f>
        <v/>
      </c>
      <c r="N758" s="2" t="str">
        <f>IFERROR(IF('PREENCHER AQUI'!I758="","",'PREENCHER AQUI'!I758),"")</f>
        <v/>
      </c>
      <c r="O758" s="2" t="str">
        <f>IFERROR(IF('PREENCHER AQUI'!J758="","",'PREENCHER AQUI'!J758),"")</f>
        <v/>
      </c>
      <c r="P758" s="7" t="str">
        <f t="shared" si="25"/>
        <v/>
      </c>
      <c r="Q758" s="8" t="str">
        <f>IFERROR(IF(Tabela4[[#This Row],[VALOR]]="","",IF(Tabela1[[#This Row],[ORIENTACAO]]="Anular",'PREENCHER AQUI'!K758*-1*100,'PREENCHER AQUI'!K758*100)),"")</f>
        <v/>
      </c>
      <c r="T758" s="7" t="str">
        <f>IFERROR(IF('PREENCHER AQUI'!L758="","999",LEFT('PREENCHER AQUI'!L758,1)),"")</f>
        <v>999</v>
      </c>
      <c r="V758" s="19"/>
      <c r="W758" s="1" t="str">
        <f>IFERROR(VLOOKUP(Tabela1[[#This Row],[UO_COD]],qdd!$AT$1:$AU$102,2,FALSE),"")</f>
        <v/>
      </c>
      <c r="X758" s="1" t="str">
        <f>CONCATENATE("F",Tabela1[[#This Row],[FONTE_COD]],Tabela1[[#This Row],[IPU_COD]],"G",Tabela1[[#This Row],[GRUPO_COD]],"T",Tabela1[[#This Row],[TIPO]])</f>
        <v>FGT999</v>
      </c>
      <c r="Y7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8" s="19"/>
      <c r="AA758" s="29" t="str">
        <f>IFERROR(VLOOKUP(CONCATENATE("B",Tabela1[[#This Row],[BLOCO]],Tabela1[[#This Row],[UO_COD]]),qdd!$AW$2:$AX$1000,2,FALSE),"")</f>
        <v/>
      </c>
      <c r="AB758" s="30" t="str">
        <f>IFERROR(Tabela1[[#This Row],[VALOR]]/100,"")</f>
        <v/>
      </c>
      <c r="AC758" s="7" t="str" cm="1">
        <f t="array" aca="1" ref="AC758" ca="1">IF(Tabela1[[#This Row],[VALOR]]&lt;0,"",IFERROR(SUBSTITUTE(Converter_numero(Tabela1[[#This Row],[VALOR INCISO]]),",",""),""))</f>
        <v/>
      </c>
      <c r="AD758" s="29" t="str">
        <f>IF(Tabela1[[#This Row],[TIPO]]=REGRAS!$W$2,REGRAS!$X$2,IF(Tabela1[[#This Row],[TIPO]]=REGRAS!$W$4,REGRAS!$X$4,""))</f>
        <v/>
      </c>
      <c r="AE758" s="29" t="e">
        <f>VLOOKUP(Tabela1[[#This Row],[FONTE_COD]],REGRAS!$O$2:$P$69,2,FALSE)</f>
        <v>#N/A</v>
      </c>
      <c r="AF7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9" spans="1:32" ht="18.75" customHeight="1">
      <c r="A759" s="2" t="str">
        <f>IFERROR(IF('PREENCHER AQUI'!A759="","",'PREENCHER AQUI'!A759),"")</f>
        <v/>
      </c>
      <c r="B759" s="1" t="str">
        <f>IFERROR(IF('PREENCHER AQUI'!B759="","",PROPER('PREENCHER AQUI'!B759)),"")</f>
        <v/>
      </c>
      <c r="C759" s="1" t="str">
        <f>IFERROR(IF('PREENCHER AQUI'!C759="","",'PREENCHER AQUI'!C759),"")</f>
        <v/>
      </c>
      <c r="D759" s="2" t="str">
        <f>IFERROR(IF('PREENCHER AQUI'!D759="","",'PREENCHER AQUI'!D759),"")</f>
        <v/>
      </c>
      <c r="E759" s="2" t="str">
        <f>IFERROR(VLOOKUP(CONCATENATE(C759,D759),qdd!$C$2:$F$1000,2,FALSE),"")</f>
        <v/>
      </c>
      <c r="F759" s="2" t="str">
        <f>IFERROR(VLOOKUP(CONCATENATE(C759,D759),qdd!$C$2:$F$1000,3,FALSE),"")</f>
        <v/>
      </c>
      <c r="G759" s="2" t="str">
        <f>IFERROR(VLOOKUP(CONCATENATE(C759,D759),qdd!$C$2:$F$1000,4,FALSE),"")</f>
        <v/>
      </c>
      <c r="H759" s="6" t="str">
        <f t="shared" si="24"/>
        <v/>
      </c>
      <c r="I7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9" s="2" t="str">
        <f>IFERROR(IF('PREENCHER AQUI'!E759="","",'PREENCHER AQUI'!E759),"")</f>
        <v/>
      </c>
      <c r="K759" s="2" t="str">
        <f>IFERROR(IF('PREENCHER AQUI'!F759="","",'PREENCHER AQUI'!F759),"")</f>
        <v/>
      </c>
      <c r="L759" s="2" t="str">
        <f>IF(Tabela1[[#This Row],[IPU_COD]]=9,"91",IF(Tabela1[[#This Row],[ACAO_COD]]="","",VLOOKUP(CONCATENATE("G",J759,"M",K759),qdd!$BC$2:$BD$46,2,FALSE)))</f>
        <v/>
      </c>
      <c r="M759" s="2" t="str">
        <f>TEXT(IFERROR(VLOOKUP(CONCATENATE(C759,D759),qdd!$C$2:$G$1000,5,FALSE),""),0)</f>
        <v/>
      </c>
      <c r="N759" s="2" t="str">
        <f>IFERROR(IF('PREENCHER AQUI'!I759="","",'PREENCHER AQUI'!I759),"")</f>
        <v/>
      </c>
      <c r="O759" s="2" t="str">
        <f>IFERROR(IF('PREENCHER AQUI'!J759="","",'PREENCHER AQUI'!J759),"")</f>
        <v/>
      </c>
      <c r="P759" s="7" t="str">
        <f t="shared" si="25"/>
        <v/>
      </c>
      <c r="Q759" s="8" t="str">
        <f>IFERROR(IF(Tabela4[[#This Row],[VALOR]]="","",IF(Tabela1[[#This Row],[ORIENTACAO]]="Anular",'PREENCHER AQUI'!K759*-1*100,'PREENCHER AQUI'!K759*100)),"")</f>
        <v/>
      </c>
      <c r="T759" s="7" t="str">
        <f>IFERROR(IF('PREENCHER AQUI'!L759="","999",LEFT('PREENCHER AQUI'!L759,1)),"")</f>
        <v>999</v>
      </c>
      <c r="V759" s="19"/>
      <c r="W759" s="1" t="str">
        <f>IFERROR(VLOOKUP(Tabela1[[#This Row],[UO_COD]],qdd!$AT$1:$AU$102,2,FALSE),"")</f>
        <v/>
      </c>
      <c r="X759" s="1" t="str">
        <f>CONCATENATE("F",Tabela1[[#This Row],[FONTE_COD]],Tabela1[[#This Row],[IPU_COD]],"G",Tabela1[[#This Row],[GRUPO_COD]],"T",Tabela1[[#This Row],[TIPO]])</f>
        <v>FGT999</v>
      </c>
      <c r="Y7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9" s="19"/>
      <c r="AA759" s="29" t="str">
        <f>IFERROR(VLOOKUP(CONCATENATE("B",Tabela1[[#This Row],[BLOCO]],Tabela1[[#This Row],[UO_COD]]),qdd!$AW$2:$AX$1000,2,FALSE),"")</f>
        <v/>
      </c>
      <c r="AB759" s="30" t="str">
        <f>IFERROR(Tabela1[[#This Row],[VALOR]]/100,"")</f>
        <v/>
      </c>
      <c r="AC759" s="7" t="str" cm="1">
        <f t="array" aca="1" ref="AC759" ca="1">IF(Tabela1[[#This Row],[VALOR]]&lt;0,"",IFERROR(SUBSTITUTE(Converter_numero(Tabela1[[#This Row],[VALOR INCISO]]),",",""),""))</f>
        <v/>
      </c>
      <c r="AD759" s="29" t="str">
        <f>IF(Tabela1[[#This Row],[TIPO]]=REGRAS!$W$2,REGRAS!$X$2,IF(Tabela1[[#This Row],[TIPO]]=REGRAS!$W$4,REGRAS!$X$4,""))</f>
        <v/>
      </c>
      <c r="AE759" s="29" t="e">
        <f>VLOOKUP(Tabela1[[#This Row],[FONTE_COD]],REGRAS!$O$2:$P$69,2,FALSE)</f>
        <v>#N/A</v>
      </c>
      <c r="AF7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0" spans="1:32" ht="18.75" customHeight="1">
      <c r="A760" s="2" t="str">
        <f>IFERROR(IF('PREENCHER AQUI'!A760="","",'PREENCHER AQUI'!A760),"")</f>
        <v/>
      </c>
      <c r="B760" s="1" t="str">
        <f>IFERROR(IF('PREENCHER AQUI'!B760="","",PROPER('PREENCHER AQUI'!B760)),"")</f>
        <v/>
      </c>
      <c r="C760" s="1" t="str">
        <f>IFERROR(IF('PREENCHER AQUI'!C760="","",'PREENCHER AQUI'!C760),"")</f>
        <v/>
      </c>
      <c r="D760" s="2" t="str">
        <f>IFERROR(IF('PREENCHER AQUI'!D760="","",'PREENCHER AQUI'!D760),"")</f>
        <v/>
      </c>
      <c r="E760" s="2" t="str">
        <f>IFERROR(VLOOKUP(CONCATENATE(C760,D760),qdd!$C$2:$F$1000,2,FALSE),"")</f>
        <v/>
      </c>
      <c r="F760" s="2" t="str">
        <f>IFERROR(VLOOKUP(CONCATENATE(C760,D760),qdd!$C$2:$F$1000,3,FALSE),"")</f>
        <v/>
      </c>
      <c r="G760" s="2" t="str">
        <f>IFERROR(VLOOKUP(CONCATENATE(C760,D760),qdd!$C$2:$F$1000,4,FALSE),"")</f>
        <v/>
      </c>
      <c r="H760" s="6" t="str">
        <f t="shared" si="24"/>
        <v/>
      </c>
      <c r="I7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0" s="2" t="str">
        <f>IFERROR(IF('PREENCHER AQUI'!E760="","",'PREENCHER AQUI'!E760),"")</f>
        <v/>
      </c>
      <c r="K760" s="2" t="str">
        <f>IFERROR(IF('PREENCHER AQUI'!F760="","",'PREENCHER AQUI'!F760),"")</f>
        <v/>
      </c>
      <c r="L760" s="2" t="str">
        <f>IF(Tabela1[[#This Row],[IPU_COD]]=9,"91",IF(Tabela1[[#This Row],[ACAO_COD]]="","",VLOOKUP(CONCATENATE("G",J760,"M",K760),qdd!$BC$2:$BD$46,2,FALSE)))</f>
        <v/>
      </c>
      <c r="M760" s="2" t="str">
        <f>TEXT(IFERROR(VLOOKUP(CONCATENATE(C760,D760),qdd!$C$2:$G$1000,5,FALSE),""),0)</f>
        <v/>
      </c>
      <c r="N760" s="2" t="str">
        <f>IFERROR(IF('PREENCHER AQUI'!I760="","",'PREENCHER AQUI'!I760),"")</f>
        <v/>
      </c>
      <c r="O760" s="2" t="str">
        <f>IFERROR(IF('PREENCHER AQUI'!J760="","",'PREENCHER AQUI'!J760),"")</f>
        <v/>
      </c>
      <c r="P760" s="7" t="str">
        <f t="shared" si="25"/>
        <v/>
      </c>
      <c r="Q760" s="8" t="str">
        <f>IFERROR(IF(Tabela4[[#This Row],[VALOR]]="","",IF(Tabela1[[#This Row],[ORIENTACAO]]="Anular",'PREENCHER AQUI'!K760*-1*100,'PREENCHER AQUI'!K760*100)),"")</f>
        <v/>
      </c>
      <c r="T760" s="7" t="str">
        <f>IFERROR(IF('PREENCHER AQUI'!L760="","999",LEFT('PREENCHER AQUI'!L760,1)),"")</f>
        <v>999</v>
      </c>
      <c r="V760" s="19"/>
      <c r="W760" s="20" t="str">
        <f>IFERROR(VLOOKUP(Tabela1[[#This Row],[UO_COD]],qdd!$AT$1:$AU$102,2,FALSE),"")</f>
        <v/>
      </c>
      <c r="X760" s="20" t="str">
        <f>CONCATENATE("F",Tabela1[[#This Row],[FONTE_COD]],Tabela1[[#This Row],[IPU_COD]],"G",Tabela1[[#This Row],[GRUPO_COD]],"T",Tabela1[[#This Row],[TIPO]])</f>
        <v>FGT999</v>
      </c>
      <c r="Y7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0" s="19"/>
      <c r="AA760" s="29" t="str">
        <f>IFERROR(VLOOKUP(CONCATENATE("B",Tabela1[[#This Row],[BLOCO]],Tabela1[[#This Row],[UO_COD]]),qdd!$AW$2:$AX$1000,2,FALSE),"")</f>
        <v/>
      </c>
      <c r="AB760" s="30" t="str">
        <f>IFERROR(Tabela1[[#This Row],[VALOR]]/100,"")</f>
        <v/>
      </c>
      <c r="AC760" s="7" t="str" cm="1">
        <f t="array" aca="1" ref="AC760" ca="1">IF(Tabela1[[#This Row],[VALOR]]&lt;0,"",IFERROR(SUBSTITUTE(Converter_numero(Tabela1[[#This Row],[VALOR INCISO]]),",",""),""))</f>
        <v/>
      </c>
      <c r="AD760" s="29" t="str">
        <f>IF(Tabela1[[#This Row],[TIPO]]=REGRAS!$W$2,REGRAS!$X$2,IF(Tabela1[[#This Row],[TIPO]]=REGRAS!$W$4,REGRAS!$X$4,""))</f>
        <v/>
      </c>
      <c r="AE760" s="29" t="e">
        <f>VLOOKUP(Tabela1[[#This Row],[FONTE_COD]],REGRAS!$O$2:$P$69,2,FALSE)</f>
        <v>#N/A</v>
      </c>
      <c r="AF7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1" spans="1:32" ht="18.75" customHeight="1">
      <c r="A761" s="2" t="str">
        <f>IFERROR(IF('PREENCHER AQUI'!A761="","",'PREENCHER AQUI'!A761),"")</f>
        <v/>
      </c>
      <c r="B761" s="1" t="str">
        <f>IFERROR(IF('PREENCHER AQUI'!B761="","",PROPER('PREENCHER AQUI'!B761)),"")</f>
        <v/>
      </c>
      <c r="C761" s="1" t="str">
        <f>IFERROR(IF('PREENCHER AQUI'!C761="","",'PREENCHER AQUI'!C761),"")</f>
        <v/>
      </c>
      <c r="D761" s="2" t="str">
        <f>IFERROR(IF('PREENCHER AQUI'!D761="","",'PREENCHER AQUI'!D761),"")</f>
        <v/>
      </c>
      <c r="E761" s="2" t="str">
        <f>IFERROR(VLOOKUP(CONCATENATE(C761,D761),qdd!$C$2:$F$1000,2,FALSE),"")</f>
        <v/>
      </c>
      <c r="F761" s="2" t="str">
        <f>IFERROR(VLOOKUP(CONCATENATE(C761,D761),qdd!$C$2:$F$1000,3,FALSE),"")</f>
        <v/>
      </c>
      <c r="G761" s="2" t="str">
        <f>IFERROR(VLOOKUP(CONCATENATE(C761,D761),qdd!$C$2:$F$1000,4,FALSE),"")</f>
        <v/>
      </c>
      <c r="H761" s="6" t="str">
        <f t="shared" si="24"/>
        <v/>
      </c>
      <c r="I7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1" s="2" t="str">
        <f>IFERROR(IF('PREENCHER AQUI'!E761="","",'PREENCHER AQUI'!E761),"")</f>
        <v/>
      </c>
      <c r="K761" s="2" t="str">
        <f>IFERROR(IF('PREENCHER AQUI'!F761="","",'PREENCHER AQUI'!F761),"")</f>
        <v/>
      </c>
      <c r="L761" s="2" t="str">
        <f>IF(Tabela1[[#This Row],[IPU_COD]]=9,"91",IF(Tabela1[[#This Row],[ACAO_COD]]="","",VLOOKUP(CONCATENATE("G",J761,"M",K761),qdd!$BC$2:$BD$46,2,FALSE)))</f>
        <v/>
      </c>
      <c r="M761" s="2" t="str">
        <f>TEXT(IFERROR(VLOOKUP(CONCATENATE(C761,D761),qdd!$C$2:$G$1000,5,FALSE),""),0)</f>
        <v/>
      </c>
      <c r="N761" s="2" t="str">
        <f>IFERROR(IF('PREENCHER AQUI'!I761="","",'PREENCHER AQUI'!I761),"")</f>
        <v/>
      </c>
      <c r="O761" s="2" t="str">
        <f>IFERROR(IF('PREENCHER AQUI'!J761="","",'PREENCHER AQUI'!J761),"")</f>
        <v/>
      </c>
      <c r="P761" s="7" t="str">
        <f t="shared" si="25"/>
        <v/>
      </c>
      <c r="Q761" s="8" t="str">
        <f>IFERROR(IF(Tabela4[[#This Row],[VALOR]]="","",IF(Tabela1[[#This Row],[ORIENTACAO]]="Anular",'PREENCHER AQUI'!K761*-1*100,'PREENCHER AQUI'!K761*100)),"")</f>
        <v/>
      </c>
      <c r="T761" s="7" t="str">
        <f>IFERROR(IF('PREENCHER AQUI'!L761="","999",LEFT('PREENCHER AQUI'!L761,1)),"")</f>
        <v>999</v>
      </c>
      <c r="V761" s="19"/>
      <c r="W761" s="1" t="str">
        <f>IFERROR(VLOOKUP(Tabela1[[#This Row],[UO_COD]],qdd!$AT$1:$AU$102,2,FALSE),"")</f>
        <v/>
      </c>
      <c r="X761" s="1" t="str">
        <f>CONCATENATE("F",Tabela1[[#This Row],[FONTE_COD]],Tabela1[[#This Row],[IPU_COD]],"G",Tabela1[[#This Row],[GRUPO_COD]],"T",Tabela1[[#This Row],[TIPO]])</f>
        <v>FGT999</v>
      </c>
      <c r="Y7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1" s="19"/>
      <c r="AA761" s="29" t="str">
        <f>IFERROR(VLOOKUP(CONCATENATE("B",Tabela1[[#This Row],[BLOCO]],Tabela1[[#This Row],[UO_COD]]),qdd!$AW$2:$AX$1000,2,FALSE),"")</f>
        <v/>
      </c>
      <c r="AB761" s="30" t="str">
        <f>IFERROR(Tabela1[[#This Row],[VALOR]]/100,"")</f>
        <v/>
      </c>
      <c r="AC761" s="7" t="str" cm="1">
        <f t="array" aca="1" ref="AC761" ca="1">IF(Tabela1[[#This Row],[VALOR]]&lt;0,"",IFERROR(SUBSTITUTE(Converter_numero(Tabela1[[#This Row],[VALOR INCISO]]),",",""),""))</f>
        <v/>
      </c>
      <c r="AD761" s="29" t="str">
        <f>IF(Tabela1[[#This Row],[TIPO]]=REGRAS!$W$2,REGRAS!$X$2,IF(Tabela1[[#This Row],[TIPO]]=REGRAS!$W$4,REGRAS!$X$4,""))</f>
        <v/>
      </c>
      <c r="AE761" s="29" t="e">
        <f>VLOOKUP(Tabela1[[#This Row],[FONTE_COD]],REGRAS!$O$2:$P$69,2,FALSE)</f>
        <v>#N/A</v>
      </c>
      <c r="AF7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2" spans="1:32" ht="18.75" customHeight="1">
      <c r="A762" s="2" t="str">
        <f>IFERROR(IF('PREENCHER AQUI'!A762="","",'PREENCHER AQUI'!A762),"")</f>
        <v/>
      </c>
      <c r="B762" s="1" t="str">
        <f>IFERROR(IF('PREENCHER AQUI'!B762="","",PROPER('PREENCHER AQUI'!B762)),"")</f>
        <v/>
      </c>
      <c r="C762" s="1" t="str">
        <f>IFERROR(IF('PREENCHER AQUI'!C762="","",'PREENCHER AQUI'!C762),"")</f>
        <v/>
      </c>
      <c r="D762" s="2" t="str">
        <f>IFERROR(IF('PREENCHER AQUI'!D762="","",'PREENCHER AQUI'!D762),"")</f>
        <v/>
      </c>
      <c r="E762" s="2" t="str">
        <f>IFERROR(VLOOKUP(CONCATENATE(C762,D762),qdd!$C$2:$F$1000,2,FALSE),"")</f>
        <v/>
      </c>
      <c r="F762" s="2" t="str">
        <f>IFERROR(VLOOKUP(CONCATENATE(C762,D762),qdd!$C$2:$F$1000,3,FALSE),"")</f>
        <v/>
      </c>
      <c r="G762" s="2" t="str">
        <f>IFERROR(VLOOKUP(CONCATENATE(C762,D762),qdd!$C$2:$F$1000,4,FALSE),"")</f>
        <v/>
      </c>
      <c r="H762" s="6" t="str">
        <f t="shared" si="24"/>
        <v/>
      </c>
      <c r="I7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2" s="2" t="str">
        <f>IFERROR(IF('PREENCHER AQUI'!E762="","",'PREENCHER AQUI'!E762),"")</f>
        <v/>
      </c>
      <c r="K762" s="2" t="str">
        <f>IFERROR(IF('PREENCHER AQUI'!F762="","",'PREENCHER AQUI'!F762),"")</f>
        <v/>
      </c>
      <c r="L762" s="2" t="str">
        <f>IF(Tabela1[[#This Row],[IPU_COD]]=9,"91",IF(Tabela1[[#This Row],[ACAO_COD]]="","",VLOOKUP(CONCATENATE("G",J762,"M",K762),qdd!$BC$2:$BD$46,2,FALSE)))</f>
        <v/>
      </c>
      <c r="M762" s="2" t="str">
        <f>TEXT(IFERROR(VLOOKUP(CONCATENATE(C762,D762),qdd!$C$2:$G$1000,5,FALSE),""),0)</f>
        <v/>
      </c>
      <c r="N762" s="2" t="str">
        <f>IFERROR(IF('PREENCHER AQUI'!I762="","",'PREENCHER AQUI'!I762),"")</f>
        <v/>
      </c>
      <c r="O762" s="2" t="str">
        <f>IFERROR(IF('PREENCHER AQUI'!J762="","",'PREENCHER AQUI'!J762),"")</f>
        <v/>
      </c>
      <c r="P762" s="7" t="str">
        <f t="shared" si="25"/>
        <v/>
      </c>
      <c r="Q762" s="8" t="str">
        <f>IFERROR(IF(Tabela4[[#This Row],[VALOR]]="","",IF(Tabela1[[#This Row],[ORIENTACAO]]="Anular",'PREENCHER AQUI'!K762*-1*100,'PREENCHER AQUI'!K762*100)),"")</f>
        <v/>
      </c>
      <c r="T762" s="7" t="str">
        <f>IFERROR(IF('PREENCHER AQUI'!L762="","999",LEFT('PREENCHER AQUI'!L762,1)),"")</f>
        <v>999</v>
      </c>
      <c r="W762" s="1" t="str">
        <f>IFERROR(VLOOKUP(Tabela1[[#This Row],[UO_COD]],qdd!$AT$1:$AU$102,2,FALSE),"")</f>
        <v/>
      </c>
      <c r="X762" s="1" t="str">
        <f>CONCATENATE("F",Tabela1[[#This Row],[FONTE_COD]],Tabela1[[#This Row],[IPU_COD]],"G",Tabela1[[#This Row],[GRUPO_COD]],"T",Tabela1[[#This Row],[TIPO]])</f>
        <v>FGT999</v>
      </c>
      <c r="Y7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2" s="19"/>
      <c r="AA762" s="29" t="str">
        <f>IFERROR(VLOOKUP(CONCATENATE("B",Tabela1[[#This Row],[BLOCO]],Tabela1[[#This Row],[UO_COD]]),qdd!$AW$2:$AX$1000,2,FALSE),"")</f>
        <v/>
      </c>
      <c r="AB762" s="30" t="str">
        <f>IFERROR(Tabela1[[#This Row],[VALOR]]/100,"")</f>
        <v/>
      </c>
      <c r="AC762" s="7" t="str" cm="1">
        <f t="array" aca="1" ref="AC762" ca="1">IF(Tabela1[[#This Row],[VALOR]]&lt;0,"",IFERROR(SUBSTITUTE(Converter_numero(Tabela1[[#This Row],[VALOR INCISO]]),",",""),""))</f>
        <v/>
      </c>
      <c r="AD762" s="7" t="str">
        <f>IF(Tabela1[[#This Row],[TIPO]]=REGRAS!$W$2,REGRAS!$X$2,IF(Tabela1[[#This Row],[TIPO]]=REGRAS!$W$4,REGRAS!$X$4,""))</f>
        <v/>
      </c>
      <c r="AE762" s="29" t="e">
        <f>VLOOKUP(Tabela1[[#This Row],[FONTE_COD]],REGRAS!$O$2:$P$69,2,FALSE)</f>
        <v>#N/A</v>
      </c>
      <c r="AF7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3" spans="1:32" ht="18.75" customHeight="1">
      <c r="A763" s="2" t="str">
        <f>IFERROR(IF('PREENCHER AQUI'!A763="","",'PREENCHER AQUI'!A763),"")</f>
        <v/>
      </c>
      <c r="B763" s="1" t="str">
        <f>IFERROR(IF('PREENCHER AQUI'!B763="","",PROPER('PREENCHER AQUI'!B763)),"")</f>
        <v/>
      </c>
      <c r="C763" s="1" t="str">
        <f>IFERROR(IF('PREENCHER AQUI'!C763="","",'PREENCHER AQUI'!C763),"")</f>
        <v/>
      </c>
      <c r="D763" s="2" t="str">
        <f>IFERROR(IF('PREENCHER AQUI'!D763="","",'PREENCHER AQUI'!D763),"")</f>
        <v/>
      </c>
      <c r="E763" s="2" t="str">
        <f>IFERROR(VLOOKUP(CONCATENATE(C763,D763),qdd!$C$2:$F$1000,2,FALSE),"")</f>
        <v/>
      </c>
      <c r="F763" s="2" t="str">
        <f>IFERROR(VLOOKUP(CONCATENATE(C763,D763),qdd!$C$2:$F$1000,3,FALSE),"")</f>
        <v/>
      </c>
      <c r="G763" s="2" t="str">
        <f>IFERROR(VLOOKUP(CONCATENATE(C763,D763),qdd!$C$2:$F$1000,4,FALSE),"")</f>
        <v/>
      </c>
      <c r="H763" s="6" t="str">
        <f t="shared" si="24"/>
        <v/>
      </c>
      <c r="I7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3" s="2" t="str">
        <f>IFERROR(IF('PREENCHER AQUI'!E763="","",'PREENCHER AQUI'!E763),"")</f>
        <v/>
      </c>
      <c r="K763" s="2" t="str">
        <f>IFERROR(IF('PREENCHER AQUI'!F763="","",'PREENCHER AQUI'!F763),"")</f>
        <v/>
      </c>
      <c r="L763" s="2" t="str">
        <f>IF(Tabela1[[#This Row],[IPU_COD]]=9,"91",IF(Tabela1[[#This Row],[ACAO_COD]]="","",VLOOKUP(CONCATENATE("G",J763,"M",K763),qdd!$BC$2:$BD$46,2,FALSE)))</f>
        <v/>
      </c>
      <c r="M763" s="2" t="str">
        <f>TEXT(IFERROR(VLOOKUP(CONCATENATE(C763,D763),qdd!$C$2:$G$1000,5,FALSE),""),0)</f>
        <v/>
      </c>
      <c r="N763" s="2" t="str">
        <f>IFERROR(IF('PREENCHER AQUI'!I763="","",'PREENCHER AQUI'!I763),"")</f>
        <v/>
      </c>
      <c r="O763" s="2" t="str">
        <f>IFERROR(IF('PREENCHER AQUI'!J763="","",'PREENCHER AQUI'!J763),"")</f>
        <v/>
      </c>
      <c r="P763" s="7" t="str">
        <f t="shared" si="25"/>
        <v/>
      </c>
      <c r="Q763" s="8" t="str">
        <f>IFERROR(IF(Tabela4[[#This Row],[VALOR]]="","",IF(Tabela1[[#This Row],[ORIENTACAO]]="Anular",'PREENCHER AQUI'!K763*-1*100,'PREENCHER AQUI'!K763*100)),"")</f>
        <v/>
      </c>
      <c r="T763" s="7" t="str">
        <f>IFERROR(IF('PREENCHER AQUI'!L763="","999",LEFT('PREENCHER AQUI'!L763,1)),"")</f>
        <v>999</v>
      </c>
      <c r="V763" s="19"/>
      <c r="W763" s="1" t="str">
        <f>IFERROR(VLOOKUP(Tabela1[[#This Row],[UO_COD]],qdd!$AT$1:$AU$102,2,FALSE),"")</f>
        <v/>
      </c>
      <c r="X763" s="1" t="str">
        <f>CONCATENATE("F",Tabela1[[#This Row],[FONTE_COD]],Tabela1[[#This Row],[IPU_COD]],"G",Tabela1[[#This Row],[GRUPO_COD]],"T",Tabela1[[#This Row],[TIPO]])</f>
        <v>FGT999</v>
      </c>
      <c r="Y7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3" s="19"/>
      <c r="AA763" s="29" t="str">
        <f>IFERROR(VLOOKUP(CONCATENATE("B",Tabela1[[#This Row],[BLOCO]],Tabela1[[#This Row],[UO_COD]]),qdd!$AW$2:$AX$1000,2,FALSE),"")</f>
        <v/>
      </c>
      <c r="AB763" s="30" t="str">
        <f>IFERROR(Tabela1[[#This Row],[VALOR]]/100,"")</f>
        <v/>
      </c>
      <c r="AC763" s="7" t="str" cm="1">
        <f t="array" aca="1" ref="AC763" ca="1">IF(Tabela1[[#This Row],[VALOR]]&lt;0,"",IFERROR(SUBSTITUTE(Converter_numero(Tabela1[[#This Row],[VALOR INCISO]]),",",""),""))</f>
        <v/>
      </c>
      <c r="AD763" s="29" t="str">
        <f>IF(Tabela1[[#This Row],[TIPO]]=REGRAS!$W$2,REGRAS!$X$2,IF(Tabela1[[#This Row],[TIPO]]=REGRAS!$W$4,REGRAS!$X$4,""))</f>
        <v/>
      </c>
      <c r="AE763" s="29" t="e">
        <f>VLOOKUP(Tabela1[[#This Row],[FONTE_COD]],REGRAS!$O$2:$P$69,2,FALSE)</f>
        <v>#N/A</v>
      </c>
      <c r="AF7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4" spans="1:32" ht="18.75" customHeight="1">
      <c r="A764" s="2" t="str">
        <f>IFERROR(IF('PREENCHER AQUI'!A764="","",'PREENCHER AQUI'!A764),"")</f>
        <v/>
      </c>
      <c r="B764" s="1" t="str">
        <f>IFERROR(IF('PREENCHER AQUI'!B764="","",PROPER('PREENCHER AQUI'!B764)),"")</f>
        <v/>
      </c>
      <c r="C764" s="1" t="str">
        <f>IFERROR(IF('PREENCHER AQUI'!C764="","",'PREENCHER AQUI'!C764),"")</f>
        <v/>
      </c>
      <c r="D764" s="2" t="str">
        <f>IFERROR(IF('PREENCHER AQUI'!D764="","",'PREENCHER AQUI'!D764),"")</f>
        <v/>
      </c>
      <c r="E764" s="2" t="str">
        <f>IFERROR(VLOOKUP(CONCATENATE(C764,D764),qdd!$C$2:$F$1000,2,FALSE),"")</f>
        <v/>
      </c>
      <c r="F764" s="2" t="str">
        <f>IFERROR(VLOOKUP(CONCATENATE(C764,D764),qdd!$C$2:$F$1000,3,FALSE),"")</f>
        <v/>
      </c>
      <c r="G764" s="2" t="str">
        <f>IFERROR(VLOOKUP(CONCATENATE(C764,D764),qdd!$C$2:$F$1000,4,FALSE),"")</f>
        <v/>
      </c>
      <c r="H764" s="6" t="str">
        <f t="shared" si="24"/>
        <v/>
      </c>
      <c r="I7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4" s="2" t="str">
        <f>IFERROR(IF('PREENCHER AQUI'!E764="","",'PREENCHER AQUI'!E764),"")</f>
        <v/>
      </c>
      <c r="K764" s="2" t="str">
        <f>IFERROR(IF('PREENCHER AQUI'!F764="","",'PREENCHER AQUI'!F764),"")</f>
        <v/>
      </c>
      <c r="L764" s="2" t="str">
        <f>IF(Tabela1[[#This Row],[IPU_COD]]=9,"91",IF(Tabela1[[#This Row],[ACAO_COD]]="","",VLOOKUP(CONCATENATE("G",J764,"M",K764),qdd!$BC$2:$BD$46,2,FALSE)))</f>
        <v/>
      </c>
      <c r="M764" s="2" t="str">
        <f>TEXT(IFERROR(VLOOKUP(CONCATENATE(C764,D764),qdd!$C$2:$G$1000,5,FALSE),""),0)</f>
        <v/>
      </c>
      <c r="N764" s="2" t="str">
        <f>IFERROR(IF('PREENCHER AQUI'!I764="","",'PREENCHER AQUI'!I764),"")</f>
        <v/>
      </c>
      <c r="O764" s="2" t="str">
        <f>IFERROR(IF('PREENCHER AQUI'!J764="","",'PREENCHER AQUI'!J764),"")</f>
        <v/>
      </c>
      <c r="P764" s="7" t="str">
        <f t="shared" si="25"/>
        <v/>
      </c>
      <c r="Q764" s="8" t="str">
        <f>IFERROR(IF(Tabela4[[#This Row],[VALOR]]="","",IF(Tabela1[[#This Row],[ORIENTACAO]]="Anular",'PREENCHER AQUI'!K764*-1*100,'PREENCHER AQUI'!K764*100)),"")</f>
        <v/>
      </c>
      <c r="T764" s="7" t="str">
        <f>IFERROR(IF('PREENCHER AQUI'!L764="","999",LEFT('PREENCHER AQUI'!L764,1)),"")</f>
        <v>999</v>
      </c>
      <c r="V764" s="19"/>
      <c r="W764" s="1" t="str">
        <f>IFERROR(VLOOKUP(Tabela1[[#This Row],[UO_COD]],qdd!$AT$1:$AU$102,2,FALSE),"")</f>
        <v/>
      </c>
      <c r="X764" s="1" t="str">
        <f>CONCATENATE("F",Tabela1[[#This Row],[FONTE_COD]],Tabela1[[#This Row],[IPU_COD]],"G",Tabela1[[#This Row],[GRUPO_COD]],"T",Tabela1[[#This Row],[TIPO]])</f>
        <v>FGT999</v>
      </c>
      <c r="Y7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4" s="19"/>
      <c r="AA764" s="29" t="str">
        <f>IFERROR(VLOOKUP(CONCATENATE("B",Tabela1[[#This Row],[BLOCO]],Tabela1[[#This Row],[UO_COD]]),qdd!$AW$2:$AX$1000,2,FALSE),"")</f>
        <v/>
      </c>
      <c r="AB764" s="30" t="str">
        <f>IFERROR(Tabela1[[#This Row],[VALOR]]/100,"")</f>
        <v/>
      </c>
      <c r="AC764" s="7" t="str" cm="1">
        <f t="array" aca="1" ref="AC764" ca="1">IF(Tabela1[[#This Row],[VALOR]]&lt;0,"",IFERROR(SUBSTITUTE(Converter_numero(Tabela1[[#This Row],[VALOR INCISO]]),",",""),""))</f>
        <v/>
      </c>
      <c r="AD764" s="29" t="str">
        <f>IF(Tabela1[[#This Row],[TIPO]]=REGRAS!$W$2,REGRAS!$X$2,IF(Tabela1[[#This Row],[TIPO]]=REGRAS!$W$4,REGRAS!$X$4,""))</f>
        <v/>
      </c>
      <c r="AE764" s="29" t="e">
        <f>VLOOKUP(Tabela1[[#This Row],[FONTE_COD]],REGRAS!$O$2:$P$69,2,FALSE)</f>
        <v>#N/A</v>
      </c>
      <c r="AF7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5" spans="1:32" ht="18.75" customHeight="1">
      <c r="A765" s="2" t="str">
        <f>IFERROR(IF('PREENCHER AQUI'!A765="","",'PREENCHER AQUI'!A765),"")</f>
        <v/>
      </c>
      <c r="B765" s="1" t="str">
        <f>IFERROR(IF('PREENCHER AQUI'!B765="","",PROPER('PREENCHER AQUI'!B765)),"")</f>
        <v/>
      </c>
      <c r="C765" s="1" t="str">
        <f>IFERROR(IF('PREENCHER AQUI'!C765="","",'PREENCHER AQUI'!C765),"")</f>
        <v/>
      </c>
      <c r="D765" s="2" t="str">
        <f>IFERROR(IF('PREENCHER AQUI'!D765="","",'PREENCHER AQUI'!D765),"")</f>
        <v/>
      </c>
      <c r="E765" s="2" t="str">
        <f>IFERROR(VLOOKUP(CONCATENATE(C765,D765),qdd!$C$2:$F$1000,2,FALSE),"")</f>
        <v/>
      </c>
      <c r="F765" s="2" t="str">
        <f>IFERROR(VLOOKUP(CONCATENATE(C765,D765),qdd!$C$2:$F$1000,3,FALSE),"")</f>
        <v/>
      </c>
      <c r="G765" s="2" t="str">
        <f>IFERROR(VLOOKUP(CONCATENATE(C765,D765),qdd!$C$2:$F$1000,4,FALSE),"")</f>
        <v/>
      </c>
      <c r="H765" s="6" t="str">
        <f t="shared" si="24"/>
        <v/>
      </c>
      <c r="I7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5" s="2" t="str">
        <f>IFERROR(IF('PREENCHER AQUI'!E765="","",'PREENCHER AQUI'!E765),"")</f>
        <v/>
      </c>
      <c r="K765" s="2" t="str">
        <f>IFERROR(IF('PREENCHER AQUI'!F765="","",'PREENCHER AQUI'!F765),"")</f>
        <v/>
      </c>
      <c r="L765" s="2" t="str">
        <f>IF(Tabela1[[#This Row],[IPU_COD]]=9,"91",IF(Tabela1[[#This Row],[ACAO_COD]]="","",VLOOKUP(CONCATENATE("G",J765,"M",K765),qdd!$BC$2:$BD$46,2,FALSE)))</f>
        <v/>
      </c>
      <c r="M765" s="2" t="str">
        <f>TEXT(IFERROR(VLOOKUP(CONCATENATE(C765,D765),qdd!$C$2:$G$1000,5,FALSE),""),0)</f>
        <v/>
      </c>
      <c r="N765" s="2" t="str">
        <f>IFERROR(IF('PREENCHER AQUI'!I765="","",'PREENCHER AQUI'!I765),"")</f>
        <v/>
      </c>
      <c r="O765" s="2" t="str">
        <f>IFERROR(IF('PREENCHER AQUI'!J765="","",'PREENCHER AQUI'!J765),"")</f>
        <v/>
      </c>
      <c r="P765" s="7" t="str">
        <f t="shared" si="25"/>
        <v/>
      </c>
      <c r="Q765" s="8" t="str">
        <f>IFERROR(IF(Tabela4[[#This Row],[VALOR]]="","",IF(Tabela1[[#This Row],[ORIENTACAO]]="Anular",'PREENCHER AQUI'!K765*-1*100,'PREENCHER AQUI'!K765*100)),"")</f>
        <v/>
      </c>
      <c r="T765" s="7" t="str">
        <f>IFERROR(IF('PREENCHER AQUI'!L765="","999",LEFT('PREENCHER AQUI'!L765,1)),"")</f>
        <v>999</v>
      </c>
      <c r="V765" s="19"/>
      <c r="W765" s="20" t="str">
        <f>IFERROR(VLOOKUP(Tabela1[[#This Row],[UO_COD]],qdd!$AT$1:$AU$102,2,FALSE),"")</f>
        <v/>
      </c>
      <c r="X765" s="20" t="str">
        <f>CONCATENATE("F",Tabela1[[#This Row],[FONTE_COD]],Tabela1[[#This Row],[IPU_COD]],"G",Tabela1[[#This Row],[GRUPO_COD]],"T",Tabela1[[#This Row],[TIPO]])</f>
        <v>FGT999</v>
      </c>
      <c r="Y7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5" s="19"/>
      <c r="AA765" s="29" t="str">
        <f>IFERROR(VLOOKUP(CONCATENATE("B",Tabela1[[#This Row],[BLOCO]],Tabela1[[#This Row],[UO_COD]]),qdd!$AW$2:$AX$1000,2,FALSE),"")</f>
        <v/>
      </c>
      <c r="AB765" s="30" t="str">
        <f>IFERROR(Tabela1[[#This Row],[VALOR]]/100,"")</f>
        <v/>
      </c>
      <c r="AC765" s="7" t="str" cm="1">
        <f t="array" aca="1" ref="AC765" ca="1">IF(Tabela1[[#This Row],[VALOR]]&lt;0,"",IFERROR(SUBSTITUTE(Converter_numero(Tabela1[[#This Row],[VALOR INCISO]]),",",""),""))</f>
        <v/>
      </c>
      <c r="AD765" s="29" t="str">
        <f>IF(Tabela1[[#This Row],[TIPO]]=REGRAS!$W$2,REGRAS!$X$2,IF(Tabela1[[#This Row],[TIPO]]=REGRAS!$W$4,REGRAS!$X$4,""))</f>
        <v/>
      </c>
      <c r="AE765" s="29" t="e">
        <f>VLOOKUP(Tabela1[[#This Row],[FONTE_COD]],REGRAS!$O$2:$P$69,2,FALSE)</f>
        <v>#N/A</v>
      </c>
      <c r="AF7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6" spans="1:32" ht="18.75" customHeight="1">
      <c r="A766" s="2" t="str">
        <f>IFERROR(IF('PREENCHER AQUI'!A766="","",'PREENCHER AQUI'!A766),"")</f>
        <v/>
      </c>
      <c r="B766" s="1" t="str">
        <f>IFERROR(IF('PREENCHER AQUI'!B766="","",PROPER('PREENCHER AQUI'!B766)),"")</f>
        <v/>
      </c>
      <c r="C766" s="1" t="str">
        <f>IFERROR(IF('PREENCHER AQUI'!C766="","",'PREENCHER AQUI'!C766),"")</f>
        <v/>
      </c>
      <c r="D766" s="2" t="str">
        <f>IFERROR(IF('PREENCHER AQUI'!D766="","",'PREENCHER AQUI'!D766),"")</f>
        <v/>
      </c>
      <c r="E766" s="2" t="str">
        <f>IFERROR(VLOOKUP(CONCATENATE(C766,D766),qdd!$C$2:$F$1000,2,FALSE),"")</f>
        <v/>
      </c>
      <c r="F766" s="2" t="str">
        <f>IFERROR(VLOOKUP(CONCATENATE(C766,D766),qdd!$C$2:$F$1000,3,FALSE),"")</f>
        <v/>
      </c>
      <c r="G766" s="2" t="str">
        <f>IFERROR(VLOOKUP(CONCATENATE(C766,D766),qdd!$C$2:$F$1000,4,FALSE),"")</f>
        <v/>
      </c>
      <c r="H766" s="6" t="str">
        <f t="shared" si="24"/>
        <v/>
      </c>
      <c r="I7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6" s="2" t="str">
        <f>IFERROR(IF('PREENCHER AQUI'!E766="","",'PREENCHER AQUI'!E766),"")</f>
        <v/>
      </c>
      <c r="K766" s="2" t="str">
        <f>IFERROR(IF('PREENCHER AQUI'!F766="","",'PREENCHER AQUI'!F766),"")</f>
        <v/>
      </c>
      <c r="L766" s="2" t="str">
        <f>IF(Tabela1[[#This Row],[IPU_COD]]=9,"91",IF(Tabela1[[#This Row],[ACAO_COD]]="","",VLOOKUP(CONCATENATE("G",J766,"M",K766),qdd!$BC$2:$BD$46,2,FALSE)))</f>
        <v/>
      </c>
      <c r="M766" s="2" t="str">
        <f>TEXT(IFERROR(VLOOKUP(CONCATENATE(C766,D766),qdd!$C$2:$G$1000,5,FALSE),""),0)</f>
        <v/>
      </c>
      <c r="N766" s="2" t="str">
        <f>IFERROR(IF('PREENCHER AQUI'!I766="","",'PREENCHER AQUI'!I766),"")</f>
        <v/>
      </c>
      <c r="O766" s="2" t="str">
        <f>IFERROR(IF('PREENCHER AQUI'!J766="","",'PREENCHER AQUI'!J766),"")</f>
        <v/>
      </c>
      <c r="P766" s="7" t="str">
        <f t="shared" si="25"/>
        <v/>
      </c>
      <c r="Q766" s="8" t="str">
        <f>IFERROR(IF(Tabela4[[#This Row],[VALOR]]="","",IF(Tabela1[[#This Row],[ORIENTACAO]]="Anular",'PREENCHER AQUI'!K766*-1*100,'PREENCHER AQUI'!K766*100)),"")</f>
        <v/>
      </c>
      <c r="T766" s="7" t="str">
        <f>IFERROR(IF('PREENCHER AQUI'!L766="","999",LEFT('PREENCHER AQUI'!L766,1)),"")</f>
        <v>999</v>
      </c>
      <c r="V766" s="19"/>
      <c r="W766" s="1" t="str">
        <f>IFERROR(VLOOKUP(Tabela1[[#This Row],[UO_COD]],qdd!$AT$1:$AU$102,2,FALSE),"")</f>
        <v/>
      </c>
      <c r="X766" s="1" t="str">
        <f>CONCATENATE("F",Tabela1[[#This Row],[FONTE_COD]],Tabela1[[#This Row],[IPU_COD]],"G",Tabela1[[#This Row],[GRUPO_COD]],"T",Tabela1[[#This Row],[TIPO]])</f>
        <v>FGT999</v>
      </c>
      <c r="Y7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6" s="19"/>
      <c r="AA766" s="29" t="str">
        <f>IFERROR(VLOOKUP(CONCATENATE("B",Tabela1[[#This Row],[BLOCO]],Tabela1[[#This Row],[UO_COD]]),qdd!$AW$2:$AX$1000,2,FALSE),"")</f>
        <v/>
      </c>
      <c r="AB766" s="30" t="str">
        <f>IFERROR(Tabela1[[#This Row],[VALOR]]/100,"")</f>
        <v/>
      </c>
      <c r="AC766" s="7" t="str" cm="1">
        <f t="array" aca="1" ref="AC766" ca="1">IF(Tabela1[[#This Row],[VALOR]]&lt;0,"",IFERROR(SUBSTITUTE(Converter_numero(Tabela1[[#This Row],[VALOR INCISO]]),",",""),""))</f>
        <v/>
      </c>
      <c r="AD766" s="29" t="str">
        <f>IF(Tabela1[[#This Row],[TIPO]]=REGRAS!$W$2,REGRAS!$X$2,IF(Tabela1[[#This Row],[TIPO]]=REGRAS!$W$4,REGRAS!$X$4,""))</f>
        <v/>
      </c>
      <c r="AE766" s="29" t="e">
        <f>VLOOKUP(Tabela1[[#This Row],[FONTE_COD]],REGRAS!$O$2:$P$69,2,FALSE)</f>
        <v>#N/A</v>
      </c>
      <c r="AF7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7" spans="1:32" ht="18.75" customHeight="1">
      <c r="A767" s="2" t="str">
        <f>IFERROR(IF('PREENCHER AQUI'!A767="","",'PREENCHER AQUI'!A767),"")</f>
        <v/>
      </c>
      <c r="B767" s="1" t="str">
        <f>IFERROR(IF('PREENCHER AQUI'!B767="","",PROPER('PREENCHER AQUI'!B767)),"")</f>
        <v/>
      </c>
      <c r="C767" s="1" t="str">
        <f>IFERROR(IF('PREENCHER AQUI'!C767="","",'PREENCHER AQUI'!C767),"")</f>
        <v/>
      </c>
      <c r="D767" s="2" t="str">
        <f>IFERROR(IF('PREENCHER AQUI'!D767="","",'PREENCHER AQUI'!D767),"")</f>
        <v/>
      </c>
      <c r="E767" s="2" t="str">
        <f>IFERROR(VLOOKUP(CONCATENATE(C767,D767),qdd!$C$2:$F$1000,2,FALSE),"")</f>
        <v/>
      </c>
      <c r="F767" s="2" t="str">
        <f>IFERROR(VLOOKUP(CONCATENATE(C767,D767),qdd!$C$2:$F$1000,3,FALSE),"")</f>
        <v/>
      </c>
      <c r="G767" s="2" t="str">
        <f>IFERROR(VLOOKUP(CONCATENATE(C767,D767),qdd!$C$2:$F$1000,4,FALSE),"")</f>
        <v/>
      </c>
      <c r="H767" s="6" t="str">
        <f t="shared" si="24"/>
        <v/>
      </c>
      <c r="I7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7" s="2" t="str">
        <f>IFERROR(IF('PREENCHER AQUI'!E767="","",'PREENCHER AQUI'!E767),"")</f>
        <v/>
      </c>
      <c r="K767" s="2" t="str">
        <f>IFERROR(IF('PREENCHER AQUI'!F767="","",'PREENCHER AQUI'!F767),"")</f>
        <v/>
      </c>
      <c r="L767" s="2" t="str">
        <f>IF(Tabela1[[#This Row],[IPU_COD]]=9,"91",IF(Tabela1[[#This Row],[ACAO_COD]]="","",VLOOKUP(CONCATENATE("G",J767,"M",K767),qdd!$BC$2:$BD$46,2,FALSE)))</f>
        <v/>
      </c>
      <c r="M767" s="2" t="str">
        <f>TEXT(IFERROR(VLOOKUP(CONCATENATE(C767,D767),qdd!$C$2:$G$1000,5,FALSE),""),0)</f>
        <v/>
      </c>
      <c r="N767" s="2" t="str">
        <f>IFERROR(IF('PREENCHER AQUI'!I767="","",'PREENCHER AQUI'!I767),"")</f>
        <v/>
      </c>
      <c r="O767" s="2" t="str">
        <f>IFERROR(IF('PREENCHER AQUI'!J767="","",'PREENCHER AQUI'!J767),"")</f>
        <v/>
      </c>
      <c r="P767" s="7" t="str">
        <f t="shared" si="25"/>
        <v/>
      </c>
      <c r="Q767" s="8" t="str">
        <f>IFERROR(IF(Tabela4[[#This Row],[VALOR]]="","",IF(Tabela1[[#This Row],[ORIENTACAO]]="Anular",'PREENCHER AQUI'!K767*-1*100,'PREENCHER AQUI'!K767*100)),"")</f>
        <v/>
      </c>
      <c r="T767" s="7" t="str">
        <f>IFERROR(IF('PREENCHER AQUI'!L767="","999",LEFT('PREENCHER AQUI'!L767,1)),"")</f>
        <v>999</v>
      </c>
      <c r="W767" s="1" t="str">
        <f>IFERROR(VLOOKUP(Tabela1[[#This Row],[UO_COD]],qdd!$AT$1:$AU$102,2,FALSE),"")</f>
        <v/>
      </c>
      <c r="X767" s="1" t="str">
        <f>CONCATENATE("F",Tabela1[[#This Row],[FONTE_COD]],Tabela1[[#This Row],[IPU_COD]],"G",Tabela1[[#This Row],[GRUPO_COD]],"T",Tabela1[[#This Row],[TIPO]])</f>
        <v>FGT999</v>
      </c>
      <c r="Y7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7" s="19"/>
      <c r="AA767" s="29" t="str">
        <f>IFERROR(VLOOKUP(CONCATENATE("B",Tabela1[[#This Row],[BLOCO]],Tabela1[[#This Row],[UO_COD]]),qdd!$AW$2:$AX$1000,2,FALSE),"")</f>
        <v/>
      </c>
      <c r="AB767" s="30" t="str">
        <f>IFERROR(Tabela1[[#This Row],[VALOR]]/100,"")</f>
        <v/>
      </c>
      <c r="AC767" s="7" t="str" cm="1">
        <f t="array" aca="1" ref="AC767" ca="1">IF(Tabela1[[#This Row],[VALOR]]&lt;0,"",IFERROR(SUBSTITUTE(Converter_numero(Tabela1[[#This Row],[VALOR INCISO]]),",",""),""))</f>
        <v/>
      </c>
      <c r="AD767" s="7" t="str">
        <f>IF(Tabela1[[#This Row],[TIPO]]=REGRAS!$W$2,REGRAS!$X$2,IF(Tabela1[[#This Row],[TIPO]]=REGRAS!$W$4,REGRAS!$X$4,""))</f>
        <v/>
      </c>
      <c r="AE767" s="29" t="e">
        <f>VLOOKUP(Tabela1[[#This Row],[FONTE_COD]],REGRAS!$O$2:$P$69,2,FALSE)</f>
        <v>#N/A</v>
      </c>
      <c r="AF7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8" spans="1:32" ht="18.75" customHeight="1">
      <c r="A768" s="2" t="str">
        <f>IFERROR(IF('PREENCHER AQUI'!A768="","",'PREENCHER AQUI'!A768),"")</f>
        <v/>
      </c>
      <c r="B768" s="1" t="str">
        <f>IFERROR(IF('PREENCHER AQUI'!B768="","",PROPER('PREENCHER AQUI'!B768)),"")</f>
        <v/>
      </c>
      <c r="C768" s="1" t="str">
        <f>IFERROR(IF('PREENCHER AQUI'!C768="","",'PREENCHER AQUI'!C768),"")</f>
        <v/>
      </c>
      <c r="D768" s="2" t="str">
        <f>IFERROR(IF('PREENCHER AQUI'!D768="","",'PREENCHER AQUI'!D768),"")</f>
        <v/>
      </c>
      <c r="E768" s="2" t="str">
        <f>IFERROR(VLOOKUP(CONCATENATE(C768,D768),qdd!$C$2:$F$1000,2,FALSE),"")</f>
        <v/>
      </c>
      <c r="F768" s="2" t="str">
        <f>IFERROR(VLOOKUP(CONCATENATE(C768,D768),qdd!$C$2:$F$1000,3,FALSE),"")</f>
        <v/>
      </c>
      <c r="G768" s="2" t="str">
        <f>IFERROR(VLOOKUP(CONCATENATE(C768,D768),qdd!$C$2:$F$1000,4,FALSE),"")</f>
        <v/>
      </c>
      <c r="H768" s="6" t="str">
        <f t="shared" si="24"/>
        <v/>
      </c>
      <c r="I7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8" s="2" t="str">
        <f>IFERROR(IF('PREENCHER AQUI'!E768="","",'PREENCHER AQUI'!E768),"")</f>
        <v/>
      </c>
      <c r="K768" s="2" t="str">
        <f>IFERROR(IF('PREENCHER AQUI'!F768="","",'PREENCHER AQUI'!F768),"")</f>
        <v/>
      </c>
      <c r="L768" s="2" t="str">
        <f>IF(Tabela1[[#This Row],[IPU_COD]]=9,"91",IF(Tabela1[[#This Row],[ACAO_COD]]="","",VLOOKUP(CONCATENATE("G",J768,"M",K768),qdd!$BC$2:$BD$46,2,FALSE)))</f>
        <v/>
      </c>
      <c r="M768" s="2" t="str">
        <f>TEXT(IFERROR(VLOOKUP(CONCATENATE(C768,D768),qdd!$C$2:$G$1000,5,FALSE),""),0)</f>
        <v/>
      </c>
      <c r="N768" s="2" t="str">
        <f>IFERROR(IF('PREENCHER AQUI'!I768="","",'PREENCHER AQUI'!I768),"")</f>
        <v/>
      </c>
      <c r="O768" s="2" t="str">
        <f>IFERROR(IF('PREENCHER AQUI'!J768="","",'PREENCHER AQUI'!J768),"")</f>
        <v/>
      </c>
      <c r="P768" s="7" t="str">
        <f t="shared" si="25"/>
        <v/>
      </c>
      <c r="Q768" s="8" t="str">
        <f>IFERROR(IF(Tabela4[[#This Row],[VALOR]]="","",IF(Tabela1[[#This Row],[ORIENTACAO]]="Anular",'PREENCHER AQUI'!K768*-1*100,'PREENCHER AQUI'!K768*100)),"")</f>
        <v/>
      </c>
      <c r="T768" s="7" t="str">
        <f>IFERROR(IF('PREENCHER AQUI'!L768="","999",LEFT('PREENCHER AQUI'!L768,1)),"")</f>
        <v>999</v>
      </c>
      <c r="V768" s="19"/>
      <c r="W768" s="1" t="str">
        <f>IFERROR(VLOOKUP(Tabela1[[#This Row],[UO_COD]],qdd!$AT$1:$AU$102,2,FALSE),"")</f>
        <v/>
      </c>
      <c r="X768" s="1" t="str">
        <f>CONCATENATE("F",Tabela1[[#This Row],[FONTE_COD]],Tabela1[[#This Row],[IPU_COD]],"G",Tabela1[[#This Row],[GRUPO_COD]],"T",Tabela1[[#This Row],[TIPO]])</f>
        <v>FGT999</v>
      </c>
      <c r="Y7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8" s="19"/>
      <c r="AA768" s="29" t="str">
        <f>IFERROR(VLOOKUP(CONCATENATE("B",Tabela1[[#This Row],[BLOCO]],Tabela1[[#This Row],[UO_COD]]),qdd!$AW$2:$AX$1000,2,FALSE),"")</f>
        <v/>
      </c>
      <c r="AB768" s="30" t="str">
        <f>IFERROR(Tabela1[[#This Row],[VALOR]]/100,"")</f>
        <v/>
      </c>
      <c r="AC768" s="7" t="str" cm="1">
        <f t="array" aca="1" ref="AC768" ca="1">IF(Tabela1[[#This Row],[VALOR]]&lt;0,"",IFERROR(SUBSTITUTE(Converter_numero(Tabela1[[#This Row],[VALOR INCISO]]),",",""),""))</f>
        <v/>
      </c>
      <c r="AD768" s="29" t="str">
        <f>IF(Tabela1[[#This Row],[TIPO]]=REGRAS!$W$2,REGRAS!$X$2,IF(Tabela1[[#This Row],[TIPO]]=REGRAS!$W$4,REGRAS!$X$4,""))</f>
        <v/>
      </c>
      <c r="AE768" s="29" t="e">
        <f>VLOOKUP(Tabela1[[#This Row],[FONTE_COD]],REGRAS!$O$2:$P$69,2,FALSE)</f>
        <v>#N/A</v>
      </c>
      <c r="AF7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9" spans="1:32" ht="18.75" customHeight="1">
      <c r="A769" s="2" t="str">
        <f>IFERROR(IF('PREENCHER AQUI'!A769="","",'PREENCHER AQUI'!A769),"")</f>
        <v/>
      </c>
      <c r="B769" s="1" t="str">
        <f>IFERROR(IF('PREENCHER AQUI'!B769="","",PROPER('PREENCHER AQUI'!B769)),"")</f>
        <v/>
      </c>
      <c r="C769" s="1" t="str">
        <f>IFERROR(IF('PREENCHER AQUI'!C769="","",'PREENCHER AQUI'!C769),"")</f>
        <v/>
      </c>
      <c r="D769" s="2" t="str">
        <f>IFERROR(IF('PREENCHER AQUI'!D769="","",'PREENCHER AQUI'!D769),"")</f>
        <v/>
      </c>
      <c r="E769" s="2" t="str">
        <f>IFERROR(VLOOKUP(CONCATENATE(C769,D769),qdd!$C$2:$F$1000,2,FALSE),"")</f>
        <v/>
      </c>
      <c r="F769" s="2" t="str">
        <f>IFERROR(VLOOKUP(CONCATENATE(C769,D769),qdd!$C$2:$F$1000,3,FALSE),"")</f>
        <v/>
      </c>
      <c r="G769" s="2" t="str">
        <f>IFERROR(VLOOKUP(CONCATENATE(C769,D769),qdd!$C$2:$F$1000,4,FALSE),"")</f>
        <v/>
      </c>
      <c r="H769" s="6" t="str">
        <f t="shared" si="24"/>
        <v/>
      </c>
      <c r="I7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9" s="2" t="str">
        <f>IFERROR(IF('PREENCHER AQUI'!E769="","",'PREENCHER AQUI'!E769),"")</f>
        <v/>
      </c>
      <c r="K769" s="2" t="str">
        <f>IFERROR(IF('PREENCHER AQUI'!F769="","",'PREENCHER AQUI'!F769),"")</f>
        <v/>
      </c>
      <c r="L769" s="2" t="str">
        <f>IF(Tabela1[[#This Row],[IPU_COD]]=9,"91",IF(Tabela1[[#This Row],[ACAO_COD]]="","",VLOOKUP(CONCATENATE("G",J769,"M",K769),qdd!$BC$2:$BD$46,2,FALSE)))</f>
        <v/>
      </c>
      <c r="M769" s="2" t="str">
        <f>TEXT(IFERROR(VLOOKUP(CONCATENATE(C769,D769),qdd!$C$2:$G$1000,5,FALSE),""),0)</f>
        <v/>
      </c>
      <c r="N769" s="2" t="str">
        <f>IFERROR(IF('PREENCHER AQUI'!I769="","",'PREENCHER AQUI'!I769),"")</f>
        <v/>
      </c>
      <c r="O769" s="2" t="str">
        <f>IFERROR(IF('PREENCHER AQUI'!J769="","",'PREENCHER AQUI'!J769),"")</f>
        <v/>
      </c>
      <c r="P769" s="7" t="str">
        <f t="shared" si="25"/>
        <v/>
      </c>
      <c r="Q769" s="8" t="str">
        <f>IFERROR(IF(Tabela4[[#This Row],[VALOR]]="","",IF(Tabela1[[#This Row],[ORIENTACAO]]="Anular",'PREENCHER AQUI'!K769*-1*100,'PREENCHER AQUI'!K769*100)),"")</f>
        <v/>
      </c>
      <c r="T769" s="7" t="str">
        <f>IFERROR(IF('PREENCHER AQUI'!L769="","999",LEFT('PREENCHER AQUI'!L769,1)),"")</f>
        <v>999</v>
      </c>
      <c r="V769" s="19"/>
      <c r="W769" s="1" t="str">
        <f>IFERROR(VLOOKUP(Tabela1[[#This Row],[UO_COD]],qdd!$AT$1:$AU$102,2,FALSE),"")</f>
        <v/>
      </c>
      <c r="X769" s="1" t="str">
        <f>CONCATENATE("F",Tabela1[[#This Row],[FONTE_COD]],Tabela1[[#This Row],[IPU_COD]],"G",Tabela1[[#This Row],[GRUPO_COD]],"T",Tabela1[[#This Row],[TIPO]])</f>
        <v>FGT999</v>
      </c>
      <c r="Y7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9" s="19"/>
      <c r="AA769" s="29" t="str">
        <f>IFERROR(VLOOKUP(CONCATENATE("B",Tabela1[[#This Row],[BLOCO]],Tabela1[[#This Row],[UO_COD]]),qdd!$AW$2:$AX$1000,2,FALSE),"")</f>
        <v/>
      </c>
      <c r="AB769" s="30" t="str">
        <f>IFERROR(Tabela1[[#This Row],[VALOR]]/100,"")</f>
        <v/>
      </c>
      <c r="AC769" s="7" t="str" cm="1">
        <f t="array" aca="1" ref="AC769" ca="1">IF(Tabela1[[#This Row],[VALOR]]&lt;0,"",IFERROR(SUBSTITUTE(Converter_numero(Tabela1[[#This Row],[VALOR INCISO]]),",",""),""))</f>
        <v/>
      </c>
      <c r="AD769" s="29" t="str">
        <f>IF(Tabela1[[#This Row],[TIPO]]=REGRAS!$W$2,REGRAS!$X$2,IF(Tabela1[[#This Row],[TIPO]]=REGRAS!$W$4,REGRAS!$X$4,""))</f>
        <v/>
      </c>
      <c r="AE769" s="29" t="e">
        <f>VLOOKUP(Tabela1[[#This Row],[FONTE_COD]],REGRAS!$O$2:$P$69,2,FALSE)</f>
        <v>#N/A</v>
      </c>
      <c r="AF7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0" spans="1:32" ht="18.75" customHeight="1">
      <c r="A770" s="2" t="str">
        <f>IFERROR(IF('PREENCHER AQUI'!A770="","",'PREENCHER AQUI'!A770),"")</f>
        <v/>
      </c>
      <c r="B770" s="1" t="str">
        <f>IFERROR(IF('PREENCHER AQUI'!B770="","",PROPER('PREENCHER AQUI'!B770)),"")</f>
        <v/>
      </c>
      <c r="C770" s="1" t="str">
        <f>IFERROR(IF('PREENCHER AQUI'!C770="","",'PREENCHER AQUI'!C770),"")</f>
        <v/>
      </c>
      <c r="D770" s="2" t="str">
        <f>IFERROR(IF('PREENCHER AQUI'!D770="","",'PREENCHER AQUI'!D770),"")</f>
        <v/>
      </c>
      <c r="E770" s="2" t="str">
        <f>IFERROR(VLOOKUP(CONCATENATE(C770,D770),qdd!$C$2:$F$1000,2,FALSE),"")</f>
        <v/>
      </c>
      <c r="F770" s="2" t="str">
        <f>IFERROR(VLOOKUP(CONCATENATE(C770,D770),qdd!$C$2:$F$1000,3,FALSE),"")</f>
        <v/>
      </c>
      <c r="G770" s="2" t="str">
        <f>IFERROR(VLOOKUP(CONCATENATE(C770,D770),qdd!$C$2:$F$1000,4,FALSE),"")</f>
        <v/>
      </c>
      <c r="H770" s="6" t="str">
        <f t="shared" si="24"/>
        <v/>
      </c>
      <c r="I7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0" s="2" t="str">
        <f>IFERROR(IF('PREENCHER AQUI'!E770="","",'PREENCHER AQUI'!E770),"")</f>
        <v/>
      </c>
      <c r="K770" s="2" t="str">
        <f>IFERROR(IF('PREENCHER AQUI'!F770="","",'PREENCHER AQUI'!F770),"")</f>
        <v/>
      </c>
      <c r="L770" s="2" t="str">
        <f>IF(Tabela1[[#This Row],[IPU_COD]]=9,"91",IF(Tabela1[[#This Row],[ACAO_COD]]="","",VLOOKUP(CONCATENATE("G",J770,"M",K770),qdd!$BC$2:$BD$46,2,FALSE)))</f>
        <v/>
      </c>
      <c r="M770" s="2" t="str">
        <f>TEXT(IFERROR(VLOOKUP(CONCATENATE(C770,D770),qdd!$C$2:$G$1000,5,FALSE),""),0)</f>
        <v/>
      </c>
      <c r="N770" s="2" t="str">
        <f>IFERROR(IF('PREENCHER AQUI'!I770="","",'PREENCHER AQUI'!I770),"")</f>
        <v/>
      </c>
      <c r="O770" s="2" t="str">
        <f>IFERROR(IF('PREENCHER AQUI'!J770="","",'PREENCHER AQUI'!J770),"")</f>
        <v/>
      </c>
      <c r="P770" s="7" t="str">
        <f t="shared" si="25"/>
        <v/>
      </c>
      <c r="Q770" s="8" t="str">
        <f>IFERROR(IF(Tabela4[[#This Row],[VALOR]]="","",IF(Tabela1[[#This Row],[ORIENTACAO]]="Anular",'PREENCHER AQUI'!K770*-1*100,'PREENCHER AQUI'!K770*100)),"")</f>
        <v/>
      </c>
      <c r="T770" s="7" t="str">
        <f>IFERROR(IF('PREENCHER AQUI'!L770="","999",LEFT('PREENCHER AQUI'!L770,1)),"")</f>
        <v>999</v>
      </c>
      <c r="V770" s="19"/>
      <c r="W770" s="20" t="str">
        <f>IFERROR(VLOOKUP(Tabela1[[#This Row],[UO_COD]],qdd!$AT$1:$AU$102,2,FALSE),"")</f>
        <v/>
      </c>
      <c r="X770" s="20" t="str">
        <f>CONCATENATE("F",Tabela1[[#This Row],[FONTE_COD]],Tabela1[[#This Row],[IPU_COD]],"G",Tabela1[[#This Row],[GRUPO_COD]],"T",Tabela1[[#This Row],[TIPO]])</f>
        <v>FGT999</v>
      </c>
      <c r="Y7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0" s="19"/>
      <c r="AA770" s="29" t="str">
        <f>IFERROR(VLOOKUP(CONCATENATE("B",Tabela1[[#This Row],[BLOCO]],Tabela1[[#This Row],[UO_COD]]),qdd!$AW$2:$AX$1000,2,FALSE),"")</f>
        <v/>
      </c>
      <c r="AB770" s="30" t="str">
        <f>IFERROR(Tabela1[[#This Row],[VALOR]]/100,"")</f>
        <v/>
      </c>
      <c r="AC770" s="7" t="str" cm="1">
        <f t="array" aca="1" ref="AC770" ca="1">IF(Tabela1[[#This Row],[VALOR]]&lt;0,"",IFERROR(SUBSTITUTE(Converter_numero(Tabela1[[#This Row],[VALOR INCISO]]),",",""),""))</f>
        <v/>
      </c>
      <c r="AD770" s="29" t="str">
        <f>IF(Tabela1[[#This Row],[TIPO]]=REGRAS!$W$2,REGRAS!$X$2,IF(Tabela1[[#This Row],[TIPO]]=REGRAS!$W$4,REGRAS!$X$4,""))</f>
        <v/>
      </c>
      <c r="AE770" s="29" t="e">
        <f>VLOOKUP(Tabela1[[#This Row],[FONTE_COD]],REGRAS!$O$2:$P$69,2,FALSE)</f>
        <v>#N/A</v>
      </c>
      <c r="AF7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1" spans="1:32" ht="18.75" customHeight="1">
      <c r="A771" s="2" t="str">
        <f>IFERROR(IF('PREENCHER AQUI'!A771="","",'PREENCHER AQUI'!A771),"")</f>
        <v/>
      </c>
      <c r="B771" s="1" t="str">
        <f>IFERROR(IF('PREENCHER AQUI'!B771="","",PROPER('PREENCHER AQUI'!B771)),"")</f>
        <v/>
      </c>
      <c r="C771" s="1" t="str">
        <f>IFERROR(IF('PREENCHER AQUI'!C771="","",'PREENCHER AQUI'!C771),"")</f>
        <v/>
      </c>
      <c r="D771" s="2" t="str">
        <f>IFERROR(IF('PREENCHER AQUI'!D771="","",'PREENCHER AQUI'!D771),"")</f>
        <v/>
      </c>
      <c r="E771" s="2" t="str">
        <f>IFERROR(VLOOKUP(CONCATENATE(C771,D771),qdd!$C$2:$F$1000,2,FALSE),"")</f>
        <v/>
      </c>
      <c r="F771" s="2" t="str">
        <f>IFERROR(VLOOKUP(CONCATENATE(C771,D771),qdd!$C$2:$F$1000,3,FALSE),"")</f>
        <v/>
      </c>
      <c r="G771" s="2" t="str">
        <f>IFERROR(VLOOKUP(CONCATENATE(C771,D771),qdd!$C$2:$F$1000,4,FALSE),"")</f>
        <v/>
      </c>
      <c r="H771" s="6" t="str">
        <f t="shared" ref="H771:H834" si="26">IF(E771="","","0001")</f>
        <v/>
      </c>
      <c r="I7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1" s="2" t="str">
        <f>IFERROR(IF('PREENCHER AQUI'!E771="","",'PREENCHER AQUI'!E771),"")</f>
        <v/>
      </c>
      <c r="K771" s="2" t="str">
        <f>IFERROR(IF('PREENCHER AQUI'!F771="","",'PREENCHER AQUI'!F771),"")</f>
        <v/>
      </c>
      <c r="L771" s="2" t="str">
        <f>IF(Tabela1[[#This Row],[IPU_COD]]=9,"91",IF(Tabela1[[#This Row],[ACAO_COD]]="","",VLOOKUP(CONCATENATE("G",J771,"M",K771),qdd!$BC$2:$BD$46,2,FALSE)))</f>
        <v/>
      </c>
      <c r="M771" s="2" t="str">
        <f>TEXT(IFERROR(VLOOKUP(CONCATENATE(C771,D771),qdd!$C$2:$G$1000,5,FALSE),""),0)</f>
        <v/>
      </c>
      <c r="N771" s="2" t="str">
        <f>IFERROR(IF('PREENCHER AQUI'!I771="","",'PREENCHER AQUI'!I771),"")</f>
        <v/>
      </c>
      <c r="O771" s="2" t="str">
        <f>IFERROR(IF('PREENCHER AQUI'!J771="","",'PREENCHER AQUI'!J771),"")</f>
        <v/>
      </c>
      <c r="P771" s="7" t="str">
        <f t="shared" ref="P771:P834" si="27">IFERROR(CONCATENATE(E771,F771,G771,D771,H771,I771,J771,K771,L771,M771,N771,O771),"")</f>
        <v/>
      </c>
      <c r="Q771" s="8" t="str">
        <f>IFERROR(IF(Tabela4[[#This Row],[VALOR]]="","",IF(Tabela1[[#This Row],[ORIENTACAO]]="Anular",'PREENCHER AQUI'!K771*-1*100,'PREENCHER AQUI'!K771*100)),"")</f>
        <v/>
      </c>
      <c r="T771" s="7" t="str">
        <f>IFERROR(IF('PREENCHER AQUI'!L771="","999",LEFT('PREENCHER AQUI'!L771,1)),"")</f>
        <v>999</v>
      </c>
      <c r="V771" s="19"/>
      <c r="W771" s="1" t="str">
        <f>IFERROR(VLOOKUP(Tabela1[[#This Row],[UO_COD]],qdd!$AT$1:$AU$102,2,FALSE),"")</f>
        <v/>
      </c>
      <c r="X771" s="1" t="str">
        <f>CONCATENATE("F",Tabela1[[#This Row],[FONTE_COD]],Tabela1[[#This Row],[IPU_COD]],"G",Tabela1[[#This Row],[GRUPO_COD]],"T",Tabela1[[#This Row],[TIPO]])</f>
        <v>FGT999</v>
      </c>
      <c r="Y7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1" s="19"/>
      <c r="AA771" s="29" t="str">
        <f>IFERROR(VLOOKUP(CONCATENATE("B",Tabela1[[#This Row],[BLOCO]],Tabela1[[#This Row],[UO_COD]]),qdd!$AW$2:$AX$1000,2,FALSE),"")</f>
        <v/>
      </c>
      <c r="AB771" s="30" t="str">
        <f>IFERROR(Tabela1[[#This Row],[VALOR]]/100,"")</f>
        <v/>
      </c>
      <c r="AC771" s="7" t="str" cm="1">
        <f t="array" aca="1" ref="AC771" ca="1">IF(Tabela1[[#This Row],[VALOR]]&lt;0,"",IFERROR(SUBSTITUTE(Converter_numero(Tabela1[[#This Row],[VALOR INCISO]]),",",""),""))</f>
        <v/>
      </c>
      <c r="AD771" s="29" t="str">
        <f>IF(Tabela1[[#This Row],[TIPO]]=REGRAS!$W$2,REGRAS!$X$2,IF(Tabela1[[#This Row],[TIPO]]=REGRAS!$W$4,REGRAS!$X$4,""))</f>
        <v/>
      </c>
      <c r="AE771" s="29" t="e">
        <f>VLOOKUP(Tabela1[[#This Row],[FONTE_COD]],REGRAS!$O$2:$P$69,2,FALSE)</f>
        <v>#N/A</v>
      </c>
      <c r="AF7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2" spans="1:32" ht="18.75" customHeight="1">
      <c r="A772" s="2" t="str">
        <f>IFERROR(IF('PREENCHER AQUI'!A772="","",'PREENCHER AQUI'!A772),"")</f>
        <v/>
      </c>
      <c r="B772" s="1" t="str">
        <f>IFERROR(IF('PREENCHER AQUI'!B772="","",PROPER('PREENCHER AQUI'!B772)),"")</f>
        <v/>
      </c>
      <c r="C772" s="1" t="str">
        <f>IFERROR(IF('PREENCHER AQUI'!C772="","",'PREENCHER AQUI'!C772),"")</f>
        <v/>
      </c>
      <c r="D772" s="2" t="str">
        <f>IFERROR(IF('PREENCHER AQUI'!D772="","",'PREENCHER AQUI'!D772),"")</f>
        <v/>
      </c>
      <c r="E772" s="2" t="str">
        <f>IFERROR(VLOOKUP(CONCATENATE(C772,D772),qdd!$C$2:$F$1000,2,FALSE),"")</f>
        <v/>
      </c>
      <c r="F772" s="2" t="str">
        <f>IFERROR(VLOOKUP(CONCATENATE(C772,D772),qdd!$C$2:$F$1000,3,FALSE),"")</f>
        <v/>
      </c>
      <c r="G772" s="2" t="str">
        <f>IFERROR(VLOOKUP(CONCATENATE(C772,D772),qdd!$C$2:$F$1000,4,FALSE),"")</f>
        <v/>
      </c>
      <c r="H772" s="6" t="str">
        <f t="shared" si="26"/>
        <v/>
      </c>
      <c r="I7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2" s="2" t="str">
        <f>IFERROR(IF('PREENCHER AQUI'!E772="","",'PREENCHER AQUI'!E772),"")</f>
        <v/>
      </c>
      <c r="K772" s="2" t="str">
        <f>IFERROR(IF('PREENCHER AQUI'!F772="","",'PREENCHER AQUI'!F772),"")</f>
        <v/>
      </c>
      <c r="L772" s="2" t="str">
        <f>IF(Tabela1[[#This Row],[IPU_COD]]=9,"91",IF(Tabela1[[#This Row],[ACAO_COD]]="","",VLOOKUP(CONCATENATE("G",J772,"M",K772),qdd!$BC$2:$BD$46,2,FALSE)))</f>
        <v/>
      </c>
      <c r="M772" s="2" t="str">
        <f>TEXT(IFERROR(VLOOKUP(CONCATENATE(C772,D772),qdd!$C$2:$G$1000,5,FALSE),""),0)</f>
        <v/>
      </c>
      <c r="N772" s="2" t="str">
        <f>IFERROR(IF('PREENCHER AQUI'!I772="","",'PREENCHER AQUI'!I772),"")</f>
        <v/>
      </c>
      <c r="O772" s="2" t="str">
        <f>IFERROR(IF('PREENCHER AQUI'!J772="","",'PREENCHER AQUI'!J772),"")</f>
        <v/>
      </c>
      <c r="P772" s="7" t="str">
        <f t="shared" si="27"/>
        <v/>
      </c>
      <c r="Q772" s="8" t="str">
        <f>IFERROR(IF(Tabela4[[#This Row],[VALOR]]="","",IF(Tabela1[[#This Row],[ORIENTACAO]]="Anular",'PREENCHER AQUI'!K772*-1*100,'PREENCHER AQUI'!K772*100)),"")</f>
        <v/>
      </c>
      <c r="T772" s="7" t="str">
        <f>IFERROR(IF('PREENCHER AQUI'!L772="","999",LEFT('PREENCHER AQUI'!L772,1)),"")</f>
        <v>999</v>
      </c>
      <c r="W772" s="1" t="str">
        <f>IFERROR(VLOOKUP(Tabela1[[#This Row],[UO_COD]],qdd!$AT$1:$AU$102,2,FALSE),"")</f>
        <v/>
      </c>
      <c r="X772" s="1" t="str">
        <f>CONCATENATE("F",Tabela1[[#This Row],[FONTE_COD]],Tabela1[[#This Row],[IPU_COD]],"G",Tabela1[[#This Row],[GRUPO_COD]],"T",Tabela1[[#This Row],[TIPO]])</f>
        <v>FGT999</v>
      </c>
      <c r="Y7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2" s="19"/>
      <c r="AA772" s="29" t="str">
        <f>IFERROR(VLOOKUP(CONCATENATE("B",Tabela1[[#This Row],[BLOCO]],Tabela1[[#This Row],[UO_COD]]),qdd!$AW$2:$AX$1000,2,FALSE),"")</f>
        <v/>
      </c>
      <c r="AB772" s="30" t="str">
        <f>IFERROR(Tabela1[[#This Row],[VALOR]]/100,"")</f>
        <v/>
      </c>
      <c r="AC772" s="7" t="str" cm="1">
        <f t="array" aca="1" ref="AC772" ca="1">IF(Tabela1[[#This Row],[VALOR]]&lt;0,"",IFERROR(SUBSTITUTE(Converter_numero(Tabela1[[#This Row],[VALOR INCISO]]),",",""),""))</f>
        <v/>
      </c>
      <c r="AD772" s="7" t="str">
        <f>IF(Tabela1[[#This Row],[TIPO]]=REGRAS!$W$2,REGRAS!$X$2,IF(Tabela1[[#This Row],[TIPO]]=REGRAS!$W$4,REGRAS!$X$4,""))</f>
        <v/>
      </c>
      <c r="AE772" s="29" t="e">
        <f>VLOOKUP(Tabela1[[#This Row],[FONTE_COD]],REGRAS!$O$2:$P$69,2,FALSE)</f>
        <v>#N/A</v>
      </c>
      <c r="AF7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3" spans="1:32" ht="18.75" customHeight="1">
      <c r="A773" s="2" t="str">
        <f>IFERROR(IF('PREENCHER AQUI'!A773="","",'PREENCHER AQUI'!A773),"")</f>
        <v/>
      </c>
      <c r="B773" s="1" t="str">
        <f>IFERROR(IF('PREENCHER AQUI'!B773="","",PROPER('PREENCHER AQUI'!B773)),"")</f>
        <v/>
      </c>
      <c r="C773" s="1" t="str">
        <f>IFERROR(IF('PREENCHER AQUI'!C773="","",'PREENCHER AQUI'!C773),"")</f>
        <v/>
      </c>
      <c r="D773" s="2" t="str">
        <f>IFERROR(IF('PREENCHER AQUI'!D773="","",'PREENCHER AQUI'!D773),"")</f>
        <v/>
      </c>
      <c r="E773" s="2" t="str">
        <f>IFERROR(VLOOKUP(CONCATENATE(C773,D773),qdd!$C$2:$F$1000,2,FALSE),"")</f>
        <v/>
      </c>
      <c r="F773" s="2" t="str">
        <f>IFERROR(VLOOKUP(CONCATENATE(C773,D773),qdd!$C$2:$F$1000,3,FALSE),"")</f>
        <v/>
      </c>
      <c r="G773" s="2" t="str">
        <f>IFERROR(VLOOKUP(CONCATENATE(C773,D773),qdd!$C$2:$F$1000,4,FALSE),"")</f>
        <v/>
      </c>
      <c r="H773" s="6" t="str">
        <f t="shared" si="26"/>
        <v/>
      </c>
      <c r="I7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3" s="2" t="str">
        <f>IFERROR(IF('PREENCHER AQUI'!E773="","",'PREENCHER AQUI'!E773),"")</f>
        <v/>
      </c>
      <c r="K773" s="2" t="str">
        <f>IFERROR(IF('PREENCHER AQUI'!F773="","",'PREENCHER AQUI'!F773),"")</f>
        <v/>
      </c>
      <c r="L773" s="2" t="str">
        <f>IF(Tabela1[[#This Row],[IPU_COD]]=9,"91",IF(Tabela1[[#This Row],[ACAO_COD]]="","",VLOOKUP(CONCATENATE("G",J773,"M",K773),qdd!$BC$2:$BD$46,2,FALSE)))</f>
        <v/>
      </c>
      <c r="M773" s="2" t="str">
        <f>TEXT(IFERROR(VLOOKUP(CONCATENATE(C773,D773),qdd!$C$2:$G$1000,5,FALSE),""),0)</f>
        <v/>
      </c>
      <c r="N773" s="2" t="str">
        <f>IFERROR(IF('PREENCHER AQUI'!I773="","",'PREENCHER AQUI'!I773),"")</f>
        <v/>
      </c>
      <c r="O773" s="2" t="str">
        <f>IFERROR(IF('PREENCHER AQUI'!J773="","",'PREENCHER AQUI'!J773),"")</f>
        <v/>
      </c>
      <c r="P773" s="7" t="str">
        <f t="shared" si="27"/>
        <v/>
      </c>
      <c r="Q773" s="8" t="str">
        <f>IFERROR(IF(Tabela4[[#This Row],[VALOR]]="","",IF(Tabela1[[#This Row],[ORIENTACAO]]="Anular",'PREENCHER AQUI'!K773*-1*100,'PREENCHER AQUI'!K773*100)),"")</f>
        <v/>
      </c>
      <c r="T773" s="7" t="str">
        <f>IFERROR(IF('PREENCHER AQUI'!L773="","999",LEFT('PREENCHER AQUI'!L773,1)),"")</f>
        <v>999</v>
      </c>
      <c r="V773" s="19"/>
      <c r="W773" s="1" t="str">
        <f>IFERROR(VLOOKUP(Tabela1[[#This Row],[UO_COD]],qdd!$AT$1:$AU$102,2,FALSE),"")</f>
        <v/>
      </c>
      <c r="X773" s="1" t="str">
        <f>CONCATENATE("F",Tabela1[[#This Row],[FONTE_COD]],Tabela1[[#This Row],[IPU_COD]],"G",Tabela1[[#This Row],[GRUPO_COD]],"T",Tabela1[[#This Row],[TIPO]])</f>
        <v>FGT999</v>
      </c>
      <c r="Y7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3" s="19"/>
      <c r="AA773" s="29" t="str">
        <f>IFERROR(VLOOKUP(CONCATENATE("B",Tabela1[[#This Row],[BLOCO]],Tabela1[[#This Row],[UO_COD]]),qdd!$AW$2:$AX$1000,2,FALSE),"")</f>
        <v/>
      </c>
      <c r="AB773" s="30" t="str">
        <f>IFERROR(Tabela1[[#This Row],[VALOR]]/100,"")</f>
        <v/>
      </c>
      <c r="AC773" s="7" t="str" cm="1">
        <f t="array" aca="1" ref="AC773" ca="1">IF(Tabela1[[#This Row],[VALOR]]&lt;0,"",IFERROR(SUBSTITUTE(Converter_numero(Tabela1[[#This Row],[VALOR INCISO]]),",",""),""))</f>
        <v/>
      </c>
      <c r="AD773" s="29" t="str">
        <f>IF(Tabela1[[#This Row],[TIPO]]=REGRAS!$W$2,REGRAS!$X$2,IF(Tabela1[[#This Row],[TIPO]]=REGRAS!$W$4,REGRAS!$X$4,""))</f>
        <v/>
      </c>
      <c r="AE773" s="29" t="e">
        <f>VLOOKUP(Tabela1[[#This Row],[FONTE_COD]],REGRAS!$O$2:$P$69,2,FALSE)</f>
        <v>#N/A</v>
      </c>
      <c r="AF7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4" spans="1:32" ht="18.75" customHeight="1">
      <c r="A774" s="2" t="str">
        <f>IFERROR(IF('PREENCHER AQUI'!A774="","",'PREENCHER AQUI'!A774),"")</f>
        <v/>
      </c>
      <c r="B774" s="1" t="str">
        <f>IFERROR(IF('PREENCHER AQUI'!B774="","",PROPER('PREENCHER AQUI'!B774)),"")</f>
        <v/>
      </c>
      <c r="C774" s="1" t="str">
        <f>IFERROR(IF('PREENCHER AQUI'!C774="","",'PREENCHER AQUI'!C774),"")</f>
        <v/>
      </c>
      <c r="D774" s="2" t="str">
        <f>IFERROR(IF('PREENCHER AQUI'!D774="","",'PREENCHER AQUI'!D774),"")</f>
        <v/>
      </c>
      <c r="E774" s="2" t="str">
        <f>IFERROR(VLOOKUP(CONCATENATE(C774,D774),qdd!$C$2:$F$1000,2,FALSE),"")</f>
        <v/>
      </c>
      <c r="F774" s="2" t="str">
        <f>IFERROR(VLOOKUP(CONCATENATE(C774,D774),qdd!$C$2:$F$1000,3,FALSE),"")</f>
        <v/>
      </c>
      <c r="G774" s="2" t="str">
        <f>IFERROR(VLOOKUP(CONCATENATE(C774,D774),qdd!$C$2:$F$1000,4,FALSE),"")</f>
        <v/>
      </c>
      <c r="H774" s="6" t="str">
        <f t="shared" si="26"/>
        <v/>
      </c>
      <c r="I7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4" s="2" t="str">
        <f>IFERROR(IF('PREENCHER AQUI'!E774="","",'PREENCHER AQUI'!E774),"")</f>
        <v/>
      </c>
      <c r="K774" s="2" t="str">
        <f>IFERROR(IF('PREENCHER AQUI'!F774="","",'PREENCHER AQUI'!F774),"")</f>
        <v/>
      </c>
      <c r="L774" s="2" t="str">
        <f>IF(Tabela1[[#This Row],[IPU_COD]]=9,"91",IF(Tabela1[[#This Row],[ACAO_COD]]="","",VLOOKUP(CONCATENATE("G",J774,"M",K774),qdd!$BC$2:$BD$46,2,FALSE)))</f>
        <v/>
      </c>
      <c r="M774" s="2" t="str">
        <f>TEXT(IFERROR(VLOOKUP(CONCATENATE(C774,D774),qdd!$C$2:$G$1000,5,FALSE),""),0)</f>
        <v/>
      </c>
      <c r="N774" s="2" t="str">
        <f>IFERROR(IF('PREENCHER AQUI'!I774="","",'PREENCHER AQUI'!I774),"")</f>
        <v/>
      </c>
      <c r="O774" s="2" t="str">
        <f>IFERROR(IF('PREENCHER AQUI'!J774="","",'PREENCHER AQUI'!J774),"")</f>
        <v/>
      </c>
      <c r="P774" s="7" t="str">
        <f t="shared" si="27"/>
        <v/>
      </c>
      <c r="Q774" s="8" t="str">
        <f>IFERROR(IF(Tabela4[[#This Row],[VALOR]]="","",IF(Tabela1[[#This Row],[ORIENTACAO]]="Anular",'PREENCHER AQUI'!K774*-1*100,'PREENCHER AQUI'!K774*100)),"")</f>
        <v/>
      </c>
      <c r="T774" s="7" t="str">
        <f>IFERROR(IF('PREENCHER AQUI'!L774="","999",LEFT('PREENCHER AQUI'!L774,1)),"")</f>
        <v>999</v>
      </c>
      <c r="V774" s="19"/>
      <c r="W774" s="1" t="str">
        <f>IFERROR(VLOOKUP(Tabela1[[#This Row],[UO_COD]],qdd!$AT$1:$AU$102,2,FALSE),"")</f>
        <v/>
      </c>
      <c r="X774" s="1" t="str">
        <f>CONCATENATE("F",Tabela1[[#This Row],[FONTE_COD]],Tabela1[[#This Row],[IPU_COD]],"G",Tabela1[[#This Row],[GRUPO_COD]],"T",Tabela1[[#This Row],[TIPO]])</f>
        <v>FGT999</v>
      </c>
      <c r="Y7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4" s="19"/>
      <c r="AA774" s="29" t="str">
        <f>IFERROR(VLOOKUP(CONCATENATE("B",Tabela1[[#This Row],[BLOCO]],Tabela1[[#This Row],[UO_COD]]),qdd!$AW$2:$AX$1000,2,FALSE),"")</f>
        <v/>
      </c>
      <c r="AB774" s="30" t="str">
        <f>IFERROR(Tabela1[[#This Row],[VALOR]]/100,"")</f>
        <v/>
      </c>
      <c r="AC774" s="7" t="str" cm="1">
        <f t="array" aca="1" ref="AC774" ca="1">IF(Tabela1[[#This Row],[VALOR]]&lt;0,"",IFERROR(SUBSTITUTE(Converter_numero(Tabela1[[#This Row],[VALOR INCISO]]),",",""),""))</f>
        <v/>
      </c>
      <c r="AD774" s="29" t="str">
        <f>IF(Tabela1[[#This Row],[TIPO]]=REGRAS!$W$2,REGRAS!$X$2,IF(Tabela1[[#This Row],[TIPO]]=REGRAS!$W$4,REGRAS!$X$4,""))</f>
        <v/>
      </c>
      <c r="AE774" s="29" t="e">
        <f>VLOOKUP(Tabela1[[#This Row],[FONTE_COD]],REGRAS!$O$2:$P$69,2,FALSE)</f>
        <v>#N/A</v>
      </c>
      <c r="AF7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5" spans="1:32" ht="18.75" customHeight="1">
      <c r="A775" s="2" t="str">
        <f>IFERROR(IF('PREENCHER AQUI'!A775="","",'PREENCHER AQUI'!A775),"")</f>
        <v/>
      </c>
      <c r="B775" s="1" t="str">
        <f>IFERROR(IF('PREENCHER AQUI'!B775="","",PROPER('PREENCHER AQUI'!B775)),"")</f>
        <v/>
      </c>
      <c r="C775" s="1" t="str">
        <f>IFERROR(IF('PREENCHER AQUI'!C775="","",'PREENCHER AQUI'!C775),"")</f>
        <v/>
      </c>
      <c r="D775" s="2" t="str">
        <f>IFERROR(IF('PREENCHER AQUI'!D775="","",'PREENCHER AQUI'!D775),"")</f>
        <v/>
      </c>
      <c r="E775" s="2" t="str">
        <f>IFERROR(VLOOKUP(CONCATENATE(C775,D775),qdd!$C$2:$F$1000,2,FALSE),"")</f>
        <v/>
      </c>
      <c r="F775" s="2" t="str">
        <f>IFERROR(VLOOKUP(CONCATENATE(C775,D775),qdd!$C$2:$F$1000,3,FALSE),"")</f>
        <v/>
      </c>
      <c r="G775" s="2" t="str">
        <f>IFERROR(VLOOKUP(CONCATENATE(C775,D775),qdd!$C$2:$F$1000,4,FALSE),"")</f>
        <v/>
      </c>
      <c r="H775" s="6" t="str">
        <f t="shared" si="26"/>
        <v/>
      </c>
      <c r="I7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5" s="2" t="str">
        <f>IFERROR(IF('PREENCHER AQUI'!E775="","",'PREENCHER AQUI'!E775),"")</f>
        <v/>
      </c>
      <c r="K775" s="2" t="str">
        <f>IFERROR(IF('PREENCHER AQUI'!F775="","",'PREENCHER AQUI'!F775),"")</f>
        <v/>
      </c>
      <c r="L775" s="2" t="str">
        <f>IF(Tabela1[[#This Row],[IPU_COD]]=9,"91",IF(Tabela1[[#This Row],[ACAO_COD]]="","",VLOOKUP(CONCATENATE("G",J775,"M",K775),qdd!$BC$2:$BD$46,2,FALSE)))</f>
        <v/>
      </c>
      <c r="M775" s="2" t="str">
        <f>TEXT(IFERROR(VLOOKUP(CONCATENATE(C775,D775),qdd!$C$2:$G$1000,5,FALSE),""),0)</f>
        <v/>
      </c>
      <c r="N775" s="2" t="str">
        <f>IFERROR(IF('PREENCHER AQUI'!I775="","",'PREENCHER AQUI'!I775),"")</f>
        <v/>
      </c>
      <c r="O775" s="2" t="str">
        <f>IFERROR(IF('PREENCHER AQUI'!J775="","",'PREENCHER AQUI'!J775),"")</f>
        <v/>
      </c>
      <c r="P775" s="7" t="str">
        <f t="shared" si="27"/>
        <v/>
      </c>
      <c r="Q775" s="8" t="str">
        <f>IFERROR(IF(Tabela4[[#This Row],[VALOR]]="","",IF(Tabela1[[#This Row],[ORIENTACAO]]="Anular",'PREENCHER AQUI'!K775*-1*100,'PREENCHER AQUI'!K775*100)),"")</f>
        <v/>
      </c>
      <c r="T775" s="7" t="str">
        <f>IFERROR(IF('PREENCHER AQUI'!L775="","999",LEFT('PREENCHER AQUI'!L775,1)),"")</f>
        <v>999</v>
      </c>
      <c r="V775" s="19"/>
      <c r="W775" s="20" t="str">
        <f>IFERROR(VLOOKUP(Tabela1[[#This Row],[UO_COD]],qdd!$AT$1:$AU$102,2,FALSE),"")</f>
        <v/>
      </c>
      <c r="X775" s="20" t="str">
        <f>CONCATENATE("F",Tabela1[[#This Row],[FONTE_COD]],Tabela1[[#This Row],[IPU_COD]],"G",Tabela1[[#This Row],[GRUPO_COD]],"T",Tabela1[[#This Row],[TIPO]])</f>
        <v>FGT999</v>
      </c>
      <c r="Y7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5" s="19"/>
      <c r="AA775" s="29" t="str">
        <f>IFERROR(VLOOKUP(CONCATENATE("B",Tabela1[[#This Row],[BLOCO]],Tabela1[[#This Row],[UO_COD]]),qdd!$AW$2:$AX$1000,2,FALSE),"")</f>
        <v/>
      </c>
      <c r="AB775" s="30" t="str">
        <f>IFERROR(Tabela1[[#This Row],[VALOR]]/100,"")</f>
        <v/>
      </c>
      <c r="AC775" s="7" t="str" cm="1">
        <f t="array" aca="1" ref="AC775" ca="1">IF(Tabela1[[#This Row],[VALOR]]&lt;0,"",IFERROR(SUBSTITUTE(Converter_numero(Tabela1[[#This Row],[VALOR INCISO]]),",",""),""))</f>
        <v/>
      </c>
      <c r="AD775" s="29" t="str">
        <f>IF(Tabela1[[#This Row],[TIPO]]=REGRAS!$W$2,REGRAS!$X$2,IF(Tabela1[[#This Row],[TIPO]]=REGRAS!$W$4,REGRAS!$X$4,""))</f>
        <v/>
      </c>
      <c r="AE775" s="29" t="e">
        <f>VLOOKUP(Tabela1[[#This Row],[FONTE_COD]],REGRAS!$O$2:$P$69,2,FALSE)</f>
        <v>#N/A</v>
      </c>
      <c r="AF7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6" spans="1:32" ht="18.75" customHeight="1">
      <c r="A776" s="2" t="str">
        <f>IFERROR(IF('PREENCHER AQUI'!A776="","",'PREENCHER AQUI'!A776),"")</f>
        <v/>
      </c>
      <c r="B776" s="1" t="str">
        <f>IFERROR(IF('PREENCHER AQUI'!B776="","",PROPER('PREENCHER AQUI'!B776)),"")</f>
        <v/>
      </c>
      <c r="C776" s="1" t="str">
        <f>IFERROR(IF('PREENCHER AQUI'!C776="","",'PREENCHER AQUI'!C776),"")</f>
        <v/>
      </c>
      <c r="D776" s="2" t="str">
        <f>IFERROR(IF('PREENCHER AQUI'!D776="","",'PREENCHER AQUI'!D776),"")</f>
        <v/>
      </c>
      <c r="E776" s="2" t="str">
        <f>IFERROR(VLOOKUP(CONCATENATE(C776,D776),qdd!$C$2:$F$1000,2,FALSE),"")</f>
        <v/>
      </c>
      <c r="F776" s="2" t="str">
        <f>IFERROR(VLOOKUP(CONCATENATE(C776,D776),qdd!$C$2:$F$1000,3,FALSE),"")</f>
        <v/>
      </c>
      <c r="G776" s="2" t="str">
        <f>IFERROR(VLOOKUP(CONCATENATE(C776,D776),qdd!$C$2:$F$1000,4,FALSE),"")</f>
        <v/>
      </c>
      <c r="H776" s="6" t="str">
        <f t="shared" si="26"/>
        <v/>
      </c>
      <c r="I7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6" s="2" t="str">
        <f>IFERROR(IF('PREENCHER AQUI'!E776="","",'PREENCHER AQUI'!E776),"")</f>
        <v/>
      </c>
      <c r="K776" s="2" t="str">
        <f>IFERROR(IF('PREENCHER AQUI'!F776="","",'PREENCHER AQUI'!F776),"")</f>
        <v/>
      </c>
      <c r="L776" s="2" t="str">
        <f>IF(Tabela1[[#This Row],[IPU_COD]]=9,"91",IF(Tabela1[[#This Row],[ACAO_COD]]="","",VLOOKUP(CONCATENATE("G",J776,"M",K776),qdd!$BC$2:$BD$46,2,FALSE)))</f>
        <v/>
      </c>
      <c r="M776" s="2" t="str">
        <f>TEXT(IFERROR(VLOOKUP(CONCATENATE(C776,D776),qdd!$C$2:$G$1000,5,FALSE),""),0)</f>
        <v/>
      </c>
      <c r="N776" s="2" t="str">
        <f>IFERROR(IF('PREENCHER AQUI'!I776="","",'PREENCHER AQUI'!I776),"")</f>
        <v/>
      </c>
      <c r="O776" s="2" t="str">
        <f>IFERROR(IF('PREENCHER AQUI'!J776="","",'PREENCHER AQUI'!J776),"")</f>
        <v/>
      </c>
      <c r="P776" s="7" t="str">
        <f t="shared" si="27"/>
        <v/>
      </c>
      <c r="Q776" s="8" t="str">
        <f>IFERROR(IF(Tabela4[[#This Row],[VALOR]]="","",IF(Tabela1[[#This Row],[ORIENTACAO]]="Anular",'PREENCHER AQUI'!K776*-1*100,'PREENCHER AQUI'!K776*100)),"")</f>
        <v/>
      </c>
      <c r="T776" s="7" t="str">
        <f>IFERROR(IF('PREENCHER AQUI'!L776="","999",LEFT('PREENCHER AQUI'!L776,1)),"")</f>
        <v>999</v>
      </c>
      <c r="V776" s="19"/>
      <c r="W776" s="1" t="str">
        <f>IFERROR(VLOOKUP(Tabela1[[#This Row],[UO_COD]],qdd!$AT$1:$AU$102,2,FALSE),"")</f>
        <v/>
      </c>
      <c r="X776" s="1" t="str">
        <f>CONCATENATE("F",Tabela1[[#This Row],[FONTE_COD]],Tabela1[[#This Row],[IPU_COD]],"G",Tabela1[[#This Row],[GRUPO_COD]],"T",Tabela1[[#This Row],[TIPO]])</f>
        <v>FGT999</v>
      </c>
      <c r="Y7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6" s="19"/>
      <c r="AA776" s="29" t="str">
        <f>IFERROR(VLOOKUP(CONCATENATE("B",Tabela1[[#This Row],[BLOCO]],Tabela1[[#This Row],[UO_COD]]),qdd!$AW$2:$AX$1000,2,FALSE),"")</f>
        <v/>
      </c>
      <c r="AB776" s="30" t="str">
        <f>IFERROR(Tabela1[[#This Row],[VALOR]]/100,"")</f>
        <v/>
      </c>
      <c r="AC776" s="7" t="str" cm="1">
        <f t="array" aca="1" ref="AC776" ca="1">IF(Tabela1[[#This Row],[VALOR]]&lt;0,"",IFERROR(SUBSTITUTE(Converter_numero(Tabela1[[#This Row],[VALOR INCISO]]),",",""),""))</f>
        <v/>
      </c>
      <c r="AD776" s="29" t="str">
        <f>IF(Tabela1[[#This Row],[TIPO]]=REGRAS!$W$2,REGRAS!$X$2,IF(Tabela1[[#This Row],[TIPO]]=REGRAS!$W$4,REGRAS!$X$4,""))</f>
        <v/>
      </c>
      <c r="AE776" s="29" t="e">
        <f>VLOOKUP(Tabela1[[#This Row],[FONTE_COD]],REGRAS!$O$2:$P$69,2,FALSE)</f>
        <v>#N/A</v>
      </c>
      <c r="AF7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7" spans="1:32" ht="18.75" customHeight="1">
      <c r="A777" s="2" t="str">
        <f>IFERROR(IF('PREENCHER AQUI'!A777="","",'PREENCHER AQUI'!A777),"")</f>
        <v/>
      </c>
      <c r="B777" s="1" t="str">
        <f>IFERROR(IF('PREENCHER AQUI'!B777="","",PROPER('PREENCHER AQUI'!B777)),"")</f>
        <v/>
      </c>
      <c r="C777" s="1" t="str">
        <f>IFERROR(IF('PREENCHER AQUI'!C777="","",'PREENCHER AQUI'!C777),"")</f>
        <v/>
      </c>
      <c r="D777" s="2" t="str">
        <f>IFERROR(IF('PREENCHER AQUI'!D777="","",'PREENCHER AQUI'!D777),"")</f>
        <v/>
      </c>
      <c r="E777" s="2" t="str">
        <f>IFERROR(VLOOKUP(CONCATENATE(C777,D777),qdd!$C$2:$F$1000,2,FALSE),"")</f>
        <v/>
      </c>
      <c r="F777" s="2" t="str">
        <f>IFERROR(VLOOKUP(CONCATENATE(C777,D777),qdd!$C$2:$F$1000,3,FALSE),"")</f>
        <v/>
      </c>
      <c r="G777" s="2" t="str">
        <f>IFERROR(VLOOKUP(CONCATENATE(C777,D777),qdd!$C$2:$F$1000,4,FALSE),"")</f>
        <v/>
      </c>
      <c r="H777" s="6" t="str">
        <f t="shared" si="26"/>
        <v/>
      </c>
      <c r="I7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7" s="2" t="str">
        <f>IFERROR(IF('PREENCHER AQUI'!E777="","",'PREENCHER AQUI'!E777),"")</f>
        <v/>
      </c>
      <c r="K777" s="2" t="str">
        <f>IFERROR(IF('PREENCHER AQUI'!F777="","",'PREENCHER AQUI'!F777),"")</f>
        <v/>
      </c>
      <c r="L777" s="2" t="str">
        <f>IF(Tabela1[[#This Row],[IPU_COD]]=9,"91",IF(Tabela1[[#This Row],[ACAO_COD]]="","",VLOOKUP(CONCATENATE("G",J777,"M",K777),qdd!$BC$2:$BD$46,2,FALSE)))</f>
        <v/>
      </c>
      <c r="M777" s="2" t="str">
        <f>TEXT(IFERROR(VLOOKUP(CONCATENATE(C777,D777),qdd!$C$2:$G$1000,5,FALSE),""),0)</f>
        <v/>
      </c>
      <c r="N777" s="2" t="str">
        <f>IFERROR(IF('PREENCHER AQUI'!I777="","",'PREENCHER AQUI'!I777),"")</f>
        <v/>
      </c>
      <c r="O777" s="2" t="str">
        <f>IFERROR(IF('PREENCHER AQUI'!J777="","",'PREENCHER AQUI'!J777),"")</f>
        <v/>
      </c>
      <c r="P777" s="7" t="str">
        <f t="shared" si="27"/>
        <v/>
      </c>
      <c r="Q777" s="8" t="str">
        <f>IFERROR(IF(Tabela4[[#This Row],[VALOR]]="","",IF(Tabela1[[#This Row],[ORIENTACAO]]="Anular",'PREENCHER AQUI'!K777*-1*100,'PREENCHER AQUI'!K777*100)),"")</f>
        <v/>
      </c>
      <c r="T777" s="7" t="str">
        <f>IFERROR(IF('PREENCHER AQUI'!L777="","999",LEFT('PREENCHER AQUI'!L777,1)),"")</f>
        <v>999</v>
      </c>
      <c r="W777" s="1" t="str">
        <f>IFERROR(VLOOKUP(Tabela1[[#This Row],[UO_COD]],qdd!$AT$1:$AU$102,2,FALSE),"")</f>
        <v/>
      </c>
      <c r="X777" s="1" t="str">
        <f>CONCATENATE("F",Tabela1[[#This Row],[FONTE_COD]],Tabela1[[#This Row],[IPU_COD]],"G",Tabela1[[#This Row],[GRUPO_COD]],"T",Tabela1[[#This Row],[TIPO]])</f>
        <v>FGT999</v>
      </c>
      <c r="Y7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7" s="19"/>
      <c r="AA777" s="29" t="str">
        <f>IFERROR(VLOOKUP(CONCATENATE("B",Tabela1[[#This Row],[BLOCO]],Tabela1[[#This Row],[UO_COD]]),qdd!$AW$2:$AX$1000,2,FALSE),"")</f>
        <v/>
      </c>
      <c r="AB777" s="30" t="str">
        <f>IFERROR(Tabela1[[#This Row],[VALOR]]/100,"")</f>
        <v/>
      </c>
      <c r="AC777" s="7" t="str" cm="1">
        <f t="array" aca="1" ref="AC777" ca="1">IF(Tabela1[[#This Row],[VALOR]]&lt;0,"",IFERROR(SUBSTITUTE(Converter_numero(Tabela1[[#This Row],[VALOR INCISO]]),",",""),""))</f>
        <v/>
      </c>
      <c r="AD777" s="7" t="str">
        <f>IF(Tabela1[[#This Row],[TIPO]]=REGRAS!$W$2,REGRAS!$X$2,IF(Tabela1[[#This Row],[TIPO]]=REGRAS!$W$4,REGRAS!$X$4,""))</f>
        <v/>
      </c>
      <c r="AE777" s="29" t="e">
        <f>VLOOKUP(Tabela1[[#This Row],[FONTE_COD]],REGRAS!$O$2:$P$69,2,FALSE)</f>
        <v>#N/A</v>
      </c>
      <c r="AF7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8" spans="1:32" ht="18.75" customHeight="1">
      <c r="A778" s="2" t="str">
        <f>IFERROR(IF('PREENCHER AQUI'!A778="","",'PREENCHER AQUI'!A778),"")</f>
        <v/>
      </c>
      <c r="B778" s="1" t="str">
        <f>IFERROR(IF('PREENCHER AQUI'!B778="","",PROPER('PREENCHER AQUI'!B778)),"")</f>
        <v/>
      </c>
      <c r="C778" s="1" t="str">
        <f>IFERROR(IF('PREENCHER AQUI'!C778="","",'PREENCHER AQUI'!C778),"")</f>
        <v/>
      </c>
      <c r="D778" s="2" t="str">
        <f>IFERROR(IF('PREENCHER AQUI'!D778="","",'PREENCHER AQUI'!D778),"")</f>
        <v/>
      </c>
      <c r="E778" s="2" t="str">
        <f>IFERROR(VLOOKUP(CONCATENATE(C778,D778),qdd!$C$2:$F$1000,2,FALSE),"")</f>
        <v/>
      </c>
      <c r="F778" s="2" t="str">
        <f>IFERROR(VLOOKUP(CONCATENATE(C778,D778),qdd!$C$2:$F$1000,3,FALSE),"")</f>
        <v/>
      </c>
      <c r="G778" s="2" t="str">
        <f>IFERROR(VLOOKUP(CONCATENATE(C778,D778),qdd!$C$2:$F$1000,4,FALSE),"")</f>
        <v/>
      </c>
      <c r="H778" s="6" t="str">
        <f t="shared" si="26"/>
        <v/>
      </c>
      <c r="I7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8" s="2" t="str">
        <f>IFERROR(IF('PREENCHER AQUI'!E778="","",'PREENCHER AQUI'!E778),"")</f>
        <v/>
      </c>
      <c r="K778" s="2" t="str">
        <f>IFERROR(IF('PREENCHER AQUI'!F778="","",'PREENCHER AQUI'!F778),"")</f>
        <v/>
      </c>
      <c r="L778" s="2" t="str">
        <f>IF(Tabela1[[#This Row],[IPU_COD]]=9,"91",IF(Tabela1[[#This Row],[ACAO_COD]]="","",VLOOKUP(CONCATENATE("G",J778,"M",K778),qdd!$BC$2:$BD$46,2,FALSE)))</f>
        <v/>
      </c>
      <c r="M778" s="2" t="str">
        <f>TEXT(IFERROR(VLOOKUP(CONCATENATE(C778,D778),qdd!$C$2:$G$1000,5,FALSE),""),0)</f>
        <v/>
      </c>
      <c r="N778" s="2" t="str">
        <f>IFERROR(IF('PREENCHER AQUI'!I778="","",'PREENCHER AQUI'!I778),"")</f>
        <v/>
      </c>
      <c r="O778" s="2" t="str">
        <f>IFERROR(IF('PREENCHER AQUI'!J778="","",'PREENCHER AQUI'!J778),"")</f>
        <v/>
      </c>
      <c r="P778" s="7" t="str">
        <f t="shared" si="27"/>
        <v/>
      </c>
      <c r="Q778" s="8" t="str">
        <f>IFERROR(IF(Tabela4[[#This Row],[VALOR]]="","",IF(Tabela1[[#This Row],[ORIENTACAO]]="Anular",'PREENCHER AQUI'!K778*-1*100,'PREENCHER AQUI'!K778*100)),"")</f>
        <v/>
      </c>
      <c r="T778" s="7" t="str">
        <f>IFERROR(IF('PREENCHER AQUI'!L778="","999",LEFT('PREENCHER AQUI'!L778,1)),"")</f>
        <v>999</v>
      </c>
      <c r="V778" s="19"/>
      <c r="W778" s="1" t="str">
        <f>IFERROR(VLOOKUP(Tabela1[[#This Row],[UO_COD]],qdd!$AT$1:$AU$102,2,FALSE),"")</f>
        <v/>
      </c>
      <c r="X778" s="1" t="str">
        <f>CONCATENATE("F",Tabela1[[#This Row],[FONTE_COD]],Tabela1[[#This Row],[IPU_COD]],"G",Tabela1[[#This Row],[GRUPO_COD]],"T",Tabela1[[#This Row],[TIPO]])</f>
        <v>FGT999</v>
      </c>
      <c r="Y7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8" s="19"/>
      <c r="AA778" s="29" t="str">
        <f>IFERROR(VLOOKUP(CONCATENATE("B",Tabela1[[#This Row],[BLOCO]],Tabela1[[#This Row],[UO_COD]]),qdd!$AW$2:$AX$1000,2,FALSE),"")</f>
        <v/>
      </c>
      <c r="AB778" s="30" t="str">
        <f>IFERROR(Tabela1[[#This Row],[VALOR]]/100,"")</f>
        <v/>
      </c>
      <c r="AC778" s="7" t="str" cm="1">
        <f t="array" aca="1" ref="AC778" ca="1">IF(Tabela1[[#This Row],[VALOR]]&lt;0,"",IFERROR(SUBSTITUTE(Converter_numero(Tabela1[[#This Row],[VALOR INCISO]]),",",""),""))</f>
        <v/>
      </c>
      <c r="AD778" s="29" t="str">
        <f>IF(Tabela1[[#This Row],[TIPO]]=REGRAS!$W$2,REGRAS!$X$2,IF(Tabela1[[#This Row],[TIPO]]=REGRAS!$W$4,REGRAS!$X$4,""))</f>
        <v/>
      </c>
      <c r="AE778" s="29" t="e">
        <f>VLOOKUP(Tabela1[[#This Row],[FONTE_COD]],REGRAS!$O$2:$P$69,2,FALSE)</f>
        <v>#N/A</v>
      </c>
      <c r="AF7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9" spans="1:32" ht="18.75" customHeight="1">
      <c r="A779" s="2" t="str">
        <f>IFERROR(IF('PREENCHER AQUI'!A779="","",'PREENCHER AQUI'!A779),"")</f>
        <v/>
      </c>
      <c r="B779" s="1" t="str">
        <f>IFERROR(IF('PREENCHER AQUI'!B779="","",PROPER('PREENCHER AQUI'!B779)),"")</f>
        <v/>
      </c>
      <c r="C779" s="1" t="str">
        <f>IFERROR(IF('PREENCHER AQUI'!C779="","",'PREENCHER AQUI'!C779),"")</f>
        <v/>
      </c>
      <c r="D779" s="2" t="str">
        <f>IFERROR(IF('PREENCHER AQUI'!D779="","",'PREENCHER AQUI'!D779),"")</f>
        <v/>
      </c>
      <c r="E779" s="2" t="str">
        <f>IFERROR(VLOOKUP(CONCATENATE(C779,D779),qdd!$C$2:$F$1000,2,FALSE),"")</f>
        <v/>
      </c>
      <c r="F779" s="2" t="str">
        <f>IFERROR(VLOOKUP(CONCATENATE(C779,D779),qdd!$C$2:$F$1000,3,FALSE),"")</f>
        <v/>
      </c>
      <c r="G779" s="2" t="str">
        <f>IFERROR(VLOOKUP(CONCATENATE(C779,D779),qdd!$C$2:$F$1000,4,FALSE),"")</f>
        <v/>
      </c>
      <c r="H779" s="6" t="str">
        <f t="shared" si="26"/>
        <v/>
      </c>
      <c r="I7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9" s="2" t="str">
        <f>IFERROR(IF('PREENCHER AQUI'!E779="","",'PREENCHER AQUI'!E779),"")</f>
        <v/>
      </c>
      <c r="K779" s="2" t="str">
        <f>IFERROR(IF('PREENCHER AQUI'!F779="","",'PREENCHER AQUI'!F779),"")</f>
        <v/>
      </c>
      <c r="L779" s="2" t="str">
        <f>IF(Tabela1[[#This Row],[IPU_COD]]=9,"91",IF(Tabela1[[#This Row],[ACAO_COD]]="","",VLOOKUP(CONCATENATE("G",J779,"M",K779),qdd!$BC$2:$BD$46,2,FALSE)))</f>
        <v/>
      </c>
      <c r="M779" s="2" t="str">
        <f>TEXT(IFERROR(VLOOKUP(CONCATENATE(C779,D779),qdd!$C$2:$G$1000,5,FALSE),""),0)</f>
        <v/>
      </c>
      <c r="N779" s="2" t="str">
        <f>IFERROR(IF('PREENCHER AQUI'!I779="","",'PREENCHER AQUI'!I779),"")</f>
        <v/>
      </c>
      <c r="O779" s="2" t="str">
        <f>IFERROR(IF('PREENCHER AQUI'!J779="","",'PREENCHER AQUI'!J779),"")</f>
        <v/>
      </c>
      <c r="P779" s="7" t="str">
        <f t="shared" si="27"/>
        <v/>
      </c>
      <c r="Q779" s="8" t="str">
        <f>IFERROR(IF(Tabela4[[#This Row],[VALOR]]="","",IF(Tabela1[[#This Row],[ORIENTACAO]]="Anular",'PREENCHER AQUI'!K779*-1*100,'PREENCHER AQUI'!K779*100)),"")</f>
        <v/>
      </c>
      <c r="T779" s="7" t="str">
        <f>IFERROR(IF('PREENCHER AQUI'!L779="","999",LEFT('PREENCHER AQUI'!L779,1)),"")</f>
        <v>999</v>
      </c>
      <c r="V779" s="19"/>
      <c r="W779" s="1" t="str">
        <f>IFERROR(VLOOKUP(Tabela1[[#This Row],[UO_COD]],qdd!$AT$1:$AU$102,2,FALSE),"")</f>
        <v/>
      </c>
      <c r="X779" s="1" t="str">
        <f>CONCATENATE("F",Tabela1[[#This Row],[FONTE_COD]],Tabela1[[#This Row],[IPU_COD]],"G",Tabela1[[#This Row],[GRUPO_COD]],"T",Tabela1[[#This Row],[TIPO]])</f>
        <v>FGT999</v>
      </c>
      <c r="Y7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9" s="19"/>
      <c r="AA779" s="29" t="str">
        <f>IFERROR(VLOOKUP(CONCATENATE("B",Tabela1[[#This Row],[BLOCO]],Tabela1[[#This Row],[UO_COD]]),qdd!$AW$2:$AX$1000,2,FALSE),"")</f>
        <v/>
      </c>
      <c r="AB779" s="30" t="str">
        <f>IFERROR(Tabela1[[#This Row],[VALOR]]/100,"")</f>
        <v/>
      </c>
      <c r="AC779" s="7" t="str" cm="1">
        <f t="array" aca="1" ref="AC779" ca="1">IF(Tabela1[[#This Row],[VALOR]]&lt;0,"",IFERROR(SUBSTITUTE(Converter_numero(Tabela1[[#This Row],[VALOR INCISO]]),",",""),""))</f>
        <v/>
      </c>
      <c r="AD779" s="29" t="str">
        <f>IF(Tabela1[[#This Row],[TIPO]]=REGRAS!$W$2,REGRAS!$X$2,IF(Tabela1[[#This Row],[TIPO]]=REGRAS!$W$4,REGRAS!$X$4,""))</f>
        <v/>
      </c>
      <c r="AE779" s="29" t="e">
        <f>VLOOKUP(Tabela1[[#This Row],[FONTE_COD]],REGRAS!$O$2:$P$69,2,FALSE)</f>
        <v>#N/A</v>
      </c>
      <c r="AF7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0" spans="1:32" ht="18.75" customHeight="1">
      <c r="A780" s="2" t="str">
        <f>IFERROR(IF('PREENCHER AQUI'!A780="","",'PREENCHER AQUI'!A780),"")</f>
        <v/>
      </c>
      <c r="B780" s="1" t="str">
        <f>IFERROR(IF('PREENCHER AQUI'!B780="","",PROPER('PREENCHER AQUI'!B780)),"")</f>
        <v/>
      </c>
      <c r="C780" s="1" t="str">
        <f>IFERROR(IF('PREENCHER AQUI'!C780="","",'PREENCHER AQUI'!C780),"")</f>
        <v/>
      </c>
      <c r="D780" s="2" t="str">
        <f>IFERROR(IF('PREENCHER AQUI'!D780="","",'PREENCHER AQUI'!D780),"")</f>
        <v/>
      </c>
      <c r="E780" s="2" t="str">
        <f>IFERROR(VLOOKUP(CONCATENATE(C780,D780),qdd!$C$2:$F$1000,2,FALSE),"")</f>
        <v/>
      </c>
      <c r="F780" s="2" t="str">
        <f>IFERROR(VLOOKUP(CONCATENATE(C780,D780),qdd!$C$2:$F$1000,3,FALSE),"")</f>
        <v/>
      </c>
      <c r="G780" s="2" t="str">
        <f>IFERROR(VLOOKUP(CONCATENATE(C780,D780),qdd!$C$2:$F$1000,4,FALSE),"")</f>
        <v/>
      </c>
      <c r="H780" s="6" t="str">
        <f t="shared" si="26"/>
        <v/>
      </c>
      <c r="I7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0" s="2" t="str">
        <f>IFERROR(IF('PREENCHER AQUI'!E780="","",'PREENCHER AQUI'!E780),"")</f>
        <v/>
      </c>
      <c r="K780" s="2" t="str">
        <f>IFERROR(IF('PREENCHER AQUI'!F780="","",'PREENCHER AQUI'!F780),"")</f>
        <v/>
      </c>
      <c r="L780" s="2" t="str">
        <f>IF(Tabela1[[#This Row],[IPU_COD]]=9,"91",IF(Tabela1[[#This Row],[ACAO_COD]]="","",VLOOKUP(CONCATENATE("G",J780,"M",K780),qdd!$BC$2:$BD$46,2,FALSE)))</f>
        <v/>
      </c>
      <c r="M780" s="2" t="str">
        <f>TEXT(IFERROR(VLOOKUP(CONCATENATE(C780,D780),qdd!$C$2:$G$1000,5,FALSE),""),0)</f>
        <v/>
      </c>
      <c r="N780" s="2" t="str">
        <f>IFERROR(IF('PREENCHER AQUI'!I780="","",'PREENCHER AQUI'!I780),"")</f>
        <v/>
      </c>
      <c r="O780" s="2" t="str">
        <f>IFERROR(IF('PREENCHER AQUI'!J780="","",'PREENCHER AQUI'!J780),"")</f>
        <v/>
      </c>
      <c r="P780" s="7" t="str">
        <f t="shared" si="27"/>
        <v/>
      </c>
      <c r="Q780" s="8" t="str">
        <f>IFERROR(IF(Tabela4[[#This Row],[VALOR]]="","",IF(Tabela1[[#This Row],[ORIENTACAO]]="Anular",'PREENCHER AQUI'!K780*-1*100,'PREENCHER AQUI'!K780*100)),"")</f>
        <v/>
      </c>
      <c r="T780" s="7" t="str">
        <f>IFERROR(IF('PREENCHER AQUI'!L780="","999",LEFT('PREENCHER AQUI'!L780,1)),"")</f>
        <v>999</v>
      </c>
      <c r="V780" s="19"/>
      <c r="W780" s="20" t="str">
        <f>IFERROR(VLOOKUP(Tabela1[[#This Row],[UO_COD]],qdd!$AT$1:$AU$102,2,FALSE),"")</f>
        <v/>
      </c>
      <c r="X780" s="20" t="str">
        <f>CONCATENATE("F",Tabela1[[#This Row],[FONTE_COD]],Tabela1[[#This Row],[IPU_COD]],"G",Tabela1[[#This Row],[GRUPO_COD]],"T",Tabela1[[#This Row],[TIPO]])</f>
        <v>FGT999</v>
      </c>
      <c r="Y7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0" s="19"/>
      <c r="AA780" s="29" t="str">
        <f>IFERROR(VLOOKUP(CONCATENATE("B",Tabela1[[#This Row],[BLOCO]],Tabela1[[#This Row],[UO_COD]]),qdd!$AW$2:$AX$1000,2,FALSE),"")</f>
        <v/>
      </c>
      <c r="AB780" s="30" t="str">
        <f>IFERROR(Tabela1[[#This Row],[VALOR]]/100,"")</f>
        <v/>
      </c>
      <c r="AC780" s="7" t="str" cm="1">
        <f t="array" aca="1" ref="AC780" ca="1">IF(Tabela1[[#This Row],[VALOR]]&lt;0,"",IFERROR(SUBSTITUTE(Converter_numero(Tabela1[[#This Row],[VALOR INCISO]]),",",""),""))</f>
        <v/>
      </c>
      <c r="AD780" s="29" t="str">
        <f>IF(Tabela1[[#This Row],[TIPO]]=REGRAS!$W$2,REGRAS!$X$2,IF(Tabela1[[#This Row],[TIPO]]=REGRAS!$W$4,REGRAS!$X$4,""))</f>
        <v/>
      </c>
      <c r="AE780" s="29" t="e">
        <f>VLOOKUP(Tabela1[[#This Row],[FONTE_COD]],REGRAS!$O$2:$P$69,2,FALSE)</f>
        <v>#N/A</v>
      </c>
      <c r="AF7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1" spans="1:32" ht="18.75" customHeight="1">
      <c r="A781" s="2" t="str">
        <f>IFERROR(IF('PREENCHER AQUI'!A781="","",'PREENCHER AQUI'!A781),"")</f>
        <v/>
      </c>
      <c r="B781" s="1" t="str">
        <f>IFERROR(IF('PREENCHER AQUI'!B781="","",PROPER('PREENCHER AQUI'!B781)),"")</f>
        <v/>
      </c>
      <c r="C781" s="1" t="str">
        <f>IFERROR(IF('PREENCHER AQUI'!C781="","",'PREENCHER AQUI'!C781),"")</f>
        <v/>
      </c>
      <c r="D781" s="2" t="str">
        <f>IFERROR(IF('PREENCHER AQUI'!D781="","",'PREENCHER AQUI'!D781),"")</f>
        <v/>
      </c>
      <c r="E781" s="2" t="str">
        <f>IFERROR(VLOOKUP(CONCATENATE(C781,D781),qdd!$C$2:$F$1000,2,FALSE),"")</f>
        <v/>
      </c>
      <c r="F781" s="2" t="str">
        <f>IFERROR(VLOOKUP(CONCATENATE(C781,D781),qdd!$C$2:$F$1000,3,FALSE),"")</f>
        <v/>
      </c>
      <c r="G781" s="2" t="str">
        <f>IFERROR(VLOOKUP(CONCATENATE(C781,D781),qdd!$C$2:$F$1000,4,FALSE),"")</f>
        <v/>
      </c>
      <c r="H781" s="6" t="str">
        <f t="shared" si="26"/>
        <v/>
      </c>
      <c r="I7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1" s="2" t="str">
        <f>IFERROR(IF('PREENCHER AQUI'!E781="","",'PREENCHER AQUI'!E781),"")</f>
        <v/>
      </c>
      <c r="K781" s="2" t="str">
        <f>IFERROR(IF('PREENCHER AQUI'!F781="","",'PREENCHER AQUI'!F781),"")</f>
        <v/>
      </c>
      <c r="L781" s="2" t="str">
        <f>IF(Tabela1[[#This Row],[IPU_COD]]=9,"91",IF(Tabela1[[#This Row],[ACAO_COD]]="","",VLOOKUP(CONCATENATE("G",J781,"M",K781),qdd!$BC$2:$BD$46,2,FALSE)))</f>
        <v/>
      </c>
      <c r="M781" s="2" t="str">
        <f>TEXT(IFERROR(VLOOKUP(CONCATENATE(C781,D781),qdd!$C$2:$G$1000,5,FALSE),""),0)</f>
        <v/>
      </c>
      <c r="N781" s="2" t="str">
        <f>IFERROR(IF('PREENCHER AQUI'!I781="","",'PREENCHER AQUI'!I781),"")</f>
        <v/>
      </c>
      <c r="O781" s="2" t="str">
        <f>IFERROR(IF('PREENCHER AQUI'!J781="","",'PREENCHER AQUI'!J781),"")</f>
        <v/>
      </c>
      <c r="P781" s="7" t="str">
        <f t="shared" si="27"/>
        <v/>
      </c>
      <c r="Q781" s="8" t="str">
        <f>IFERROR(IF(Tabela4[[#This Row],[VALOR]]="","",IF(Tabela1[[#This Row],[ORIENTACAO]]="Anular",'PREENCHER AQUI'!K781*-1*100,'PREENCHER AQUI'!K781*100)),"")</f>
        <v/>
      </c>
      <c r="T781" s="7" t="str">
        <f>IFERROR(IF('PREENCHER AQUI'!L781="","999",LEFT('PREENCHER AQUI'!L781,1)),"")</f>
        <v>999</v>
      </c>
      <c r="V781" s="19"/>
      <c r="W781" s="1" t="str">
        <f>IFERROR(VLOOKUP(Tabela1[[#This Row],[UO_COD]],qdd!$AT$1:$AU$102,2,FALSE),"")</f>
        <v/>
      </c>
      <c r="X781" s="1" t="str">
        <f>CONCATENATE("F",Tabela1[[#This Row],[FONTE_COD]],Tabela1[[#This Row],[IPU_COD]],"G",Tabela1[[#This Row],[GRUPO_COD]],"T",Tabela1[[#This Row],[TIPO]])</f>
        <v>FGT999</v>
      </c>
      <c r="Y7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1" s="19"/>
      <c r="AA781" s="29" t="str">
        <f>IFERROR(VLOOKUP(CONCATENATE("B",Tabela1[[#This Row],[BLOCO]],Tabela1[[#This Row],[UO_COD]]),qdd!$AW$2:$AX$1000,2,FALSE),"")</f>
        <v/>
      </c>
      <c r="AB781" s="30" t="str">
        <f>IFERROR(Tabela1[[#This Row],[VALOR]]/100,"")</f>
        <v/>
      </c>
      <c r="AC781" s="7" t="str" cm="1">
        <f t="array" aca="1" ref="AC781" ca="1">IF(Tabela1[[#This Row],[VALOR]]&lt;0,"",IFERROR(SUBSTITUTE(Converter_numero(Tabela1[[#This Row],[VALOR INCISO]]),",",""),""))</f>
        <v/>
      </c>
      <c r="AD781" s="29" t="str">
        <f>IF(Tabela1[[#This Row],[TIPO]]=REGRAS!$W$2,REGRAS!$X$2,IF(Tabela1[[#This Row],[TIPO]]=REGRAS!$W$4,REGRAS!$X$4,""))</f>
        <v/>
      </c>
      <c r="AE781" s="29" t="e">
        <f>VLOOKUP(Tabela1[[#This Row],[FONTE_COD]],REGRAS!$O$2:$P$69,2,FALSE)</f>
        <v>#N/A</v>
      </c>
      <c r="AF7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2" spans="1:32" ht="18.75" customHeight="1">
      <c r="A782" s="2" t="str">
        <f>IFERROR(IF('PREENCHER AQUI'!A782="","",'PREENCHER AQUI'!A782),"")</f>
        <v/>
      </c>
      <c r="B782" s="1" t="str">
        <f>IFERROR(IF('PREENCHER AQUI'!B782="","",PROPER('PREENCHER AQUI'!B782)),"")</f>
        <v/>
      </c>
      <c r="C782" s="1" t="str">
        <f>IFERROR(IF('PREENCHER AQUI'!C782="","",'PREENCHER AQUI'!C782),"")</f>
        <v/>
      </c>
      <c r="D782" s="2" t="str">
        <f>IFERROR(IF('PREENCHER AQUI'!D782="","",'PREENCHER AQUI'!D782),"")</f>
        <v/>
      </c>
      <c r="E782" s="2" t="str">
        <f>IFERROR(VLOOKUP(CONCATENATE(C782,D782),qdd!$C$2:$F$1000,2,FALSE),"")</f>
        <v/>
      </c>
      <c r="F782" s="2" t="str">
        <f>IFERROR(VLOOKUP(CONCATENATE(C782,D782),qdd!$C$2:$F$1000,3,FALSE),"")</f>
        <v/>
      </c>
      <c r="G782" s="2" t="str">
        <f>IFERROR(VLOOKUP(CONCATENATE(C782,D782),qdd!$C$2:$F$1000,4,FALSE),"")</f>
        <v/>
      </c>
      <c r="H782" s="6" t="str">
        <f t="shared" si="26"/>
        <v/>
      </c>
      <c r="I7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2" s="2" t="str">
        <f>IFERROR(IF('PREENCHER AQUI'!E782="","",'PREENCHER AQUI'!E782),"")</f>
        <v/>
      </c>
      <c r="K782" s="2" t="str">
        <f>IFERROR(IF('PREENCHER AQUI'!F782="","",'PREENCHER AQUI'!F782),"")</f>
        <v/>
      </c>
      <c r="L782" s="2" t="str">
        <f>IF(Tabela1[[#This Row],[IPU_COD]]=9,"91",IF(Tabela1[[#This Row],[ACAO_COD]]="","",VLOOKUP(CONCATENATE("G",J782,"M",K782),qdd!$BC$2:$BD$46,2,FALSE)))</f>
        <v/>
      </c>
      <c r="M782" s="2" t="str">
        <f>TEXT(IFERROR(VLOOKUP(CONCATENATE(C782,D782),qdd!$C$2:$G$1000,5,FALSE),""),0)</f>
        <v/>
      </c>
      <c r="N782" s="2" t="str">
        <f>IFERROR(IF('PREENCHER AQUI'!I782="","",'PREENCHER AQUI'!I782),"")</f>
        <v/>
      </c>
      <c r="O782" s="2" t="str">
        <f>IFERROR(IF('PREENCHER AQUI'!J782="","",'PREENCHER AQUI'!J782),"")</f>
        <v/>
      </c>
      <c r="P782" s="7" t="str">
        <f t="shared" si="27"/>
        <v/>
      </c>
      <c r="Q782" s="8" t="str">
        <f>IFERROR(IF(Tabela4[[#This Row],[VALOR]]="","",IF(Tabela1[[#This Row],[ORIENTACAO]]="Anular",'PREENCHER AQUI'!K782*-1*100,'PREENCHER AQUI'!K782*100)),"")</f>
        <v/>
      </c>
      <c r="T782" s="7" t="str">
        <f>IFERROR(IF('PREENCHER AQUI'!L782="","999",LEFT('PREENCHER AQUI'!L782,1)),"")</f>
        <v>999</v>
      </c>
      <c r="W782" s="1" t="str">
        <f>IFERROR(VLOOKUP(Tabela1[[#This Row],[UO_COD]],qdd!$AT$1:$AU$102,2,FALSE),"")</f>
        <v/>
      </c>
      <c r="X782" s="1" t="str">
        <f>CONCATENATE("F",Tabela1[[#This Row],[FONTE_COD]],Tabela1[[#This Row],[IPU_COD]],"G",Tabela1[[#This Row],[GRUPO_COD]],"T",Tabela1[[#This Row],[TIPO]])</f>
        <v>FGT999</v>
      </c>
      <c r="Y7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2" s="19"/>
      <c r="AA782" s="29" t="str">
        <f>IFERROR(VLOOKUP(CONCATENATE("B",Tabela1[[#This Row],[BLOCO]],Tabela1[[#This Row],[UO_COD]]),qdd!$AW$2:$AX$1000,2,FALSE),"")</f>
        <v/>
      </c>
      <c r="AB782" s="30" t="str">
        <f>IFERROR(Tabela1[[#This Row],[VALOR]]/100,"")</f>
        <v/>
      </c>
      <c r="AC782" s="7" t="str" cm="1">
        <f t="array" aca="1" ref="AC782" ca="1">IF(Tabela1[[#This Row],[VALOR]]&lt;0,"",IFERROR(SUBSTITUTE(Converter_numero(Tabela1[[#This Row],[VALOR INCISO]]),",",""),""))</f>
        <v/>
      </c>
      <c r="AD782" s="7" t="str">
        <f>IF(Tabela1[[#This Row],[TIPO]]=REGRAS!$W$2,REGRAS!$X$2,IF(Tabela1[[#This Row],[TIPO]]=REGRAS!$W$4,REGRAS!$X$4,""))</f>
        <v/>
      </c>
      <c r="AE782" s="29" t="e">
        <f>VLOOKUP(Tabela1[[#This Row],[FONTE_COD]],REGRAS!$O$2:$P$69,2,FALSE)</f>
        <v>#N/A</v>
      </c>
      <c r="AF7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3" spans="1:32" ht="18.75" customHeight="1">
      <c r="A783" s="2" t="str">
        <f>IFERROR(IF('PREENCHER AQUI'!A783="","",'PREENCHER AQUI'!A783),"")</f>
        <v/>
      </c>
      <c r="B783" s="1" t="str">
        <f>IFERROR(IF('PREENCHER AQUI'!B783="","",PROPER('PREENCHER AQUI'!B783)),"")</f>
        <v/>
      </c>
      <c r="C783" s="1" t="str">
        <f>IFERROR(IF('PREENCHER AQUI'!C783="","",'PREENCHER AQUI'!C783),"")</f>
        <v/>
      </c>
      <c r="D783" s="2" t="str">
        <f>IFERROR(IF('PREENCHER AQUI'!D783="","",'PREENCHER AQUI'!D783),"")</f>
        <v/>
      </c>
      <c r="E783" s="2" t="str">
        <f>IFERROR(VLOOKUP(CONCATENATE(C783,D783),qdd!$C$2:$F$1000,2,FALSE),"")</f>
        <v/>
      </c>
      <c r="F783" s="2" t="str">
        <f>IFERROR(VLOOKUP(CONCATENATE(C783,D783),qdd!$C$2:$F$1000,3,FALSE),"")</f>
        <v/>
      </c>
      <c r="G783" s="2" t="str">
        <f>IFERROR(VLOOKUP(CONCATENATE(C783,D783),qdd!$C$2:$F$1000,4,FALSE),"")</f>
        <v/>
      </c>
      <c r="H783" s="6" t="str">
        <f t="shared" si="26"/>
        <v/>
      </c>
      <c r="I7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3" s="2" t="str">
        <f>IFERROR(IF('PREENCHER AQUI'!E783="","",'PREENCHER AQUI'!E783),"")</f>
        <v/>
      </c>
      <c r="K783" s="2" t="str">
        <f>IFERROR(IF('PREENCHER AQUI'!F783="","",'PREENCHER AQUI'!F783),"")</f>
        <v/>
      </c>
      <c r="L783" s="2" t="str">
        <f>IF(Tabela1[[#This Row],[IPU_COD]]=9,"91",IF(Tabela1[[#This Row],[ACAO_COD]]="","",VLOOKUP(CONCATENATE("G",J783,"M",K783),qdd!$BC$2:$BD$46,2,FALSE)))</f>
        <v/>
      </c>
      <c r="M783" s="2" t="str">
        <f>TEXT(IFERROR(VLOOKUP(CONCATENATE(C783,D783),qdd!$C$2:$G$1000,5,FALSE),""),0)</f>
        <v/>
      </c>
      <c r="N783" s="2" t="str">
        <f>IFERROR(IF('PREENCHER AQUI'!I783="","",'PREENCHER AQUI'!I783),"")</f>
        <v/>
      </c>
      <c r="O783" s="2" t="str">
        <f>IFERROR(IF('PREENCHER AQUI'!J783="","",'PREENCHER AQUI'!J783),"")</f>
        <v/>
      </c>
      <c r="P783" s="7" t="str">
        <f t="shared" si="27"/>
        <v/>
      </c>
      <c r="Q783" s="8" t="str">
        <f>IFERROR(IF(Tabela4[[#This Row],[VALOR]]="","",IF(Tabela1[[#This Row],[ORIENTACAO]]="Anular",'PREENCHER AQUI'!K783*-1*100,'PREENCHER AQUI'!K783*100)),"")</f>
        <v/>
      </c>
      <c r="T783" s="7" t="str">
        <f>IFERROR(IF('PREENCHER AQUI'!L783="","999",LEFT('PREENCHER AQUI'!L783,1)),"")</f>
        <v>999</v>
      </c>
      <c r="V783" s="19"/>
      <c r="W783" s="1" t="str">
        <f>IFERROR(VLOOKUP(Tabela1[[#This Row],[UO_COD]],qdd!$AT$1:$AU$102,2,FALSE),"")</f>
        <v/>
      </c>
      <c r="X783" s="1" t="str">
        <f>CONCATENATE("F",Tabela1[[#This Row],[FONTE_COD]],Tabela1[[#This Row],[IPU_COD]],"G",Tabela1[[#This Row],[GRUPO_COD]],"T",Tabela1[[#This Row],[TIPO]])</f>
        <v>FGT999</v>
      </c>
      <c r="Y7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3" s="19"/>
      <c r="AA783" s="29" t="str">
        <f>IFERROR(VLOOKUP(CONCATENATE("B",Tabela1[[#This Row],[BLOCO]],Tabela1[[#This Row],[UO_COD]]),qdd!$AW$2:$AX$1000,2,FALSE),"")</f>
        <v/>
      </c>
      <c r="AB783" s="30" t="str">
        <f>IFERROR(Tabela1[[#This Row],[VALOR]]/100,"")</f>
        <v/>
      </c>
      <c r="AC783" s="7" t="str" cm="1">
        <f t="array" aca="1" ref="AC783" ca="1">IF(Tabela1[[#This Row],[VALOR]]&lt;0,"",IFERROR(SUBSTITUTE(Converter_numero(Tabela1[[#This Row],[VALOR INCISO]]),",",""),""))</f>
        <v/>
      </c>
      <c r="AD783" s="29" t="str">
        <f>IF(Tabela1[[#This Row],[TIPO]]=REGRAS!$W$2,REGRAS!$X$2,IF(Tabela1[[#This Row],[TIPO]]=REGRAS!$W$4,REGRAS!$X$4,""))</f>
        <v/>
      </c>
      <c r="AE783" s="29" t="e">
        <f>VLOOKUP(Tabela1[[#This Row],[FONTE_COD]],REGRAS!$O$2:$P$69,2,FALSE)</f>
        <v>#N/A</v>
      </c>
      <c r="AF7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4" spans="1:32" ht="18.75" customHeight="1">
      <c r="A784" s="2" t="str">
        <f>IFERROR(IF('PREENCHER AQUI'!A784="","",'PREENCHER AQUI'!A784),"")</f>
        <v/>
      </c>
      <c r="B784" s="1" t="str">
        <f>IFERROR(IF('PREENCHER AQUI'!B784="","",PROPER('PREENCHER AQUI'!B784)),"")</f>
        <v/>
      </c>
      <c r="C784" s="1" t="str">
        <f>IFERROR(IF('PREENCHER AQUI'!C784="","",'PREENCHER AQUI'!C784),"")</f>
        <v/>
      </c>
      <c r="D784" s="2" t="str">
        <f>IFERROR(IF('PREENCHER AQUI'!D784="","",'PREENCHER AQUI'!D784),"")</f>
        <v/>
      </c>
      <c r="E784" s="2" t="str">
        <f>IFERROR(VLOOKUP(CONCATENATE(C784,D784),qdd!$C$2:$F$1000,2,FALSE),"")</f>
        <v/>
      </c>
      <c r="F784" s="2" t="str">
        <f>IFERROR(VLOOKUP(CONCATENATE(C784,D784),qdd!$C$2:$F$1000,3,FALSE),"")</f>
        <v/>
      </c>
      <c r="G784" s="2" t="str">
        <f>IFERROR(VLOOKUP(CONCATENATE(C784,D784),qdd!$C$2:$F$1000,4,FALSE),"")</f>
        <v/>
      </c>
      <c r="H784" s="6" t="str">
        <f t="shared" si="26"/>
        <v/>
      </c>
      <c r="I7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4" s="2" t="str">
        <f>IFERROR(IF('PREENCHER AQUI'!E784="","",'PREENCHER AQUI'!E784),"")</f>
        <v/>
      </c>
      <c r="K784" s="2" t="str">
        <f>IFERROR(IF('PREENCHER AQUI'!F784="","",'PREENCHER AQUI'!F784),"")</f>
        <v/>
      </c>
      <c r="L784" s="2" t="str">
        <f>IF(Tabela1[[#This Row],[IPU_COD]]=9,"91",IF(Tabela1[[#This Row],[ACAO_COD]]="","",VLOOKUP(CONCATENATE("G",J784,"M",K784),qdd!$BC$2:$BD$46,2,FALSE)))</f>
        <v/>
      </c>
      <c r="M784" s="2" t="str">
        <f>TEXT(IFERROR(VLOOKUP(CONCATENATE(C784,D784),qdd!$C$2:$G$1000,5,FALSE),""),0)</f>
        <v/>
      </c>
      <c r="N784" s="2" t="str">
        <f>IFERROR(IF('PREENCHER AQUI'!I784="","",'PREENCHER AQUI'!I784),"")</f>
        <v/>
      </c>
      <c r="O784" s="2" t="str">
        <f>IFERROR(IF('PREENCHER AQUI'!J784="","",'PREENCHER AQUI'!J784),"")</f>
        <v/>
      </c>
      <c r="P784" s="7" t="str">
        <f t="shared" si="27"/>
        <v/>
      </c>
      <c r="Q784" s="8" t="str">
        <f>IFERROR(IF(Tabela4[[#This Row],[VALOR]]="","",IF(Tabela1[[#This Row],[ORIENTACAO]]="Anular",'PREENCHER AQUI'!K784*-1*100,'PREENCHER AQUI'!K784*100)),"")</f>
        <v/>
      </c>
      <c r="T784" s="7" t="str">
        <f>IFERROR(IF('PREENCHER AQUI'!L784="","999",LEFT('PREENCHER AQUI'!L784,1)),"")</f>
        <v>999</v>
      </c>
      <c r="V784" s="19"/>
      <c r="W784" s="1" t="str">
        <f>IFERROR(VLOOKUP(Tabela1[[#This Row],[UO_COD]],qdd!$AT$1:$AU$102,2,FALSE),"")</f>
        <v/>
      </c>
      <c r="X784" s="1" t="str">
        <f>CONCATENATE("F",Tabela1[[#This Row],[FONTE_COD]],Tabela1[[#This Row],[IPU_COD]],"G",Tabela1[[#This Row],[GRUPO_COD]],"T",Tabela1[[#This Row],[TIPO]])</f>
        <v>FGT999</v>
      </c>
      <c r="Y7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4" s="19"/>
      <c r="AA784" s="29" t="str">
        <f>IFERROR(VLOOKUP(CONCATENATE("B",Tabela1[[#This Row],[BLOCO]],Tabela1[[#This Row],[UO_COD]]),qdd!$AW$2:$AX$1000,2,FALSE),"")</f>
        <v/>
      </c>
      <c r="AB784" s="30" t="str">
        <f>IFERROR(Tabela1[[#This Row],[VALOR]]/100,"")</f>
        <v/>
      </c>
      <c r="AC784" s="7" t="str" cm="1">
        <f t="array" aca="1" ref="AC784" ca="1">IF(Tabela1[[#This Row],[VALOR]]&lt;0,"",IFERROR(SUBSTITUTE(Converter_numero(Tabela1[[#This Row],[VALOR INCISO]]),",",""),""))</f>
        <v/>
      </c>
      <c r="AD784" s="29" t="str">
        <f>IF(Tabela1[[#This Row],[TIPO]]=REGRAS!$W$2,REGRAS!$X$2,IF(Tabela1[[#This Row],[TIPO]]=REGRAS!$W$4,REGRAS!$X$4,""))</f>
        <v/>
      </c>
      <c r="AE784" s="29" t="e">
        <f>VLOOKUP(Tabela1[[#This Row],[FONTE_COD]],REGRAS!$O$2:$P$69,2,FALSE)</f>
        <v>#N/A</v>
      </c>
      <c r="AF7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5" spans="1:32" ht="18.75" customHeight="1">
      <c r="A785" s="2" t="str">
        <f>IFERROR(IF('PREENCHER AQUI'!A785="","",'PREENCHER AQUI'!A785),"")</f>
        <v/>
      </c>
      <c r="B785" s="1" t="str">
        <f>IFERROR(IF('PREENCHER AQUI'!B785="","",PROPER('PREENCHER AQUI'!B785)),"")</f>
        <v/>
      </c>
      <c r="C785" s="1" t="str">
        <f>IFERROR(IF('PREENCHER AQUI'!C785="","",'PREENCHER AQUI'!C785),"")</f>
        <v/>
      </c>
      <c r="D785" s="2" t="str">
        <f>IFERROR(IF('PREENCHER AQUI'!D785="","",'PREENCHER AQUI'!D785),"")</f>
        <v/>
      </c>
      <c r="E785" s="2" t="str">
        <f>IFERROR(VLOOKUP(CONCATENATE(C785,D785),qdd!$C$2:$F$1000,2,FALSE),"")</f>
        <v/>
      </c>
      <c r="F785" s="2" t="str">
        <f>IFERROR(VLOOKUP(CONCATENATE(C785,D785),qdd!$C$2:$F$1000,3,FALSE),"")</f>
        <v/>
      </c>
      <c r="G785" s="2" t="str">
        <f>IFERROR(VLOOKUP(CONCATENATE(C785,D785),qdd!$C$2:$F$1000,4,FALSE),"")</f>
        <v/>
      </c>
      <c r="H785" s="6" t="str">
        <f t="shared" si="26"/>
        <v/>
      </c>
      <c r="I7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5" s="2" t="str">
        <f>IFERROR(IF('PREENCHER AQUI'!E785="","",'PREENCHER AQUI'!E785),"")</f>
        <v/>
      </c>
      <c r="K785" s="2" t="str">
        <f>IFERROR(IF('PREENCHER AQUI'!F785="","",'PREENCHER AQUI'!F785),"")</f>
        <v/>
      </c>
      <c r="L785" s="2" t="str">
        <f>IF(Tabela1[[#This Row],[IPU_COD]]=9,"91",IF(Tabela1[[#This Row],[ACAO_COD]]="","",VLOOKUP(CONCATENATE("G",J785,"M",K785),qdd!$BC$2:$BD$46,2,FALSE)))</f>
        <v/>
      </c>
      <c r="M785" s="2" t="str">
        <f>TEXT(IFERROR(VLOOKUP(CONCATENATE(C785,D785),qdd!$C$2:$G$1000,5,FALSE),""),0)</f>
        <v/>
      </c>
      <c r="N785" s="2" t="str">
        <f>IFERROR(IF('PREENCHER AQUI'!I785="","",'PREENCHER AQUI'!I785),"")</f>
        <v/>
      </c>
      <c r="O785" s="2" t="str">
        <f>IFERROR(IF('PREENCHER AQUI'!J785="","",'PREENCHER AQUI'!J785),"")</f>
        <v/>
      </c>
      <c r="P785" s="7" t="str">
        <f t="shared" si="27"/>
        <v/>
      </c>
      <c r="Q785" s="8" t="str">
        <f>IFERROR(IF(Tabela4[[#This Row],[VALOR]]="","",IF(Tabela1[[#This Row],[ORIENTACAO]]="Anular",'PREENCHER AQUI'!K785*-1*100,'PREENCHER AQUI'!K785*100)),"")</f>
        <v/>
      </c>
      <c r="T785" s="7" t="str">
        <f>IFERROR(IF('PREENCHER AQUI'!L785="","999",LEFT('PREENCHER AQUI'!L785,1)),"")</f>
        <v>999</v>
      </c>
      <c r="V785" s="19"/>
      <c r="W785" s="20" t="str">
        <f>IFERROR(VLOOKUP(Tabela1[[#This Row],[UO_COD]],qdd!$AT$1:$AU$102,2,FALSE),"")</f>
        <v/>
      </c>
      <c r="X785" s="20" t="str">
        <f>CONCATENATE("F",Tabela1[[#This Row],[FONTE_COD]],Tabela1[[#This Row],[IPU_COD]],"G",Tabela1[[#This Row],[GRUPO_COD]],"T",Tabela1[[#This Row],[TIPO]])</f>
        <v>FGT999</v>
      </c>
      <c r="Y7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5" s="19"/>
      <c r="AA785" s="29" t="str">
        <f>IFERROR(VLOOKUP(CONCATENATE("B",Tabela1[[#This Row],[BLOCO]],Tabela1[[#This Row],[UO_COD]]),qdd!$AW$2:$AX$1000,2,FALSE),"")</f>
        <v/>
      </c>
      <c r="AB785" s="30" t="str">
        <f>IFERROR(Tabela1[[#This Row],[VALOR]]/100,"")</f>
        <v/>
      </c>
      <c r="AC785" s="7" t="str" cm="1">
        <f t="array" aca="1" ref="AC785" ca="1">IF(Tabela1[[#This Row],[VALOR]]&lt;0,"",IFERROR(SUBSTITUTE(Converter_numero(Tabela1[[#This Row],[VALOR INCISO]]),",",""),""))</f>
        <v/>
      </c>
      <c r="AD785" s="29" t="str">
        <f>IF(Tabela1[[#This Row],[TIPO]]=REGRAS!$W$2,REGRAS!$X$2,IF(Tabela1[[#This Row],[TIPO]]=REGRAS!$W$4,REGRAS!$X$4,""))</f>
        <v/>
      </c>
      <c r="AE785" s="29" t="e">
        <f>VLOOKUP(Tabela1[[#This Row],[FONTE_COD]],REGRAS!$O$2:$P$69,2,FALSE)</f>
        <v>#N/A</v>
      </c>
      <c r="AF7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6" spans="1:32" ht="18.75" customHeight="1">
      <c r="A786" s="2" t="str">
        <f>IFERROR(IF('PREENCHER AQUI'!A786="","",'PREENCHER AQUI'!A786),"")</f>
        <v/>
      </c>
      <c r="B786" s="1" t="str">
        <f>IFERROR(IF('PREENCHER AQUI'!B786="","",PROPER('PREENCHER AQUI'!B786)),"")</f>
        <v/>
      </c>
      <c r="C786" s="1" t="str">
        <f>IFERROR(IF('PREENCHER AQUI'!C786="","",'PREENCHER AQUI'!C786),"")</f>
        <v/>
      </c>
      <c r="D786" s="2" t="str">
        <f>IFERROR(IF('PREENCHER AQUI'!D786="","",'PREENCHER AQUI'!D786),"")</f>
        <v/>
      </c>
      <c r="E786" s="2" t="str">
        <f>IFERROR(VLOOKUP(CONCATENATE(C786,D786),qdd!$C$2:$F$1000,2,FALSE),"")</f>
        <v/>
      </c>
      <c r="F786" s="2" t="str">
        <f>IFERROR(VLOOKUP(CONCATENATE(C786,D786),qdd!$C$2:$F$1000,3,FALSE),"")</f>
        <v/>
      </c>
      <c r="G786" s="2" t="str">
        <f>IFERROR(VLOOKUP(CONCATENATE(C786,D786),qdd!$C$2:$F$1000,4,FALSE),"")</f>
        <v/>
      </c>
      <c r="H786" s="6" t="str">
        <f t="shared" si="26"/>
        <v/>
      </c>
      <c r="I7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6" s="2" t="str">
        <f>IFERROR(IF('PREENCHER AQUI'!E786="","",'PREENCHER AQUI'!E786),"")</f>
        <v/>
      </c>
      <c r="K786" s="2" t="str">
        <f>IFERROR(IF('PREENCHER AQUI'!F786="","",'PREENCHER AQUI'!F786),"")</f>
        <v/>
      </c>
      <c r="L786" s="2" t="str">
        <f>IF(Tabela1[[#This Row],[IPU_COD]]=9,"91",IF(Tabela1[[#This Row],[ACAO_COD]]="","",VLOOKUP(CONCATENATE("G",J786,"M",K786),qdd!$BC$2:$BD$46,2,FALSE)))</f>
        <v/>
      </c>
      <c r="M786" s="2" t="str">
        <f>TEXT(IFERROR(VLOOKUP(CONCATENATE(C786,D786),qdd!$C$2:$G$1000,5,FALSE),""),0)</f>
        <v/>
      </c>
      <c r="N786" s="2" t="str">
        <f>IFERROR(IF('PREENCHER AQUI'!I786="","",'PREENCHER AQUI'!I786),"")</f>
        <v/>
      </c>
      <c r="O786" s="2" t="str">
        <f>IFERROR(IF('PREENCHER AQUI'!J786="","",'PREENCHER AQUI'!J786),"")</f>
        <v/>
      </c>
      <c r="P786" s="7" t="str">
        <f t="shared" si="27"/>
        <v/>
      </c>
      <c r="Q786" s="8" t="str">
        <f>IFERROR(IF(Tabela4[[#This Row],[VALOR]]="","",IF(Tabela1[[#This Row],[ORIENTACAO]]="Anular",'PREENCHER AQUI'!K786*-1*100,'PREENCHER AQUI'!K786*100)),"")</f>
        <v/>
      </c>
      <c r="T786" s="7" t="str">
        <f>IFERROR(IF('PREENCHER AQUI'!L786="","999",LEFT('PREENCHER AQUI'!L786,1)),"")</f>
        <v>999</v>
      </c>
      <c r="V786" s="19"/>
      <c r="W786" s="1" t="str">
        <f>IFERROR(VLOOKUP(Tabela1[[#This Row],[UO_COD]],qdd!$AT$1:$AU$102,2,FALSE),"")</f>
        <v/>
      </c>
      <c r="X786" s="1" t="str">
        <f>CONCATENATE("F",Tabela1[[#This Row],[FONTE_COD]],Tabela1[[#This Row],[IPU_COD]],"G",Tabela1[[#This Row],[GRUPO_COD]],"T",Tabela1[[#This Row],[TIPO]])</f>
        <v>FGT999</v>
      </c>
      <c r="Y7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6" s="19"/>
      <c r="AA786" s="29" t="str">
        <f>IFERROR(VLOOKUP(CONCATENATE("B",Tabela1[[#This Row],[BLOCO]],Tabela1[[#This Row],[UO_COD]]),qdd!$AW$2:$AX$1000,2,FALSE),"")</f>
        <v/>
      </c>
      <c r="AB786" s="30" t="str">
        <f>IFERROR(Tabela1[[#This Row],[VALOR]]/100,"")</f>
        <v/>
      </c>
      <c r="AC786" s="7" t="str" cm="1">
        <f t="array" aca="1" ref="AC786" ca="1">IF(Tabela1[[#This Row],[VALOR]]&lt;0,"",IFERROR(SUBSTITUTE(Converter_numero(Tabela1[[#This Row],[VALOR INCISO]]),",",""),""))</f>
        <v/>
      </c>
      <c r="AD786" s="29" t="str">
        <f>IF(Tabela1[[#This Row],[TIPO]]=REGRAS!$W$2,REGRAS!$X$2,IF(Tabela1[[#This Row],[TIPO]]=REGRAS!$W$4,REGRAS!$X$4,""))</f>
        <v/>
      </c>
      <c r="AE786" s="29" t="e">
        <f>VLOOKUP(Tabela1[[#This Row],[FONTE_COD]],REGRAS!$O$2:$P$69,2,FALSE)</f>
        <v>#N/A</v>
      </c>
      <c r="AF7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7" spans="1:32" ht="18.75" customHeight="1">
      <c r="A787" s="2" t="str">
        <f>IFERROR(IF('PREENCHER AQUI'!A787="","",'PREENCHER AQUI'!A787),"")</f>
        <v/>
      </c>
      <c r="B787" s="1" t="str">
        <f>IFERROR(IF('PREENCHER AQUI'!B787="","",PROPER('PREENCHER AQUI'!B787)),"")</f>
        <v/>
      </c>
      <c r="C787" s="1" t="str">
        <f>IFERROR(IF('PREENCHER AQUI'!C787="","",'PREENCHER AQUI'!C787),"")</f>
        <v/>
      </c>
      <c r="D787" s="2" t="str">
        <f>IFERROR(IF('PREENCHER AQUI'!D787="","",'PREENCHER AQUI'!D787),"")</f>
        <v/>
      </c>
      <c r="E787" s="2" t="str">
        <f>IFERROR(VLOOKUP(CONCATENATE(C787,D787),qdd!$C$2:$F$1000,2,FALSE),"")</f>
        <v/>
      </c>
      <c r="F787" s="2" t="str">
        <f>IFERROR(VLOOKUP(CONCATENATE(C787,D787),qdd!$C$2:$F$1000,3,FALSE),"")</f>
        <v/>
      </c>
      <c r="G787" s="2" t="str">
        <f>IFERROR(VLOOKUP(CONCATENATE(C787,D787),qdd!$C$2:$F$1000,4,FALSE),"")</f>
        <v/>
      </c>
      <c r="H787" s="6" t="str">
        <f t="shared" si="26"/>
        <v/>
      </c>
      <c r="I7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7" s="2" t="str">
        <f>IFERROR(IF('PREENCHER AQUI'!E787="","",'PREENCHER AQUI'!E787),"")</f>
        <v/>
      </c>
      <c r="K787" s="2" t="str">
        <f>IFERROR(IF('PREENCHER AQUI'!F787="","",'PREENCHER AQUI'!F787),"")</f>
        <v/>
      </c>
      <c r="L787" s="2" t="str">
        <f>IF(Tabela1[[#This Row],[IPU_COD]]=9,"91",IF(Tabela1[[#This Row],[ACAO_COD]]="","",VLOOKUP(CONCATENATE("G",J787,"M",K787),qdd!$BC$2:$BD$46,2,FALSE)))</f>
        <v/>
      </c>
      <c r="M787" s="2" t="str">
        <f>TEXT(IFERROR(VLOOKUP(CONCATENATE(C787,D787),qdd!$C$2:$G$1000,5,FALSE),""),0)</f>
        <v/>
      </c>
      <c r="N787" s="2" t="str">
        <f>IFERROR(IF('PREENCHER AQUI'!I787="","",'PREENCHER AQUI'!I787),"")</f>
        <v/>
      </c>
      <c r="O787" s="2" t="str">
        <f>IFERROR(IF('PREENCHER AQUI'!J787="","",'PREENCHER AQUI'!J787),"")</f>
        <v/>
      </c>
      <c r="P787" s="7" t="str">
        <f t="shared" si="27"/>
        <v/>
      </c>
      <c r="Q787" s="8" t="str">
        <f>IFERROR(IF(Tabela4[[#This Row],[VALOR]]="","",IF(Tabela1[[#This Row],[ORIENTACAO]]="Anular",'PREENCHER AQUI'!K787*-1*100,'PREENCHER AQUI'!K787*100)),"")</f>
        <v/>
      </c>
      <c r="T787" s="7" t="str">
        <f>IFERROR(IF('PREENCHER AQUI'!L787="","999",LEFT('PREENCHER AQUI'!L787,1)),"")</f>
        <v>999</v>
      </c>
      <c r="W787" s="1" t="str">
        <f>IFERROR(VLOOKUP(Tabela1[[#This Row],[UO_COD]],qdd!$AT$1:$AU$102,2,FALSE),"")</f>
        <v/>
      </c>
      <c r="X787" s="1" t="str">
        <f>CONCATENATE("F",Tabela1[[#This Row],[FONTE_COD]],Tabela1[[#This Row],[IPU_COD]],"G",Tabela1[[#This Row],[GRUPO_COD]],"T",Tabela1[[#This Row],[TIPO]])</f>
        <v>FGT999</v>
      </c>
      <c r="Y7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7" s="19"/>
      <c r="AA787" s="29" t="str">
        <f>IFERROR(VLOOKUP(CONCATENATE("B",Tabela1[[#This Row],[BLOCO]],Tabela1[[#This Row],[UO_COD]]),qdd!$AW$2:$AX$1000,2,FALSE),"")</f>
        <v/>
      </c>
      <c r="AB787" s="30" t="str">
        <f>IFERROR(Tabela1[[#This Row],[VALOR]]/100,"")</f>
        <v/>
      </c>
      <c r="AC787" s="7" t="str" cm="1">
        <f t="array" aca="1" ref="AC787" ca="1">IF(Tabela1[[#This Row],[VALOR]]&lt;0,"",IFERROR(SUBSTITUTE(Converter_numero(Tabela1[[#This Row],[VALOR INCISO]]),",",""),""))</f>
        <v/>
      </c>
      <c r="AD787" s="7" t="str">
        <f>IF(Tabela1[[#This Row],[TIPO]]=REGRAS!$W$2,REGRAS!$X$2,IF(Tabela1[[#This Row],[TIPO]]=REGRAS!$W$4,REGRAS!$X$4,""))</f>
        <v/>
      </c>
      <c r="AE787" s="29" t="e">
        <f>VLOOKUP(Tabela1[[#This Row],[FONTE_COD]],REGRAS!$O$2:$P$69,2,FALSE)</f>
        <v>#N/A</v>
      </c>
      <c r="AF7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8" spans="1:32" ht="18.75" customHeight="1">
      <c r="A788" s="2" t="str">
        <f>IFERROR(IF('PREENCHER AQUI'!A788="","",'PREENCHER AQUI'!A788),"")</f>
        <v/>
      </c>
      <c r="B788" s="1" t="str">
        <f>IFERROR(IF('PREENCHER AQUI'!B788="","",PROPER('PREENCHER AQUI'!B788)),"")</f>
        <v/>
      </c>
      <c r="C788" s="1" t="str">
        <f>IFERROR(IF('PREENCHER AQUI'!C788="","",'PREENCHER AQUI'!C788),"")</f>
        <v/>
      </c>
      <c r="D788" s="2" t="str">
        <f>IFERROR(IF('PREENCHER AQUI'!D788="","",'PREENCHER AQUI'!D788),"")</f>
        <v/>
      </c>
      <c r="E788" s="2" t="str">
        <f>IFERROR(VLOOKUP(CONCATENATE(C788,D788),qdd!$C$2:$F$1000,2,FALSE),"")</f>
        <v/>
      </c>
      <c r="F788" s="2" t="str">
        <f>IFERROR(VLOOKUP(CONCATENATE(C788,D788),qdd!$C$2:$F$1000,3,FALSE),"")</f>
        <v/>
      </c>
      <c r="G788" s="2" t="str">
        <f>IFERROR(VLOOKUP(CONCATENATE(C788,D788),qdd!$C$2:$F$1000,4,FALSE),"")</f>
        <v/>
      </c>
      <c r="H788" s="6" t="str">
        <f t="shared" si="26"/>
        <v/>
      </c>
      <c r="I7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8" s="2" t="str">
        <f>IFERROR(IF('PREENCHER AQUI'!E788="","",'PREENCHER AQUI'!E788),"")</f>
        <v/>
      </c>
      <c r="K788" s="2" t="str">
        <f>IFERROR(IF('PREENCHER AQUI'!F788="","",'PREENCHER AQUI'!F788),"")</f>
        <v/>
      </c>
      <c r="L788" s="2" t="str">
        <f>IF(Tabela1[[#This Row],[IPU_COD]]=9,"91",IF(Tabela1[[#This Row],[ACAO_COD]]="","",VLOOKUP(CONCATENATE("G",J788,"M",K788),qdd!$BC$2:$BD$46,2,FALSE)))</f>
        <v/>
      </c>
      <c r="M788" s="2" t="str">
        <f>TEXT(IFERROR(VLOOKUP(CONCATENATE(C788,D788),qdd!$C$2:$G$1000,5,FALSE),""),0)</f>
        <v/>
      </c>
      <c r="N788" s="2" t="str">
        <f>IFERROR(IF('PREENCHER AQUI'!I788="","",'PREENCHER AQUI'!I788),"")</f>
        <v/>
      </c>
      <c r="O788" s="2" t="str">
        <f>IFERROR(IF('PREENCHER AQUI'!J788="","",'PREENCHER AQUI'!J788),"")</f>
        <v/>
      </c>
      <c r="P788" s="7" t="str">
        <f t="shared" si="27"/>
        <v/>
      </c>
      <c r="Q788" s="8" t="str">
        <f>IFERROR(IF(Tabela4[[#This Row],[VALOR]]="","",IF(Tabela1[[#This Row],[ORIENTACAO]]="Anular",'PREENCHER AQUI'!K788*-1*100,'PREENCHER AQUI'!K788*100)),"")</f>
        <v/>
      </c>
      <c r="T788" s="7" t="str">
        <f>IFERROR(IF('PREENCHER AQUI'!L788="","999",LEFT('PREENCHER AQUI'!L788,1)),"")</f>
        <v>999</v>
      </c>
      <c r="V788" s="19"/>
      <c r="W788" s="1" t="str">
        <f>IFERROR(VLOOKUP(Tabela1[[#This Row],[UO_COD]],qdd!$AT$1:$AU$102,2,FALSE),"")</f>
        <v/>
      </c>
      <c r="X788" s="1" t="str">
        <f>CONCATENATE("F",Tabela1[[#This Row],[FONTE_COD]],Tabela1[[#This Row],[IPU_COD]],"G",Tabela1[[#This Row],[GRUPO_COD]],"T",Tabela1[[#This Row],[TIPO]])</f>
        <v>FGT999</v>
      </c>
      <c r="Y7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8" s="19"/>
      <c r="AA788" s="29" t="str">
        <f>IFERROR(VLOOKUP(CONCATENATE("B",Tabela1[[#This Row],[BLOCO]],Tabela1[[#This Row],[UO_COD]]),qdd!$AW$2:$AX$1000,2,FALSE),"")</f>
        <v/>
      </c>
      <c r="AB788" s="30" t="str">
        <f>IFERROR(Tabela1[[#This Row],[VALOR]]/100,"")</f>
        <v/>
      </c>
      <c r="AC788" s="7" t="str" cm="1">
        <f t="array" aca="1" ref="AC788" ca="1">IF(Tabela1[[#This Row],[VALOR]]&lt;0,"",IFERROR(SUBSTITUTE(Converter_numero(Tabela1[[#This Row],[VALOR INCISO]]),",",""),""))</f>
        <v/>
      </c>
      <c r="AD788" s="29" t="str">
        <f>IF(Tabela1[[#This Row],[TIPO]]=REGRAS!$W$2,REGRAS!$X$2,IF(Tabela1[[#This Row],[TIPO]]=REGRAS!$W$4,REGRAS!$X$4,""))</f>
        <v/>
      </c>
      <c r="AE788" s="29" t="e">
        <f>VLOOKUP(Tabela1[[#This Row],[FONTE_COD]],REGRAS!$O$2:$P$69,2,FALSE)</f>
        <v>#N/A</v>
      </c>
      <c r="AF7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9" spans="1:32" ht="18.75" customHeight="1">
      <c r="A789" s="2" t="str">
        <f>IFERROR(IF('PREENCHER AQUI'!A789="","",'PREENCHER AQUI'!A789),"")</f>
        <v/>
      </c>
      <c r="B789" s="1" t="str">
        <f>IFERROR(IF('PREENCHER AQUI'!B789="","",PROPER('PREENCHER AQUI'!B789)),"")</f>
        <v/>
      </c>
      <c r="C789" s="1" t="str">
        <f>IFERROR(IF('PREENCHER AQUI'!C789="","",'PREENCHER AQUI'!C789),"")</f>
        <v/>
      </c>
      <c r="D789" s="2" t="str">
        <f>IFERROR(IF('PREENCHER AQUI'!D789="","",'PREENCHER AQUI'!D789),"")</f>
        <v/>
      </c>
      <c r="E789" s="2" t="str">
        <f>IFERROR(VLOOKUP(CONCATENATE(C789,D789),qdd!$C$2:$F$1000,2,FALSE),"")</f>
        <v/>
      </c>
      <c r="F789" s="2" t="str">
        <f>IFERROR(VLOOKUP(CONCATENATE(C789,D789),qdd!$C$2:$F$1000,3,FALSE),"")</f>
        <v/>
      </c>
      <c r="G789" s="2" t="str">
        <f>IFERROR(VLOOKUP(CONCATENATE(C789,D789),qdd!$C$2:$F$1000,4,FALSE),"")</f>
        <v/>
      </c>
      <c r="H789" s="6" t="str">
        <f t="shared" si="26"/>
        <v/>
      </c>
      <c r="I7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9" s="2" t="str">
        <f>IFERROR(IF('PREENCHER AQUI'!E789="","",'PREENCHER AQUI'!E789),"")</f>
        <v/>
      </c>
      <c r="K789" s="2" t="str">
        <f>IFERROR(IF('PREENCHER AQUI'!F789="","",'PREENCHER AQUI'!F789),"")</f>
        <v/>
      </c>
      <c r="L789" s="2" t="str">
        <f>IF(Tabela1[[#This Row],[IPU_COD]]=9,"91",IF(Tabela1[[#This Row],[ACAO_COD]]="","",VLOOKUP(CONCATENATE("G",J789,"M",K789),qdd!$BC$2:$BD$46,2,FALSE)))</f>
        <v/>
      </c>
      <c r="M789" s="2" t="str">
        <f>TEXT(IFERROR(VLOOKUP(CONCATENATE(C789,D789),qdd!$C$2:$G$1000,5,FALSE),""),0)</f>
        <v/>
      </c>
      <c r="N789" s="2" t="str">
        <f>IFERROR(IF('PREENCHER AQUI'!I789="","",'PREENCHER AQUI'!I789),"")</f>
        <v/>
      </c>
      <c r="O789" s="2" t="str">
        <f>IFERROR(IF('PREENCHER AQUI'!J789="","",'PREENCHER AQUI'!J789),"")</f>
        <v/>
      </c>
      <c r="P789" s="7" t="str">
        <f t="shared" si="27"/>
        <v/>
      </c>
      <c r="Q789" s="8" t="str">
        <f>IFERROR(IF(Tabela4[[#This Row],[VALOR]]="","",IF(Tabela1[[#This Row],[ORIENTACAO]]="Anular",'PREENCHER AQUI'!K789*-1*100,'PREENCHER AQUI'!K789*100)),"")</f>
        <v/>
      </c>
      <c r="T789" s="7" t="str">
        <f>IFERROR(IF('PREENCHER AQUI'!L789="","999",LEFT('PREENCHER AQUI'!L789,1)),"")</f>
        <v>999</v>
      </c>
      <c r="V789" s="19"/>
      <c r="W789" s="1" t="str">
        <f>IFERROR(VLOOKUP(Tabela1[[#This Row],[UO_COD]],qdd!$AT$1:$AU$102,2,FALSE),"")</f>
        <v/>
      </c>
      <c r="X789" s="1" t="str">
        <f>CONCATENATE("F",Tabela1[[#This Row],[FONTE_COD]],Tabela1[[#This Row],[IPU_COD]],"G",Tabela1[[#This Row],[GRUPO_COD]],"T",Tabela1[[#This Row],[TIPO]])</f>
        <v>FGT999</v>
      </c>
      <c r="Y7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9" s="19"/>
      <c r="AA789" s="29" t="str">
        <f>IFERROR(VLOOKUP(CONCATENATE("B",Tabela1[[#This Row],[BLOCO]],Tabela1[[#This Row],[UO_COD]]),qdd!$AW$2:$AX$1000,2,FALSE),"")</f>
        <v/>
      </c>
      <c r="AB789" s="30" t="str">
        <f>IFERROR(Tabela1[[#This Row],[VALOR]]/100,"")</f>
        <v/>
      </c>
      <c r="AC789" s="7" t="str" cm="1">
        <f t="array" aca="1" ref="AC789" ca="1">IF(Tabela1[[#This Row],[VALOR]]&lt;0,"",IFERROR(SUBSTITUTE(Converter_numero(Tabela1[[#This Row],[VALOR INCISO]]),",",""),""))</f>
        <v/>
      </c>
      <c r="AD789" s="29" t="str">
        <f>IF(Tabela1[[#This Row],[TIPO]]=REGRAS!$W$2,REGRAS!$X$2,IF(Tabela1[[#This Row],[TIPO]]=REGRAS!$W$4,REGRAS!$X$4,""))</f>
        <v/>
      </c>
      <c r="AE789" s="29" t="e">
        <f>VLOOKUP(Tabela1[[#This Row],[FONTE_COD]],REGRAS!$O$2:$P$69,2,FALSE)</f>
        <v>#N/A</v>
      </c>
      <c r="AF7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0" spans="1:32" ht="18.75" customHeight="1">
      <c r="A790" s="2" t="str">
        <f>IFERROR(IF('PREENCHER AQUI'!A790="","",'PREENCHER AQUI'!A790),"")</f>
        <v/>
      </c>
      <c r="B790" s="1" t="str">
        <f>IFERROR(IF('PREENCHER AQUI'!B790="","",PROPER('PREENCHER AQUI'!B790)),"")</f>
        <v/>
      </c>
      <c r="C790" s="1" t="str">
        <f>IFERROR(IF('PREENCHER AQUI'!C790="","",'PREENCHER AQUI'!C790),"")</f>
        <v/>
      </c>
      <c r="D790" s="2" t="str">
        <f>IFERROR(IF('PREENCHER AQUI'!D790="","",'PREENCHER AQUI'!D790),"")</f>
        <v/>
      </c>
      <c r="E790" s="2" t="str">
        <f>IFERROR(VLOOKUP(CONCATENATE(C790,D790),qdd!$C$2:$F$1000,2,FALSE),"")</f>
        <v/>
      </c>
      <c r="F790" s="2" t="str">
        <f>IFERROR(VLOOKUP(CONCATENATE(C790,D790),qdd!$C$2:$F$1000,3,FALSE),"")</f>
        <v/>
      </c>
      <c r="G790" s="2" t="str">
        <f>IFERROR(VLOOKUP(CONCATENATE(C790,D790),qdd!$C$2:$F$1000,4,FALSE),"")</f>
        <v/>
      </c>
      <c r="H790" s="6" t="str">
        <f t="shared" si="26"/>
        <v/>
      </c>
      <c r="I7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0" s="2" t="str">
        <f>IFERROR(IF('PREENCHER AQUI'!E790="","",'PREENCHER AQUI'!E790),"")</f>
        <v/>
      </c>
      <c r="K790" s="2" t="str">
        <f>IFERROR(IF('PREENCHER AQUI'!F790="","",'PREENCHER AQUI'!F790),"")</f>
        <v/>
      </c>
      <c r="L790" s="2" t="str">
        <f>IF(Tabela1[[#This Row],[IPU_COD]]=9,"91",IF(Tabela1[[#This Row],[ACAO_COD]]="","",VLOOKUP(CONCATENATE("G",J790,"M",K790),qdd!$BC$2:$BD$46,2,FALSE)))</f>
        <v/>
      </c>
      <c r="M790" s="2" t="str">
        <f>TEXT(IFERROR(VLOOKUP(CONCATENATE(C790,D790),qdd!$C$2:$G$1000,5,FALSE),""),0)</f>
        <v/>
      </c>
      <c r="N790" s="2" t="str">
        <f>IFERROR(IF('PREENCHER AQUI'!I790="","",'PREENCHER AQUI'!I790),"")</f>
        <v/>
      </c>
      <c r="O790" s="2" t="str">
        <f>IFERROR(IF('PREENCHER AQUI'!J790="","",'PREENCHER AQUI'!J790),"")</f>
        <v/>
      </c>
      <c r="P790" s="7" t="str">
        <f t="shared" si="27"/>
        <v/>
      </c>
      <c r="Q790" s="8" t="str">
        <f>IFERROR(IF(Tabela4[[#This Row],[VALOR]]="","",IF(Tabela1[[#This Row],[ORIENTACAO]]="Anular",'PREENCHER AQUI'!K790*-1*100,'PREENCHER AQUI'!K790*100)),"")</f>
        <v/>
      </c>
      <c r="T790" s="7" t="str">
        <f>IFERROR(IF('PREENCHER AQUI'!L790="","999",LEFT('PREENCHER AQUI'!L790,1)),"")</f>
        <v>999</v>
      </c>
      <c r="V790" s="19"/>
      <c r="W790" s="20" t="str">
        <f>IFERROR(VLOOKUP(Tabela1[[#This Row],[UO_COD]],qdd!$AT$1:$AU$102,2,FALSE),"")</f>
        <v/>
      </c>
      <c r="X790" s="20" t="str">
        <f>CONCATENATE("F",Tabela1[[#This Row],[FONTE_COD]],Tabela1[[#This Row],[IPU_COD]],"G",Tabela1[[#This Row],[GRUPO_COD]],"T",Tabela1[[#This Row],[TIPO]])</f>
        <v>FGT999</v>
      </c>
      <c r="Y7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0" s="19"/>
      <c r="AA790" s="29" t="str">
        <f>IFERROR(VLOOKUP(CONCATENATE("B",Tabela1[[#This Row],[BLOCO]],Tabela1[[#This Row],[UO_COD]]),qdd!$AW$2:$AX$1000,2,FALSE),"")</f>
        <v/>
      </c>
      <c r="AB790" s="30" t="str">
        <f>IFERROR(Tabela1[[#This Row],[VALOR]]/100,"")</f>
        <v/>
      </c>
      <c r="AC790" s="7" t="str" cm="1">
        <f t="array" aca="1" ref="AC790" ca="1">IF(Tabela1[[#This Row],[VALOR]]&lt;0,"",IFERROR(SUBSTITUTE(Converter_numero(Tabela1[[#This Row],[VALOR INCISO]]),",",""),""))</f>
        <v/>
      </c>
      <c r="AD790" s="29" t="str">
        <f>IF(Tabela1[[#This Row],[TIPO]]=REGRAS!$W$2,REGRAS!$X$2,IF(Tabela1[[#This Row],[TIPO]]=REGRAS!$W$4,REGRAS!$X$4,""))</f>
        <v/>
      </c>
      <c r="AE790" s="29" t="e">
        <f>VLOOKUP(Tabela1[[#This Row],[FONTE_COD]],REGRAS!$O$2:$P$69,2,FALSE)</f>
        <v>#N/A</v>
      </c>
      <c r="AF7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1" spans="1:32" ht="18.75" customHeight="1">
      <c r="A791" s="2" t="str">
        <f>IFERROR(IF('PREENCHER AQUI'!A791="","",'PREENCHER AQUI'!A791),"")</f>
        <v/>
      </c>
      <c r="B791" s="1" t="str">
        <f>IFERROR(IF('PREENCHER AQUI'!B791="","",PROPER('PREENCHER AQUI'!B791)),"")</f>
        <v/>
      </c>
      <c r="C791" s="1" t="str">
        <f>IFERROR(IF('PREENCHER AQUI'!C791="","",'PREENCHER AQUI'!C791),"")</f>
        <v/>
      </c>
      <c r="D791" s="2" t="str">
        <f>IFERROR(IF('PREENCHER AQUI'!D791="","",'PREENCHER AQUI'!D791),"")</f>
        <v/>
      </c>
      <c r="E791" s="2" t="str">
        <f>IFERROR(VLOOKUP(CONCATENATE(C791,D791),qdd!$C$2:$F$1000,2,FALSE),"")</f>
        <v/>
      </c>
      <c r="F791" s="2" t="str">
        <f>IFERROR(VLOOKUP(CONCATENATE(C791,D791),qdd!$C$2:$F$1000,3,FALSE),"")</f>
        <v/>
      </c>
      <c r="G791" s="2" t="str">
        <f>IFERROR(VLOOKUP(CONCATENATE(C791,D791),qdd!$C$2:$F$1000,4,FALSE),"")</f>
        <v/>
      </c>
      <c r="H791" s="6" t="str">
        <f t="shared" si="26"/>
        <v/>
      </c>
      <c r="I7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1" s="2" t="str">
        <f>IFERROR(IF('PREENCHER AQUI'!E791="","",'PREENCHER AQUI'!E791),"")</f>
        <v/>
      </c>
      <c r="K791" s="2" t="str">
        <f>IFERROR(IF('PREENCHER AQUI'!F791="","",'PREENCHER AQUI'!F791),"")</f>
        <v/>
      </c>
      <c r="L791" s="2" t="str">
        <f>IF(Tabela1[[#This Row],[IPU_COD]]=9,"91",IF(Tabela1[[#This Row],[ACAO_COD]]="","",VLOOKUP(CONCATENATE("G",J791,"M",K791),qdd!$BC$2:$BD$46,2,FALSE)))</f>
        <v/>
      </c>
      <c r="M791" s="2" t="str">
        <f>TEXT(IFERROR(VLOOKUP(CONCATENATE(C791,D791),qdd!$C$2:$G$1000,5,FALSE),""),0)</f>
        <v/>
      </c>
      <c r="N791" s="2" t="str">
        <f>IFERROR(IF('PREENCHER AQUI'!I791="","",'PREENCHER AQUI'!I791),"")</f>
        <v/>
      </c>
      <c r="O791" s="2" t="str">
        <f>IFERROR(IF('PREENCHER AQUI'!J791="","",'PREENCHER AQUI'!J791),"")</f>
        <v/>
      </c>
      <c r="P791" s="7" t="str">
        <f t="shared" si="27"/>
        <v/>
      </c>
      <c r="Q791" s="8" t="str">
        <f>IFERROR(IF(Tabela4[[#This Row],[VALOR]]="","",IF(Tabela1[[#This Row],[ORIENTACAO]]="Anular",'PREENCHER AQUI'!K791*-1*100,'PREENCHER AQUI'!K791*100)),"")</f>
        <v/>
      </c>
      <c r="T791" s="7" t="str">
        <f>IFERROR(IF('PREENCHER AQUI'!L791="","999",LEFT('PREENCHER AQUI'!L791,1)),"")</f>
        <v>999</v>
      </c>
      <c r="V791" s="19"/>
      <c r="W791" s="1" t="str">
        <f>IFERROR(VLOOKUP(Tabela1[[#This Row],[UO_COD]],qdd!$AT$1:$AU$102,2,FALSE),"")</f>
        <v/>
      </c>
      <c r="X791" s="1" t="str">
        <f>CONCATENATE("F",Tabela1[[#This Row],[FONTE_COD]],Tabela1[[#This Row],[IPU_COD]],"G",Tabela1[[#This Row],[GRUPO_COD]],"T",Tabela1[[#This Row],[TIPO]])</f>
        <v>FGT999</v>
      </c>
      <c r="Y7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1" s="19"/>
      <c r="AA791" s="29" t="str">
        <f>IFERROR(VLOOKUP(CONCATENATE("B",Tabela1[[#This Row],[BLOCO]],Tabela1[[#This Row],[UO_COD]]),qdd!$AW$2:$AX$1000,2,FALSE),"")</f>
        <v/>
      </c>
      <c r="AB791" s="30" t="str">
        <f>IFERROR(Tabela1[[#This Row],[VALOR]]/100,"")</f>
        <v/>
      </c>
      <c r="AC791" s="7" t="str" cm="1">
        <f t="array" aca="1" ref="AC791" ca="1">IF(Tabela1[[#This Row],[VALOR]]&lt;0,"",IFERROR(SUBSTITUTE(Converter_numero(Tabela1[[#This Row],[VALOR INCISO]]),",",""),""))</f>
        <v/>
      </c>
      <c r="AD791" s="29" t="str">
        <f>IF(Tabela1[[#This Row],[TIPO]]=REGRAS!$W$2,REGRAS!$X$2,IF(Tabela1[[#This Row],[TIPO]]=REGRAS!$W$4,REGRAS!$X$4,""))</f>
        <v/>
      </c>
      <c r="AE791" s="29" t="e">
        <f>VLOOKUP(Tabela1[[#This Row],[FONTE_COD]],REGRAS!$O$2:$P$69,2,FALSE)</f>
        <v>#N/A</v>
      </c>
      <c r="AF7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2" spans="1:32" ht="18.75" customHeight="1">
      <c r="A792" s="2" t="str">
        <f>IFERROR(IF('PREENCHER AQUI'!A792="","",'PREENCHER AQUI'!A792),"")</f>
        <v/>
      </c>
      <c r="B792" s="1" t="str">
        <f>IFERROR(IF('PREENCHER AQUI'!B792="","",PROPER('PREENCHER AQUI'!B792)),"")</f>
        <v/>
      </c>
      <c r="C792" s="1" t="str">
        <f>IFERROR(IF('PREENCHER AQUI'!C792="","",'PREENCHER AQUI'!C792),"")</f>
        <v/>
      </c>
      <c r="D792" s="2" t="str">
        <f>IFERROR(IF('PREENCHER AQUI'!D792="","",'PREENCHER AQUI'!D792),"")</f>
        <v/>
      </c>
      <c r="E792" s="2" t="str">
        <f>IFERROR(VLOOKUP(CONCATENATE(C792,D792),qdd!$C$2:$F$1000,2,FALSE),"")</f>
        <v/>
      </c>
      <c r="F792" s="2" t="str">
        <f>IFERROR(VLOOKUP(CONCATENATE(C792,D792),qdd!$C$2:$F$1000,3,FALSE),"")</f>
        <v/>
      </c>
      <c r="G792" s="2" t="str">
        <f>IFERROR(VLOOKUP(CONCATENATE(C792,D792),qdd!$C$2:$F$1000,4,FALSE),"")</f>
        <v/>
      </c>
      <c r="H792" s="6" t="str">
        <f t="shared" si="26"/>
        <v/>
      </c>
      <c r="I7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2" s="2" t="str">
        <f>IFERROR(IF('PREENCHER AQUI'!E792="","",'PREENCHER AQUI'!E792),"")</f>
        <v/>
      </c>
      <c r="K792" s="2" t="str">
        <f>IFERROR(IF('PREENCHER AQUI'!F792="","",'PREENCHER AQUI'!F792),"")</f>
        <v/>
      </c>
      <c r="L792" s="2" t="str">
        <f>IF(Tabela1[[#This Row],[IPU_COD]]=9,"91",IF(Tabela1[[#This Row],[ACAO_COD]]="","",VLOOKUP(CONCATENATE("G",J792,"M",K792),qdd!$BC$2:$BD$46,2,FALSE)))</f>
        <v/>
      </c>
      <c r="M792" s="2" t="str">
        <f>TEXT(IFERROR(VLOOKUP(CONCATENATE(C792,D792),qdd!$C$2:$G$1000,5,FALSE),""),0)</f>
        <v/>
      </c>
      <c r="N792" s="2" t="str">
        <f>IFERROR(IF('PREENCHER AQUI'!I792="","",'PREENCHER AQUI'!I792),"")</f>
        <v/>
      </c>
      <c r="O792" s="2" t="str">
        <f>IFERROR(IF('PREENCHER AQUI'!J792="","",'PREENCHER AQUI'!J792),"")</f>
        <v/>
      </c>
      <c r="P792" s="7" t="str">
        <f t="shared" si="27"/>
        <v/>
      </c>
      <c r="Q792" s="8" t="str">
        <f>IFERROR(IF(Tabela4[[#This Row],[VALOR]]="","",IF(Tabela1[[#This Row],[ORIENTACAO]]="Anular",'PREENCHER AQUI'!K792*-1*100,'PREENCHER AQUI'!K792*100)),"")</f>
        <v/>
      </c>
      <c r="T792" s="7" t="str">
        <f>IFERROR(IF('PREENCHER AQUI'!L792="","999",LEFT('PREENCHER AQUI'!L792,1)),"")</f>
        <v>999</v>
      </c>
      <c r="W792" s="1" t="str">
        <f>IFERROR(VLOOKUP(Tabela1[[#This Row],[UO_COD]],qdd!$AT$1:$AU$102,2,FALSE),"")</f>
        <v/>
      </c>
      <c r="X792" s="1" t="str">
        <f>CONCATENATE("F",Tabela1[[#This Row],[FONTE_COD]],Tabela1[[#This Row],[IPU_COD]],"G",Tabela1[[#This Row],[GRUPO_COD]],"T",Tabela1[[#This Row],[TIPO]])</f>
        <v>FGT999</v>
      </c>
      <c r="Y7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2" s="19"/>
      <c r="AA792" s="29" t="str">
        <f>IFERROR(VLOOKUP(CONCATENATE("B",Tabela1[[#This Row],[BLOCO]],Tabela1[[#This Row],[UO_COD]]),qdd!$AW$2:$AX$1000,2,FALSE),"")</f>
        <v/>
      </c>
      <c r="AB792" s="30" t="str">
        <f>IFERROR(Tabela1[[#This Row],[VALOR]]/100,"")</f>
        <v/>
      </c>
      <c r="AC792" s="7" t="str" cm="1">
        <f t="array" aca="1" ref="AC792" ca="1">IF(Tabela1[[#This Row],[VALOR]]&lt;0,"",IFERROR(SUBSTITUTE(Converter_numero(Tabela1[[#This Row],[VALOR INCISO]]),",",""),""))</f>
        <v/>
      </c>
      <c r="AD792" s="7" t="str">
        <f>IF(Tabela1[[#This Row],[TIPO]]=REGRAS!$W$2,REGRAS!$X$2,IF(Tabela1[[#This Row],[TIPO]]=REGRAS!$W$4,REGRAS!$X$4,""))</f>
        <v/>
      </c>
      <c r="AE792" s="29" t="e">
        <f>VLOOKUP(Tabela1[[#This Row],[FONTE_COD]],REGRAS!$O$2:$P$69,2,FALSE)</f>
        <v>#N/A</v>
      </c>
      <c r="AF7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3" spans="1:32" ht="18.75" customHeight="1">
      <c r="A793" s="2" t="str">
        <f>IFERROR(IF('PREENCHER AQUI'!A793="","",'PREENCHER AQUI'!A793),"")</f>
        <v/>
      </c>
      <c r="B793" s="1" t="str">
        <f>IFERROR(IF('PREENCHER AQUI'!B793="","",PROPER('PREENCHER AQUI'!B793)),"")</f>
        <v/>
      </c>
      <c r="C793" s="1" t="str">
        <f>IFERROR(IF('PREENCHER AQUI'!C793="","",'PREENCHER AQUI'!C793),"")</f>
        <v/>
      </c>
      <c r="D793" s="2" t="str">
        <f>IFERROR(IF('PREENCHER AQUI'!D793="","",'PREENCHER AQUI'!D793),"")</f>
        <v/>
      </c>
      <c r="E793" s="2" t="str">
        <f>IFERROR(VLOOKUP(CONCATENATE(C793,D793),qdd!$C$2:$F$1000,2,FALSE),"")</f>
        <v/>
      </c>
      <c r="F793" s="2" t="str">
        <f>IFERROR(VLOOKUP(CONCATENATE(C793,D793),qdd!$C$2:$F$1000,3,FALSE),"")</f>
        <v/>
      </c>
      <c r="G793" s="2" t="str">
        <f>IFERROR(VLOOKUP(CONCATENATE(C793,D793),qdd!$C$2:$F$1000,4,FALSE),"")</f>
        <v/>
      </c>
      <c r="H793" s="6" t="str">
        <f t="shared" si="26"/>
        <v/>
      </c>
      <c r="I7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3" s="2" t="str">
        <f>IFERROR(IF('PREENCHER AQUI'!E793="","",'PREENCHER AQUI'!E793),"")</f>
        <v/>
      </c>
      <c r="K793" s="2" t="str">
        <f>IFERROR(IF('PREENCHER AQUI'!F793="","",'PREENCHER AQUI'!F793),"")</f>
        <v/>
      </c>
      <c r="L793" s="2" t="str">
        <f>IF(Tabela1[[#This Row],[IPU_COD]]=9,"91",IF(Tabela1[[#This Row],[ACAO_COD]]="","",VLOOKUP(CONCATENATE("G",J793,"M",K793),qdd!$BC$2:$BD$46,2,FALSE)))</f>
        <v/>
      </c>
      <c r="M793" s="2" t="str">
        <f>TEXT(IFERROR(VLOOKUP(CONCATENATE(C793,D793),qdd!$C$2:$G$1000,5,FALSE),""),0)</f>
        <v/>
      </c>
      <c r="N793" s="2" t="str">
        <f>IFERROR(IF('PREENCHER AQUI'!I793="","",'PREENCHER AQUI'!I793),"")</f>
        <v/>
      </c>
      <c r="O793" s="2" t="str">
        <f>IFERROR(IF('PREENCHER AQUI'!J793="","",'PREENCHER AQUI'!J793),"")</f>
        <v/>
      </c>
      <c r="P793" s="7" t="str">
        <f t="shared" si="27"/>
        <v/>
      </c>
      <c r="Q793" s="8" t="str">
        <f>IFERROR(IF(Tabela4[[#This Row],[VALOR]]="","",IF(Tabela1[[#This Row],[ORIENTACAO]]="Anular",'PREENCHER AQUI'!K793*-1*100,'PREENCHER AQUI'!K793*100)),"")</f>
        <v/>
      </c>
      <c r="T793" s="7" t="str">
        <f>IFERROR(IF('PREENCHER AQUI'!L793="","999",LEFT('PREENCHER AQUI'!L793,1)),"")</f>
        <v>999</v>
      </c>
      <c r="V793" s="19"/>
      <c r="W793" s="1" t="str">
        <f>IFERROR(VLOOKUP(Tabela1[[#This Row],[UO_COD]],qdd!$AT$1:$AU$102,2,FALSE),"")</f>
        <v/>
      </c>
      <c r="X793" s="1" t="str">
        <f>CONCATENATE("F",Tabela1[[#This Row],[FONTE_COD]],Tabela1[[#This Row],[IPU_COD]],"G",Tabela1[[#This Row],[GRUPO_COD]],"T",Tabela1[[#This Row],[TIPO]])</f>
        <v>FGT999</v>
      </c>
      <c r="Y7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3" s="19"/>
      <c r="AA793" s="29" t="str">
        <f>IFERROR(VLOOKUP(CONCATENATE("B",Tabela1[[#This Row],[BLOCO]],Tabela1[[#This Row],[UO_COD]]),qdd!$AW$2:$AX$1000,2,FALSE),"")</f>
        <v/>
      </c>
      <c r="AB793" s="30" t="str">
        <f>IFERROR(Tabela1[[#This Row],[VALOR]]/100,"")</f>
        <v/>
      </c>
      <c r="AC793" s="7" t="str" cm="1">
        <f t="array" aca="1" ref="AC793" ca="1">IF(Tabela1[[#This Row],[VALOR]]&lt;0,"",IFERROR(SUBSTITUTE(Converter_numero(Tabela1[[#This Row],[VALOR INCISO]]),",",""),""))</f>
        <v/>
      </c>
      <c r="AD793" s="29" t="str">
        <f>IF(Tabela1[[#This Row],[TIPO]]=REGRAS!$W$2,REGRAS!$X$2,IF(Tabela1[[#This Row],[TIPO]]=REGRAS!$W$4,REGRAS!$X$4,""))</f>
        <v/>
      </c>
      <c r="AE793" s="29" t="e">
        <f>VLOOKUP(Tabela1[[#This Row],[FONTE_COD]],REGRAS!$O$2:$P$69,2,FALSE)</f>
        <v>#N/A</v>
      </c>
      <c r="AF7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4" spans="1:32" ht="18.75" customHeight="1">
      <c r="A794" s="2" t="str">
        <f>IFERROR(IF('PREENCHER AQUI'!A794="","",'PREENCHER AQUI'!A794),"")</f>
        <v/>
      </c>
      <c r="B794" s="1" t="str">
        <f>IFERROR(IF('PREENCHER AQUI'!B794="","",PROPER('PREENCHER AQUI'!B794)),"")</f>
        <v/>
      </c>
      <c r="C794" s="1" t="str">
        <f>IFERROR(IF('PREENCHER AQUI'!C794="","",'PREENCHER AQUI'!C794),"")</f>
        <v/>
      </c>
      <c r="D794" s="2" t="str">
        <f>IFERROR(IF('PREENCHER AQUI'!D794="","",'PREENCHER AQUI'!D794),"")</f>
        <v/>
      </c>
      <c r="E794" s="2" t="str">
        <f>IFERROR(VLOOKUP(CONCATENATE(C794,D794),qdd!$C$2:$F$1000,2,FALSE),"")</f>
        <v/>
      </c>
      <c r="F794" s="2" t="str">
        <f>IFERROR(VLOOKUP(CONCATENATE(C794,D794),qdd!$C$2:$F$1000,3,FALSE),"")</f>
        <v/>
      </c>
      <c r="G794" s="2" t="str">
        <f>IFERROR(VLOOKUP(CONCATENATE(C794,D794),qdd!$C$2:$F$1000,4,FALSE),"")</f>
        <v/>
      </c>
      <c r="H794" s="6" t="str">
        <f t="shared" si="26"/>
        <v/>
      </c>
      <c r="I7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4" s="2" t="str">
        <f>IFERROR(IF('PREENCHER AQUI'!E794="","",'PREENCHER AQUI'!E794),"")</f>
        <v/>
      </c>
      <c r="K794" s="2" t="str">
        <f>IFERROR(IF('PREENCHER AQUI'!F794="","",'PREENCHER AQUI'!F794),"")</f>
        <v/>
      </c>
      <c r="L794" s="2" t="str">
        <f>IF(Tabela1[[#This Row],[IPU_COD]]=9,"91",IF(Tabela1[[#This Row],[ACAO_COD]]="","",VLOOKUP(CONCATENATE("G",J794,"M",K794),qdd!$BC$2:$BD$46,2,FALSE)))</f>
        <v/>
      </c>
      <c r="M794" s="2" t="str">
        <f>TEXT(IFERROR(VLOOKUP(CONCATENATE(C794,D794),qdd!$C$2:$G$1000,5,FALSE),""),0)</f>
        <v/>
      </c>
      <c r="N794" s="2" t="str">
        <f>IFERROR(IF('PREENCHER AQUI'!I794="","",'PREENCHER AQUI'!I794),"")</f>
        <v/>
      </c>
      <c r="O794" s="2" t="str">
        <f>IFERROR(IF('PREENCHER AQUI'!J794="","",'PREENCHER AQUI'!J794),"")</f>
        <v/>
      </c>
      <c r="P794" s="7" t="str">
        <f t="shared" si="27"/>
        <v/>
      </c>
      <c r="Q794" s="8" t="str">
        <f>IFERROR(IF(Tabela4[[#This Row],[VALOR]]="","",IF(Tabela1[[#This Row],[ORIENTACAO]]="Anular",'PREENCHER AQUI'!K794*-1*100,'PREENCHER AQUI'!K794*100)),"")</f>
        <v/>
      </c>
      <c r="T794" s="7" t="str">
        <f>IFERROR(IF('PREENCHER AQUI'!L794="","999",LEFT('PREENCHER AQUI'!L794,1)),"")</f>
        <v>999</v>
      </c>
      <c r="V794" s="19"/>
      <c r="W794" s="1" t="str">
        <f>IFERROR(VLOOKUP(Tabela1[[#This Row],[UO_COD]],qdd!$AT$1:$AU$102,2,FALSE),"")</f>
        <v/>
      </c>
      <c r="X794" s="1" t="str">
        <f>CONCATENATE("F",Tabela1[[#This Row],[FONTE_COD]],Tabela1[[#This Row],[IPU_COD]],"G",Tabela1[[#This Row],[GRUPO_COD]],"T",Tabela1[[#This Row],[TIPO]])</f>
        <v>FGT999</v>
      </c>
      <c r="Y7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4" s="19"/>
      <c r="AA794" s="29" t="str">
        <f>IFERROR(VLOOKUP(CONCATENATE("B",Tabela1[[#This Row],[BLOCO]],Tabela1[[#This Row],[UO_COD]]),qdd!$AW$2:$AX$1000,2,FALSE),"")</f>
        <v/>
      </c>
      <c r="AB794" s="30" t="str">
        <f>IFERROR(Tabela1[[#This Row],[VALOR]]/100,"")</f>
        <v/>
      </c>
      <c r="AC794" s="7" t="str" cm="1">
        <f t="array" aca="1" ref="AC794" ca="1">IF(Tabela1[[#This Row],[VALOR]]&lt;0,"",IFERROR(SUBSTITUTE(Converter_numero(Tabela1[[#This Row],[VALOR INCISO]]),",",""),""))</f>
        <v/>
      </c>
      <c r="AD794" s="29" t="str">
        <f>IF(Tabela1[[#This Row],[TIPO]]=REGRAS!$W$2,REGRAS!$X$2,IF(Tabela1[[#This Row],[TIPO]]=REGRAS!$W$4,REGRAS!$X$4,""))</f>
        <v/>
      </c>
      <c r="AE794" s="29" t="e">
        <f>VLOOKUP(Tabela1[[#This Row],[FONTE_COD]],REGRAS!$O$2:$P$69,2,FALSE)</f>
        <v>#N/A</v>
      </c>
      <c r="AF7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5" spans="1:32" ht="18.75" customHeight="1">
      <c r="A795" s="2" t="str">
        <f>IFERROR(IF('PREENCHER AQUI'!A795="","",'PREENCHER AQUI'!A795),"")</f>
        <v/>
      </c>
      <c r="B795" s="1" t="str">
        <f>IFERROR(IF('PREENCHER AQUI'!B795="","",PROPER('PREENCHER AQUI'!B795)),"")</f>
        <v/>
      </c>
      <c r="C795" s="1" t="str">
        <f>IFERROR(IF('PREENCHER AQUI'!C795="","",'PREENCHER AQUI'!C795),"")</f>
        <v/>
      </c>
      <c r="D795" s="2" t="str">
        <f>IFERROR(IF('PREENCHER AQUI'!D795="","",'PREENCHER AQUI'!D795),"")</f>
        <v/>
      </c>
      <c r="E795" s="2" t="str">
        <f>IFERROR(VLOOKUP(CONCATENATE(C795,D795),qdd!$C$2:$F$1000,2,FALSE),"")</f>
        <v/>
      </c>
      <c r="F795" s="2" t="str">
        <f>IFERROR(VLOOKUP(CONCATENATE(C795,D795),qdd!$C$2:$F$1000,3,FALSE),"")</f>
        <v/>
      </c>
      <c r="G795" s="2" t="str">
        <f>IFERROR(VLOOKUP(CONCATENATE(C795,D795),qdd!$C$2:$F$1000,4,FALSE),"")</f>
        <v/>
      </c>
      <c r="H795" s="6" t="str">
        <f t="shared" si="26"/>
        <v/>
      </c>
      <c r="I7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5" s="2" t="str">
        <f>IFERROR(IF('PREENCHER AQUI'!E795="","",'PREENCHER AQUI'!E795),"")</f>
        <v/>
      </c>
      <c r="K795" s="2" t="str">
        <f>IFERROR(IF('PREENCHER AQUI'!F795="","",'PREENCHER AQUI'!F795),"")</f>
        <v/>
      </c>
      <c r="L795" s="2" t="str">
        <f>IF(Tabela1[[#This Row],[IPU_COD]]=9,"91",IF(Tabela1[[#This Row],[ACAO_COD]]="","",VLOOKUP(CONCATENATE("G",J795,"M",K795),qdd!$BC$2:$BD$46,2,FALSE)))</f>
        <v/>
      </c>
      <c r="M795" s="2" t="str">
        <f>TEXT(IFERROR(VLOOKUP(CONCATENATE(C795,D795),qdd!$C$2:$G$1000,5,FALSE),""),0)</f>
        <v/>
      </c>
      <c r="N795" s="2" t="str">
        <f>IFERROR(IF('PREENCHER AQUI'!I795="","",'PREENCHER AQUI'!I795),"")</f>
        <v/>
      </c>
      <c r="O795" s="2" t="str">
        <f>IFERROR(IF('PREENCHER AQUI'!J795="","",'PREENCHER AQUI'!J795),"")</f>
        <v/>
      </c>
      <c r="P795" s="7" t="str">
        <f t="shared" si="27"/>
        <v/>
      </c>
      <c r="Q795" s="8" t="str">
        <f>IFERROR(IF(Tabela4[[#This Row],[VALOR]]="","",IF(Tabela1[[#This Row],[ORIENTACAO]]="Anular",'PREENCHER AQUI'!K795*-1*100,'PREENCHER AQUI'!K795*100)),"")</f>
        <v/>
      </c>
      <c r="T795" s="7" t="str">
        <f>IFERROR(IF('PREENCHER AQUI'!L795="","999",LEFT('PREENCHER AQUI'!L795,1)),"")</f>
        <v>999</v>
      </c>
      <c r="V795" s="19"/>
      <c r="W795" s="20" t="str">
        <f>IFERROR(VLOOKUP(Tabela1[[#This Row],[UO_COD]],qdd!$AT$1:$AU$102,2,FALSE),"")</f>
        <v/>
      </c>
      <c r="X795" s="20" t="str">
        <f>CONCATENATE("F",Tabela1[[#This Row],[FONTE_COD]],Tabela1[[#This Row],[IPU_COD]],"G",Tabela1[[#This Row],[GRUPO_COD]],"T",Tabela1[[#This Row],[TIPO]])</f>
        <v>FGT999</v>
      </c>
      <c r="Y7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5" s="19"/>
      <c r="AA795" s="29" t="str">
        <f>IFERROR(VLOOKUP(CONCATENATE("B",Tabela1[[#This Row],[BLOCO]],Tabela1[[#This Row],[UO_COD]]),qdd!$AW$2:$AX$1000,2,FALSE),"")</f>
        <v/>
      </c>
      <c r="AB795" s="30" t="str">
        <f>IFERROR(Tabela1[[#This Row],[VALOR]]/100,"")</f>
        <v/>
      </c>
      <c r="AC795" s="7" t="str" cm="1">
        <f t="array" aca="1" ref="AC795" ca="1">IF(Tabela1[[#This Row],[VALOR]]&lt;0,"",IFERROR(SUBSTITUTE(Converter_numero(Tabela1[[#This Row],[VALOR INCISO]]),",",""),""))</f>
        <v/>
      </c>
      <c r="AD795" s="29" t="str">
        <f>IF(Tabela1[[#This Row],[TIPO]]=REGRAS!$W$2,REGRAS!$X$2,IF(Tabela1[[#This Row],[TIPO]]=REGRAS!$W$4,REGRAS!$X$4,""))</f>
        <v/>
      </c>
      <c r="AE795" s="29" t="e">
        <f>VLOOKUP(Tabela1[[#This Row],[FONTE_COD]],REGRAS!$O$2:$P$69,2,FALSE)</f>
        <v>#N/A</v>
      </c>
      <c r="AF7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6" spans="1:32" ht="18.75" customHeight="1">
      <c r="A796" s="2" t="str">
        <f>IFERROR(IF('PREENCHER AQUI'!A796="","",'PREENCHER AQUI'!A796),"")</f>
        <v/>
      </c>
      <c r="B796" s="1" t="str">
        <f>IFERROR(IF('PREENCHER AQUI'!B796="","",PROPER('PREENCHER AQUI'!B796)),"")</f>
        <v/>
      </c>
      <c r="C796" s="1" t="str">
        <f>IFERROR(IF('PREENCHER AQUI'!C796="","",'PREENCHER AQUI'!C796),"")</f>
        <v/>
      </c>
      <c r="D796" s="2" t="str">
        <f>IFERROR(IF('PREENCHER AQUI'!D796="","",'PREENCHER AQUI'!D796),"")</f>
        <v/>
      </c>
      <c r="E796" s="2" t="str">
        <f>IFERROR(VLOOKUP(CONCATENATE(C796,D796),qdd!$C$2:$F$1000,2,FALSE),"")</f>
        <v/>
      </c>
      <c r="F796" s="2" t="str">
        <f>IFERROR(VLOOKUP(CONCATENATE(C796,D796),qdd!$C$2:$F$1000,3,FALSE),"")</f>
        <v/>
      </c>
      <c r="G796" s="2" t="str">
        <f>IFERROR(VLOOKUP(CONCATENATE(C796,D796),qdd!$C$2:$F$1000,4,FALSE),"")</f>
        <v/>
      </c>
      <c r="H796" s="6" t="str">
        <f t="shared" si="26"/>
        <v/>
      </c>
      <c r="I7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6" s="2" t="str">
        <f>IFERROR(IF('PREENCHER AQUI'!E796="","",'PREENCHER AQUI'!E796),"")</f>
        <v/>
      </c>
      <c r="K796" s="2" t="str">
        <f>IFERROR(IF('PREENCHER AQUI'!F796="","",'PREENCHER AQUI'!F796),"")</f>
        <v/>
      </c>
      <c r="L796" s="2" t="str">
        <f>IF(Tabela1[[#This Row],[IPU_COD]]=9,"91",IF(Tabela1[[#This Row],[ACAO_COD]]="","",VLOOKUP(CONCATENATE("G",J796,"M",K796),qdd!$BC$2:$BD$46,2,FALSE)))</f>
        <v/>
      </c>
      <c r="M796" s="2" t="str">
        <f>TEXT(IFERROR(VLOOKUP(CONCATENATE(C796,D796),qdd!$C$2:$G$1000,5,FALSE),""),0)</f>
        <v/>
      </c>
      <c r="N796" s="2" t="str">
        <f>IFERROR(IF('PREENCHER AQUI'!I796="","",'PREENCHER AQUI'!I796),"")</f>
        <v/>
      </c>
      <c r="O796" s="2" t="str">
        <f>IFERROR(IF('PREENCHER AQUI'!J796="","",'PREENCHER AQUI'!J796),"")</f>
        <v/>
      </c>
      <c r="P796" s="7" t="str">
        <f t="shared" si="27"/>
        <v/>
      </c>
      <c r="Q796" s="8" t="str">
        <f>IFERROR(IF(Tabela4[[#This Row],[VALOR]]="","",IF(Tabela1[[#This Row],[ORIENTACAO]]="Anular",'PREENCHER AQUI'!K796*-1*100,'PREENCHER AQUI'!K796*100)),"")</f>
        <v/>
      </c>
      <c r="T796" s="7" t="str">
        <f>IFERROR(IF('PREENCHER AQUI'!L796="","999",LEFT('PREENCHER AQUI'!L796,1)),"")</f>
        <v>999</v>
      </c>
      <c r="V796" s="19"/>
      <c r="W796" s="1" t="str">
        <f>IFERROR(VLOOKUP(Tabela1[[#This Row],[UO_COD]],qdd!$AT$1:$AU$102,2,FALSE),"")</f>
        <v/>
      </c>
      <c r="X796" s="1" t="str">
        <f>CONCATENATE("F",Tabela1[[#This Row],[FONTE_COD]],Tabela1[[#This Row],[IPU_COD]],"G",Tabela1[[#This Row],[GRUPO_COD]],"T",Tabela1[[#This Row],[TIPO]])</f>
        <v>FGT999</v>
      </c>
      <c r="Y7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6" s="19"/>
      <c r="AA796" s="29" t="str">
        <f>IFERROR(VLOOKUP(CONCATENATE("B",Tabela1[[#This Row],[BLOCO]],Tabela1[[#This Row],[UO_COD]]),qdd!$AW$2:$AX$1000,2,FALSE),"")</f>
        <v/>
      </c>
      <c r="AB796" s="30" t="str">
        <f>IFERROR(Tabela1[[#This Row],[VALOR]]/100,"")</f>
        <v/>
      </c>
      <c r="AC796" s="7" t="str" cm="1">
        <f t="array" aca="1" ref="AC796" ca="1">IF(Tabela1[[#This Row],[VALOR]]&lt;0,"",IFERROR(SUBSTITUTE(Converter_numero(Tabela1[[#This Row],[VALOR INCISO]]),",",""),""))</f>
        <v/>
      </c>
      <c r="AD796" s="29" t="str">
        <f>IF(Tabela1[[#This Row],[TIPO]]=REGRAS!$W$2,REGRAS!$X$2,IF(Tabela1[[#This Row],[TIPO]]=REGRAS!$W$4,REGRAS!$X$4,""))</f>
        <v/>
      </c>
      <c r="AE796" s="29" t="e">
        <f>VLOOKUP(Tabela1[[#This Row],[FONTE_COD]],REGRAS!$O$2:$P$69,2,FALSE)</f>
        <v>#N/A</v>
      </c>
      <c r="AF7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7" spans="1:32" ht="18.75" customHeight="1">
      <c r="A797" s="2" t="str">
        <f>IFERROR(IF('PREENCHER AQUI'!A797="","",'PREENCHER AQUI'!A797),"")</f>
        <v/>
      </c>
      <c r="B797" s="1" t="str">
        <f>IFERROR(IF('PREENCHER AQUI'!B797="","",PROPER('PREENCHER AQUI'!B797)),"")</f>
        <v/>
      </c>
      <c r="C797" s="1" t="str">
        <f>IFERROR(IF('PREENCHER AQUI'!C797="","",'PREENCHER AQUI'!C797),"")</f>
        <v/>
      </c>
      <c r="D797" s="2" t="str">
        <f>IFERROR(IF('PREENCHER AQUI'!D797="","",'PREENCHER AQUI'!D797),"")</f>
        <v/>
      </c>
      <c r="E797" s="2" t="str">
        <f>IFERROR(VLOOKUP(CONCATENATE(C797,D797),qdd!$C$2:$F$1000,2,FALSE),"")</f>
        <v/>
      </c>
      <c r="F797" s="2" t="str">
        <f>IFERROR(VLOOKUP(CONCATENATE(C797,D797),qdd!$C$2:$F$1000,3,FALSE),"")</f>
        <v/>
      </c>
      <c r="G797" s="2" t="str">
        <f>IFERROR(VLOOKUP(CONCATENATE(C797,D797),qdd!$C$2:$F$1000,4,FALSE),"")</f>
        <v/>
      </c>
      <c r="H797" s="6" t="str">
        <f t="shared" si="26"/>
        <v/>
      </c>
      <c r="I7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7" s="2" t="str">
        <f>IFERROR(IF('PREENCHER AQUI'!E797="","",'PREENCHER AQUI'!E797),"")</f>
        <v/>
      </c>
      <c r="K797" s="2" t="str">
        <f>IFERROR(IF('PREENCHER AQUI'!F797="","",'PREENCHER AQUI'!F797),"")</f>
        <v/>
      </c>
      <c r="L797" s="2" t="str">
        <f>IF(Tabela1[[#This Row],[IPU_COD]]=9,"91",IF(Tabela1[[#This Row],[ACAO_COD]]="","",VLOOKUP(CONCATENATE("G",J797,"M",K797),qdd!$BC$2:$BD$46,2,FALSE)))</f>
        <v/>
      </c>
      <c r="M797" s="2" t="str">
        <f>TEXT(IFERROR(VLOOKUP(CONCATENATE(C797,D797),qdd!$C$2:$G$1000,5,FALSE),""),0)</f>
        <v/>
      </c>
      <c r="N797" s="2" t="str">
        <f>IFERROR(IF('PREENCHER AQUI'!I797="","",'PREENCHER AQUI'!I797),"")</f>
        <v/>
      </c>
      <c r="O797" s="2" t="str">
        <f>IFERROR(IF('PREENCHER AQUI'!J797="","",'PREENCHER AQUI'!J797),"")</f>
        <v/>
      </c>
      <c r="P797" s="7" t="str">
        <f t="shared" si="27"/>
        <v/>
      </c>
      <c r="Q797" s="8" t="str">
        <f>IFERROR(IF(Tabela4[[#This Row],[VALOR]]="","",IF(Tabela1[[#This Row],[ORIENTACAO]]="Anular",'PREENCHER AQUI'!K797*-1*100,'PREENCHER AQUI'!K797*100)),"")</f>
        <v/>
      </c>
      <c r="T797" s="7" t="str">
        <f>IFERROR(IF('PREENCHER AQUI'!L797="","999",LEFT('PREENCHER AQUI'!L797,1)),"")</f>
        <v>999</v>
      </c>
      <c r="W797" s="1" t="str">
        <f>IFERROR(VLOOKUP(Tabela1[[#This Row],[UO_COD]],qdd!$AT$1:$AU$102,2,FALSE),"")</f>
        <v/>
      </c>
      <c r="X797" s="1" t="str">
        <f>CONCATENATE("F",Tabela1[[#This Row],[FONTE_COD]],Tabela1[[#This Row],[IPU_COD]],"G",Tabela1[[#This Row],[GRUPO_COD]],"T",Tabela1[[#This Row],[TIPO]])</f>
        <v>FGT999</v>
      </c>
      <c r="Y7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7" s="19"/>
      <c r="AA797" s="29" t="str">
        <f>IFERROR(VLOOKUP(CONCATENATE("B",Tabela1[[#This Row],[BLOCO]],Tabela1[[#This Row],[UO_COD]]),qdd!$AW$2:$AX$1000,2,FALSE),"")</f>
        <v/>
      </c>
      <c r="AB797" s="30" t="str">
        <f>IFERROR(Tabela1[[#This Row],[VALOR]]/100,"")</f>
        <v/>
      </c>
      <c r="AC797" s="7" t="str" cm="1">
        <f t="array" aca="1" ref="AC797" ca="1">IF(Tabela1[[#This Row],[VALOR]]&lt;0,"",IFERROR(SUBSTITUTE(Converter_numero(Tabela1[[#This Row],[VALOR INCISO]]),",",""),""))</f>
        <v/>
      </c>
      <c r="AD797" s="7" t="str">
        <f>IF(Tabela1[[#This Row],[TIPO]]=REGRAS!$W$2,REGRAS!$X$2,IF(Tabela1[[#This Row],[TIPO]]=REGRAS!$W$4,REGRAS!$X$4,""))</f>
        <v/>
      </c>
      <c r="AE797" s="29" t="e">
        <f>VLOOKUP(Tabela1[[#This Row],[FONTE_COD]],REGRAS!$O$2:$P$69,2,FALSE)</f>
        <v>#N/A</v>
      </c>
      <c r="AF7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8" spans="1:32" ht="18.75" customHeight="1">
      <c r="A798" s="2" t="str">
        <f>IFERROR(IF('PREENCHER AQUI'!A798="","",'PREENCHER AQUI'!A798),"")</f>
        <v/>
      </c>
      <c r="B798" s="1" t="str">
        <f>IFERROR(IF('PREENCHER AQUI'!B798="","",PROPER('PREENCHER AQUI'!B798)),"")</f>
        <v/>
      </c>
      <c r="C798" s="1" t="str">
        <f>IFERROR(IF('PREENCHER AQUI'!C798="","",'PREENCHER AQUI'!C798),"")</f>
        <v/>
      </c>
      <c r="D798" s="2" t="str">
        <f>IFERROR(IF('PREENCHER AQUI'!D798="","",'PREENCHER AQUI'!D798),"")</f>
        <v/>
      </c>
      <c r="E798" s="2" t="str">
        <f>IFERROR(VLOOKUP(CONCATENATE(C798,D798),qdd!$C$2:$F$1000,2,FALSE),"")</f>
        <v/>
      </c>
      <c r="F798" s="2" t="str">
        <f>IFERROR(VLOOKUP(CONCATENATE(C798,D798),qdd!$C$2:$F$1000,3,FALSE),"")</f>
        <v/>
      </c>
      <c r="G798" s="2" t="str">
        <f>IFERROR(VLOOKUP(CONCATENATE(C798,D798),qdd!$C$2:$F$1000,4,FALSE),"")</f>
        <v/>
      </c>
      <c r="H798" s="6" t="str">
        <f t="shared" si="26"/>
        <v/>
      </c>
      <c r="I7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8" s="2" t="str">
        <f>IFERROR(IF('PREENCHER AQUI'!E798="","",'PREENCHER AQUI'!E798),"")</f>
        <v/>
      </c>
      <c r="K798" s="2" t="str">
        <f>IFERROR(IF('PREENCHER AQUI'!F798="","",'PREENCHER AQUI'!F798),"")</f>
        <v/>
      </c>
      <c r="L798" s="2" t="str">
        <f>IF(Tabela1[[#This Row],[IPU_COD]]=9,"91",IF(Tabela1[[#This Row],[ACAO_COD]]="","",VLOOKUP(CONCATENATE("G",J798,"M",K798),qdd!$BC$2:$BD$46,2,FALSE)))</f>
        <v/>
      </c>
      <c r="M798" s="2" t="str">
        <f>TEXT(IFERROR(VLOOKUP(CONCATENATE(C798,D798),qdd!$C$2:$G$1000,5,FALSE),""),0)</f>
        <v/>
      </c>
      <c r="N798" s="2" t="str">
        <f>IFERROR(IF('PREENCHER AQUI'!I798="","",'PREENCHER AQUI'!I798),"")</f>
        <v/>
      </c>
      <c r="O798" s="2" t="str">
        <f>IFERROR(IF('PREENCHER AQUI'!J798="","",'PREENCHER AQUI'!J798),"")</f>
        <v/>
      </c>
      <c r="P798" s="7" t="str">
        <f t="shared" si="27"/>
        <v/>
      </c>
      <c r="Q798" s="8" t="str">
        <f>IFERROR(IF(Tabela4[[#This Row],[VALOR]]="","",IF(Tabela1[[#This Row],[ORIENTACAO]]="Anular",'PREENCHER AQUI'!K798*-1*100,'PREENCHER AQUI'!K798*100)),"")</f>
        <v/>
      </c>
      <c r="T798" s="7" t="str">
        <f>IFERROR(IF('PREENCHER AQUI'!L798="","999",LEFT('PREENCHER AQUI'!L798,1)),"")</f>
        <v>999</v>
      </c>
      <c r="V798" s="19"/>
      <c r="W798" s="1" t="str">
        <f>IFERROR(VLOOKUP(Tabela1[[#This Row],[UO_COD]],qdd!$AT$1:$AU$102,2,FALSE),"")</f>
        <v/>
      </c>
      <c r="X798" s="1" t="str">
        <f>CONCATENATE("F",Tabela1[[#This Row],[FONTE_COD]],Tabela1[[#This Row],[IPU_COD]],"G",Tabela1[[#This Row],[GRUPO_COD]],"T",Tabela1[[#This Row],[TIPO]])</f>
        <v>FGT999</v>
      </c>
      <c r="Y7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8" s="19"/>
      <c r="AA798" s="29" t="str">
        <f>IFERROR(VLOOKUP(CONCATENATE("B",Tabela1[[#This Row],[BLOCO]],Tabela1[[#This Row],[UO_COD]]),qdd!$AW$2:$AX$1000,2,FALSE),"")</f>
        <v/>
      </c>
      <c r="AB798" s="30" t="str">
        <f>IFERROR(Tabela1[[#This Row],[VALOR]]/100,"")</f>
        <v/>
      </c>
      <c r="AC798" s="7" t="str" cm="1">
        <f t="array" aca="1" ref="AC798" ca="1">IF(Tabela1[[#This Row],[VALOR]]&lt;0,"",IFERROR(SUBSTITUTE(Converter_numero(Tabela1[[#This Row],[VALOR INCISO]]),",",""),""))</f>
        <v/>
      </c>
      <c r="AD798" s="29" t="str">
        <f>IF(Tabela1[[#This Row],[TIPO]]=REGRAS!$W$2,REGRAS!$X$2,IF(Tabela1[[#This Row],[TIPO]]=REGRAS!$W$4,REGRAS!$X$4,""))</f>
        <v/>
      </c>
      <c r="AE798" s="29" t="e">
        <f>VLOOKUP(Tabela1[[#This Row],[FONTE_COD]],REGRAS!$O$2:$P$69,2,FALSE)</f>
        <v>#N/A</v>
      </c>
      <c r="AF7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9" spans="1:32" ht="18.75" customHeight="1">
      <c r="A799" s="2" t="str">
        <f>IFERROR(IF('PREENCHER AQUI'!A799="","",'PREENCHER AQUI'!A799),"")</f>
        <v/>
      </c>
      <c r="B799" s="1" t="str">
        <f>IFERROR(IF('PREENCHER AQUI'!B799="","",PROPER('PREENCHER AQUI'!B799)),"")</f>
        <v/>
      </c>
      <c r="C799" s="1" t="str">
        <f>IFERROR(IF('PREENCHER AQUI'!C799="","",'PREENCHER AQUI'!C799),"")</f>
        <v/>
      </c>
      <c r="D799" s="2" t="str">
        <f>IFERROR(IF('PREENCHER AQUI'!D799="","",'PREENCHER AQUI'!D799),"")</f>
        <v/>
      </c>
      <c r="E799" s="2" t="str">
        <f>IFERROR(VLOOKUP(CONCATENATE(C799,D799),qdd!$C$2:$F$1000,2,FALSE),"")</f>
        <v/>
      </c>
      <c r="F799" s="2" t="str">
        <f>IFERROR(VLOOKUP(CONCATENATE(C799,D799),qdd!$C$2:$F$1000,3,FALSE),"")</f>
        <v/>
      </c>
      <c r="G799" s="2" t="str">
        <f>IFERROR(VLOOKUP(CONCATENATE(C799,D799),qdd!$C$2:$F$1000,4,FALSE),"")</f>
        <v/>
      </c>
      <c r="H799" s="6" t="str">
        <f t="shared" si="26"/>
        <v/>
      </c>
      <c r="I7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9" s="2" t="str">
        <f>IFERROR(IF('PREENCHER AQUI'!E799="","",'PREENCHER AQUI'!E799),"")</f>
        <v/>
      </c>
      <c r="K799" s="2" t="str">
        <f>IFERROR(IF('PREENCHER AQUI'!F799="","",'PREENCHER AQUI'!F799),"")</f>
        <v/>
      </c>
      <c r="L799" s="2" t="str">
        <f>IF(Tabela1[[#This Row],[IPU_COD]]=9,"91",IF(Tabela1[[#This Row],[ACAO_COD]]="","",VLOOKUP(CONCATENATE("G",J799,"M",K799),qdd!$BC$2:$BD$46,2,FALSE)))</f>
        <v/>
      </c>
      <c r="M799" s="2" t="str">
        <f>TEXT(IFERROR(VLOOKUP(CONCATENATE(C799,D799),qdd!$C$2:$G$1000,5,FALSE),""),0)</f>
        <v/>
      </c>
      <c r="N799" s="2" t="str">
        <f>IFERROR(IF('PREENCHER AQUI'!I799="","",'PREENCHER AQUI'!I799),"")</f>
        <v/>
      </c>
      <c r="O799" s="2" t="str">
        <f>IFERROR(IF('PREENCHER AQUI'!J799="","",'PREENCHER AQUI'!J799),"")</f>
        <v/>
      </c>
      <c r="P799" s="7" t="str">
        <f t="shared" si="27"/>
        <v/>
      </c>
      <c r="Q799" s="8" t="str">
        <f>IFERROR(IF(Tabela4[[#This Row],[VALOR]]="","",IF(Tabela1[[#This Row],[ORIENTACAO]]="Anular",'PREENCHER AQUI'!K799*-1*100,'PREENCHER AQUI'!K799*100)),"")</f>
        <v/>
      </c>
      <c r="T799" s="7" t="str">
        <f>IFERROR(IF('PREENCHER AQUI'!L799="","999",LEFT('PREENCHER AQUI'!L799,1)),"")</f>
        <v>999</v>
      </c>
      <c r="V799" s="19"/>
      <c r="W799" s="1" t="str">
        <f>IFERROR(VLOOKUP(Tabela1[[#This Row],[UO_COD]],qdd!$AT$1:$AU$102,2,FALSE),"")</f>
        <v/>
      </c>
      <c r="X799" s="1" t="str">
        <f>CONCATENATE("F",Tabela1[[#This Row],[FONTE_COD]],Tabela1[[#This Row],[IPU_COD]],"G",Tabela1[[#This Row],[GRUPO_COD]],"T",Tabela1[[#This Row],[TIPO]])</f>
        <v>FGT999</v>
      </c>
      <c r="Y7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9" s="19"/>
      <c r="AA799" s="29" t="str">
        <f>IFERROR(VLOOKUP(CONCATENATE("B",Tabela1[[#This Row],[BLOCO]],Tabela1[[#This Row],[UO_COD]]),qdd!$AW$2:$AX$1000,2,FALSE),"")</f>
        <v/>
      </c>
      <c r="AB799" s="30" t="str">
        <f>IFERROR(Tabela1[[#This Row],[VALOR]]/100,"")</f>
        <v/>
      </c>
      <c r="AC799" s="7" t="str" cm="1">
        <f t="array" aca="1" ref="AC799" ca="1">IF(Tabela1[[#This Row],[VALOR]]&lt;0,"",IFERROR(SUBSTITUTE(Converter_numero(Tabela1[[#This Row],[VALOR INCISO]]),",",""),""))</f>
        <v/>
      </c>
      <c r="AD799" s="29" t="str">
        <f>IF(Tabela1[[#This Row],[TIPO]]=REGRAS!$W$2,REGRAS!$X$2,IF(Tabela1[[#This Row],[TIPO]]=REGRAS!$W$4,REGRAS!$X$4,""))</f>
        <v/>
      </c>
      <c r="AE799" s="29" t="e">
        <f>VLOOKUP(Tabela1[[#This Row],[FONTE_COD]],REGRAS!$O$2:$P$69,2,FALSE)</f>
        <v>#N/A</v>
      </c>
      <c r="AF7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0" spans="1:32" ht="18.75" customHeight="1">
      <c r="A800" s="2" t="str">
        <f>IFERROR(IF('PREENCHER AQUI'!A800="","",'PREENCHER AQUI'!A800),"")</f>
        <v/>
      </c>
      <c r="B800" s="1" t="str">
        <f>IFERROR(IF('PREENCHER AQUI'!B800="","",PROPER('PREENCHER AQUI'!B800)),"")</f>
        <v/>
      </c>
      <c r="C800" s="1" t="str">
        <f>IFERROR(IF('PREENCHER AQUI'!C800="","",'PREENCHER AQUI'!C800),"")</f>
        <v/>
      </c>
      <c r="D800" s="2" t="str">
        <f>IFERROR(IF('PREENCHER AQUI'!D800="","",'PREENCHER AQUI'!D800),"")</f>
        <v/>
      </c>
      <c r="E800" s="2" t="str">
        <f>IFERROR(VLOOKUP(CONCATENATE(C800,D800),qdd!$C$2:$F$1000,2,FALSE),"")</f>
        <v/>
      </c>
      <c r="F800" s="2" t="str">
        <f>IFERROR(VLOOKUP(CONCATENATE(C800,D800),qdd!$C$2:$F$1000,3,FALSE),"")</f>
        <v/>
      </c>
      <c r="G800" s="2" t="str">
        <f>IFERROR(VLOOKUP(CONCATENATE(C800,D800),qdd!$C$2:$F$1000,4,FALSE),"")</f>
        <v/>
      </c>
      <c r="H800" s="6" t="str">
        <f t="shared" si="26"/>
        <v/>
      </c>
      <c r="I8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0" s="2" t="str">
        <f>IFERROR(IF('PREENCHER AQUI'!E800="","",'PREENCHER AQUI'!E800),"")</f>
        <v/>
      </c>
      <c r="K800" s="2" t="str">
        <f>IFERROR(IF('PREENCHER AQUI'!F800="","",'PREENCHER AQUI'!F800),"")</f>
        <v/>
      </c>
      <c r="L800" s="2" t="str">
        <f>IF(Tabela1[[#This Row],[IPU_COD]]=9,"91",IF(Tabela1[[#This Row],[ACAO_COD]]="","",VLOOKUP(CONCATENATE("G",J800,"M",K800),qdd!$BC$2:$BD$46,2,FALSE)))</f>
        <v/>
      </c>
      <c r="M800" s="2" t="str">
        <f>TEXT(IFERROR(VLOOKUP(CONCATENATE(C800,D800),qdd!$C$2:$G$1000,5,FALSE),""),0)</f>
        <v/>
      </c>
      <c r="N800" s="2" t="str">
        <f>IFERROR(IF('PREENCHER AQUI'!I800="","",'PREENCHER AQUI'!I800),"")</f>
        <v/>
      </c>
      <c r="O800" s="2" t="str">
        <f>IFERROR(IF('PREENCHER AQUI'!J800="","",'PREENCHER AQUI'!J800),"")</f>
        <v/>
      </c>
      <c r="P800" s="7" t="str">
        <f t="shared" si="27"/>
        <v/>
      </c>
      <c r="Q800" s="8" t="str">
        <f>IFERROR(IF(Tabela4[[#This Row],[VALOR]]="","",IF(Tabela1[[#This Row],[ORIENTACAO]]="Anular",'PREENCHER AQUI'!K800*-1*100,'PREENCHER AQUI'!K800*100)),"")</f>
        <v/>
      </c>
      <c r="T800" s="7" t="str">
        <f>IFERROR(IF('PREENCHER AQUI'!L800="","999",LEFT('PREENCHER AQUI'!L800,1)),"")</f>
        <v>999</v>
      </c>
      <c r="V800" s="19"/>
      <c r="W800" s="20" t="str">
        <f>IFERROR(VLOOKUP(Tabela1[[#This Row],[UO_COD]],qdd!$AT$1:$AU$102,2,FALSE),"")</f>
        <v/>
      </c>
      <c r="X800" s="20" t="str">
        <f>CONCATENATE("F",Tabela1[[#This Row],[FONTE_COD]],Tabela1[[#This Row],[IPU_COD]],"G",Tabela1[[#This Row],[GRUPO_COD]],"T",Tabela1[[#This Row],[TIPO]])</f>
        <v>FGT999</v>
      </c>
      <c r="Y8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0" s="19"/>
      <c r="AA800" s="29" t="str">
        <f>IFERROR(VLOOKUP(CONCATENATE("B",Tabela1[[#This Row],[BLOCO]],Tabela1[[#This Row],[UO_COD]]),qdd!$AW$2:$AX$1000,2,FALSE),"")</f>
        <v/>
      </c>
      <c r="AB800" s="30" t="str">
        <f>IFERROR(Tabela1[[#This Row],[VALOR]]/100,"")</f>
        <v/>
      </c>
      <c r="AC800" s="7" t="str" cm="1">
        <f t="array" aca="1" ref="AC800" ca="1">IF(Tabela1[[#This Row],[VALOR]]&lt;0,"",IFERROR(SUBSTITUTE(Converter_numero(Tabela1[[#This Row],[VALOR INCISO]]),",",""),""))</f>
        <v/>
      </c>
      <c r="AD800" s="29" t="str">
        <f>IF(Tabela1[[#This Row],[TIPO]]=REGRAS!$W$2,REGRAS!$X$2,IF(Tabela1[[#This Row],[TIPO]]=REGRAS!$W$4,REGRAS!$X$4,""))</f>
        <v/>
      </c>
      <c r="AE800" s="29" t="e">
        <f>VLOOKUP(Tabela1[[#This Row],[FONTE_COD]],REGRAS!$O$2:$P$69,2,FALSE)</f>
        <v>#N/A</v>
      </c>
      <c r="AF8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1" spans="1:32" ht="18.75" customHeight="1">
      <c r="A801" s="2" t="str">
        <f>IFERROR(IF('PREENCHER AQUI'!A801="","",'PREENCHER AQUI'!A801),"")</f>
        <v/>
      </c>
      <c r="B801" s="1" t="str">
        <f>IFERROR(IF('PREENCHER AQUI'!B801="","",PROPER('PREENCHER AQUI'!B801)),"")</f>
        <v/>
      </c>
      <c r="C801" s="1" t="str">
        <f>IFERROR(IF('PREENCHER AQUI'!C801="","",'PREENCHER AQUI'!C801),"")</f>
        <v/>
      </c>
      <c r="D801" s="2" t="str">
        <f>IFERROR(IF('PREENCHER AQUI'!D801="","",'PREENCHER AQUI'!D801),"")</f>
        <v/>
      </c>
      <c r="E801" s="2" t="str">
        <f>IFERROR(VLOOKUP(CONCATENATE(C801,D801),qdd!$C$2:$F$1000,2,FALSE),"")</f>
        <v/>
      </c>
      <c r="F801" s="2" t="str">
        <f>IFERROR(VLOOKUP(CONCATENATE(C801,D801),qdd!$C$2:$F$1000,3,FALSE),"")</f>
        <v/>
      </c>
      <c r="G801" s="2" t="str">
        <f>IFERROR(VLOOKUP(CONCATENATE(C801,D801),qdd!$C$2:$F$1000,4,FALSE),"")</f>
        <v/>
      </c>
      <c r="H801" s="6" t="str">
        <f t="shared" si="26"/>
        <v/>
      </c>
      <c r="I8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1" s="2" t="str">
        <f>IFERROR(IF('PREENCHER AQUI'!E801="","",'PREENCHER AQUI'!E801),"")</f>
        <v/>
      </c>
      <c r="K801" s="2" t="str">
        <f>IFERROR(IF('PREENCHER AQUI'!F801="","",'PREENCHER AQUI'!F801),"")</f>
        <v/>
      </c>
      <c r="L801" s="2" t="str">
        <f>IF(Tabela1[[#This Row],[IPU_COD]]=9,"91",IF(Tabela1[[#This Row],[ACAO_COD]]="","",VLOOKUP(CONCATENATE("G",J801,"M",K801),qdd!$BC$2:$BD$46,2,FALSE)))</f>
        <v/>
      </c>
      <c r="M801" s="2" t="str">
        <f>TEXT(IFERROR(VLOOKUP(CONCATENATE(C801,D801),qdd!$C$2:$G$1000,5,FALSE),""),0)</f>
        <v/>
      </c>
      <c r="N801" s="2" t="str">
        <f>IFERROR(IF('PREENCHER AQUI'!I801="","",'PREENCHER AQUI'!I801),"")</f>
        <v/>
      </c>
      <c r="O801" s="2" t="str">
        <f>IFERROR(IF('PREENCHER AQUI'!J801="","",'PREENCHER AQUI'!J801),"")</f>
        <v/>
      </c>
      <c r="P801" s="7" t="str">
        <f t="shared" si="27"/>
        <v/>
      </c>
      <c r="Q801" s="8" t="str">
        <f>IFERROR(IF(Tabela4[[#This Row],[VALOR]]="","",IF(Tabela1[[#This Row],[ORIENTACAO]]="Anular",'PREENCHER AQUI'!K801*-1*100,'PREENCHER AQUI'!K801*100)),"")</f>
        <v/>
      </c>
      <c r="T801" s="7" t="str">
        <f>IFERROR(IF('PREENCHER AQUI'!L801="","999",LEFT('PREENCHER AQUI'!L801,1)),"")</f>
        <v>999</v>
      </c>
      <c r="V801" s="19"/>
      <c r="W801" s="1" t="str">
        <f>IFERROR(VLOOKUP(Tabela1[[#This Row],[UO_COD]],qdd!$AT$1:$AU$102,2,FALSE),"")</f>
        <v/>
      </c>
      <c r="X801" s="1" t="str">
        <f>CONCATENATE("F",Tabela1[[#This Row],[FONTE_COD]],Tabela1[[#This Row],[IPU_COD]],"G",Tabela1[[#This Row],[GRUPO_COD]],"T",Tabela1[[#This Row],[TIPO]])</f>
        <v>FGT999</v>
      </c>
      <c r="Y8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1" s="19"/>
      <c r="AA801" s="29" t="str">
        <f>IFERROR(VLOOKUP(CONCATENATE("B",Tabela1[[#This Row],[BLOCO]],Tabela1[[#This Row],[UO_COD]]),qdd!$AW$2:$AX$1000,2,FALSE),"")</f>
        <v/>
      </c>
      <c r="AB801" s="30" t="str">
        <f>IFERROR(Tabela1[[#This Row],[VALOR]]/100,"")</f>
        <v/>
      </c>
      <c r="AC801" s="7" t="str" cm="1">
        <f t="array" aca="1" ref="AC801" ca="1">IF(Tabela1[[#This Row],[VALOR]]&lt;0,"",IFERROR(SUBSTITUTE(Converter_numero(Tabela1[[#This Row],[VALOR INCISO]]),",",""),""))</f>
        <v/>
      </c>
      <c r="AD801" s="29" t="str">
        <f>IF(Tabela1[[#This Row],[TIPO]]=REGRAS!$W$2,REGRAS!$X$2,IF(Tabela1[[#This Row],[TIPO]]=REGRAS!$W$4,REGRAS!$X$4,""))</f>
        <v/>
      </c>
      <c r="AE801" s="29" t="e">
        <f>VLOOKUP(Tabela1[[#This Row],[FONTE_COD]],REGRAS!$O$2:$P$69,2,FALSE)</f>
        <v>#N/A</v>
      </c>
      <c r="AF8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2" spans="1:32" ht="18.75" customHeight="1">
      <c r="A802" s="2" t="str">
        <f>IFERROR(IF('PREENCHER AQUI'!A802="","",'PREENCHER AQUI'!A802),"")</f>
        <v/>
      </c>
      <c r="B802" s="1" t="str">
        <f>IFERROR(IF('PREENCHER AQUI'!B802="","",PROPER('PREENCHER AQUI'!B802)),"")</f>
        <v/>
      </c>
      <c r="C802" s="1" t="str">
        <f>IFERROR(IF('PREENCHER AQUI'!C802="","",'PREENCHER AQUI'!C802),"")</f>
        <v/>
      </c>
      <c r="D802" s="2" t="str">
        <f>IFERROR(IF('PREENCHER AQUI'!D802="","",'PREENCHER AQUI'!D802),"")</f>
        <v/>
      </c>
      <c r="E802" s="2" t="str">
        <f>IFERROR(VLOOKUP(CONCATENATE(C802,D802),qdd!$C$2:$F$1000,2,FALSE),"")</f>
        <v/>
      </c>
      <c r="F802" s="2" t="str">
        <f>IFERROR(VLOOKUP(CONCATENATE(C802,D802),qdd!$C$2:$F$1000,3,FALSE),"")</f>
        <v/>
      </c>
      <c r="G802" s="2" t="str">
        <f>IFERROR(VLOOKUP(CONCATENATE(C802,D802),qdd!$C$2:$F$1000,4,FALSE),"")</f>
        <v/>
      </c>
      <c r="H802" s="6" t="str">
        <f t="shared" si="26"/>
        <v/>
      </c>
      <c r="I8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2" s="2" t="str">
        <f>IFERROR(IF('PREENCHER AQUI'!E802="","",'PREENCHER AQUI'!E802),"")</f>
        <v/>
      </c>
      <c r="K802" s="2" t="str">
        <f>IFERROR(IF('PREENCHER AQUI'!F802="","",'PREENCHER AQUI'!F802),"")</f>
        <v/>
      </c>
      <c r="L802" s="2" t="str">
        <f>IF(Tabela1[[#This Row],[IPU_COD]]=9,"91",IF(Tabela1[[#This Row],[ACAO_COD]]="","",VLOOKUP(CONCATENATE("G",J802,"M",K802),qdd!$BC$2:$BD$46,2,FALSE)))</f>
        <v/>
      </c>
      <c r="M802" s="2" t="str">
        <f>TEXT(IFERROR(VLOOKUP(CONCATENATE(C802,D802),qdd!$C$2:$G$1000,5,FALSE),""),0)</f>
        <v/>
      </c>
      <c r="N802" s="2" t="str">
        <f>IFERROR(IF('PREENCHER AQUI'!I802="","",'PREENCHER AQUI'!I802),"")</f>
        <v/>
      </c>
      <c r="O802" s="2" t="str">
        <f>IFERROR(IF('PREENCHER AQUI'!J802="","",'PREENCHER AQUI'!J802),"")</f>
        <v/>
      </c>
      <c r="P802" s="7" t="str">
        <f t="shared" si="27"/>
        <v/>
      </c>
      <c r="Q802" s="8" t="str">
        <f>IFERROR(IF(Tabela4[[#This Row],[VALOR]]="","",IF(Tabela1[[#This Row],[ORIENTACAO]]="Anular",'PREENCHER AQUI'!K802*-1*100,'PREENCHER AQUI'!K802*100)),"")</f>
        <v/>
      </c>
      <c r="T802" s="7" t="str">
        <f>IFERROR(IF('PREENCHER AQUI'!L802="","999",LEFT('PREENCHER AQUI'!L802,1)),"")</f>
        <v>999</v>
      </c>
      <c r="W802" s="1" t="str">
        <f>IFERROR(VLOOKUP(Tabela1[[#This Row],[UO_COD]],qdd!$AT$1:$AU$102,2,FALSE),"")</f>
        <v/>
      </c>
      <c r="X802" s="1" t="str">
        <f>CONCATENATE("F",Tabela1[[#This Row],[FONTE_COD]],Tabela1[[#This Row],[IPU_COD]],"G",Tabela1[[#This Row],[GRUPO_COD]],"T",Tabela1[[#This Row],[TIPO]])</f>
        <v>FGT999</v>
      </c>
      <c r="Y8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2" s="19"/>
      <c r="AA802" s="29" t="str">
        <f>IFERROR(VLOOKUP(CONCATENATE("B",Tabela1[[#This Row],[BLOCO]],Tabela1[[#This Row],[UO_COD]]),qdd!$AW$2:$AX$1000,2,FALSE),"")</f>
        <v/>
      </c>
      <c r="AB802" s="30" t="str">
        <f>IFERROR(Tabela1[[#This Row],[VALOR]]/100,"")</f>
        <v/>
      </c>
      <c r="AC802" s="7" t="str" cm="1">
        <f t="array" aca="1" ref="AC802" ca="1">IF(Tabela1[[#This Row],[VALOR]]&lt;0,"",IFERROR(SUBSTITUTE(Converter_numero(Tabela1[[#This Row],[VALOR INCISO]]),",",""),""))</f>
        <v/>
      </c>
      <c r="AD802" s="7" t="str">
        <f>IF(Tabela1[[#This Row],[TIPO]]=REGRAS!$W$2,REGRAS!$X$2,IF(Tabela1[[#This Row],[TIPO]]=REGRAS!$W$4,REGRAS!$X$4,""))</f>
        <v/>
      </c>
      <c r="AE802" s="29" t="e">
        <f>VLOOKUP(Tabela1[[#This Row],[FONTE_COD]],REGRAS!$O$2:$P$69,2,FALSE)</f>
        <v>#N/A</v>
      </c>
      <c r="AF8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3" spans="1:32" ht="18.75" customHeight="1">
      <c r="A803" s="2" t="str">
        <f>IFERROR(IF('PREENCHER AQUI'!A803="","",'PREENCHER AQUI'!A803),"")</f>
        <v/>
      </c>
      <c r="B803" s="1" t="str">
        <f>IFERROR(IF('PREENCHER AQUI'!B803="","",PROPER('PREENCHER AQUI'!B803)),"")</f>
        <v/>
      </c>
      <c r="C803" s="1" t="str">
        <f>IFERROR(IF('PREENCHER AQUI'!C803="","",'PREENCHER AQUI'!C803),"")</f>
        <v/>
      </c>
      <c r="D803" s="2" t="str">
        <f>IFERROR(IF('PREENCHER AQUI'!D803="","",'PREENCHER AQUI'!D803),"")</f>
        <v/>
      </c>
      <c r="E803" s="2" t="str">
        <f>IFERROR(VLOOKUP(CONCATENATE(C803,D803),qdd!$C$2:$F$1000,2,FALSE),"")</f>
        <v/>
      </c>
      <c r="F803" s="2" t="str">
        <f>IFERROR(VLOOKUP(CONCATENATE(C803,D803),qdd!$C$2:$F$1000,3,FALSE),"")</f>
        <v/>
      </c>
      <c r="G803" s="2" t="str">
        <f>IFERROR(VLOOKUP(CONCATENATE(C803,D803),qdd!$C$2:$F$1000,4,FALSE),"")</f>
        <v/>
      </c>
      <c r="H803" s="6" t="str">
        <f t="shared" si="26"/>
        <v/>
      </c>
      <c r="I8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3" s="2" t="str">
        <f>IFERROR(IF('PREENCHER AQUI'!E803="","",'PREENCHER AQUI'!E803),"")</f>
        <v/>
      </c>
      <c r="K803" s="2" t="str">
        <f>IFERROR(IF('PREENCHER AQUI'!F803="","",'PREENCHER AQUI'!F803),"")</f>
        <v/>
      </c>
      <c r="L803" s="2" t="str">
        <f>IF(Tabela1[[#This Row],[IPU_COD]]=9,"91",IF(Tabela1[[#This Row],[ACAO_COD]]="","",VLOOKUP(CONCATENATE("G",J803,"M",K803),qdd!$BC$2:$BD$46,2,FALSE)))</f>
        <v/>
      </c>
      <c r="M803" s="2" t="str">
        <f>TEXT(IFERROR(VLOOKUP(CONCATENATE(C803,D803),qdd!$C$2:$G$1000,5,FALSE),""),0)</f>
        <v/>
      </c>
      <c r="N803" s="2" t="str">
        <f>IFERROR(IF('PREENCHER AQUI'!I803="","",'PREENCHER AQUI'!I803),"")</f>
        <v/>
      </c>
      <c r="O803" s="2" t="str">
        <f>IFERROR(IF('PREENCHER AQUI'!J803="","",'PREENCHER AQUI'!J803),"")</f>
        <v/>
      </c>
      <c r="P803" s="7" t="str">
        <f t="shared" si="27"/>
        <v/>
      </c>
      <c r="Q803" s="8" t="str">
        <f>IFERROR(IF(Tabela4[[#This Row],[VALOR]]="","",IF(Tabela1[[#This Row],[ORIENTACAO]]="Anular",'PREENCHER AQUI'!K803*-1*100,'PREENCHER AQUI'!K803*100)),"")</f>
        <v/>
      </c>
      <c r="T803" s="7" t="str">
        <f>IFERROR(IF('PREENCHER AQUI'!L803="","999",LEFT('PREENCHER AQUI'!L803,1)),"")</f>
        <v>999</v>
      </c>
      <c r="V803" s="19"/>
      <c r="W803" s="1" t="str">
        <f>IFERROR(VLOOKUP(Tabela1[[#This Row],[UO_COD]],qdd!$AT$1:$AU$102,2,FALSE),"")</f>
        <v/>
      </c>
      <c r="X803" s="1" t="str">
        <f>CONCATENATE("F",Tabela1[[#This Row],[FONTE_COD]],Tabela1[[#This Row],[IPU_COD]],"G",Tabela1[[#This Row],[GRUPO_COD]],"T",Tabela1[[#This Row],[TIPO]])</f>
        <v>FGT999</v>
      </c>
      <c r="Y8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3" s="19"/>
      <c r="AA803" s="29" t="str">
        <f>IFERROR(VLOOKUP(CONCATENATE("B",Tabela1[[#This Row],[BLOCO]],Tabela1[[#This Row],[UO_COD]]),qdd!$AW$2:$AX$1000,2,FALSE),"")</f>
        <v/>
      </c>
      <c r="AB803" s="30" t="str">
        <f>IFERROR(Tabela1[[#This Row],[VALOR]]/100,"")</f>
        <v/>
      </c>
      <c r="AC803" s="7" t="str" cm="1">
        <f t="array" aca="1" ref="AC803" ca="1">IF(Tabela1[[#This Row],[VALOR]]&lt;0,"",IFERROR(SUBSTITUTE(Converter_numero(Tabela1[[#This Row],[VALOR INCISO]]),",",""),""))</f>
        <v/>
      </c>
      <c r="AD803" s="29" t="str">
        <f>IF(Tabela1[[#This Row],[TIPO]]=REGRAS!$W$2,REGRAS!$X$2,IF(Tabela1[[#This Row],[TIPO]]=REGRAS!$W$4,REGRAS!$X$4,""))</f>
        <v/>
      </c>
      <c r="AE803" s="29" t="e">
        <f>VLOOKUP(Tabela1[[#This Row],[FONTE_COD]],REGRAS!$O$2:$P$69,2,FALSE)</f>
        <v>#N/A</v>
      </c>
      <c r="AF8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4" spans="1:32" ht="18.75" customHeight="1">
      <c r="A804" s="2" t="str">
        <f>IFERROR(IF('PREENCHER AQUI'!A804="","",'PREENCHER AQUI'!A804),"")</f>
        <v/>
      </c>
      <c r="B804" s="1" t="str">
        <f>IFERROR(IF('PREENCHER AQUI'!B804="","",PROPER('PREENCHER AQUI'!B804)),"")</f>
        <v/>
      </c>
      <c r="C804" s="1" t="str">
        <f>IFERROR(IF('PREENCHER AQUI'!C804="","",'PREENCHER AQUI'!C804),"")</f>
        <v/>
      </c>
      <c r="D804" s="2" t="str">
        <f>IFERROR(IF('PREENCHER AQUI'!D804="","",'PREENCHER AQUI'!D804),"")</f>
        <v/>
      </c>
      <c r="E804" s="2" t="str">
        <f>IFERROR(VLOOKUP(CONCATENATE(C804,D804),qdd!$C$2:$F$1000,2,FALSE),"")</f>
        <v/>
      </c>
      <c r="F804" s="2" t="str">
        <f>IFERROR(VLOOKUP(CONCATENATE(C804,D804),qdd!$C$2:$F$1000,3,FALSE),"")</f>
        <v/>
      </c>
      <c r="G804" s="2" t="str">
        <f>IFERROR(VLOOKUP(CONCATENATE(C804,D804),qdd!$C$2:$F$1000,4,FALSE),"")</f>
        <v/>
      </c>
      <c r="H804" s="6" t="str">
        <f t="shared" si="26"/>
        <v/>
      </c>
      <c r="I8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4" s="2" t="str">
        <f>IFERROR(IF('PREENCHER AQUI'!E804="","",'PREENCHER AQUI'!E804),"")</f>
        <v/>
      </c>
      <c r="K804" s="2" t="str">
        <f>IFERROR(IF('PREENCHER AQUI'!F804="","",'PREENCHER AQUI'!F804),"")</f>
        <v/>
      </c>
      <c r="L804" s="2" t="str">
        <f>IF(Tabela1[[#This Row],[IPU_COD]]=9,"91",IF(Tabela1[[#This Row],[ACAO_COD]]="","",VLOOKUP(CONCATENATE("G",J804,"M",K804),qdd!$BC$2:$BD$46,2,FALSE)))</f>
        <v/>
      </c>
      <c r="M804" s="2" t="str">
        <f>TEXT(IFERROR(VLOOKUP(CONCATENATE(C804,D804),qdd!$C$2:$G$1000,5,FALSE),""),0)</f>
        <v/>
      </c>
      <c r="N804" s="2" t="str">
        <f>IFERROR(IF('PREENCHER AQUI'!I804="","",'PREENCHER AQUI'!I804),"")</f>
        <v/>
      </c>
      <c r="O804" s="2" t="str">
        <f>IFERROR(IF('PREENCHER AQUI'!J804="","",'PREENCHER AQUI'!J804),"")</f>
        <v/>
      </c>
      <c r="P804" s="7" t="str">
        <f t="shared" si="27"/>
        <v/>
      </c>
      <c r="Q804" s="8" t="str">
        <f>IFERROR(IF(Tabela4[[#This Row],[VALOR]]="","",IF(Tabela1[[#This Row],[ORIENTACAO]]="Anular",'PREENCHER AQUI'!K804*-1*100,'PREENCHER AQUI'!K804*100)),"")</f>
        <v/>
      </c>
      <c r="T804" s="7" t="str">
        <f>IFERROR(IF('PREENCHER AQUI'!L804="","999",LEFT('PREENCHER AQUI'!L804,1)),"")</f>
        <v>999</v>
      </c>
      <c r="V804" s="19"/>
      <c r="W804" s="1" t="str">
        <f>IFERROR(VLOOKUP(Tabela1[[#This Row],[UO_COD]],qdd!$AT$1:$AU$102,2,FALSE),"")</f>
        <v/>
      </c>
      <c r="X804" s="1" t="str">
        <f>CONCATENATE("F",Tabela1[[#This Row],[FONTE_COD]],Tabela1[[#This Row],[IPU_COD]],"G",Tabela1[[#This Row],[GRUPO_COD]],"T",Tabela1[[#This Row],[TIPO]])</f>
        <v>FGT999</v>
      </c>
      <c r="Y8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4" s="19"/>
      <c r="AA804" s="29" t="str">
        <f>IFERROR(VLOOKUP(CONCATENATE("B",Tabela1[[#This Row],[BLOCO]],Tabela1[[#This Row],[UO_COD]]),qdd!$AW$2:$AX$1000,2,FALSE),"")</f>
        <v/>
      </c>
      <c r="AB804" s="30" t="str">
        <f>IFERROR(Tabela1[[#This Row],[VALOR]]/100,"")</f>
        <v/>
      </c>
      <c r="AC804" s="7" t="str" cm="1">
        <f t="array" aca="1" ref="AC804" ca="1">IF(Tabela1[[#This Row],[VALOR]]&lt;0,"",IFERROR(SUBSTITUTE(Converter_numero(Tabela1[[#This Row],[VALOR INCISO]]),",",""),""))</f>
        <v/>
      </c>
      <c r="AD804" s="29" t="str">
        <f>IF(Tabela1[[#This Row],[TIPO]]=REGRAS!$W$2,REGRAS!$X$2,IF(Tabela1[[#This Row],[TIPO]]=REGRAS!$W$4,REGRAS!$X$4,""))</f>
        <v/>
      </c>
      <c r="AE804" s="29" t="e">
        <f>VLOOKUP(Tabela1[[#This Row],[FONTE_COD]],REGRAS!$O$2:$P$69,2,FALSE)</f>
        <v>#N/A</v>
      </c>
      <c r="AF8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5" spans="1:32" ht="18.75" customHeight="1">
      <c r="A805" s="2" t="str">
        <f>IFERROR(IF('PREENCHER AQUI'!A805="","",'PREENCHER AQUI'!A805),"")</f>
        <v/>
      </c>
      <c r="B805" s="1" t="str">
        <f>IFERROR(IF('PREENCHER AQUI'!B805="","",PROPER('PREENCHER AQUI'!B805)),"")</f>
        <v/>
      </c>
      <c r="C805" s="1" t="str">
        <f>IFERROR(IF('PREENCHER AQUI'!C805="","",'PREENCHER AQUI'!C805),"")</f>
        <v/>
      </c>
      <c r="D805" s="2" t="str">
        <f>IFERROR(IF('PREENCHER AQUI'!D805="","",'PREENCHER AQUI'!D805),"")</f>
        <v/>
      </c>
      <c r="E805" s="2" t="str">
        <f>IFERROR(VLOOKUP(CONCATENATE(C805,D805),qdd!$C$2:$F$1000,2,FALSE),"")</f>
        <v/>
      </c>
      <c r="F805" s="2" t="str">
        <f>IFERROR(VLOOKUP(CONCATENATE(C805,D805),qdd!$C$2:$F$1000,3,FALSE),"")</f>
        <v/>
      </c>
      <c r="G805" s="2" t="str">
        <f>IFERROR(VLOOKUP(CONCATENATE(C805,D805),qdd!$C$2:$F$1000,4,FALSE),"")</f>
        <v/>
      </c>
      <c r="H805" s="6" t="str">
        <f t="shared" si="26"/>
        <v/>
      </c>
      <c r="I8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5" s="2" t="str">
        <f>IFERROR(IF('PREENCHER AQUI'!E805="","",'PREENCHER AQUI'!E805),"")</f>
        <v/>
      </c>
      <c r="K805" s="2" t="str">
        <f>IFERROR(IF('PREENCHER AQUI'!F805="","",'PREENCHER AQUI'!F805),"")</f>
        <v/>
      </c>
      <c r="L805" s="2" t="str">
        <f>IF(Tabela1[[#This Row],[IPU_COD]]=9,"91",IF(Tabela1[[#This Row],[ACAO_COD]]="","",VLOOKUP(CONCATENATE("G",J805,"M",K805),qdd!$BC$2:$BD$46,2,FALSE)))</f>
        <v/>
      </c>
      <c r="M805" s="2" t="str">
        <f>TEXT(IFERROR(VLOOKUP(CONCATENATE(C805,D805),qdd!$C$2:$G$1000,5,FALSE),""),0)</f>
        <v/>
      </c>
      <c r="N805" s="2" t="str">
        <f>IFERROR(IF('PREENCHER AQUI'!I805="","",'PREENCHER AQUI'!I805),"")</f>
        <v/>
      </c>
      <c r="O805" s="2" t="str">
        <f>IFERROR(IF('PREENCHER AQUI'!J805="","",'PREENCHER AQUI'!J805),"")</f>
        <v/>
      </c>
      <c r="P805" s="7" t="str">
        <f t="shared" si="27"/>
        <v/>
      </c>
      <c r="Q805" s="8" t="str">
        <f>IFERROR(IF(Tabela4[[#This Row],[VALOR]]="","",IF(Tabela1[[#This Row],[ORIENTACAO]]="Anular",'PREENCHER AQUI'!K805*-1*100,'PREENCHER AQUI'!K805*100)),"")</f>
        <v/>
      </c>
      <c r="T805" s="7" t="str">
        <f>IFERROR(IF('PREENCHER AQUI'!L805="","999",LEFT('PREENCHER AQUI'!L805,1)),"")</f>
        <v>999</v>
      </c>
      <c r="V805" s="19"/>
      <c r="W805" s="20" t="str">
        <f>IFERROR(VLOOKUP(Tabela1[[#This Row],[UO_COD]],qdd!$AT$1:$AU$102,2,FALSE),"")</f>
        <v/>
      </c>
      <c r="X805" s="20" t="str">
        <f>CONCATENATE("F",Tabela1[[#This Row],[FONTE_COD]],Tabela1[[#This Row],[IPU_COD]],"G",Tabela1[[#This Row],[GRUPO_COD]],"T",Tabela1[[#This Row],[TIPO]])</f>
        <v>FGT999</v>
      </c>
      <c r="Y8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5" s="19"/>
      <c r="AA805" s="29" t="str">
        <f>IFERROR(VLOOKUP(CONCATENATE("B",Tabela1[[#This Row],[BLOCO]],Tabela1[[#This Row],[UO_COD]]),qdd!$AW$2:$AX$1000,2,FALSE),"")</f>
        <v/>
      </c>
      <c r="AB805" s="30" t="str">
        <f>IFERROR(Tabela1[[#This Row],[VALOR]]/100,"")</f>
        <v/>
      </c>
      <c r="AC805" s="7" t="str" cm="1">
        <f t="array" aca="1" ref="AC805" ca="1">IF(Tabela1[[#This Row],[VALOR]]&lt;0,"",IFERROR(SUBSTITUTE(Converter_numero(Tabela1[[#This Row],[VALOR INCISO]]),",",""),""))</f>
        <v/>
      </c>
      <c r="AD805" s="29" t="str">
        <f>IF(Tabela1[[#This Row],[TIPO]]=REGRAS!$W$2,REGRAS!$X$2,IF(Tabela1[[#This Row],[TIPO]]=REGRAS!$W$4,REGRAS!$X$4,""))</f>
        <v/>
      </c>
      <c r="AE805" s="29" t="e">
        <f>VLOOKUP(Tabela1[[#This Row],[FONTE_COD]],REGRAS!$O$2:$P$69,2,FALSE)</f>
        <v>#N/A</v>
      </c>
      <c r="AF8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6" spans="1:32" ht="18.75" customHeight="1">
      <c r="A806" s="2" t="str">
        <f>IFERROR(IF('PREENCHER AQUI'!A806="","",'PREENCHER AQUI'!A806),"")</f>
        <v/>
      </c>
      <c r="B806" s="1" t="str">
        <f>IFERROR(IF('PREENCHER AQUI'!B806="","",PROPER('PREENCHER AQUI'!B806)),"")</f>
        <v/>
      </c>
      <c r="C806" s="1" t="str">
        <f>IFERROR(IF('PREENCHER AQUI'!C806="","",'PREENCHER AQUI'!C806),"")</f>
        <v/>
      </c>
      <c r="D806" s="2" t="str">
        <f>IFERROR(IF('PREENCHER AQUI'!D806="","",'PREENCHER AQUI'!D806),"")</f>
        <v/>
      </c>
      <c r="E806" s="2" t="str">
        <f>IFERROR(VLOOKUP(CONCATENATE(C806,D806),qdd!$C$2:$F$1000,2,FALSE),"")</f>
        <v/>
      </c>
      <c r="F806" s="2" t="str">
        <f>IFERROR(VLOOKUP(CONCATENATE(C806,D806),qdd!$C$2:$F$1000,3,FALSE),"")</f>
        <v/>
      </c>
      <c r="G806" s="2" t="str">
        <f>IFERROR(VLOOKUP(CONCATENATE(C806,D806),qdd!$C$2:$F$1000,4,FALSE),"")</f>
        <v/>
      </c>
      <c r="H806" s="6" t="str">
        <f t="shared" si="26"/>
        <v/>
      </c>
      <c r="I8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6" s="2" t="str">
        <f>IFERROR(IF('PREENCHER AQUI'!E806="","",'PREENCHER AQUI'!E806),"")</f>
        <v/>
      </c>
      <c r="K806" s="2" t="str">
        <f>IFERROR(IF('PREENCHER AQUI'!F806="","",'PREENCHER AQUI'!F806),"")</f>
        <v/>
      </c>
      <c r="L806" s="2" t="str">
        <f>IF(Tabela1[[#This Row],[IPU_COD]]=9,"91",IF(Tabela1[[#This Row],[ACAO_COD]]="","",VLOOKUP(CONCATENATE("G",J806,"M",K806),qdd!$BC$2:$BD$46,2,FALSE)))</f>
        <v/>
      </c>
      <c r="M806" s="2" t="str">
        <f>TEXT(IFERROR(VLOOKUP(CONCATENATE(C806,D806),qdd!$C$2:$G$1000,5,FALSE),""),0)</f>
        <v/>
      </c>
      <c r="N806" s="2" t="str">
        <f>IFERROR(IF('PREENCHER AQUI'!I806="","",'PREENCHER AQUI'!I806),"")</f>
        <v/>
      </c>
      <c r="O806" s="2" t="str">
        <f>IFERROR(IF('PREENCHER AQUI'!J806="","",'PREENCHER AQUI'!J806),"")</f>
        <v/>
      </c>
      <c r="P806" s="7" t="str">
        <f t="shared" si="27"/>
        <v/>
      </c>
      <c r="Q806" s="8" t="str">
        <f>IFERROR(IF(Tabela4[[#This Row],[VALOR]]="","",IF(Tabela1[[#This Row],[ORIENTACAO]]="Anular",'PREENCHER AQUI'!K806*-1*100,'PREENCHER AQUI'!K806*100)),"")</f>
        <v/>
      </c>
      <c r="T806" s="7" t="str">
        <f>IFERROR(IF('PREENCHER AQUI'!L806="","999",LEFT('PREENCHER AQUI'!L806,1)),"")</f>
        <v>999</v>
      </c>
      <c r="V806" s="19"/>
      <c r="W806" s="1" t="str">
        <f>IFERROR(VLOOKUP(Tabela1[[#This Row],[UO_COD]],qdd!$AT$1:$AU$102,2,FALSE),"")</f>
        <v/>
      </c>
      <c r="X806" s="1" t="str">
        <f>CONCATENATE("F",Tabela1[[#This Row],[FONTE_COD]],Tabela1[[#This Row],[IPU_COD]],"G",Tabela1[[#This Row],[GRUPO_COD]],"T",Tabela1[[#This Row],[TIPO]])</f>
        <v>FGT999</v>
      </c>
      <c r="Y8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6" s="19"/>
      <c r="AA806" s="29" t="str">
        <f>IFERROR(VLOOKUP(CONCATENATE("B",Tabela1[[#This Row],[BLOCO]],Tabela1[[#This Row],[UO_COD]]),qdd!$AW$2:$AX$1000,2,FALSE),"")</f>
        <v/>
      </c>
      <c r="AB806" s="30" t="str">
        <f>IFERROR(Tabela1[[#This Row],[VALOR]]/100,"")</f>
        <v/>
      </c>
      <c r="AC806" s="7" t="str" cm="1">
        <f t="array" aca="1" ref="AC806" ca="1">IF(Tabela1[[#This Row],[VALOR]]&lt;0,"",IFERROR(SUBSTITUTE(Converter_numero(Tabela1[[#This Row],[VALOR INCISO]]),",",""),""))</f>
        <v/>
      </c>
      <c r="AD806" s="29" t="str">
        <f>IF(Tabela1[[#This Row],[TIPO]]=REGRAS!$W$2,REGRAS!$X$2,IF(Tabela1[[#This Row],[TIPO]]=REGRAS!$W$4,REGRAS!$X$4,""))</f>
        <v/>
      </c>
      <c r="AE806" s="29" t="e">
        <f>VLOOKUP(Tabela1[[#This Row],[FONTE_COD]],REGRAS!$O$2:$P$69,2,FALSE)</f>
        <v>#N/A</v>
      </c>
      <c r="AF8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7" spans="1:32" ht="18.75" customHeight="1">
      <c r="A807" s="2" t="str">
        <f>IFERROR(IF('PREENCHER AQUI'!A807="","",'PREENCHER AQUI'!A807),"")</f>
        <v/>
      </c>
      <c r="B807" s="1" t="str">
        <f>IFERROR(IF('PREENCHER AQUI'!B807="","",PROPER('PREENCHER AQUI'!B807)),"")</f>
        <v/>
      </c>
      <c r="C807" s="1" t="str">
        <f>IFERROR(IF('PREENCHER AQUI'!C807="","",'PREENCHER AQUI'!C807),"")</f>
        <v/>
      </c>
      <c r="D807" s="2" t="str">
        <f>IFERROR(IF('PREENCHER AQUI'!D807="","",'PREENCHER AQUI'!D807),"")</f>
        <v/>
      </c>
      <c r="E807" s="2" t="str">
        <f>IFERROR(VLOOKUP(CONCATENATE(C807,D807),qdd!$C$2:$F$1000,2,FALSE),"")</f>
        <v/>
      </c>
      <c r="F807" s="2" t="str">
        <f>IFERROR(VLOOKUP(CONCATENATE(C807,D807),qdd!$C$2:$F$1000,3,FALSE),"")</f>
        <v/>
      </c>
      <c r="G807" s="2" t="str">
        <f>IFERROR(VLOOKUP(CONCATENATE(C807,D807),qdd!$C$2:$F$1000,4,FALSE),"")</f>
        <v/>
      </c>
      <c r="H807" s="6" t="str">
        <f t="shared" si="26"/>
        <v/>
      </c>
      <c r="I8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7" s="2" t="str">
        <f>IFERROR(IF('PREENCHER AQUI'!E807="","",'PREENCHER AQUI'!E807),"")</f>
        <v/>
      </c>
      <c r="K807" s="2" t="str">
        <f>IFERROR(IF('PREENCHER AQUI'!F807="","",'PREENCHER AQUI'!F807),"")</f>
        <v/>
      </c>
      <c r="L807" s="2" t="str">
        <f>IF(Tabela1[[#This Row],[IPU_COD]]=9,"91",IF(Tabela1[[#This Row],[ACAO_COD]]="","",VLOOKUP(CONCATENATE("G",J807,"M",K807),qdd!$BC$2:$BD$46,2,FALSE)))</f>
        <v/>
      </c>
      <c r="M807" s="2" t="str">
        <f>TEXT(IFERROR(VLOOKUP(CONCATENATE(C807,D807),qdd!$C$2:$G$1000,5,FALSE),""),0)</f>
        <v/>
      </c>
      <c r="N807" s="2" t="str">
        <f>IFERROR(IF('PREENCHER AQUI'!I807="","",'PREENCHER AQUI'!I807),"")</f>
        <v/>
      </c>
      <c r="O807" s="2" t="str">
        <f>IFERROR(IF('PREENCHER AQUI'!J807="","",'PREENCHER AQUI'!J807),"")</f>
        <v/>
      </c>
      <c r="P807" s="7" t="str">
        <f t="shared" si="27"/>
        <v/>
      </c>
      <c r="Q807" s="8" t="str">
        <f>IFERROR(IF(Tabela4[[#This Row],[VALOR]]="","",IF(Tabela1[[#This Row],[ORIENTACAO]]="Anular",'PREENCHER AQUI'!K807*-1*100,'PREENCHER AQUI'!K807*100)),"")</f>
        <v/>
      </c>
      <c r="T807" s="7" t="str">
        <f>IFERROR(IF('PREENCHER AQUI'!L807="","999",LEFT('PREENCHER AQUI'!L807,1)),"")</f>
        <v>999</v>
      </c>
      <c r="W807" s="1" t="str">
        <f>IFERROR(VLOOKUP(Tabela1[[#This Row],[UO_COD]],qdd!$AT$1:$AU$102,2,FALSE),"")</f>
        <v/>
      </c>
      <c r="X807" s="1" t="str">
        <f>CONCATENATE("F",Tabela1[[#This Row],[FONTE_COD]],Tabela1[[#This Row],[IPU_COD]],"G",Tabela1[[#This Row],[GRUPO_COD]],"T",Tabela1[[#This Row],[TIPO]])</f>
        <v>FGT999</v>
      </c>
      <c r="Y8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7" s="19"/>
      <c r="AA807" s="29" t="str">
        <f>IFERROR(VLOOKUP(CONCATENATE("B",Tabela1[[#This Row],[BLOCO]],Tabela1[[#This Row],[UO_COD]]),qdd!$AW$2:$AX$1000,2,FALSE),"")</f>
        <v/>
      </c>
      <c r="AB807" s="30" t="str">
        <f>IFERROR(Tabela1[[#This Row],[VALOR]]/100,"")</f>
        <v/>
      </c>
      <c r="AC807" s="7" t="str" cm="1">
        <f t="array" aca="1" ref="AC807" ca="1">IF(Tabela1[[#This Row],[VALOR]]&lt;0,"",IFERROR(SUBSTITUTE(Converter_numero(Tabela1[[#This Row],[VALOR INCISO]]),",",""),""))</f>
        <v/>
      </c>
      <c r="AD807" s="7" t="str">
        <f>IF(Tabela1[[#This Row],[TIPO]]=REGRAS!$W$2,REGRAS!$X$2,IF(Tabela1[[#This Row],[TIPO]]=REGRAS!$W$4,REGRAS!$X$4,""))</f>
        <v/>
      </c>
      <c r="AE807" s="29" t="e">
        <f>VLOOKUP(Tabela1[[#This Row],[FONTE_COD]],REGRAS!$O$2:$P$69,2,FALSE)</f>
        <v>#N/A</v>
      </c>
      <c r="AF8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8" spans="1:32" ht="18.75" customHeight="1">
      <c r="A808" s="2" t="str">
        <f>IFERROR(IF('PREENCHER AQUI'!A808="","",'PREENCHER AQUI'!A808),"")</f>
        <v/>
      </c>
      <c r="B808" s="1" t="str">
        <f>IFERROR(IF('PREENCHER AQUI'!B808="","",PROPER('PREENCHER AQUI'!B808)),"")</f>
        <v/>
      </c>
      <c r="C808" s="1" t="str">
        <f>IFERROR(IF('PREENCHER AQUI'!C808="","",'PREENCHER AQUI'!C808),"")</f>
        <v/>
      </c>
      <c r="D808" s="2" t="str">
        <f>IFERROR(IF('PREENCHER AQUI'!D808="","",'PREENCHER AQUI'!D808),"")</f>
        <v/>
      </c>
      <c r="E808" s="2" t="str">
        <f>IFERROR(VLOOKUP(CONCATENATE(C808,D808),qdd!$C$2:$F$1000,2,FALSE),"")</f>
        <v/>
      </c>
      <c r="F808" s="2" t="str">
        <f>IFERROR(VLOOKUP(CONCATENATE(C808,D808),qdd!$C$2:$F$1000,3,FALSE),"")</f>
        <v/>
      </c>
      <c r="G808" s="2" t="str">
        <f>IFERROR(VLOOKUP(CONCATENATE(C808,D808),qdd!$C$2:$F$1000,4,FALSE),"")</f>
        <v/>
      </c>
      <c r="H808" s="6" t="str">
        <f t="shared" si="26"/>
        <v/>
      </c>
      <c r="I8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8" s="2" t="str">
        <f>IFERROR(IF('PREENCHER AQUI'!E808="","",'PREENCHER AQUI'!E808),"")</f>
        <v/>
      </c>
      <c r="K808" s="2" t="str">
        <f>IFERROR(IF('PREENCHER AQUI'!F808="","",'PREENCHER AQUI'!F808),"")</f>
        <v/>
      </c>
      <c r="L808" s="2" t="str">
        <f>IF(Tabela1[[#This Row],[IPU_COD]]=9,"91",IF(Tabela1[[#This Row],[ACAO_COD]]="","",VLOOKUP(CONCATENATE("G",J808,"M",K808),qdd!$BC$2:$BD$46,2,FALSE)))</f>
        <v/>
      </c>
      <c r="M808" s="2" t="str">
        <f>TEXT(IFERROR(VLOOKUP(CONCATENATE(C808,D808),qdd!$C$2:$G$1000,5,FALSE),""),0)</f>
        <v/>
      </c>
      <c r="N808" s="2" t="str">
        <f>IFERROR(IF('PREENCHER AQUI'!I808="","",'PREENCHER AQUI'!I808),"")</f>
        <v/>
      </c>
      <c r="O808" s="2" t="str">
        <f>IFERROR(IF('PREENCHER AQUI'!J808="","",'PREENCHER AQUI'!J808),"")</f>
        <v/>
      </c>
      <c r="P808" s="7" t="str">
        <f t="shared" si="27"/>
        <v/>
      </c>
      <c r="Q808" s="8" t="str">
        <f>IFERROR(IF(Tabela4[[#This Row],[VALOR]]="","",IF(Tabela1[[#This Row],[ORIENTACAO]]="Anular",'PREENCHER AQUI'!K808*-1*100,'PREENCHER AQUI'!K808*100)),"")</f>
        <v/>
      </c>
      <c r="T808" s="7" t="str">
        <f>IFERROR(IF('PREENCHER AQUI'!L808="","999",LEFT('PREENCHER AQUI'!L808,1)),"")</f>
        <v>999</v>
      </c>
      <c r="V808" s="19"/>
      <c r="W808" s="1" t="str">
        <f>IFERROR(VLOOKUP(Tabela1[[#This Row],[UO_COD]],qdd!$AT$1:$AU$102,2,FALSE),"")</f>
        <v/>
      </c>
      <c r="X808" s="1" t="str">
        <f>CONCATENATE("F",Tabela1[[#This Row],[FONTE_COD]],Tabela1[[#This Row],[IPU_COD]],"G",Tabela1[[#This Row],[GRUPO_COD]],"T",Tabela1[[#This Row],[TIPO]])</f>
        <v>FGT999</v>
      </c>
      <c r="Y8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8" s="19"/>
      <c r="AA808" s="29" t="str">
        <f>IFERROR(VLOOKUP(CONCATENATE("B",Tabela1[[#This Row],[BLOCO]],Tabela1[[#This Row],[UO_COD]]),qdd!$AW$2:$AX$1000,2,FALSE),"")</f>
        <v/>
      </c>
      <c r="AB808" s="30" t="str">
        <f>IFERROR(Tabela1[[#This Row],[VALOR]]/100,"")</f>
        <v/>
      </c>
      <c r="AC808" s="7" t="str" cm="1">
        <f t="array" aca="1" ref="AC808" ca="1">IF(Tabela1[[#This Row],[VALOR]]&lt;0,"",IFERROR(SUBSTITUTE(Converter_numero(Tabela1[[#This Row],[VALOR INCISO]]),",",""),""))</f>
        <v/>
      </c>
      <c r="AD808" s="29" t="str">
        <f>IF(Tabela1[[#This Row],[TIPO]]=REGRAS!$W$2,REGRAS!$X$2,IF(Tabela1[[#This Row],[TIPO]]=REGRAS!$W$4,REGRAS!$X$4,""))</f>
        <v/>
      </c>
      <c r="AE808" s="29" t="e">
        <f>VLOOKUP(Tabela1[[#This Row],[FONTE_COD]],REGRAS!$O$2:$P$69,2,FALSE)</f>
        <v>#N/A</v>
      </c>
      <c r="AF8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9" spans="1:32" ht="18.75" customHeight="1">
      <c r="A809" s="2" t="str">
        <f>IFERROR(IF('PREENCHER AQUI'!A809="","",'PREENCHER AQUI'!A809),"")</f>
        <v/>
      </c>
      <c r="B809" s="1" t="str">
        <f>IFERROR(IF('PREENCHER AQUI'!B809="","",PROPER('PREENCHER AQUI'!B809)),"")</f>
        <v/>
      </c>
      <c r="C809" s="1" t="str">
        <f>IFERROR(IF('PREENCHER AQUI'!C809="","",'PREENCHER AQUI'!C809),"")</f>
        <v/>
      </c>
      <c r="D809" s="2" t="str">
        <f>IFERROR(IF('PREENCHER AQUI'!D809="","",'PREENCHER AQUI'!D809),"")</f>
        <v/>
      </c>
      <c r="E809" s="2" t="str">
        <f>IFERROR(VLOOKUP(CONCATENATE(C809,D809),qdd!$C$2:$F$1000,2,FALSE),"")</f>
        <v/>
      </c>
      <c r="F809" s="2" t="str">
        <f>IFERROR(VLOOKUP(CONCATENATE(C809,D809),qdd!$C$2:$F$1000,3,FALSE),"")</f>
        <v/>
      </c>
      <c r="G809" s="2" t="str">
        <f>IFERROR(VLOOKUP(CONCATENATE(C809,D809),qdd!$C$2:$F$1000,4,FALSE),"")</f>
        <v/>
      </c>
      <c r="H809" s="6" t="str">
        <f t="shared" si="26"/>
        <v/>
      </c>
      <c r="I8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9" s="2" t="str">
        <f>IFERROR(IF('PREENCHER AQUI'!E809="","",'PREENCHER AQUI'!E809),"")</f>
        <v/>
      </c>
      <c r="K809" s="2" t="str">
        <f>IFERROR(IF('PREENCHER AQUI'!F809="","",'PREENCHER AQUI'!F809),"")</f>
        <v/>
      </c>
      <c r="L809" s="2" t="str">
        <f>IF(Tabela1[[#This Row],[IPU_COD]]=9,"91",IF(Tabela1[[#This Row],[ACAO_COD]]="","",VLOOKUP(CONCATENATE("G",J809,"M",K809),qdd!$BC$2:$BD$46,2,FALSE)))</f>
        <v/>
      </c>
      <c r="M809" s="2" t="str">
        <f>TEXT(IFERROR(VLOOKUP(CONCATENATE(C809,D809),qdd!$C$2:$G$1000,5,FALSE),""),0)</f>
        <v/>
      </c>
      <c r="N809" s="2" t="str">
        <f>IFERROR(IF('PREENCHER AQUI'!I809="","",'PREENCHER AQUI'!I809),"")</f>
        <v/>
      </c>
      <c r="O809" s="2" t="str">
        <f>IFERROR(IF('PREENCHER AQUI'!J809="","",'PREENCHER AQUI'!J809),"")</f>
        <v/>
      </c>
      <c r="P809" s="7" t="str">
        <f t="shared" si="27"/>
        <v/>
      </c>
      <c r="Q809" s="8" t="str">
        <f>IFERROR(IF(Tabela4[[#This Row],[VALOR]]="","",IF(Tabela1[[#This Row],[ORIENTACAO]]="Anular",'PREENCHER AQUI'!K809*-1*100,'PREENCHER AQUI'!K809*100)),"")</f>
        <v/>
      </c>
      <c r="T809" s="7" t="str">
        <f>IFERROR(IF('PREENCHER AQUI'!L809="","999",LEFT('PREENCHER AQUI'!L809,1)),"")</f>
        <v>999</v>
      </c>
      <c r="V809" s="19"/>
      <c r="W809" s="1" t="str">
        <f>IFERROR(VLOOKUP(Tabela1[[#This Row],[UO_COD]],qdd!$AT$1:$AU$102,2,FALSE),"")</f>
        <v/>
      </c>
      <c r="X809" s="1" t="str">
        <f>CONCATENATE("F",Tabela1[[#This Row],[FONTE_COD]],Tabela1[[#This Row],[IPU_COD]],"G",Tabela1[[#This Row],[GRUPO_COD]],"T",Tabela1[[#This Row],[TIPO]])</f>
        <v>FGT999</v>
      </c>
      <c r="Y8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9" s="19"/>
      <c r="AA809" s="29" t="str">
        <f>IFERROR(VLOOKUP(CONCATENATE("B",Tabela1[[#This Row],[BLOCO]],Tabela1[[#This Row],[UO_COD]]),qdd!$AW$2:$AX$1000,2,FALSE),"")</f>
        <v/>
      </c>
      <c r="AB809" s="30" t="str">
        <f>IFERROR(Tabela1[[#This Row],[VALOR]]/100,"")</f>
        <v/>
      </c>
      <c r="AC809" s="7" t="str" cm="1">
        <f t="array" aca="1" ref="AC809" ca="1">IF(Tabela1[[#This Row],[VALOR]]&lt;0,"",IFERROR(SUBSTITUTE(Converter_numero(Tabela1[[#This Row],[VALOR INCISO]]),",",""),""))</f>
        <v/>
      </c>
      <c r="AD809" s="29" t="str">
        <f>IF(Tabela1[[#This Row],[TIPO]]=REGRAS!$W$2,REGRAS!$X$2,IF(Tabela1[[#This Row],[TIPO]]=REGRAS!$W$4,REGRAS!$X$4,""))</f>
        <v/>
      </c>
      <c r="AE809" s="29" t="e">
        <f>VLOOKUP(Tabela1[[#This Row],[FONTE_COD]],REGRAS!$O$2:$P$69,2,FALSE)</f>
        <v>#N/A</v>
      </c>
      <c r="AF8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0" spans="1:32" ht="18.75" customHeight="1">
      <c r="A810" s="2" t="str">
        <f>IFERROR(IF('PREENCHER AQUI'!A810="","",'PREENCHER AQUI'!A810),"")</f>
        <v/>
      </c>
      <c r="B810" s="1" t="str">
        <f>IFERROR(IF('PREENCHER AQUI'!B810="","",PROPER('PREENCHER AQUI'!B810)),"")</f>
        <v/>
      </c>
      <c r="C810" s="1" t="str">
        <f>IFERROR(IF('PREENCHER AQUI'!C810="","",'PREENCHER AQUI'!C810),"")</f>
        <v/>
      </c>
      <c r="D810" s="2" t="str">
        <f>IFERROR(IF('PREENCHER AQUI'!D810="","",'PREENCHER AQUI'!D810),"")</f>
        <v/>
      </c>
      <c r="E810" s="2" t="str">
        <f>IFERROR(VLOOKUP(CONCATENATE(C810,D810),qdd!$C$2:$F$1000,2,FALSE),"")</f>
        <v/>
      </c>
      <c r="F810" s="2" t="str">
        <f>IFERROR(VLOOKUP(CONCATENATE(C810,D810),qdd!$C$2:$F$1000,3,FALSE),"")</f>
        <v/>
      </c>
      <c r="G810" s="2" t="str">
        <f>IFERROR(VLOOKUP(CONCATENATE(C810,D810),qdd!$C$2:$F$1000,4,FALSE),"")</f>
        <v/>
      </c>
      <c r="H810" s="6" t="str">
        <f t="shared" si="26"/>
        <v/>
      </c>
      <c r="I8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0" s="2" t="str">
        <f>IFERROR(IF('PREENCHER AQUI'!E810="","",'PREENCHER AQUI'!E810),"")</f>
        <v/>
      </c>
      <c r="K810" s="2" t="str">
        <f>IFERROR(IF('PREENCHER AQUI'!F810="","",'PREENCHER AQUI'!F810),"")</f>
        <v/>
      </c>
      <c r="L810" s="2" t="str">
        <f>IF(Tabela1[[#This Row],[IPU_COD]]=9,"91",IF(Tabela1[[#This Row],[ACAO_COD]]="","",VLOOKUP(CONCATENATE("G",J810,"M",K810),qdd!$BC$2:$BD$46,2,FALSE)))</f>
        <v/>
      </c>
      <c r="M810" s="2" t="str">
        <f>TEXT(IFERROR(VLOOKUP(CONCATENATE(C810,D810),qdd!$C$2:$G$1000,5,FALSE),""),0)</f>
        <v/>
      </c>
      <c r="N810" s="2" t="str">
        <f>IFERROR(IF('PREENCHER AQUI'!I810="","",'PREENCHER AQUI'!I810),"")</f>
        <v/>
      </c>
      <c r="O810" s="2" t="str">
        <f>IFERROR(IF('PREENCHER AQUI'!J810="","",'PREENCHER AQUI'!J810),"")</f>
        <v/>
      </c>
      <c r="P810" s="7" t="str">
        <f t="shared" si="27"/>
        <v/>
      </c>
      <c r="Q810" s="8" t="str">
        <f>IFERROR(IF(Tabela4[[#This Row],[VALOR]]="","",IF(Tabela1[[#This Row],[ORIENTACAO]]="Anular",'PREENCHER AQUI'!K810*-1*100,'PREENCHER AQUI'!K810*100)),"")</f>
        <v/>
      </c>
      <c r="T810" s="7" t="str">
        <f>IFERROR(IF('PREENCHER AQUI'!L810="","999",LEFT('PREENCHER AQUI'!L810,1)),"")</f>
        <v>999</v>
      </c>
      <c r="V810" s="19"/>
      <c r="W810" s="20" t="str">
        <f>IFERROR(VLOOKUP(Tabela1[[#This Row],[UO_COD]],qdd!$AT$1:$AU$102,2,FALSE),"")</f>
        <v/>
      </c>
      <c r="X810" s="20" t="str">
        <f>CONCATENATE("F",Tabela1[[#This Row],[FONTE_COD]],Tabela1[[#This Row],[IPU_COD]],"G",Tabela1[[#This Row],[GRUPO_COD]],"T",Tabela1[[#This Row],[TIPO]])</f>
        <v>FGT999</v>
      </c>
      <c r="Y8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0" s="19"/>
      <c r="AA810" s="29" t="str">
        <f>IFERROR(VLOOKUP(CONCATENATE("B",Tabela1[[#This Row],[BLOCO]],Tabela1[[#This Row],[UO_COD]]),qdd!$AW$2:$AX$1000,2,FALSE),"")</f>
        <v/>
      </c>
      <c r="AB810" s="30" t="str">
        <f>IFERROR(Tabela1[[#This Row],[VALOR]]/100,"")</f>
        <v/>
      </c>
      <c r="AC810" s="7" t="str" cm="1">
        <f t="array" aca="1" ref="AC810" ca="1">IF(Tabela1[[#This Row],[VALOR]]&lt;0,"",IFERROR(SUBSTITUTE(Converter_numero(Tabela1[[#This Row],[VALOR INCISO]]),",",""),""))</f>
        <v/>
      </c>
      <c r="AD810" s="29" t="str">
        <f>IF(Tabela1[[#This Row],[TIPO]]=REGRAS!$W$2,REGRAS!$X$2,IF(Tabela1[[#This Row],[TIPO]]=REGRAS!$W$4,REGRAS!$X$4,""))</f>
        <v/>
      </c>
      <c r="AE810" s="29" t="e">
        <f>VLOOKUP(Tabela1[[#This Row],[FONTE_COD]],REGRAS!$O$2:$P$69,2,FALSE)</f>
        <v>#N/A</v>
      </c>
      <c r="AF8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1" spans="1:32" ht="18.75" customHeight="1">
      <c r="A811" s="2" t="str">
        <f>IFERROR(IF('PREENCHER AQUI'!A811="","",'PREENCHER AQUI'!A811),"")</f>
        <v/>
      </c>
      <c r="B811" s="1" t="str">
        <f>IFERROR(IF('PREENCHER AQUI'!B811="","",PROPER('PREENCHER AQUI'!B811)),"")</f>
        <v/>
      </c>
      <c r="C811" s="1" t="str">
        <f>IFERROR(IF('PREENCHER AQUI'!C811="","",'PREENCHER AQUI'!C811),"")</f>
        <v/>
      </c>
      <c r="D811" s="2" t="str">
        <f>IFERROR(IF('PREENCHER AQUI'!D811="","",'PREENCHER AQUI'!D811),"")</f>
        <v/>
      </c>
      <c r="E811" s="2" t="str">
        <f>IFERROR(VLOOKUP(CONCATENATE(C811,D811),qdd!$C$2:$F$1000,2,FALSE),"")</f>
        <v/>
      </c>
      <c r="F811" s="2" t="str">
        <f>IFERROR(VLOOKUP(CONCATENATE(C811,D811),qdd!$C$2:$F$1000,3,FALSE),"")</f>
        <v/>
      </c>
      <c r="G811" s="2" t="str">
        <f>IFERROR(VLOOKUP(CONCATENATE(C811,D811),qdd!$C$2:$F$1000,4,FALSE),"")</f>
        <v/>
      </c>
      <c r="H811" s="6" t="str">
        <f t="shared" si="26"/>
        <v/>
      </c>
      <c r="I8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1" s="2" t="str">
        <f>IFERROR(IF('PREENCHER AQUI'!E811="","",'PREENCHER AQUI'!E811),"")</f>
        <v/>
      </c>
      <c r="K811" s="2" t="str">
        <f>IFERROR(IF('PREENCHER AQUI'!F811="","",'PREENCHER AQUI'!F811),"")</f>
        <v/>
      </c>
      <c r="L811" s="2" t="str">
        <f>IF(Tabela1[[#This Row],[IPU_COD]]=9,"91",IF(Tabela1[[#This Row],[ACAO_COD]]="","",VLOOKUP(CONCATENATE("G",J811,"M",K811),qdd!$BC$2:$BD$46,2,FALSE)))</f>
        <v/>
      </c>
      <c r="M811" s="2" t="str">
        <f>TEXT(IFERROR(VLOOKUP(CONCATENATE(C811,D811),qdd!$C$2:$G$1000,5,FALSE),""),0)</f>
        <v/>
      </c>
      <c r="N811" s="2" t="str">
        <f>IFERROR(IF('PREENCHER AQUI'!I811="","",'PREENCHER AQUI'!I811),"")</f>
        <v/>
      </c>
      <c r="O811" s="2" t="str">
        <f>IFERROR(IF('PREENCHER AQUI'!J811="","",'PREENCHER AQUI'!J811),"")</f>
        <v/>
      </c>
      <c r="P811" s="7" t="str">
        <f t="shared" si="27"/>
        <v/>
      </c>
      <c r="Q811" s="8" t="str">
        <f>IFERROR(IF(Tabela4[[#This Row],[VALOR]]="","",IF(Tabela1[[#This Row],[ORIENTACAO]]="Anular",'PREENCHER AQUI'!K811*-1*100,'PREENCHER AQUI'!K811*100)),"")</f>
        <v/>
      </c>
      <c r="T811" s="7" t="str">
        <f>IFERROR(IF('PREENCHER AQUI'!L811="","999",LEFT('PREENCHER AQUI'!L811,1)),"")</f>
        <v>999</v>
      </c>
      <c r="V811" s="19"/>
      <c r="W811" s="1" t="str">
        <f>IFERROR(VLOOKUP(Tabela1[[#This Row],[UO_COD]],qdd!$AT$1:$AU$102,2,FALSE),"")</f>
        <v/>
      </c>
      <c r="X811" s="1" t="str">
        <f>CONCATENATE("F",Tabela1[[#This Row],[FONTE_COD]],Tabela1[[#This Row],[IPU_COD]],"G",Tabela1[[#This Row],[GRUPO_COD]],"T",Tabela1[[#This Row],[TIPO]])</f>
        <v>FGT999</v>
      </c>
      <c r="Y8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1" s="19"/>
      <c r="AA811" s="29" t="str">
        <f>IFERROR(VLOOKUP(CONCATENATE("B",Tabela1[[#This Row],[BLOCO]],Tabela1[[#This Row],[UO_COD]]),qdd!$AW$2:$AX$1000,2,FALSE),"")</f>
        <v/>
      </c>
      <c r="AB811" s="30" t="str">
        <f>IFERROR(Tabela1[[#This Row],[VALOR]]/100,"")</f>
        <v/>
      </c>
      <c r="AC811" s="7" t="str" cm="1">
        <f t="array" aca="1" ref="AC811" ca="1">IF(Tabela1[[#This Row],[VALOR]]&lt;0,"",IFERROR(SUBSTITUTE(Converter_numero(Tabela1[[#This Row],[VALOR INCISO]]),",",""),""))</f>
        <v/>
      </c>
      <c r="AD811" s="29" t="str">
        <f>IF(Tabela1[[#This Row],[TIPO]]=REGRAS!$W$2,REGRAS!$X$2,IF(Tabela1[[#This Row],[TIPO]]=REGRAS!$W$4,REGRAS!$X$4,""))</f>
        <v/>
      </c>
      <c r="AE811" s="29" t="e">
        <f>VLOOKUP(Tabela1[[#This Row],[FONTE_COD]],REGRAS!$O$2:$P$69,2,FALSE)</f>
        <v>#N/A</v>
      </c>
      <c r="AF8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2" spans="1:32" ht="18.75" customHeight="1">
      <c r="A812" s="2" t="str">
        <f>IFERROR(IF('PREENCHER AQUI'!A812="","",'PREENCHER AQUI'!A812),"")</f>
        <v/>
      </c>
      <c r="B812" s="1" t="str">
        <f>IFERROR(IF('PREENCHER AQUI'!B812="","",PROPER('PREENCHER AQUI'!B812)),"")</f>
        <v/>
      </c>
      <c r="C812" s="1" t="str">
        <f>IFERROR(IF('PREENCHER AQUI'!C812="","",'PREENCHER AQUI'!C812),"")</f>
        <v/>
      </c>
      <c r="D812" s="2" t="str">
        <f>IFERROR(IF('PREENCHER AQUI'!D812="","",'PREENCHER AQUI'!D812),"")</f>
        <v/>
      </c>
      <c r="E812" s="2" t="str">
        <f>IFERROR(VLOOKUP(CONCATENATE(C812,D812),qdd!$C$2:$F$1000,2,FALSE),"")</f>
        <v/>
      </c>
      <c r="F812" s="2" t="str">
        <f>IFERROR(VLOOKUP(CONCATENATE(C812,D812),qdd!$C$2:$F$1000,3,FALSE),"")</f>
        <v/>
      </c>
      <c r="G812" s="2" t="str">
        <f>IFERROR(VLOOKUP(CONCATENATE(C812,D812),qdd!$C$2:$F$1000,4,FALSE),"")</f>
        <v/>
      </c>
      <c r="H812" s="6" t="str">
        <f t="shared" si="26"/>
        <v/>
      </c>
      <c r="I8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2" s="2" t="str">
        <f>IFERROR(IF('PREENCHER AQUI'!E812="","",'PREENCHER AQUI'!E812),"")</f>
        <v/>
      </c>
      <c r="K812" s="2" t="str">
        <f>IFERROR(IF('PREENCHER AQUI'!F812="","",'PREENCHER AQUI'!F812),"")</f>
        <v/>
      </c>
      <c r="L812" s="2" t="str">
        <f>IF(Tabela1[[#This Row],[IPU_COD]]=9,"91",IF(Tabela1[[#This Row],[ACAO_COD]]="","",VLOOKUP(CONCATENATE("G",J812,"M",K812),qdd!$BC$2:$BD$46,2,FALSE)))</f>
        <v/>
      </c>
      <c r="M812" s="2" t="str">
        <f>TEXT(IFERROR(VLOOKUP(CONCATENATE(C812,D812),qdd!$C$2:$G$1000,5,FALSE),""),0)</f>
        <v/>
      </c>
      <c r="N812" s="2" t="str">
        <f>IFERROR(IF('PREENCHER AQUI'!I812="","",'PREENCHER AQUI'!I812),"")</f>
        <v/>
      </c>
      <c r="O812" s="2" t="str">
        <f>IFERROR(IF('PREENCHER AQUI'!J812="","",'PREENCHER AQUI'!J812),"")</f>
        <v/>
      </c>
      <c r="P812" s="7" t="str">
        <f t="shared" si="27"/>
        <v/>
      </c>
      <c r="Q812" s="8" t="str">
        <f>IFERROR(IF(Tabela4[[#This Row],[VALOR]]="","",IF(Tabela1[[#This Row],[ORIENTACAO]]="Anular",'PREENCHER AQUI'!K812*-1*100,'PREENCHER AQUI'!K812*100)),"")</f>
        <v/>
      </c>
      <c r="T812" s="7" t="str">
        <f>IFERROR(IF('PREENCHER AQUI'!L812="","999",LEFT('PREENCHER AQUI'!L812,1)),"")</f>
        <v>999</v>
      </c>
      <c r="W812" s="1" t="str">
        <f>IFERROR(VLOOKUP(Tabela1[[#This Row],[UO_COD]],qdd!$AT$1:$AU$102,2,FALSE),"")</f>
        <v/>
      </c>
      <c r="X812" s="1" t="str">
        <f>CONCATENATE("F",Tabela1[[#This Row],[FONTE_COD]],Tabela1[[#This Row],[IPU_COD]],"G",Tabela1[[#This Row],[GRUPO_COD]],"T",Tabela1[[#This Row],[TIPO]])</f>
        <v>FGT999</v>
      </c>
      <c r="Y8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2" s="19"/>
      <c r="AA812" s="29" t="str">
        <f>IFERROR(VLOOKUP(CONCATENATE("B",Tabela1[[#This Row],[BLOCO]],Tabela1[[#This Row],[UO_COD]]),qdd!$AW$2:$AX$1000,2,FALSE),"")</f>
        <v/>
      </c>
      <c r="AB812" s="30" t="str">
        <f>IFERROR(Tabela1[[#This Row],[VALOR]]/100,"")</f>
        <v/>
      </c>
      <c r="AC812" s="7" t="str" cm="1">
        <f t="array" aca="1" ref="AC812" ca="1">IF(Tabela1[[#This Row],[VALOR]]&lt;0,"",IFERROR(SUBSTITUTE(Converter_numero(Tabela1[[#This Row],[VALOR INCISO]]),",",""),""))</f>
        <v/>
      </c>
      <c r="AD812" s="7" t="str">
        <f>IF(Tabela1[[#This Row],[TIPO]]=REGRAS!$W$2,REGRAS!$X$2,IF(Tabela1[[#This Row],[TIPO]]=REGRAS!$W$4,REGRAS!$X$4,""))</f>
        <v/>
      </c>
      <c r="AE812" s="29" t="e">
        <f>VLOOKUP(Tabela1[[#This Row],[FONTE_COD]],REGRAS!$O$2:$P$69,2,FALSE)</f>
        <v>#N/A</v>
      </c>
      <c r="AF8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3" spans="1:32" ht="18.75" customHeight="1">
      <c r="A813" s="2" t="str">
        <f>IFERROR(IF('PREENCHER AQUI'!A813="","",'PREENCHER AQUI'!A813),"")</f>
        <v/>
      </c>
      <c r="B813" s="1" t="str">
        <f>IFERROR(IF('PREENCHER AQUI'!B813="","",PROPER('PREENCHER AQUI'!B813)),"")</f>
        <v/>
      </c>
      <c r="C813" s="1" t="str">
        <f>IFERROR(IF('PREENCHER AQUI'!C813="","",'PREENCHER AQUI'!C813),"")</f>
        <v/>
      </c>
      <c r="D813" s="2" t="str">
        <f>IFERROR(IF('PREENCHER AQUI'!D813="","",'PREENCHER AQUI'!D813),"")</f>
        <v/>
      </c>
      <c r="E813" s="2" t="str">
        <f>IFERROR(VLOOKUP(CONCATENATE(C813,D813),qdd!$C$2:$F$1000,2,FALSE),"")</f>
        <v/>
      </c>
      <c r="F813" s="2" t="str">
        <f>IFERROR(VLOOKUP(CONCATENATE(C813,D813),qdd!$C$2:$F$1000,3,FALSE),"")</f>
        <v/>
      </c>
      <c r="G813" s="2" t="str">
        <f>IFERROR(VLOOKUP(CONCATENATE(C813,D813),qdd!$C$2:$F$1000,4,FALSE),"")</f>
        <v/>
      </c>
      <c r="H813" s="6" t="str">
        <f t="shared" si="26"/>
        <v/>
      </c>
      <c r="I8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3" s="2" t="str">
        <f>IFERROR(IF('PREENCHER AQUI'!E813="","",'PREENCHER AQUI'!E813),"")</f>
        <v/>
      </c>
      <c r="K813" s="2" t="str">
        <f>IFERROR(IF('PREENCHER AQUI'!F813="","",'PREENCHER AQUI'!F813),"")</f>
        <v/>
      </c>
      <c r="L813" s="2" t="str">
        <f>IF(Tabela1[[#This Row],[IPU_COD]]=9,"91",IF(Tabela1[[#This Row],[ACAO_COD]]="","",VLOOKUP(CONCATENATE("G",J813,"M",K813),qdd!$BC$2:$BD$46,2,FALSE)))</f>
        <v/>
      </c>
      <c r="M813" s="2" t="str">
        <f>TEXT(IFERROR(VLOOKUP(CONCATENATE(C813,D813),qdd!$C$2:$G$1000,5,FALSE),""),0)</f>
        <v/>
      </c>
      <c r="N813" s="2" t="str">
        <f>IFERROR(IF('PREENCHER AQUI'!I813="","",'PREENCHER AQUI'!I813),"")</f>
        <v/>
      </c>
      <c r="O813" s="2" t="str">
        <f>IFERROR(IF('PREENCHER AQUI'!J813="","",'PREENCHER AQUI'!J813),"")</f>
        <v/>
      </c>
      <c r="P813" s="7" t="str">
        <f t="shared" si="27"/>
        <v/>
      </c>
      <c r="Q813" s="8" t="str">
        <f>IFERROR(IF(Tabela4[[#This Row],[VALOR]]="","",IF(Tabela1[[#This Row],[ORIENTACAO]]="Anular",'PREENCHER AQUI'!K813*-1*100,'PREENCHER AQUI'!K813*100)),"")</f>
        <v/>
      </c>
      <c r="T813" s="7" t="str">
        <f>IFERROR(IF('PREENCHER AQUI'!L813="","999",LEFT('PREENCHER AQUI'!L813,1)),"")</f>
        <v>999</v>
      </c>
      <c r="V813" s="19"/>
      <c r="W813" s="1" t="str">
        <f>IFERROR(VLOOKUP(Tabela1[[#This Row],[UO_COD]],qdd!$AT$1:$AU$102,2,FALSE),"")</f>
        <v/>
      </c>
      <c r="X813" s="1" t="str">
        <f>CONCATENATE("F",Tabela1[[#This Row],[FONTE_COD]],Tabela1[[#This Row],[IPU_COD]],"G",Tabela1[[#This Row],[GRUPO_COD]],"T",Tabela1[[#This Row],[TIPO]])</f>
        <v>FGT999</v>
      </c>
      <c r="Y8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3" s="19"/>
      <c r="AA813" s="29" t="str">
        <f>IFERROR(VLOOKUP(CONCATENATE("B",Tabela1[[#This Row],[BLOCO]],Tabela1[[#This Row],[UO_COD]]),qdd!$AW$2:$AX$1000,2,FALSE),"")</f>
        <v/>
      </c>
      <c r="AB813" s="30" t="str">
        <f>IFERROR(Tabela1[[#This Row],[VALOR]]/100,"")</f>
        <v/>
      </c>
      <c r="AC813" s="7" t="str" cm="1">
        <f t="array" aca="1" ref="AC813" ca="1">IF(Tabela1[[#This Row],[VALOR]]&lt;0,"",IFERROR(SUBSTITUTE(Converter_numero(Tabela1[[#This Row],[VALOR INCISO]]),",",""),""))</f>
        <v/>
      </c>
      <c r="AD813" s="29" t="str">
        <f>IF(Tabela1[[#This Row],[TIPO]]=REGRAS!$W$2,REGRAS!$X$2,IF(Tabela1[[#This Row],[TIPO]]=REGRAS!$W$4,REGRAS!$X$4,""))</f>
        <v/>
      </c>
      <c r="AE813" s="29" t="e">
        <f>VLOOKUP(Tabela1[[#This Row],[FONTE_COD]],REGRAS!$O$2:$P$69,2,FALSE)</f>
        <v>#N/A</v>
      </c>
      <c r="AF8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4" spans="1:32" ht="18.75" customHeight="1">
      <c r="A814" s="2" t="str">
        <f>IFERROR(IF('PREENCHER AQUI'!A814="","",'PREENCHER AQUI'!A814),"")</f>
        <v/>
      </c>
      <c r="B814" s="1" t="str">
        <f>IFERROR(IF('PREENCHER AQUI'!B814="","",PROPER('PREENCHER AQUI'!B814)),"")</f>
        <v/>
      </c>
      <c r="C814" s="1" t="str">
        <f>IFERROR(IF('PREENCHER AQUI'!C814="","",'PREENCHER AQUI'!C814),"")</f>
        <v/>
      </c>
      <c r="D814" s="2" t="str">
        <f>IFERROR(IF('PREENCHER AQUI'!D814="","",'PREENCHER AQUI'!D814),"")</f>
        <v/>
      </c>
      <c r="E814" s="2" t="str">
        <f>IFERROR(VLOOKUP(CONCATENATE(C814,D814),qdd!$C$2:$F$1000,2,FALSE),"")</f>
        <v/>
      </c>
      <c r="F814" s="2" t="str">
        <f>IFERROR(VLOOKUP(CONCATENATE(C814,D814),qdd!$C$2:$F$1000,3,FALSE),"")</f>
        <v/>
      </c>
      <c r="G814" s="2" t="str">
        <f>IFERROR(VLOOKUP(CONCATENATE(C814,D814),qdd!$C$2:$F$1000,4,FALSE),"")</f>
        <v/>
      </c>
      <c r="H814" s="6" t="str">
        <f t="shared" si="26"/>
        <v/>
      </c>
      <c r="I8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4" s="2" t="str">
        <f>IFERROR(IF('PREENCHER AQUI'!E814="","",'PREENCHER AQUI'!E814),"")</f>
        <v/>
      </c>
      <c r="K814" s="2" t="str">
        <f>IFERROR(IF('PREENCHER AQUI'!F814="","",'PREENCHER AQUI'!F814),"")</f>
        <v/>
      </c>
      <c r="L814" s="2" t="str">
        <f>IF(Tabela1[[#This Row],[IPU_COD]]=9,"91",IF(Tabela1[[#This Row],[ACAO_COD]]="","",VLOOKUP(CONCATENATE("G",J814,"M",K814),qdd!$BC$2:$BD$46,2,FALSE)))</f>
        <v/>
      </c>
      <c r="M814" s="2" t="str">
        <f>TEXT(IFERROR(VLOOKUP(CONCATENATE(C814,D814),qdd!$C$2:$G$1000,5,FALSE),""),0)</f>
        <v/>
      </c>
      <c r="N814" s="2" t="str">
        <f>IFERROR(IF('PREENCHER AQUI'!I814="","",'PREENCHER AQUI'!I814),"")</f>
        <v/>
      </c>
      <c r="O814" s="2" t="str">
        <f>IFERROR(IF('PREENCHER AQUI'!J814="","",'PREENCHER AQUI'!J814),"")</f>
        <v/>
      </c>
      <c r="P814" s="7" t="str">
        <f t="shared" si="27"/>
        <v/>
      </c>
      <c r="Q814" s="8" t="str">
        <f>IFERROR(IF(Tabela4[[#This Row],[VALOR]]="","",IF(Tabela1[[#This Row],[ORIENTACAO]]="Anular",'PREENCHER AQUI'!K814*-1*100,'PREENCHER AQUI'!K814*100)),"")</f>
        <v/>
      </c>
      <c r="T814" s="7" t="str">
        <f>IFERROR(IF('PREENCHER AQUI'!L814="","999",LEFT('PREENCHER AQUI'!L814,1)),"")</f>
        <v>999</v>
      </c>
      <c r="V814" s="19"/>
      <c r="W814" s="1" t="str">
        <f>IFERROR(VLOOKUP(Tabela1[[#This Row],[UO_COD]],qdd!$AT$1:$AU$102,2,FALSE),"")</f>
        <v/>
      </c>
      <c r="X814" s="1" t="str">
        <f>CONCATENATE("F",Tabela1[[#This Row],[FONTE_COD]],Tabela1[[#This Row],[IPU_COD]],"G",Tabela1[[#This Row],[GRUPO_COD]],"T",Tabela1[[#This Row],[TIPO]])</f>
        <v>FGT999</v>
      </c>
      <c r="Y8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4" s="19"/>
      <c r="AA814" s="29" t="str">
        <f>IFERROR(VLOOKUP(CONCATENATE("B",Tabela1[[#This Row],[BLOCO]],Tabela1[[#This Row],[UO_COD]]),qdd!$AW$2:$AX$1000,2,FALSE),"")</f>
        <v/>
      </c>
      <c r="AB814" s="30" t="str">
        <f>IFERROR(Tabela1[[#This Row],[VALOR]]/100,"")</f>
        <v/>
      </c>
      <c r="AC814" s="7" t="str" cm="1">
        <f t="array" aca="1" ref="AC814" ca="1">IF(Tabela1[[#This Row],[VALOR]]&lt;0,"",IFERROR(SUBSTITUTE(Converter_numero(Tabela1[[#This Row],[VALOR INCISO]]),",",""),""))</f>
        <v/>
      </c>
      <c r="AD814" s="29" t="str">
        <f>IF(Tabela1[[#This Row],[TIPO]]=REGRAS!$W$2,REGRAS!$X$2,IF(Tabela1[[#This Row],[TIPO]]=REGRAS!$W$4,REGRAS!$X$4,""))</f>
        <v/>
      </c>
      <c r="AE814" s="29" t="e">
        <f>VLOOKUP(Tabela1[[#This Row],[FONTE_COD]],REGRAS!$O$2:$P$69,2,FALSE)</f>
        <v>#N/A</v>
      </c>
      <c r="AF8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5" spans="1:32" ht="18.75" customHeight="1">
      <c r="A815" s="2" t="str">
        <f>IFERROR(IF('PREENCHER AQUI'!A815="","",'PREENCHER AQUI'!A815),"")</f>
        <v/>
      </c>
      <c r="B815" s="1" t="str">
        <f>IFERROR(IF('PREENCHER AQUI'!B815="","",PROPER('PREENCHER AQUI'!B815)),"")</f>
        <v/>
      </c>
      <c r="C815" s="1" t="str">
        <f>IFERROR(IF('PREENCHER AQUI'!C815="","",'PREENCHER AQUI'!C815),"")</f>
        <v/>
      </c>
      <c r="D815" s="2" t="str">
        <f>IFERROR(IF('PREENCHER AQUI'!D815="","",'PREENCHER AQUI'!D815),"")</f>
        <v/>
      </c>
      <c r="E815" s="2" t="str">
        <f>IFERROR(VLOOKUP(CONCATENATE(C815,D815),qdd!$C$2:$F$1000,2,FALSE),"")</f>
        <v/>
      </c>
      <c r="F815" s="2" t="str">
        <f>IFERROR(VLOOKUP(CONCATENATE(C815,D815),qdd!$C$2:$F$1000,3,FALSE),"")</f>
        <v/>
      </c>
      <c r="G815" s="2" t="str">
        <f>IFERROR(VLOOKUP(CONCATENATE(C815,D815),qdd!$C$2:$F$1000,4,FALSE),"")</f>
        <v/>
      </c>
      <c r="H815" s="6" t="str">
        <f t="shared" si="26"/>
        <v/>
      </c>
      <c r="I8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5" s="2" t="str">
        <f>IFERROR(IF('PREENCHER AQUI'!E815="","",'PREENCHER AQUI'!E815),"")</f>
        <v/>
      </c>
      <c r="K815" s="2" t="str">
        <f>IFERROR(IF('PREENCHER AQUI'!F815="","",'PREENCHER AQUI'!F815),"")</f>
        <v/>
      </c>
      <c r="L815" s="2" t="str">
        <f>IF(Tabela1[[#This Row],[IPU_COD]]=9,"91",IF(Tabela1[[#This Row],[ACAO_COD]]="","",VLOOKUP(CONCATENATE("G",J815,"M",K815),qdd!$BC$2:$BD$46,2,FALSE)))</f>
        <v/>
      </c>
      <c r="M815" s="2" t="str">
        <f>TEXT(IFERROR(VLOOKUP(CONCATENATE(C815,D815),qdd!$C$2:$G$1000,5,FALSE),""),0)</f>
        <v/>
      </c>
      <c r="N815" s="2" t="str">
        <f>IFERROR(IF('PREENCHER AQUI'!I815="","",'PREENCHER AQUI'!I815),"")</f>
        <v/>
      </c>
      <c r="O815" s="2" t="str">
        <f>IFERROR(IF('PREENCHER AQUI'!J815="","",'PREENCHER AQUI'!J815),"")</f>
        <v/>
      </c>
      <c r="P815" s="7" t="str">
        <f t="shared" si="27"/>
        <v/>
      </c>
      <c r="Q815" s="8" t="str">
        <f>IFERROR(IF(Tabela4[[#This Row],[VALOR]]="","",IF(Tabela1[[#This Row],[ORIENTACAO]]="Anular",'PREENCHER AQUI'!K815*-1*100,'PREENCHER AQUI'!K815*100)),"")</f>
        <v/>
      </c>
      <c r="T815" s="7" t="str">
        <f>IFERROR(IF('PREENCHER AQUI'!L815="","999",LEFT('PREENCHER AQUI'!L815,1)),"")</f>
        <v>999</v>
      </c>
      <c r="V815" s="19"/>
      <c r="W815" s="20" t="str">
        <f>IFERROR(VLOOKUP(Tabela1[[#This Row],[UO_COD]],qdd!$AT$1:$AU$102,2,FALSE),"")</f>
        <v/>
      </c>
      <c r="X815" s="20" t="str">
        <f>CONCATENATE("F",Tabela1[[#This Row],[FONTE_COD]],Tabela1[[#This Row],[IPU_COD]],"G",Tabela1[[#This Row],[GRUPO_COD]],"T",Tabela1[[#This Row],[TIPO]])</f>
        <v>FGT999</v>
      </c>
      <c r="Y8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5" s="19"/>
      <c r="AA815" s="29" t="str">
        <f>IFERROR(VLOOKUP(CONCATENATE("B",Tabela1[[#This Row],[BLOCO]],Tabela1[[#This Row],[UO_COD]]),qdd!$AW$2:$AX$1000,2,FALSE),"")</f>
        <v/>
      </c>
      <c r="AB815" s="30" t="str">
        <f>IFERROR(Tabela1[[#This Row],[VALOR]]/100,"")</f>
        <v/>
      </c>
      <c r="AC815" s="7" t="str" cm="1">
        <f t="array" aca="1" ref="AC815" ca="1">IF(Tabela1[[#This Row],[VALOR]]&lt;0,"",IFERROR(SUBSTITUTE(Converter_numero(Tabela1[[#This Row],[VALOR INCISO]]),",",""),""))</f>
        <v/>
      </c>
      <c r="AD815" s="29" t="str">
        <f>IF(Tabela1[[#This Row],[TIPO]]=REGRAS!$W$2,REGRAS!$X$2,IF(Tabela1[[#This Row],[TIPO]]=REGRAS!$W$4,REGRAS!$X$4,""))</f>
        <v/>
      </c>
      <c r="AE815" s="29" t="e">
        <f>VLOOKUP(Tabela1[[#This Row],[FONTE_COD]],REGRAS!$O$2:$P$69,2,FALSE)</f>
        <v>#N/A</v>
      </c>
      <c r="AF8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6" spans="1:32" ht="18.75" customHeight="1">
      <c r="A816" s="2" t="str">
        <f>IFERROR(IF('PREENCHER AQUI'!A816="","",'PREENCHER AQUI'!A816),"")</f>
        <v/>
      </c>
      <c r="B816" s="1" t="str">
        <f>IFERROR(IF('PREENCHER AQUI'!B816="","",PROPER('PREENCHER AQUI'!B816)),"")</f>
        <v/>
      </c>
      <c r="C816" s="1" t="str">
        <f>IFERROR(IF('PREENCHER AQUI'!C816="","",'PREENCHER AQUI'!C816),"")</f>
        <v/>
      </c>
      <c r="D816" s="2" t="str">
        <f>IFERROR(IF('PREENCHER AQUI'!D816="","",'PREENCHER AQUI'!D816),"")</f>
        <v/>
      </c>
      <c r="E816" s="2" t="str">
        <f>IFERROR(VLOOKUP(CONCATENATE(C816,D816),qdd!$C$2:$F$1000,2,FALSE),"")</f>
        <v/>
      </c>
      <c r="F816" s="2" t="str">
        <f>IFERROR(VLOOKUP(CONCATENATE(C816,D816),qdd!$C$2:$F$1000,3,FALSE),"")</f>
        <v/>
      </c>
      <c r="G816" s="2" t="str">
        <f>IFERROR(VLOOKUP(CONCATENATE(C816,D816),qdd!$C$2:$F$1000,4,FALSE),"")</f>
        <v/>
      </c>
      <c r="H816" s="6" t="str">
        <f t="shared" si="26"/>
        <v/>
      </c>
      <c r="I8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6" s="2" t="str">
        <f>IFERROR(IF('PREENCHER AQUI'!E816="","",'PREENCHER AQUI'!E816),"")</f>
        <v/>
      </c>
      <c r="K816" s="2" t="str">
        <f>IFERROR(IF('PREENCHER AQUI'!F816="","",'PREENCHER AQUI'!F816),"")</f>
        <v/>
      </c>
      <c r="L816" s="2" t="str">
        <f>IF(Tabela1[[#This Row],[IPU_COD]]=9,"91",IF(Tabela1[[#This Row],[ACAO_COD]]="","",VLOOKUP(CONCATENATE("G",J816,"M",K816),qdd!$BC$2:$BD$46,2,FALSE)))</f>
        <v/>
      </c>
      <c r="M816" s="2" t="str">
        <f>TEXT(IFERROR(VLOOKUP(CONCATENATE(C816,D816),qdd!$C$2:$G$1000,5,FALSE),""),0)</f>
        <v/>
      </c>
      <c r="N816" s="2" t="str">
        <f>IFERROR(IF('PREENCHER AQUI'!I816="","",'PREENCHER AQUI'!I816),"")</f>
        <v/>
      </c>
      <c r="O816" s="2" t="str">
        <f>IFERROR(IF('PREENCHER AQUI'!J816="","",'PREENCHER AQUI'!J816),"")</f>
        <v/>
      </c>
      <c r="P816" s="7" t="str">
        <f t="shared" si="27"/>
        <v/>
      </c>
      <c r="Q816" s="8" t="str">
        <f>IFERROR(IF(Tabela4[[#This Row],[VALOR]]="","",IF(Tabela1[[#This Row],[ORIENTACAO]]="Anular",'PREENCHER AQUI'!K816*-1*100,'PREENCHER AQUI'!K816*100)),"")</f>
        <v/>
      </c>
      <c r="T816" s="7" t="str">
        <f>IFERROR(IF('PREENCHER AQUI'!L816="","999",LEFT('PREENCHER AQUI'!L816,1)),"")</f>
        <v>999</v>
      </c>
      <c r="V816" s="19"/>
      <c r="W816" s="1" t="str">
        <f>IFERROR(VLOOKUP(Tabela1[[#This Row],[UO_COD]],qdd!$AT$1:$AU$102,2,FALSE),"")</f>
        <v/>
      </c>
      <c r="X816" s="1" t="str">
        <f>CONCATENATE("F",Tabela1[[#This Row],[FONTE_COD]],Tabela1[[#This Row],[IPU_COD]],"G",Tabela1[[#This Row],[GRUPO_COD]],"T",Tabela1[[#This Row],[TIPO]])</f>
        <v>FGT999</v>
      </c>
      <c r="Y8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6" s="19"/>
      <c r="AA816" s="29" t="str">
        <f>IFERROR(VLOOKUP(CONCATENATE("B",Tabela1[[#This Row],[BLOCO]],Tabela1[[#This Row],[UO_COD]]),qdd!$AW$2:$AX$1000,2,FALSE),"")</f>
        <v/>
      </c>
      <c r="AB816" s="30" t="str">
        <f>IFERROR(Tabela1[[#This Row],[VALOR]]/100,"")</f>
        <v/>
      </c>
      <c r="AC816" s="7" t="str" cm="1">
        <f t="array" aca="1" ref="AC816" ca="1">IF(Tabela1[[#This Row],[VALOR]]&lt;0,"",IFERROR(SUBSTITUTE(Converter_numero(Tabela1[[#This Row],[VALOR INCISO]]),",",""),""))</f>
        <v/>
      </c>
      <c r="AD816" s="29" t="str">
        <f>IF(Tabela1[[#This Row],[TIPO]]=REGRAS!$W$2,REGRAS!$X$2,IF(Tabela1[[#This Row],[TIPO]]=REGRAS!$W$4,REGRAS!$X$4,""))</f>
        <v/>
      </c>
      <c r="AE816" s="29" t="e">
        <f>VLOOKUP(Tabela1[[#This Row],[FONTE_COD]],REGRAS!$O$2:$P$69,2,FALSE)</f>
        <v>#N/A</v>
      </c>
      <c r="AF8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7" spans="1:32" ht="18.75" customHeight="1">
      <c r="A817" s="2" t="str">
        <f>IFERROR(IF('PREENCHER AQUI'!A817="","",'PREENCHER AQUI'!A817),"")</f>
        <v/>
      </c>
      <c r="B817" s="1" t="str">
        <f>IFERROR(IF('PREENCHER AQUI'!B817="","",PROPER('PREENCHER AQUI'!B817)),"")</f>
        <v/>
      </c>
      <c r="C817" s="1" t="str">
        <f>IFERROR(IF('PREENCHER AQUI'!C817="","",'PREENCHER AQUI'!C817),"")</f>
        <v/>
      </c>
      <c r="D817" s="2" t="str">
        <f>IFERROR(IF('PREENCHER AQUI'!D817="","",'PREENCHER AQUI'!D817),"")</f>
        <v/>
      </c>
      <c r="E817" s="2" t="str">
        <f>IFERROR(VLOOKUP(CONCATENATE(C817,D817),qdd!$C$2:$F$1000,2,FALSE),"")</f>
        <v/>
      </c>
      <c r="F817" s="2" t="str">
        <f>IFERROR(VLOOKUP(CONCATENATE(C817,D817),qdd!$C$2:$F$1000,3,FALSE),"")</f>
        <v/>
      </c>
      <c r="G817" s="2" t="str">
        <f>IFERROR(VLOOKUP(CONCATENATE(C817,D817),qdd!$C$2:$F$1000,4,FALSE),"")</f>
        <v/>
      </c>
      <c r="H817" s="6" t="str">
        <f t="shared" si="26"/>
        <v/>
      </c>
      <c r="I8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7" s="2" t="str">
        <f>IFERROR(IF('PREENCHER AQUI'!E817="","",'PREENCHER AQUI'!E817),"")</f>
        <v/>
      </c>
      <c r="K817" s="2" t="str">
        <f>IFERROR(IF('PREENCHER AQUI'!F817="","",'PREENCHER AQUI'!F817),"")</f>
        <v/>
      </c>
      <c r="L817" s="2" t="str">
        <f>IF(Tabela1[[#This Row],[IPU_COD]]=9,"91",IF(Tabela1[[#This Row],[ACAO_COD]]="","",VLOOKUP(CONCATENATE("G",J817,"M",K817),qdd!$BC$2:$BD$46,2,FALSE)))</f>
        <v/>
      </c>
      <c r="M817" s="2" t="str">
        <f>TEXT(IFERROR(VLOOKUP(CONCATENATE(C817,D817),qdd!$C$2:$G$1000,5,FALSE),""),0)</f>
        <v/>
      </c>
      <c r="N817" s="2" t="str">
        <f>IFERROR(IF('PREENCHER AQUI'!I817="","",'PREENCHER AQUI'!I817),"")</f>
        <v/>
      </c>
      <c r="O817" s="2" t="str">
        <f>IFERROR(IF('PREENCHER AQUI'!J817="","",'PREENCHER AQUI'!J817),"")</f>
        <v/>
      </c>
      <c r="P817" s="7" t="str">
        <f t="shared" si="27"/>
        <v/>
      </c>
      <c r="Q817" s="8" t="str">
        <f>IFERROR(IF(Tabela4[[#This Row],[VALOR]]="","",IF(Tabela1[[#This Row],[ORIENTACAO]]="Anular",'PREENCHER AQUI'!K817*-1*100,'PREENCHER AQUI'!K817*100)),"")</f>
        <v/>
      </c>
      <c r="T817" s="7" t="str">
        <f>IFERROR(IF('PREENCHER AQUI'!L817="","999",LEFT('PREENCHER AQUI'!L817,1)),"")</f>
        <v>999</v>
      </c>
      <c r="W817" s="1" t="str">
        <f>IFERROR(VLOOKUP(Tabela1[[#This Row],[UO_COD]],qdd!$AT$1:$AU$102,2,FALSE),"")</f>
        <v/>
      </c>
      <c r="X817" s="1" t="str">
        <f>CONCATENATE("F",Tabela1[[#This Row],[FONTE_COD]],Tabela1[[#This Row],[IPU_COD]],"G",Tabela1[[#This Row],[GRUPO_COD]],"T",Tabela1[[#This Row],[TIPO]])</f>
        <v>FGT999</v>
      </c>
      <c r="Y8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7" s="19"/>
      <c r="AA817" s="29" t="str">
        <f>IFERROR(VLOOKUP(CONCATENATE("B",Tabela1[[#This Row],[BLOCO]],Tabela1[[#This Row],[UO_COD]]),qdd!$AW$2:$AX$1000,2,FALSE),"")</f>
        <v/>
      </c>
      <c r="AB817" s="30" t="str">
        <f>IFERROR(Tabela1[[#This Row],[VALOR]]/100,"")</f>
        <v/>
      </c>
      <c r="AC817" s="7" t="str" cm="1">
        <f t="array" aca="1" ref="AC817" ca="1">IF(Tabela1[[#This Row],[VALOR]]&lt;0,"",IFERROR(SUBSTITUTE(Converter_numero(Tabela1[[#This Row],[VALOR INCISO]]),",",""),""))</f>
        <v/>
      </c>
      <c r="AD817" s="7" t="str">
        <f>IF(Tabela1[[#This Row],[TIPO]]=REGRAS!$W$2,REGRAS!$X$2,IF(Tabela1[[#This Row],[TIPO]]=REGRAS!$W$4,REGRAS!$X$4,""))</f>
        <v/>
      </c>
      <c r="AE817" s="29" t="e">
        <f>VLOOKUP(Tabela1[[#This Row],[FONTE_COD]],REGRAS!$O$2:$P$69,2,FALSE)</f>
        <v>#N/A</v>
      </c>
      <c r="AF8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8" spans="1:32" ht="18.75" customHeight="1">
      <c r="A818" s="2" t="str">
        <f>IFERROR(IF('PREENCHER AQUI'!A818="","",'PREENCHER AQUI'!A818),"")</f>
        <v/>
      </c>
      <c r="B818" s="1" t="str">
        <f>IFERROR(IF('PREENCHER AQUI'!B818="","",PROPER('PREENCHER AQUI'!B818)),"")</f>
        <v/>
      </c>
      <c r="C818" s="1" t="str">
        <f>IFERROR(IF('PREENCHER AQUI'!C818="","",'PREENCHER AQUI'!C818),"")</f>
        <v/>
      </c>
      <c r="D818" s="2" t="str">
        <f>IFERROR(IF('PREENCHER AQUI'!D818="","",'PREENCHER AQUI'!D818),"")</f>
        <v/>
      </c>
      <c r="E818" s="2" t="str">
        <f>IFERROR(VLOOKUP(CONCATENATE(C818,D818),qdd!$C$2:$F$1000,2,FALSE),"")</f>
        <v/>
      </c>
      <c r="F818" s="2" t="str">
        <f>IFERROR(VLOOKUP(CONCATENATE(C818,D818),qdd!$C$2:$F$1000,3,FALSE),"")</f>
        <v/>
      </c>
      <c r="G818" s="2" t="str">
        <f>IFERROR(VLOOKUP(CONCATENATE(C818,D818),qdd!$C$2:$F$1000,4,FALSE),"")</f>
        <v/>
      </c>
      <c r="H818" s="6" t="str">
        <f t="shared" si="26"/>
        <v/>
      </c>
      <c r="I8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8" s="2" t="str">
        <f>IFERROR(IF('PREENCHER AQUI'!E818="","",'PREENCHER AQUI'!E818),"")</f>
        <v/>
      </c>
      <c r="K818" s="2" t="str">
        <f>IFERROR(IF('PREENCHER AQUI'!F818="","",'PREENCHER AQUI'!F818),"")</f>
        <v/>
      </c>
      <c r="L818" s="2" t="str">
        <f>IF(Tabela1[[#This Row],[IPU_COD]]=9,"91",IF(Tabela1[[#This Row],[ACAO_COD]]="","",VLOOKUP(CONCATENATE("G",J818,"M",K818),qdd!$BC$2:$BD$46,2,FALSE)))</f>
        <v/>
      </c>
      <c r="M818" s="2" t="str">
        <f>TEXT(IFERROR(VLOOKUP(CONCATENATE(C818,D818),qdd!$C$2:$G$1000,5,FALSE),""),0)</f>
        <v/>
      </c>
      <c r="N818" s="2" t="str">
        <f>IFERROR(IF('PREENCHER AQUI'!I818="","",'PREENCHER AQUI'!I818),"")</f>
        <v/>
      </c>
      <c r="O818" s="2" t="str">
        <f>IFERROR(IF('PREENCHER AQUI'!J818="","",'PREENCHER AQUI'!J818),"")</f>
        <v/>
      </c>
      <c r="P818" s="7" t="str">
        <f t="shared" si="27"/>
        <v/>
      </c>
      <c r="Q818" s="8" t="str">
        <f>IFERROR(IF(Tabela4[[#This Row],[VALOR]]="","",IF(Tabela1[[#This Row],[ORIENTACAO]]="Anular",'PREENCHER AQUI'!K818*-1*100,'PREENCHER AQUI'!K818*100)),"")</f>
        <v/>
      </c>
      <c r="T818" s="7" t="str">
        <f>IFERROR(IF('PREENCHER AQUI'!L818="","999",LEFT('PREENCHER AQUI'!L818,1)),"")</f>
        <v>999</v>
      </c>
      <c r="V818" s="19"/>
      <c r="W818" s="1" t="str">
        <f>IFERROR(VLOOKUP(Tabela1[[#This Row],[UO_COD]],qdd!$AT$1:$AU$102,2,FALSE),"")</f>
        <v/>
      </c>
      <c r="X818" s="1" t="str">
        <f>CONCATENATE("F",Tabela1[[#This Row],[FONTE_COD]],Tabela1[[#This Row],[IPU_COD]],"G",Tabela1[[#This Row],[GRUPO_COD]],"T",Tabela1[[#This Row],[TIPO]])</f>
        <v>FGT999</v>
      </c>
      <c r="Y8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8" s="19"/>
      <c r="AA818" s="29" t="str">
        <f>IFERROR(VLOOKUP(CONCATENATE("B",Tabela1[[#This Row],[BLOCO]],Tabela1[[#This Row],[UO_COD]]),qdd!$AW$2:$AX$1000,2,FALSE),"")</f>
        <v/>
      </c>
      <c r="AB818" s="30" t="str">
        <f>IFERROR(Tabela1[[#This Row],[VALOR]]/100,"")</f>
        <v/>
      </c>
      <c r="AC818" s="7" t="str" cm="1">
        <f t="array" aca="1" ref="AC818" ca="1">IF(Tabela1[[#This Row],[VALOR]]&lt;0,"",IFERROR(SUBSTITUTE(Converter_numero(Tabela1[[#This Row],[VALOR INCISO]]),",",""),""))</f>
        <v/>
      </c>
      <c r="AD818" s="29" t="str">
        <f>IF(Tabela1[[#This Row],[TIPO]]=REGRAS!$W$2,REGRAS!$X$2,IF(Tabela1[[#This Row],[TIPO]]=REGRAS!$W$4,REGRAS!$X$4,""))</f>
        <v/>
      </c>
      <c r="AE818" s="29" t="e">
        <f>VLOOKUP(Tabela1[[#This Row],[FONTE_COD]],REGRAS!$O$2:$P$69,2,FALSE)</f>
        <v>#N/A</v>
      </c>
      <c r="AF8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9" spans="1:32" ht="18.75" customHeight="1">
      <c r="A819" s="2" t="str">
        <f>IFERROR(IF('PREENCHER AQUI'!A819="","",'PREENCHER AQUI'!A819),"")</f>
        <v/>
      </c>
      <c r="B819" s="1" t="str">
        <f>IFERROR(IF('PREENCHER AQUI'!B819="","",PROPER('PREENCHER AQUI'!B819)),"")</f>
        <v/>
      </c>
      <c r="C819" s="1" t="str">
        <f>IFERROR(IF('PREENCHER AQUI'!C819="","",'PREENCHER AQUI'!C819),"")</f>
        <v/>
      </c>
      <c r="D819" s="2" t="str">
        <f>IFERROR(IF('PREENCHER AQUI'!D819="","",'PREENCHER AQUI'!D819),"")</f>
        <v/>
      </c>
      <c r="E819" s="2" t="str">
        <f>IFERROR(VLOOKUP(CONCATENATE(C819,D819),qdd!$C$2:$F$1000,2,FALSE),"")</f>
        <v/>
      </c>
      <c r="F819" s="2" t="str">
        <f>IFERROR(VLOOKUP(CONCATENATE(C819,D819),qdd!$C$2:$F$1000,3,FALSE),"")</f>
        <v/>
      </c>
      <c r="G819" s="2" t="str">
        <f>IFERROR(VLOOKUP(CONCATENATE(C819,D819),qdd!$C$2:$F$1000,4,FALSE),"")</f>
        <v/>
      </c>
      <c r="H819" s="6" t="str">
        <f t="shared" si="26"/>
        <v/>
      </c>
      <c r="I8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9" s="2" t="str">
        <f>IFERROR(IF('PREENCHER AQUI'!E819="","",'PREENCHER AQUI'!E819),"")</f>
        <v/>
      </c>
      <c r="K819" s="2" t="str">
        <f>IFERROR(IF('PREENCHER AQUI'!F819="","",'PREENCHER AQUI'!F819),"")</f>
        <v/>
      </c>
      <c r="L819" s="2" t="str">
        <f>IF(Tabela1[[#This Row],[IPU_COD]]=9,"91",IF(Tabela1[[#This Row],[ACAO_COD]]="","",VLOOKUP(CONCATENATE("G",J819,"M",K819),qdd!$BC$2:$BD$46,2,FALSE)))</f>
        <v/>
      </c>
      <c r="M819" s="2" t="str">
        <f>TEXT(IFERROR(VLOOKUP(CONCATENATE(C819,D819),qdd!$C$2:$G$1000,5,FALSE),""),0)</f>
        <v/>
      </c>
      <c r="N819" s="2" t="str">
        <f>IFERROR(IF('PREENCHER AQUI'!I819="","",'PREENCHER AQUI'!I819),"")</f>
        <v/>
      </c>
      <c r="O819" s="2" t="str">
        <f>IFERROR(IF('PREENCHER AQUI'!J819="","",'PREENCHER AQUI'!J819),"")</f>
        <v/>
      </c>
      <c r="P819" s="7" t="str">
        <f t="shared" si="27"/>
        <v/>
      </c>
      <c r="Q819" s="8" t="str">
        <f>IFERROR(IF(Tabela4[[#This Row],[VALOR]]="","",IF(Tabela1[[#This Row],[ORIENTACAO]]="Anular",'PREENCHER AQUI'!K819*-1*100,'PREENCHER AQUI'!K819*100)),"")</f>
        <v/>
      </c>
      <c r="T819" s="7" t="str">
        <f>IFERROR(IF('PREENCHER AQUI'!L819="","999",LEFT('PREENCHER AQUI'!L819,1)),"")</f>
        <v>999</v>
      </c>
      <c r="V819" s="19"/>
      <c r="W819" s="1" t="str">
        <f>IFERROR(VLOOKUP(Tabela1[[#This Row],[UO_COD]],qdd!$AT$1:$AU$102,2,FALSE),"")</f>
        <v/>
      </c>
      <c r="X819" s="1" t="str">
        <f>CONCATENATE("F",Tabela1[[#This Row],[FONTE_COD]],Tabela1[[#This Row],[IPU_COD]],"G",Tabela1[[#This Row],[GRUPO_COD]],"T",Tabela1[[#This Row],[TIPO]])</f>
        <v>FGT999</v>
      </c>
      <c r="Y8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9" s="19"/>
      <c r="AA819" s="29" t="str">
        <f>IFERROR(VLOOKUP(CONCATENATE("B",Tabela1[[#This Row],[BLOCO]],Tabela1[[#This Row],[UO_COD]]),qdd!$AW$2:$AX$1000,2,FALSE),"")</f>
        <v/>
      </c>
      <c r="AB819" s="30" t="str">
        <f>IFERROR(Tabela1[[#This Row],[VALOR]]/100,"")</f>
        <v/>
      </c>
      <c r="AC819" s="7" t="str" cm="1">
        <f t="array" aca="1" ref="AC819" ca="1">IF(Tabela1[[#This Row],[VALOR]]&lt;0,"",IFERROR(SUBSTITUTE(Converter_numero(Tabela1[[#This Row],[VALOR INCISO]]),",",""),""))</f>
        <v/>
      </c>
      <c r="AD819" s="29" t="str">
        <f>IF(Tabela1[[#This Row],[TIPO]]=REGRAS!$W$2,REGRAS!$X$2,IF(Tabela1[[#This Row],[TIPO]]=REGRAS!$W$4,REGRAS!$X$4,""))</f>
        <v/>
      </c>
      <c r="AE819" s="29" t="e">
        <f>VLOOKUP(Tabela1[[#This Row],[FONTE_COD]],REGRAS!$O$2:$P$69,2,FALSE)</f>
        <v>#N/A</v>
      </c>
      <c r="AF8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0" spans="1:32" ht="18.75" customHeight="1">
      <c r="A820" s="2" t="str">
        <f>IFERROR(IF('PREENCHER AQUI'!A820="","",'PREENCHER AQUI'!A820),"")</f>
        <v/>
      </c>
      <c r="B820" s="1" t="str">
        <f>IFERROR(IF('PREENCHER AQUI'!B820="","",PROPER('PREENCHER AQUI'!B820)),"")</f>
        <v/>
      </c>
      <c r="C820" s="1" t="str">
        <f>IFERROR(IF('PREENCHER AQUI'!C820="","",'PREENCHER AQUI'!C820),"")</f>
        <v/>
      </c>
      <c r="D820" s="2" t="str">
        <f>IFERROR(IF('PREENCHER AQUI'!D820="","",'PREENCHER AQUI'!D820),"")</f>
        <v/>
      </c>
      <c r="E820" s="2" t="str">
        <f>IFERROR(VLOOKUP(CONCATENATE(C820,D820),qdd!$C$2:$F$1000,2,FALSE),"")</f>
        <v/>
      </c>
      <c r="F820" s="2" t="str">
        <f>IFERROR(VLOOKUP(CONCATENATE(C820,D820),qdd!$C$2:$F$1000,3,FALSE),"")</f>
        <v/>
      </c>
      <c r="G820" s="2" t="str">
        <f>IFERROR(VLOOKUP(CONCATENATE(C820,D820),qdd!$C$2:$F$1000,4,FALSE),"")</f>
        <v/>
      </c>
      <c r="H820" s="6" t="str">
        <f t="shared" si="26"/>
        <v/>
      </c>
      <c r="I8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0" s="2" t="str">
        <f>IFERROR(IF('PREENCHER AQUI'!E820="","",'PREENCHER AQUI'!E820),"")</f>
        <v/>
      </c>
      <c r="K820" s="2" t="str">
        <f>IFERROR(IF('PREENCHER AQUI'!F820="","",'PREENCHER AQUI'!F820),"")</f>
        <v/>
      </c>
      <c r="L820" s="2" t="str">
        <f>IF(Tabela1[[#This Row],[IPU_COD]]=9,"91",IF(Tabela1[[#This Row],[ACAO_COD]]="","",VLOOKUP(CONCATENATE("G",J820,"M",K820),qdd!$BC$2:$BD$46,2,FALSE)))</f>
        <v/>
      </c>
      <c r="M820" s="2" t="str">
        <f>TEXT(IFERROR(VLOOKUP(CONCATENATE(C820,D820),qdd!$C$2:$G$1000,5,FALSE),""),0)</f>
        <v/>
      </c>
      <c r="N820" s="2" t="str">
        <f>IFERROR(IF('PREENCHER AQUI'!I820="","",'PREENCHER AQUI'!I820),"")</f>
        <v/>
      </c>
      <c r="O820" s="2" t="str">
        <f>IFERROR(IF('PREENCHER AQUI'!J820="","",'PREENCHER AQUI'!J820),"")</f>
        <v/>
      </c>
      <c r="P820" s="7" t="str">
        <f t="shared" si="27"/>
        <v/>
      </c>
      <c r="Q820" s="8" t="str">
        <f>IFERROR(IF(Tabela4[[#This Row],[VALOR]]="","",IF(Tabela1[[#This Row],[ORIENTACAO]]="Anular",'PREENCHER AQUI'!K820*-1*100,'PREENCHER AQUI'!K820*100)),"")</f>
        <v/>
      </c>
      <c r="T820" s="7" t="str">
        <f>IFERROR(IF('PREENCHER AQUI'!L820="","999",LEFT('PREENCHER AQUI'!L820,1)),"")</f>
        <v>999</v>
      </c>
      <c r="V820" s="19"/>
      <c r="W820" s="20" t="str">
        <f>IFERROR(VLOOKUP(Tabela1[[#This Row],[UO_COD]],qdd!$AT$1:$AU$102,2,FALSE),"")</f>
        <v/>
      </c>
      <c r="X820" s="20" t="str">
        <f>CONCATENATE("F",Tabela1[[#This Row],[FONTE_COD]],Tabela1[[#This Row],[IPU_COD]],"G",Tabela1[[#This Row],[GRUPO_COD]],"T",Tabela1[[#This Row],[TIPO]])</f>
        <v>FGT999</v>
      </c>
      <c r="Y8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0" s="19"/>
      <c r="AA820" s="29" t="str">
        <f>IFERROR(VLOOKUP(CONCATENATE("B",Tabela1[[#This Row],[BLOCO]],Tabela1[[#This Row],[UO_COD]]),qdd!$AW$2:$AX$1000,2,FALSE),"")</f>
        <v/>
      </c>
      <c r="AB820" s="30" t="str">
        <f>IFERROR(Tabela1[[#This Row],[VALOR]]/100,"")</f>
        <v/>
      </c>
      <c r="AC820" s="7" t="str" cm="1">
        <f t="array" aca="1" ref="AC820" ca="1">IF(Tabela1[[#This Row],[VALOR]]&lt;0,"",IFERROR(SUBSTITUTE(Converter_numero(Tabela1[[#This Row],[VALOR INCISO]]),",",""),""))</f>
        <v/>
      </c>
      <c r="AD820" s="29" t="str">
        <f>IF(Tabela1[[#This Row],[TIPO]]=REGRAS!$W$2,REGRAS!$X$2,IF(Tabela1[[#This Row],[TIPO]]=REGRAS!$W$4,REGRAS!$X$4,""))</f>
        <v/>
      </c>
      <c r="AE820" s="29" t="e">
        <f>VLOOKUP(Tabela1[[#This Row],[FONTE_COD]],REGRAS!$O$2:$P$69,2,FALSE)</f>
        <v>#N/A</v>
      </c>
      <c r="AF8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1" spans="1:32" ht="18.75" customHeight="1">
      <c r="A821" s="2" t="str">
        <f>IFERROR(IF('PREENCHER AQUI'!A821="","",'PREENCHER AQUI'!A821),"")</f>
        <v/>
      </c>
      <c r="B821" s="1" t="str">
        <f>IFERROR(IF('PREENCHER AQUI'!B821="","",PROPER('PREENCHER AQUI'!B821)),"")</f>
        <v/>
      </c>
      <c r="C821" s="1" t="str">
        <f>IFERROR(IF('PREENCHER AQUI'!C821="","",'PREENCHER AQUI'!C821),"")</f>
        <v/>
      </c>
      <c r="D821" s="2" t="str">
        <f>IFERROR(IF('PREENCHER AQUI'!D821="","",'PREENCHER AQUI'!D821),"")</f>
        <v/>
      </c>
      <c r="E821" s="2" t="str">
        <f>IFERROR(VLOOKUP(CONCATENATE(C821,D821),qdd!$C$2:$F$1000,2,FALSE),"")</f>
        <v/>
      </c>
      <c r="F821" s="2" t="str">
        <f>IFERROR(VLOOKUP(CONCATENATE(C821,D821),qdd!$C$2:$F$1000,3,FALSE),"")</f>
        <v/>
      </c>
      <c r="G821" s="2" t="str">
        <f>IFERROR(VLOOKUP(CONCATENATE(C821,D821),qdd!$C$2:$F$1000,4,FALSE),"")</f>
        <v/>
      </c>
      <c r="H821" s="6" t="str">
        <f t="shared" si="26"/>
        <v/>
      </c>
      <c r="I8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1" s="2" t="str">
        <f>IFERROR(IF('PREENCHER AQUI'!E821="","",'PREENCHER AQUI'!E821),"")</f>
        <v/>
      </c>
      <c r="K821" s="2" t="str">
        <f>IFERROR(IF('PREENCHER AQUI'!F821="","",'PREENCHER AQUI'!F821),"")</f>
        <v/>
      </c>
      <c r="L821" s="2" t="str">
        <f>IF(Tabela1[[#This Row],[IPU_COD]]=9,"91",IF(Tabela1[[#This Row],[ACAO_COD]]="","",VLOOKUP(CONCATENATE("G",J821,"M",K821),qdd!$BC$2:$BD$46,2,FALSE)))</f>
        <v/>
      </c>
      <c r="M821" s="2" t="str">
        <f>TEXT(IFERROR(VLOOKUP(CONCATENATE(C821,D821),qdd!$C$2:$G$1000,5,FALSE),""),0)</f>
        <v/>
      </c>
      <c r="N821" s="2" t="str">
        <f>IFERROR(IF('PREENCHER AQUI'!I821="","",'PREENCHER AQUI'!I821),"")</f>
        <v/>
      </c>
      <c r="O821" s="2" t="str">
        <f>IFERROR(IF('PREENCHER AQUI'!J821="","",'PREENCHER AQUI'!J821),"")</f>
        <v/>
      </c>
      <c r="P821" s="7" t="str">
        <f t="shared" si="27"/>
        <v/>
      </c>
      <c r="Q821" s="8" t="str">
        <f>IFERROR(IF(Tabela4[[#This Row],[VALOR]]="","",IF(Tabela1[[#This Row],[ORIENTACAO]]="Anular",'PREENCHER AQUI'!K821*-1*100,'PREENCHER AQUI'!K821*100)),"")</f>
        <v/>
      </c>
      <c r="T821" s="7" t="str">
        <f>IFERROR(IF('PREENCHER AQUI'!L821="","999",LEFT('PREENCHER AQUI'!L821,1)),"")</f>
        <v>999</v>
      </c>
      <c r="V821" s="19"/>
      <c r="W821" s="1" t="str">
        <f>IFERROR(VLOOKUP(Tabela1[[#This Row],[UO_COD]],qdd!$AT$1:$AU$102,2,FALSE),"")</f>
        <v/>
      </c>
      <c r="X821" s="1" t="str">
        <f>CONCATENATE("F",Tabela1[[#This Row],[FONTE_COD]],Tabela1[[#This Row],[IPU_COD]],"G",Tabela1[[#This Row],[GRUPO_COD]],"T",Tabela1[[#This Row],[TIPO]])</f>
        <v>FGT999</v>
      </c>
      <c r="Y8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1" s="19"/>
      <c r="AA821" s="29" t="str">
        <f>IFERROR(VLOOKUP(CONCATENATE("B",Tabela1[[#This Row],[BLOCO]],Tabela1[[#This Row],[UO_COD]]),qdd!$AW$2:$AX$1000,2,FALSE),"")</f>
        <v/>
      </c>
      <c r="AB821" s="30" t="str">
        <f>IFERROR(Tabela1[[#This Row],[VALOR]]/100,"")</f>
        <v/>
      </c>
      <c r="AC821" s="7" t="str" cm="1">
        <f t="array" aca="1" ref="AC821" ca="1">IF(Tabela1[[#This Row],[VALOR]]&lt;0,"",IFERROR(SUBSTITUTE(Converter_numero(Tabela1[[#This Row],[VALOR INCISO]]),",",""),""))</f>
        <v/>
      </c>
      <c r="AD821" s="29" t="str">
        <f>IF(Tabela1[[#This Row],[TIPO]]=REGRAS!$W$2,REGRAS!$X$2,IF(Tabela1[[#This Row],[TIPO]]=REGRAS!$W$4,REGRAS!$X$4,""))</f>
        <v/>
      </c>
      <c r="AE821" s="29" t="e">
        <f>VLOOKUP(Tabela1[[#This Row],[FONTE_COD]],REGRAS!$O$2:$P$69,2,FALSE)</f>
        <v>#N/A</v>
      </c>
      <c r="AF8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2" spans="1:32" ht="18.75" customHeight="1">
      <c r="A822" s="2" t="str">
        <f>IFERROR(IF('PREENCHER AQUI'!A822="","",'PREENCHER AQUI'!A822),"")</f>
        <v/>
      </c>
      <c r="B822" s="1" t="str">
        <f>IFERROR(IF('PREENCHER AQUI'!B822="","",PROPER('PREENCHER AQUI'!B822)),"")</f>
        <v/>
      </c>
      <c r="C822" s="1" t="str">
        <f>IFERROR(IF('PREENCHER AQUI'!C822="","",'PREENCHER AQUI'!C822),"")</f>
        <v/>
      </c>
      <c r="D822" s="2" t="str">
        <f>IFERROR(IF('PREENCHER AQUI'!D822="","",'PREENCHER AQUI'!D822),"")</f>
        <v/>
      </c>
      <c r="E822" s="2" t="str">
        <f>IFERROR(VLOOKUP(CONCATENATE(C822,D822),qdd!$C$2:$F$1000,2,FALSE),"")</f>
        <v/>
      </c>
      <c r="F822" s="2" t="str">
        <f>IFERROR(VLOOKUP(CONCATENATE(C822,D822),qdd!$C$2:$F$1000,3,FALSE),"")</f>
        <v/>
      </c>
      <c r="G822" s="2" t="str">
        <f>IFERROR(VLOOKUP(CONCATENATE(C822,D822),qdd!$C$2:$F$1000,4,FALSE),"")</f>
        <v/>
      </c>
      <c r="H822" s="6" t="str">
        <f t="shared" si="26"/>
        <v/>
      </c>
      <c r="I8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2" s="2" t="str">
        <f>IFERROR(IF('PREENCHER AQUI'!E822="","",'PREENCHER AQUI'!E822),"")</f>
        <v/>
      </c>
      <c r="K822" s="2" t="str">
        <f>IFERROR(IF('PREENCHER AQUI'!F822="","",'PREENCHER AQUI'!F822),"")</f>
        <v/>
      </c>
      <c r="L822" s="2" t="str">
        <f>IF(Tabela1[[#This Row],[IPU_COD]]=9,"91",IF(Tabela1[[#This Row],[ACAO_COD]]="","",VLOOKUP(CONCATENATE("G",J822,"M",K822),qdd!$BC$2:$BD$46,2,FALSE)))</f>
        <v/>
      </c>
      <c r="M822" s="2" t="str">
        <f>TEXT(IFERROR(VLOOKUP(CONCATENATE(C822,D822),qdd!$C$2:$G$1000,5,FALSE),""),0)</f>
        <v/>
      </c>
      <c r="N822" s="2" t="str">
        <f>IFERROR(IF('PREENCHER AQUI'!I822="","",'PREENCHER AQUI'!I822),"")</f>
        <v/>
      </c>
      <c r="O822" s="2" t="str">
        <f>IFERROR(IF('PREENCHER AQUI'!J822="","",'PREENCHER AQUI'!J822),"")</f>
        <v/>
      </c>
      <c r="P822" s="7" t="str">
        <f t="shared" si="27"/>
        <v/>
      </c>
      <c r="Q822" s="8" t="str">
        <f>IFERROR(IF(Tabela4[[#This Row],[VALOR]]="","",IF(Tabela1[[#This Row],[ORIENTACAO]]="Anular",'PREENCHER AQUI'!K822*-1*100,'PREENCHER AQUI'!K822*100)),"")</f>
        <v/>
      </c>
      <c r="T822" s="7" t="str">
        <f>IFERROR(IF('PREENCHER AQUI'!L822="","999",LEFT('PREENCHER AQUI'!L822,1)),"")</f>
        <v>999</v>
      </c>
      <c r="W822" s="1" t="str">
        <f>IFERROR(VLOOKUP(Tabela1[[#This Row],[UO_COD]],qdd!$AT$1:$AU$102,2,FALSE),"")</f>
        <v/>
      </c>
      <c r="X822" s="1" t="str">
        <f>CONCATENATE("F",Tabela1[[#This Row],[FONTE_COD]],Tabela1[[#This Row],[IPU_COD]],"G",Tabela1[[#This Row],[GRUPO_COD]],"T",Tabela1[[#This Row],[TIPO]])</f>
        <v>FGT999</v>
      </c>
      <c r="Y8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2" s="19"/>
      <c r="AA822" s="29" t="str">
        <f>IFERROR(VLOOKUP(CONCATENATE("B",Tabela1[[#This Row],[BLOCO]],Tabela1[[#This Row],[UO_COD]]),qdd!$AW$2:$AX$1000,2,FALSE),"")</f>
        <v/>
      </c>
      <c r="AB822" s="30" t="str">
        <f>IFERROR(Tabela1[[#This Row],[VALOR]]/100,"")</f>
        <v/>
      </c>
      <c r="AC822" s="7" t="str" cm="1">
        <f t="array" aca="1" ref="AC822" ca="1">IF(Tabela1[[#This Row],[VALOR]]&lt;0,"",IFERROR(SUBSTITUTE(Converter_numero(Tabela1[[#This Row],[VALOR INCISO]]),",",""),""))</f>
        <v/>
      </c>
      <c r="AD822" s="7" t="str">
        <f>IF(Tabela1[[#This Row],[TIPO]]=REGRAS!$W$2,REGRAS!$X$2,IF(Tabela1[[#This Row],[TIPO]]=REGRAS!$W$4,REGRAS!$X$4,""))</f>
        <v/>
      </c>
      <c r="AE822" s="29" t="e">
        <f>VLOOKUP(Tabela1[[#This Row],[FONTE_COD]],REGRAS!$O$2:$P$69,2,FALSE)</f>
        <v>#N/A</v>
      </c>
      <c r="AF8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3" spans="1:32" ht="18.75" customHeight="1">
      <c r="A823" s="2" t="str">
        <f>IFERROR(IF('PREENCHER AQUI'!A823="","",'PREENCHER AQUI'!A823),"")</f>
        <v/>
      </c>
      <c r="B823" s="1" t="str">
        <f>IFERROR(IF('PREENCHER AQUI'!B823="","",PROPER('PREENCHER AQUI'!B823)),"")</f>
        <v/>
      </c>
      <c r="C823" s="1" t="str">
        <f>IFERROR(IF('PREENCHER AQUI'!C823="","",'PREENCHER AQUI'!C823),"")</f>
        <v/>
      </c>
      <c r="D823" s="2" t="str">
        <f>IFERROR(IF('PREENCHER AQUI'!D823="","",'PREENCHER AQUI'!D823),"")</f>
        <v/>
      </c>
      <c r="E823" s="2" t="str">
        <f>IFERROR(VLOOKUP(CONCATENATE(C823,D823),qdd!$C$2:$F$1000,2,FALSE),"")</f>
        <v/>
      </c>
      <c r="F823" s="2" t="str">
        <f>IFERROR(VLOOKUP(CONCATENATE(C823,D823),qdd!$C$2:$F$1000,3,FALSE),"")</f>
        <v/>
      </c>
      <c r="G823" s="2" t="str">
        <f>IFERROR(VLOOKUP(CONCATENATE(C823,D823),qdd!$C$2:$F$1000,4,FALSE),"")</f>
        <v/>
      </c>
      <c r="H823" s="6" t="str">
        <f t="shared" si="26"/>
        <v/>
      </c>
      <c r="I8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3" s="2" t="str">
        <f>IFERROR(IF('PREENCHER AQUI'!E823="","",'PREENCHER AQUI'!E823),"")</f>
        <v/>
      </c>
      <c r="K823" s="2" t="str">
        <f>IFERROR(IF('PREENCHER AQUI'!F823="","",'PREENCHER AQUI'!F823),"")</f>
        <v/>
      </c>
      <c r="L823" s="2" t="str">
        <f>IF(Tabela1[[#This Row],[IPU_COD]]=9,"91",IF(Tabela1[[#This Row],[ACAO_COD]]="","",VLOOKUP(CONCATENATE("G",J823,"M",K823),qdd!$BC$2:$BD$46,2,FALSE)))</f>
        <v/>
      </c>
      <c r="M823" s="2" t="str">
        <f>TEXT(IFERROR(VLOOKUP(CONCATENATE(C823,D823),qdd!$C$2:$G$1000,5,FALSE),""),0)</f>
        <v/>
      </c>
      <c r="N823" s="2" t="str">
        <f>IFERROR(IF('PREENCHER AQUI'!I823="","",'PREENCHER AQUI'!I823),"")</f>
        <v/>
      </c>
      <c r="O823" s="2" t="str">
        <f>IFERROR(IF('PREENCHER AQUI'!J823="","",'PREENCHER AQUI'!J823),"")</f>
        <v/>
      </c>
      <c r="P823" s="7" t="str">
        <f t="shared" si="27"/>
        <v/>
      </c>
      <c r="Q823" s="8" t="str">
        <f>IFERROR(IF(Tabela4[[#This Row],[VALOR]]="","",IF(Tabela1[[#This Row],[ORIENTACAO]]="Anular",'PREENCHER AQUI'!K823*-1*100,'PREENCHER AQUI'!K823*100)),"")</f>
        <v/>
      </c>
      <c r="T823" s="7" t="str">
        <f>IFERROR(IF('PREENCHER AQUI'!L823="","999",LEFT('PREENCHER AQUI'!L823,1)),"")</f>
        <v>999</v>
      </c>
      <c r="V823" s="19"/>
      <c r="W823" s="1" t="str">
        <f>IFERROR(VLOOKUP(Tabela1[[#This Row],[UO_COD]],qdd!$AT$1:$AU$102,2,FALSE),"")</f>
        <v/>
      </c>
      <c r="X823" s="1" t="str">
        <f>CONCATENATE("F",Tabela1[[#This Row],[FONTE_COD]],Tabela1[[#This Row],[IPU_COD]],"G",Tabela1[[#This Row],[GRUPO_COD]],"T",Tabela1[[#This Row],[TIPO]])</f>
        <v>FGT999</v>
      </c>
      <c r="Y8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3" s="19"/>
      <c r="AA823" s="29" t="str">
        <f>IFERROR(VLOOKUP(CONCATENATE("B",Tabela1[[#This Row],[BLOCO]],Tabela1[[#This Row],[UO_COD]]),qdd!$AW$2:$AX$1000,2,FALSE),"")</f>
        <v/>
      </c>
      <c r="AB823" s="30" t="str">
        <f>IFERROR(Tabela1[[#This Row],[VALOR]]/100,"")</f>
        <v/>
      </c>
      <c r="AC823" s="7" t="str" cm="1">
        <f t="array" aca="1" ref="AC823" ca="1">IF(Tabela1[[#This Row],[VALOR]]&lt;0,"",IFERROR(SUBSTITUTE(Converter_numero(Tabela1[[#This Row],[VALOR INCISO]]),",",""),""))</f>
        <v/>
      </c>
      <c r="AD823" s="29" t="str">
        <f>IF(Tabela1[[#This Row],[TIPO]]=REGRAS!$W$2,REGRAS!$X$2,IF(Tabela1[[#This Row],[TIPO]]=REGRAS!$W$4,REGRAS!$X$4,""))</f>
        <v/>
      </c>
      <c r="AE823" s="29" t="e">
        <f>VLOOKUP(Tabela1[[#This Row],[FONTE_COD]],REGRAS!$O$2:$P$69,2,FALSE)</f>
        <v>#N/A</v>
      </c>
      <c r="AF8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4" spans="1:32" ht="18.75" customHeight="1">
      <c r="A824" s="2" t="str">
        <f>IFERROR(IF('PREENCHER AQUI'!A824="","",'PREENCHER AQUI'!A824),"")</f>
        <v/>
      </c>
      <c r="B824" s="1" t="str">
        <f>IFERROR(IF('PREENCHER AQUI'!B824="","",PROPER('PREENCHER AQUI'!B824)),"")</f>
        <v/>
      </c>
      <c r="C824" s="1" t="str">
        <f>IFERROR(IF('PREENCHER AQUI'!C824="","",'PREENCHER AQUI'!C824),"")</f>
        <v/>
      </c>
      <c r="D824" s="2" t="str">
        <f>IFERROR(IF('PREENCHER AQUI'!D824="","",'PREENCHER AQUI'!D824),"")</f>
        <v/>
      </c>
      <c r="E824" s="2" t="str">
        <f>IFERROR(VLOOKUP(CONCATENATE(C824,D824),qdd!$C$2:$F$1000,2,FALSE),"")</f>
        <v/>
      </c>
      <c r="F824" s="2" t="str">
        <f>IFERROR(VLOOKUP(CONCATENATE(C824,D824),qdd!$C$2:$F$1000,3,FALSE),"")</f>
        <v/>
      </c>
      <c r="G824" s="2" t="str">
        <f>IFERROR(VLOOKUP(CONCATENATE(C824,D824),qdd!$C$2:$F$1000,4,FALSE),"")</f>
        <v/>
      </c>
      <c r="H824" s="6" t="str">
        <f t="shared" si="26"/>
        <v/>
      </c>
      <c r="I8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4" s="2" t="str">
        <f>IFERROR(IF('PREENCHER AQUI'!E824="","",'PREENCHER AQUI'!E824),"")</f>
        <v/>
      </c>
      <c r="K824" s="2" t="str">
        <f>IFERROR(IF('PREENCHER AQUI'!F824="","",'PREENCHER AQUI'!F824),"")</f>
        <v/>
      </c>
      <c r="L824" s="2" t="str">
        <f>IF(Tabela1[[#This Row],[IPU_COD]]=9,"91",IF(Tabela1[[#This Row],[ACAO_COD]]="","",VLOOKUP(CONCATENATE("G",J824,"M",K824),qdd!$BC$2:$BD$46,2,FALSE)))</f>
        <v/>
      </c>
      <c r="M824" s="2" t="str">
        <f>TEXT(IFERROR(VLOOKUP(CONCATENATE(C824,D824),qdd!$C$2:$G$1000,5,FALSE),""),0)</f>
        <v/>
      </c>
      <c r="N824" s="2" t="str">
        <f>IFERROR(IF('PREENCHER AQUI'!I824="","",'PREENCHER AQUI'!I824),"")</f>
        <v/>
      </c>
      <c r="O824" s="2" t="str">
        <f>IFERROR(IF('PREENCHER AQUI'!J824="","",'PREENCHER AQUI'!J824),"")</f>
        <v/>
      </c>
      <c r="P824" s="7" t="str">
        <f t="shared" si="27"/>
        <v/>
      </c>
      <c r="Q824" s="8" t="str">
        <f>IFERROR(IF(Tabela4[[#This Row],[VALOR]]="","",IF(Tabela1[[#This Row],[ORIENTACAO]]="Anular",'PREENCHER AQUI'!K824*-1*100,'PREENCHER AQUI'!K824*100)),"")</f>
        <v/>
      </c>
      <c r="T824" s="7" t="str">
        <f>IFERROR(IF('PREENCHER AQUI'!L824="","999",LEFT('PREENCHER AQUI'!L824,1)),"")</f>
        <v>999</v>
      </c>
      <c r="V824" s="19"/>
      <c r="W824" s="1" t="str">
        <f>IFERROR(VLOOKUP(Tabela1[[#This Row],[UO_COD]],qdd!$AT$1:$AU$102,2,FALSE),"")</f>
        <v/>
      </c>
      <c r="X824" s="1" t="str">
        <f>CONCATENATE("F",Tabela1[[#This Row],[FONTE_COD]],Tabela1[[#This Row],[IPU_COD]],"G",Tabela1[[#This Row],[GRUPO_COD]],"T",Tabela1[[#This Row],[TIPO]])</f>
        <v>FGT999</v>
      </c>
      <c r="Y8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4" s="19"/>
      <c r="AA824" s="29" t="str">
        <f>IFERROR(VLOOKUP(CONCATENATE("B",Tabela1[[#This Row],[BLOCO]],Tabela1[[#This Row],[UO_COD]]),qdd!$AW$2:$AX$1000,2,FALSE),"")</f>
        <v/>
      </c>
      <c r="AB824" s="30" t="str">
        <f>IFERROR(Tabela1[[#This Row],[VALOR]]/100,"")</f>
        <v/>
      </c>
      <c r="AC824" s="7" t="str" cm="1">
        <f t="array" aca="1" ref="AC824" ca="1">IF(Tabela1[[#This Row],[VALOR]]&lt;0,"",IFERROR(SUBSTITUTE(Converter_numero(Tabela1[[#This Row],[VALOR INCISO]]),",",""),""))</f>
        <v/>
      </c>
      <c r="AD824" s="29" t="str">
        <f>IF(Tabela1[[#This Row],[TIPO]]=REGRAS!$W$2,REGRAS!$X$2,IF(Tabela1[[#This Row],[TIPO]]=REGRAS!$W$4,REGRAS!$X$4,""))</f>
        <v/>
      </c>
      <c r="AE824" s="29" t="e">
        <f>VLOOKUP(Tabela1[[#This Row],[FONTE_COD]],REGRAS!$O$2:$P$69,2,FALSE)</f>
        <v>#N/A</v>
      </c>
      <c r="AF8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5" spans="1:32" ht="18.75" customHeight="1">
      <c r="A825" s="2" t="str">
        <f>IFERROR(IF('PREENCHER AQUI'!A825="","",'PREENCHER AQUI'!A825),"")</f>
        <v/>
      </c>
      <c r="B825" s="1" t="str">
        <f>IFERROR(IF('PREENCHER AQUI'!B825="","",PROPER('PREENCHER AQUI'!B825)),"")</f>
        <v/>
      </c>
      <c r="C825" s="1" t="str">
        <f>IFERROR(IF('PREENCHER AQUI'!C825="","",'PREENCHER AQUI'!C825),"")</f>
        <v/>
      </c>
      <c r="D825" s="2" t="str">
        <f>IFERROR(IF('PREENCHER AQUI'!D825="","",'PREENCHER AQUI'!D825),"")</f>
        <v/>
      </c>
      <c r="E825" s="2" t="str">
        <f>IFERROR(VLOOKUP(CONCATENATE(C825,D825),qdd!$C$2:$F$1000,2,FALSE),"")</f>
        <v/>
      </c>
      <c r="F825" s="2" t="str">
        <f>IFERROR(VLOOKUP(CONCATENATE(C825,D825),qdd!$C$2:$F$1000,3,FALSE),"")</f>
        <v/>
      </c>
      <c r="G825" s="2" t="str">
        <f>IFERROR(VLOOKUP(CONCATENATE(C825,D825),qdd!$C$2:$F$1000,4,FALSE),"")</f>
        <v/>
      </c>
      <c r="H825" s="6" t="str">
        <f t="shared" si="26"/>
        <v/>
      </c>
      <c r="I8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5" s="2" t="str">
        <f>IFERROR(IF('PREENCHER AQUI'!E825="","",'PREENCHER AQUI'!E825),"")</f>
        <v/>
      </c>
      <c r="K825" s="2" t="str">
        <f>IFERROR(IF('PREENCHER AQUI'!F825="","",'PREENCHER AQUI'!F825),"")</f>
        <v/>
      </c>
      <c r="L825" s="2" t="str">
        <f>IF(Tabela1[[#This Row],[IPU_COD]]=9,"91",IF(Tabela1[[#This Row],[ACAO_COD]]="","",VLOOKUP(CONCATENATE("G",J825,"M",K825),qdd!$BC$2:$BD$46,2,FALSE)))</f>
        <v/>
      </c>
      <c r="M825" s="2" t="str">
        <f>TEXT(IFERROR(VLOOKUP(CONCATENATE(C825,D825),qdd!$C$2:$G$1000,5,FALSE),""),0)</f>
        <v/>
      </c>
      <c r="N825" s="2" t="str">
        <f>IFERROR(IF('PREENCHER AQUI'!I825="","",'PREENCHER AQUI'!I825),"")</f>
        <v/>
      </c>
      <c r="O825" s="2" t="str">
        <f>IFERROR(IF('PREENCHER AQUI'!J825="","",'PREENCHER AQUI'!J825),"")</f>
        <v/>
      </c>
      <c r="P825" s="7" t="str">
        <f t="shared" si="27"/>
        <v/>
      </c>
      <c r="Q825" s="8" t="str">
        <f>IFERROR(IF(Tabela4[[#This Row],[VALOR]]="","",IF(Tabela1[[#This Row],[ORIENTACAO]]="Anular",'PREENCHER AQUI'!K825*-1*100,'PREENCHER AQUI'!K825*100)),"")</f>
        <v/>
      </c>
      <c r="T825" s="7" t="str">
        <f>IFERROR(IF('PREENCHER AQUI'!L825="","999",LEFT('PREENCHER AQUI'!L825,1)),"")</f>
        <v>999</v>
      </c>
      <c r="V825" s="19"/>
      <c r="W825" s="20" t="str">
        <f>IFERROR(VLOOKUP(Tabela1[[#This Row],[UO_COD]],qdd!$AT$1:$AU$102,2,FALSE),"")</f>
        <v/>
      </c>
      <c r="X825" s="20" t="str">
        <f>CONCATENATE("F",Tabela1[[#This Row],[FONTE_COD]],Tabela1[[#This Row],[IPU_COD]],"G",Tabela1[[#This Row],[GRUPO_COD]],"T",Tabela1[[#This Row],[TIPO]])</f>
        <v>FGT999</v>
      </c>
      <c r="Y8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5" s="19"/>
      <c r="AA825" s="29" t="str">
        <f>IFERROR(VLOOKUP(CONCATENATE("B",Tabela1[[#This Row],[BLOCO]],Tabela1[[#This Row],[UO_COD]]),qdd!$AW$2:$AX$1000,2,FALSE),"")</f>
        <v/>
      </c>
      <c r="AB825" s="30" t="str">
        <f>IFERROR(Tabela1[[#This Row],[VALOR]]/100,"")</f>
        <v/>
      </c>
      <c r="AC825" s="7" t="str" cm="1">
        <f t="array" aca="1" ref="AC825" ca="1">IF(Tabela1[[#This Row],[VALOR]]&lt;0,"",IFERROR(SUBSTITUTE(Converter_numero(Tabela1[[#This Row],[VALOR INCISO]]),",",""),""))</f>
        <v/>
      </c>
      <c r="AD825" s="29" t="str">
        <f>IF(Tabela1[[#This Row],[TIPO]]=REGRAS!$W$2,REGRAS!$X$2,IF(Tabela1[[#This Row],[TIPO]]=REGRAS!$W$4,REGRAS!$X$4,""))</f>
        <v/>
      </c>
      <c r="AE825" s="29" t="e">
        <f>VLOOKUP(Tabela1[[#This Row],[FONTE_COD]],REGRAS!$O$2:$P$69,2,FALSE)</f>
        <v>#N/A</v>
      </c>
      <c r="AF8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6" spans="1:32" ht="18.75" customHeight="1">
      <c r="A826" s="2" t="str">
        <f>IFERROR(IF('PREENCHER AQUI'!A826="","",'PREENCHER AQUI'!A826),"")</f>
        <v/>
      </c>
      <c r="B826" s="1" t="str">
        <f>IFERROR(IF('PREENCHER AQUI'!B826="","",PROPER('PREENCHER AQUI'!B826)),"")</f>
        <v/>
      </c>
      <c r="C826" s="1" t="str">
        <f>IFERROR(IF('PREENCHER AQUI'!C826="","",'PREENCHER AQUI'!C826),"")</f>
        <v/>
      </c>
      <c r="D826" s="2" t="str">
        <f>IFERROR(IF('PREENCHER AQUI'!D826="","",'PREENCHER AQUI'!D826),"")</f>
        <v/>
      </c>
      <c r="E826" s="2" t="str">
        <f>IFERROR(VLOOKUP(CONCATENATE(C826,D826),qdd!$C$2:$F$1000,2,FALSE),"")</f>
        <v/>
      </c>
      <c r="F826" s="2" t="str">
        <f>IFERROR(VLOOKUP(CONCATENATE(C826,D826),qdd!$C$2:$F$1000,3,FALSE),"")</f>
        <v/>
      </c>
      <c r="G826" s="2" t="str">
        <f>IFERROR(VLOOKUP(CONCATENATE(C826,D826),qdd!$C$2:$F$1000,4,FALSE),"")</f>
        <v/>
      </c>
      <c r="H826" s="6" t="str">
        <f t="shared" si="26"/>
        <v/>
      </c>
      <c r="I8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6" s="2" t="str">
        <f>IFERROR(IF('PREENCHER AQUI'!E826="","",'PREENCHER AQUI'!E826),"")</f>
        <v/>
      </c>
      <c r="K826" s="2" t="str">
        <f>IFERROR(IF('PREENCHER AQUI'!F826="","",'PREENCHER AQUI'!F826),"")</f>
        <v/>
      </c>
      <c r="L826" s="2" t="str">
        <f>IF(Tabela1[[#This Row],[IPU_COD]]=9,"91",IF(Tabela1[[#This Row],[ACAO_COD]]="","",VLOOKUP(CONCATENATE("G",J826,"M",K826),qdd!$BC$2:$BD$46,2,FALSE)))</f>
        <v/>
      </c>
      <c r="M826" s="2" t="str">
        <f>TEXT(IFERROR(VLOOKUP(CONCATENATE(C826,D826),qdd!$C$2:$G$1000,5,FALSE),""),0)</f>
        <v/>
      </c>
      <c r="N826" s="2" t="str">
        <f>IFERROR(IF('PREENCHER AQUI'!I826="","",'PREENCHER AQUI'!I826),"")</f>
        <v/>
      </c>
      <c r="O826" s="2" t="str">
        <f>IFERROR(IF('PREENCHER AQUI'!J826="","",'PREENCHER AQUI'!J826),"")</f>
        <v/>
      </c>
      <c r="P826" s="7" t="str">
        <f t="shared" si="27"/>
        <v/>
      </c>
      <c r="Q826" s="8" t="str">
        <f>IFERROR(IF(Tabela4[[#This Row],[VALOR]]="","",IF(Tabela1[[#This Row],[ORIENTACAO]]="Anular",'PREENCHER AQUI'!K826*-1*100,'PREENCHER AQUI'!K826*100)),"")</f>
        <v/>
      </c>
      <c r="T826" s="7" t="str">
        <f>IFERROR(IF('PREENCHER AQUI'!L826="","999",LEFT('PREENCHER AQUI'!L826,1)),"")</f>
        <v>999</v>
      </c>
      <c r="V826" s="19"/>
      <c r="W826" s="1" t="str">
        <f>IFERROR(VLOOKUP(Tabela1[[#This Row],[UO_COD]],qdd!$AT$1:$AU$102,2,FALSE),"")</f>
        <v/>
      </c>
      <c r="X826" s="1" t="str">
        <f>CONCATENATE("F",Tabela1[[#This Row],[FONTE_COD]],Tabela1[[#This Row],[IPU_COD]],"G",Tabela1[[#This Row],[GRUPO_COD]],"T",Tabela1[[#This Row],[TIPO]])</f>
        <v>FGT999</v>
      </c>
      <c r="Y8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6" s="19"/>
      <c r="AA826" s="29" t="str">
        <f>IFERROR(VLOOKUP(CONCATENATE("B",Tabela1[[#This Row],[BLOCO]],Tabela1[[#This Row],[UO_COD]]),qdd!$AW$2:$AX$1000,2,FALSE),"")</f>
        <v/>
      </c>
      <c r="AB826" s="30" t="str">
        <f>IFERROR(Tabela1[[#This Row],[VALOR]]/100,"")</f>
        <v/>
      </c>
      <c r="AC826" s="7" t="str" cm="1">
        <f t="array" aca="1" ref="AC826" ca="1">IF(Tabela1[[#This Row],[VALOR]]&lt;0,"",IFERROR(SUBSTITUTE(Converter_numero(Tabela1[[#This Row],[VALOR INCISO]]),",",""),""))</f>
        <v/>
      </c>
      <c r="AD826" s="29" t="str">
        <f>IF(Tabela1[[#This Row],[TIPO]]=REGRAS!$W$2,REGRAS!$X$2,IF(Tabela1[[#This Row],[TIPO]]=REGRAS!$W$4,REGRAS!$X$4,""))</f>
        <v/>
      </c>
      <c r="AE826" s="29" t="e">
        <f>VLOOKUP(Tabela1[[#This Row],[FONTE_COD]],REGRAS!$O$2:$P$69,2,FALSE)</f>
        <v>#N/A</v>
      </c>
      <c r="AF8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7" spans="1:32" ht="18.75" customHeight="1">
      <c r="A827" s="2" t="str">
        <f>IFERROR(IF('PREENCHER AQUI'!A827="","",'PREENCHER AQUI'!A827),"")</f>
        <v/>
      </c>
      <c r="B827" s="1" t="str">
        <f>IFERROR(IF('PREENCHER AQUI'!B827="","",PROPER('PREENCHER AQUI'!B827)),"")</f>
        <v/>
      </c>
      <c r="C827" s="1" t="str">
        <f>IFERROR(IF('PREENCHER AQUI'!C827="","",'PREENCHER AQUI'!C827),"")</f>
        <v/>
      </c>
      <c r="D827" s="2" t="str">
        <f>IFERROR(IF('PREENCHER AQUI'!D827="","",'PREENCHER AQUI'!D827),"")</f>
        <v/>
      </c>
      <c r="E827" s="2" t="str">
        <f>IFERROR(VLOOKUP(CONCATENATE(C827,D827),qdd!$C$2:$F$1000,2,FALSE),"")</f>
        <v/>
      </c>
      <c r="F827" s="2" t="str">
        <f>IFERROR(VLOOKUP(CONCATENATE(C827,D827),qdd!$C$2:$F$1000,3,FALSE),"")</f>
        <v/>
      </c>
      <c r="G827" s="2" t="str">
        <f>IFERROR(VLOOKUP(CONCATENATE(C827,D827),qdd!$C$2:$F$1000,4,FALSE),"")</f>
        <v/>
      </c>
      <c r="H827" s="6" t="str">
        <f t="shared" si="26"/>
        <v/>
      </c>
      <c r="I8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7" s="2" t="str">
        <f>IFERROR(IF('PREENCHER AQUI'!E827="","",'PREENCHER AQUI'!E827),"")</f>
        <v/>
      </c>
      <c r="K827" s="2" t="str">
        <f>IFERROR(IF('PREENCHER AQUI'!F827="","",'PREENCHER AQUI'!F827),"")</f>
        <v/>
      </c>
      <c r="L827" s="2" t="str">
        <f>IF(Tabela1[[#This Row],[IPU_COD]]=9,"91",IF(Tabela1[[#This Row],[ACAO_COD]]="","",VLOOKUP(CONCATENATE("G",J827,"M",K827),qdd!$BC$2:$BD$46,2,FALSE)))</f>
        <v/>
      </c>
      <c r="M827" s="2" t="str">
        <f>TEXT(IFERROR(VLOOKUP(CONCATENATE(C827,D827),qdd!$C$2:$G$1000,5,FALSE),""),0)</f>
        <v/>
      </c>
      <c r="N827" s="2" t="str">
        <f>IFERROR(IF('PREENCHER AQUI'!I827="","",'PREENCHER AQUI'!I827),"")</f>
        <v/>
      </c>
      <c r="O827" s="2" t="str">
        <f>IFERROR(IF('PREENCHER AQUI'!J827="","",'PREENCHER AQUI'!J827),"")</f>
        <v/>
      </c>
      <c r="P827" s="7" t="str">
        <f t="shared" si="27"/>
        <v/>
      </c>
      <c r="Q827" s="8" t="str">
        <f>IFERROR(IF(Tabela4[[#This Row],[VALOR]]="","",IF(Tabela1[[#This Row],[ORIENTACAO]]="Anular",'PREENCHER AQUI'!K827*-1*100,'PREENCHER AQUI'!K827*100)),"")</f>
        <v/>
      </c>
      <c r="T827" s="7" t="str">
        <f>IFERROR(IF('PREENCHER AQUI'!L827="","999",LEFT('PREENCHER AQUI'!L827,1)),"")</f>
        <v>999</v>
      </c>
      <c r="W827" s="1" t="str">
        <f>IFERROR(VLOOKUP(Tabela1[[#This Row],[UO_COD]],qdd!$AT$1:$AU$102,2,FALSE),"")</f>
        <v/>
      </c>
      <c r="X827" s="1" t="str">
        <f>CONCATENATE("F",Tabela1[[#This Row],[FONTE_COD]],Tabela1[[#This Row],[IPU_COD]],"G",Tabela1[[#This Row],[GRUPO_COD]],"T",Tabela1[[#This Row],[TIPO]])</f>
        <v>FGT999</v>
      </c>
      <c r="Y8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7" s="19"/>
      <c r="AA827" s="29" t="str">
        <f>IFERROR(VLOOKUP(CONCATENATE("B",Tabela1[[#This Row],[BLOCO]],Tabela1[[#This Row],[UO_COD]]),qdd!$AW$2:$AX$1000,2,FALSE),"")</f>
        <v/>
      </c>
      <c r="AB827" s="30" t="str">
        <f>IFERROR(Tabela1[[#This Row],[VALOR]]/100,"")</f>
        <v/>
      </c>
      <c r="AC827" s="7" t="str" cm="1">
        <f t="array" aca="1" ref="AC827" ca="1">IF(Tabela1[[#This Row],[VALOR]]&lt;0,"",IFERROR(SUBSTITUTE(Converter_numero(Tabela1[[#This Row],[VALOR INCISO]]),",",""),""))</f>
        <v/>
      </c>
      <c r="AD827" s="7" t="str">
        <f>IF(Tabela1[[#This Row],[TIPO]]=REGRAS!$W$2,REGRAS!$X$2,IF(Tabela1[[#This Row],[TIPO]]=REGRAS!$W$4,REGRAS!$X$4,""))</f>
        <v/>
      </c>
      <c r="AE827" s="29" t="e">
        <f>VLOOKUP(Tabela1[[#This Row],[FONTE_COD]],REGRAS!$O$2:$P$69,2,FALSE)</f>
        <v>#N/A</v>
      </c>
      <c r="AF8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8" spans="1:32" ht="18.75" customHeight="1">
      <c r="A828" s="2" t="str">
        <f>IFERROR(IF('PREENCHER AQUI'!A828="","",'PREENCHER AQUI'!A828),"")</f>
        <v/>
      </c>
      <c r="B828" s="1" t="str">
        <f>IFERROR(IF('PREENCHER AQUI'!B828="","",PROPER('PREENCHER AQUI'!B828)),"")</f>
        <v/>
      </c>
      <c r="C828" s="1" t="str">
        <f>IFERROR(IF('PREENCHER AQUI'!C828="","",'PREENCHER AQUI'!C828),"")</f>
        <v/>
      </c>
      <c r="D828" s="2" t="str">
        <f>IFERROR(IF('PREENCHER AQUI'!D828="","",'PREENCHER AQUI'!D828),"")</f>
        <v/>
      </c>
      <c r="E828" s="2" t="str">
        <f>IFERROR(VLOOKUP(CONCATENATE(C828,D828),qdd!$C$2:$F$1000,2,FALSE),"")</f>
        <v/>
      </c>
      <c r="F828" s="2" t="str">
        <f>IFERROR(VLOOKUP(CONCATENATE(C828,D828),qdd!$C$2:$F$1000,3,FALSE),"")</f>
        <v/>
      </c>
      <c r="G828" s="2" t="str">
        <f>IFERROR(VLOOKUP(CONCATENATE(C828,D828),qdd!$C$2:$F$1000,4,FALSE),"")</f>
        <v/>
      </c>
      <c r="H828" s="6" t="str">
        <f t="shared" si="26"/>
        <v/>
      </c>
      <c r="I8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8" s="2" t="str">
        <f>IFERROR(IF('PREENCHER AQUI'!E828="","",'PREENCHER AQUI'!E828),"")</f>
        <v/>
      </c>
      <c r="K828" s="2" t="str">
        <f>IFERROR(IF('PREENCHER AQUI'!F828="","",'PREENCHER AQUI'!F828),"")</f>
        <v/>
      </c>
      <c r="L828" s="2" t="str">
        <f>IF(Tabela1[[#This Row],[IPU_COD]]=9,"91",IF(Tabela1[[#This Row],[ACAO_COD]]="","",VLOOKUP(CONCATENATE("G",J828,"M",K828),qdd!$BC$2:$BD$46,2,FALSE)))</f>
        <v/>
      </c>
      <c r="M828" s="2" t="str">
        <f>TEXT(IFERROR(VLOOKUP(CONCATENATE(C828,D828),qdd!$C$2:$G$1000,5,FALSE),""),0)</f>
        <v/>
      </c>
      <c r="N828" s="2" t="str">
        <f>IFERROR(IF('PREENCHER AQUI'!I828="","",'PREENCHER AQUI'!I828),"")</f>
        <v/>
      </c>
      <c r="O828" s="2" t="str">
        <f>IFERROR(IF('PREENCHER AQUI'!J828="","",'PREENCHER AQUI'!J828),"")</f>
        <v/>
      </c>
      <c r="P828" s="7" t="str">
        <f t="shared" si="27"/>
        <v/>
      </c>
      <c r="Q828" s="8" t="str">
        <f>IFERROR(IF(Tabela4[[#This Row],[VALOR]]="","",IF(Tabela1[[#This Row],[ORIENTACAO]]="Anular",'PREENCHER AQUI'!K828*-1*100,'PREENCHER AQUI'!K828*100)),"")</f>
        <v/>
      </c>
      <c r="T828" s="7" t="str">
        <f>IFERROR(IF('PREENCHER AQUI'!L828="","999",LEFT('PREENCHER AQUI'!L828,1)),"")</f>
        <v>999</v>
      </c>
      <c r="V828" s="19"/>
      <c r="W828" s="1" t="str">
        <f>IFERROR(VLOOKUP(Tabela1[[#This Row],[UO_COD]],qdd!$AT$1:$AU$102,2,FALSE),"")</f>
        <v/>
      </c>
      <c r="X828" s="1" t="str">
        <f>CONCATENATE("F",Tabela1[[#This Row],[FONTE_COD]],Tabela1[[#This Row],[IPU_COD]],"G",Tabela1[[#This Row],[GRUPO_COD]],"T",Tabela1[[#This Row],[TIPO]])</f>
        <v>FGT999</v>
      </c>
      <c r="Y8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8" s="19"/>
      <c r="AA828" s="29" t="str">
        <f>IFERROR(VLOOKUP(CONCATENATE("B",Tabela1[[#This Row],[BLOCO]],Tabela1[[#This Row],[UO_COD]]),qdd!$AW$2:$AX$1000,2,FALSE),"")</f>
        <v/>
      </c>
      <c r="AB828" s="30" t="str">
        <f>IFERROR(Tabela1[[#This Row],[VALOR]]/100,"")</f>
        <v/>
      </c>
      <c r="AC828" s="7" t="str" cm="1">
        <f t="array" aca="1" ref="AC828" ca="1">IF(Tabela1[[#This Row],[VALOR]]&lt;0,"",IFERROR(SUBSTITUTE(Converter_numero(Tabela1[[#This Row],[VALOR INCISO]]),",",""),""))</f>
        <v/>
      </c>
      <c r="AD828" s="29" t="str">
        <f>IF(Tabela1[[#This Row],[TIPO]]=REGRAS!$W$2,REGRAS!$X$2,IF(Tabela1[[#This Row],[TIPO]]=REGRAS!$W$4,REGRAS!$X$4,""))</f>
        <v/>
      </c>
      <c r="AE828" s="29" t="e">
        <f>VLOOKUP(Tabela1[[#This Row],[FONTE_COD]],REGRAS!$O$2:$P$69,2,FALSE)</f>
        <v>#N/A</v>
      </c>
      <c r="AF8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9" spans="1:32" ht="18.75" customHeight="1">
      <c r="A829" s="2" t="str">
        <f>IFERROR(IF('PREENCHER AQUI'!A829="","",'PREENCHER AQUI'!A829),"")</f>
        <v/>
      </c>
      <c r="B829" s="1" t="str">
        <f>IFERROR(IF('PREENCHER AQUI'!B829="","",PROPER('PREENCHER AQUI'!B829)),"")</f>
        <v/>
      </c>
      <c r="C829" s="1" t="str">
        <f>IFERROR(IF('PREENCHER AQUI'!C829="","",'PREENCHER AQUI'!C829),"")</f>
        <v/>
      </c>
      <c r="D829" s="2" t="str">
        <f>IFERROR(IF('PREENCHER AQUI'!D829="","",'PREENCHER AQUI'!D829),"")</f>
        <v/>
      </c>
      <c r="E829" s="2" t="str">
        <f>IFERROR(VLOOKUP(CONCATENATE(C829,D829),qdd!$C$2:$F$1000,2,FALSE),"")</f>
        <v/>
      </c>
      <c r="F829" s="2" t="str">
        <f>IFERROR(VLOOKUP(CONCATENATE(C829,D829),qdd!$C$2:$F$1000,3,FALSE),"")</f>
        <v/>
      </c>
      <c r="G829" s="2" t="str">
        <f>IFERROR(VLOOKUP(CONCATENATE(C829,D829),qdd!$C$2:$F$1000,4,FALSE),"")</f>
        <v/>
      </c>
      <c r="H829" s="6" t="str">
        <f t="shared" si="26"/>
        <v/>
      </c>
      <c r="I8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9" s="2" t="str">
        <f>IFERROR(IF('PREENCHER AQUI'!E829="","",'PREENCHER AQUI'!E829),"")</f>
        <v/>
      </c>
      <c r="K829" s="2" t="str">
        <f>IFERROR(IF('PREENCHER AQUI'!F829="","",'PREENCHER AQUI'!F829),"")</f>
        <v/>
      </c>
      <c r="L829" s="2" t="str">
        <f>IF(Tabela1[[#This Row],[IPU_COD]]=9,"91",IF(Tabela1[[#This Row],[ACAO_COD]]="","",VLOOKUP(CONCATENATE("G",J829,"M",K829),qdd!$BC$2:$BD$46,2,FALSE)))</f>
        <v/>
      </c>
      <c r="M829" s="2" t="str">
        <f>TEXT(IFERROR(VLOOKUP(CONCATENATE(C829,D829),qdd!$C$2:$G$1000,5,FALSE),""),0)</f>
        <v/>
      </c>
      <c r="N829" s="2" t="str">
        <f>IFERROR(IF('PREENCHER AQUI'!I829="","",'PREENCHER AQUI'!I829),"")</f>
        <v/>
      </c>
      <c r="O829" s="2" t="str">
        <f>IFERROR(IF('PREENCHER AQUI'!J829="","",'PREENCHER AQUI'!J829),"")</f>
        <v/>
      </c>
      <c r="P829" s="7" t="str">
        <f t="shared" si="27"/>
        <v/>
      </c>
      <c r="Q829" s="8" t="str">
        <f>IFERROR(IF(Tabela4[[#This Row],[VALOR]]="","",IF(Tabela1[[#This Row],[ORIENTACAO]]="Anular",'PREENCHER AQUI'!K829*-1*100,'PREENCHER AQUI'!K829*100)),"")</f>
        <v/>
      </c>
      <c r="T829" s="7" t="str">
        <f>IFERROR(IF('PREENCHER AQUI'!L829="","999",LEFT('PREENCHER AQUI'!L829,1)),"")</f>
        <v>999</v>
      </c>
      <c r="V829" s="19"/>
      <c r="W829" s="1" t="str">
        <f>IFERROR(VLOOKUP(Tabela1[[#This Row],[UO_COD]],qdd!$AT$1:$AU$102,2,FALSE),"")</f>
        <v/>
      </c>
      <c r="X829" s="1" t="str">
        <f>CONCATENATE("F",Tabela1[[#This Row],[FONTE_COD]],Tabela1[[#This Row],[IPU_COD]],"G",Tabela1[[#This Row],[GRUPO_COD]],"T",Tabela1[[#This Row],[TIPO]])</f>
        <v>FGT999</v>
      </c>
      <c r="Y8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9" s="19"/>
      <c r="AA829" s="29" t="str">
        <f>IFERROR(VLOOKUP(CONCATENATE("B",Tabela1[[#This Row],[BLOCO]],Tabela1[[#This Row],[UO_COD]]),qdd!$AW$2:$AX$1000,2,FALSE),"")</f>
        <v/>
      </c>
      <c r="AB829" s="30" t="str">
        <f>IFERROR(Tabela1[[#This Row],[VALOR]]/100,"")</f>
        <v/>
      </c>
      <c r="AC829" s="7" t="str" cm="1">
        <f t="array" aca="1" ref="AC829" ca="1">IF(Tabela1[[#This Row],[VALOR]]&lt;0,"",IFERROR(SUBSTITUTE(Converter_numero(Tabela1[[#This Row],[VALOR INCISO]]),",",""),""))</f>
        <v/>
      </c>
      <c r="AD829" s="29" t="str">
        <f>IF(Tabela1[[#This Row],[TIPO]]=REGRAS!$W$2,REGRAS!$X$2,IF(Tabela1[[#This Row],[TIPO]]=REGRAS!$W$4,REGRAS!$X$4,""))</f>
        <v/>
      </c>
      <c r="AE829" s="29" t="e">
        <f>VLOOKUP(Tabela1[[#This Row],[FONTE_COD]],REGRAS!$O$2:$P$69,2,FALSE)</f>
        <v>#N/A</v>
      </c>
      <c r="AF8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0" spans="1:32" ht="18.75" customHeight="1">
      <c r="A830" s="2" t="str">
        <f>IFERROR(IF('PREENCHER AQUI'!A830="","",'PREENCHER AQUI'!A830),"")</f>
        <v/>
      </c>
      <c r="B830" s="1" t="str">
        <f>IFERROR(IF('PREENCHER AQUI'!B830="","",PROPER('PREENCHER AQUI'!B830)),"")</f>
        <v/>
      </c>
      <c r="C830" s="1" t="str">
        <f>IFERROR(IF('PREENCHER AQUI'!C830="","",'PREENCHER AQUI'!C830),"")</f>
        <v/>
      </c>
      <c r="D830" s="2" t="str">
        <f>IFERROR(IF('PREENCHER AQUI'!D830="","",'PREENCHER AQUI'!D830),"")</f>
        <v/>
      </c>
      <c r="E830" s="2" t="str">
        <f>IFERROR(VLOOKUP(CONCATENATE(C830,D830),qdd!$C$2:$F$1000,2,FALSE),"")</f>
        <v/>
      </c>
      <c r="F830" s="2" t="str">
        <f>IFERROR(VLOOKUP(CONCATENATE(C830,D830),qdd!$C$2:$F$1000,3,FALSE),"")</f>
        <v/>
      </c>
      <c r="G830" s="2" t="str">
        <f>IFERROR(VLOOKUP(CONCATENATE(C830,D830),qdd!$C$2:$F$1000,4,FALSE),"")</f>
        <v/>
      </c>
      <c r="H830" s="6" t="str">
        <f t="shared" si="26"/>
        <v/>
      </c>
      <c r="I8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0" s="2" t="str">
        <f>IFERROR(IF('PREENCHER AQUI'!E830="","",'PREENCHER AQUI'!E830),"")</f>
        <v/>
      </c>
      <c r="K830" s="2" t="str">
        <f>IFERROR(IF('PREENCHER AQUI'!F830="","",'PREENCHER AQUI'!F830),"")</f>
        <v/>
      </c>
      <c r="L830" s="2" t="str">
        <f>IF(Tabela1[[#This Row],[IPU_COD]]=9,"91",IF(Tabela1[[#This Row],[ACAO_COD]]="","",VLOOKUP(CONCATENATE("G",J830,"M",K830),qdd!$BC$2:$BD$46,2,FALSE)))</f>
        <v/>
      </c>
      <c r="M830" s="2" t="str">
        <f>TEXT(IFERROR(VLOOKUP(CONCATENATE(C830,D830),qdd!$C$2:$G$1000,5,FALSE),""),0)</f>
        <v/>
      </c>
      <c r="N830" s="2" t="str">
        <f>IFERROR(IF('PREENCHER AQUI'!I830="","",'PREENCHER AQUI'!I830),"")</f>
        <v/>
      </c>
      <c r="O830" s="2" t="str">
        <f>IFERROR(IF('PREENCHER AQUI'!J830="","",'PREENCHER AQUI'!J830),"")</f>
        <v/>
      </c>
      <c r="P830" s="7" t="str">
        <f t="shared" si="27"/>
        <v/>
      </c>
      <c r="Q830" s="8" t="str">
        <f>IFERROR(IF(Tabela4[[#This Row],[VALOR]]="","",IF(Tabela1[[#This Row],[ORIENTACAO]]="Anular",'PREENCHER AQUI'!K830*-1*100,'PREENCHER AQUI'!K830*100)),"")</f>
        <v/>
      </c>
      <c r="T830" s="7" t="str">
        <f>IFERROR(IF('PREENCHER AQUI'!L830="","999",LEFT('PREENCHER AQUI'!L830,1)),"")</f>
        <v>999</v>
      </c>
      <c r="V830" s="19"/>
      <c r="W830" s="20" t="str">
        <f>IFERROR(VLOOKUP(Tabela1[[#This Row],[UO_COD]],qdd!$AT$1:$AU$102,2,FALSE),"")</f>
        <v/>
      </c>
      <c r="X830" s="20" t="str">
        <f>CONCATENATE("F",Tabela1[[#This Row],[FONTE_COD]],Tabela1[[#This Row],[IPU_COD]],"G",Tabela1[[#This Row],[GRUPO_COD]],"T",Tabela1[[#This Row],[TIPO]])</f>
        <v>FGT999</v>
      </c>
      <c r="Y8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0" s="19"/>
      <c r="AA830" s="29" t="str">
        <f>IFERROR(VLOOKUP(CONCATENATE("B",Tabela1[[#This Row],[BLOCO]],Tabela1[[#This Row],[UO_COD]]),qdd!$AW$2:$AX$1000,2,FALSE),"")</f>
        <v/>
      </c>
      <c r="AB830" s="30" t="str">
        <f>IFERROR(Tabela1[[#This Row],[VALOR]]/100,"")</f>
        <v/>
      </c>
      <c r="AC830" s="7" t="str" cm="1">
        <f t="array" aca="1" ref="AC830" ca="1">IF(Tabela1[[#This Row],[VALOR]]&lt;0,"",IFERROR(SUBSTITUTE(Converter_numero(Tabela1[[#This Row],[VALOR INCISO]]),",",""),""))</f>
        <v/>
      </c>
      <c r="AD830" s="29" t="str">
        <f>IF(Tabela1[[#This Row],[TIPO]]=REGRAS!$W$2,REGRAS!$X$2,IF(Tabela1[[#This Row],[TIPO]]=REGRAS!$W$4,REGRAS!$X$4,""))</f>
        <v/>
      </c>
      <c r="AE830" s="29" t="e">
        <f>VLOOKUP(Tabela1[[#This Row],[FONTE_COD]],REGRAS!$O$2:$P$69,2,FALSE)</f>
        <v>#N/A</v>
      </c>
      <c r="AF8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1" spans="1:32" ht="18.75" customHeight="1">
      <c r="A831" s="2" t="str">
        <f>IFERROR(IF('PREENCHER AQUI'!A831="","",'PREENCHER AQUI'!A831),"")</f>
        <v/>
      </c>
      <c r="B831" s="1" t="str">
        <f>IFERROR(IF('PREENCHER AQUI'!B831="","",PROPER('PREENCHER AQUI'!B831)),"")</f>
        <v/>
      </c>
      <c r="C831" s="1" t="str">
        <f>IFERROR(IF('PREENCHER AQUI'!C831="","",'PREENCHER AQUI'!C831),"")</f>
        <v/>
      </c>
      <c r="D831" s="2" t="str">
        <f>IFERROR(IF('PREENCHER AQUI'!D831="","",'PREENCHER AQUI'!D831),"")</f>
        <v/>
      </c>
      <c r="E831" s="2" t="str">
        <f>IFERROR(VLOOKUP(CONCATENATE(C831,D831),qdd!$C$2:$F$1000,2,FALSE),"")</f>
        <v/>
      </c>
      <c r="F831" s="2" t="str">
        <f>IFERROR(VLOOKUP(CONCATENATE(C831,D831),qdd!$C$2:$F$1000,3,FALSE),"")</f>
        <v/>
      </c>
      <c r="G831" s="2" t="str">
        <f>IFERROR(VLOOKUP(CONCATENATE(C831,D831),qdd!$C$2:$F$1000,4,FALSE),"")</f>
        <v/>
      </c>
      <c r="H831" s="6" t="str">
        <f t="shared" si="26"/>
        <v/>
      </c>
      <c r="I8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1" s="2" t="str">
        <f>IFERROR(IF('PREENCHER AQUI'!E831="","",'PREENCHER AQUI'!E831),"")</f>
        <v/>
      </c>
      <c r="K831" s="2" t="str">
        <f>IFERROR(IF('PREENCHER AQUI'!F831="","",'PREENCHER AQUI'!F831),"")</f>
        <v/>
      </c>
      <c r="L831" s="2" t="str">
        <f>IF(Tabela1[[#This Row],[IPU_COD]]=9,"91",IF(Tabela1[[#This Row],[ACAO_COD]]="","",VLOOKUP(CONCATENATE("G",J831,"M",K831),qdd!$BC$2:$BD$46,2,FALSE)))</f>
        <v/>
      </c>
      <c r="M831" s="2" t="str">
        <f>TEXT(IFERROR(VLOOKUP(CONCATENATE(C831,D831),qdd!$C$2:$G$1000,5,FALSE),""),0)</f>
        <v/>
      </c>
      <c r="N831" s="2" t="str">
        <f>IFERROR(IF('PREENCHER AQUI'!I831="","",'PREENCHER AQUI'!I831),"")</f>
        <v/>
      </c>
      <c r="O831" s="2" t="str">
        <f>IFERROR(IF('PREENCHER AQUI'!J831="","",'PREENCHER AQUI'!J831),"")</f>
        <v/>
      </c>
      <c r="P831" s="7" t="str">
        <f t="shared" si="27"/>
        <v/>
      </c>
      <c r="Q831" s="8" t="str">
        <f>IFERROR(IF(Tabela4[[#This Row],[VALOR]]="","",IF(Tabela1[[#This Row],[ORIENTACAO]]="Anular",'PREENCHER AQUI'!K831*-1*100,'PREENCHER AQUI'!K831*100)),"")</f>
        <v/>
      </c>
      <c r="T831" s="7" t="str">
        <f>IFERROR(IF('PREENCHER AQUI'!L831="","999",LEFT('PREENCHER AQUI'!L831,1)),"")</f>
        <v>999</v>
      </c>
      <c r="V831" s="19"/>
      <c r="W831" s="1" t="str">
        <f>IFERROR(VLOOKUP(Tabela1[[#This Row],[UO_COD]],qdd!$AT$1:$AU$102,2,FALSE),"")</f>
        <v/>
      </c>
      <c r="X831" s="1" t="str">
        <f>CONCATENATE("F",Tabela1[[#This Row],[FONTE_COD]],Tabela1[[#This Row],[IPU_COD]],"G",Tabela1[[#This Row],[GRUPO_COD]],"T",Tabela1[[#This Row],[TIPO]])</f>
        <v>FGT999</v>
      </c>
      <c r="Y8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1" s="19"/>
      <c r="AA831" s="29" t="str">
        <f>IFERROR(VLOOKUP(CONCATENATE("B",Tabela1[[#This Row],[BLOCO]],Tabela1[[#This Row],[UO_COD]]),qdd!$AW$2:$AX$1000,2,FALSE),"")</f>
        <v/>
      </c>
      <c r="AB831" s="30" t="str">
        <f>IFERROR(Tabela1[[#This Row],[VALOR]]/100,"")</f>
        <v/>
      </c>
      <c r="AC831" s="7" t="str" cm="1">
        <f t="array" aca="1" ref="AC831" ca="1">IF(Tabela1[[#This Row],[VALOR]]&lt;0,"",IFERROR(SUBSTITUTE(Converter_numero(Tabela1[[#This Row],[VALOR INCISO]]),",",""),""))</f>
        <v/>
      </c>
      <c r="AD831" s="29" t="str">
        <f>IF(Tabela1[[#This Row],[TIPO]]=REGRAS!$W$2,REGRAS!$X$2,IF(Tabela1[[#This Row],[TIPO]]=REGRAS!$W$4,REGRAS!$X$4,""))</f>
        <v/>
      </c>
      <c r="AE831" s="29" t="e">
        <f>VLOOKUP(Tabela1[[#This Row],[FONTE_COD]],REGRAS!$O$2:$P$69,2,FALSE)</f>
        <v>#N/A</v>
      </c>
      <c r="AF8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2" spans="1:32" ht="18.75" customHeight="1">
      <c r="A832" s="2" t="str">
        <f>IFERROR(IF('PREENCHER AQUI'!A832="","",'PREENCHER AQUI'!A832),"")</f>
        <v/>
      </c>
      <c r="B832" s="1" t="str">
        <f>IFERROR(IF('PREENCHER AQUI'!B832="","",PROPER('PREENCHER AQUI'!B832)),"")</f>
        <v/>
      </c>
      <c r="C832" s="1" t="str">
        <f>IFERROR(IF('PREENCHER AQUI'!C832="","",'PREENCHER AQUI'!C832),"")</f>
        <v/>
      </c>
      <c r="D832" s="2" t="str">
        <f>IFERROR(IF('PREENCHER AQUI'!D832="","",'PREENCHER AQUI'!D832),"")</f>
        <v/>
      </c>
      <c r="E832" s="2" t="str">
        <f>IFERROR(VLOOKUP(CONCATENATE(C832,D832),qdd!$C$2:$F$1000,2,FALSE),"")</f>
        <v/>
      </c>
      <c r="F832" s="2" t="str">
        <f>IFERROR(VLOOKUP(CONCATENATE(C832,D832),qdd!$C$2:$F$1000,3,FALSE),"")</f>
        <v/>
      </c>
      <c r="G832" s="2" t="str">
        <f>IFERROR(VLOOKUP(CONCATENATE(C832,D832),qdd!$C$2:$F$1000,4,FALSE),"")</f>
        <v/>
      </c>
      <c r="H832" s="6" t="str">
        <f t="shared" si="26"/>
        <v/>
      </c>
      <c r="I8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2" s="2" t="str">
        <f>IFERROR(IF('PREENCHER AQUI'!E832="","",'PREENCHER AQUI'!E832),"")</f>
        <v/>
      </c>
      <c r="K832" s="2" t="str">
        <f>IFERROR(IF('PREENCHER AQUI'!F832="","",'PREENCHER AQUI'!F832),"")</f>
        <v/>
      </c>
      <c r="L832" s="2" t="str">
        <f>IF(Tabela1[[#This Row],[IPU_COD]]=9,"91",IF(Tabela1[[#This Row],[ACAO_COD]]="","",VLOOKUP(CONCATENATE("G",J832,"M",K832),qdd!$BC$2:$BD$46,2,FALSE)))</f>
        <v/>
      </c>
      <c r="M832" s="2" t="str">
        <f>TEXT(IFERROR(VLOOKUP(CONCATENATE(C832,D832),qdd!$C$2:$G$1000,5,FALSE),""),0)</f>
        <v/>
      </c>
      <c r="N832" s="2" t="str">
        <f>IFERROR(IF('PREENCHER AQUI'!I832="","",'PREENCHER AQUI'!I832),"")</f>
        <v/>
      </c>
      <c r="O832" s="2" t="str">
        <f>IFERROR(IF('PREENCHER AQUI'!J832="","",'PREENCHER AQUI'!J832),"")</f>
        <v/>
      </c>
      <c r="P832" s="7" t="str">
        <f t="shared" si="27"/>
        <v/>
      </c>
      <c r="Q832" s="8" t="str">
        <f>IFERROR(IF(Tabela4[[#This Row],[VALOR]]="","",IF(Tabela1[[#This Row],[ORIENTACAO]]="Anular",'PREENCHER AQUI'!K832*-1*100,'PREENCHER AQUI'!K832*100)),"")</f>
        <v/>
      </c>
      <c r="T832" s="7" t="str">
        <f>IFERROR(IF('PREENCHER AQUI'!L832="","999",LEFT('PREENCHER AQUI'!L832,1)),"")</f>
        <v>999</v>
      </c>
      <c r="W832" s="1" t="str">
        <f>IFERROR(VLOOKUP(Tabela1[[#This Row],[UO_COD]],qdd!$AT$1:$AU$102,2,FALSE),"")</f>
        <v/>
      </c>
      <c r="X832" s="1" t="str">
        <f>CONCATENATE("F",Tabela1[[#This Row],[FONTE_COD]],Tabela1[[#This Row],[IPU_COD]],"G",Tabela1[[#This Row],[GRUPO_COD]],"T",Tabela1[[#This Row],[TIPO]])</f>
        <v>FGT999</v>
      </c>
      <c r="Y8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2" s="19"/>
      <c r="AA832" s="29" t="str">
        <f>IFERROR(VLOOKUP(CONCATENATE("B",Tabela1[[#This Row],[BLOCO]],Tabela1[[#This Row],[UO_COD]]),qdd!$AW$2:$AX$1000,2,FALSE),"")</f>
        <v/>
      </c>
      <c r="AB832" s="30" t="str">
        <f>IFERROR(Tabela1[[#This Row],[VALOR]]/100,"")</f>
        <v/>
      </c>
      <c r="AC832" s="7" t="str" cm="1">
        <f t="array" aca="1" ref="AC832" ca="1">IF(Tabela1[[#This Row],[VALOR]]&lt;0,"",IFERROR(SUBSTITUTE(Converter_numero(Tabela1[[#This Row],[VALOR INCISO]]),",",""),""))</f>
        <v/>
      </c>
      <c r="AD832" s="7" t="str">
        <f>IF(Tabela1[[#This Row],[TIPO]]=REGRAS!$W$2,REGRAS!$X$2,IF(Tabela1[[#This Row],[TIPO]]=REGRAS!$W$4,REGRAS!$X$4,""))</f>
        <v/>
      </c>
      <c r="AE832" s="29" t="e">
        <f>VLOOKUP(Tabela1[[#This Row],[FONTE_COD]],REGRAS!$O$2:$P$69,2,FALSE)</f>
        <v>#N/A</v>
      </c>
      <c r="AF8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3" spans="1:32" ht="18.75" customHeight="1">
      <c r="A833" s="2" t="str">
        <f>IFERROR(IF('PREENCHER AQUI'!A833="","",'PREENCHER AQUI'!A833),"")</f>
        <v/>
      </c>
      <c r="B833" s="1" t="str">
        <f>IFERROR(IF('PREENCHER AQUI'!B833="","",PROPER('PREENCHER AQUI'!B833)),"")</f>
        <v/>
      </c>
      <c r="C833" s="1" t="str">
        <f>IFERROR(IF('PREENCHER AQUI'!C833="","",'PREENCHER AQUI'!C833),"")</f>
        <v/>
      </c>
      <c r="D833" s="2" t="str">
        <f>IFERROR(IF('PREENCHER AQUI'!D833="","",'PREENCHER AQUI'!D833),"")</f>
        <v/>
      </c>
      <c r="E833" s="2" t="str">
        <f>IFERROR(VLOOKUP(CONCATENATE(C833,D833),qdd!$C$2:$F$1000,2,FALSE),"")</f>
        <v/>
      </c>
      <c r="F833" s="2" t="str">
        <f>IFERROR(VLOOKUP(CONCATENATE(C833,D833),qdd!$C$2:$F$1000,3,FALSE),"")</f>
        <v/>
      </c>
      <c r="G833" s="2" t="str">
        <f>IFERROR(VLOOKUP(CONCATENATE(C833,D833),qdd!$C$2:$F$1000,4,FALSE),"")</f>
        <v/>
      </c>
      <c r="H833" s="6" t="str">
        <f t="shared" si="26"/>
        <v/>
      </c>
      <c r="I8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3" s="2" t="str">
        <f>IFERROR(IF('PREENCHER AQUI'!E833="","",'PREENCHER AQUI'!E833),"")</f>
        <v/>
      </c>
      <c r="K833" s="2" t="str">
        <f>IFERROR(IF('PREENCHER AQUI'!F833="","",'PREENCHER AQUI'!F833),"")</f>
        <v/>
      </c>
      <c r="L833" s="2" t="str">
        <f>IF(Tabela1[[#This Row],[IPU_COD]]=9,"91",IF(Tabela1[[#This Row],[ACAO_COD]]="","",VLOOKUP(CONCATENATE("G",J833,"M",K833),qdd!$BC$2:$BD$46,2,FALSE)))</f>
        <v/>
      </c>
      <c r="M833" s="2" t="str">
        <f>TEXT(IFERROR(VLOOKUP(CONCATENATE(C833,D833),qdd!$C$2:$G$1000,5,FALSE),""),0)</f>
        <v/>
      </c>
      <c r="N833" s="2" t="str">
        <f>IFERROR(IF('PREENCHER AQUI'!I833="","",'PREENCHER AQUI'!I833),"")</f>
        <v/>
      </c>
      <c r="O833" s="2" t="str">
        <f>IFERROR(IF('PREENCHER AQUI'!J833="","",'PREENCHER AQUI'!J833),"")</f>
        <v/>
      </c>
      <c r="P833" s="7" t="str">
        <f t="shared" si="27"/>
        <v/>
      </c>
      <c r="Q833" s="8" t="str">
        <f>IFERROR(IF(Tabela4[[#This Row],[VALOR]]="","",IF(Tabela1[[#This Row],[ORIENTACAO]]="Anular",'PREENCHER AQUI'!K833*-1*100,'PREENCHER AQUI'!K833*100)),"")</f>
        <v/>
      </c>
      <c r="T833" s="7" t="str">
        <f>IFERROR(IF('PREENCHER AQUI'!L833="","999",LEFT('PREENCHER AQUI'!L833,1)),"")</f>
        <v>999</v>
      </c>
      <c r="V833" s="19"/>
      <c r="W833" s="1" t="str">
        <f>IFERROR(VLOOKUP(Tabela1[[#This Row],[UO_COD]],qdd!$AT$1:$AU$102,2,FALSE),"")</f>
        <v/>
      </c>
      <c r="X833" s="1" t="str">
        <f>CONCATENATE("F",Tabela1[[#This Row],[FONTE_COD]],Tabela1[[#This Row],[IPU_COD]],"G",Tabela1[[#This Row],[GRUPO_COD]],"T",Tabela1[[#This Row],[TIPO]])</f>
        <v>FGT999</v>
      </c>
      <c r="Y8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3" s="19"/>
      <c r="AA833" s="29" t="str">
        <f>IFERROR(VLOOKUP(CONCATENATE("B",Tabela1[[#This Row],[BLOCO]],Tabela1[[#This Row],[UO_COD]]),qdd!$AW$2:$AX$1000,2,FALSE),"")</f>
        <v/>
      </c>
      <c r="AB833" s="30" t="str">
        <f>IFERROR(Tabela1[[#This Row],[VALOR]]/100,"")</f>
        <v/>
      </c>
      <c r="AC833" s="7" t="str" cm="1">
        <f t="array" aca="1" ref="AC833" ca="1">IF(Tabela1[[#This Row],[VALOR]]&lt;0,"",IFERROR(SUBSTITUTE(Converter_numero(Tabela1[[#This Row],[VALOR INCISO]]),",",""),""))</f>
        <v/>
      </c>
      <c r="AD833" s="29" t="str">
        <f>IF(Tabela1[[#This Row],[TIPO]]=REGRAS!$W$2,REGRAS!$X$2,IF(Tabela1[[#This Row],[TIPO]]=REGRAS!$W$4,REGRAS!$X$4,""))</f>
        <v/>
      </c>
      <c r="AE833" s="29" t="e">
        <f>VLOOKUP(Tabela1[[#This Row],[FONTE_COD]],REGRAS!$O$2:$P$69,2,FALSE)</f>
        <v>#N/A</v>
      </c>
      <c r="AF8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4" spans="1:32" ht="18.75" customHeight="1">
      <c r="A834" s="2" t="str">
        <f>IFERROR(IF('PREENCHER AQUI'!A834="","",'PREENCHER AQUI'!A834),"")</f>
        <v/>
      </c>
      <c r="B834" s="1" t="str">
        <f>IFERROR(IF('PREENCHER AQUI'!B834="","",PROPER('PREENCHER AQUI'!B834)),"")</f>
        <v/>
      </c>
      <c r="C834" s="1" t="str">
        <f>IFERROR(IF('PREENCHER AQUI'!C834="","",'PREENCHER AQUI'!C834),"")</f>
        <v/>
      </c>
      <c r="D834" s="2" t="str">
        <f>IFERROR(IF('PREENCHER AQUI'!D834="","",'PREENCHER AQUI'!D834),"")</f>
        <v/>
      </c>
      <c r="E834" s="2" t="str">
        <f>IFERROR(VLOOKUP(CONCATENATE(C834,D834),qdd!$C$2:$F$1000,2,FALSE),"")</f>
        <v/>
      </c>
      <c r="F834" s="2" t="str">
        <f>IFERROR(VLOOKUP(CONCATENATE(C834,D834),qdd!$C$2:$F$1000,3,FALSE),"")</f>
        <v/>
      </c>
      <c r="G834" s="2" t="str">
        <f>IFERROR(VLOOKUP(CONCATENATE(C834,D834),qdd!$C$2:$F$1000,4,FALSE),"")</f>
        <v/>
      </c>
      <c r="H834" s="6" t="str">
        <f t="shared" si="26"/>
        <v/>
      </c>
      <c r="I8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4" s="2" t="str">
        <f>IFERROR(IF('PREENCHER AQUI'!E834="","",'PREENCHER AQUI'!E834),"")</f>
        <v/>
      </c>
      <c r="K834" s="2" t="str">
        <f>IFERROR(IF('PREENCHER AQUI'!F834="","",'PREENCHER AQUI'!F834),"")</f>
        <v/>
      </c>
      <c r="L834" s="2" t="str">
        <f>IF(Tabela1[[#This Row],[IPU_COD]]=9,"91",IF(Tabela1[[#This Row],[ACAO_COD]]="","",VLOOKUP(CONCATENATE("G",J834,"M",K834),qdd!$BC$2:$BD$46,2,FALSE)))</f>
        <v/>
      </c>
      <c r="M834" s="2" t="str">
        <f>TEXT(IFERROR(VLOOKUP(CONCATENATE(C834,D834),qdd!$C$2:$G$1000,5,FALSE),""),0)</f>
        <v/>
      </c>
      <c r="N834" s="2" t="str">
        <f>IFERROR(IF('PREENCHER AQUI'!I834="","",'PREENCHER AQUI'!I834),"")</f>
        <v/>
      </c>
      <c r="O834" s="2" t="str">
        <f>IFERROR(IF('PREENCHER AQUI'!J834="","",'PREENCHER AQUI'!J834),"")</f>
        <v/>
      </c>
      <c r="P834" s="7" t="str">
        <f t="shared" si="27"/>
        <v/>
      </c>
      <c r="Q834" s="8" t="str">
        <f>IFERROR(IF(Tabela4[[#This Row],[VALOR]]="","",IF(Tabela1[[#This Row],[ORIENTACAO]]="Anular",'PREENCHER AQUI'!K834*-1*100,'PREENCHER AQUI'!K834*100)),"")</f>
        <v/>
      </c>
      <c r="T834" s="7" t="str">
        <f>IFERROR(IF('PREENCHER AQUI'!L834="","999",LEFT('PREENCHER AQUI'!L834,1)),"")</f>
        <v>999</v>
      </c>
      <c r="V834" s="19"/>
      <c r="W834" s="1" t="str">
        <f>IFERROR(VLOOKUP(Tabela1[[#This Row],[UO_COD]],qdd!$AT$1:$AU$102,2,FALSE),"")</f>
        <v/>
      </c>
      <c r="X834" s="1" t="str">
        <f>CONCATENATE("F",Tabela1[[#This Row],[FONTE_COD]],Tabela1[[#This Row],[IPU_COD]],"G",Tabela1[[#This Row],[GRUPO_COD]],"T",Tabela1[[#This Row],[TIPO]])</f>
        <v>FGT999</v>
      </c>
      <c r="Y8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4" s="19"/>
      <c r="AA834" s="29" t="str">
        <f>IFERROR(VLOOKUP(CONCATENATE("B",Tabela1[[#This Row],[BLOCO]],Tabela1[[#This Row],[UO_COD]]),qdd!$AW$2:$AX$1000,2,FALSE),"")</f>
        <v/>
      </c>
      <c r="AB834" s="30" t="str">
        <f>IFERROR(Tabela1[[#This Row],[VALOR]]/100,"")</f>
        <v/>
      </c>
      <c r="AC834" s="7" t="str" cm="1">
        <f t="array" aca="1" ref="AC834" ca="1">IF(Tabela1[[#This Row],[VALOR]]&lt;0,"",IFERROR(SUBSTITUTE(Converter_numero(Tabela1[[#This Row],[VALOR INCISO]]),",",""),""))</f>
        <v/>
      </c>
      <c r="AD834" s="29" t="str">
        <f>IF(Tabela1[[#This Row],[TIPO]]=REGRAS!$W$2,REGRAS!$X$2,IF(Tabela1[[#This Row],[TIPO]]=REGRAS!$W$4,REGRAS!$X$4,""))</f>
        <v/>
      </c>
      <c r="AE834" s="29" t="e">
        <f>VLOOKUP(Tabela1[[#This Row],[FONTE_COD]],REGRAS!$O$2:$P$69,2,FALSE)</f>
        <v>#N/A</v>
      </c>
      <c r="AF8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5" spans="1:32" ht="18.75" customHeight="1">
      <c r="A835" s="2" t="str">
        <f>IFERROR(IF('PREENCHER AQUI'!A835="","",'PREENCHER AQUI'!A835),"")</f>
        <v/>
      </c>
      <c r="B835" s="1" t="str">
        <f>IFERROR(IF('PREENCHER AQUI'!B835="","",PROPER('PREENCHER AQUI'!B835)),"")</f>
        <v/>
      </c>
      <c r="C835" s="1" t="str">
        <f>IFERROR(IF('PREENCHER AQUI'!C835="","",'PREENCHER AQUI'!C835),"")</f>
        <v/>
      </c>
      <c r="D835" s="2" t="str">
        <f>IFERROR(IF('PREENCHER AQUI'!D835="","",'PREENCHER AQUI'!D835),"")</f>
        <v/>
      </c>
      <c r="E835" s="2" t="str">
        <f>IFERROR(VLOOKUP(CONCATENATE(C835,D835),qdd!$C$2:$F$1000,2,FALSE),"")</f>
        <v/>
      </c>
      <c r="F835" s="2" t="str">
        <f>IFERROR(VLOOKUP(CONCATENATE(C835,D835),qdd!$C$2:$F$1000,3,FALSE),"")</f>
        <v/>
      </c>
      <c r="G835" s="2" t="str">
        <f>IFERROR(VLOOKUP(CONCATENATE(C835,D835),qdd!$C$2:$F$1000,4,FALSE),"")</f>
        <v/>
      </c>
      <c r="H835" s="6" t="str">
        <f t="shared" ref="H835:H898" si="28">IF(E835="","","0001")</f>
        <v/>
      </c>
      <c r="I8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5" s="2" t="str">
        <f>IFERROR(IF('PREENCHER AQUI'!E835="","",'PREENCHER AQUI'!E835),"")</f>
        <v/>
      </c>
      <c r="K835" s="2" t="str">
        <f>IFERROR(IF('PREENCHER AQUI'!F835="","",'PREENCHER AQUI'!F835),"")</f>
        <v/>
      </c>
      <c r="L835" s="2" t="str">
        <f>IF(Tabela1[[#This Row],[IPU_COD]]=9,"91",IF(Tabela1[[#This Row],[ACAO_COD]]="","",VLOOKUP(CONCATENATE("G",J835,"M",K835),qdd!$BC$2:$BD$46,2,FALSE)))</f>
        <v/>
      </c>
      <c r="M835" s="2" t="str">
        <f>TEXT(IFERROR(VLOOKUP(CONCATENATE(C835,D835),qdd!$C$2:$G$1000,5,FALSE),""),0)</f>
        <v/>
      </c>
      <c r="N835" s="2" t="str">
        <f>IFERROR(IF('PREENCHER AQUI'!I835="","",'PREENCHER AQUI'!I835),"")</f>
        <v/>
      </c>
      <c r="O835" s="2" t="str">
        <f>IFERROR(IF('PREENCHER AQUI'!J835="","",'PREENCHER AQUI'!J835),"")</f>
        <v/>
      </c>
      <c r="P835" s="7" t="str">
        <f t="shared" ref="P835:P898" si="29">IFERROR(CONCATENATE(E835,F835,G835,D835,H835,I835,J835,K835,L835,M835,N835,O835),"")</f>
        <v/>
      </c>
      <c r="Q835" s="8" t="str">
        <f>IFERROR(IF(Tabela4[[#This Row],[VALOR]]="","",IF(Tabela1[[#This Row],[ORIENTACAO]]="Anular",'PREENCHER AQUI'!K835*-1*100,'PREENCHER AQUI'!K835*100)),"")</f>
        <v/>
      </c>
      <c r="T835" s="7" t="str">
        <f>IFERROR(IF('PREENCHER AQUI'!L835="","999",LEFT('PREENCHER AQUI'!L835,1)),"")</f>
        <v>999</v>
      </c>
      <c r="V835" s="19"/>
      <c r="W835" s="20" t="str">
        <f>IFERROR(VLOOKUP(Tabela1[[#This Row],[UO_COD]],qdd!$AT$1:$AU$102,2,FALSE),"")</f>
        <v/>
      </c>
      <c r="X835" s="20" t="str">
        <f>CONCATENATE("F",Tabela1[[#This Row],[FONTE_COD]],Tabela1[[#This Row],[IPU_COD]],"G",Tabela1[[#This Row],[GRUPO_COD]],"T",Tabela1[[#This Row],[TIPO]])</f>
        <v>FGT999</v>
      </c>
      <c r="Y8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5" s="19"/>
      <c r="AA835" s="29" t="str">
        <f>IFERROR(VLOOKUP(CONCATENATE("B",Tabela1[[#This Row],[BLOCO]],Tabela1[[#This Row],[UO_COD]]),qdd!$AW$2:$AX$1000,2,FALSE),"")</f>
        <v/>
      </c>
      <c r="AB835" s="30" t="str">
        <f>IFERROR(Tabela1[[#This Row],[VALOR]]/100,"")</f>
        <v/>
      </c>
      <c r="AC835" s="7" t="str" cm="1">
        <f t="array" aca="1" ref="AC835" ca="1">IF(Tabela1[[#This Row],[VALOR]]&lt;0,"",IFERROR(SUBSTITUTE(Converter_numero(Tabela1[[#This Row],[VALOR INCISO]]),",",""),""))</f>
        <v/>
      </c>
      <c r="AD835" s="29" t="str">
        <f>IF(Tabela1[[#This Row],[TIPO]]=REGRAS!$W$2,REGRAS!$X$2,IF(Tabela1[[#This Row],[TIPO]]=REGRAS!$W$4,REGRAS!$X$4,""))</f>
        <v/>
      </c>
      <c r="AE835" s="29" t="e">
        <f>VLOOKUP(Tabela1[[#This Row],[FONTE_COD]],REGRAS!$O$2:$P$69,2,FALSE)</f>
        <v>#N/A</v>
      </c>
      <c r="AF8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6" spans="1:32" ht="18.75" customHeight="1">
      <c r="A836" s="2" t="str">
        <f>IFERROR(IF('PREENCHER AQUI'!A836="","",'PREENCHER AQUI'!A836),"")</f>
        <v/>
      </c>
      <c r="B836" s="1" t="str">
        <f>IFERROR(IF('PREENCHER AQUI'!B836="","",PROPER('PREENCHER AQUI'!B836)),"")</f>
        <v/>
      </c>
      <c r="C836" s="1" t="str">
        <f>IFERROR(IF('PREENCHER AQUI'!C836="","",'PREENCHER AQUI'!C836),"")</f>
        <v/>
      </c>
      <c r="D836" s="2" t="str">
        <f>IFERROR(IF('PREENCHER AQUI'!D836="","",'PREENCHER AQUI'!D836),"")</f>
        <v/>
      </c>
      <c r="E836" s="2" t="str">
        <f>IFERROR(VLOOKUP(CONCATENATE(C836,D836),qdd!$C$2:$F$1000,2,FALSE),"")</f>
        <v/>
      </c>
      <c r="F836" s="2" t="str">
        <f>IFERROR(VLOOKUP(CONCATENATE(C836,D836),qdd!$C$2:$F$1000,3,FALSE),"")</f>
        <v/>
      </c>
      <c r="G836" s="2" t="str">
        <f>IFERROR(VLOOKUP(CONCATENATE(C836,D836),qdd!$C$2:$F$1000,4,FALSE),"")</f>
        <v/>
      </c>
      <c r="H836" s="6" t="str">
        <f t="shared" si="28"/>
        <v/>
      </c>
      <c r="I8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6" s="2" t="str">
        <f>IFERROR(IF('PREENCHER AQUI'!E836="","",'PREENCHER AQUI'!E836),"")</f>
        <v/>
      </c>
      <c r="K836" s="2" t="str">
        <f>IFERROR(IF('PREENCHER AQUI'!F836="","",'PREENCHER AQUI'!F836),"")</f>
        <v/>
      </c>
      <c r="L836" s="2" t="str">
        <f>IF(Tabela1[[#This Row],[IPU_COD]]=9,"91",IF(Tabela1[[#This Row],[ACAO_COD]]="","",VLOOKUP(CONCATENATE("G",J836,"M",K836),qdd!$BC$2:$BD$46,2,FALSE)))</f>
        <v/>
      </c>
      <c r="M836" s="2" t="str">
        <f>TEXT(IFERROR(VLOOKUP(CONCATENATE(C836,D836),qdd!$C$2:$G$1000,5,FALSE),""),0)</f>
        <v/>
      </c>
      <c r="N836" s="2" t="str">
        <f>IFERROR(IF('PREENCHER AQUI'!I836="","",'PREENCHER AQUI'!I836),"")</f>
        <v/>
      </c>
      <c r="O836" s="2" t="str">
        <f>IFERROR(IF('PREENCHER AQUI'!J836="","",'PREENCHER AQUI'!J836),"")</f>
        <v/>
      </c>
      <c r="P836" s="7" t="str">
        <f t="shared" si="29"/>
        <v/>
      </c>
      <c r="Q836" s="8" t="str">
        <f>IFERROR(IF(Tabela4[[#This Row],[VALOR]]="","",IF(Tabela1[[#This Row],[ORIENTACAO]]="Anular",'PREENCHER AQUI'!K836*-1*100,'PREENCHER AQUI'!K836*100)),"")</f>
        <v/>
      </c>
      <c r="T836" s="7" t="str">
        <f>IFERROR(IF('PREENCHER AQUI'!L836="","999",LEFT('PREENCHER AQUI'!L836,1)),"")</f>
        <v>999</v>
      </c>
      <c r="V836" s="19"/>
      <c r="W836" s="1" t="str">
        <f>IFERROR(VLOOKUP(Tabela1[[#This Row],[UO_COD]],qdd!$AT$1:$AU$102,2,FALSE),"")</f>
        <v/>
      </c>
      <c r="X836" s="1" t="str">
        <f>CONCATENATE("F",Tabela1[[#This Row],[FONTE_COD]],Tabela1[[#This Row],[IPU_COD]],"G",Tabela1[[#This Row],[GRUPO_COD]],"T",Tabela1[[#This Row],[TIPO]])</f>
        <v>FGT999</v>
      </c>
      <c r="Y8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6" s="19"/>
      <c r="AA836" s="29" t="str">
        <f>IFERROR(VLOOKUP(CONCATENATE("B",Tabela1[[#This Row],[BLOCO]],Tabela1[[#This Row],[UO_COD]]),qdd!$AW$2:$AX$1000,2,FALSE),"")</f>
        <v/>
      </c>
      <c r="AB836" s="30" t="str">
        <f>IFERROR(Tabela1[[#This Row],[VALOR]]/100,"")</f>
        <v/>
      </c>
      <c r="AC836" s="7" t="str" cm="1">
        <f t="array" aca="1" ref="AC836" ca="1">IF(Tabela1[[#This Row],[VALOR]]&lt;0,"",IFERROR(SUBSTITUTE(Converter_numero(Tabela1[[#This Row],[VALOR INCISO]]),",",""),""))</f>
        <v/>
      </c>
      <c r="AD836" s="29" t="str">
        <f>IF(Tabela1[[#This Row],[TIPO]]=REGRAS!$W$2,REGRAS!$X$2,IF(Tabela1[[#This Row],[TIPO]]=REGRAS!$W$4,REGRAS!$X$4,""))</f>
        <v/>
      </c>
      <c r="AE836" s="29" t="e">
        <f>VLOOKUP(Tabela1[[#This Row],[FONTE_COD]],REGRAS!$O$2:$P$69,2,FALSE)</f>
        <v>#N/A</v>
      </c>
      <c r="AF8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7" spans="1:32" ht="18.75" customHeight="1">
      <c r="A837" s="2" t="str">
        <f>IFERROR(IF('PREENCHER AQUI'!A837="","",'PREENCHER AQUI'!A837),"")</f>
        <v/>
      </c>
      <c r="B837" s="1" t="str">
        <f>IFERROR(IF('PREENCHER AQUI'!B837="","",PROPER('PREENCHER AQUI'!B837)),"")</f>
        <v/>
      </c>
      <c r="C837" s="1" t="str">
        <f>IFERROR(IF('PREENCHER AQUI'!C837="","",'PREENCHER AQUI'!C837),"")</f>
        <v/>
      </c>
      <c r="D837" s="2" t="str">
        <f>IFERROR(IF('PREENCHER AQUI'!D837="","",'PREENCHER AQUI'!D837),"")</f>
        <v/>
      </c>
      <c r="E837" s="2" t="str">
        <f>IFERROR(VLOOKUP(CONCATENATE(C837,D837),qdd!$C$2:$F$1000,2,FALSE),"")</f>
        <v/>
      </c>
      <c r="F837" s="2" t="str">
        <f>IFERROR(VLOOKUP(CONCATENATE(C837,D837),qdd!$C$2:$F$1000,3,FALSE),"")</f>
        <v/>
      </c>
      <c r="G837" s="2" t="str">
        <f>IFERROR(VLOOKUP(CONCATENATE(C837,D837),qdd!$C$2:$F$1000,4,FALSE),"")</f>
        <v/>
      </c>
      <c r="H837" s="6" t="str">
        <f t="shared" si="28"/>
        <v/>
      </c>
      <c r="I8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7" s="2" t="str">
        <f>IFERROR(IF('PREENCHER AQUI'!E837="","",'PREENCHER AQUI'!E837),"")</f>
        <v/>
      </c>
      <c r="K837" s="2" t="str">
        <f>IFERROR(IF('PREENCHER AQUI'!F837="","",'PREENCHER AQUI'!F837),"")</f>
        <v/>
      </c>
      <c r="L837" s="2" t="str">
        <f>IF(Tabela1[[#This Row],[IPU_COD]]=9,"91",IF(Tabela1[[#This Row],[ACAO_COD]]="","",VLOOKUP(CONCATENATE("G",J837,"M",K837),qdd!$BC$2:$BD$46,2,FALSE)))</f>
        <v/>
      </c>
      <c r="M837" s="2" t="str">
        <f>TEXT(IFERROR(VLOOKUP(CONCATENATE(C837,D837),qdd!$C$2:$G$1000,5,FALSE),""),0)</f>
        <v/>
      </c>
      <c r="N837" s="2" t="str">
        <f>IFERROR(IF('PREENCHER AQUI'!I837="","",'PREENCHER AQUI'!I837),"")</f>
        <v/>
      </c>
      <c r="O837" s="2" t="str">
        <f>IFERROR(IF('PREENCHER AQUI'!J837="","",'PREENCHER AQUI'!J837),"")</f>
        <v/>
      </c>
      <c r="P837" s="7" t="str">
        <f t="shared" si="29"/>
        <v/>
      </c>
      <c r="Q837" s="8" t="str">
        <f>IFERROR(IF(Tabela4[[#This Row],[VALOR]]="","",IF(Tabela1[[#This Row],[ORIENTACAO]]="Anular",'PREENCHER AQUI'!K837*-1*100,'PREENCHER AQUI'!K837*100)),"")</f>
        <v/>
      </c>
      <c r="T837" s="7" t="str">
        <f>IFERROR(IF('PREENCHER AQUI'!L837="","999",LEFT('PREENCHER AQUI'!L837,1)),"")</f>
        <v>999</v>
      </c>
      <c r="W837" s="1" t="str">
        <f>IFERROR(VLOOKUP(Tabela1[[#This Row],[UO_COD]],qdd!$AT$1:$AU$102,2,FALSE),"")</f>
        <v/>
      </c>
      <c r="X837" s="1" t="str">
        <f>CONCATENATE("F",Tabela1[[#This Row],[FONTE_COD]],Tabela1[[#This Row],[IPU_COD]],"G",Tabela1[[#This Row],[GRUPO_COD]],"T",Tabela1[[#This Row],[TIPO]])</f>
        <v>FGT999</v>
      </c>
      <c r="Y8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7" s="19"/>
      <c r="AA837" s="29" t="str">
        <f>IFERROR(VLOOKUP(CONCATENATE("B",Tabela1[[#This Row],[BLOCO]],Tabela1[[#This Row],[UO_COD]]),qdd!$AW$2:$AX$1000,2,FALSE),"")</f>
        <v/>
      </c>
      <c r="AB837" s="30" t="str">
        <f>IFERROR(Tabela1[[#This Row],[VALOR]]/100,"")</f>
        <v/>
      </c>
      <c r="AC837" s="7" t="str" cm="1">
        <f t="array" aca="1" ref="AC837" ca="1">IF(Tabela1[[#This Row],[VALOR]]&lt;0,"",IFERROR(SUBSTITUTE(Converter_numero(Tabela1[[#This Row],[VALOR INCISO]]),",",""),""))</f>
        <v/>
      </c>
      <c r="AD837" s="7" t="str">
        <f>IF(Tabela1[[#This Row],[TIPO]]=REGRAS!$W$2,REGRAS!$X$2,IF(Tabela1[[#This Row],[TIPO]]=REGRAS!$W$4,REGRAS!$X$4,""))</f>
        <v/>
      </c>
      <c r="AE837" s="29" t="e">
        <f>VLOOKUP(Tabela1[[#This Row],[FONTE_COD]],REGRAS!$O$2:$P$69,2,FALSE)</f>
        <v>#N/A</v>
      </c>
      <c r="AF8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8" spans="1:32" ht="18.75" customHeight="1">
      <c r="A838" s="2" t="str">
        <f>IFERROR(IF('PREENCHER AQUI'!A838="","",'PREENCHER AQUI'!A838),"")</f>
        <v/>
      </c>
      <c r="B838" s="1" t="str">
        <f>IFERROR(IF('PREENCHER AQUI'!B838="","",PROPER('PREENCHER AQUI'!B838)),"")</f>
        <v/>
      </c>
      <c r="C838" s="1" t="str">
        <f>IFERROR(IF('PREENCHER AQUI'!C838="","",'PREENCHER AQUI'!C838),"")</f>
        <v/>
      </c>
      <c r="D838" s="2" t="str">
        <f>IFERROR(IF('PREENCHER AQUI'!D838="","",'PREENCHER AQUI'!D838),"")</f>
        <v/>
      </c>
      <c r="E838" s="2" t="str">
        <f>IFERROR(VLOOKUP(CONCATENATE(C838,D838),qdd!$C$2:$F$1000,2,FALSE),"")</f>
        <v/>
      </c>
      <c r="F838" s="2" t="str">
        <f>IFERROR(VLOOKUP(CONCATENATE(C838,D838),qdd!$C$2:$F$1000,3,FALSE),"")</f>
        <v/>
      </c>
      <c r="G838" s="2" t="str">
        <f>IFERROR(VLOOKUP(CONCATENATE(C838,D838),qdd!$C$2:$F$1000,4,FALSE),"")</f>
        <v/>
      </c>
      <c r="H838" s="6" t="str">
        <f t="shared" si="28"/>
        <v/>
      </c>
      <c r="I8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8" s="2" t="str">
        <f>IFERROR(IF('PREENCHER AQUI'!E838="","",'PREENCHER AQUI'!E838),"")</f>
        <v/>
      </c>
      <c r="K838" s="2" t="str">
        <f>IFERROR(IF('PREENCHER AQUI'!F838="","",'PREENCHER AQUI'!F838),"")</f>
        <v/>
      </c>
      <c r="L838" s="2" t="str">
        <f>IF(Tabela1[[#This Row],[IPU_COD]]=9,"91",IF(Tabela1[[#This Row],[ACAO_COD]]="","",VLOOKUP(CONCATENATE("G",J838,"M",K838),qdd!$BC$2:$BD$46,2,FALSE)))</f>
        <v/>
      </c>
      <c r="M838" s="2" t="str">
        <f>TEXT(IFERROR(VLOOKUP(CONCATENATE(C838,D838),qdd!$C$2:$G$1000,5,FALSE),""),0)</f>
        <v/>
      </c>
      <c r="N838" s="2" t="str">
        <f>IFERROR(IF('PREENCHER AQUI'!I838="","",'PREENCHER AQUI'!I838),"")</f>
        <v/>
      </c>
      <c r="O838" s="2" t="str">
        <f>IFERROR(IF('PREENCHER AQUI'!J838="","",'PREENCHER AQUI'!J838),"")</f>
        <v/>
      </c>
      <c r="P838" s="7" t="str">
        <f t="shared" si="29"/>
        <v/>
      </c>
      <c r="Q838" s="8" t="str">
        <f>IFERROR(IF(Tabela4[[#This Row],[VALOR]]="","",IF(Tabela1[[#This Row],[ORIENTACAO]]="Anular",'PREENCHER AQUI'!K838*-1*100,'PREENCHER AQUI'!K838*100)),"")</f>
        <v/>
      </c>
      <c r="T838" s="7" t="str">
        <f>IFERROR(IF('PREENCHER AQUI'!L838="","999",LEFT('PREENCHER AQUI'!L838,1)),"")</f>
        <v>999</v>
      </c>
      <c r="V838" s="19"/>
      <c r="W838" s="1" t="str">
        <f>IFERROR(VLOOKUP(Tabela1[[#This Row],[UO_COD]],qdd!$AT$1:$AU$102,2,FALSE),"")</f>
        <v/>
      </c>
      <c r="X838" s="1" t="str">
        <f>CONCATENATE("F",Tabela1[[#This Row],[FONTE_COD]],Tabela1[[#This Row],[IPU_COD]],"G",Tabela1[[#This Row],[GRUPO_COD]],"T",Tabela1[[#This Row],[TIPO]])</f>
        <v>FGT999</v>
      </c>
      <c r="Y8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8" s="19"/>
      <c r="AA838" s="29" t="str">
        <f>IFERROR(VLOOKUP(CONCATENATE("B",Tabela1[[#This Row],[BLOCO]],Tabela1[[#This Row],[UO_COD]]),qdd!$AW$2:$AX$1000,2,FALSE),"")</f>
        <v/>
      </c>
      <c r="AB838" s="30" t="str">
        <f>IFERROR(Tabela1[[#This Row],[VALOR]]/100,"")</f>
        <v/>
      </c>
      <c r="AC838" s="7" t="str" cm="1">
        <f t="array" aca="1" ref="AC838" ca="1">IF(Tabela1[[#This Row],[VALOR]]&lt;0,"",IFERROR(SUBSTITUTE(Converter_numero(Tabela1[[#This Row],[VALOR INCISO]]),",",""),""))</f>
        <v/>
      </c>
      <c r="AD838" s="29" t="str">
        <f>IF(Tabela1[[#This Row],[TIPO]]=REGRAS!$W$2,REGRAS!$X$2,IF(Tabela1[[#This Row],[TIPO]]=REGRAS!$W$4,REGRAS!$X$4,""))</f>
        <v/>
      </c>
      <c r="AE838" s="29" t="e">
        <f>VLOOKUP(Tabela1[[#This Row],[FONTE_COD]],REGRAS!$O$2:$P$69,2,FALSE)</f>
        <v>#N/A</v>
      </c>
      <c r="AF8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9" spans="1:32" ht="18.75" customHeight="1">
      <c r="A839" s="2" t="str">
        <f>IFERROR(IF('PREENCHER AQUI'!A839="","",'PREENCHER AQUI'!A839),"")</f>
        <v/>
      </c>
      <c r="B839" s="1" t="str">
        <f>IFERROR(IF('PREENCHER AQUI'!B839="","",PROPER('PREENCHER AQUI'!B839)),"")</f>
        <v/>
      </c>
      <c r="C839" s="1" t="str">
        <f>IFERROR(IF('PREENCHER AQUI'!C839="","",'PREENCHER AQUI'!C839),"")</f>
        <v/>
      </c>
      <c r="D839" s="2" t="str">
        <f>IFERROR(IF('PREENCHER AQUI'!D839="","",'PREENCHER AQUI'!D839),"")</f>
        <v/>
      </c>
      <c r="E839" s="2" t="str">
        <f>IFERROR(VLOOKUP(CONCATENATE(C839,D839),qdd!$C$2:$F$1000,2,FALSE),"")</f>
        <v/>
      </c>
      <c r="F839" s="2" t="str">
        <f>IFERROR(VLOOKUP(CONCATENATE(C839,D839),qdd!$C$2:$F$1000,3,FALSE),"")</f>
        <v/>
      </c>
      <c r="G839" s="2" t="str">
        <f>IFERROR(VLOOKUP(CONCATENATE(C839,D839),qdd!$C$2:$F$1000,4,FALSE),"")</f>
        <v/>
      </c>
      <c r="H839" s="6" t="str">
        <f t="shared" si="28"/>
        <v/>
      </c>
      <c r="I8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9" s="2" t="str">
        <f>IFERROR(IF('PREENCHER AQUI'!E839="","",'PREENCHER AQUI'!E839),"")</f>
        <v/>
      </c>
      <c r="K839" s="2" t="str">
        <f>IFERROR(IF('PREENCHER AQUI'!F839="","",'PREENCHER AQUI'!F839),"")</f>
        <v/>
      </c>
      <c r="L839" s="2" t="str">
        <f>IF(Tabela1[[#This Row],[IPU_COD]]=9,"91",IF(Tabela1[[#This Row],[ACAO_COD]]="","",VLOOKUP(CONCATENATE("G",J839,"M",K839),qdd!$BC$2:$BD$46,2,FALSE)))</f>
        <v/>
      </c>
      <c r="M839" s="2" t="str">
        <f>TEXT(IFERROR(VLOOKUP(CONCATENATE(C839,D839),qdd!$C$2:$G$1000,5,FALSE),""),0)</f>
        <v/>
      </c>
      <c r="N839" s="2" t="str">
        <f>IFERROR(IF('PREENCHER AQUI'!I839="","",'PREENCHER AQUI'!I839),"")</f>
        <v/>
      </c>
      <c r="O839" s="2" t="str">
        <f>IFERROR(IF('PREENCHER AQUI'!J839="","",'PREENCHER AQUI'!J839),"")</f>
        <v/>
      </c>
      <c r="P839" s="7" t="str">
        <f t="shared" si="29"/>
        <v/>
      </c>
      <c r="Q839" s="8" t="str">
        <f>IFERROR(IF(Tabela4[[#This Row],[VALOR]]="","",IF(Tabela1[[#This Row],[ORIENTACAO]]="Anular",'PREENCHER AQUI'!K839*-1*100,'PREENCHER AQUI'!K839*100)),"")</f>
        <v/>
      </c>
      <c r="T839" s="7" t="str">
        <f>IFERROR(IF('PREENCHER AQUI'!L839="","999",LEFT('PREENCHER AQUI'!L839,1)),"")</f>
        <v>999</v>
      </c>
      <c r="V839" s="19"/>
      <c r="W839" s="1" t="str">
        <f>IFERROR(VLOOKUP(Tabela1[[#This Row],[UO_COD]],qdd!$AT$1:$AU$102,2,FALSE),"")</f>
        <v/>
      </c>
      <c r="X839" s="1" t="str">
        <f>CONCATENATE("F",Tabela1[[#This Row],[FONTE_COD]],Tabela1[[#This Row],[IPU_COD]],"G",Tabela1[[#This Row],[GRUPO_COD]],"T",Tabela1[[#This Row],[TIPO]])</f>
        <v>FGT999</v>
      </c>
      <c r="Y8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9" s="19"/>
      <c r="AA839" s="29" t="str">
        <f>IFERROR(VLOOKUP(CONCATENATE("B",Tabela1[[#This Row],[BLOCO]],Tabela1[[#This Row],[UO_COD]]),qdd!$AW$2:$AX$1000,2,FALSE),"")</f>
        <v/>
      </c>
      <c r="AB839" s="30" t="str">
        <f>IFERROR(Tabela1[[#This Row],[VALOR]]/100,"")</f>
        <v/>
      </c>
      <c r="AC839" s="7" t="str" cm="1">
        <f t="array" aca="1" ref="AC839" ca="1">IF(Tabela1[[#This Row],[VALOR]]&lt;0,"",IFERROR(SUBSTITUTE(Converter_numero(Tabela1[[#This Row],[VALOR INCISO]]),",",""),""))</f>
        <v/>
      </c>
      <c r="AD839" s="29" t="str">
        <f>IF(Tabela1[[#This Row],[TIPO]]=REGRAS!$W$2,REGRAS!$X$2,IF(Tabela1[[#This Row],[TIPO]]=REGRAS!$W$4,REGRAS!$X$4,""))</f>
        <v/>
      </c>
      <c r="AE839" s="29" t="e">
        <f>VLOOKUP(Tabela1[[#This Row],[FONTE_COD]],REGRAS!$O$2:$P$69,2,FALSE)</f>
        <v>#N/A</v>
      </c>
      <c r="AF8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0" spans="1:32" ht="18.75" customHeight="1">
      <c r="A840" s="2" t="str">
        <f>IFERROR(IF('PREENCHER AQUI'!A840="","",'PREENCHER AQUI'!A840),"")</f>
        <v/>
      </c>
      <c r="B840" s="1" t="str">
        <f>IFERROR(IF('PREENCHER AQUI'!B840="","",PROPER('PREENCHER AQUI'!B840)),"")</f>
        <v/>
      </c>
      <c r="C840" s="1" t="str">
        <f>IFERROR(IF('PREENCHER AQUI'!C840="","",'PREENCHER AQUI'!C840),"")</f>
        <v/>
      </c>
      <c r="D840" s="2" t="str">
        <f>IFERROR(IF('PREENCHER AQUI'!D840="","",'PREENCHER AQUI'!D840),"")</f>
        <v/>
      </c>
      <c r="E840" s="2" t="str">
        <f>IFERROR(VLOOKUP(CONCATENATE(C840,D840),qdd!$C$2:$F$1000,2,FALSE),"")</f>
        <v/>
      </c>
      <c r="F840" s="2" t="str">
        <f>IFERROR(VLOOKUP(CONCATENATE(C840,D840),qdd!$C$2:$F$1000,3,FALSE),"")</f>
        <v/>
      </c>
      <c r="G840" s="2" t="str">
        <f>IFERROR(VLOOKUP(CONCATENATE(C840,D840),qdd!$C$2:$F$1000,4,FALSE),"")</f>
        <v/>
      </c>
      <c r="H840" s="6" t="str">
        <f t="shared" si="28"/>
        <v/>
      </c>
      <c r="I8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0" s="2" t="str">
        <f>IFERROR(IF('PREENCHER AQUI'!E840="","",'PREENCHER AQUI'!E840),"")</f>
        <v/>
      </c>
      <c r="K840" s="2" t="str">
        <f>IFERROR(IF('PREENCHER AQUI'!F840="","",'PREENCHER AQUI'!F840),"")</f>
        <v/>
      </c>
      <c r="L840" s="2" t="str">
        <f>IF(Tabela1[[#This Row],[IPU_COD]]=9,"91",IF(Tabela1[[#This Row],[ACAO_COD]]="","",VLOOKUP(CONCATENATE("G",J840,"M",K840),qdd!$BC$2:$BD$46,2,FALSE)))</f>
        <v/>
      </c>
      <c r="M840" s="2" t="str">
        <f>TEXT(IFERROR(VLOOKUP(CONCATENATE(C840,D840),qdd!$C$2:$G$1000,5,FALSE),""),0)</f>
        <v/>
      </c>
      <c r="N840" s="2" t="str">
        <f>IFERROR(IF('PREENCHER AQUI'!I840="","",'PREENCHER AQUI'!I840),"")</f>
        <v/>
      </c>
      <c r="O840" s="2" t="str">
        <f>IFERROR(IF('PREENCHER AQUI'!J840="","",'PREENCHER AQUI'!J840),"")</f>
        <v/>
      </c>
      <c r="P840" s="7" t="str">
        <f t="shared" si="29"/>
        <v/>
      </c>
      <c r="Q840" s="8" t="str">
        <f>IFERROR(IF(Tabela4[[#This Row],[VALOR]]="","",IF(Tabela1[[#This Row],[ORIENTACAO]]="Anular",'PREENCHER AQUI'!K840*-1*100,'PREENCHER AQUI'!K840*100)),"")</f>
        <v/>
      </c>
      <c r="T840" s="7" t="str">
        <f>IFERROR(IF('PREENCHER AQUI'!L840="","999",LEFT('PREENCHER AQUI'!L840,1)),"")</f>
        <v>999</v>
      </c>
      <c r="V840" s="19"/>
      <c r="W840" s="20" t="str">
        <f>IFERROR(VLOOKUP(Tabela1[[#This Row],[UO_COD]],qdd!$AT$1:$AU$102,2,FALSE),"")</f>
        <v/>
      </c>
      <c r="X840" s="20" t="str">
        <f>CONCATENATE("F",Tabela1[[#This Row],[FONTE_COD]],Tabela1[[#This Row],[IPU_COD]],"G",Tabela1[[#This Row],[GRUPO_COD]],"T",Tabela1[[#This Row],[TIPO]])</f>
        <v>FGT999</v>
      </c>
      <c r="Y8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0" s="19"/>
      <c r="AA840" s="29" t="str">
        <f>IFERROR(VLOOKUP(CONCATENATE("B",Tabela1[[#This Row],[BLOCO]],Tabela1[[#This Row],[UO_COD]]),qdd!$AW$2:$AX$1000,2,FALSE),"")</f>
        <v/>
      </c>
      <c r="AB840" s="30" t="str">
        <f>IFERROR(Tabela1[[#This Row],[VALOR]]/100,"")</f>
        <v/>
      </c>
      <c r="AC840" s="7" t="str" cm="1">
        <f t="array" aca="1" ref="AC840" ca="1">IF(Tabela1[[#This Row],[VALOR]]&lt;0,"",IFERROR(SUBSTITUTE(Converter_numero(Tabela1[[#This Row],[VALOR INCISO]]),",",""),""))</f>
        <v/>
      </c>
      <c r="AD840" s="29" t="str">
        <f>IF(Tabela1[[#This Row],[TIPO]]=REGRAS!$W$2,REGRAS!$X$2,IF(Tabela1[[#This Row],[TIPO]]=REGRAS!$W$4,REGRAS!$X$4,""))</f>
        <v/>
      </c>
      <c r="AE840" s="29" t="e">
        <f>VLOOKUP(Tabela1[[#This Row],[FONTE_COD]],REGRAS!$O$2:$P$69,2,FALSE)</f>
        <v>#N/A</v>
      </c>
      <c r="AF8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1" spans="1:32" ht="18.75" customHeight="1">
      <c r="A841" s="2" t="str">
        <f>IFERROR(IF('PREENCHER AQUI'!A841="","",'PREENCHER AQUI'!A841),"")</f>
        <v/>
      </c>
      <c r="B841" s="1" t="str">
        <f>IFERROR(IF('PREENCHER AQUI'!B841="","",PROPER('PREENCHER AQUI'!B841)),"")</f>
        <v/>
      </c>
      <c r="C841" s="1" t="str">
        <f>IFERROR(IF('PREENCHER AQUI'!C841="","",'PREENCHER AQUI'!C841),"")</f>
        <v/>
      </c>
      <c r="D841" s="2" t="str">
        <f>IFERROR(IF('PREENCHER AQUI'!D841="","",'PREENCHER AQUI'!D841),"")</f>
        <v/>
      </c>
      <c r="E841" s="2" t="str">
        <f>IFERROR(VLOOKUP(CONCATENATE(C841,D841),qdd!$C$2:$F$1000,2,FALSE),"")</f>
        <v/>
      </c>
      <c r="F841" s="2" t="str">
        <f>IFERROR(VLOOKUP(CONCATENATE(C841,D841),qdd!$C$2:$F$1000,3,FALSE),"")</f>
        <v/>
      </c>
      <c r="G841" s="2" t="str">
        <f>IFERROR(VLOOKUP(CONCATENATE(C841,D841),qdd!$C$2:$F$1000,4,FALSE),"")</f>
        <v/>
      </c>
      <c r="H841" s="6" t="str">
        <f t="shared" si="28"/>
        <v/>
      </c>
      <c r="I8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1" s="2" t="str">
        <f>IFERROR(IF('PREENCHER AQUI'!E841="","",'PREENCHER AQUI'!E841),"")</f>
        <v/>
      </c>
      <c r="K841" s="2" t="str">
        <f>IFERROR(IF('PREENCHER AQUI'!F841="","",'PREENCHER AQUI'!F841),"")</f>
        <v/>
      </c>
      <c r="L841" s="2" t="str">
        <f>IF(Tabela1[[#This Row],[IPU_COD]]=9,"91",IF(Tabela1[[#This Row],[ACAO_COD]]="","",VLOOKUP(CONCATENATE("G",J841,"M",K841),qdd!$BC$2:$BD$46,2,FALSE)))</f>
        <v/>
      </c>
      <c r="M841" s="2" t="str">
        <f>TEXT(IFERROR(VLOOKUP(CONCATENATE(C841,D841),qdd!$C$2:$G$1000,5,FALSE),""),0)</f>
        <v/>
      </c>
      <c r="N841" s="2" t="str">
        <f>IFERROR(IF('PREENCHER AQUI'!I841="","",'PREENCHER AQUI'!I841),"")</f>
        <v/>
      </c>
      <c r="O841" s="2" t="str">
        <f>IFERROR(IF('PREENCHER AQUI'!J841="","",'PREENCHER AQUI'!J841),"")</f>
        <v/>
      </c>
      <c r="P841" s="7" t="str">
        <f t="shared" si="29"/>
        <v/>
      </c>
      <c r="Q841" s="8" t="str">
        <f>IFERROR(IF(Tabela4[[#This Row],[VALOR]]="","",IF(Tabela1[[#This Row],[ORIENTACAO]]="Anular",'PREENCHER AQUI'!K841*-1*100,'PREENCHER AQUI'!K841*100)),"")</f>
        <v/>
      </c>
      <c r="T841" s="7" t="str">
        <f>IFERROR(IF('PREENCHER AQUI'!L841="","999",LEFT('PREENCHER AQUI'!L841,1)),"")</f>
        <v>999</v>
      </c>
      <c r="V841" s="19"/>
      <c r="W841" s="1" t="str">
        <f>IFERROR(VLOOKUP(Tabela1[[#This Row],[UO_COD]],qdd!$AT$1:$AU$102,2,FALSE),"")</f>
        <v/>
      </c>
      <c r="X841" s="1" t="str">
        <f>CONCATENATE("F",Tabela1[[#This Row],[FONTE_COD]],Tabela1[[#This Row],[IPU_COD]],"G",Tabela1[[#This Row],[GRUPO_COD]],"T",Tabela1[[#This Row],[TIPO]])</f>
        <v>FGT999</v>
      </c>
      <c r="Y8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1" s="19"/>
      <c r="AA841" s="29" t="str">
        <f>IFERROR(VLOOKUP(CONCATENATE("B",Tabela1[[#This Row],[BLOCO]],Tabela1[[#This Row],[UO_COD]]),qdd!$AW$2:$AX$1000,2,FALSE),"")</f>
        <v/>
      </c>
      <c r="AB841" s="30" t="str">
        <f>IFERROR(Tabela1[[#This Row],[VALOR]]/100,"")</f>
        <v/>
      </c>
      <c r="AC841" s="7" t="str" cm="1">
        <f t="array" aca="1" ref="AC841" ca="1">IF(Tabela1[[#This Row],[VALOR]]&lt;0,"",IFERROR(SUBSTITUTE(Converter_numero(Tabela1[[#This Row],[VALOR INCISO]]),",",""),""))</f>
        <v/>
      </c>
      <c r="AD841" s="29" t="str">
        <f>IF(Tabela1[[#This Row],[TIPO]]=REGRAS!$W$2,REGRAS!$X$2,IF(Tabela1[[#This Row],[TIPO]]=REGRAS!$W$4,REGRAS!$X$4,""))</f>
        <v/>
      </c>
      <c r="AE841" s="29" t="e">
        <f>VLOOKUP(Tabela1[[#This Row],[FONTE_COD]],REGRAS!$O$2:$P$69,2,FALSE)</f>
        <v>#N/A</v>
      </c>
      <c r="AF8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2" spans="1:32" ht="18.75" customHeight="1">
      <c r="A842" s="2" t="str">
        <f>IFERROR(IF('PREENCHER AQUI'!A842="","",'PREENCHER AQUI'!A842),"")</f>
        <v/>
      </c>
      <c r="B842" s="1" t="str">
        <f>IFERROR(IF('PREENCHER AQUI'!B842="","",PROPER('PREENCHER AQUI'!B842)),"")</f>
        <v/>
      </c>
      <c r="C842" s="1" t="str">
        <f>IFERROR(IF('PREENCHER AQUI'!C842="","",'PREENCHER AQUI'!C842),"")</f>
        <v/>
      </c>
      <c r="D842" s="2" t="str">
        <f>IFERROR(IF('PREENCHER AQUI'!D842="","",'PREENCHER AQUI'!D842),"")</f>
        <v/>
      </c>
      <c r="E842" s="2" t="str">
        <f>IFERROR(VLOOKUP(CONCATENATE(C842,D842),qdd!$C$2:$F$1000,2,FALSE),"")</f>
        <v/>
      </c>
      <c r="F842" s="2" t="str">
        <f>IFERROR(VLOOKUP(CONCATENATE(C842,D842),qdd!$C$2:$F$1000,3,FALSE),"")</f>
        <v/>
      </c>
      <c r="G842" s="2" t="str">
        <f>IFERROR(VLOOKUP(CONCATENATE(C842,D842),qdd!$C$2:$F$1000,4,FALSE),"")</f>
        <v/>
      </c>
      <c r="H842" s="6" t="str">
        <f t="shared" si="28"/>
        <v/>
      </c>
      <c r="I8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2" s="2" t="str">
        <f>IFERROR(IF('PREENCHER AQUI'!E842="","",'PREENCHER AQUI'!E842),"")</f>
        <v/>
      </c>
      <c r="K842" s="2" t="str">
        <f>IFERROR(IF('PREENCHER AQUI'!F842="","",'PREENCHER AQUI'!F842),"")</f>
        <v/>
      </c>
      <c r="L842" s="2" t="str">
        <f>IF(Tabela1[[#This Row],[IPU_COD]]=9,"91",IF(Tabela1[[#This Row],[ACAO_COD]]="","",VLOOKUP(CONCATENATE("G",J842,"M",K842),qdd!$BC$2:$BD$46,2,FALSE)))</f>
        <v/>
      </c>
      <c r="M842" s="2" t="str">
        <f>TEXT(IFERROR(VLOOKUP(CONCATENATE(C842,D842),qdd!$C$2:$G$1000,5,FALSE),""),0)</f>
        <v/>
      </c>
      <c r="N842" s="2" t="str">
        <f>IFERROR(IF('PREENCHER AQUI'!I842="","",'PREENCHER AQUI'!I842),"")</f>
        <v/>
      </c>
      <c r="O842" s="2" t="str">
        <f>IFERROR(IF('PREENCHER AQUI'!J842="","",'PREENCHER AQUI'!J842),"")</f>
        <v/>
      </c>
      <c r="P842" s="7" t="str">
        <f t="shared" si="29"/>
        <v/>
      </c>
      <c r="Q842" s="8" t="str">
        <f>IFERROR(IF(Tabela4[[#This Row],[VALOR]]="","",IF(Tabela1[[#This Row],[ORIENTACAO]]="Anular",'PREENCHER AQUI'!K842*-1*100,'PREENCHER AQUI'!K842*100)),"")</f>
        <v/>
      </c>
      <c r="T842" s="7" t="str">
        <f>IFERROR(IF('PREENCHER AQUI'!L842="","999",LEFT('PREENCHER AQUI'!L842,1)),"")</f>
        <v>999</v>
      </c>
      <c r="W842" s="1" t="str">
        <f>IFERROR(VLOOKUP(Tabela1[[#This Row],[UO_COD]],qdd!$AT$1:$AU$102,2,FALSE),"")</f>
        <v/>
      </c>
      <c r="X842" s="1" t="str">
        <f>CONCATENATE("F",Tabela1[[#This Row],[FONTE_COD]],Tabela1[[#This Row],[IPU_COD]],"G",Tabela1[[#This Row],[GRUPO_COD]],"T",Tabela1[[#This Row],[TIPO]])</f>
        <v>FGT999</v>
      </c>
      <c r="Y8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2" s="19"/>
      <c r="AA842" s="29" t="str">
        <f>IFERROR(VLOOKUP(CONCATENATE("B",Tabela1[[#This Row],[BLOCO]],Tabela1[[#This Row],[UO_COD]]),qdd!$AW$2:$AX$1000,2,FALSE),"")</f>
        <v/>
      </c>
      <c r="AB842" s="30" t="str">
        <f>IFERROR(Tabela1[[#This Row],[VALOR]]/100,"")</f>
        <v/>
      </c>
      <c r="AC842" s="7" t="str" cm="1">
        <f t="array" aca="1" ref="AC842" ca="1">IF(Tabela1[[#This Row],[VALOR]]&lt;0,"",IFERROR(SUBSTITUTE(Converter_numero(Tabela1[[#This Row],[VALOR INCISO]]),",",""),""))</f>
        <v/>
      </c>
      <c r="AD842" s="7" t="str">
        <f>IF(Tabela1[[#This Row],[TIPO]]=REGRAS!$W$2,REGRAS!$X$2,IF(Tabela1[[#This Row],[TIPO]]=REGRAS!$W$4,REGRAS!$X$4,""))</f>
        <v/>
      </c>
      <c r="AE842" s="29" t="e">
        <f>VLOOKUP(Tabela1[[#This Row],[FONTE_COD]],REGRAS!$O$2:$P$69,2,FALSE)</f>
        <v>#N/A</v>
      </c>
      <c r="AF8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3" spans="1:32" ht="18.75" customHeight="1">
      <c r="A843" s="2" t="str">
        <f>IFERROR(IF('PREENCHER AQUI'!A843="","",'PREENCHER AQUI'!A843),"")</f>
        <v/>
      </c>
      <c r="B843" s="1" t="str">
        <f>IFERROR(IF('PREENCHER AQUI'!B843="","",PROPER('PREENCHER AQUI'!B843)),"")</f>
        <v/>
      </c>
      <c r="C843" s="1" t="str">
        <f>IFERROR(IF('PREENCHER AQUI'!C843="","",'PREENCHER AQUI'!C843),"")</f>
        <v/>
      </c>
      <c r="D843" s="2" t="str">
        <f>IFERROR(IF('PREENCHER AQUI'!D843="","",'PREENCHER AQUI'!D843),"")</f>
        <v/>
      </c>
      <c r="E843" s="2" t="str">
        <f>IFERROR(VLOOKUP(CONCATENATE(C843,D843),qdd!$C$2:$F$1000,2,FALSE),"")</f>
        <v/>
      </c>
      <c r="F843" s="2" t="str">
        <f>IFERROR(VLOOKUP(CONCATENATE(C843,D843),qdd!$C$2:$F$1000,3,FALSE),"")</f>
        <v/>
      </c>
      <c r="G843" s="2" t="str">
        <f>IFERROR(VLOOKUP(CONCATENATE(C843,D843),qdd!$C$2:$F$1000,4,FALSE),"")</f>
        <v/>
      </c>
      <c r="H843" s="6" t="str">
        <f t="shared" si="28"/>
        <v/>
      </c>
      <c r="I8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3" s="2" t="str">
        <f>IFERROR(IF('PREENCHER AQUI'!E843="","",'PREENCHER AQUI'!E843),"")</f>
        <v/>
      </c>
      <c r="K843" s="2" t="str">
        <f>IFERROR(IF('PREENCHER AQUI'!F843="","",'PREENCHER AQUI'!F843),"")</f>
        <v/>
      </c>
      <c r="L843" s="2" t="str">
        <f>IF(Tabela1[[#This Row],[IPU_COD]]=9,"91",IF(Tabela1[[#This Row],[ACAO_COD]]="","",VLOOKUP(CONCATENATE("G",J843,"M",K843),qdd!$BC$2:$BD$46,2,FALSE)))</f>
        <v/>
      </c>
      <c r="M843" s="2" t="str">
        <f>TEXT(IFERROR(VLOOKUP(CONCATENATE(C843,D843),qdd!$C$2:$G$1000,5,FALSE),""),0)</f>
        <v/>
      </c>
      <c r="N843" s="2" t="str">
        <f>IFERROR(IF('PREENCHER AQUI'!I843="","",'PREENCHER AQUI'!I843),"")</f>
        <v/>
      </c>
      <c r="O843" s="2" t="str">
        <f>IFERROR(IF('PREENCHER AQUI'!J843="","",'PREENCHER AQUI'!J843),"")</f>
        <v/>
      </c>
      <c r="P843" s="7" t="str">
        <f t="shared" si="29"/>
        <v/>
      </c>
      <c r="Q843" s="8" t="str">
        <f>IFERROR(IF(Tabela4[[#This Row],[VALOR]]="","",IF(Tabela1[[#This Row],[ORIENTACAO]]="Anular",'PREENCHER AQUI'!K843*-1*100,'PREENCHER AQUI'!K843*100)),"")</f>
        <v/>
      </c>
      <c r="T843" s="7" t="str">
        <f>IFERROR(IF('PREENCHER AQUI'!L843="","999",LEFT('PREENCHER AQUI'!L843,1)),"")</f>
        <v>999</v>
      </c>
      <c r="V843" s="19"/>
      <c r="W843" s="1" t="str">
        <f>IFERROR(VLOOKUP(Tabela1[[#This Row],[UO_COD]],qdd!$AT$1:$AU$102,2,FALSE),"")</f>
        <v/>
      </c>
      <c r="X843" s="1" t="str">
        <f>CONCATENATE("F",Tabela1[[#This Row],[FONTE_COD]],Tabela1[[#This Row],[IPU_COD]],"G",Tabela1[[#This Row],[GRUPO_COD]],"T",Tabela1[[#This Row],[TIPO]])</f>
        <v>FGT999</v>
      </c>
      <c r="Y8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3" s="19"/>
      <c r="AA843" s="29" t="str">
        <f>IFERROR(VLOOKUP(CONCATENATE("B",Tabela1[[#This Row],[BLOCO]],Tabela1[[#This Row],[UO_COD]]),qdd!$AW$2:$AX$1000,2,FALSE),"")</f>
        <v/>
      </c>
      <c r="AB843" s="30" t="str">
        <f>IFERROR(Tabela1[[#This Row],[VALOR]]/100,"")</f>
        <v/>
      </c>
      <c r="AC843" s="7" t="str" cm="1">
        <f t="array" aca="1" ref="AC843" ca="1">IF(Tabela1[[#This Row],[VALOR]]&lt;0,"",IFERROR(SUBSTITUTE(Converter_numero(Tabela1[[#This Row],[VALOR INCISO]]),",",""),""))</f>
        <v/>
      </c>
      <c r="AD843" s="29" t="str">
        <f>IF(Tabela1[[#This Row],[TIPO]]=REGRAS!$W$2,REGRAS!$X$2,IF(Tabela1[[#This Row],[TIPO]]=REGRAS!$W$4,REGRAS!$X$4,""))</f>
        <v/>
      </c>
      <c r="AE843" s="29" t="e">
        <f>VLOOKUP(Tabela1[[#This Row],[FONTE_COD]],REGRAS!$O$2:$P$69,2,FALSE)</f>
        <v>#N/A</v>
      </c>
      <c r="AF8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4" spans="1:32" ht="18.75" customHeight="1">
      <c r="A844" s="2" t="str">
        <f>IFERROR(IF('PREENCHER AQUI'!A844="","",'PREENCHER AQUI'!A844),"")</f>
        <v/>
      </c>
      <c r="B844" s="1" t="str">
        <f>IFERROR(IF('PREENCHER AQUI'!B844="","",PROPER('PREENCHER AQUI'!B844)),"")</f>
        <v/>
      </c>
      <c r="C844" s="1" t="str">
        <f>IFERROR(IF('PREENCHER AQUI'!C844="","",'PREENCHER AQUI'!C844),"")</f>
        <v/>
      </c>
      <c r="D844" s="2" t="str">
        <f>IFERROR(IF('PREENCHER AQUI'!D844="","",'PREENCHER AQUI'!D844),"")</f>
        <v/>
      </c>
      <c r="E844" s="2" t="str">
        <f>IFERROR(VLOOKUP(CONCATENATE(C844,D844),qdd!$C$2:$F$1000,2,FALSE),"")</f>
        <v/>
      </c>
      <c r="F844" s="2" t="str">
        <f>IFERROR(VLOOKUP(CONCATENATE(C844,D844),qdd!$C$2:$F$1000,3,FALSE),"")</f>
        <v/>
      </c>
      <c r="G844" s="2" t="str">
        <f>IFERROR(VLOOKUP(CONCATENATE(C844,D844),qdd!$C$2:$F$1000,4,FALSE),"")</f>
        <v/>
      </c>
      <c r="H844" s="6" t="str">
        <f t="shared" si="28"/>
        <v/>
      </c>
      <c r="I8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4" s="2" t="str">
        <f>IFERROR(IF('PREENCHER AQUI'!E844="","",'PREENCHER AQUI'!E844),"")</f>
        <v/>
      </c>
      <c r="K844" s="2" t="str">
        <f>IFERROR(IF('PREENCHER AQUI'!F844="","",'PREENCHER AQUI'!F844),"")</f>
        <v/>
      </c>
      <c r="L844" s="2" t="str">
        <f>IF(Tabela1[[#This Row],[IPU_COD]]=9,"91",IF(Tabela1[[#This Row],[ACAO_COD]]="","",VLOOKUP(CONCATENATE("G",J844,"M",K844),qdd!$BC$2:$BD$46,2,FALSE)))</f>
        <v/>
      </c>
      <c r="M844" s="2" t="str">
        <f>TEXT(IFERROR(VLOOKUP(CONCATENATE(C844,D844),qdd!$C$2:$G$1000,5,FALSE),""),0)</f>
        <v/>
      </c>
      <c r="N844" s="2" t="str">
        <f>IFERROR(IF('PREENCHER AQUI'!I844="","",'PREENCHER AQUI'!I844),"")</f>
        <v/>
      </c>
      <c r="O844" s="2" t="str">
        <f>IFERROR(IF('PREENCHER AQUI'!J844="","",'PREENCHER AQUI'!J844),"")</f>
        <v/>
      </c>
      <c r="P844" s="7" t="str">
        <f t="shared" si="29"/>
        <v/>
      </c>
      <c r="Q844" s="8" t="str">
        <f>IFERROR(IF(Tabela4[[#This Row],[VALOR]]="","",IF(Tabela1[[#This Row],[ORIENTACAO]]="Anular",'PREENCHER AQUI'!K844*-1*100,'PREENCHER AQUI'!K844*100)),"")</f>
        <v/>
      </c>
      <c r="T844" s="7" t="str">
        <f>IFERROR(IF('PREENCHER AQUI'!L844="","999",LEFT('PREENCHER AQUI'!L844,1)),"")</f>
        <v>999</v>
      </c>
      <c r="V844" s="19"/>
      <c r="W844" s="1" t="str">
        <f>IFERROR(VLOOKUP(Tabela1[[#This Row],[UO_COD]],qdd!$AT$1:$AU$102,2,FALSE),"")</f>
        <v/>
      </c>
      <c r="X844" s="1" t="str">
        <f>CONCATENATE("F",Tabela1[[#This Row],[FONTE_COD]],Tabela1[[#This Row],[IPU_COD]],"G",Tabela1[[#This Row],[GRUPO_COD]],"T",Tabela1[[#This Row],[TIPO]])</f>
        <v>FGT999</v>
      </c>
      <c r="Y8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4" s="19"/>
      <c r="AA844" s="29" t="str">
        <f>IFERROR(VLOOKUP(CONCATENATE("B",Tabela1[[#This Row],[BLOCO]],Tabela1[[#This Row],[UO_COD]]),qdd!$AW$2:$AX$1000,2,FALSE),"")</f>
        <v/>
      </c>
      <c r="AB844" s="30" t="str">
        <f>IFERROR(Tabela1[[#This Row],[VALOR]]/100,"")</f>
        <v/>
      </c>
      <c r="AC844" s="7" t="str" cm="1">
        <f t="array" aca="1" ref="AC844" ca="1">IF(Tabela1[[#This Row],[VALOR]]&lt;0,"",IFERROR(SUBSTITUTE(Converter_numero(Tabela1[[#This Row],[VALOR INCISO]]),",",""),""))</f>
        <v/>
      </c>
      <c r="AD844" s="29" t="str">
        <f>IF(Tabela1[[#This Row],[TIPO]]=REGRAS!$W$2,REGRAS!$X$2,IF(Tabela1[[#This Row],[TIPO]]=REGRAS!$W$4,REGRAS!$X$4,""))</f>
        <v/>
      </c>
      <c r="AE844" s="29" t="e">
        <f>VLOOKUP(Tabela1[[#This Row],[FONTE_COD]],REGRAS!$O$2:$P$69,2,FALSE)</f>
        <v>#N/A</v>
      </c>
      <c r="AF8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5" spans="1:32" ht="18.75" customHeight="1">
      <c r="A845" s="2" t="str">
        <f>IFERROR(IF('PREENCHER AQUI'!A845="","",'PREENCHER AQUI'!A845),"")</f>
        <v/>
      </c>
      <c r="B845" s="1" t="str">
        <f>IFERROR(IF('PREENCHER AQUI'!B845="","",PROPER('PREENCHER AQUI'!B845)),"")</f>
        <v/>
      </c>
      <c r="C845" s="1" t="str">
        <f>IFERROR(IF('PREENCHER AQUI'!C845="","",'PREENCHER AQUI'!C845),"")</f>
        <v/>
      </c>
      <c r="D845" s="2" t="str">
        <f>IFERROR(IF('PREENCHER AQUI'!D845="","",'PREENCHER AQUI'!D845),"")</f>
        <v/>
      </c>
      <c r="E845" s="2" t="str">
        <f>IFERROR(VLOOKUP(CONCATENATE(C845,D845),qdd!$C$2:$F$1000,2,FALSE),"")</f>
        <v/>
      </c>
      <c r="F845" s="2" t="str">
        <f>IFERROR(VLOOKUP(CONCATENATE(C845,D845),qdd!$C$2:$F$1000,3,FALSE),"")</f>
        <v/>
      </c>
      <c r="G845" s="2" t="str">
        <f>IFERROR(VLOOKUP(CONCATENATE(C845,D845),qdd!$C$2:$F$1000,4,FALSE),"")</f>
        <v/>
      </c>
      <c r="H845" s="6" t="str">
        <f t="shared" si="28"/>
        <v/>
      </c>
      <c r="I8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5" s="2" t="str">
        <f>IFERROR(IF('PREENCHER AQUI'!E845="","",'PREENCHER AQUI'!E845),"")</f>
        <v/>
      </c>
      <c r="K845" s="2" t="str">
        <f>IFERROR(IF('PREENCHER AQUI'!F845="","",'PREENCHER AQUI'!F845),"")</f>
        <v/>
      </c>
      <c r="L845" s="2" t="str">
        <f>IF(Tabela1[[#This Row],[IPU_COD]]=9,"91",IF(Tabela1[[#This Row],[ACAO_COD]]="","",VLOOKUP(CONCATENATE("G",J845,"M",K845),qdd!$BC$2:$BD$46,2,FALSE)))</f>
        <v/>
      </c>
      <c r="M845" s="2" t="str">
        <f>TEXT(IFERROR(VLOOKUP(CONCATENATE(C845,D845),qdd!$C$2:$G$1000,5,FALSE),""),0)</f>
        <v/>
      </c>
      <c r="N845" s="2" t="str">
        <f>IFERROR(IF('PREENCHER AQUI'!I845="","",'PREENCHER AQUI'!I845),"")</f>
        <v/>
      </c>
      <c r="O845" s="2" t="str">
        <f>IFERROR(IF('PREENCHER AQUI'!J845="","",'PREENCHER AQUI'!J845),"")</f>
        <v/>
      </c>
      <c r="P845" s="7" t="str">
        <f t="shared" si="29"/>
        <v/>
      </c>
      <c r="Q845" s="8" t="str">
        <f>IFERROR(IF(Tabela4[[#This Row],[VALOR]]="","",IF(Tabela1[[#This Row],[ORIENTACAO]]="Anular",'PREENCHER AQUI'!K845*-1*100,'PREENCHER AQUI'!K845*100)),"")</f>
        <v/>
      </c>
      <c r="T845" s="7" t="str">
        <f>IFERROR(IF('PREENCHER AQUI'!L845="","999",LEFT('PREENCHER AQUI'!L845,1)),"")</f>
        <v>999</v>
      </c>
      <c r="V845" s="19"/>
      <c r="W845" s="20" t="str">
        <f>IFERROR(VLOOKUP(Tabela1[[#This Row],[UO_COD]],qdd!$AT$1:$AU$102,2,FALSE),"")</f>
        <v/>
      </c>
      <c r="X845" s="20" t="str">
        <f>CONCATENATE("F",Tabela1[[#This Row],[FONTE_COD]],Tabela1[[#This Row],[IPU_COD]],"G",Tabela1[[#This Row],[GRUPO_COD]],"T",Tabela1[[#This Row],[TIPO]])</f>
        <v>FGT999</v>
      </c>
      <c r="Y8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5" s="19"/>
      <c r="AA845" s="29" t="str">
        <f>IFERROR(VLOOKUP(CONCATENATE("B",Tabela1[[#This Row],[BLOCO]],Tabela1[[#This Row],[UO_COD]]),qdd!$AW$2:$AX$1000,2,FALSE),"")</f>
        <v/>
      </c>
      <c r="AB845" s="30" t="str">
        <f>IFERROR(Tabela1[[#This Row],[VALOR]]/100,"")</f>
        <v/>
      </c>
      <c r="AC845" s="7" t="str" cm="1">
        <f t="array" aca="1" ref="AC845" ca="1">IF(Tabela1[[#This Row],[VALOR]]&lt;0,"",IFERROR(SUBSTITUTE(Converter_numero(Tabela1[[#This Row],[VALOR INCISO]]),",",""),""))</f>
        <v/>
      </c>
      <c r="AD845" s="29" t="str">
        <f>IF(Tabela1[[#This Row],[TIPO]]=REGRAS!$W$2,REGRAS!$X$2,IF(Tabela1[[#This Row],[TIPO]]=REGRAS!$W$4,REGRAS!$X$4,""))</f>
        <v/>
      </c>
      <c r="AE845" s="29" t="e">
        <f>VLOOKUP(Tabela1[[#This Row],[FONTE_COD]],REGRAS!$O$2:$P$69,2,FALSE)</f>
        <v>#N/A</v>
      </c>
      <c r="AF8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6" spans="1:32" ht="18.75" customHeight="1">
      <c r="A846" s="2" t="str">
        <f>IFERROR(IF('PREENCHER AQUI'!A846="","",'PREENCHER AQUI'!A846),"")</f>
        <v/>
      </c>
      <c r="B846" s="1" t="str">
        <f>IFERROR(IF('PREENCHER AQUI'!B846="","",PROPER('PREENCHER AQUI'!B846)),"")</f>
        <v/>
      </c>
      <c r="C846" s="1" t="str">
        <f>IFERROR(IF('PREENCHER AQUI'!C846="","",'PREENCHER AQUI'!C846),"")</f>
        <v/>
      </c>
      <c r="D846" s="2" t="str">
        <f>IFERROR(IF('PREENCHER AQUI'!D846="","",'PREENCHER AQUI'!D846),"")</f>
        <v/>
      </c>
      <c r="E846" s="2" t="str">
        <f>IFERROR(VLOOKUP(CONCATENATE(C846,D846),qdd!$C$2:$F$1000,2,FALSE),"")</f>
        <v/>
      </c>
      <c r="F846" s="2" t="str">
        <f>IFERROR(VLOOKUP(CONCATENATE(C846,D846),qdd!$C$2:$F$1000,3,FALSE),"")</f>
        <v/>
      </c>
      <c r="G846" s="2" t="str">
        <f>IFERROR(VLOOKUP(CONCATENATE(C846,D846),qdd!$C$2:$F$1000,4,FALSE),"")</f>
        <v/>
      </c>
      <c r="H846" s="6" t="str">
        <f t="shared" si="28"/>
        <v/>
      </c>
      <c r="I8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6" s="2" t="str">
        <f>IFERROR(IF('PREENCHER AQUI'!E846="","",'PREENCHER AQUI'!E846),"")</f>
        <v/>
      </c>
      <c r="K846" s="2" t="str">
        <f>IFERROR(IF('PREENCHER AQUI'!F846="","",'PREENCHER AQUI'!F846),"")</f>
        <v/>
      </c>
      <c r="L846" s="2" t="str">
        <f>IF(Tabela1[[#This Row],[IPU_COD]]=9,"91",IF(Tabela1[[#This Row],[ACAO_COD]]="","",VLOOKUP(CONCATENATE("G",J846,"M",K846),qdd!$BC$2:$BD$46,2,FALSE)))</f>
        <v/>
      </c>
      <c r="M846" s="2" t="str">
        <f>TEXT(IFERROR(VLOOKUP(CONCATENATE(C846,D846),qdd!$C$2:$G$1000,5,FALSE),""),0)</f>
        <v/>
      </c>
      <c r="N846" s="2" t="str">
        <f>IFERROR(IF('PREENCHER AQUI'!I846="","",'PREENCHER AQUI'!I846),"")</f>
        <v/>
      </c>
      <c r="O846" s="2" t="str">
        <f>IFERROR(IF('PREENCHER AQUI'!J846="","",'PREENCHER AQUI'!J846),"")</f>
        <v/>
      </c>
      <c r="P846" s="7" t="str">
        <f t="shared" si="29"/>
        <v/>
      </c>
      <c r="Q846" s="8" t="str">
        <f>IFERROR(IF(Tabela4[[#This Row],[VALOR]]="","",IF(Tabela1[[#This Row],[ORIENTACAO]]="Anular",'PREENCHER AQUI'!K846*-1*100,'PREENCHER AQUI'!K846*100)),"")</f>
        <v/>
      </c>
      <c r="T846" s="7" t="str">
        <f>IFERROR(IF('PREENCHER AQUI'!L846="","999",LEFT('PREENCHER AQUI'!L846,1)),"")</f>
        <v>999</v>
      </c>
      <c r="V846" s="19"/>
      <c r="W846" s="1" t="str">
        <f>IFERROR(VLOOKUP(Tabela1[[#This Row],[UO_COD]],qdd!$AT$1:$AU$102,2,FALSE),"")</f>
        <v/>
      </c>
      <c r="X846" s="1" t="str">
        <f>CONCATENATE("F",Tabela1[[#This Row],[FONTE_COD]],Tabela1[[#This Row],[IPU_COD]],"G",Tabela1[[#This Row],[GRUPO_COD]],"T",Tabela1[[#This Row],[TIPO]])</f>
        <v>FGT999</v>
      </c>
      <c r="Y8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6" s="19"/>
      <c r="AA846" s="29" t="str">
        <f>IFERROR(VLOOKUP(CONCATENATE("B",Tabela1[[#This Row],[BLOCO]],Tabela1[[#This Row],[UO_COD]]),qdd!$AW$2:$AX$1000,2,FALSE),"")</f>
        <v/>
      </c>
      <c r="AB846" s="30" t="str">
        <f>IFERROR(Tabela1[[#This Row],[VALOR]]/100,"")</f>
        <v/>
      </c>
      <c r="AC846" s="7" t="str" cm="1">
        <f t="array" aca="1" ref="AC846" ca="1">IF(Tabela1[[#This Row],[VALOR]]&lt;0,"",IFERROR(SUBSTITUTE(Converter_numero(Tabela1[[#This Row],[VALOR INCISO]]),",",""),""))</f>
        <v/>
      </c>
      <c r="AD846" s="29" t="str">
        <f>IF(Tabela1[[#This Row],[TIPO]]=REGRAS!$W$2,REGRAS!$X$2,IF(Tabela1[[#This Row],[TIPO]]=REGRAS!$W$4,REGRAS!$X$4,""))</f>
        <v/>
      </c>
      <c r="AE846" s="29" t="e">
        <f>VLOOKUP(Tabela1[[#This Row],[FONTE_COD]],REGRAS!$O$2:$P$69,2,FALSE)</f>
        <v>#N/A</v>
      </c>
      <c r="AF8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7" spans="1:32" ht="18.75" customHeight="1">
      <c r="A847" s="2" t="str">
        <f>IFERROR(IF('PREENCHER AQUI'!A847="","",'PREENCHER AQUI'!A847),"")</f>
        <v/>
      </c>
      <c r="B847" s="1" t="str">
        <f>IFERROR(IF('PREENCHER AQUI'!B847="","",PROPER('PREENCHER AQUI'!B847)),"")</f>
        <v/>
      </c>
      <c r="C847" s="1" t="str">
        <f>IFERROR(IF('PREENCHER AQUI'!C847="","",'PREENCHER AQUI'!C847),"")</f>
        <v/>
      </c>
      <c r="D847" s="2" t="str">
        <f>IFERROR(IF('PREENCHER AQUI'!D847="","",'PREENCHER AQUI'!D847),"")</f>
        <v/>
      </c>
      <c r="E847" s="2" t="str">
        <f>IFERROR(VLOOKUP(CONCATENATE(C847,D847),qdd!$C$2:$F$1000,2,FALSE),"")</f>
        <v/>
      </c>
      <c r="F847" s="2" t="str">
        <f>IFERROR(VLOOKUP(CONCATENATE(C847,D847),qdd!$C$2:$F$1000,3,FALSE),"")</f>
        <v/>
      </c>
      <c r="G847" s="2" t="str">
        <f>IFERROR(VLOOKUP(CONCATENATE(C847,D847),qdd!$C$2:$F$1000,4,FALSE),"")</f>
        <v/>
      </c>
      <c r="H847" s="6" t="str">
        <f t="shared" si="28"/>
        <v/>
      </c>
      <c r="I8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7" s="2" t="str">
        <f>IFERROR(IF('PREENCHER AQUI'!E847="","",'PREENCHER AQUI'!E847),"")</f>
        <v/>
      </c>
      <c r="K847" s="2" t="str">
        <f>IFERROR(IF('PREENCHER AQUI'!F847="","",'PREENCHER AQUI'!F847),"")</f>
        <v/>
      </c>
      <c r="L847" s="2" t="str">
        <f>IF(Tabela1[[#This Row],[IPU_COD]]=9,"91",IF(Tabela1[[#This Row],[ACAO_COD]]="","",VLOOKUP(CONCATENATE("G",J847,"M",K847),qdd!$BC$2:$BD$46,2,FALSE)))</f>
        <v/>
      </c>
      <c r="M847" s="2" t="str">
        <f>TEXT(IFERROR(VLOOKUP(CONCATENATE(C847,D847),qdd!$C$2:$G$1000,5,FALSE),""),0)</f>
        <v/>
      </c>
      <c r="N847" s="2" t="str">
        <f>IFERROR(IF('PREENCHER AQUI'!I847="","",'PREENCHER AQUI'!I847),"")</f>
        <v/>
      </c>
      <c r="O847" s="2" t="str">
        <f>IFERROR(IF('PREENCHER AQUI'!J847="","",'PREENCHER AQUI'!J847),"")</f>
        <v/>
      </c>
      <c r="P847" s="7" t="str">
        <f t="shared" si="29"/>
        <v/>
      </c>
      <c r="Q847" s="8" t="str">
        <f>IFERROR(IF(Tabela4[[#This Row],[VALOR]]="","",IF(Tabela1[[#This Row],[ORIENTACAO]]="Anular",'PREENCHER AQUI'!K847*-1*100,'PREENCHER AQUI'!K847*100)),"")</f>
        <v/>
      </c>
      <c r="T847" s="7" t="str">
        <f>IFERROR(IF('PREENCHER AQUI'!L847="","999",LEFT('PREENCHER AQUI'!L847,1)),"")</f>
        <v>999</v>
      </c>
      <c r="W847" s="1" t="str">
        <f>IFERROR(VLOOKUP(Tabela1[[#This Row],[UO_COD]],qdd!$AT$1:$AU$102,2,FALSE),"")</f>
        <v/>
      </c>
      <c r="X847" s="1" t="str">
        <f>CONCATENATE("F",Tabela1[[#This Row],[FONTE_COD]],Tabela1[[#This Row],[IPU_COD]],"G",Tabela1[[#This Row],[GRUPO_COD]],"T",Tabela1[[#This Row],[TIPO]])</f>
        <v>FGT999</v>
      </c>
      <c r="Y8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7" s="19"/>
      <c r="AA847" s="29" t="str">
        <f>IFERROR(VLOOKUP(CONCATENATE("B",Tabela1[[#This Row],[BLOCO]],Tabela1[[#This Row],[UO_COD]]),qdd!$AW$2:$AX$1000,2,FALSE),"")</f>
        <v/>
      </c>
      <c r="AB847" s="30" t="str">
        <f>IFERROR(Tabela1[[#This Row],[VALOR]]/100,"")</f>
        <v/>
      </c>
      <c r="AC847" s="7" t="str" cm="1">
        <f t="array" aca="1" ref="AC847" ca="1">IF(Tabela1[[#This Row],[VALOR]]&lt;0,"",IFERROR(SUBSTITUTE(Converter_numero(Tabela1[[#This Row],[VALOR INCISO]]),",",""),""))</f>
        <v/>
      </c>
      <c r="AD847" s="7" t="str">
        <f>IF(Tabela1[[#This Row],[TIPO]]=REGRAS!$W$2,REGRAS!$X$2,IF(Tabela1[[#This Row],[TIPO]]=REGRAS!$W$4,REGRAS!$X$4,""))</f>
        <v/>
      </c>
      <c r="AE847" s="29" t="e">
        <f>VLOOKUP(Tabela1[[#This Row],[FONTE_COD]],REGRAS!$O$2:$P$69,2,FALSE)</f>
        <v>#N/A</v>
      </c>
      <c r="AF8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8" spans="1:32" ht="18.75" customHeight="1">
      <c r="A848" s="2" t="str">
        <f>IFERROR(IF('PREENCHER AQUI'!A848="","",'PREENCHER AQUI'!A848),"")</f>
        <v/>
      </c>
      <c r="B848" s="1" t="str">
        <f>IFERROR(IF('PREENCHER AQUI'!B848="","",PROPER('PREENCHER AQUI'!B848)),"")</f>
        <v/>
      </c>
      <c r="C848" s="1" t="str">
        <f>IFERROR(IF('PREENCHER AQUI'!C848="","",'PREENCHER AQUI'!C848),"")</f>
        <v/>
      </c>
      <c r="D848" s="2" t="str">
        <f>IFERROR(IF('PREENCHER AQUI'!D848="","",'PREENCHER AQUI'!D848),"")</f>
        <v/>
      </c>
      <c r="E848" s="2" t="str">
        <f>IFERROR(VLOOKUP(CONCATENATE(C848,D848),qdd!$C$2:$F$1000,2,FALSE),"")</f>
        <v/>
      </c>
      <c r="F848" s="2" t="str">
        <f>IFERROR(VLOOKUP(CONCATENATE(C848,D848),qdd!$C$2:$F$1000,3,FALSE),"")</f>
        <v/>
      </c>
      <c r="G848" s="2" t="str">
        <f>IFERROR(VLOOKUP(CONCATENATE(C848,D848),qdd!$C$2:$F$1000,4,FALSE),"")</f>
        <v/>
      </c>
      <c r="H848" s="6" t="str">
        <f t="shared" si="28"/>
        <v/>
      </c>
      <c r="I8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8" s="2" t="str">
        <f>IFERROR(IF('PREENCHER AQUI'!E848="","",'PREENCHER AQUI'!E848),"")</f>
        <v/>
      </c>
      <c r="K848" s="2" t="str">
        <f>IFERROR(IF('PREENCHER AQUI'!F848="","",'PREENCHER AQUI'!F848),"")</f>
        <v/>
      </c>
      <c r="L848" s="2" t="str">
        <f>IF(Tabela1[[#This Row],[IPU_COD]]=9,"91",IF(Tabela1[[#This Row],[ACAO_COD]]="","",VLOOKUP(CONCATENATE("G",J848,"M",K848),qdd!$BC$2:$BD$46,2,FALSE)))</f>
        <v/>
      </c>
      <c r="M848" s="2" t="str">
        <f>TEXT(IFERROR(VLOOKUP(CONCATENATE(C848,D848),qdd!$C$2:$G$1000,5,FALSE),""),0)</f>
        <v/>
      </c>
      <c r="N848" s="2" t="str">
        <f>IFERROR(IF('PREENCHER AQUI'!I848="","",'PREENCHER AQUI'!I848),"")</f>
        <v/>
      </c>
      <c r="O848" s="2" t="str">
        <f>IFERROR(IF('PREENCHER AQUI'!J848="","",'PREENCHER AQUI'!J848),"")</f>
        <v/>
      </c>
      <c r="P848" s="7" t="str">
        <f t="shared" si="29"/>
        <v/>
      </c>
      <c r="Q848" s="8" t="str">
        <f>IFERROR(IF(Tabela4[[#This Row],[VALOR]]="","",IF(Tabela1[[#This Row],[ORIENTACAO]]="Anular",'PREENCHER AQUI'!K848*-1*100,'PREENCHER AQUI'!K848*100)),"")</f>
        <v/>
      </c>
      <c r="T848" s="7" t="str">
        <f>IFERROR(IF('PREENCHER AQUI'!L848="","999",LEFT('PREENCHER AQUI'!L848,1)),"")</f>
        <v>999</v>
      </c>
      <c r="V848" s="19"/>
      <c r="W848" s="1" t="str">
        <f>IFERROR(VLOOKUP(Tabela1[[#This Row],[UO_COD]],qdd!$AT$1:$AU$102,2,FALSE),"")</f>
        <v/>
      </c>
      <c r="X848" s="1" t="str">
        <f>CONCATENATE("F",Tabela1[[#This Row],[FONTE_COD]],Tabela1[[#This Row],[IPU_COD]],"G",Tabela1[[#This Row],[GRUPO_COD]],"T",Tabela1[[#This Row],[TIPO]])</f>
        <v>FGT999</v>
      </c>
      <c r="Y8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8" s="19"/>
      <c r="AA848" s="29" t="str">
        <f>IFERROR(VLOOKUP(CONCATENATE("B",Tabela1[[#This Row],[BLOCO]],Tabela1[[#This Row],[UO_COD]]),qdd!$AW$2:$AX$1000,2,FALSE),"")</f>
        <v/>
      </c>
      <c r="AB848" s="30" t="str">
        <f>IFERROR(Tabela1[[#This Row],[VALOR]]/100,"")</f>
        <v/>
      </c>
      <c r="AC848" s="7" t="str" cm="1">
        <f t="array" aca="1" ref="AC848" ca="1">IF(Tabela1[[#This Row],[VALOR]]&lt;0,"",IFERROR(SUBSTITUTE(Converter_numero(Tabela1[[#This Row],[VALOR INCISO]]),",",""),""))</f>
        <v/>
      </c>
      <c r="AD848" s="29" t="str">
        <f>IF(Tabela1[[#This Row],[TIPO]]=REGRAS!$W$2,REGRAS!$X$2,IF(Tabela1[[#This Row],[TIPO]]=REGRAS!$W$4,REGRAS!$X$4,""))</f>
        <v/>
      </c>
      <c r="AE848" s="29" t="e">
        <f>VLOOKUP(Tabela1[[#This Row],[FONTE_COD]],REGRAS!$O$2:$P$69,2,FALSE)</f>
        <v>#N/A</v>
      </c>
      <c r="AF8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9" spans="1:32" ht="18.75" customHeight="1">
      <c r="A849" s="2" t="str">
        <f>IFERROR(IF('PREENCHER AQUI'!A849="","",'PREENCHER AQUI'!A849),"")</f>
        <v/>
      </c>
      <c r="B849" s="1" t="str">
        <f>IFERROR(IF('PREENCHER AQUI'!B849="","",PROPER('PREENCHER AQUI'!B849)),"")</f>
        <v/>
      </c>
      <c r="C849" s="1" t="str">
        <f>IFERROR(IF('PREENCHER AQUI'!C849="","",'PREENCHER AQUI'!C849),"")</f>
        <v/>
      </c>
      <c r="D849" s="2" t="str">
        <f>IFERROR(IF('PREENCHER AQUI'!D849="","",'PREENCHER AQUI'!D849),"")</f>
        <v/>
      </c>
      <c r="E849" s="2" t="str">
        <f>IFERROR(VLOOKUP(CONCATENATE(C849,D849),qdd!$C$2:$F$1000,2,FALSE),"")</f>
        <v/>
      </c>
      <c r="F849" s="2" t="str">
        <f>IFERROR(VLOOKUP(CONCATENATE(C849,D849),qdd!$C$2:$F$1000,3,FALSE),"")</f>
        <v/>
      </c>
      <c r="G849" s="2" t="str">
        <f>IFERROR(VLOOKUP(CONCATENATE(C849,D849),qdd!$C$2:$F$1000,4,FALSE),"")</f>
        <v/>
      </c>
      <c r="H849" s="6" t="str">
        <f t="shared" si="28"/>
        <v/>
      </c>
      <c r="I8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9" s="2" t="str">
        <f>IFERROR(IF('PREENCHER AQUI'!E849="","",'PREENCHER AQUI'!E849),"")</f>
        <v/>
      </c>
      <c r="K849" s="2" t="str">
        <f>IFERROR(IF('PREENCHER AQUI'!F849="","",'PREENCHER AQUI'!F849),"")</f>
        <v/>
      </c>
      <c r="L849" s="2" t="str">
        <f>IF(Tabela1[[#This Row],[IPU_COD]]=9,"91",IF(Tabela1[[#This Row],[ACAO_COD]]="","",VLOOKUP(CONCATENATE("G",J849,"M",K849),qdd!$BC$2:$BD$46,2,FALSE)))</f>
        <v/>
      </c>
      <c r="M849" s="2" t="str">
        <f>TEXT(IFERROR(VLOOKUP(CONCATENATE(C849,D849),qdd!$C$2:$G$1000,5,FALSE),""),0)</f>
        <v/>
      </c>
      <c r="N849" s="2" t="str">
        <f>IFERROR(IF('PREENCHER AQUI'!I849="","",'PREENCHER AQUI'!I849),"")</f>
        <v/>
      </c>
      <c r="O849" s="2" t="str">
        <f>IFERROR(IF('PREENCHER AQUI'!J849="","",'PREENCHER AQUI'!J849),"")</f>
        <v/>
      </c>
      <c r="P849" s="7" t="str">
        <f t="shared" si="29"/>
        <v/>
      </c>
      <c r="Q849" s="8" t="str">
        <f>IFERROR(IF(Tabela4[[#This Row],[VALOR]]="","",IF(Tabela1[[#This Row],[ORIENTACAO]]="Anular",'PREENCHER AQUI'!K849*-1*100,'PREENCHER AQUI'!K849*100)),"")</f>
        <v/>
      </c>
      <c r="T849" s="7" t="str">
        <f>IFERROR(IF('PREENCHER AQUI'!L849="","999",LEFT('PREENCHER AQUI'!L849,1)),"")</f>
        <v>999</v>
      </c>
      <c r="V849" s="19"/>
      <c r="W849" s="1" t="str">
        <f>IFERROR(VLOOKUP(Tabela1[[#This Row],[UO_COD]],qdd!$AT$1:$AU$102,2,FALSE),"")</f>
        <v/>
      </c>
      <c r="X849" s="1" t="str">
        <f>CONCATENATE("F",Tabela1[[#This Row],[FONTE_COD]],Tabela1[[#This Row],[IPU_COD]],"G",Tabela1[[#This Row],[GRUPO_COD]],"T",Tabela1[[#This Row],[TIPO]])</f>
        <v>FGT999</v>
      </c>
      <c r="Y8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9" s="19"/>
      <c r="AA849" s="29" t="str">
        <f>IFERROR(VLOOKUP(CONCATENATE("B",Tabela1[[#This Row],[BLOCO]],Tabela1[[#This Row],[UO_COD]]),qdd!$AW$2:$AX$1000,2,FALSE),"")</f>
        <v/>
      </c>
      <c r="AB849" s="30" t="str">
        <f>IFERROR(Tabela1[[#This Row],[VALOR]]/100,"")</f>
        <v/>
      </c>
      <c r="AC849" s="7" t="str" cm="1">
        <f t="array" aca="1" ref="AC849" ca="1">IF(Tabela1[[#This Row],[VALOR]]&lt;0,"",IFERROR(SUBSTITUTE(Converter_numero(Tabela1[[#This Row],[VALOR INCISO]]),",",""),""))</f>
        <v/>
      </c>
      <c r="AD849" s="29" t="str">
        <f>IF(Tabela1[[#This Row],[TIPO]]=REGRAS!$W$2,REGRAS!$X$2,IF(Tabela1[[#This Row],[TIPO]]=REGRAS!$W$4,REGRAS!$X$4,""))</f>
        <v/>
      </c>
      <c r="AE849" s="29" t="e">
        <f>VLOOKUP(Tabela1[[#This Row],[FONTE_COD]],REGRAS!$O$2:$P$69,2,FALSE)</f>
        <v>#N/A</v>
      </c>
      <c r="AF8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0" spans="1:32" ht="18.75" customHeight="1">
      <c r="A850" s="2" t="str">
        <f>IFERROR(IF('PREENCHER AQUI'!A850="","",'PREENCHER AQUI'!A850),"")</f>
        <v/>
      </c>
      <c r="B850" s="1" t="str">
        <f>IFERROR(IF('PREENCHER AQUI'!B850="","",PROPER('PREENCHER AQUI'!B850)),"")</f>
        <v/>
      </c>
      <c r="C850" s="1" t="str">
        <f>IFERROR(IF('PREENCHER AQUI'!C850="","",'PREENCHER AQUI'!C850),"")</f>
        <v/>
      </c>
      <c r="D850" s="2" t="str">
        <f>IFERROR(IF('PREENCHER AQUI'!D850="","",'PREENCHER AQUI'!D850),"")</f>
        <v/>
      </c>
      <c r="E850" s="2" t="str">
        <f>IFERROR(VLOOKUP(CONCATENATE(C850,D850),qdd!$C$2:$F$1000,2,FALSE),"")</f>
        <v/>
      </c>
      <c r="F850" s="2" t="str">
        <f>IFERROR(VLOOKUP(CONCATENATE(C850,D850),qdd!$C$2:$F$1000,3,FALSE),"")</f>
        <v/>
      </c>
      <c r="G850" s="2" t="str">
        <f>IFERROR(VLOOKUP(CONCATENATE(C850,D850),qdd!$C$2:$F$1000,4,FALSE),"")</f>
        <v/>
      </c>
      <c r="H850" s="6" t="str">
        <f t="shared" si="28"/>
        <v/>
      </c>
      <c r="I8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0" s="2" t="str">
        <f>IFERROR(IF('PREENCHER AQUI'!E850="","",'PREENCHER AQUI'!E850),"")</f>
        <v/>
      </c>
      <c r="K850" s="2" t="str">
        <f>IFERROR(IF('PREENCHER AQUI'!F850="","",'PREENCHER AQUI'!F850),"")</f>
        <v/>
      </c>
      <c r="L850" s="2" t="str">
        <f>IF(Tabela1[[#This Row],[IPU_COD]]=9,"91",IF(Tabela1[[#This Row],[ACAO_COD]]="","",VLOOKUP(CONCATENATE("G",J850,"M",K850),qdd!$BC$2:$BD$46,2,FALSE)))</f>
        <v/>
      </c>
      <c r="M850" s="2" t="str">
        <f>TEXT(IFERROR(VLOOKUP(CONCATENATE(C850,D850),qdd!$C$2:$G$1000,5,FALSE),""),0)</f>
        <v/>
      </c>
      <c r="N850" s="2" t="str">
        <f>IFERROR(IF('PREENCHER AQUI'!I850="","",'PREENCHER AQUI'!I850),"")</f>
        <v/>
      </c>
      <c r="O850" s="2" t="str">
        <f>IFERROR(IF('PREENCHER AQUI'!J850="","",'PREENCHER AQUI'!J850),"")</f>
        <v/>
      </c>
      <c r="P850" s="7" t="str">
        <f t="shared" si="29"/>
        <v/>
      </c>
      <c r="Q850" s="8" t="str">
        <f>IFERROR(IF(Tabela4[[#This Row],[VALOR]]="","",IF(Tabela1[[#This Row],[ORIENTACAO]]="Anular",'PREENCHER AQUI'!K850*-1*100,'PREENCHER AQUI'!K850*100)),"")</f>
        <v/>
      </c>
      <c r="T850" s="7" t="str">
        <f>IFERROR(IF('PREENCHER AQUI'!L850="","999",LEFT('PREENCHER AQUI'!L850,1)),"")</f>
        <v>999</v>
      </c>
      <c r="V850" s="19"/>
      <c r="W850" s="20" t="str">
        <f>IFERROR(VLOOKUP(Tabela1[[#This Row],[UO_COD]],qdd!$AT$1:$AU$102,2,FALSE),"")</f>
        <v/>
      </c>
      <c r="X850" s="20" t="str">
        <f>CONCATENATE("F",Tabela1[[#This Row],[FONTE_COD]],Tabela1[[#This Row],[IPU_COD]],"G",Tabela1[[#This Row],[GRUPO_COD]],"T",Tabela1[[#This Row],[TIPO]])</f>
        <v>FGT999</v>
      </c>
      <c r="Y8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0" s="19"/>
      <c r="AA850" s="29" t="str">
        <f>IFERROR(VLOOKUP(CONCATENATE("B",Tabela1[[#This Row],[BLOCO]],Tabela1[[#This Row],[UO_COD]]),qdd!$AW$2:$AX$1000,2,FALSE),"")</f>
        <v/>
      </c>
      <c r="AB850" s="30" t="str">
        <f>IFERROR(Tabela1[[#This Row],[VALOR]]/100,"")</f>
        <v/>
      </c>
      <c r="AC850" s="7" t="str" cm="1">
        <f t="array" aca="1" ref="AC850" ca="1">IF(Tabela1[[#This Row],[VALOR]]&lt;0,"",IFERROR(SUBSTITUTE(Converter_numero(Tabela1[[#This Row],[VALOR INCISO]]),",",""),""))</f>
        <v/>
      </c>
      <c r="AD850" s="29" t="str">
        <f>IF(Tabela1[[#This Row],[TIPO]]=REGRAS!$W$2,REGRAS!$X$2,IF(Tabela1[[#This Row],[TIPO]]=REGRAS!$W$4,REGRAS!$X$4,""))</f>
        <v/>
      </c>
      <c r="AE850" s="29" t="e">
        <f>VLOOKUP(Tabela1[[#This Row],[FONTE_COD]],REGRAS!$O$2:$P$69,2,FALSE)</f>
        <v>#N/A</v>
      </c>
      <c r="AF8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1" spans="1:32" ht="18.75" customHeight="1">
      <c r="A851" s="2" t="str">
        <f>IFERROR(IF('PREENCHER AQUI'!A851="","",'PREENCHER AQUI'!A851),"")</f>
        <v/>
      </c>
      <c r="B851" s="1" t="str">
        <f>IFERROR(IF('PREENCHER AQUI'!B851="","",PROPER('PREENCHER AQUI'!B851)),"")</f>
        <v/>
      </c>
      <c r="C851" s="1" t="str">
        <f>IFERROR(IF('PREENCHER AQUI'!C851="","",'PREENCHER AQUI'!C851),"")</f>
        <v/>
      </c>
      <c r="D851" s="2" t="str">
        <f>IFERROR(IF('PREENCHER AQUI'!D851="","",'PREENCHER AQUI'!D851),"")</f>
        <v/>
      </c>
      <c r="E851" s="2" t="str">
        <f>IFERROR(VLOOKUP(CONCATENATE(C851,D851),qdd!$C$2:$F$1000,2,FALSE),"")</f>
        <v/>
      </c>
      <c r="F851" s="2" t="str">
        <f>IFERROR(VLOOKUP(CONCATENATE(C851,D851),qdd!$C$2:$F$1000,3,FALSE),"")</f>
        <v/>
      </c>
      <c r="G851" s="2" t="str">
        <f>IFERROR(VLOOKUP(CONCATENATE(C851,D851),qdd!$C$2:$F$1000,4,FALSE),"")</f>
        <v/>
      </c>
      <c r="H851" s="6" t="str">
        <f t="shared" si="28"/>
        <v/>
      </c>
      <c r="I8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1" s="2" t="str">
        <f>IFERROR(IF('PREENCHER AQUI'!E851="","",'PREENCHER AQUI'!E851),"")</f>
        <v/>
      </c>
      <c r="K851" s="2" t="str">
        <f>IFERROR(IF('PREENCHER AQUI'!F851="","",'PREENCHER AQUI'!F851),"")</f>
        <v/>
      </c>
      <c r="L851" s="2" t="str">
        <f>IF(Tabela1[[#This Row],[IPU_COD]]=9,"91",IF(Tabela1[[#This Row],[ACAO_COD]]="","",VLOOKUP(CONCATENATE("G",J851,"M",K851),qdd!$BC$2:$BD$46,2,FALSE)))</f>
        <v/>
      </c>
      <c r="M851" s="2" t="str">
        <f>TEXT(IFERROR(VLOOKUP(CONCATENATE(C851,D851),qdd!$C$2:$G$1000,5,FALSE),""),0)</f>
        <v/>
      </c>
      <c r="N851" s="2" t="str">
        <f>IFERROR(IF('PREENCHER AQUI'!I851="","",'PREENCHER AQUI'!I851),"")</f>
        <v/>
      </c>
      <c r="O851" s="2" t="str">
        <f>IFERROR(IF('PREENCHER AQUI'!J851="","",'PREENCHER AQUI'!J851),"")</f>
        <v/>
      </c>
      <c r="P851" s="7" t="str">
        <f t="shared" si="29"/>
        <v/>
      </c>
      <c r="Q851" s="8" t="str">
        <f>IFERROR(IF(Tabela4[[#This Row],[VALOR]]="","",IF(Tabela1[[#This Row],[ORIENTACAO]]="Anular",'PREENCHER AQUI'!K851*-1*100,'PREENCHER AQUI'!K851*100)),"")</f>
        <v/>
      </c>
      <c r="T851" s="7" t="str">
        <f>IFERROR(IF('PREENCHER AQUI'!L851="","999",LEFT('PREENCHER AQUI'!L851,1)),"")</f>
        <v>999</v>
      </c>
      <c r="V851" s="19"/>
      <c r="W851" s="1" t="str">
        <f>IFERROR(VLOOKUP(Tabela1[[#This Row],[UO_COD]],qdd!$AT$1:$AU$102,2,FALSE),"")</f>
        <v/>
      </c>
      <c r="X851" s="1" t="str">
        <f>CONCATENATE("F",Tabela1[[#This Row],[FONTE_COD]],Tabela1[[#This Row],[IPU_COD]],"G",Tabela1[[#This Row],[GRUPO_COD]],"T",Tabela1[[#This Row],[TIPO]])</f>
        <v>FGT999</v>
      </c>
      <c r="Y8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1" s="19"/>
      <c r="AA851" s="29" t="str">
        <f>IFERROR(VLOOKUP(CONCATENATE("B",Tabela1[[#This Row],[BLOCO]],Tabela1[[#This Row],[UO_COD]]),qdd!$AW$2:$AX$1000,2,FALSE),"")</f>
        <v/>
      </c>
      <c r="AB851" s="30" t="str">
        <f>IFERROR(Tabela1[[#This Row],[VALOR]]/100,"")</f>
        <v/>
      </c>
      <c r="AC851" s="7" t="str" cm="1">
        <f t="array" aca="1" ref="AC851" ca="1">IF(Tabela1[[#This Row],[VALOR]]&lt;0,"",IFERROR(SUBSTITUTE(Converter_numero(Tabela1[[#This Row],[VALOR INCISO]]),",",""),""))</f>
        <v/>
      </c>
      <c r="AD851" s="29" t="str">
        <f>IF(Tabela1[[#This Row],[TIPO]]=REGRAS!$W$2,REGRAS!$X$2,IF(Tabela1[[#This Row],[TIPO]]=REGRAS!$W$4,REGRAS!$X$4,""))</f>
        <v/>
      </c>
      <c r="AE851" s="29" t="e">
        <f>VLOOKUP(Tabela1[[#This Row],[FONTE_COD]],REGRAS!$O$2:$P$69,2,FALSE)</f>
        <v>#N/A</v>
      </c>
      <c r="AF8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2" spans="1:32" ht="18.75" customHeight="1">
      <c r="A852" s="2" t="str">
        <f>IFERROR(IF('PREENCHER AQUI'!A852="","",'PREENCHER AQUI'!A852),"")</f>
        <v/>
      </c>
      <c r="B852" s="1" t="str">
        <f>IFERROR(IF('PREENCHER AQUI'!B852="","",PROPER('PREENCHER AQUI'!B852)),"")</f>
        <v/>
      </c>
      <c r="C852" s="1" t="str">
        <f>IFERROR(IF('PREENCHER AQUI'!C852="","",'PREENCHER AQUI'!C852),"")</f>
        <v/>
      </c>
      <c r="D852" s="2" t="str">
        <f>IFERROR(IF('PREENCHER AQUI'!D852="","",'PREENCHER AQUI'!D852),"")</f>
        <v/>
      </c>
      <c r="E852" s="2" t="str">
        <f>IFERROR(VLOOKUP(CONCATENATE(C852,D852),qdd!$C$2:$F$1000,2,FALSE),"")</f>
        <v/>
      </c>
      <c r="F852" s="2" t="str">
        <f>IFERROR(VLOOKUP(CONCATENATE(C852,D852),qdd!$C$2:$F$1000,3,FALSE),"")</f>
        <v/>
      </c>
      <c r="G852" s="2" t="str">
        <f>IFERROR(VLOOKUP(CONCATENATE(C852,D852),qdd!$C$2:$F$1000,4,FALSE),"")</f>
        <v/>
      </c>
      <c r="H852" s="6" t="str">
        <f t="shared" si="28"/>
        <v/>
      </c>
      <c r="I8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2" s="2" t="str">
        <f>IFERROR(IF('PREENCHER AQUI'!E852="","",'PREENCHER AQUI'!E852),"")</f>
        <v/>
      </c>
      <c r="K852" s="2" t="str">
        <f>IFERROR(IF('PREENCHER AQUI'!F852="","",'PREENCHER AQUI'!F852),"")</f>
        <v/>
      </c>
      <c r="L852" s="2" t="str">
        <f>IF(Tabela1[[#This Row],[IPU_COD]]=9,"91",IF(Tabela1[[#This Row],[ACAO_COD]]="","",VLOOKUP(CONCATENATE("G",J852,"M",K852),qdd!$BC$2:$BD$46,2,FALSE)))</f>
        <v/>
      </c>
      <c r="M852" s="2" t="str">
        <f>TEXT(IFERROR(VLOOKUP(CONCATENATE(C852,D852),qdd!$C$2:$G$1000,5,FALSE),""),0)</f>
        <v/>
      </c>
      <c r="N852" s="2" t="str">
        <f>IFERROR(IF('PREENCHER AQUI'!I852="","",'PREENCHER AQUI'!I852),"")</f>
        <v/>
      </c>
      <c r="O852" s="2" t="str">
        <f>IFERROR(IF('PREENCHER AQUI'!J852="","",'PREENCHER AQUI'!J852),"")</f>
        <v/>
      </c>
      <c r="P852" s="7" t="str">
        <f t="shared" si="29"/>
        <v/>
      </c>
      <c r="Q852" s="8" t="str">
        <f>IFERROR(IF(Tabela4[[#This Row],[VALOR]]="","",IF(Tabela1[[#This Row],[ORIENTACAO]]="Anular",'PREENCHER AQUI'!K852*-1*100,'PREENCHER AQUI'!K852*100)),"")</f>
        <v/>
      </c>
      <c r="T852" s="7" t="str">
        <f>IFERROR(IF('PREENCHER AQUI'!L852="","999",LEFT('PREENCHER AQUI'!L852,1)),"")</f>
        <v>999</v>
      </c>
      <c r="W852" s="1" t="str">
        <f>IFERROR(VLOOKUP(Tabela1[[#This Row],[UO_COD]],qdd!$AT$1:$AU$102,2,FALSE),"")</f>
        <v/>
      </c>
      <c r="X852" s="1" t="str">
        <f>CONCATENATE("F",Tabela1[[#This Row],[FONTE_COD]],Tabela1[[#This Row],[IPU_COD]],"G",Tabela1[[#This Row],[GRUPO_COD]],"T",Tabela1[[#This Row],[TIPO]])</f>
        <v>FGT999</v>
      </c>
      <c r="Y8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2" s="19"/>
      <c r="AA852" s="29" t="str">
        <f>IFERROR(VLOOKUP(CONCATENATE("B",Tabela1[[#This Row],[BLOCO]],Tabela1[[#This Row],[UO_COD]]),qdd!$AW$2:$AX$1000,2,FALSE),"")</f>
        <v/>
      </c>
      <c r="AB852" s="30" t="str">
        <f>IFERROR(Tabela1[[#This Row],[VALOR]]/100,"")</f>
        <v/>
      </c>
      <c r="AC852" s="7" t="str" cm="1">
        <f t="array" aca="1" ref="AC852" ca="1">IF(Tabela1[[#This Row],[VALOR]]&lt;0,"",IFERROR(SUBSTITUTE(Converter_numero(Tabela1[[#This Row],[VALOR INCISO]]),",",""),""))</f>
        <v/>
      </c>
      <c r="AD852" s="7" t="str">
        <f>IF(Tabela1[[#This Row],[TIPO]]=REGRAS!$W$2,REGRAS!$X$2,IF(Tabela1[[#This Row],[TIPO]]=REGRAS!$W$4,REGRAS!$X$4,""))</f>
        <v/>
      </c>
      <c r="AE852" s="29" t="e">
        <f>VLOOKUP(Tabela1[[#This Row],[FONTE_COD]],REGRAS!$O$2:$P$69,2,FALSE)</f>
        <v>#N/A</v>
      </c>
      <c r="AF8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3" spans="1:32" ht="18.75" customHeight="1">
      <c r="A853" s="2" t="str">
        <f>IFERROR(IF('PREENCHER AQUI'!A853="","",'PREENCHER AQUI'!A853),"")</f>
        <v/>
      </c>
      <c r="B853" s="1" t="str">
        <f>IFERROR(IF('PREENCHER AQUI'!B853="","",PROPER('PREENCHER AQUI'!B853)),"")</f>
        <v/>
      </c>
      <c r="C853" s="1" t="str">
        <f>IFERROR(IF('PREENCHER AQUI'!C853="","",'PREENCHER AQUI'!C853),"")</f>
        <v/>
      </c>
      <c r="D853" s="2" t="str">
        <f>IFERROR(IF('PREENCHER AQUI'!D853="","",'PREENCHER AQUI'!D853),"")</f>
        <v/>
      </c>
      <c r="E853" s="2" t="str">
        <f>IFERROR(VLOOKUP(CONCATENATE(C853,D853),qdd!$C$2:$F$1000,2,FALSE),"")</f>
        <v/>
      </c>
      <c r="F853" s="2" t="str">
        <f>IFERROR(VLOOKUP(CONCATENATE(C853,D853),qdd!$C$2:$F$1000,3,FALSE),"")</f>
        <v/>
      </c>
      <c r="G853" s="2" t="str">
        <f>IFERROR(VLOOKUP(CONCATENATE(C853,D853),qdd!$C$2:$F$1000,4,FALSE),"")</f>
        <v/>
      </c>
      <c r="H853" s="6" t="str">
        <f t="shared" si="28"/>
        <v/>
      </c>
      <c r="I8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3" s="2" t="str">
        <f>IFERROR(IF('PREENCHER AQUI'!E853="","",'PREENCHER AQUI'!E853),"")</f>
        <v/>
      </c>
      <c r="K853" s="2" t="str">
        <f>IFERROR(IF('PREENCHER AQUI'!F853="","",'PREENCHER AQUI'!F853),"")</f>
        <v/>
      </c>
      <c r="L853" s="2" t="str">
        <f>IF(Tabela1[[#This Row],[IPU_COD]]=9,"91",IF(Tabela1[[#This Row],[ACAO_COD]]="","",VLOOKUP(CONCATENATE("G",J853,"M",K853),qdd!$BC$2:$BD$46,2,FALSE)))</f>
        <v/>
      </c>
      <c r="M853" s="2" t="str">
        <f>TEXT(IFERROR(VLOOKUP(CONCATENATE(C853,D853),qdd!$C$2:$G$1000,5,FALSE),""),0)</f>
        <v/>
      </c>
      <c r="N853" s="2" t="str">
        <f>IFERROR(IF('PREENCHER AQUI'!I853="","",'PREENCHER AQUI'!I853),"")</f>
        <v/>
      </c>
      <c r="O853" s="2" t="str">
        <f>IFERROR(IF('PREENCHER AQUI'!J853="","",'PREENCHER AQUI'!J853),"")</f>
        <v/>
      </c>
      <c r="P853" s="7" t="str">
        <f t="shared" si="29"/>
        <v/>
      </c>
      <c r="Q853" s="8" t="str">
        <f>IFERROR(IF(Tabela4[[#This Row],[VALOR]]="","",IF(Tabela1[[#This Row],[ORIENTACAO]]="Anular",'PREENCHER AQUI'!K853*-1*100,'PREENCHER AQUI'!K853*100)),"")</f>
        <v/>
      </c>
      <c r="T853" s="7" t="str">
        <f>IFERROR(IF('PREENCHER AQUI'!L853="","999",LEFT('PREENCHER AQUI'!L853,1)),"")</f>
        <v>999</v>
      </c>
      <c r="V853" s="19"/>
      <c r="W853" s="1" t="str">
        <f>IFERROR(VLOOKUP(Tabela1[[#This Row],[UO_COD]],qdd!$AT$1:$AU$102,2,FALSE),"")</f>
        <v/>
      </c>
      <c r="X853" s="1" t="str">
        <f>CONCATENATE("F",Tabela1[[#This Row],[FONTE_COD]],Tabela1[[#This Row],[IPU_COD]],"G",Tabela1[[#This Row],[GRUPO_COD]],"T",Tabela1[[#This Row],[TIPO]])</f>
        <v>FGT999</v>
      </c>
      <c r="Y8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3" s="19"/>
      <c r="AA853" s="29" t="str">
        <f>IFERROR(VLOOKUP(CONCATENATE("B",Tabela1[[#This Row],[BLOCO]],Tabela1[[#This Row],[UO_COD]]),qdd!$AW$2:$AX$1000,2,FALSE),"")</f>
        <v/>
      </c>
      <c r="AB853" s="30" t="str">
        <f>IFERROR(Tabela1[[#This Row],[VALOR]]/100,"")</f>
        <v/>
      </c>
      <c r="AC853" s="7" t="str" cm="1">
        <f t="array" aca="1" ref="AC853" ca="1">IF(Tabela1[[#This Row],[VALOR]]&lt;0,"",IFERROR(SUBSTITUTE(Converter_numero(Tabela1[[#This Row],[VALOR INCISO]]),",",""),""))</f>
        <v/>
      </c>
      <c r="AD853" s="29" t="str">
        <f>IF(Tabela1[[#This Row],[TIPO]]=REGRAS!$W$2,REGRAS!$X$2,IF(Tabela1[[#This Row],[TIPO]]=REGRAS!$W$4,REGRAS!$X$4,""))</f>
        <v/>
      </c>
      <c r="AE853" s="29" t="e">
        <f>VLOOKUP(Tabela1[[#This Row],[FONTE_COD]],REGRAS!$O$2:$P$69,2,FALSE)</f>
        <v>#N/A</v>
      </c>
      <c r="AF8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4" spans="1:32" ht="18.75" customHeight="1">
      <c r="A854" s="2" t="str">
        <f>IFERROR(IF('PREENCHER AQUI'!A854="","",'PREENCHER AQUI'!A854),"")</f>
        <v/>
      </c>
      <c r="B854" s="1" t="str">
        <f>IFERROR(IF('PREENCHER AQUI'!B854="","",PROPER('PREENCHER AQUI'!B854)),"")</f>
        <v/>
      </c>
      <c r="C854" s="1" t="str">
        <f>IFERROR(IF('PREENCHER AQUI'!C854="","",'PREENCHER AQUI'!C854),"")</f>
        <v/>
      </c>
      <c r="D854" s="2" t="str">
        <f>IFERROR(IF('PREENCHER AQUI'!D854="","",'PREENCHER AQUI'!D854),"")</f>
        <v/>
      </c>
      <c r="E854" s="2" t="str">
        <f>IFERROR(VLOOKUP(CONCATENATE(C854,D854),qdd!$C$2:$F$1000,2,FALSE),"")</f>
        <v/>
      </c>
      <c r="F854" s="2" t="str">
        <f>IFERROR(VLOOKUP(CONCATENATE(C854,D854),qdd!$C$2:$F$1000,3,FALSE),"")</f>
        <v/>
      </c>
      <c r="G854" s="2" t="str">
        <f>IFERROR(VLOOKUP(CONCATENATE(C854,D854),qdd!$C$2:$F$1000,4,FALSE),"")</f>
        <v/>
      </c>
      <c r="H854" s="6" t="str">
        <f t="shared" si="28"/>
        <v/>
      </c>
      <c r="I8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4" s="2" t="str">
        <f>IFERROR(IF('PREENCHER AQUI'!E854="","",'PREENCHER AQUI'!E854),"")</f>
        <v/>
      </c>
      <c r="K854" s="2" t="str">
        <f>IFERROR(IF('PREENCHER AQUI'!F854="","",'PREENCHER AQUI'!F854),"")</f>
        <v/>
      </c>
      <c r="L854" s="2" t="str">
        <f>IF(Tabela1[[#This Row],[IPU_COD]]=9,"91",IF(Tabela1[[#This Row],[ACAO_COD]]="","",VLOOKUP(CONCATENATE("G",J854,"M",K854),qdd!$BC$2:$BD$46,2,FALSE)))</f>
        <v/>
      </c>
      <c r="M854" s="2" t="str">
        <f>TEXT(IFERROR(VLOOKUP(CONCATENATE(C854,D854),qdd!$C$2:$G$1000,5,FALSE),""),0)</f>
        <v/>
      </c>
      <c r="N854" s="2" t="str">
        <f>IFERROR(IF('PREENCHER AQUI'!I854="","",'PREENCHER AQUI'!I854),"")</f>
        <v/>
      </c>
      <c r="O854" s="2" t="str">
        <f>IFERROR(IF('PREENCHER AQUI'!J854="","",'PREENCHER AQUI'!J854),"")</f>
        <v/>
      </c>
      <c r="P854" s="7" t="str">
        <f t="shared" si="29"/>
        <v/>
      </c>
      <c r="Q854" s="8" t="str">
        <f>IFERROR(IF(Tabela4[[#This Row],[VALOR]]="","",IF(Tabela1[[#This Row],[ORIENTACAO]]="Anular",'PREENCHER AQUI'!K854*-1*100,'PREENCHER AQUI'!K854*100)),"")</f>
        <v/>
      </c>
      <c r="T854" s="7" t="str">
        <f>IFERROR(IF('PREENCHER AQUI'!L854="","999",LEFT('PREENCHER AQUI'!L854,1)),"")</f>
        <v>999</v>
      </c>
      <c r="V854" s="19"/>
      <c r="W854" s="1" t="str">
        <f>IFERROR(VLOOKUP(Tabela1[[#This Row],[UO_COD]],qdd!$AT$1:$AU$102,2,FALSE),"")</f>
        <v/>
      </c>
      <c r="X854" s="1" t="str">
        <f>CONCATENATE("F",Tabela1[[#This Row],[FONTE_COD]],Tabela1[[#This Row],[IPU_COD]],"G",Tabela1[[#This Row],[GRUPO_COD]],"T",Tabela1[[#This Row],[TIPO]])</f>
        <v>FGT999</v>
      </c>
      <c r="Y8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4" s="19"/>
      <c r="AA854" s="29" t="str">
        <f>IFERROR(VLOOKUP(CONCATENATE("B",Tabela1[[#This Row],[BLOCO]],Tabela1[[#This Row],[UO_COD]]),qdd!$AW$2:$AX$1000,2,FALSE),"")</f>
        <v/>
      </c>
      <c r="AB854" s="30" t="str">
        <f>IFERROR(Tabela1[[#This Row],[VALOR]]/100,"")</f>
        <v/>
      </c>
      <c r="AC854" s="7" t="str" cm="1">
        <f t="array" aca="1" ref="AC854" ca="1">IF(Tabela1[[#This Row],[VALOR]]&lt;0,"",IFERROR(SUBSTITUTE(Converter_numero(Tabela1[[#This Row],[VALOR INCISO]]),",",""),""))</f>
        <v/>
      </c>
      <c r="AD854" s="29" t="str">
        <f>IF(Tabela1[[#This Row],[TIPO]]=REGRAS!$W$2,REGRAS!$X$2,IF(Tabela1[[#This Row],[TIPO]]=REGRAS!$W$4,REGRAS!$X$4,""))</f>
        <v/>
      </c>
      <c r="AE854" s="29" t="e">
        <f>VLOOKUP(Tabela1[[#This Row],[FONTE_COD]],REGRAS!$O$2:$P$69,2,FALSE)</f>
        <v>#N/A</v>
      </c>
      <c r="AF8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5" spans="1:32" ht="18.75" customHeight="1">
      <c r="A855" s="2" t="str">
        <f>IFERROR(IF('PREENCHER AQUI'!A855="","",'PREENCHER AQUI'!A855),"")</f>
        <v/>
      </c>
      <c r="B855" s="1" t="str">
        <f>IFERROR(IF('PREENCHER AQUI'!B855="","",PROPER('PREENCHER AQUI'!B855)),"")</f>
        <v/>
      </c>
      <c r="C855" s="1" t="str">
        <f>IFERROR(IF('PREENCHER AQUI'!C855="","",'PREENCHER AQUI'!C855),"")</f>
        <v/>
      </c>
      <c r="D855" s="2" t="str">
        <f>IFERROR(IF('PREENCHER AQUI'!D855="","",'PREENCHER AQUI'!D855),"")</f>
        <v/>
      </c>
      <c r="E855" s="2" t="str">
        <f>IFERROR(VLOOKUP(CONCATENATE(C855,D855),qdd!$C$2:$F$1000,2,FALSE),"")</f>
        <v/>
      </c>
      <c r="F855" s="2" t="str">
        <f>IFERROR(VLOOKUP(CONCATENATE(C855,D855),qdd!$C$2:$F$1000,3,FALSE),"")</f>
        <v/>
      </c>
      <c r="G855" s="2" t="str">
        <f>IFERROR(VLOOKUP(CONCATENATE(C855,D855),qdd!$C$2:$F$1000,4,FALSE),"")</f>
        <v/>
      </c>
      <c r="H855" s="6" t="str">
        <f t="shared" si="28"/>
        <v/>
      </c>
      <c r="I8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5" s="2" t="str">
        <f>IFERROR(IF('PREENCHER AQUI'!E855="","",'PREENCHER AQUI'!E855),"")</f>
        <v/>
      </c>
      <c r="K855" s="2" t="str">
        <f>IFERROR(IF('PREENCHER AQUI'!F855="","",'PREENCHER AQUI'!F855),"")</f>
        <v/>
      </c>
      <c r="L855" s="2" t="str">
        <f>IF(Tabela1[[#This Row],[IPU_COD]]=9,"91",IF(Tabela1[[#This Row],[ACAO_COD]]="","",VLOOKUP(CONCATENATE("G",J855,"M",K855),qdd!$BC$2:$BD$46,2,FALSE)))</f>
        <v/>
      </c>
      <c r="M855" s="2" t="str">
        <f>TEXT(IFERROR(VLOOKUP(CONCATENATE(C855,D855),qdd!$C$2:$G$1000,5,FALSE),""),0)</f>
        <v/>
      </c>
      <c r="N855" s="2" t="str">
        <f>IFERROR(IF('PREENCHER AQUI'!I855="","",'PREENCHER AQUI'!I855),"")</f>
        <v/>
      </c>
      <c r="O855" s="2" t="str">
        <f>IFERROR(IF('PREENCHER AQUI'!J855="","",'PREENCHER AQUI'!J855),"")</f>
        <v/>
      </c>
      <c r="P855" s="7" t="str">
        <f t="shared" si="29"/>
        <v/>
      </c>
      <c r="Q855" s="8" t="str">
        <f>IFERROR(IF(Tabela4[[#This Row],[VALOR]]="","",IF(Tabela1[[#This Row],[ORIENTACAO]]="Anular",'PREENCHER AQUI'!K855*-1*100,'PREENCHER AQUI'!K855*100)),"")</f>
        <v/>
      </c>
      <c r="T855" s="7" t="str">
        <f>IFERROR(IF('PREENCHER AQUI'!L855="","999",LEFT('PREENCHER AQUI'!L855,1)),"")</f>
        <v>999</v>
      </c>
      <c r="V855" s="19"/>
      <c r="W855" s="20" t="str">
        <f>IFERROR(VLOOKUP(Tabela1[[#This Row],[UO_COD]],qdd!$AT$1:$AU$102,2,FALSE),"")</f>
        <v/>
      </c>
      <c r="X855" s="20" t="str">
        <f>CONCATENATE("F",Tabela1[[#This Row],[FONTE_COD]],Tabela1[[#This Row],[IPU_COD]],"G",Tabela1[[#This Row],[GRUPO_COD]],"T",Tabela1[[#This Row],[TIPO]])</f>
        <v>FGT999</v>
      </c>
      <c r="Y8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5" s="19"/>
      <c r="AA855" s="29" t="str">
        <f>IFERROR(VLOOKUP(CONCATENATE("B",Tabela1[[#This Row],[BLOCO]],Tabela1[[#This Row],[UO_COD]]),qdd!$AW$2:$AX$1000,2,FALSE),"")</f>
        <v/>
      </c>
      <c r="AB855" s="30" t="str">
        <f>IFERROR(Tabela1[[#This Row],[VALOR]]/100,"")</f>
        <v/>
      </c>
      <c r="AC855" s="7" t="str" cm="1">
        <f t="array" aca="1" ref="AC855" ca="1">IF(Tabela1[[#This Row],[VALOR]]&lt;0,"",IFERROR(SUBSTITUTE(Converter_numero(Tabela1[[#This Row],[VALOR INCISO]]),",",""),""))</f>
        <v/>
      </c>
      <c r="AD855" s="29" t="str">
        <f>IF(Tabela1[[#This Row],[TIPO]]=REGRAS!$W$2,REGRAS!$X$2,IF(Tabela1[[#This Row],[TIPO]]=REGRAS!$W$4,REGRAS!$X$4,""))</f>
        <v/>
      </c>
      <c r="AE855" s="29" t="e">
        <f>VLOOKUP(Tabela1[[#This Row],[FONTE_COD]],REGRAS!$O$2:$P$69,2,FALSE)</f>
        <v>#N/A</v>
      </c>
      <c r="AF8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6" spans="1:32" ht="18.75" customHeight="1">
      <c r="A856" s="2" t="str">
        <f>IFERROR(IF('PREENCHER AQUI'!A856="","",'PREENCHER AQUI'!A856),"")</f>
        <v/>
      </c>
      <c r="B856" s="1" t="str">
        <f>IFERROR(IF('PREENCHER AQUI'!B856="","",PROPER('PREENCHER AQUI'!B856)),"")</f>
        <v/>
      </c>
      <c r="C856" s="1" t="str">
        <f>IFERROR(IF('PREENCHER AQUI'!C856="","",'PREENCHER AQUI'!C856),"")</f>
        <v/>
      </c>
      <c r="D856" s="2" t="str">
        <f>IFERROR(IF('PREENCHER AQUI'!D856="","",'PREENCHER AQUI'!D856),"")</f>
        <v/>
      </c>
      <c r="E856" s="2" t="str">
        <f>IFERROR(VLOOKUP(CONCATENATE(C856,D856),qdd!$C$2:$F$1000,2,FALSE),"")</f>
        <v/>
      </c>
      <c r="F856" s="2" t="str">
        <f>IFERROR(VLOOKUP(CONCATENATE(C856,D856),qdd!$C$2:$F$1000,3,FALSE),"")</f>
        <v/>
      </c>
      <c r="G856" s="2" t="str">
        <f>IFERROR(VLOOKUP(CONCATENATE(C856,D856),qdd!$C$2:$F$1000,4,FALSE),"")</f>
        <v/>
      </c>
      <c r="H856" s="6" t="str">
        <f t="shared" si="28"/>
        <v/>
      </c>
      <c r="I8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6" s="2" t="str">
        <f>IFERROR(IF('PREENCHER AQUI'!E856="","",'PREENCHER AQUI'!E856),"")</f>
        <v/>
      </c>
      <c r="K856" s="2" t="str">
        <f>IFERROR(IF('PREENCHER AQUI'!F856="","",'PREENCHER AQUI'!F856),"")</f>
        <v/>
      </c>
      <c r="L856" s="2" t="str">
        <f>IF(Tabela1[[#This Row],[IPU_COD]]=9,"91",IF(Tabela1[[#This Row],[ACAO_COD]]="","",VLOOKUP(CONCATENATE("G",J856,"M",K856),qdd!$BC$2:$BD$46,2,FALSE)))</f>
        <v/>
      </c>
      <c r="M856" s="2" t="str">
        <f>TEXT(IFERROR(VLOOKUP(CONCATENATE(C856,D856),qdd!$C$2:$G$1000,5,FALSE),""),0)</f>
        <v/>
      </c>
      <c r="N856" s="2" t="str">
        <f>IFERROR(IF('PREENCHER AQUI'!I856="","",'PREENCHER AQUI'!I856),"")</f>
        <v/>
      </c>
      <c r="O856" s="2" t="str">
        <f>IFERROR(IF('PREENCHER AQUI'!J856="","",'PREENCHER AQUI'!J856),"")</f>
        <v/>
      </c>
      <c r="P856" s="7" t="str">
        <f t="shared" si="29"/>
        <v/>
      </c>
      <c r="Q856" s="8" t="str">
        <f>IFERROR(IF(Tabela4[[#This Row],[VALOR]]="","",IF(Tabela1[[#This Row],[ORIENTACAO]]="Anular",'PREENCHER AQUI'!K856*-1*100,'PREENCHER AQUI'!K856*100)),"")</f>
        <v/>
      </c>
      <c r="T856" s="7" t="str">
        <f>IFERROR(IF('PREENCHER AQUI'!L856="","999",LEFT('PREENCHER AQUI'!L856,1)),"")</f>
        <v>999</v>
      </c>
      <c r="V856" s="19"/>
      <c r="W856" s="1" t="str">
        <f>IFERROR(VLOOKUP(Tabela1[[#This Row],[UO_COD]],qdd!$AT$1:$AU$102,2,FALSE),"")</f>
        <v/>
      </c>
      <c r="X856" s="1" t="str">
        <f>CONCATENATE("F",Tabela1[[#This Row],[FONTE_COD]],Tabela1[[#This Row],[IPU_COD]],"G",Tabela1[[#This Row],[GRUPO_COD]],"T",Tabela1[[#This Row],[TIPO]])</f>
        <v>FGT999</v>
      </c>
      <c r="Y8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6" s="19"/>
      <c r="AA856" s="29" t="str">
        <f>IFERROR(VLOOKUP(CONCATENATE("B",Tabela1[[#This Row],[BLOCO]],Tabela1[[#This Row],[UO_COD]]),qdd!$AW$2:$AX$1000,2,FALSE),"")</f>
        <v/>
      </c>
      <c r="AB856" s="30" t="str">
        <f>IFERROR(Tabela1[[#This Row],[VALOR]]/100,"")</f>
        <v/>
      </c>
      <c r="AC856" s="7" t="str" cm="1">
        <f t="array" aca="1" ref="AC856" ca="1">IF(Tabela1[[#This Row],[VALOR]]&lt;0,"",IFERROR(SUBSTITUTE(Converter_numero(Tabela1[[#This Row],[VALOR INCISO]]),",",""),""))</f>
        <v/>
      </c>
      <c r="AD856" s="29" t="str">
        <f>IF(Tabela1[[#This Row],[TIPO]]=REGRAS!$W$2,REGRAS!$X$2,IF(Tabela1[[#This Row],[TIPO]]=REGRAS!$W$4,REGRAS!$X$4,""))</f>
        <v/>
      </c>
      <c r="AE856" s="29" t="e">
        <f>VLOOKUP(Tabela1[[#This Row],[FONTE_COD]],REGRAS!$O$2:$P$69,2,FALSE)</f>
        <v>#N/A</v>
      </c>
      <c r="AF8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7" spans="1:32" ht="18.75" customHeight="1">
      <c r="A857" s="2" t="str">
        <f>IFERROR(IF('PREENCHER AQUI'!A857="","",'PREENCHER AQUI'!A857),"")</f>
        <v/>
      </c>
      <c r="B857" s="1" t="str">
        <f>IFERROR(IF('PREENCHER AQUI'!B857="","",PROPER('PREENCHER AQUI'!B857)),"")</f>
        <v/>
      </c>
      <c r="C857" s="1" t="str">
        <f>IFERROR(IF('PREENCHER AQUI'!C857="","",'PREENCHER AQUI'!C857),"")</f>
        <v/>
      </c>
      <c r="D857" s="2" t="str">
        <f>IFERROR(IF('PREENCHER AQUI'!D857="","",'PREENCHER AQUI'!D857),"")</f>
        <v/>
      </c>
      <c r="E857" s="2" t="str">
        <f>IFERROR(VLOOKUP(CONCATENATE(C857,D857),qdd!$C$2:$F$1000,2,FALSE),"")</f>
        <v/>
      </c>
      <c r="F857" s="2" t="str">
        <f>IFERROR(VLOOKUP(CONCATENATE(C857,D857),qdd!$C$2:$F$1000,3,FALSE),"")</f>
        <v/>
      </c>
      <c r="G857" s="2" t="str">
        <f>IFERROR(VLOOKUP(CONCATENATE(C857,D857),qdd!$C$2:$F$1000,4,FALSE),"")</f>
        <v/>
      </c>
      <c r="H857" s="6" t="str">
        <f t="shared" si="28"/>
        <v/>
      </c>
      <c r="I8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7" s="2" t="str">
        <f>IFERROR(IF('PREENCHER AQUI'!E857="","",'PREENCHER AQUI'!E857),"")</f>
        <v/>
      </c>
      <c r="K857" s="2" t="str">
        <f>IFERROR(IF('PREENCHER AQUI'!F857="","",'PREENCHER AQUI'!F857),"")</f>
        <v/>
      </c>
      <c r="L857" s="2" t="str">
        <f>IF(Tabela1[[#This Row],[IPU_COD]]=9,"91",IF(Tabela1[[#This Row],[ACAO_COD]]="","",VLOOKUP(CONCATENATE("G",J857,"M",K857),qdd!$BC$2:$BD$46,2,FALSE)))</f>
        <v/>
      </c>
      <c r="M857" s="2" t="str">
        <f>TEXT(IFERROR(VLOOKUP(CONCATENATE(C857,D857),qdd!$C$2:$G$1000,5,FALSE),""),0)</f>
        <v/>
      </c>
      <c r="N857" s="2" t="str">
        <f>IFERROR(IF('PREENCHER AQUI'!I857="","",'PREENCHER AQUI'!I857),"")</f>
        <v/>
      </c>
      <c r="O857" s="2" t="str">
        <f>IFERROR(IF('PREENCHER AQUI'!J857="","",'PREENCHER AQUI'!J857),"")</f>
        <v/>
      </c>
      <c r="P857" s="7" t="str">
        <f t="shared" si="29"/>
        <v/>
      </c>
      <c r="Q857" s="8" t="str">
        <f>IFERROR(IF(Tabela4[[#This Row],[VALOR]]="","",IF(Tabela1[[#This Row],[ORIENTACAO]]="Anular",'PREENCHER AQUI'!K857*-1*100,'PREENCHER AQUI'!K857*100)),"")</f>
        <v/>
      </c>
      <c r="T857" s="7" t="str">
        <f>IFERROR(IF('PREENCHER AQUI'!L857="","999",LEFT('PREENCHER AQUI'!L857,1)),"")</f>
        <v>999</v>
      </c>
      <c r="W857" s="1" t="str">
        <f>IFERROR(VLOOKUP(Tabela1[[#This Row],[UO_COD]],qdd!$AT$1:$AU$102,2,FALSE),"")</f>
        <v/>
      </c>
      <c r="X857" s="1" t="str">
        <f>CONCATENATE("F",Tabela1[[#This Row],[FONTE_COD]],Tabela1[[#This Row],[IPU_COD]],"G",Tabela1[[#This Row],[GRUPO_COD]],"T",Tabela1[[#This Row],[TIPO]])</f>
        <v>FGT999</v>
      </c>
      <c r="Y8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7" s="19"/>
      <c r="AA857" s="29" t="str">
        <f>IFERROR(VLOOKUP(CONCATENATE("B",Tabela1[[#This Row],[BLOCO]],Tabela1[[#This Row],[UO_COD]]),qdd!$AW$2:$AX$1000,2,FALSE),"")</f>
        <v/>
      </c>
      <c r="AB857" s="30" t="str">
        <f>IFERROR(Tabela1[[#This Row],[VALOR]]/100,"")</f>
        <v/>
      </c>
      <c r="AC857" s="7" t="str" cm="1">
        <f t="array" aca="1" ref="AC857" ca="1">IF(Tabela1[[#This Row],[VALOR]]&lt;0,"",IFERROR(SUBSTITUTE(Converter_numero(Tabela1[[#This Row],[VALOR INCISO]]),",",""),""))</f>
        <v/>
      </c>
      <c r="AD857" s="7" t="str">
        <f>IF(Tabela1[[#This Row],[TIPO]]=REGRAS!$W$2,REGRAS!$X$2,IF(Tabela1[[#This Row],[TIPO]]=REGRAS!$W$4,REGRAS!$X$4,""))</f>
        <v/>
      </c>
      <c r="AE857" s="29" t="e">
        <f>VLOOKUP(Tabela1[[#This Row],[FONTE_COD]],REGRAS!$O$2:$P$69,2,FALSE)</f>
        <v>#N/A</v>
      </c>
      <c r="AF8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8" spans="1:32" ht="18.75" customHeight="1">
      <c r="A858" s="2" t="str">
        <f>IFERROR(IF('PREENCHER AQUI'!A858="","",'PREENCHER AQUI'!A858),"")</f>
        <v/>
      </c>
      <c r="B858" s="1" t="str">
        <f>IFERROR(IF('PREENCHER AQUI'!B858="","",PROPER('PREENCHER AQUI'!B858)),"")</f>
        <v/>
      </c>
      <c r="C858" s="1" t="str">
        <f>IFERROR(IF('PREENCHER AQUI'!C858="","",'PREENCHER AQUI'!C858),"")</f>
        <v/>
      </c>
      <c r="D858" s="2" t="str">
        <f>IFERROR(IF('PREENCHER AQUI'!D858="","",'PREENCHER AQUI'!D858),"")</f>
        <v/>
      </c>
      <c r="E858" s="2" t="str">
        <f>IFERROR(VLOOKUP(CONCATENATE(C858,D858),qdd!$C$2:$F$1000,2,FALSE),"")</f>
        <v/>
      </c>
      <c r="F858" s="2" t="str">
        <f>IFERROR(VLOOKUP(CONCATENATE(C858,D858),qdd!$C$2:$F$1000,3,FALSE),"")</f>
        <v/>
      </c>
      <c r="G858" s="2" t="str">
        <f>IFERROR(VLOOKUP(CONCATENATE(C858,D858),qdd!$C$2:$F$1000,4,FALSE),"")</f>
        <v/>
      </c>
      <c r="H858" s="6" t="str">
        <f t="shared" si="28"/>
        <v/>
      </c>
      <c r="I8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8" s="2" t="str">
        <f>IFERROR(IF('PREENCHER AQUI'!E858="","",'PREENCHER AQUI'!E858),"")</f>
        <v/>
      </c>
      <c r="K858" s="2" t="str">
        <f>IFERROR(IF('PREENCHER AQUI'!F858="","",'PREENCHER AQUI'!F858),"")</f>
        <v/>
      </c>
      <c r="L858" s="2" t="str">
        <f>IF(Tabela1[[#This Row],[IPU_COD]]=9,"91",IF(Tabela1[[#This Row],[ACAO_COD]]="","",VLOOKUP(CONCATENATE("G",J858,"M",K858),qdd!$BC$2:$BD$46,2,FALSE)))</f>
        <v/>
      </c>
      <c r="M858" s="2" t="str">
        <f>TEXT(IFERROR(VLOOKUP(CONCATENATE(C858,D858),qdd!$C$2:$G$1000,5,FALSE),""),0)</f>
        <v/>
      </c>
      <c r="N858" s="2" t="str">
        <f>IFERROR(IF('PREENCHER AQUI'!I858="","",'PREENCHER AQUI'!I858),"")</f>
        <v/>
      </c>
      <c r="O858" s="2" t="str">
        <f>IFERROR(IF('PREENCHER AQUI'!J858="","",'PREENCHER AQUI'!J858),"")</f>
        <v/>
      </c>
      <c r="P858" s="7" t="str">
        <f t="shared" si="29"/>
        <v/>
      </c>
      <c r="Q858" s="8" t="str">
        <f>IFERROR(IF(Tabela4[[#This Row],[VALOR]]="","",IF(Tabela1[[#This Row],[ORIENTACAO]]="Anular",'PREENCHER AQUI'!K858*-1*100,'PREENCHER AQUI'!K858*100)),"")</f>
        <v/>
      </c>
      <c r="T858" s="7" t="str">
        <f>IFERROR(IF('PREENCHER AQUI'!L858="","999",LEFT('PREENCHER AQUI'!L858,1)),"")</f>
        <v>999</v>
      </c>
      <c r="V858" s="19"/>
      <c r="W858" s="1" t="str">
        <f>IFERROR(VLOOKUP(Tabela1[[#This Row],[UO_COD]],qdd!$AT$1:$AU$102,2,FALSE),"")</f>
        <v/>
      </c>
      <c r="X858" s="1" t="str">
        <f>CONCATENATE("F",Tabela1[[#This Row],[FONTE_COD]],Tabela1[[#This Row],[IPU_COD]],"G",Tabela1[[#This Row],[GRUPO_COD]],"T",Tabela1[[#This Row],[TIPO]])</f>
        <v>FGT999</v>
      </c>
      <c r="Y8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8" s="19"/>
      <c r="AA858" s="29" t="str">
        <f>IFERROR(VLOOKUP(CONCATENATE("B",Tabela1[[#This Row],[BLOCO]],Tabela1[[#This Row],[UO_COD]]),qdd!$AW$2:$AX$1000,2,FALSE),"")</f>
        <v/>
      </c>
      <c r="AB858" s="30" t="str">
        <f>IFERROR(Tabela1[[#This Row],[VALOR]]/100,"")</f>
        <v/>
      </c>
      <c r="AC858" s="7" t="str" cm="1">
        <f t="array" aca="1" ref="AC858" ca="1">IF(Tabela1[[#This Row],[VALOR]]&lt;0,"",IFERROR(SUBSTITUTE(Converter_numero(Tabela1[[#This Row],[VALOR INCISO]]),",",""),""))</f>
        <v/>
      </c>
      <c r="AD858" s="29" t="str">
        <f>IF(Tabela1[[#This Row],[TIPO]]=REGRAS!$W$2,REGRAS!$X$2,IF(Tabela1[[#This Row],[TIPO]]=REGRAS!$W$4,REGRAS!$X$4,""))</f>
        <v/>
      </c>
      <c r="AE858" s="29" t="e">
        <f>VLOOKUP(Tabela1[[#This Row],[FONTE_COD]],REGRAS!$O$2:$P$69,2,FALSE)</f>
        <v>#N/A</v>
      </c>
      <c r="AF8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9" spans="1:32" ht="18.75" customHeight="1">
      <c r="A859" s="2" t="str">
        <f>IFERROR(IF('PREENCHER AQUI'!A859="","",'PREENCHER AQUI'!A859),"")</f>
        <v/>
      </c>
      <c r="B859" s="1" t="str">
        <f>IFERROR(IF('PREENCHER AQUI'!B859="","",PROPER('PREENCHER AQUI'!B859)),"")</f>
        <v/>
      </c>
      <c r="C859" s="1" t="str">
        <f>IFERROR(IF('PREENCHER AQUI'!C859="","",'PREENCHER AQUI'!C859),"")</f>
        <v/>
      </c>
      <c r="D859" s="2" t="str">
        <f>IFERROR(IF('PREENCHER AQUI'!D859="","",'PREENCHER AQUI'!D859),"")</f>
        <v/>
      </c>
      <c r="E859" s="2" t="str">
        <f>IFERROR(VLOOKUP(CONCATENATE(C859,D859),qdd!$C$2:$F$1000,2,FALSE),"")</f>
        <v/>
      </c>
      <c r="F859" s="2" t="str">
        <f>IFERROR(VLOOKUP(CONCATENATE(C859,D859),qdd!$C$2:$F$1000,3,FALSE),"")</f>
        <v/>
      </c>
      <c r="G859" s="2" t="str">
        <f>IFERROR(VLOOKUP(CONCATENATE(C859,D859),qdd!$C$2:$F$1000,4,FALSE),"")</f>
        <v/>
      </c>
      <c r="H859" s="6" t="str">
        <f t="shared" si="28"/>
        <v/>
      </c>
      <c r="I8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9" s="2" t="str">
        <f>IFERROR(IF('PREENCHER AQUI'!E859="","",'PREENCHER AQUI'!E859),"")</f>
        <v/>
      </c>
      <c r="K859" s="2" t="str">
        <f>IFERROR(IF('PREENCHER AQUI'!F859="","",'PREENCHER AQUI'!F859),"")</f>
        <v/>
      </c>
      <c r="L859" s="2" t="str">
        <f>IF(Tabela1[[#This Row],[IPU_COD]]=9,"91",IF(Tabela1[[#This Row],[ACAO_COD]]="","",VLOOKUP(CONCATENATE("G",J859,"M",K859),qdd!$BC$2:$BD$46,2,FALSE)))</f>
        <v/>
      </c>
      <c r="M859" s="2" t="str">
        <f>TEXT(IFERROR(VLOOKUP(CONCATENATE(C859,D859),qdd!$C$2:$G$1000,5,FALSE),""),0)</f>
        <v/>
      </c>
      <c r="N859" s="2" t="str">
        <f>IFERROR(IF('PREENCHER AQUI'!I859="","",'PREENCHER AQUI'!I859),"")</f>
        <v/>
      </c>
      <c r="O859" s="2" t="str">
        <f>IFERROR(IF('PREENCHER AQUI'!J859="","",'PREENCHER AQUI'!J859),"")</f>
        <v/>
      </c>
      <c r="P859" s="7" t="str">
        <f t="shared" si="29"/>
        <v/>
      </c>
      <c r="Q859" s="8" t="str">
        <f>IFERROR(IF(Tabela4[[#This Row],[VALOR]]="","",IF(Tabela1[[#This Row],[ORIENTACAO]]="Anular",'PREENCHER AQUI'!K859*-1*100,'PREENCHER AQUI'!K859*100)),"")</f>
        <v/>
      </c>
      <c r="T859" s="7" t="str">
        <f>IFERROR(IF('PREENCHER AQUI'!L859="","999",LEFT('PREENCHER AQUI'!L859,1)),"")</f>
        <v>999</v>
      </c>
      <c r="V859" s="19"/>
      <c r="W859" s="1" t="str">
        <f>IFERROR(VLOOKUP(Tabela1[[#This Row],[UO_COD]],qdd!$AT$1:$AU$102,2,FALSE),"")</f>
        <v/>
      </c>
      <c r="X859" s="1" t="str">
        <f>CONCATENATE("F",Tabela1[[#This Row],[FONTE_COD]],Tabela1[[#This Row],[IPU_COD]],"G",Tabela1[[#This Row],[GRUPO_COD]],"T",Tabela1[[#This Row],[TIPO]])</f>
        <v>FGT999</v>
      </c>
      <c r="Y8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9" s="19"/>
      <c r="AA859" s="29" t="str">
        <f>IFERROR(VLOOKUP(CONCATENATE("B",Tabela1[[#This Row],[BLOCO]],Tabela1[[#This Row],[UO_COD]]),qdd!$AW$2:$AX$1000,2,FALSE),"")</f>
        <v/>
      </c>
      <c r="AB859" s="30" t="str">
        <f>IFERROR(Tabela1[[#This Row],[VALOR]]/100,"")</f>
        <v/>
      </c>
      <c r="AC859" s="7" t="str" cm="1">
        <f t="array" aca="1" ref="AC859" ca="1">IF(Tabela1[[#This Row],[VALOR]]&lt;0,"",IFERROR(SUBSTITUTE(Converter_numero(Tabela1[[#This Row],[VALOR INCISO]]),",",""),""))</f>
        <v/>
      </c>
      <c r="AD859" s="29" t="str">
        <f>IF(Tabela1[[#This Row],[TIPO]]=REGRAS!$W$2,REGRAS!$X$2,IF(Tabela1[[#This Row],[TIPO]]=REGRAS!$W$4,REGRAS!$X$4,""))</f>
        <v/>
      </c>
      <c r="AE859" s="29" t="e">
        <f>VLOOKUP(Tabela1[[#This Row],[FONTE_COD]],REGRAS!$O$2:$P$69,2,FALSE)</f>
        <v>#N/A</v>
      </c>
      <c r="AF8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0" spans="1:32" ht="18.75" customHeight="1">
      <c r="A860" s="2" t="str">
        <f>IFERROR(IF('PREENCHER AQUI'!A860="","",'PREENCHER AQUI'!A860),"")</f>
        <v/>
      </c>
      <c r="B860" s="1" t="str">
        <f>IFERROR(IF('PREENCHER AQUI'!B860="","",PROPER('PREENCHER AQUI'!B860)),"")</f>
        <v/>
      </c>
      <c r="C860" s="1" t="str">
        <f>IFERROR(IF('PREENCHER AQUI'!C860="","",'PREENCHER AQUI'!C860),"")</f>
        <v/>
      </c>
      <c r="D860" s="2" t="str">
        <f>IFERROR(IF('PREENCHER AQUI'!D860="","",'PREENCHER AQUI'!D860),"")</f>
        <v/>
      </c>
      <c r="E860" s="2" t="str">
        <f>IFERROR(VLOOKUP(CONCATENATE(C860,D860),qdd!$C$2:$F$1000,2,FALSE),"")</f>
        <v/>
      </c>
      <c r="F860" s="2" t="str">
        <f>IFERROR(VLOOKUP(CONCATENATE(C860,D860),qdd!$C$2:$F$1000,3,FALSE),"")</f>
        <v/>
      </c>
      <c r="G860" s="2" t="str">
        <f>IFERROR(VLOOKUP(CONCATENATE(C860,D860),qdd!$C$2:$F$1000,4,FALSE),"")</f>
        <v/>
      </c>
      <c r="H860" s="6" t="str">
        <f t="shared" si="28"/>
        <v/>
      </c>
      <c r="I8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0" s="2" t="str">
        <f>IFERROR(IF('PREENCHER AQUI'!E860="","",'PREENCHER AQUI'!E860),"")</f>
        <v/>
      </c>
      <c r="K860" s="2" t="str">
        <f>IFERROR(IF('PREENCHER AQUI'!F860="","",'PREENCHER AQUI'!F860),"")</f>
        <v/>
      </c>
      <c r="L860" s="2" t="str">
        <f>IF(Tabela1[[#This Row],[IPU_COD]]=9,"91",IF(Tabela1[[#This Row],[ACAO_COD]]="","",VLOOKUP(CONCATENATE("G",J860,"M",K860),qdd!$BC$2:$BD$46,2,FALSE)))</f>
        <v/>
      </c>
      <c r="M860" s="2" t="str">
        <f>TEXT(IFERROR(VLOOKUP(CONCATENATE(C860,D860),qdd!$C$2:$G$1000,5,FALSE),""),0)</f>
        <v/>
      </c>
      <c r="N860" s="2" t="str">
        <f>IFERROR(IF('PREENCHER AQUI'!I860="","",'PREENCHER AQUI'!I860),"")</f>
        <v/>
      </c>
      <c r="O860" s="2" t="str">
        <f>IFERROR(IF('PREENCHER AQUI'!J860="","",'PREENCHER AQUI'!J860),"")</f>
        <v/>
      </c>
      <c r="P860" s="7" t="str">
        <f t="shared" si="29"/>
        <v/>
      </c>
      <c r="Q860" s="8" t="str">
        <f>IFERROR(IF(Tabela4[[#This Row],[VALOR]]="","",IF(Tabela1[[#This Row],[ORIENTACAO]]="Anular",'PREENCHER AQUI'!K860*-1*100,'PREENCHER AQUI'!K860*100)),"")</f>
        <v/>
      </c>
      <c r="T860" s="7" t="str">
        <f>IFERROR(IF('PREENCHER AQUI'!L860="","999",LEFT('PREENCHER AQUI'!L860,1)),"")</f>
        <v>999</v>
      </c>
      <c r="V860" s="19"/>
      <c r="W860" s="20" t="str">
        <f>IFERROR(VLOOKUP(Tabela1[[#This Row],[UO_COD]],qdd!$AT$1:$AU$102,2,FALSE),"")</f>
        <v/>
      </c>
      <c r="X860" s="20" t="str">
        <f>CONCATENATE("F",Tabela1[[#This Row],[FONTE_COD]],Tabela1[[#This Row],[IPU_COD]],"G",Tabela1[[#This Row],[GRUPO_COD]],"T",Tabela1[[#This Row],[TIPO]])</f>
        <v>FGT999</v>
      </c>
      <c r="Y8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0" s="19"/>
      <c r="AA860" s="29" t="str">
        <f>IFERROR(VLOOKUP(CONCATENATE("B",Tabela1[[#This Row],[BLOCO]],Tabela1[[#This Row],[UO_COD]]),qdd!$AW$2:$AX$1000,2,FALSE),"")</f>
        <v/>
      </c>
      <c r="AB860" s="30" t="str">
        <f>IFERROR(Tabela1[[#This Row],[VALOR]]/100,"")</f>
        <v/>
      </c>
      <c r="AC860" s="7" t="str" cm="1">
        <f t="array" aca="1" ref="AC860" ca="1">IF(Tabela1[[#This Row],[VALOR]]&lt;0,"",IFERROR(SUBSTITUTE(Converter_numero(Tabela1[[#This Row],[VALOR INCISO]]),",",""),""))</f>
        <v/>
      </c>
      <c r="AD860" s="29" t="str">
        <f>IF(Tabela1[[#This Row],[TIPO]]=REGRAS!$W$2,REGRAS!$X$2,IF(Tabela1[[#This Row],[TIPO]]=REGRAS!$W$4,REGRAS!$X$4,""))</f>
        <v/>
      </c>
      <c r="AE860" s="29" t="e">
        <f>VLOOKUP(Tabela1[[#This Row],[FONTE_COD]],REGRAS!$O$2:$P$69,2,FALSE)</f>
        <v>#N/A</v>
      </c>
      <c r="AF8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1" spans="1:32" ht="18.75" customHeight="1">
      <c r="A861" s="2" t="str">
        <f>IFERROR(IF('PREENCHER AQUI'!A861="","",'PREENCHER AQUI'!A861),"")</f>
        <v/>
      </c>
      <c r="B861" s="1" t="str">
        <f>IFERROR(IF('PREENCHER AQUI'!B861="","",PROPER('PREENCHER AQUI'!B861)),"")</f>
        <v/>
      </c>
      <c r="C861" s="1" t="str">
        <f>IFERROR(IF('PREENCHER AQUI'!C861="","",'PREENCHER AQUI'!C861),"")</f>
        <v/>
      </c>
      <c r="D861" s="2" t="str">
        <f>IFERROR(IF('PREENCHER AQUI'!D861="","",'PREENCHER AQUI'!D861),"")</f>
        <v/>
      </c>
      <c r="E861" s="2" t="str">
        <f>IFERROR(VLOOKUP(CONCATENATE(C861,D861),qdd!$C$2:$F$1000,2,FALSE),"")</f>
        <v/>
      </c>
      <c r="F861" s="2" t="str">
        <f>IFERROR(VLOOKUP(CONCATENATE(C861,D861),qdd!$C$2:$F$1000,3,FALSE),"")</f>
        <v/>
      </c>
      <c r="G861" s="2" t="str">
        <f>IFERROR(VLOOKUP(CONCATENATE(C861,D861),qdd!$C$2:$F$1000,4,FALSE),"")</f>
        <v/>
      </c>
      <c r="H861" s="6" t="str">
        <f t="shared" si="28"/>
        <v/>
      </c>
      <c r="I8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1" s="2" t="str">
        <f>IFERROR(IF('PREENCHER AQUI'!E861="","",'PREENCHER AQUI'!E861),"")</f>
        <v/>
      </c>
      <c r="K861" s="2" t="str">
        <f>IFERROR(IF('PREENCHER AQUI'!F861="","",'PREENCHER AQUI'!F861),"")</f>
        <v/>
      </c>
      <c r="L861" s="2" t="str">
        <f>IF(Tabela1[[#This Row],[IPU_COD]]=9,"91",IF(Tabela1[[#This Row],[ACAO_COD]]="","",VLOOKUP(CONCATENATE("G",J861,"M",K861),qdd!$BC$2:$BD$46,2,FALSE)))</f>
        <v/>
      </c>
      <c r="M861" s="2" t="str">
        <f>TEXT(IFERROR(VLOOKUP(CONCATENATE(C861,D861),qdd!$C$2:$G$1000,5,FALSE),""),0)</f>
        <v/>
      </c>
      <c r="N861" s="2" t="str">
        <f>IFERROR(IF('PREENCHER AQUI'!I861="","",'PREENCHER AQUI'!I861),"")</f>
        <v/>
      </c>
      <c r="O861" s="2" t="str">
        <f>IFERROR(IF('PREENCHER AQUI'!J861="","",'PREENCHER AQUI'!J861),"")</f>
        <v/>
      </c>
      <c r="P861" s="7" t="str">
        <f t="shared" si="29"/>
        <v/>
      </c>
      <c r="Q861" s="8" t="str">
        <f>IFERROR(IF(Tabela4[[#This Row],[VALOR]]="","",IF(Tabela1[[#This Row],[ORIENTACAO]]="Anular",'PREENCHER AQUI'!K861*-1*100,'PREENCHER AQUI'!K861*100)),"")</f>
        <v/>
      </c>
      <c r="T861" s="7" t="str">
        <f>IFERROR(IF('PREENCHER AQUI'!L861="","999",LEFT('PREENCHER AQUI'!L861,1)),"")</f>
        <v>999</v>
      </c>
      <c r="V861" s="19"/>
      <c r="W861" s="1" t="str">
        <f>IFERROR(VLOOKUP(Tabela1[[#This Row],[UO_COD]],qdd!$AT$1:$AU$102,2,FALSE),"")</f>
        <v/>
      </c>
      <c r="X861" s="1" t="str">
        <f>CONCATENATE("F",Tabela1[[#This Row],[FONTE_COD]],Tabela1[[#This Row],[IPU_COD]],"G",Tabela1[[#This Row],[GRUPO_COD]],"T",Tabela1[[#This Row],[TIPO]])</f>
        <v>FGT999</v>
      </c>
      <c r="Y8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1" s="19"/>
      <c r="AA861" s="29" t="str">
        <f>IFERROR(VLOOKUP(CONCATENATE("B",Tabela1[[#This Row],[BLOCO]],Tabela1[[#This Row],[UO_COD]]),qdd!$AW$2:$AX$1000,2,FALSE),"")</f>
        <v/>
      </c>
      <c r="AB861" s="30" t="str">
        <f>IFERROR(Tabela1[[#This Row],[VALOR]]/100,"")</f>
        <v/>
      </c>
      <c r="AC861" s="7" t="str" cm="1">
        <f t="array" aca="1" ref="AC861" ca="1">IF(Tabela1[[#This Row],[VALOR]]&lt;0,"",IFERROR(SUBSTITUTE(Converter_numero(Tabela1[[#This Row],[VALOR INCISO]]),",",""),""))</f>
        <v/>
      </c>
      <c r="AD861" s="29" t="str">
        <f>IF(Tabela1[[#This Row],[TIPO]]=REGRAS!$W$2,REGRAS!$X$2,IF(Tabela1[[#This Row],[TIPO]]=REGRAS!$W$4,REGRAS!$X$4,""))</f>
        <v/>
      </c>
      <c r="AE861" s="29" t="e">
        <f>VLOOKUP(Tabela1[[#This Row],[FONTE_COD]],REGRAS!$O$2:$P$69,2,FALSE)</f>
        <v>#N/A</v>
      </c>
      <c r="AF8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2" spans="1:32" ht="18.75" customHeight="1">
      <c r="A862" s="2" t="str">
        <f>IFERROR(IF('PREENCHER AQUI'!A862="","",'PREENCHER AQUI'!A862),"")</f>
        <v/>
      </c>
      <c r="B862" s="1" t="str">
        <f>IFERROR(IF('PREENCHER AQUI'!B862="","",PROPER('PREENCHER AQUI'!B862)),"")</f>
        <v/>
      </c>
      <c r="C862" s="1" t="str">
        <f>IFERROR(IF('PREENCHER AQUI'!C862="","",'PREENCHER AQUI'!C862),"")</f>
        <v/>
      </c>
      <c r="D862" s="2" t="str">
        <f>IFERROR(IF('PREENCHER AQUI'!D862="","",'PREENCHER AQUI'!D862),"")</f>
        <v/>
      </c>
      <c r="E862" s="2" t="str">
        <f>IFERROR(VLOOKUP(CONCATENATE(C862,D862),qdd!$C$2:$F$1000,2,FALSE),"")</f>
        <v/>
      </c>
      <c r="F862" s="2" t="str">
        <f>IFERROR(VLOOKUP(CONCATENATE(C862,D862),qdd!$C$2:$F$1000,3,FALSE),"")</f>
        <v/>
      </c>
      <c r="G862" s="2" t="str">
        <f>IFERROR(VLOOKUP(CONCATENATE(C862,D862),qdd!$C$2:$F$1000,4,FALSE),"")</f>
        <v/>
      </c>
      <c r="H862" s="6" t="str">
        <f t="shared" si="28"/>
        <v/>
      </c>
      <c r="I8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2" s="2" t="str">
        <f>IFERROR(IF('PREENCHER AQUI'!E862="","",'PREENCHER AQUI'!E862),"")</f>
        <v/>
      </c>
      <c r="K862" s="2" t="str">
        <f>IFERROR(IF('PREENCHER AQUI'!F862="","",'PREENCHER AQUI'!F862),"")</f>
        <v/>
      </c>
      <c r="L862" s="2" t="str">
        <f>IF(Tabela1[[#This Row],[IPU_COD]]=9,"91",IF(Tabela1[[#This Row],[ACAO_COD]]="","",VLOOKUP(CONCATENATE("G",J862,"M",K862),qdd!$BC$2:$BD$46,2,FALSE)))</f>
        <v/>
      </c>
      <c r="M862" s="2" t="str">
        <f>TEXT(IFERROR(VLOOKUP(CONCATENATE(C862,D862),qdd!$C$2:$G$1000,5,FALSE),""),0)</f>
        <v/>
      </c>
      <c r="N862" s="2" t="str">
        <f>IFERROR(IF('PREENCHER AQUI'!I862="","",'PREENCHER AQUI'!I862),"")</f>
        <v/>
      </c>
      <c r="O862" s="2" t="str">
        <f>IFERROR(IF('PREENCHER AQUI'!J862="","",'PREENCHER AQUI'!J862),"")</f>
        <v/>
      </c>
      <c r="P862" s="7" t="str">
        <f t="shared" si="29"/>
        <v/>
      </c>
      <c r="Q862" s="8" t="str">
        <f>IFERROR(IF(Tabela4[[#This Row],[VALOR]]="","",IF(Tabela1[[#This Row],[ORIENTACAO]]="Anular",'PREENCHER AQUI'!K862*-1*100,'PREENCHER AQUI'!K862*100)),"")</f>
        <v/>
      </c>
      <c r="T862" s="7" t="str">
        <f>IFERROR(IF('PREENCHER AQUI'!L862="","999",LEFT('PREENCHER AQUI'!L862,1)),"")</f>
        <v>999</v>
      </c>
      <c r="W862" s="1" t="str">
        <f>IFERROR(VLOOKUP(Tabela1[[#This Row],[UO_COD]],qdd!$AT$1:$AU$102,2,FALSE),"")</f>
        <v/>
      </c>
      <c r="X862" s="1" t="str">
        <f>CONCATENATE("F",Tabela1[[#This Row],[FONTE_COD]],Tabela1[[#This Row],[IPU_COD]],"G",Tabela1[[#This Row],[GRUPO_COD]],"T",Tabela1[[#This Row],[TIPO]])</f>
        <v>FGT999</v>
      </c>
      <c r="Y8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2" s="19"/>
      <c r="AA862" s="29" t="str">
        <f>IFERROR(VLOOKUP(CONCATENATE("B",Tabela1[[#This Row],[BLOCO]],Tabela1[[#This Row],[UO_COD]]),qdd!$AW$2:$AX$1000,2,FALSE),"")</f>
        <v/>
      </c>
      <c r="AB862" s="30" t="str">
        <f>IFERROR(Tabela1[[#This Row],[VALOR]]/100,"")</f>
        <v/>
      </c>
      <c r="AC862" s="7" t="str" cm="1">
        <f t="array" aca="1" ref="AC862" ca="1">IF(Tabela1[[#This Row],[VALOR]]&lt;0,"",IFERROR(SUBSTITUTE(Converter_numero(Tabela1[[#This Row],[VALOR INCISO]]),",",""),""))</f>
        <v/>
      </c>
      <c r="AD862" s="7" t="str">
        <f>IF(Tabela1[[#This Row],[TIPO]]=REGRAS!$W$2,REGRAS!$X$2,IF(Tabela1[[#This Row],[TIPO]]=REGRAS!$W$4,REGRAS!$X$4,""))</f>
        <v/>
      </c>
      <c r="AE862" s="29" t="e">
        <f>VLOOKUP(Tabela1[[#This Row],[FONTE_COD]],REGRAS!$O$2:$P$69,2,FALSE)</f>
        <v>#N/A</v>
      </c>
      <c r="AF8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3" spans="1:32" ht="18.75" customHeight="1">
      <c r="A863" s="2" t="str">
        <f>IFERROR(IF('PREENCHER AQUI'!A863="","",'PREENCHER AQUI'!A863),"")</f>
        <v/>
      </c>
      <c r="B863" s="1" t="str">
        <f>IFERROR(IF('PREENCHER AQUI'!B863="","",PROPER('PREENCHER AQUI'!B863)),"")</f>
        <v/>
      </c>
      <c r="C863" s="1" t="str">
        <f>IFERROR(IF('PREENCHER AQUI'!C863="","",'PREENCHER AQUI'!C863),"")</f>
        <v/>
      </c>
      <c r="D863" s="2" t="str">
        <f>IFERROR(IF('PREENCHER AQUI'!D863="","",'PREENCHER AQUI'!D863),"")</f>
        <v/>
      </c>
      <c r="E863" s="2" t="str">
        <f>IFERROR(VLOOKUP(CONCATENATE(C863,D863),qdd!$C$2:$F$1000,2,FALSE),"")</f>
        <v/>
      </c>
      <c r="F863" s="2" t="str">
        <f>IFERROR(VLOOKUP(CONCATENATE(C863,D863),qdd!$C$2:$F$1000,3,FALSE),"")</f>
        <v/>
      </c>
      <c r="G863" s="2" t="str">
        <f>IFERROR(VLOOKUP(CONCATENATE(C863,D863),qdd!$C$2:$F$1000,4,FALSE),"")</f>
        <v/>
      </c>
      <c r="H863" s="6" t="str">
        <f t="shared" si="28"/>
        <v/>
      </c>
      <c r="I8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3" s="2" t="str">
        <f>IFERROR(IF('PREENCHER AQUI'!E863="","",'PREENCHER AQUI'!E863),"")</f>
        <v/>
      </c>
      <c r="K863" s="2" t="str">
        <f>IFERROR(IF('PREENCHER AQUI'!F863="","",'PREENCHER AQUI'!F863),"")</f>
        <v/>
      </c>
      <c r="L863" s="2" t="str">
        <f>IF(Tabela1[[#This Row],[IPU_COD]]=9,"91",IF(Tabela1[[#This Row],[ACAO_COD]]="","",VLOOKUP(CONCATENATE("G",J863,"M",K863),qdd!$BC$2:$BD$46,2,FALSE)))</f>
        <v/>
      </c>
      <c r="M863" s="2" t="str">
        <f>TEXT(IFERROR(VLOOKUP(CONCATENATE(C863,D863),qdd!$C$2:$G$1000,5,FALSE),""),0)</f>
        <v/>
      </c>
      <c r="N863" s="2" t="str">
        <f>IFERROR(IF('PREENCHER AQUI'!I863="","",'PREENCHER AQUI'!I863),"")</f>
        <v/>
      </c>
      <c r="O863" s="2" t="str">
        <f>IFERROR(IF('PREENCHER AQUI'!J863="","",'PREENCHER AQUI'!J863),"")</f>
        <v/>
      </c>
      <c r="P863" s="7" t="str">
        <f t="shared" si="29"/>
        <v/>
      </c>
      <c r="Q863" s="8" t="str">
        <f>IFERROR(IF(Tabela4[[#This Row],[VALOR]]="","",IF(Tabela1[[#This Row],[ORIENTACAO]]="Anular",'PREENCHER AQUI'!K863*-1*100,'PREENCHER AQUI'!K863*100)),"")</f>
        <v/>
      </c>
      <c r="T863" s="7" t="str">
        <f>IFERROR(IF('PREENCHER AQUI'!L863="","999",LEFT('PREENCHER AQUI'!L863,1)),"")</f>
        <v>999</v>
      </c>
      <c r="V863" s="19"/>
      <c r="W863" s="1" t="str">
        <f>IFERROR(VLOOKUP(Tabela1[[#This Row],[UO_COD]],qdd!$AT$1:$AU$102,2,FALSE),"")</f>
        <v/>
      </c>
      <c r="X863" s="1" t="str">
        <f>CONCATENATE("F",Tabela1[[#This Row],[FONTE_COD]],Tabela1[[#This Row],[IPU_COD]],"G",Tabela1[[#This Row],[GRUPO_COD]],"T",Tabela1[[#This Row],[TIPO]])</f>
        <v>FGT999</v>
      </c>
      <c r="Y8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3" s="19"/>
      <c r="AA863" s="29" t="str">
        <f>IFERROR(VLOOKUP(CONCATENATE("B",Tabela1[[#This Row],[BLOCO]],Tabela1[[#This Row],[UO_COD]]),qdd!$AW$2:$AX$1000,2,FALSE),"")</f>
        <v/>
      </c>
      <c r="AB863" s="30" t="str">
        <f>IFERROR(Tabela1[[#This Row],[VALOR]]/100,"")</f>
        <v/>
      </c>
      <c r="AC863" s="7" t="str" cm="1">
        <f t="array" aca="1" ref="AC863" ca="1">IF(Tabela1[[#This Row],[VALOR]]&lt;0,"",IFERROR(SUBSTITUTE(Converter_numero(Tabela1[[#This Row],[VALOR INCISO]]),",",""),""))</f>
        <v/>
      </c>
      <c r="AD863" s="29" t="str">
        <f>IF(Tabela1[[#This Row],[TIPO]]=REGRAS!$W$2,REGRAS!$X$2,IF(Tabela1[[#This Row],[TIPO]]=REGRAS!$W$4,REGRAS!$X$4,""))</f>
        <v/>
      </c>
      <c r="AE863" s="29" t="e">
        <f>VLOOKUP(Tabela1[[#This Row],[FONTE_COD]],REGRAS!$O$2:$P$69,2,FALSE)</f>
        <v>#N/A</v>
      </c>
      <c r="AF8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4" spans="1:32" ht="18.75" customHeight="1">
      <c r="A864" s="2" t="str">
        <f>IFERROR(IF('PREENCHER AQUI'!A864="","",'PREENCHER AQUI'!A864),"")</f>
        <v/>
      </c>
      <c r="B864" s="1" t="str">
        <f>IFERROR(IF('PREENCHER AQUI'!B864="","",PROPER('PREENCHER AQUI'!B864)),"")</f>
        <v/>
      </c>
      <c r="C864" s="1" t="str">
        <f>IFERROR(IF('PREENCHER AQUI'!C864="","",'PREENCHER AQUI'!C864),"")</f>
        <v/>
      </c>
      <c r="D864" s="2" t="str">
        <f>IFERROR(IF('PREENCHER AQUI'!D864="","",'PREENCHER AQUI'!D864),"")</f>
        <v/>
      </c>
      <c r="E864" s="2" t="str">
        <f>IFERROR(VLOOKUP(CONCATENATE(C864,D864),qdd!$C$2:$F$1000,2,FALSE),"")</f>
        <v/>
      </c>
      <c r="F864" s="2" t="str">
        <f>IFERROR(VLOOKUP(CONCATENATE(C864,D864),qdd!$C$2:$F$1000,3,FALSE),"")</f>
        <v/>
      </c>
      <c r="G864" s="2" t="str">
        <f>IFERROR(VLOOKUP(CONCATENATE(C864,D864),qdd!$C$2:$F$1000,4,FALSE),"")</f>
        <v/>
      </c>
      <c r="H864" s="6" t="str">
        <f t="shared" si="28"/>
        <v/>
      </c>
      <c r="I8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4" s="2" t="str">
        <f>IFERROR(IF('PREENCHER AQUI'!E864="","",'PREENCHER AQUI'!E864),"")</f>
        <v/>
      </c>
      <c r="K864" s="2" t="str">
        <f>IFERROR(IF('PREENCHER AQUI'!F864="","",'PREENCHER AQUI'!F864),"")</f>
        <v/>
      </c>
      <c r="L864" s="2" t="str">
        <f>IF(Tabela1[[#This Row],[IPU_COD]]=9,"91",IF(Tabela1[[#This Row],[ACAO_COD]]="","",VLOOKUP(CONCATENATE("G",J864,"M",K864),qdd!$BC$2:$BD$46,2,FALSE)))</f>
        <v/>
      </c>
      <c r="M864" s="2" t="str">
        <f>TEXT(IFERROR(VLOOKUP(CONCATENATE(C864,D864),qdd!$C$2:$G$1000,5,FALSE),""),0)</f>
        <v/>
      </c>
      <c r="N864" s="2" t="str">
        <f>IFERROR(IF('PREENCHER AQUI'!I864="","",'PREENCHER AQUI'!I864),"")</f>
        <v/>
      </c>
      <c r="O864" s="2" t="str">
        <f>IFERROR(IF('PREENCHER AQUI'!J864="","",'PREENCHER AQUI'!J864),"")</f>
        <v/>
      </c>
      <c r="P864" s="7" t="str">
        <f t="shared" si="29"/>
        <v/>
      </c>
      <c r="Q864" s="8" t="str">
        <f>IFERROR(IF(Tabela4[[#This Row],[VALOR]]="","",IF(Tabela1[[#This Row],[ORIENTACAO]]="Anular",'PREENCHER AQUI'!K864*-1*100,'PREENCHER AQUI'!K864*100)),"")</f>
        <v/>
      </c>
      <c r="T864" s="7" t="str">
        <f>IFERROR(IF('PREENCHER AQUI'!L864="","999",LEFT('PREENCHER AQUI'!L864,1)),"")</f>
        <v>999</v>
      </c>
      <c r="V864" s="19"/>
      <c r="W864" s="1" t="str">
        <f>IFERROR(VLOOKUP(Tabela1[[#This Row],[UO_COD]],qdd!$AT$1:$AU$102,2,FALSE),"")</f>
        <v/>
      </c>
      <c r="X864" s="1" t="str">
        <f>CONCATENATE("F",Tabela1[[#This Row],[FONTE_COD]],Tabela1[[#This Row],[IPU_COD]],"G",Tabela1[[#This Row],[GRUPO_COD]],"T",Tabela1[[#This Row],[TIPO]])</f>
        <v>FGT999</v>
      </c>
      <c r="Y8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4" s="19"/>
      <c r="AA864" s="29" t="str">
        <f>IFERROR(VLOOKUP(CONCATENATE("B",Tabela1[[#This Row],[BLOCO]],Tabela1[[#This Row],[UO_COD]]),qdd!$AW$2:$AX$1000,2,FALSE),"")</f>
        <v/>
      </c>
      <c r="AB864" s="30" t="str">
        <f>IFERROR(Tabela1[[#This Row],[VALOR]]/100,"")</f>
        <v/>
      </c>
      <c r="AC864" s="7" t="str" cm="1">
        <f t="array" aca="1" ref="AC864" ca="1">IF(Tabela1[[#This Row],[VALOR]]&lt;0,"",IFERROR(SUBSTITUTE(Converter_numero(Tabela1[[#This Row],[VALOR INCISO]]),",",""),""))</f>
        <v/>
      </c>
      <c r="AD864" s="29" t="str">
        <f>IF(Tabela1[[#This Row],[TIPO]]=REGRAS!$W$2,REGRAS!$X$2,IF(Tabela1[[#This Row],[TIPO]]=REGRAS!$W$4,REGRAS!$X$4,""))</f>
        <v/>
      </c>
      <c r="AE864" s="29" t="e">
        <f>VLOOKUP(Tabela1[[#This Row],[FONTE_COD]],REGRAS!$O$2:$P$69,2,FALSE)</f>
        <v>#N/A</v>
      </c>
      <c r="AF8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5" spans="1:32" ht="18.75" customHeight="1">
      <c r="A865" s="2" t="str">
        <f>IFERROR(IF('PREENCHER AQUI'!A865="","",'PREENCHER AQUI'!A865),"")</f>
        <v/>
      </c>
      <c r="B865" s="1" t="str">
        <f>IFERROR(IF('PREENCHER AQUI'!B865="","",PROPER('PREENCHER AQUI'!B865)),"")</f>
        <v/>
      </c>
      <c r="C865" s="1" t="str">
        <f>IFERROR(IF('PREENCHER AQUI'!C865="","",'PREENCHER AQUI'!C865),"")</f>
        <v/>
      </c>
      <c r="D865" s="2" t="str">
        <f>IFERROR(IF('PREENCHER AQUI'!D865="","",'PREENCHER AQUI'!D865),"")</f>
        <v/>
      </c>
      <c r="E865" s="2" t="str">
        <f>IFERROR(VLOOKUP(CONCATENATE(C865,D865),qdd!$C$2:$F$1000,2,FALSE),"")</f>
        <v/>
      </c>
      <c r="F865" s="2" t="str">
        <f>IFERROR(VLOOKUP(CONCATENATE(C865,D865),qdd!$C$2:$F$1000,3,FALSE),"")</f>
        <v/>
      </c>
      <c r="G865" s="2" t="str">
        <f>IFERROR(VLOOKUP(CONCATENATE(C865,D865),qdd!$C$2:$F$1000,4,FALSE),"")</f>
        <v/>
      </c>
      <c r="H865" s="6" t="str">
        <f t="shared" si="28"/>
        <v/>
      </c>
      <c r="I8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5" s="2" t="str">
        <f>IFERROR(IF('PREENCHER AQUI'!E865="","",'PREENCHER AQUI'!E865),"")</f>
        <v/>
      </c>
      <c r="K865" s="2" t="str">
        <f>IFERROR(IF('PREENCHER AQUI'!F865="","",'PREENCHER AQUI'!F865),"")</f>
        <v/>
      </c>
      <c r="L865" s="2" t="str">
        <f>IF(Tabela1[[#This Row],[IPU_COD]]=9,"91",IF(Tabela1[[#This Row],[ACAO_COD]]="","",VLOOKUP(CONCATENATE("G",J865,"M",K865),qdd!$BC$2:$BD$46,2,FALSE)))</f>
        <v/>
      </c>
      <c r="M865" s="2" t="str">
        <f>TEXT(IFERROR(VLOOKUP(CONCATENATE(C865,D865),qdd!$C$2:$G$1000,5,FALSE),""),0)</f>
        <v/>
      </c>
      <c r="N865" s="2" t="str">
        <f>IFERROR(IF('PREENCHER AQUI'!I865="","",'PREENCHER AQUI'!I865),"")</f>
        <v/>
      </c>
      <c r="O865" s="2" t="str">
        <f>IFERROR(IF('PREENCHER AQUI'!J865="","",'PREENCHER AQUI'!J865),"")</f>
        <v/>
      </c>
      <c r="P865" s="7" t="str">
        <f t="shared" si="29"/>
        <v/>
      </c>
      <c r="Q865" s="8" t="str">
        <f>IFERROR(IF(Tabela4[[#This Row],[VALOR]]="","",IF(Tabela1[[#This Row],[ORIENTACAO]]="Anular",'PREENCHER AQUI'!K865*-1*100,'PREENCHER AQUI'!K865*100)),"")</f>
        <v/>
      </c>
      <c r="T865" s="7" t="str">
        <f>IFERROR(IF('PREENCHER AQUI'!L865="","999",LEFT('PREENCHER AQUI'!L865,1)),"")</f>
        <v>999</v>
      </c>
      <c r="V865" s="19"/>
      <c r="W865" s="20" t="str">
        <f>IFERROR(VLOOKUP(Tabela1[[#This Row],[UO_COD]],qdd!$AT$1:$AU$102,2,FALSE),"")</f>
        <v/>
      </c>
      <c r="X865" s="20" t="str">
        <f>CONCATENATE("F",Tabela1[[#This Row],[FONTE_COD]],Tabela1[[#This Row],[IPU_COD]],"G",Tabela1[[#This Row],[GRUPO_COD]],"T",Tabela1[[#This Row],[TIPO]])</f>
        <v>FGT999</v>
      </c>
      <c r="Y8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5" s="19"/>
      <c r="AA865" s="29" t="str">
        <f>IFERROR(VLOOKUP(CONCATENATE("B",Tabela1[[#This Row],[BLOCO]],Tabela1[[#This Row],[UO_COD]]),qdd!$AW$2:$AX$1000,2,FALSE),"")</f>
        <v/>
      </c>
      <c r="AB865" s="30" t="str">
        <f>IFERROR(Tabela1[[#This Row],[VALOR]]/100,"")</f>
        <v/>
      </c>
      <c r="AC865" s="7" t="str" cm="1">
        <f t="array" aca="1" ref="AC865" ca="1">IF(Tabela1[[#This Row],[VALOR]]&lt;0,"",IFERROR(SUBSTITUTE(Converter_numero(Tabela1[[#This Row],[VALOR INCISO]]),",",""),""))</f>
        <v/>
      </c>
      <c r="AD865" s="29" t="str">
        <f>IF(Tabela1[[#This Row],[TIPO]]=REGRAS!$W$2,REGRAS!$X$2,IF(Tabela1[[#This Row],[TIPO]]=REGRAS!$W$4,REGRAS!$X$4,""))</f>
        <v/>
      </c>
      <c r="AE865" s="29" t="e">
        <f>VLOOKUP(Tabela1[[#This Row],[FONTE_COD]],REGRAS!$O$2:$P$69,2,FALSE)</f>
        <v>#N/A</v>
      </c>
      <c r="AF8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6" spans="1:32" ht="18.75" customHeight="1">
      <c r="A866" s="2" t="str">
        <f>IFERROR(IF('PREENCHER AQUI'!A866="","",'PREENCHER AQUI'!A866),"")</f>
        <v/>
      </c>
      <c r="B866" s="1" t="str">
        <f>IFERROR(IF('PREENCHER AQUI'!B866="","",PROPER('PREENCHER AQUI'!B866)),"")</f>
        <v/>
      </c>
      <c r="C866" s="1" t="str">
        <f>IFERROR(IF('PREENCHER AQUI'!C866="","",'PREENCHER AQUI'!C866),"")</f>
        <v/>
      </c>
      <c r="D866" s="2" t="str">
        <f>IFERROR(IF('PREENCHER AQUI'!D866="","",'PREENCHER AQUI'!D866),"")</f>
        <v/>
      </c>
      <c r="E866" s="2" t="str">
        <f>IFERROR(VLOOKUP(CONCATENATE(C866,D866),qdd!$C$2:$F$1000,2,FALSE),"")</f>
        <v/>
      </c>
      <c r="F866" s="2" t="str">
        <f>IFERROR(VLOOKUP(CONCATENATE(C866,D866),qdd!$C$2:$F$1000,3,FALSE),"")</f>
        <v/>
      </c>
      <c r="G866" s="2" t="str">
        <f>IFERROR(VLOOKUP(CONCATENATE(C866,D866),qdd!$C$2:$F$1000,4,FALSE),"")</f>
        <v/>
      </c>
      <c r="H866" s="6" t="str">
        <f t="shared" si="28"/>
        <v/>
      </c>
      <c r="I8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6" s="2" t="str">
        <f>IFERROR(IF('PREENCHER AQUI'!E866="","",'PREENCHER AQUI'!E866),"")</f>
        <v/>
      </c>
      <c r="K866" s="2" t="str">
        <f>IFERROR(IF('PREENCHER AQUI'!F866="","",'PREENCHER AQUI'!F866),"")</f>
        <v/>
      </c>
      <c r="L866" s="2" t="str">
        <f>IF(Tabela1[[#This Row],[IPU_COD]]=9,"91",IF(Tabela1[[#This Row],[ACAO_COD]]="","",VLOOKUP(CONCATENATE("G",J866,"M",K866),qdd!$BC$2:$BD$46,2,FALSE)))</f>
        <v/>
      </c>
      <c r="M866" s="2" t="str">
        <f>TEXT(IFERROR(VLOOKUP(CONCATENATE(C866,D866),qdd!$C$2:$G$1000,5,FALSE),""),0)</f>
        <v/>
      </c>
      <c r="N866" s="2" t="str">
        <f>IFERROR(IF('PREENCHER AQUI'!I866="","",'PREENCHER AQUI'!I866),"")</f>
        <v/>
      </c>
      <c r="O866" s="2" t="str">
        <f>IFERROR(IF('PREENCHER AQUI'!J866="","",'PREENCHER AQUI'!J866),"")</f>
        <v/>
      </c>
      <c r="P866" s="7" t="str">
        <f t="shared" si="29"/>
        <v/>
      </c>
      <c r="Q866" s="8" t="str">
        <f>IFERROR(IF(Tabela4[[#This Row],[VALOR]]="","",IF(Tabela1[[#This Row],[ORIENTACAO]]="Anular",'PREENCHER AQUI'!K866*-1*100,'PREENCHER AQUI'!K866*100)),"")</f>
        <v/>
      </c>
      <c r="T866" s="7" t="str">
        <f>IFERROR(IF('PREENCHER AQUI'!L866="","999",LEFT('PREENCHER AQUI'!L866,1)),"")</f>
        <v>999</v>
      </c>
      <c r="V866" s="19"/>
      <c r="W866" s="1" t="str">
        <f>IFERROR(VLOOKUP(Tabela1[[#This Row],[UO_COD]],qdd!$AT$1:$AU$102,2,FALSE),"")</f>
        <v/>
      </c>
      <c r="X866" s="1" t="str">
        <f>CONCATENATE("F",Tabela1[[#This Row],[FONTE_COD]],Tabela1[[#This Row],[IPU_COD]],"G",Tabela1[[#This Row],[GRUPO_COD]],"T",Tabela1[[#This Row],[TIPO]])</f>
        <v>FGT999</v>
      </c>
      <c r="Y8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6" s="19"/>
      <c r="AA866" s="29" t="str">
        <f>IFERROR(VLOOKUP(CONCATENATE("B",Tabela1[[#This Row],[BLOCO]],Tabela1[[#This Row],[UO_COD]]),qdd!$AW$2:$AX$1000,2,FALSE),"")</f>
        <v/>
      </c>
      <c r="AB866" s="30" t="str">
        <f>IFERROR(Tabela1[[#This Row],[VALOR]]/100,"")</f>
        <v/>
      </c>
      <c r="AC866" s="7" t="str" cm="1">
        <f t="array" aca="1" ref="AC866" ca="1">IF(Tabela1[[#This Row],[VALOR]]&lt;0,"",IFERROR(SUBSTITUTE(Converter_numero(Tabela1[[#This Row],[VALOR INCISO]]),",",""),""))</f>
        <v/>
      </c>
      <c r="AD866" s="29" t="str">
        <f>IF(Tabela1[[#This Row],[TIPO]]=REGRAS!$W$2,REGRAS!$X$2,IF(Tabela1[[#This Row],[TIPO]]=REGRAS!$W$4,REGRAS!$X$4,""))</f>
        <v/>
      </c>
      <c r="AE866" s="29" t="e">
        <f>VLOOKUP(Tabela1[[#This Row],[FONTE_COD]],REGRAS!$O$2:$P$69,2,FALSE)</f>
        <v>#N/A</v>
      </c>
      <c r="AF8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7" spans="1:32" ht="18.75" customHeight="1">
      <c r="A867" s="2" t="str">
        <f>IFERROR(IF('PREENCHER AQUI'!A867="","",'PREENCHER AQUI'!A867),"")</f>
        <v/>
      </c>
      <c r="B867" s="1" t="str">
        <f>IFERROR(IF('PREENCHER AQUI'!B867="","",PROPER('PREENCHER AQUI'!B867)),"")</f>
        <v/>
      </c>
      <c r="C867" s="1" t="str">
        <f>IFERROR(IF('PREENCHER AQUI'!C867="","",'PREENCHER AQUI'!C867),"")</f>
        <v/>
      </c>
      <c r="D867" s="2" t="str">
        <f>IFERROR(IF('PREENCHER AQUI'!D867="","",'PREENCHER AQUI'!D867),"")</f>
        <v/>
      </c>
      <c r="E867" s="2" t="str">
        <f>IFERROR(VLOOKUP(CONCATENATE(C867,D867),qdd!$C$2:$F$1000,2,FALSE),"")</f>
        <v/>
      </c>
      <c r="F867" s="2" t="str">
        <f>IFERROR(VLOOKUP(CONCATENATE(C867,D867),qdd!$C$2:$F$1000,3,FALSE),"")</f>
        <v/>
      </c>
      <c r="G867" s="2" t="str">
        <f>IFERROR(VLOOKUP(CONCATENATE(C867,D867),qdd!$C$2:$F$1000,4,FALSE),"")</f>
        <v/>
      </c>
      <c r="H867" s="6" t="str">
        <f t="shared" si="28"/>
        <v/>
      </c>
      <c r="I8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7" s="2" t="str">
        <f>IFERROR(IF('PREENCHER AQUI'!E867="","",'PREENCHER AQUI'!E867),"")</f>
        <v/>
      </c>
      <c r="K867" s="2" t="str">
        <f>IFERROR(IF('PREENCHER AQUI'!F867="","",'PREENCHER AQUI'!F867),"")</f>
        <v/>
      </c>
      <c r="L867" s="2" t="str">
        <f>IF(Tabela1[[#This Row],[IPU_COD]]=9,"91",IF(Tabela1[[#This Row],[ACAO_COD]]="","",VLOOKUP(CONCATENATE("G",J867,"M",K867),qdd!$BC$2:$BD$46,2,FALSE)))</f>
        <v/>
      </c>
      <c r="M867" s="2" t="str">
        <f>TEXT(IFERROR(VLOOKUP(CONCATENATE(C867,D867),qdd!$C$2:$G$1000,5,FALSE),""),0)</f>
        <v/>
      </c>
      <c r="N867" s="2" t="str">
        <f>IFERROR(IF('PREENCHER AQUI'!I867="","",'PREENCHER AQUI'!I867),"")</f>
        <v/>
      </c>
      <c r="O867" s="2" t="str">
        <f>IFERROR(IF('PREENCHER AQUI'!J867="","",'PREENCHER AQUI'!J867),"")</f>
        <v/>
      </c>
      <c r="P867" s="7" t="str">
        <f t="shared" si="29"/>
        <v/>
      </c>
      <c r="Q867" s="8" t="str">
        <f>IFERROR(IF(Tabela4[[#This Row],[VALOR]]="","",IF(Tabela1[[#This Row],[ORIENTACAO]]="Anular",'PREENCHER AQUI'!K867*-1*100,'PREENCHER AQUI'!K867*100)),"")</f>
        <v/>
      </c>
      <c r="T867" s="7" t="str">
        <f>IFERROR(IF('PREENCHER AQUI'!L867="","999",LEFT('PREENCHER AQUI'!L867,1)),"")</f>
        <v>999</v>
      </c>
      <c r="W867" s="1" t="str">
        <f>IFERROR(VLOOKUP(Tabela1[[#This Row],[UO_COD]],qdd!$AT$1:$AU$102,2,FALSE),"")</f>
        <v/>
      </c>
      <c r="X867" s="1" t="str">
        <f>CONCATENATE("F",Tabela1[[#This Row],[FONTE_COD]],Tabela1[[#This Row],[IPU_COD]],"G",Tabela1[[#This Row],[GRUPO_COD]],"T",Tabela1[[#This Row],[TIPO]])</f>
        <v>FGT999</v>
      </c>
      <c r="Y8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7" s="19"/>
      <c r="AA867" s="29" t="str">
        <f>IFERROR(VLOOKUP(CONCATENATE("B",Tabela1[[#This Row],[BLOCO]],Tabela1[[#This Row],[UO_COD]]),qdd!$AW$2:$AX$1000,2,FALSE),"")</f>
        <v/>
      </c>
      <c r="AB867" s="30" t="str">
        <f>IFERROR(Tabela1[[#This Row],[VALOR]]/100,"")</f>
        <v/>
      </c>
      <c r="AC867" s="7" t="str" cm="1">
        <f t="array" aca="1" ref="AC867" ca="1">IF(Tabela1[[#This Row],[VALOR]]&lt;0,"",IFERROR(SUBSTITUTE(Converter_numero(Tabela1[[#This Row],[VALOR INCISO]]),",",""),""))</f>
        <v/>
      </c>
      <c r="AD867" s="7" t="str">
        <f>IF(Tabela1[[#This Row],[TIPO]]=REGRAS!$W$2,REGRAS!$X$2,IF(Tabela1[[#This Row],[TIPO]]=REGRAS!$W$4,REGRAS!$X$4,""))</f>
        <v/>
      </c>
      <c r="AE867" s="29" t="e">
        <f>VLOOKUP(Tabela1[[#This Row],[FONTE_COD]],REGRAS!$O$2:$P$69,2,FALSE)</f>
        <v>#N/A</v>
      </c>
      <c r="AF8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8" spans="1:32" ht="18.75" customHeight="1">
      <c r="A868" s="2" t="str">
        <f>IFERROR(IF('PREENCHER AQUI'!A868="","",'PREENCHER AQUI'!A868),"")</f>
        <v/>
      </c>
      <c r="B868" s="1" t="str">
        <f>IFERROR(IF('PREENCHER AQUI'!B868="","",PROPER('PREENCHER AQUI'!B868)),"")</f>
        <v/>
      </c>
      <c r="C868" s="1" t="str">
        <f>IFERROR(IF('PREENCHER AQUI'!C868="","",'PREENCHER AQUI'!C868),"")</f>
        <v/>
      </c>
      <c r="D868" s="2" t="str">
        <f>IFERROR(IF('PREENCHER AQUI'!D868="","",'PREENCHER AQUI'!D868),"")</f>
        <v/>
      </c>
      <c r="E868" s="2" t="str">
        <f>IFERROR(VLOOKUP(CONCATENATE(C868,D868),qdd!$C$2:$F$1000,2,FALSE),"")</f>
        <v/>
      </c>
      <c r="F868" s="2" t="str">
        <f>IFERROR(VLOOKUP(CONCATENATE(C868,D868),qdd!$C$2:$F$1000,3,FALSE),"")</f>
        <v/>
      </c>
      <c r="G868" s="2" t="str">
        <f>IFERROR(VLOOKUP(CONCATENATE(C868,D868),qdd!$C$2:$F$1000,4,FALSE),"")</f>
        <v/>
      </c>
      <c r="H868" s="6" t="str">
        <f t="shared" si="28"/>
        <v/>
      </c>
      <c r="I8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8" s="2" t="str">
        <f>IFERROR(IF('PREENCHER AQUI'!E868="","",'PREENCHER AQUI'!E868),"")</f>
        <v/>
      </c>
      <c r="K868" s="2" t="str">
        <f>IFERROR(IF('PREENCHER AQUI'!F868="","",'PREENCHER AQUI'!F868),"")</f>
        <v/>
      </c>
      <c r="L868" s="2" t="str">
        <f>IF(Tabela1[[#This Row],[IPU_COD]]=9,"91",IF(Tabela1[[#This Row],[ACAO_COD]]="","",VLOOKUP(CONCATENATE("G",J868,"M",K868),qdd!$BC$2:$BD$46,2,FALSE)))</f>
        <v/>
      </c>
      <c r="M868" s="2" t="str">
        <f>TEXT(IFERROR(VLOOKUP(CONCATENATE(C868,D868),qdd!$C$2:$G$1000,5,FALSE),""),0)</f>
        <v/>
      </c>
      <c r="N868" s="2" t="str">
        <f>IFERROR(IF('PREENCHER AQUI'!I868="","",'PREENCHER AQUI'!I868),"")</f>
        <v/>
      </c>
      <c r="O868" s="2" t="str">
        <f>IFERROR(IF('PREENCHER AQUI'!J868="","",'PREENCHER AQUI'!J868),"")</f>
        <v/>
      </c>
      <c r="P868" s="7" t="str">
        <f t="shared" si="29"/>
        <v/>
      </c>
      <c r="Q868" s="8" t="str">
        <f>IFERROR(IF(Tabela4[[#This Row],[VALOR]]="","",IF(Tabela1[[#This Row],[ORIENTACAO]]="Anular",'PREENCHER AQUI'!K868*-1*100,'PREENCHER AQUI'!K868*100)),"")</f>
        <v/>
      </c>
      <c r="T868" s="7" t="str">
        <f>IFERROR(IF('PREENCHER AQUI'!L868="","999",LEFT('PREENCHER AQUI'!L868,1)),"")</f>
        <v>999</v>
      </c>
      <c r="V868" s="19"/>
      <c r="W868" s="1" t="str">
        <f>IFERROR(VLOOKUP(Tabela1[[#This Row],[UO_COD]],qdd!$AT$1:$AU$102,2,FALSE),"")</f>
        <v/>
      </c>
      <c r="X868" s="1" t="str">
        <f>CONCATENATE("F",Tabela1[[#This Row],[FONTE_COD]],Tabela1[[#This Row],[IPU_COD]],"G",Tabela1[[#This Row],[GRUPO_COD]],"T",Tabela1[[#This Row],[TIPO]])</f>
        <v>FGT999</v>
      </c>
      <c r="Y8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8" s="19"/>
      <c r="AA868" s="29" t="str">
        <f>IFERROR(VLOOKUP(CONCATENATE("B",Tabela1[[#This Row],[BLOCO]],Tabela1[[#This Row],[UO_COD]]),qdd!$AW$2:$AX$1000,2,FALSE),"")</f>
        <v/>
      </c>
      <c r="AB868" s="30" t="str">
        <f>IFERROR(Tabela1[[#This Row],[VALOR]]/100,"")</f>
        <v/>
      </c>
      <c r="AC868" s="7" t="str" cm="1">
        <f t="array" aca="1" ref="AC868" ca="1">IF(Tabela1[[#This Row],[VALOR]]&lt;0,"",IFERROR(SUBSTITUTE(Converter_numero(Tabela1[[#This Row],[VALOR INCISO]]),",",""),""))</f>
        <v/>
      </c>
      <c r="AD868" s="29" t="str">
        <f>IF(Tabela1[[#This Row],[TIPO]]=REGRAS!$W$2,REGRAS!$X$2,IF(Tabela1[[#This Row],[TIPO]]=REGRAS!$W$4,REGRAS!$X$4,""))</f>
        <v/>
      </c>
      <c r="AE868" s="29" t="e">
        <f>VLOOKUP(Tabela1[[#This Row],[FONTE_COD]],REGRAS!$O$2:$P$69,2,FALSE)</f>
        <v>#N/A</v>
      </c>
      <c r="AF8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9" spans="1:32" ht="18.75" customHeight="1">
      <c r="A869" s="2" t="str">
        <f>IFERROR(IF('PREENCHER AQUI'!A869="","",'PREENCHER AQUI'!A869),"")</f>
        <v/>
      </c>
      <c r="B869" s="1" t="str">
        <f>IFERROR(IF('PREENCHER AQUI'!B869="","",PROPER('PREENCHER AQUI'!B869)),"")</f>
        <v/>
      </c>
      <c r="C869" s="1" t="str">
        <f>IFERROR(IF('PREENCHER AQUI'!C869="","",'PREENCHER AQUI'!C869),"")</f>
        <v/>
      </c>
      <c r="D869" s="2" t="str">
        <f>IFERROR(IF('PREENCHER AQUI'!D869="","",'PREENCHER AQUI'!D869),"")</f>
        <v/>
      </c>
      <c r="E869" s="2" t="str">
        <f>IFERROR(VLOOKUP(CONCATENATE(C869,D869),qdd!$C$2:$F$1000,2,FALSE),"")</f>
        <v/>
      </c>
      <c r="F869" s="2" t="str">
        <f>IFERROR(VLOOKUP(CONCATENATE(C869,D869),qdd!$C$2:$F$1000,3,FALSE),"")</f>
        <v/>
      </c>
      <c r="G869" s="2" t="str">
        <f>IFERROR(VLOOKUP(CONCATENATE(C869,D869),qdd!$C$2:$F$1000,4,FALSE),"")</f>
        <v/>
      </c>
      <c r="H869" s="6" t="str">
        <f t="shared" si="28"/>
        <v/>
      </c>
      <c r="I8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9" s="2" t="str">
        <f>IFERROR(IF('PREENCHER AQUI'!E869="","",'PREENCHER AQUI'!E869),"")</f>
        <v/>
      </c>
      <c r="K869" s="2" t="str">
        <f>IFERROR(IF('PREENCHER AQUI'!F869="","",'PREENCHER AQUI'!F869),"")</f>
        <v/>
      </c>
      <c r="L869" s="2" t="str">
        <f>IF(Tabela1[[#This Row],[IPU_COD]]=9,"91",IF(Tabela1[[#This Row],[ACAO_COD]]="","",VLOOKUP(CONCATENATE("G",J869,"M",K869),qdd!$BC$2:$BD$46,2,FALSE)))</f>
        <v/>
      </c>
      <c r="M869" s="2" t="str">
        <f>TEXT(IFERROR(VLOOKUP(CONCATENATE(C869,D869),qdd!$C$2:$G$1000,5,FALSE),""),0)</f>
        <v/>
      </c>
      <c r="N869" s="2" t="str">
        <f>IFERROR(IF('PREENCHER AQUI'!I869="","",'PREENCHER AQUI'!I869),"")</f>
        <v/>
      </c>
      <c r="O869" s="2" t="str">
        <f>IFERROR(IF('PREENCHER AQUI'!J869="","",'PREENCHER AQUI'!J869),"")</f>
        <v/>
      </c>
      <c r="P869" s="7" t="str">
        <f t="shared" si="29"/>
        <v/>
      </c>
      <c r="Q869" s="8" t="str">
        <f>IFERROR(IF(Tabela4[[#This Row],[VALOR]]="","",IF(Tabela1[[#This Row],[ORIENTACAO]]="Anular",'PREENCHER AQUI'!K869*-1*100,'PREENCHER AQUI'!K869*100)),"")</f>
        <v/>
      </c>
      <c r="T869" s="7" t="str">
        <f>IFERROR(IF('PREENCHER AQUI'!L869="","999",LEFT('PREENCHER AQUI'!L869,1)),"")</f>
        <v>999</v>
      </c>
      <c r="V869" s="19"/>
      <c r="W869" s="1" t="str">
        <f>IFERROR(VLOOKUP(Tabela1[[#This Row],[UO_COD]],qdd!$AT$1:$AU$102,2,FALSE),"")</f>
        <v/>
      </c>
      <c r="X869" s="1" t="str">
        <f>CONCATENATE("F",Tabela1[[#This Row],[FONTE_COD]],Tabela1[[#This Row],[IPU_COD]],"G",Tabela1[[#This Row],[GRUPO_COD]],"T",Tabela1[[#This Row],[TIPO]])</f>
        <v>FGT999</v>
      </c>
      <c r="Y8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9" s="19"/>
      <c r="AA869" s="29" t="str">
        <f>IFERROR(VLOOKUP(CONCATENATE("B",Tabela1[[#This Row],[BLOCO]],Tabela1[[#This Row],[UO_COD]]),qdd!$AW$2:$AX$1000,2,FALSE),"")</f>
        <v/>
      </c>
      <c r="AB869" s="30" t="str">
        <f>IFERROR(Tabela1[[#This Row],[VALOR]]/100,"")</f>
        <v/>
      </c>
      <c r="AC869" s="7" t="str" cm="1">
        <f t="array" aca="1" ref="AC869" ca="1">IF(Tabela1[[#This Row],[VALOR]]&lt;0,"",IFERROR(SUBSTITUTE(Converter_numero(Tabela1[[#This Row],[VALOR INCISO]]),",",""),""))</f>
        <v/>
      </c>
      <c r="AD869" s="29" t="str">
        <f>IF(Tabela1[[#This Row],[TIPO]]=REGRAS!$W$2,REGRAS!$X$2,IF(Tabela1[[#This Row],[TIPO]]=REGRAS!$W$4,REGRAS!$X$4,""))</f>
        <v/>
      </c>
      <c r="AE869" s="29" t="e">
        <f>VLOOKUP(Tabela1[[#This Row],[FONTE_COD]],REGRAS!$O$2:$P$69,2,FALSE)</f>
        <v>#N/A</v>
      </c>
      <c r="AF8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0" spans="1:32" ht="18.75" customHeight="1">
      <c r="A870" s="2" t="str">
        <f>IFERROR(IF('PREENCHER AQUI'!A870="","",'PREENCHER AQUI'!A870),"")</f>
        <v/>
      </c>
      <c r="B870" s="1" t="str">
        <f>IFERROR(IF('PREENCHER AQUI'!B870="","",PROPER('PREENCHER AQUI'!B870)),"")</f>
        <v/>
      </c>
      <c r="C870" s="1" t="str">
        <f>IFERROR(IF('PREENCHER AQUI'!C870="","",'PREENCHER AQUI'!C870),"")</f>
        <v/>
      </c>
      <c r="D870" s="2" t="str">
        <f>IFERROR(IF('PREENCHER AQUI'!D870="","",'PREENCHER AQUI'!D870),"")</f>
        <v/>
      </c>
      <c r="E870" s="2" t="str">
        <f>IFERROR(VLOOKUP(CONCATENATE(C870,D870),qdd!$C$2:$F$1000,2,FALSE),"")</f>
        <v/>
      </c>
      <c r="F870" s="2" t="str">
        <f>IFERROR(VLOOKUP(CONCATENATE(C870,D870),qdd!$C$2:$F$1000,3,FALSE),"")</f>
        <v/>
      </c>
      <c r="G870" s="2" t="str">
        <f>IFERROR(VLOOKUP(CONCATENATE(C870,D870),qdd!$C$2:$F$1000,4,FALSE),"")</f>
        <v/>
      </c>
      <c r="H870" s="6" t="str">
        <f t="shared" si="28"/>
        <v/>
      </c>
      <c r="I8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0" s="2" t="str">
        <f>IFERROR(IF('PREENCHER AQUI'!E870="","",'PREENCHER AQUI'!E870),"")</f>
        <v/>
      </c>
      <c r="K870" s="2" t="str">
        <f>IFERROR(IF('PREENCHER AQUI'!F870="","",'PREENCHER AQUI'!F870),"")</f>
        <v/>
      </c>
      <c r="L870" s="2" t="str">
        <f>IF(Tabela1[[#This Row],[IPU_COD]]=9,"91",IF(Tabela1[[#This Row],[ACAO_COD]]="","",VLOOKUP(CONCATENATE("G",J870,"M",K870),qdd!$BC$2:$BD$46,2,FALSE)))</f>
        <v/>
      </c>
      <c r="M870" s="2" t="str">
        <f>TEXT(IFERROR(VLOOKUP(CONCATENATE(C870,D870),qdd!$C$2:$G$1000,5,FALSE),""),0)</f>
        <v/>
      </c>
      <c r="N870" s="2" t="str">
        <f>IFERROR(IF('PREENCHER AQUI'!I870="","",'PREENCHER AQUI'!I870),"")</f>
        <v/>
      </c>
      <c r="O870" s="2" t="str">
        <f>IFERROR(IF('PREENCHER AQUI'!J870="","",'PREENCHER AQUI'!J870),"")</f>
        <v/>
      </c>
      <c r="P870" s="7" t="str">
        <f t="shared" si="29"/>
        <v/>
      </c>
      <c r="Q870" s="8" t="str">
        <f>IFERROR(IF(Tabela4[[#This Row],[VALOR]]="","",IF(Tabela1[[#This Row],[ORIENTACAO]]="Anular",'PREENCHER AQUI'!K870*-1*100,'PREENCHER AQUI'!K870*100)),"")</f>
        <v/>
      </c>
      <c r="T870" s="7" t="str">
        <f>IFERROR(IF('PREENCHER AQUI'!L870="","999",LEFT('PREENCHER AQUI'!L870,1)),"")</f>
        <v>999</v>
      </c>
      <c r="V870" s="19"/>
      <c r="W870" s="20" t="str">
        <f>IFERROR(VLOOKUP(Tabela1[[#This Row],[UO_COD]],qdd!$AT$1:$AU$102,2,FALSE),"")</f>
        <v/>
      </c>
      <c r="X870" s="20" t="str">
        <f>CONCATENATE("F",Tabela1[[#This Row],[FONTE_COD]],Tabela1[[#This Row],[IPU_COD]],"G",Tabela1[[#This Row],[GRUPO_COD]],"T",Tabela1[[#This Row],[TIPO]])</f>
        <v>FGT999</v>
      </c>
      <c r="Y8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0" s="19"/>
      <c r="AA870" s="29" t="str">
        <f>IFERROR(VLOOKUP(CONCATENATE("B",Tabela1[[#This Row],[BLOCO]],Tabela1[[#This Row],[UO_COD]]),qdd!$AW$2:$AX$1000,2,FALSE),"")</f>
        <v/>
      </c>
      <c r="AB870" s="30" t="str">
        <f>IFERROR(Tabela1[[#This Row],[VALOR]]/100,"")</f>
        <v/>
      </c>
      <c r="AC870" s="7" t="str" cm="1">
        <f t="array" aca="1" ref="AC870" ca="1">IF(Tabela1[[#This Row],[VALOR]]&lt;0,"",IFERROR(SUBSTITUTE(Converter_numero(Tabela1[[#This Row],[VALOR INCISO]]),",",""),""))</f>
        <v/>
      </c>
      <c r="AD870" s="29" t="str">
        <f>IF(Tabela1[[#This Row],[TIPO]]=REGRAS!$W$2,REGRAS!$X$2,IF(Tabela1[[#This Row],[TIPO]]=REGRAS!$W$4,REGRAS!$X$4,""))</f>
        <v/>
      </c>
      <c r="AE870" s="29" t="e">
        <f>VLOOKUP(Tabela1[[#This Row],[FONTE_COD]],REGRAS!$O$2:$P$69,2,FALSE)</f>
        <v>#N/A</v>
      </c>
      <c r="AF8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1" spans="1:32" ht="18.75" customHeight="1">
      <c r="A871" s="2" t="str">
        <f>IFERROR(IF('PREENCHER AQUI'!A871="","",'PREENCHER AQUI'!A871),"")</f>
        <v/>
      </c>
      <c r="B871" s="1" t="str">
        <f>IFERROR(IF('PREENCHER AQUI'!B871="","",PROPER('PREENCHER AQUI'!B871)),"")</f>
        <v/>
      </c>
      <c r="C871" s="1" t="str">
        <f>IFERROR(IF('PREENCHER AQUI'!C871="","",'PREENCHER AQUI'!C871),"")</f>
        <v/>
      </c>
      <c r="D871" s="2" t="str">
        <f>IFERROR(IF('PREENCHER AQUI'!D871="","",'PREENCHER AQUI'!D871),"")</f>
        <v/>
      </c>
      <c r="E871" s="2" t="str">
        <f>IFERROR(VLOOKUP(CONCATENATE(C871,D871),qdd!$C$2:$F$1000,2,FALSE),"")</f>
        <v/>
      </c>
      <c r="F871" s="2" t="str">
        <f>IFERROR(VLOOKUP(CONCATENATE(C871,D871),qdd!$C$2:$F$1000,3,FALSE),"")</f>
        <v/>
      </c>
      <c r="G871" s="2" t="str">
        <f>IFERROR(VLOOKUP(CONCATENATE(C871,D871),qdd!$C$2:$F$1000,4,FALSE),"")</f>
        <v/>
      </c>
      <c r="H871" s="6" t="str">
        <f t="shared" si="28"/>
        <v/>
      </c>
      <c r="I8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1" s="2" t="str">
        <f>IFERROR(IF('PREENCHER AQUI'!E871="","",'PREENCHER AQUI'!E871),"")</f>
        <v/>
      </c>
      <c r="K871" s="2" t="str">
        <f>IFERROR(IF('PREENCHER AQUI'!F871="","",'PREENCHER AQUI'!F871),"")</f>
        <v/>
      </c>
      <c r="L871" s="2" t="str">
        <f>IF(Tabela1[[#This Row],[IPU_COD]]=9,"91",IF(Tabela1[[#This Row],[ACAO_COD]]="","",VLOOKUP(CONCATENATE("G",J871,"M",K871),qdd!$BC$2:$BD$46,2,FALSE)))</f>
        <v/>
      </c>
      <c r="M871" s="2" t="str">
        <f>TEXT(IFERROR(VLOOKUP(CONCATENATE(C871,D871),qdd!$C$2:$G$1000,5,FALSE),""),0)</f>
        <v/>
      </c>
      <c r="N871" s="2" t="str">
        <f>IFERROR(IF('PREENCHER AQUI'!I871="","",'PREENCHER AQUI'!I871),"")</f>
        <v/>
      </c>
      <c r="O871" s="2" t="str">
        <f>IFERROR(IF('PREENCHER AQUI'!J871="","",'PREENCHER AQUI'!J871),"")</f>
        <v/>
      </c>
      <c r="P871" s="7" t="str">
        <f t="shared" si="29"/>
        <v/>
      </c>
      <c r="Q871" s="8" t="str">
        <f>IFERROR(IF(Tabela4[[#This Row],[VALOR]]="","",IF(Tabela1[[#This Row],[ORIENTACAO]]="Anular",'PREENCHER AQUI'!K871*-1*100,'PREENCHER AQUI'!K871*100)),"")</f>
        <v/>
      </c>
      <c r="T871" s="7" t="str">
        <f>IFERROR(IF('PREENCHER AQUI'!L871="","999",LEFT('PREENCHER AQUI'!L871,1)),"")</f>
        <v>999</v>
      </c>
      <c r="V871" s="19"/>
      <c r="W871" s="1" t="str">
        <f>IFERROR(VLOOKUP(Tabela1[[#This Row],[UO_COD]],qdd!$AT$1:$AU$102,2,FALSE),"")</f>
        <v/>
      </c>
      <c r="X871" s="1" t="str">
        <f>CONCATENATE("F",Tabela1[[#This Row],[FONTE_COD]],Tabela1[[#This Row],[IPU_COD]],"G",Tabela1[[#This Row],[GRUPO_COD]],"T",Tabela1[[#This Row],[TIPO]])</f>
        <v>FGT999</v>
      </c>
      <c r="Y8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1" s="19"/>
      <c r="AA871" s="29" t="str">
        <f>IFERROR(VLOOKUP(CONCATENATE("B",Tabela1[[#This Row],[BLOCO]],Tabela1[[#This Row],[UO_COD]]),qdd!$AW$2:$AX$1000,2,FALSE),"")</f>
        <v/>
      </c>
      <c r="AB871" s="30" t="str">
        <f>IFERROR(Tabela1[[#This Row],[VALOR]]/100,"")</f>
        <v/>
      </c>
      <c r="AC871" s="7" t="str" cm="1">
        <f t="array" aca="1" ref="AC871" ca="1">IF(Tabela1[[#This Row],[VALOR]]&lt;0,"",IFERROR(SUBSTITUTE(Converter_numero(Tabela1[[#This Row],[VALOR INCISO]]),",",""),""))</f>
        <v/>
      </c>
      <c r="AD871" s="29" t="str">
        <f>IF(Tabela1[[#This Row],[TIPO]]=REGRAS!$W$2,REGRAS!$X$2,IF(Tabela1[[#This Row],[TIPO]]=REGRAS!$W$4,REGRAS!$X$4,""))</f>
        <v/>
      </c>
      <c r="AE871" s="29" t="e">
        <f>VLOOKUP(Tabela1[[#This Row],[FONTE_COD]],REGRAS!$O$2:$P$69,2,FALSE)</f>
        <v>#N/A</v>
      </c>
      <c r="AF8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2" spans="1:32" ht="18.75" customHeight="1">
      <c r="A872" s="2" t="str">
        <f>IFERROR(IF('PREENCHER AQUI'!A872="","",'PREENCHER AQUI'!A872),"")</f>
        <v/>
      </c>
      <c r="B872" s="1" t="str">
        <f>IFERROR(IF('PREENCHER AQUI'!B872="","",PROPER('PREENCHER AQUI'!B872)),"")</f>
        <v/>
      </c>
      <c r="C872" s="1" t="str">
        <f>IFERROR(IF('PREENCHER AQUI'!C872="","",'PREENCHER AQUI'!C872),"")</f>
        <v/>
      </c>
      <c r="D872" s="2" t="str">
        <f>IFERROR(IF('PREENCHER AQUI'!D872="","",'PREENCHER AQUI'!D872),"")</f>
        <v/>
      </c>
      <c r="E872" s="2" t="str">
        <f>IFERROR(VLOOKUP(CONCATENATE(C872,D872),qdd!$C$2:$F$1000,2,FALSE),"")</f>
        <v/>
      </c>
      <c r="F872" s="2" t="str">
        <f>IFERROR(VLOOKUP(CONCATENATE(C872,D872),qdd!$C$2:$F$1000,3,FALSE),"")</f>
        <v/>
      </c>
      <c r="G872" s="2" t="str">
        <f>IFERROR(VLOOKUP(CONCATENATE(C872,D872),qdd!$C$2:$F$1000,4,FALSE),"")</f>
        <v/>
      </c>
      <c r="H872" s="6" t="str">
        <f t="shared" si="28"/>
        <v/>
      </c>
      <c r="I8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2" s="2" t="str">
        <f>IFERROR(IF('PREENCHER AQUI'!E872="","",'PREENCHER AQUI'!E872),"")</f>
        <v/>
      </c>
      <c r="K872" s="2" t="str">
        <f>IFERROR(IF('PREENCHER AQUI'!F872="","",'PREENCHER AQUI'!F872),"")</f>
        <v/>
      </c>
      <c r="L872" s="2" t="str">
        <f>IF(Tabela1[[#This Row],[IPU_COD]]=9,"91",IF(Tabela1[[#This Row],[ACAO_COD]]="","",VLOOKUP(CONCATENATE("G",J872,"M",K872),qdd!$BC$2:$BD$46,2,FALSE)))</f>
        <v/>
      </c>
      <c r="M872" s="2" t="str">
        <f>TEXT(IFERROR(VLOOKUP(CONCATENATE(C872,D872),qdd!$C$2:$G$1000,5,FALSE),""),0)</f>
        <v/>
      </c>
      <c r="N872" s="2" t="str">
        <f>IFERROR(IF('PREENCHER AQUI'!I872="","",'PREENCHER AQUI'!I872),"")</f>
        <v/>
      </c>
      <c r="O872" s="2" t="str">
        <f>IFERROR(IF('PREENCHER AQUI'!J872="","",'PREENCHER AQUI'!J872),"")</f>
        <v/>
      </c>
      <c r="P872" s="7" t="str">
        <f t="shared" si="29"/>
        <v/>
      </c>
      <c r="Q872" s="8" t="str">
        <f>IFERROR(IF(Tabela4[[#This Row],[VALOR]]="","",IF(Tabela1[[#This Row],[ORIENTACAO]]="Anular",'PREENCHER AQUI'!K872*-1*100,'PREENCHER AQUI'!K872*100)),"")</f>
        <v/>
      </c>
      <c r="T872" s="7" t="str">
        <f>IFERROR(IF('PREENCHER AQUI'!L872="","999",LEFT('PREENCHER AQUI'!L872,1)),"")</f>
        <v>999</v>
      </c>
      <c r="W872" s="1" t="str">
        <f>IFERROR(VLOOKUP(Tabela1[[#This Row],[UO_COD]],qdd!$AT$1:$AU$102,2,FALSE),"")</f>
        <v/>
      </c>
      <c r="X872" s="1" t="str">
        <f>CONCATENATE("F",Tabela1[[#This Row],[FONTE_COD]],Tabela1[[#This Row],[IPU_COD]],"G",Tabela1[[#This Row],[GRUPO_COD]],"T",Tabela1[[#This Row],[TIPO]])</f>
        <v>FGT999</v>
      </c>
      <c r="Y8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2" s="19"/>
      <c r="AA872" s="29" t="str">
        <f>IFERROR(VLOOKUP(CONCATENATE("B",Tabela1[[#This Row],[BLOCO]],Tabela1[[#This Row],[UO_COD]]),qdd!$AW$2:$AX$1000,2,FALSE),"")</f>
        <v/>
      </c>
      <c r="AB872" s="30" t="str">
        <f>IFERROR(Tabela1[[#This Row],[VALOR]]/100,"")</f>
        <v/>
      </c>
      <c r="AC872" s="7" t="str" cm="1">
        <f t="array" aca="1" ref="AC872" ca="1">IF(Tabela1[[#This Row],[VALOR]]&lt;0,"",IFERROR(SUBSTITUTE(Converter_numero(Tabela1[[#This Row],[VALOR INCISO]]),",",""),""))</f>
        <v/>
      </c>
      <c r="AD872" s="7" t="str">
        <f>IF(Tabela1[[#This Row],[TIPO]]=REGRAS!$W$2,REGRAS!$X$2,IF(Tabela1[[#This Row],[TIPO]]=REGRAS!$W$4,REGRAS!$X$4,""))</f>
        <v/>
      </c>
      <c r="AE872" s="29" t="e">
        <f>VLOOKUP(Tabela1[[#This Row],[FONTE_COD]],REGRAS!$O$2:$P$69,2,FALSE)</f>
        <v>#N/A</v>
      </c>
      <c r="AF8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3" spans="1:32" ht="18.75" customHeight="1">
      <c r="A873" s="2" t="str">
        <f>IFERROR(IF('PREENCHER AQUI'!A873="","",'PREENCHER AQUI'!A873),"")</f>
        <v/>
      </c>
      <c r="B873" s="1" t="str">
        <f>IFERROR(IF('PREENCHER AQUI'!B873="","",PROPER('PREENCHER AQUI'!B873)),"")</f>
        <v/>
      </c>
      <c r="C873" s="1" t="str">
        <f>IFERROR(IF('PREENCHER AQUI'!C873="","",'PREENCHER AQUI'!C873),"")</f>
        <v/>
      </c>
      <c r="D873" s="2" t="str">
        <f>IFERROR(IF('PREENCHER AQUI'!D873="","",'PREENCHER AQUI'!D873),"")</f>
        <v/>
      </c>
      <c r="E873" s="2" t="str">
        <f>IFERROR(VLOOKUP(CONCATENATE(C873,D873),qdd!$C$2:$F$1000,2,FALSE),"")</f>
        <v/>
      </c>
      <c r="F873" s="2" t="str">
        <f>IFERROR(VLOOKUP(CONCATENATE(C873,D873),qdd!$C$2:$F$1000,3,FALSE),"")</f>
        <v/>
      </c>
      <c r="G873" s="2" t="str">
        <f>IFERROR(VLOOKUP(CONCATENATE(C873,D873),qdd!$C$2:$F$1000,4,FALSE),"")</f>
        <v/>
      </c>
      <c r="H873" s="6" t="str">
        <f t="shared" si="28"/>
        <v/>
      </c>
      <c r="I8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3" s="2" t="str">
        <f>IFERROR(IF('PREENCHER AQUI'!E873="","",'PREENCHER AQUI'!E873),"")</f>
        <v/>
      </c>
      <c r="K873" s="2" t="str">
        <f>IFERROR(IF('PREENCHER AQUI'!F873="","",'PREENCHER AQUI'!F873),"")</f>
        <v/>
      </c>
      <c r="L873" s="2" t="str">
        <f>IF(Tabela1[[#This Row],[IPU_COD]]=9,"91",IF(Tabela1[[#This Row],[ACAO_COD]]="","",VLOOKUP(CONCATENATE("G",J873,"M",K873),qdd!$BC$2:$BD$46,2,FALSE)))</f>
        <v/>
      </c>
      <c r="M873" s="2" t="str">
        <f>TEXT(IFERROR(VLOOKUP(CONCATENATE(C873,D873),qdd!$C$2:$G$1000,5,FALSE),""),0)</f>
        <v/>
      </c>
      <c r="N873" s="2" t="str">
        <f>IFERROR(IF('PREENCHER AQUI'!I873="","",'PREENCHER AQUI'!I873),"")</f>
        <v/>
      </c>
      <c r="O873" s="2" t="str">
        <f>IFERROR(IF('PREENCHER AQUI'!J873="","",'PREENCHER AQUI'!J873),"")</f>
        <v/>
      </c>
      <c r="P873" s="7" t="str">
        <f t="shared" si="29"/>
        <v/>
      </c>
      <c r="Q873" s="8" t="str">
        <f>IFERROR(IF(Tabela4[[#This Row],[VALOR]]="","",IF(Tabela1[[#This Row],[ORIENTACAO]]="Anular",'PREENCHER AQUI'!K873*-1*100,'PREENCHER AQUI'!K873*100)),"")</f>
        <v/>
      </c>
      <c r="T873" s="7" t="str">
        <f>IFERROR(IF('PREENCHER AQUI'!L873="","999",LEFT('PREENCHER AQUI'!L873,1)),"")</f>
        <v>999</v>
      </c>
      <c r="V873" s="19"/>
      <c r="W873" s="1" t="str">
        <f>IFERROR(VLOOKUP(Tabela1[[#This Row],[UO_COD]],qdd!$AT$1:$AU$102,2,FALSE),"")</f>
        <v/>
      </c>
      <c r="X873" s="1" t="str">
        <f>CONCATENATE("F",Tabela1[[#This Row],[FONTE_COD]],Tabela1[[#This Row],[IPU_COD]],"G",Tabela1[[#This Row],[GRUPO_COD]],"T",Tabela1[[#This Row],[TIPO]])</f>
        <v>FGT999</v>
      </c>
      <c r="Y8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3" s="19"/>
      <c r="AA873" s="29" t="str">
        <f>IFERROR(VLOOKUP(CONCATENATE("B",Tabela1[[#This Row],[BLOCO]],Tabela1[[#This Row],[UO_COD]]),qdd!$AW$2:$AX$1000,2,FALSE),"")</f>
        <v/>
      </c>
      <c r="AB873" s="30" t="str">
        <f>IFERROR(Tabela1[[#This Row],[VALOR]]/100,"")</f>
        <v/>
      </c>
      <c r="AC873" s="7" t="str" cm="1">
        <f t="array" aca="1" ref="AC873" ca="1">IF(Tabela1[[#This Row],[VALOR]]&lt;0,"",IFERROR(SUBSTITUTE(Converter_numero(Tabela1[[#This Row],[VALOR INCISO]]),",",""),""))</f>
        <v/>
      </c>
      <c r="AD873" s="29" t="str">
        <f>IF(Tabela1[[#This Row],[TIPO]]=REGRAS!$W$2,REGRAS!$X$2,IF(Tabela1[[#This Row],[TIPO]]=REGRAS!$W$4,REGRAS!$X$4,""))</f>
        <v/>
      </c>
      <c r="AE873" s="29" t="e">
        <f>VLOOKUP(Tabela1[[#This Row],[FONTE_COD]],REGRAS!$O$2:$P$69,2,FALSE)</f>
        <v>#N/A</v>
      </c>
      <c r="AF8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4" spans="1:32" ht="18.75" customHeight="1">
      <c r="A874" s="2" t="str">
        <f>IFERROR(IF('PREENCHER AQUI'!A874="","",'PREENCHER AQUI'!A874),"")</f>
        <v/>
      </c>
      <c r="B874" s="1" t="str">
        <f>IFERROR(IF('PREENCHER AQUI'!B874="","",PROPER('PREENCHER AQUI'!B874)),"")</f>
        <v/>
      </c>
      <c r="C874" s="1" t="str">
        <f>IFERROR(IF('PREENCHER AQUI'!C874="","",'PREENCHER AQUI'!C874),"")</f>
        <v/>
      </c>
      <c r="D874" s="2" t="str">
        <f>IFERROR(IF('PREENCHER AQUI'!D874="","",'PREENCHER AQUI'!D874),"")</f>
        <v/>
      </c>
      <c r="E874" s="2" t="str">
        <f>IFERROR(VLOOKUP(CONCATENATE(C874,D874),qdd!$C$2:$F$1000,2,FALSE),"")</f>
        <v/>
      </c>
      <c r="F874" s="2" t="str">
        <f>IFERROR(VLOOKUP(CONCATENATE(C874,D874),qdd!$C$2:$F$1000,3,FALSE),"")</f>
        <v/>
      </c>
      <c r="G874" s="2" t="str">
        <f>IFERROR(VLOOKUP(CONCATENATE(C874,D874),qdd!$C$2:$F$1000,4,FALSE),"")</f>
        <v/>
      </c>
      <c r="H874" s="6" t="str">
        <f t="shared" si="28"/>
        <v/>
      </c>
      <c r="I8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4" s="2" t="str">
        <f>IFERROR(IF('PREENCHER AQUI'!E874="","",'PREENCHER AQUI'!E874),"")</f>
        <v/>
      </c>
      <c r="K874" s="2" t="str">
        <f>IFERROR(IF('PREENCHER AQUI'!F874="","",'PREENCHER AQUI'!F874),"")</f>
        <v/>
      </c>
      <c r="L874" s="2" t="str">
        <f>IF(Tabela1[[#This Row],[IPU_COD]]=9,"91",IF(Tabela1[[#This Row],[ACAO_COD]]="","",VLOOKUP(CONCATENATE("G",J874,"M",K874),qdd!$BC$2:$BD$46,2,FALSE)))</f>
        <v/>
      </c>
      <c r="M874" s="2" t="str">
        <f>TEXT(IFERROR(VLOOKUP(CONCATENATE(C874,D874),qdd!$C$2:$G$1000,5,FALSE),""),0)</f>
        <v/>
      </c>
      <c r="N874" s="2" t="str">
        <f>IFERROR(IF('PREENCHER AQUI'!I874="","",'PREENCHER AQUI'!I874),"")</f>
        <v/>
      </c>
      <c r="O874" s="2" t="str">
        <f>IFERROR(IF('PREENCHER AQUI'!J874="","",'PREENCHER AQUI'!J874),"")</f>
        <v/>
      </c>
      <c r="P874" s="7" t="str">
        <f t="shared" si="29"/>
        <v/>
      </c>
      <c r="Q874" s="8" t="str">
        <f>IFERROR(IF(Tabela4[[#This Row],[VALOR]]="","",IF(Tabela1[[#This Row],[ORIENTACAO]]="Anular",'PREENCHER AQUI'!K874*-1*100,'PREENCHER AQUI'!K874*100)),"")</f>
        <v/>
      </c>
      <c r="T874" s="7" t="str">
        <f>IFERROR(IF('PREENCHER AQUI'!L874="","999",LEFT('PREENCHER AQUI'!L874,1)),"")</f>
        <v>999</v>
      </c>
      <c r="V874" s="19"/>
      <c r="W874" s="1" t="str">
        <f>IFERROR(VLOOKUP(Tabela1[[#This Row],[UO_COD]],qdd!$AT$1:$AU$102,2,FALSE),"")</f>
        <v/>
      </c>
      <c r="X874" s="1" t="str">
        <f>CONCATENATE("F",Tabela1[[#This Row],[FONTE_COD]],Tabela1[[#This Row],[IPU_COD]],"G",Tabela1[[#This Row],[GRUPO_COD]],"T",Tabela1[[#This Row],[TIPO]])</f>
        <v>FGT999</v>
      </c>
      <c r="Y8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4" s="19"/>
      <c r="AA874" s="29" t="str">
        <f>IFERROR(VLOOKUP(CONCATENATE("B",Tabela1[[#This Row],[BLOCO]],Tabela1[[#This Row],[UO_COD]]),qdd!$AW$2:$AX$1000,2,FALSE),"")</f>
        <v/>
      </c>
      <c r="AB874" s="30" t="str">
        <f>IFERROR(Tabela1[[#This Row],[VALOR]]/100,"")</f>
        <v/>
      </c>
      <c r="AC874" s="7" t="str" cm="1">
        <f t="array" aca="1" ref="AC874" ca="1">IF(Tabela1[[#This Row],[VALOR]]&lt;0,"",IFERROR(SUBSTITUTE(Converter_numero(Tabela1[[#This Row],[VALOR INCISO]]),",",""),""))</f>
        <v/>
      </c>
      <c r="AD874" s="29" t="str">
        <f>IF(Tabela1[[#This Row],[TIPO]]=REGRAS!$W$2,REGRAS!$X$2,IF(Tabela1[[#This Row],[TIPO]]=REGRAS!$W$4,REGRAS!$X$4,""))</f>
        <v/>
      </c>
      <c r="AE874" s="29" t="e">
        <f>VLOOKUP(Tabela1[[#This Row],[FONTE_COD]],REGRAS!$O$2:$P$69,2,FALSE)</f>
        <v>#N/A</v>
      </c>
      <c r="AF8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5" spans="1:32" ht="18.75" customHeight="1">
      <c r="A875" s="2" t="str">
        <f>IFERROR(IF('PREENCHER AQUI'!A875="","",'PREENCHER AQUI'!A875),"")</f>
        <v/>
      </c>
      <c r="B875" s="1" t="str">
        <f>IFERROR(IF('PREENCHER AQUI'!B875="","",PROPER('PREENCHER AQUI'!B875)),"")</f>
        <v/>
      </c>
      <c r="C875" s="1" t="str">
        <f>IFERROR(IF('PREENCHER AQUI'!C875="","",'PREENCHER AQUI'!C875),"")</f>
        <v/>
      </c>
      <c r="D875" s="2" t="str">
        <f>IFERROR(IF('PREENCHER AQUI'!D875="","",'PREENCHER AQUI'!D875),"")</f>
        <v/>
      </c>
      <c r="E875" s="2" t="str">
        <f>IFERROR(VLOOKUP(CONCATENATE(C875,D875),qdd!$C$2:$F$1000,2,FALSE),"")</f>
        <v/>
      </c>
      <c r="F875" s="2" t="str">
        <f>IFERROR(VLOOKUP(CONCATENATE(C875,D875),qdd!$C$2:$F$1000,3,FALSE),"")</f>
        <v/>
      </c>
      <c r="G875" s="2" t="str">
        <f>IFERROR(VLOOKUP(CONCATENATE(C875,D875),qdd!$C$2:$F$1000,4,FALSE),"")</f>
        <v/>
      </c>
      <c r="H875" s="6" t="str">
        <f t="shared" si="28"/>
        <v/>
      </c>
      <c r="I8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5" s="2" t="str">
        <f>IFERROR(IF('PREENCHER AQUI'!E875="","",'PREENCHER AQUI'!E875),"")</f>
        <v/>
      </c>
      <c r="K875" s="2" t="str">
        <f>IFERROR(IF('PREENCHER AQUI'!F875="","",'PREENCHER AQUI'!F875),"")</f>
        <v/>
      </c>
      <c r="L875" s="2" t="str">
        <f>IF(Tabela1[[#This Row],[IPU_COD]]=9,"91",IF(Tabela1[[#This Row],[ACAO_COD]]="","",VLOOKUP(CONCATENATE("G",J875,"M",K875),qdd!$BC$2:$BD$46,2,FALSE)))</f>
        <v/>
      </c>
      <c r="M875" s="2" t="str">
        <f>TEXT(IFERROR(VLOOKUP(CONCATENATE(C875,D875),qdd!$C$2:$G$1000,5,FALSE),""),0)</f>
        <v/>
      </c>
      <c r="N875" s="2" t="str">
        <f>IFERROR(IF('PREENCHER AQUI'!I875="","",'PREENCHER AQUI'!I875),"")</f>
        <v/>
      </c>
      <c r="O875" s="2" t="str">
        <f>IFERROR(IF('PREENCHER AQUI'!J875="","",'PREENCHER AQUI'!J875),"")</f>
        <v/>
      </c>
      <c r="P875" s="7" t="str">
        <f t="shared" si="29"/>
        <v/>
      </c>
      <c r="Q875" s="8" t="str">
        <f>IFERROR(IF(Tabela4[[#This Row],[VALOR]]="","",IF(Tabela1[[#This Row],[ORIENTACAO]]="Anular",'PREENCHER AQUI'!K875*-1*100,'PREENCHER AQUI'!K875*100)),"")</f>
        <v/>
      </c>
      <c r="T875" s="7" t="str">
        <f>IFERROR(IF('PREENCHER AQUI'!L875="","999",LEFT('PREENCHER AQUI'!L875,1)),"")</f>
        <v>999</v>
      </c>
      <c r="V875" s="19"/>
      <c r="W875" s="20" t="str">
        <f>IFERROR(VLOOKUP(Tabela1[[#This Row],[UO_COD]],qdd!$AT$1:$AU$102,2,FALSE),"")</f>
        <v/>
      </c>
      <c r="X875" s="20" t="str">
        <f>CONCATENATE("F",Tabela1[[#This Row],[FONTE_COD]],Tabela1[[#This Row],[IPU_COD]],"G",Tabela1[[#This Row],[GRUPO_COD]],"T",Tabela1[[#This Row],[TIPO]])</f>
        <v>FGT999</v>
      </c>
      <c r="Y8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5" s="19"/>
      <c r="AA875" s="29" t="str">
        <f>IFERROR(VLOOKUP(CONCATENATE("B",Tabela1[[#This Row],[BLOCO]],Tabela1[[#This Row],[UO_COD]]),qdd!$AW$2:$AX$1000,2,FALSE),"")</f>
        <v/>
      </c>
      <c r="AB875" s="30" t="str">
        <f>IFERROR(Tabela1[[#This Row],[VALOR]]/100,"")</f>
        <v/>
      </c>
      <c r="AC875" s="7" t="str" cm="1">
        <f t="array" aca="1" ref="AC875" ca="1">IF(Tabela1[[#This Row],[VALOR]]&lt;0,"",IFERROR(SUBSTITUTE(Converter_numero(Tabela1[[#This Row],[VALOR INCISO]]),",",""),""))</f>
        <v/>
      </c>
      <c r="AD875" s="29" t="str">
        <f>IF(Tabela1[[#This Row],[TIPO]]=REGRAS!$W$2,REGRAS!$X$2,IF(Tabela1[[#This Row],[TIPO]]=REGRAS!$W$4,REGRAS!$X$4,""))</f>
        <v/>
      </c>
      <c r="AE875" s="29" t="e">
        <f>VLOOKUP(Tabela1[[#This Row],[FONTE_COD]],REGRAS!$O$2:$P$69,2,FALSE)</f>
        <v>#N/A</v>
      </c>
      <c r="AF8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6" spans="1:32" ht="18.75" customHeight="1">
      <c r="A876" s="2" t="str">
        <f>IFERROR(IF('PREENCHER AQUI'!A876="","",'PREENCHER AQUI'!A876),"")</f>
        <v/>
      </c>
      <c r="B876" s="1" t="str">
        <f>IFERROR(IF('PREENCHER AQUI'!B876="","",PROPER('PREENCHER AQUI'!B876)),"")</f>
        <v/>
      </c>
      <c r="C876" s="1" t="str">
        <f>IFERROR(IF('PREENCHER AQUI'!C876="","",'PREENCHER AQUI'!C876),"")</f>
        <v/>
      </c>
      <c r="D876" s="2" t="str">
        <f>IFERROR(IF('PREENCHER AQUI'!D876="","",'PREENCHER AQUI'!D876),"")</f>
        <v/>
      </c>
      <c r="E876" s="2" t="str">
        <f>IFERROR(VLOOKUP(CONCATENATE(C876,D876),qdd!$C$2:$F$1000,2,FALSE),"")</f>
        <v/>
      </c>
      <c r="F876" s="2" t="str">
        <f>IFERROR(VLOOKUP(CONCATENATE(C876,D876),qdd!$C$2:$F$1000,3,FALSE),"")</f>
        <v/>
      </c>
      <c r="G876" s="2" t="str">
        <f>IFERROR(VLOOKUP(CONCATENATE(C876,D876),qdd!$C$2:$F$1000,4,FALSE),"")</f>
        <v/>
      </c>
      <c r="H876" s="6" t="str">
        <f t="shared" si="28"/>
        <v/>
      </c>
      <c r="I8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6" s="2" t="str">
        <f>IFERROR(IF('PREENCHER AQUI'!E876="","",'PREENCHER AQUI'!E876),"")</f>
        <v/>
      </c>
      <c r="K876" s="2" t="str">
        <f>IFERROR(IF('PREENCHER AQUI'!F876="","",'PREENCHER AQUI'!F876),"")</f>
        <v/>
      </c>
      <c r="L876" s="2" t="str">
        <f>IF(Tabela1[[#This Row],[IPU_COD]]=9,"91",IF(Tabela1[[#This Row],[ACAO_COD]]="","",VLOOKUP(CONCATENATE("G",J876,"M",K876),qdd!$BC$2:$BD$46,2,FALSE)))</f>
        <v/>
      </c>
      <c r="M876" s="2" t="str">
        <f>TEXT(IFERROR(VLOOKUP(CONCATENATE(C876,D876),qdd!$C$2:$G$1000,5,FALSE),""),0)</f>
        <v/>
      </c>
      <c r="N876" s="2" t="str">
        <f>IFERROR(IF('PREENCHER AQUI'!I876="","",'PREENCHER AQUI'!I876),"")</f>
        <v/>
      </c>
      <c r="O876" s="2" t="str">
        <f>IFERROR(IF('PREENCHER AQUI'!J876="","",'PREENCHER AQUI'!J876),"")</f>
        <v/>
      </c>
      <c r="P876" s="7" t="str">
        <f t="shared" si="29"/>
        <v/>
      </c>
      <c r="Q876" s="8" t="str">
        <f>IFERROR(IF(Tabela4[[#This Row],[VALOR]]="","",IF(Tabela1[[#This Row],[ORIENTACAO]]="Anular",'PREENCHER AQUI'!K876*-1*100,'PREENCHER AQUI'!K876*100)),"")</f>
        <v/>
      </c>
      <c r="T876" s="7" t="str">
        <f>IFERROR(IF('PREENCHER AQUI'!L876="","999",LEFT('PREENCHER AQUI'!L876,1)),"")</f>
        <v>999</v>
      </c>
      <c r="V876" s="19"/>
      <c r="W876" s="1" t="str">
        <f>IFERROR(VLOOKUP(Tabela1[[#This Row],[UO_COD]],qdd!$AT$1:$AU$102,2,FALSE),"")</f>
        <v/>
      </c>
      <c r="X876" s="1" t="str">
        <f>CONCATENATE("F",Tabela1[[#This Row],[FONTE_COD]],Tabela1[[#This Row],[IPU_COD]],"G",Tabela1[[#This Row],[GRUPO_COD]],"T",Tabela1[[#This Row],[TIPO]])</f>
        <v>FGT999</v>
      </c>
      <c r="Y8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6" s="19"/>
      <c r="AA876" s="29" t="str">
        <f>IFERROR(VLOOKUP(CONCATENATE("B",Tabela1[[#This Row],[BLOCO]],Tabela1[[#This Row],[UO_COD]]),qdd!$AW$2:$AX$1000,2,FALSE),"")</f>
        <v/>
      </c>
      <c r="AB876" s="30" t="str">
        <f>IFERROR(Tabela1[[#This Row],[VALOR]]/100,"")</f>
        <v/>
      </c>
      <c r="AC876" s="7" t="str" cm="1">
        <f t="array" aca="1" ref="AC876" ca="1">IF(Tabela1[[#This Row],[VALOR]]&lt;0,"",IFERROR(SUBSTITUTE(Converter_numero(Tabela1[[#This Row],[VALOR INCISO]]),",",""),""))</f>
        <v/>
      </c>
      <c r="AD876" s="29" t="str">
        <f>IF(Tabela1[[#This Row],[TIPO]]=REGRAS!$W$2,REGRAS!$X$2,IF(Tabela1[[#This Row],[TIPO]]=REGRAS!$W$4,REGRAS!$X$4,""))</f>
        <v/>
      </c>
      <c r="AE876" s="29" t="e">
        <f>VLOOKUP(Tabela1[[#This Row],[FONTE_COD]],REGRAS!$O$2:$P$69,2,FALSE)</f>
        <v>#N/A</v>
      </c>
      <c r="AF8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7" spans="1:32" ht="18.75" customHeight="1">
      <c r="A877" s="2" t="str">
        <f>IFERROR(IF('PREENCHER AQUI'!A877="","",'PREENCHER AQUI'!A877),"")</f>
        <v/>
      </c>
      <c r="B877" s="1" t="str">
        <f>IFERROR(IF('PREENCHER AQUI'!B877="","",PROPER('PREENCHER AQUI'!B877)),"")</f>
        <v/>
      </c>
      <c r="C877" s="1" t="str">
        <f>IFERROR(IF('PREENCHER AQUI'!C877="","",'PREENCHER AQUI'!C877),"")</f>
        <v/>
      </c>
      <c r="D877" s="2" t="str">
        <f>IFERROR(IF('PREENCHER AQUI'!D877="","",'PREENCHER AQUI'!D877),"")</f>
        <v/>
      </c>
      <c r="E877" s="2" t="str">
        <f>IFERROR(VLOOKUP(CONCATENATE(C877,D877),qdd!$C$2:$F$1000,2,FALSE),"")</f>
        <v/>
      </c>
      <c r="F877" s="2" t="str">
        <f>IFERROR(VLOOKUP(CONCATENATE(C877,D877),qdd!$C$2:$F$1000,3,FALSE),"")</f>
        <v/>
      </c>
      <c r="G877" s="2" t="str">
        <f>IFERROR(VLOOKUP(CONCATENATE(C877,D877),qdd!$C$2:$F$1000,4,FALSE),"")</f>
        <v/>
      </c>
      <c r="H877" s="6" t="str">
        <f t="shared" si="28"/>
        <v/>
      </c>
      <c r="I8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7" s="2" t="str">
        <f>IFERROR(IF('PREENCHER AQUI'!E877="","",'PREENCHER AQUI'!E877),"")</f>
        <v/>
      </c>
      <c r="K877" s="2" t="str">
        <f>IFERROR(IF('PREENCHER AQUI'!F877="","",'PREENCHER AQUI'!F877),"")</f>
        <v/>
      </c>
      <c r="L877" s="2" t="str">
        <f>IF(Tabela1[[#This Row],[IPU_COD]]=9,"91",IF(Tabela1[[#This Row],[ACAO_COD]]="","",VLOOKUP(CONCATENATE("G",J877,"M",K877),qdd!$BC$2:$BD$46,2,FALSE)))</f>
        <v/>
      </c>
      <c r="M877" s="2" t="str">
        <f>TEXT(IFERROR(VLOOKUP(CONCATENATE(C877,D877),qdd!$C$2:$G$1000,5,FALSE),""),0)</f>
        <v/>
      </c>
      <c r="N877" s="2" t="str">
        <f>IFERROR(IF('PREENCHER AQUI'!I877="","",'PREENCHER AQUI'!I877),"")</f>
        <v/>
      </c>
      <c r="O877" s="2" t="str">
        <f>IFERROR(IF('PREENCHER AQUI'!J877="","",'PREENCHER AQUI'!J877),"")</f>
        <v/>
      </c>
      <c r="P877" s="7" t="str">
        <f t="shared" si="29"/>
        <v/>
      </c>
      <c r="Q877" s="8" t="str">
        <f>IFERROR(IF(Tabela4[[#This Row],[VALOR]]="","",IF(Tabela1[[#This Row],[ORIENTACAO]]="Anular",'PREENCHER AQUI'!K877*-1*100,'PREENCHER AQUI'!K877*100)),"")</f>
        <v/>
      </c>
      <c r="T877" s="7" t="str">
        <f>IFERROR(IF('PREENCHER AQUI'!L877="","999",LEFT('PREENCHER AQUI'!L877,1)),"")</f>
        <v>999</v>
      </c>
      <c r="W877" s="1" t="str">
        <f>IFERROR(VLOOKUP(Tabela1[[#This Row],[UO_COD]],qdd!$AT$1:$AU$102,2,FALSE),"")</f>
        <v/>
      </c>
      <c r="X877" s="1" t="str">
        <f>CONCATENATE("F",Tabela1[[#This Row],[FONTE_COD]],Tabela1[[#This Row],[IPU_COD]],"G",Tabela1[[#This Row],[GRUPO_COD]],"T",Tabela1[[#This Row],[TIPO]])</f>
        <v>FGT999</v>
      </c>
      <c r="Y8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7" s="19"/>
      <c r="AA877" s="29" t="str">
        <f>IFERROR(VLOOKUP(CONCATENATE("B",Tabela1[[#This Row],[BLOCO]],Tabela1[[#This Row],[UO_COD]]),qdd!$AW$2:$AX$1000,2,FALSE),"")</f>
        <v/>
      </c>
      <c r="AB877" s="30" t="str">
        <f>IFERROR(Tabela1[[#This Row],[VALOR]]/100,"")</f>
        <v/>
      </c>
      <c r="AC877" s="7" t="str" cm="1">
        <f t="array" aca="1" ref="AC877" ca="1">IF(Tabela1[[#This Row],[VALOR]]&lt;0,"",IFERROR(SUBSTITUTE(Converter_numero(Tabela1[[#This Row],[VALOR INCISO]]),",",""),""))</f>
        <v/>
      </c>
      <c r="AD877" s="7" t="str">
        <f>IF(Tabela1[[#This Row],[TIPO]]=REGRAS!$W$2,REGRAS!$X$2,IF(Tabela1[[#This Row],[TIPO]]=REGRAS!$W$4,REGRAS!$X$4,""))</f>
        <v/>
      </c>
      <c r="AE877" s="29" t="e">
        <f>VLOOKUP(Tabela1[[#This Row],[FONTE_COD]],REGRAS!$O$2:$P$69,2,FALSE)</f>
        <v>#N/A</v>
      </c>
      <c r="AF8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8" spans="1:32" ht="18.75" customHeight="1">
      <c r="A878" s="2" t="str">
        <f>IFERROR(IF('PREENCHER AQUI'!A878="","",'PREENCHER AQUI'!A878),"")</f>
        <v/>
      </c>
      <c r="B878" s="1" t="str">
        <f>IFERROR(IF('PREENCHER AQUI'!B878="","",PROPER('PREENCHER AQUI'!B878)),"")</f>
        <v/>
      </c>
      <c r="C878" s="1" t="str">
        <f>IFERROR(IF('PREENCHER AQUI'!C878="","",'PREENCHER AQUI'!C878),"")</f>
        <v/>
      </c>
      <c r="D878" s="2" t="str">
        <f>IFERROR(IF('PREENCHER AQUI'!D878="","",'PREENCHER AQUI'!D878),"")</f>
        <v/>
      </c>
      <c r="E878" s="2" t="str">
        <f>IFERROR(VLOOKUP(CONCATENATE(C878,D878),qdd!$C$2:$F$1000,2,FALSE),"")</f>
        <v/>
      </c>
      <c r="F878" s="2" t="str">
        <f>IFERROR(VLOOKUP(CONCATENATE(C878,D878),qdd!$C$2:$F$1000,3,FALSE),"")</f>
        <v/>
      </c>
      <c r="G878" s="2" t="str">
        <f>IFERROR(VLOOKUP(CONCATENATE(C878,D878),qdd!$C$2:$F$1000,4,FALSE),"")</f>
        <v/>
      </c>
      <c r="H878" s="6" t="str">
        <f t="shared" si="28"/>
        <v/>
      </c>
      <c r="I8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8" s="2" t="str">
        <f>IFERROR(IF('PREENCHER AQUI'!E878="","",'PREENCHER AQUI'!E878),"")</f>
        <v/>
      </c>
      <c r="K878" s="2" t="str">
        <f>IFERROR(IF('PREENCHER AQUI'!F878="","",'PREENCHER AQUI'!F878),"")</f>
        <v/>
      </c>
      <c r="L878" s="2" t="str">
        <f>IF(Tabela1[[#This Row],[IPU_COD]]=9,"91",IF(Tabela1[[#This Row],[ACAO_COD]]="","",VLOOKUP(CONCATENATE("G",J878,"M",K878),qdd!$BC$2:$BD$46,2,FALSE)))</f>
        <v/>
      </c>
      <c r="M878" s="2" t="str">
        <f>TEXT(IFERROR(VLOOKUP(CONCATENATE(C878,D878),qdd!$C$2:$G$1000,5,FALSE),""),0)</f>
        <v/>
      </c>
      <c r="N878" s="2" t="str">
        <f>IFERROR(IF('PREENCHER AQUI'!I878="","",'PREENCHER AQUI'!I878),"")</f>
        <v/>
      </c>
      <c r="O878" s="2" t="str">
        <f>IFERROR(IF('PREENCHER AQUI'!J878="","",'PREENCHER AQUI'!J878),"")</f>
        <v/>
      </c>
      <c r="P878" s="7" t="str">
        <f t="shared" si="29"/>
        <v/>
      </c>
      <c r="Q878" s="8" t="str">
        <f>IFERROR(IF(Tabela4[[#This Row],[VALOR]]="","",IF(Tabela1[[#This Row],[ORIENTACAO]]="Anular",'PREENCHER AQUI'!K878*-1*100,'PREENCHER AQUI'!K878*100)),"")</f>
        <v/>
      </c>
      <c r="T878" s="7" t="str">
        <f>IFERROR(IF('PREENCHER AQUI'!L878="","999",LEFT('PREENCHER AQUI'!L878,1)),"")</f>
        <v>999</v>
      </c>
      <c r="V878" s="19"/>
      <c r="W878" s="1" t="str">
        <f>IFERROR(VLOOKUP(Tabela1[[#This Row],[UO_COD]],qdd!$AT$1:$AU$102,2,FALSE),"")</f>
        <v/>
      </c>
      <c r="X878" s="1" t="str">
        <f>CONCATENATE("F",Tabela1[[#This Row],[FONTE_COD]],Tabela1[[#This Row],[IPU_COD]],"G",Tabela1[[#This Row],[GRUPO_COD]],"T",Tabela1[[#This Row],[TIPO]])</f>
        <v>FGT999</v>
      </c>
      <c r="Y8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8" s="19"/>
      <c r="AA878" s="29" t="str">
        <f>IFERROR(VLOOKUP(CONCATENATE("B",Tabela1[[#This Row],[BLOCO]],Tabela1[[#This Row],[UO_COD]]),qdd!$AW$2:$AX$1000,2,FALSE),"")</f>
        <v/>
      </c>
      <c r="AB878" s="30" t="str">
        <f>IFERROR(Tabela1[[#This Row],[VALOR]]/100,"")</f>
        <v/>
      </c>
      <c r="AC878" s="7" t="str" cm="1">
        <f t="array" aca="1" ref="AC878" ca="1">IF(Tabela1[[#This Row],[VALOR]]&lt;0,"",IFERROR(SUBSTITUTE(Converter_numero(Tabela1[[#This Row],[VALOR INCISO]]),",",""),""))</f>
        <v/>
      </c>
      <c r="AD878" s="29" t="str">
        <f>IF(Tabela1[[#This Row],[TIPO]]=REGRAS!$W$2,REGRAS!$X$2,IF(Tabela1[[#This Row],[TIPO]]=REGRAS!$W$4,REGRAS!$X$4,""))</f>
        <v/>
      </c>
      <c r="AE878" s="29" t="e">
        <f>VLOOKUP(Tabela1[[#This Row],[FONTE_COD]],REGRAS!$O$2:$P$69,2,FALSE)</f>
        <v>#N/A</v>
      </c>
      <c r="AF8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9" spans="1:32" ht="18.75" customHeight="1">
      <c r="A879" s="2" t="str">
        <f>IFERROR(IF('PREENCHER AQUI'!A879="","",'PREENCHER AQUI'!A879),"")</f>
        <v/>
      </c>
      <c r="B879" s="1" t="str">
        <f>IFERROR(IF('PREENCHER AQUI'!B879="","",PROPER('PREENCHER AQUI'!B879)),"")</f>
        <v/>
      </c>
      <c r="C879" s="1" t="str">
        <f>IFERROR(IF('PREENCHER AQUI'!C879="","",'PREENCHER AQUI'!C879),"")</f>
        <v/>
      </c>
      <c r="D879" s="2" t="str">
        <f>IFERROR(IF('PREENCHER AQUI'!D879="","",'PREENCHER AQUI'!D879),"")</f>
        <v/>
      </c>
      <c r="E879" s="2" t="str">
        <f>IFERROR(VLOOKUP(CONCATENATE(C879,D879),qdd!$C$2:$F$1000,2,FALSE),"")</f>
        <v/>
      </c>
      <c r="F879" s="2" t="str">
        <f>IFERROR(VLOOKUP(CONCATENATE(C879,D879),qdd!$C$2:$F$1000,3,FALSE),"")</f>
        <v/>
      </c>
      <c r="G879" s="2" t="str">
        <f>IFERROR(VLOOKUP(CONCATENATE(C879,D879),qdd!$C$2:$F$1000,4,FALSE),"")</f>
        <v/>
      </c>
      <c r="H879" s="6" t="str">
        <f t="shared" si="28"/>
        <v/>
      </c>
      <c r="I8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9" s="2" t="str">
        <f>IFERROR(IF('PREENCHER AQUI'!E879="","",'PREENCHER AQUI'!E879),"")</f>
        <v/>
      </c>
      <c r="K879" s="2" t="str">
        <f>IFERROR(IF('PREENCHER AQUI'!F879="","",'PREENCHER AQUI'!F879),"")</f>
        <v/>
      </c>
      <c r="L879" s="2" t="str">
        <f>IF(Tabela1[[#This Row],[IPU_COD]]=9,"91",IF(Tabela1[[#This Row],[ACAO_COD]]="","",VLOOKUP(CONCATENATE("G",J879,"M",K879),qdd!$BC$2:$BD$46,2,FALSE)))</f>
        <v/>
      </c>
      <c r="M879" s="2" t="str">
        <f>TEXT(IFERROR(VLOOKUP(CONCATENATE(C879,D879),qdd!$C$2:$G$1000,5,FALSE),""),0)</f>
        <v/>
      </c>
      <c r="N879" s="2" t="str">
        <f>IFERROR(IF('PREENCHER AQUI'!I879="","",'PREENCHER AQUI'!I879),"")</f>
        <v/>
      </c>
      <c r="O879" s="2" t="str">
        <f>IFERROR(IF('PREENCHER AQUI'!J879="","",'PREENCHER AQUI'!J879),"")</f>
        <v/>
      </c>
      <c r="P879" s="7" t="str">
        <f t="shared" si="29"/>
        <v/>
      </c>
      <c r="Q879" s="8" t="str">
        <f>IFERROR(IF(Tabela4[[#This Row],[VALOR]]="","",IF(Tabela1[[#This Row],[ORIENTACAO]]="Anular",'PREENCHER AQUI'!K879*-1*100,'PREENCHER AQUI'!K879*100)),"")</f>
        <v/>
      </c>
      <c r="T879" s="7" t="str">
        <f>IFERROR(IF('PREENCHER AQUI'!L879="","999",LEFT('PREENCHER AQUI'!L879,1)),"")</f>
        <v>999</v>
      </c>
      <c r="V879" s="19"/>
      <c r="W879" s="1" t="str">
        <f>IFERROR(VLOOKUP(Tabela1[[#This Row],[UO_COD]],qdd!$AT$1:$AU$102,2,FALSE),"")</f>
        <v/>
      </c>
      <c r="X879" s="1" t="str">
        <f>CONCATENATE("F",Tabela1[[#This Row],[FONTE_COD]],Tabela1[[#This Row],[IPU_COD]],"G",Tabela1[[#This Row],[GRUPO_COD]],"T",Tabela1[[#This Row],[TIPO]])</f>
        <v>FGT999</v>
      </c>
      <c r="Y8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9" s="19"/>
      <c r="AA879" s="29" t="str">
        <f>IFERROR(VLOOKUP(CONCATENATE("B",Tabela1[[#This Row],[BLOCO]],Tabela1[[#This Row],[UO_COD]]),qdd!$AW$2:$AX$1000,2,FALSE),"")</f>
        <v/>
      </c>
      <c r="AB879" s="30" t="str">
        <f>IFERROR(Tabela1[[#This Row],[VALOR]]/100,"")</f>
        <v/>
      </c>
      <c r="AC879" s="7" t="str" cm="1">
        <f t="array" aca="1" ref="AC879" ca="1">IF(Tabela1[[#This Row],[VALOR]]&lt;0,"",IFERROR(SUBSTITUTE(Converter_numero(Tabela1[[#This Row],[VALOR INCISO]]),",",""),""))</f>
        <v/>
      </c>
      <c r="AD879" s="29" t="str">
        <f>IF(Tabela1[[#This Row],[TIPO]]=REGRAS!$W$2,REGRAS!$X$2,IF(Tabela1[[#This Row],[TIPO]]=REGRAS!$W$4,REGRAS!$X$4,""))</f>
        <v/>
      </c>
      <c r="AE879" s="29" t="e">
        <f>VLOOKUP(Tabela1[[#This Row],[FONTE_COD]],REGRAS!$O$2:$P$69,2,FALSE)</f>
        <v>#N/A</v>
      </c>
      <c r="AF8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0" spans="1:32" ht="18.75" customHeight="1">
      <c r="A880" s="2" t="str">
        <f>IFERROR(IF('PREENCHER AQUI'!A880="","",'PREENCHER AQUI'!A880),"")</f>
        <v/>
      </c>
      <c r="B880" s="1" t="str">
        <f>IFERROR(IF('PREENCHER AQUI'!B880="","",PROPER('PREENCHER AQUI'!B880)),"")</f>
        <v/>
      </c>
      <c r="C880" s="1" t="str">
        <f>IFERROR(IF('PREENCHER AQUI'!C880="","",'PREENCHER AQUI'!C880),"")</f>
        <v/>
      </c>
      <c r="D880" s="2" t="str">
        <f>IFERROR(IF('PREENCHER AQUI'!D880="","",'PREENCHER AQUI'!D880),"")</f>
        <v/>
      </c>
      <c r="E880" s="2" t="str">
        <f>IFERROR(VLOOKUP(CONCATENATE(C880,D880),qdd!$C$2:$F$1000,2,FALSE),"")</f>
        <v/>
      </c>
      <c r="F880" s="2" t="str">
        <f>IFERROR(VLOOKUP(CONCATENATE(C880,D880),qdd!$C$2:$F$1000,3,FALSE),"")</f>
        <v/>
      </c>
      <c r="G880" s="2" t="str">
        <f>IFERROR(VLOOKUP(CONCATENATE(C880,D880),qdd!$C$2:$F$1000,4,FALSE),"")</f>
        <v/>
      </c>
      <c r="H880" s="6" t="str">
        <f t="shared" si="28"/>
        <v/>
      </c>
      <c r="I8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0" s="2" t="str">
        <f>IFERROR(IF('PREENCHER AQUI'!E880="","",'PREENCHER AQUI'!E880),"")</f>
        <v/>
      </c>
      <c r="K880" s="2" t="str">
        <f>IFERROR(IF('PREENCHER AQUI'!F880="","",'PREENCHER AQUI'!F880),"")</f>
        <v/>
      </c>
      <c r="L880" s="2" t="str">
        <f>IF(Tabela1[[#This Row],[IPU_COD]]=9,"91",IF(Tabela1[[#This Row],[ACAO_COD]]="","",VLOOKUP(CONCATENATE("G",J880,"M",K880),qdd!$BC$2:$BD$46,2,FALSE)))</f>
        <v/>
      </c>
      <c r="M880" s="2" t="str">
        <f>TEXT(IFERROR(VLOOKUP(CONCATENATE(C880,D880),qdd!$C$2:$G$1000,5,FALSE),""),0)</f>
        <v/>
      </c>
      <c r="N880" s="2" t="str">
        <f>IFERROR(IF('PREENCHER AQUI'!I880="","",'PREENCHER AQUI'!I880),"")</f>
        <v/>
      </c>
      <c r="O880" s="2" t="str">
        <f>IFERROR(IF('PREENCHER AQUI'!J880="","",'PREENCHER AQUI'!J880),"")</f>
        <v/>
      </c>
      <c r="P880" s="7" t="str">
        <f t="shared" si="29"/>
        <v/>
      </c>
      <c r="Q880" s="8" t="str">
        <f>IFERROR(IF(Tabela4[[#This Row],[VALOR]]="","",IF(Tabela1[[#This Row],[ORIENTACAO]]="Anular",'PREENCHER AQUI'!K880*-1*100,'PREENCHER AQUI'!K880*100)),"")</f>
        <v/>
      </c>
      <c r="T880" s="7" t="str">
        <f>IFERROR(IF('PREENCHER AQUI'!L880="","999",LEFT('PREENCHER AQUI'!L880,1)),"")</f>
        <v>999</v>
      </c>
      <c r="V880" s="19"/>
      <c r="W880" s="20" t="str">
        <f>IFERROR(VLOOKUP(Tabela1[[#This Row],[UO_COD]],qdd!$AT$1:$AU$102,2,FALSE),"")</f>
        <v/>
      </c>
      <c r="X880" s="20" t="str">
        <f>CONCATENATE("F",Tabela1[[#This Row],[FONTE_COD]],Tabela1[[#This Row],[IPU_COD]],"G",Tabela1[[#This Row],[GRUPO_COD]],"T",Tabela1[[#This Row],[TIPO]])</f>
        <v>FGT999</v>
      </c>
      <c r="Y8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0" s="19"/>
      <c r="AA880" s="29" t="str">
        <f>IFERROR(VLOOKUP(CONCATENATE("B",Tabela1[[#This Row],[BLOCO]],Tabela1[[#This Row],[UO_COD]]),qdd!$AW$2:$AX$1000,2,FALSE),"")</f>
        <v/>
      </c>
      <c r="AB880" s="30" t="str">
        <f>IFERROR(Tabela1[[#This Row],[VALOR]]/100,"")</f>
        <v/>
      </c>
      <c r="AC880" s="7" t="str" cm="1">
        <f t="array" aca="1" ref="AC880" ca="1">IF(Tabela1[[#This Row],[VALOR]]&lt;0,"",IFERROR(SUBSTITUTE(Converter_numero(Tabela1[[#This Row],[VALOR INCISO]]),",",""),""))</f>
        <v/>
      </c>
      <c r="AD880" s="29" t="str">
        <f>IF(Tabela1[[#This Row],[TIPO]]=REGRAS!$W$2,REGRAS!$X$2,IF(Tabela1[[#This Row],[TIPO]]=REGRAS!$W$4,REGRAS!$X$4,""))</f>
        <v/>
      </c>
      <c r="AE880" s="29" t="e">
        <f>VLOOKUP(Tabela1[[#This Row],[FONTE_COD]],REGRAS!$O$2:$P$69,2,FALSE)</f>
        <v>#N/A</v>
      </c>
      <c r="AF8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1" spans="1:32" ht="18.75" customHeight="1">
      <c r="A881" s="2" t="str">
        <f>IFERROR(IF('PREENCHER AQUI'!A881="","",'PREENCHER AQUI'!A881),"")</f>
        <v/>
      </c>
      <c r="B881" s="1" t="str">
        <f>IFERROR(IF('PREENCHER AQUI'!B881="","",PROPER('PREENCHER AQUI'!B881)),"")</f>
        <v/>
      </c>
      <c r="C881" s="1" t="str">
        <f>IFERROR(IF('PREENCHER AQUI'!C881="","",'PREENCHER AQUI'!C881),"")</f>
        <v/>
      </c>
      <c r="D881" s="2" t="str">
        <f>IFERROR(IF('PREENCHER AQUI'!D881="","",'PREENCHER AQUI'!D881),"")</f>
        <v/>
      </c>
      <c r="E881" s="2" t="str">
        <f>IFERROR(VLOOKUP(CONCATENATE(C881,D881),qdd!$C$2:$F$1000,2,FALSE),"")</f>
        <v/>
      </c>
      <c r="F881" s="2" t="str">
        <f>IFERROR(VLOOKUP(CONCATENATE(C881,D881),qdd!$C$2:$F$1000,3,FALSE),"")</f>
        <v/>
      </c>
      <c r="G881" s="2" t="str">
        <f>IFERROR(VLOOKUP(CONCATENATE(C881,D881),qdd!$C$2:$F$1000,4,FALSE),"")</f>
        <v/>
      </c>
      <c r="H881" s="6" t="str">
        <f t="shared" si="28"/>
        <v/>
      </c>
      <c r="I8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1" s="2" t="str">
        <f>IFERROR(IF('PREENCHER AQUI'!E881="","",'PREENCHER AQUI'!E881),"")</f>
        <v/>
      </c>
      <c r="K881" s="2" t="str">
        <f>IFERROR(IF('PREENCHER AQUI'!F881="","",'PREENCHER AQUI'!F881),"")</f>
        <v/>
      </c>
      <c r="L881" s="2" t="str">
        <f>IF(Tabela1[[#This Row],[IPU_COD]]=9,"91",IF(Tabela1[[#This Row],[ACAO_COD]]="","",VLOOKUP(CONCATENATE("G",J881,"M",K881),qdd!$BC$2:$BD$46,2,FALSE)))</f>
        <v/>
      </c>
      <c r="M881" s="2" t="str">
        <f>TEXT(IFERROR(VLOOKUP(CONCATENATE(C881,D881),qdd!$C$2:$G$1000,5,FALSE),""),0)</f>
        <v/>
      </c>
      <c r="N881" s="2" t="str">
        <f>IFERROR(IF('PREENCHER AQUI'!I881="","",'PREENCHER AQUI'!I881),"")</f>
        <v/>
      </c>
      <c r="O881" s="2" t="str">
        <f>IFERROR(IF('PREENCHER AQUI'!J881="","",'PREENCHER AQUI'!J881),"")</f>
        <v/>
      </c>
      <c r="P881" s="7" t="str">
        <f t="shared" si="29"/>
        <v/>
      </c>
      <c r="Q881" s="8" t="str">
        <f>IFERROR(IF(Tabela4[[#This Row],[VALOR]]="","",IF(Tabela1[[#This Row],[ORIENTACAO]]="Anular",'PREENCHER AQUI'!K881*-1*100,'PREENCHER AQUI'!K881*100)),"")</f>
        <v/>
      </c>
      <c r="T881" s="7" t="str">
        <f>IFERROR(IF('PREENCHER AQUI'!L881="","999",LEFT('PREENCHER AQUI'!L881,1)),"")</f>
        <v>999</v>
      </c>
      <c r="V881" s="19"/>
      <c r="W881" s="1" t="str">
        <f>IFERROR(VLOOKUP(Tabela1[[#This Row],[UO_COD]],qdd!$AT$1:$AU$102,2,FALSE),"")</f>
        <v/>
      </c>
      <c r="X881" s="1" t="str">
        <f>CONCATENATE("F",Tabela1[[#This Row],[FONTE_COD]],Tabela1[[#This Row],[IPU_COD]],"G",Tabela1[[#This Row],[GRUPO_COD]],"T",Tabela1[[#This Row],[TIPO]])</f>
        <v>FGT999</v>
      </c>
      <c r="Y8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1" s="19"/>
      <c r="AA881" s="29" t="str">
        <f>IFERROR(VLOOKUP(CONCATENATE("B",Tabela1[[#This Row],[BLOCO]],Tabela1[[#This Row],[UO_COD]]),qdd!$AW$2:$AX$1000,2,FALSE),"")</f>
        <v/>
      </c>
      <c r="AB881" s="30" t="str">
        <f>IFERROR(Tabela1[[#This Row],[VALOR]]/100,"")</f>
        <v/>
      </c>
      <c r="AC881" s="7" t="str" cm="1">
        <f t="array" aca="1" ref="AC881" ca="1">IF(Tabela1[[#This Row],[VALOR]]&lt;0,"",IFERROR(SUBSTITUTE(Converter_numero(Tabela1[[#This Row],[VALOR INCISO]]),",",""),""))</f>
        <v/>
      </c>
      <c r="AD881" s="29" t="str">
        <f>IF(Tabela1[[#This Row],[TIPO]]=REGRAS!$W$2,REGRAS!$X$2,IF(Tabela1[[#This Row],[TIPO]]=REGRAS!$W$4,REGRAS!$X$4,""))</f>
        <v/>
      </c>
      <c r="AE881" s="29" t="e">
        <f>VLOOKUP(Tabela1[[#This Row],[FONTE_COD]],REGRAS!$O$2:$P$69,2,FALSE)</f>
        <v>#N/A</v>
      </c>
      <c r="AF8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2" spans="1:32" ht="18.75" customHeight="1">
      <c r="A882" s="2" t="str">
        <f>IFERROR(IF('PREENCHER AQUI'!A882="","",'PREENCHER AQUI'!A882),"")</f>
        <v/>
      </c>
      <c r="B882" s="1" t="str">
        <f>IFERROR(IF('PREENCHER AQUI'!B882="","",PROPER('PREENCHER AQUI'!B882)),"")</f>
        <v/>
      </c>
      <c r="C882" s="1" t="str">
        <f>IFERROR(IF('PREENCHER AQUI'!C882="","",'PREENCHER AQUI'!C882),"")</f>
        <v/>
      </c>
      <c r="D882" s="2" t="str">
        <f>IFERROR(IF('PREENCHER AQUI'!D882="","",'PREENCHER AQUI'!D882),"")</f>
        <v/>
      </c>
      <c r="E882" s="2" t="str">
        <f>IFERROR(VLOOKUP(CONCATENATE(C882,D882),qdd!$C$2:$F$1000,2,FALSE),"")</f>
        <v/>
      </c>
      <c r="F882" s="2" t="str">
        <f>IFERROR(VLOOKUP(CONCATENATE(C882,D882),qdd!$C$2:$F$1000,3,FALSE),"")</f>
        <v/>
      </c>
      <c r="G882" s="2" t="str">
        <f>IFERROR(VLOOKUP(CONCATENATE(C882,D882),qdd!$C$2:$F$1000,4,FALSE),"")</f>
        <v/>
      </c>
      <c r="H882" s="6" t="str">
        <f t="shared" si="28"/>
        <v/>
      </c>
      <c r="I8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2" s="2" t="str">
        <f>IFERROR(IF('PREENCHER AQUI'!E882="","",'PREENCHER AQUI'!E882),"")</f>
        <v/>
      </c>
      <c r="K882" s="2" t="str">
        <f>IFERROR(IF('PREENCHER AQUI'!F882="","",'PREENCHER AQUI'!F882),"")</f>
        <v/>
      </c>
      <c r="L882" s="2" t="str">
        <f>IF(Tabela1[[#This Row],[IPU_COD]]=9,"91",IF(Tabela1[[#This Row],[ACAO_COD]]="","",VLOOKUP(CONCATENATE("G",J882,"M",K882),qdd!$BC$2:$BD$46,2,FALSE)))</f>
        <v/>
      </c>
      <c r="M882" s="2" t="str">
        <f>TEXT(IFERROR(VLOOKUP(CONCATENATE(C882,D882),qdd!$C$2:$G$1000,5,FALSE),""),0)</f>
        <v/>
      </c>
      <c r="N882" s="2" t="str">
        <f>IFERROR(IF('PREENCHER AQUI'!I882="","",'PREENCHER AQUI'!I882),"")</f>
        <v/>
      </c>
      <c r="O882" s="2" t="str">
        <f>IFERROR(IF('PREENCHER AQUI'!J882="","",'PREENCHER AQUI'!J882),"")</f>
        <v/>
      </c>
      <c r="P882" s="7" t="str">
        <f t="shared" si="29"/>
        <v/>
      </c>
      <c r="Q882" s="8" t="str">
        <f>IFERROR(IF(Tabela4[[#This Row],[VALOR]]="","",IF(Tabela1[[#This Row],[ORIENTACAO]]="Anular",'PREENCHER AQUI'!K882*-1*100,'PREENCHER AQUI'!K882*100)),"")</f>
        <v/>
      </c>
      <c r="T882" s="7" t="str">
        <f>IFERROR(IF('PREENCHER AQUI'!L882="","999",LEFT('PREENCHER AQUI'!L882,1)),"")</f>
        <v>999</v>
      </c>
      <c r="W882" s="1" t="str">
        <f>IFERROR(VLOOKUP(Tabela1[[#This Row],[UO_COD]],qdd!$AT$1:$AU$102,2,FALSE),"")</f>
        <v/>
      </c>
      <c r="X882" s="1" t="str">
        <f>CONCATENATE("F",Tabela1[[#This Row],[FONTE_COD]],Tabela1[[#This Row],[IPU_COD]],"G",Tabela1[[#This Row],[GRUPO_COD]],"T",Tabela1[[#This Row],[TIPO]])</f>
        <v>FGT999</v>
      </c>
      <c r="Y8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2" s="19"/>
      <c r="AA882" s="29" t="str">
        <f>IFERROR(VLOOKUP(CONCATENATE("B",Tabela1[[#This Row],[BLOCO]],Tabela1[[#This Row],[UO_COD]]),qdd!$AW$2:$AX$1000,2,FALSE),"")</f>
        <v/>
      </c>
      <c r="AB882" s="30" t="str">
        <f>IFERROR(Tabela1[[#This Row],[VALOR]]/100,"")</f>
        <v/>
      </c>
      <c r="AC882" s="7" t="str" cm="1">
        <f t="array" aca="1" ref="AC882" ca="1">IF(Tabela1[[#This Row],[VALOR]]&lt;0,"",IFERROR(SUBSTITUTE(Converter_numero(Tabela1[[#This Row],[VALOR INCISO]]),",",""),""))</f>
        <v/>
      </c>
      <c r="AD882" s="7" t="str">
        <f>IF(Tabela1[[#This Row],[TIPO]]=REGRAS!$W$2,REGRAS!$X$2,IF(Tabela1[[#This Row],[TIPO]]=REGRAS!$W$4,REGRAS!$X$4,""))</f>
        <v/>
      </c>
      <c r="AE882" s="29" t="e">
        <f>VLOOKUP(Tabela1[[#This Row],[FONTE_COD]],REGRAS!$O$2:$P$69,2,FALSE)</f>
        <v>#N/A</v>
      </c>
      <c r="AF8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3" spans="1:32" ht="18.75" customHeight="1">
      <c r="A883" s="2" t="str">
        <f>IFERROR(IF('PREENCHER AQUI'!A883="","",'PREENCHER AQUI'!A883),"")</f>
        <v/>
      </c>
      <c r="B883" s="1" t="str">
        <f>IFERROR(IF('PREENCHER AQUI'!B883="","",PROPER('PREENCHER AQUI'!B883)),"")</f>
        <v/>
      </c>
      <c r="C883" s="1" t="str">
        <f>IFERROR(IF('PREENCHER AQUI'!C883="","",'PREENCHER AQUI'!C883),"")</f>
        <v/>
      </c>
      <c r="D883" s="2" t="str">
        <f>IFERROR(IF('PREENCHER AQUI'!D883="","",'PREENCHER AQUI'!D883),"")</f>
        <v/>
      </c>
      <c r="E883" s="2" t="str">
        <f>IFERROR(VLOOKUP(CONCATENATE(C883,D883),qdd!$C$2:$F$1000,2,FALSE),"")</f>
        <v/>
      </c>
      <c r="F883" s="2" t="str">
        <f>IFERROR(VLOOKUP(CONCATENATE(C883,D883),qdd!$C$2:$F$1000,3,FALSE),"")</f>
        <v/>
      </c>
      <c r="G883" s="2" t="str">
        <f>IFERROR(VLOOKUP(CONCATENATE(C883,D883),qdd!$C$2:$F$1000,4,FALSE),"")</f>
        <v/>
      </c>
      <c r="H883" s="6" t="str">
        <f t="shared" si="28"/>
        <v/>
      </c>
      <c r="I8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3" s="2" t="str">
        <f>IFERROR(IF('PREENCHER AQUI'!E883="","",'PREENCHER AQUI'!E883),"")</f>
        <v/>
      </c>
      <c r="K883" s="2" t="str">
        <f>IFERROR(IF('PREENCHER AQUI'!F883="","",'PREENCHER AQUI'!F883),"")</f>
        <v/>
      </c>
      <c r="L883" s="2" t="str">
        <f>IF(Tabela1[[#This Row],[IPU_COD]]=9,"91",IF(Tabela1[[#This Row],[ACAO_COD]]="","",VLOOKUP(CONCATENATE("G",J883,"M",K883),qdd!$BC$2:$BD$46,2,FALSE)))</f>
        <v/>
      </c>
      <c r="M883" s="2" t="str">
        <f>TEXT(IFERROR(VLOOKUP(CONCATENATE(C883,D883),qdd!$C$2:$G$1000,5,FALSE),""),0)</f>
        <v/>
      </c>
      <c r="N883" s="2" t="str">
        <f>IFERROR(IF('PREENCHER AQUI'!I883="","",'PREENCHER AQUI'!I883),"")</f>
        <v/>
      </c>
      <c r="O883" s="2" t="str">
        <f>IFERROR(IF('PREENCHER AQUI'!J883="","",'PREENCHER AQUI'!J883),"")</f>
        <v/>
      </c>
      <c r="P883" s="7" t="str">
        <f t="shared" si="29"/>
        <v/>
      </c>
      <c r="Q883" s="8" t="str">
        <f>IFERROR(IF(Tabela4[[#This Row],[VALOR]]="","",IF(Tabela1[[#This Row],[ORIENTACAO]]="Anular",'PREENCHER AQUI'!K883*-1*100,'PREENCHER AQUI'!K883*100)),"")</f>
        <v/>
      </c>
      <c r="T883" s="7" t="str">
        <f>IFERROR(IF('PREENCHER AQUI'!L883="","999",LEFT('PREENCHER AQUI'!L883,1)),"")</f>
        <v>999</v>
      </c>
      <c r="V883" s="19"/>
      <c r="W883" s="1" t="str">
        <f>IFERROR(VLOOKUP(Tabela1[[#This Row],[UO_COD]],qdd!$AT$1:$AU$102,2,FALSE),"")</f>
        <v/>
      </c>
      <c r="X883" s="1" t="str">
        <f>CONCATENATE("F",Tabela1[[#This Row],[FONTE_COD]],Tabela1[[#This Row],[IPU_COD]],"G",Tabela1[[#This Row],[GRUPO_COD]],"T",Tabela1[[#This Row],[TIPO]])</f>
        <v>FGT999</v>
      </c>
      <c r="Y8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3" s="19"/>
      <c r="AA883" s="29" t="str">
        <f>IFERROR(VLOOKUP(CONCATENATE("B",Tabela1[[#This Row],[BLOCO]],Tabela1[[#This Row],[UO_COD]]),qdd!$AW$2:$AX$1000,2,FALSE),"")</f>
        <v/>
      </c>
      <c r="AB883" s="30" t="str">
        <f>IFERROR(Tabela1[[#This Row],[VALOR]]/100,"")</f>
        <v/>
      </c>
      <c r="AC883" s="7" t="str" cm="1">
        <f t="array" aca="1" ref="AC883" ca="1">IF(Tabela1[[#This Row],[VALOR]]&lt;0,"",IFERROR(SUBSTITUTE(Converter_numero(Tabela1[[#This Row],[VALOR INCISO]]),",",""),""))</f>
        <v/>
      </c>
      <c r="AD883" s="29" t="str">
        <f>IF(Tabela1[[#This Row],[TIPO]]=REGRAS!$W$2,REGRAS!$X$2,IF(Tabela1[[#This Row],[TIPO]]=REGRAS!$W$4,REGRAS!$X$4,""))</f>
        <v/>
      </c>
      <c r="AE883" s="29" t="e">
        <f>VLOOKUP(Tabela1[[#This Row],[FONTE_COD]],REGRAS!$O$2:$P$69,2,FALSE)</f>
        <v>#N/A</v>
      </c>
      <c r="AF8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4" spans="1:32" ht="18.75" customHeight="1">
      <c r="A884" s="2" t="str">
        <f>IFERROR(IF('PREENCHER AQUI'!A884="","",'PREENCHER AQUI'!A884),"")</f>
        <v/>
      </c>
      <c r="B884" s="1" t="str">
        <f>IFERROR(IF('PREENCHER AQUI'!B884="","",PROPER('PREENCHER AQUI'!B884)),"")</f>
        <v/>
      </c>
      <c r="C884" s="1" t="str">
        <f>IFERROR(IF('PREENCHER AQUI'!C884="","",'PREENCHER AQUI'!C884),"")</f>
        <v/>
      </c>
      <c r="D884" s="2" t="str">
        <f>IFERROR(IF('PREENCHER AQUI'!D884="","",'PREENCHER AQUI'!D884),"")</f>
        <v/>
      </c>
      <c r="E884" s="2" t="str">
        <f>IFERROR(VLOOKUP(CONCATENATE(C884,D884),qdd!$C$2:$F$1000,2,FALSE),"")</f>
        <v/>
      </c>
      <c r="F884" s="2" t="str">
        <f>IFERROR(VLOOKUP(CONCATENATE(C884,D884),qdd!$C$2:$F$1000,3,FALSE),"")</f>
        <v/>
      </c>
      <c r="G884" s="2" t="str">
        <f>IFERROR(VLOOKUP(CONCATENATE(C884,D884),qdd!$C$2:$F$1000,4,FALSE),"")</f>
        <v/>
      </c>
      <c r="H884" s="6" t="str">
        <f t="shared" si="28"/>
        <v/>
      </c>
      <c r="I8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4" s="2" t="str">
        <f>IFERROR(IF('PREENCHER AQUI'!E884="","",'PREENCHER AQUI'!E884),"")</f>
        <v/>
      </c>
      <c r="K884" s="2" t="str">
        <f>IFERROR(IF('PREENCHER AQUI'!F884="","",'PREENCHER AQUI'!F884),"")</f>
        <v/>
      </c>
      <c r="L884" s="2" t="str">
        <f>IF(Tabela1[[#This Row],[IPU_COD]]=9,"91",IF(Tabela1[[#This Row],[ACAO_COD]]="","",VLOOKUP(CONCATENATE("G",J884,"M",K884),qdd!$BC$2:$BD$46,2,FALSE)))</f>
        <v/>
      </c>
      <c r="M884" s="2" t="str">
        <f>TEXT(IFERROR(VLOOKUP(CONCATENATE(C884,D884),qdd!$C$2:$G$1000,5,FALSE),""),0)</f>
        <v/>
      </c>
      <c r="N884" s="2" t="str">
        <f>IFERROR(IF('PREENCHER AQUI'!I884="","",'PREENCHER AQUI'!I884),"")</f>
        <v/>
      </c>
      <c r="O884" s="2" t="str">
        <f>IFERROR(IF('PREENCHER AQUI'!J884="","",'PREENCHER AQUI'!J884),"")</f>
        <v/>
      </c>
      <c r="P884" s="7" t="str">
        <f t="shared" si="29"/>
        <v/>
      </c>
      <c r="Q884" s="8" t="str">
        <f>IFERROR(IF(Tabela4[[#This Row],[VALOR]]="","",IF(Tabela1[[#This Row],[ORIENTACAO]]="Anular",'PREENCHER AQUI'!K884*-1*100,'PREENCHER AQUI'!K884*100)),"")</f>
        <v/>
      </c>
      <c r="T884" s="7" t="str">
        <f>IFERROR(IF('PREENCHER AQUI'!L884="","999",LEFT('PREENCHER AQUI'!L884,1)),"")</f>
        <v>999</v>
      </c>
      <c r="V884" s="19"/>
      <c r="W884" s="1" t="str">
        <f>IFERROR(VLOOKUP(Tabela1[[#This Row],[UO_COD]],qdd!$AT$1:$AU$102,2,FALSE),"")</f>
        <v/>
      </c>
      <c r="X884" s="1" t="str">
        <f>CONCATENATE("F",Tabela1[[#This Row],[FONTE_COD]],Tabela1[[#This Row],[IPU_COD]],"G",Tabela1[[#This Row],[GRUPO_COD]],"T",Tabela1[[#This Row],[TIPO]])</f>
        <v>FGT999</v>
      </c>
      <c r="Y8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4" s="19"/>
      <c r="AA884" s="29" t="str">
        <f>IFERROR(VLOOKUP(CONCATENATE("B",Tabela1[[#This Row],[BLOCO]],Tabela1[[#This Row],[UO_COD]]),qdd!$AW$2:$AX$1000,2,FALSE),"")</f>
        <v/>
      </c>
      <c r="AB884" s="30" t="str">
        <f>IFERROR(Tabela1[[#This Row],[VALOR]]/100,"")</f>
        <v/>
      </c>
      <c r="AC884" s="7" t="str" cm="1">
        <f t="array" aca="1" ref="AC884" ca="1">IF(Tabela1[[#This Row],[VALOR]]&lt;0,"",IFERROR(SUBSTITUTE(Converter_numero(Tabela1[[#This Row],[VALOR INCISO]]),",",""),""))</f>
        <v/>
      </c>
      <c r="AD884" s="29" t="str">
        <f>IF(Tabela1[[#This Row],[TIPO]]=REGRAS!$W$2,REGRAS!$X$2,IF(Tabela1[[#This Row],[TIPO]]=REGRAS!$W$4,REGRAS!$X$4,""))</f>
        <v/>
      </c>
      <c r="AE884" s="29" t="e">
        <f>VLOOKUP(Tabela1[[#This Row],[FONTE_COD]],REGRAS!$O$2:$P$69,2,FALSE)</f>
        <v>#N/A</v>
      </c>
      <c r="AF8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5" spans="1:32" ht="18.75" customHeight="1">
      <c r="A885" s="2" t="str">
        <f>IFERROR(IF('PREENCHER AQUI'!A885="","",'PREENCHER AQUI'!A885),"")</f>
        <v/>
      </c>
      <c r="B885" s="1" t="str">
        <f>IFERROR(IF('PREENCHER AQUI'!B885="","",PROPER('PREENCHER AQUI'!B885)),"")</f>
        <v/>
      </c>
      <c r="C885" s="1" t="str">
        <f>IFERROR(IF('PREENCHER AQUI'!C885="","",'PREENCHER AQUI'!C885),"")</f>
        <v/>
      </c>
      <c r="D885" s="2" t="str">
        <f>IFERROR(IF('PREENCHER AQUI'!D885="","",'PREENCHER AQUI'!D885),"")</f>
        <v/>
      </c>
      <c r="E885" s="2" t="str">
        <f>IFERROR(VLOOKUP(CONCATENATE(C885,D885),qdd!$C$2:$F$1000,2,FALSE),"")</f>
        <v/>
      </c>
      <c r="F885" s="2" t="str">
        <f>IFERROR(VLOOKUP(CONCATENATE(C885,D885),qdd!$C$2:$F$1000,3,FALSE),"")</f>
        <v/>
      </c>
      <c r="G885" s="2" t="str">
        <f>IFERROR(VLOOKUP(CONCATENATE(C885,D885),qdd!$C$2:$F$1000,4,FALSE),"")</f>
        <v/>
      </c>
      <c r="H885" s="6" t="str">
        <f t="shared" si="28"/>
        <v/>
      </c>
      <c r="I8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5" s="2" t="str">
        <f>IFERROR(IF('PREENCHER AQUI'!E885="","",'PREENCHER AQUI'!E885),"")</f>
        <v/>
      </c>
      <c r="K885" s="2" t="str">
        <f>IFERROR(IF('PREENCHER AQUI'!F885="","",'PREENCHER AQUI'!F885),"")</f>
        <v/>
      </c>
      <c r="L885" s="2" t="str">
        <f>IF(Tabela1[[#This Row],[IPU_COD]]=9,"91",IF(Tabela1[[#This Row],[ACAO_COD]]="","",VLOOKUP(CONCATENATE("G",J885,"M",K885),qdd!$BC$2:$BD$46,2,FALSE)))</f>
        <v/>
      </c>
      <c r="M885" s="2" t="str">
        <f>TEXT(IFERROR(VLOOKUP(CONCATENATE(C885,D885),qdd!$C$2:$G$1000,5,FALSE),""),0)</f>
        <v/>
      </c>
      <c r="N885" s="2" t="str">
        <f>IFERROR(IF('PREENCHER AQUI'!I885="","",'PREENCHER AQUI'!I885),"")</f>
        <v/>
      </c>
      <c r="O885" s="2" t="str">
        <f>IFERROR(IF('PREENCHER AQUI'!J885="","",'PREENCHER AQUI'!J885),"")</f>
        <v/>
      </c>
      <c r="P885" s="7" t="str">
        <f t="shared" si="29"/>
        <v/>
      </c>
      <c r="Q885" s="8" t="str">
        <f>IFERROR(IF(Tabela4[[#This Row],[VALOR]]="","",IF(Tabela1[[#This Row],[ORIENTACAO]]="Anular",'PREENCHER AQUI'!K885*-1*100,'PREENCHER AQUI'!K885*100)),"")</f>
        <v/>
      </c>
      <c r="T885" s="7" t="str">
        <f>IFERROR(IF('PREENCHER AQUI'!L885="","999",LEFT('PREENCHER AQUI'!L885,1)),"")</f>
        <v>999</v>
      </c>
      <c r="V885" s="19"/>
      <c r="W885" s="20" t="str">
        <f>IFERROR(VLOOKUP(Tabela1[[#This Row],[UO_COD]],qdd!$AT$1:$AU$102,2,FALSE),"")</f>
        <v/>
      </c>
      <c r="X885" s="20" t="str">
        <f>CONCATENATE("F",Tabela1[[#This Row],[FONTE_COD]],Tabela1[[#This Row],[IPU_COD]],"G",Tabela1[[#This Row],[GRUPO_COD]],"T",Tabela1[[#This Row],[TIPO]])</f>
        <v>FGT999</v>
      </c>
      <c r="Y8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5" s="19"/>
      <c r="AA885" s="29" t="str">
        <f>IFERROR(VLOOKUP(CONCATENATE("B",Tabela1[[#This Row],[BLOCO]],Tabela1[[#This Row],[UO_COD]]),qdd!$AW$2:$AX$1000,2,FALSE),"")</f>
        <v/>
      </c>
      <c r="AB885" s="30" t="str">
        <f>IFERROR(Tabela1[[#This Row],[VALOR]]/100,"")</f>
        <v/>
      </c>
      <c r="AC885" s="7" t="str" cm="1">
        <f t="array" aca="1" ref="AC885" ca="1">IF(Tabela1[[#This Row],[VALOR]]&lt;0,"",IFERROR(SUBSTITUTE(Converter_numero(Tabela1[[#This Row],[VALOR INCISO]]),",",""),""))</f>
        <v/>
      </c>
      <c r="AD885" s="29" t="str">
        <f>IF(Tabela1[[#This Row],[TIPO]]=REGRAS!$W$2,REGRAS!$X$2,IF(Tabela1[[#This Row],[TIPO]]=REGRAS!$W$4,REGRAS!$X$4,""))</f>
        <v/>
      </c>
      <c r="AE885" s="29" t="e">
        <f>VLOOKUP(Tabela1[[#This Row],[FONTE_COD]],REGRAS!$O$2:$P$69,2,FALSE)</f>
        <v>#N/A</v>
      </c>
      <c r="AF8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6" spans="1:32" ht="18.75" customHeight="1">
      <c r="A886" s="2" t="str">
        <f>IFERROR(IF('PREENCHER AQUI'!A886="","",'PREENCHER AQUI'!A886),"")</f>
        <v/>
      </c>
      <c r="B886" s="1" t="str">
        <f>IFERROR(IF('PREENCHER AQUI'!B886="","",PROPER('PREENCHER AQUI'!B886)),"")</f>
        <v/>
      </c>
      <c r="C886" s="1" t="str">
        <f>IFERROR(IF('PREENCHER AQUI'!C886="","",'PREENCHER AQUI'!C886),"")</f>
        <v/>
      </c>
      <c r="D886" s="2" t="str">
        <f>IFERROR(IF('PREENCHER AQUI'!D886="","",'PREENCHER AQUI'!D886),"")</f>
        <v/>
      </c>
      <c r="E886" s="2" t="str">
        <f>IFERROR(VLOOKUP(CONCATENATE(C886,D886),qdd!$C$2:$F$1000,2,FALSE),"")</f>
        <v/>
      </c>
      <c r="F886" s="2" t="str">
        <f>IFERROR(VLOOKUP(CONCATENATE(C886,D886),qdd!$C$2:$F$1000,3,FALSE),"")</f>
        <v/>
      </c>
      <c r="G886" s="2" t="str">
        <f>IFERROR(VLOOKUP(CONCATENATE(C886,D886),qdd!$C$2:$F$1000,4,FALSE),"")</f>
        <v/>
      </c>
      <c r="H886" s="6" t="str">
        <f t="shared" si="28"/>
        <v/>
      </c>
      <c r="I8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6" s="2" t="str">
        <f>IFERROR(IF('PREENCHER AQUI'!E886="","",'PREENCHER AQUI'!E886),"")</f>
        <v/>
      </c>
      <c r="K886" s="2" t="str">
        <f>IFERROR(IF('PREENCHER AQUI'!F886="","",'PREENCHER AQUI'!F886),"")</f>
        <v/>
      </c>
      <c r="L886" s="2" t="str">
        <f>IF(Tabela1[[#This Row],[IPU_COD]]=9,"91",IF(Tabela1[[#This Row],[ACAO_COD]]="","",VLOOKUP(CONCATENATE("G",J886,"M",K886),qdd!$BC$2:$BD$46,2,FALSE)))</f>
        <v/>
      </c>
      <c r="M886" s="2" t="str">
        <f>TEXT(IFERROR(VLOOKUP(CONCATENATE(C886,D886),qdd!$C$2:$G$1000,5,FALSE),""),0)</f>
        <v/>
      </c>
      <c r="N886" s="2" t="str">
        <f>IFERROR(IF('PREENCHER AQUI'!I886="","",'PREENCHER AQUI'!I886),"")</f>
        <v/>
      </c>
      <c r="O886" s="2" t="str">
        <f>IFERROR(IF('PREENCHER AQUI'!J886="","",'PREENCHER AQUI'!J886),"")</f>
        <v/>
      </c>
      <c r="P886" s="7" t="str">
        <f t="shared" si="29"/>
        <v/>
      </c>
      <c r="Q886" s="8" t="str">
        <f>IFERROR(IF(Tabela4[[#This Row],[VALOR]]="","",IF(Tabela1[[#This Row],[ORIENTACAO]]="Anular",'PREENCHER AQUI'!K886*-1*100,'PREENCHER AQUI'!K886*100)),"")</f>
        <v/>
      </c>
      <c r="T886" s="7" t="str">
        <f>IFERROR(IF('PREENCHER AQUI'!L886="","999",LEFT('PREENCHER AQUI'!L886,1)),"")</f>
        <v>999</v>
      </c>
      <c r="V886" s="19"/>
      <c r="W886" s="1" t="str">
        <f>IFERROR(VLOOKUP(Tabela1[[#This Row],[UO_COD]],qdd!$AT$1:$AU$102,2,FALSE),"")</f>
        <v/>
      </c>
      <c r="X886" s="1" t="str">
        <f>CONCATENATE("F",Tabela1[[#This Row],[FONTE_COD]],Tabela1[[#This Row],[IPU_COD]],"G",Tabela1[[#This Row],[GRUPO_COD]],"T",Tabela1[[#This Row],[TIPO]])</f>
        <v>FGT999</v>
      </c>
      <c r="Y8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6" s="19"/>
      <c r="AA886" s="29" t="str">
        <f>IFERROR(VLOOKUP(CONCATENATE("B",Tabela1[[#This Row],[BLOCO]],Tabela1[[#This Row],[UO_COD]]),qdd!$AW$2:$AX$1000,2,FALSE),"")</f>
        <v/>
      </c>
      <c r="AB886" s="30" t="str">
        <f>IFERROR(Tabela1[[#This Row],[VALOR]]/100,"")</f>
        <v/>
      </c>
      <c r="AC886" s="7" t="str" cm="1">
        <f t="array" aca="1" ref="AC886" ca="1">IF(Tabela1[[#This Row],[VALOR]]&lt;0,"",IFERROR(SUBSTITUTE(Converter_numero(Tabela1[[#This Row],[VALOR INCISO]]),",",""),""))</f>
        <v/>
      </c>
      <c r="AD886" s="29" t="str">
        <f>IF(Tabela1[[#This Row],[TIPO]]=REGRAS!$W$2,REGRAS!$X$2,IF(Tabela1[[#This Row],[TIPO]]=REGRAS!$W$4,REGRAS!$X$4,""))</f>
        <v/>
      </c>
      <c r="AE886" s="29" t="e">
        <f>VLOOKUP(Tabela1[[#This Row],[FONTE_COD]],REGRAS!$O$2:$P$69,2,FALSE)</f>
        <v>#N/A</v>
      </c>
      <c r="AF8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7" spans="1:32" ht="18.75" customHeight="1">
      <c r="A887" s="2" t="str">
        <f>IFERROR(IF('PREENCHER AQUI'!A887="","",'PREENCHER AQUI'!A887),"")</f>
        <v/>
      </c>
      <c r="B887" s="1" t="str">
        <f>IFERROR(IF('PREENCHER AQUI'!B887="","",PROPER('PREENCHER AQUI'!B887)),"")</f>
        <v/>
      </c>
      <c r="C887" s="1" t="str">
        <f>IFERROR(IF('PREENCHER AQUI'!C887="","",'PREENCHER AQUI'!C887),"")</f>
        <v/>
      </c>
      <c r="D887" s="2" t="str">
        <f>IFERROR(IF('PREENCHER AQUI'!D887="","",'PREENCHER AQUI'!D887),"")</f>
        <v/>
      </c>
      <c r="E887" s="2" t="str">
        <f>IFERROR(VLOOKUP(CONCATENATE(C887,D887),qdd!$C$2:$F$1000,2,FALSE),"")</f>
        <v/>
      </c>
      <c r="F887" s="2" t="str">
        <f>IFERROR(VLOOKUP(CONCATENATE(C887,D887),qdd!$C$2:$F$1000,3,FALSE),"")</f>
        <v/>
      </c>
      <c r="G887" s="2" t="str">
        <f>IFERROR(VLOOKUP(CONCATENATE(C887,D887),qdd!$C$2:$F$1000,4,FALSE),"")</f>
        <v/>
      </c>
      <c r="H887" s="6" t="str">
        <f t="shared" si="28"/>
        <v/>
      </c>
      <c r="I8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7" s="2" t="str">
        <f>IFERROR(IF('PREENCHER AQUI'!E887="","",'PREENCHER AQUI'!E887),"")</f>
        <v/>
      </c>
      <c r="K887" s="2" t="str">
        <f>IFERROR(IF('PREENCHER AQUI'!F887="","",'PREENCHER AQUI'!F887),"")</f>
        <v/>
      </c>
      <c r="L887" s="2" t="str">
        <f>IF(Tabela1[[#This Row],[IPU_COD]]=9,"91",IF(Tabela1[[#This Row],[ACAO_COD]]="","",VLOOKUP(CONCATENATE("G",J887,"M",K887),qdd!$BC$2:$BD$46,2,FALSE)))</f>
        <v/>
      </c>
      <c r="M887" s="2" t="str">
        <f>TEXT(IFERROR(VLOOKUP(CONCATENATE(C887,D887),qdd!$C$2:$G$1000,5,FALSE),""),0)</f>
        <v/>
      </c>
      <c r="N887" s="2" t="str">
        <f>IFERROR(IF('PREENCHER AQUI'!I887="","",'PREENCHER AQUI'!I887),"")</f>
        <v/>
      </c>
      <c r="O887" s="2" t="str">
        <f>IFERROR(IF('PREENCHER AQUI'!J887="","",'PREENCHER AQUI'!J887),"")</f>
        <v/>
      </c>
      <c r="P887" s="7" t="str">
        <f t="shared" si="29"/>
        <v/>
      </c>
      <c r="Q887" s="8" t="str">
        <f>IFERROR(IF(Tabela4[[#This Row],[VALOR]]="","",IF(Tabela1[[#This Row],[ORIENTACAO]]="Anular",'PREENCHER AQUI'!K887*-1*100,'PREENCHER AQUI'!K887*100)),"")</f>
        <v/>
      </c>
      <c r="T887" s="7" t="str">
        <f>IFERROR(IF('PREENCHER AQUI'!L887="","999",LEFT('PREENCHER AQUI'!L887,1)),"")</f>
        <v>999</v>
      </c>
      <c r="W887" s="1" t="str">
        <f>IFERROR(VLOOKUP(Tabela1[[#This Row],[UO_COD]],qdd!$AT$1:$AU$102,2,FALSE),"")</f>
        <v/>
      </c>
      <c r="X887" s="1" t="str">
        <f>CONCATENATE("F",Tabela1[[#This Row],[FONTE_COD]],Tabela1[[#This Row],[IPU_COD]],"G",Tabela1[[#This Row],[GRUPO_COD]],"T",Tabela1[[#This Row],[TIPO]])</f>
        <v>FGT999</v>
      </c>
      <c r="Y8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7" s="19"/>
      <c r="AA887" s="29" t="str">
        <f>IFERROR(VLOOKUP(CONCATENATE("B",Tabela1[[#This Row],[BLOCO]],Tabela1[[#This Row],[UO_COD]]),qdd!$AW$2:$AX$1000,2,FALSE),"")</f>
        <v/>
      </c>
      <c r="AB887" s="30" t="str">
        <f>IFERROR(Tabela1[[#This Row],[VALOR]]/100,"")</f>
        <v/>
      </c>
      <c r="AC887" s="7" t="str" cm="1">
        <f t="array" aca="1" ref="AC887" ca="1">IF(Tabela1[[#This Row],[VALOR]]&lt;0,"",IFERROR(SUBSTITUTE(Converter_numero(Tabela1[[#This Row],[VALOR INCISO]]),",",""),""))</f>
        <v/>
      </c>
      <c r="AD887" s="7" t="str">
        <f>IF(Tabela1[[#This Row],[TIPO]]=REGRAS!$W$2,REGRAS!$X$2,IF(Tabela1[[#This Row],[TIPO]]=REGRAS!$W$4,REGRAS!$X$4,""))</f>
        <v/>
      </c>
      <c r="AE887" s="29" t="e">
        <f>VLOOKUP(Tabela1[[#This Row],[FONTE_COD]],REGRAS!$O$2:$P$69,2,FALSE)</f>
        <v>#N/A</v>
      </c>
      <c r="AF8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8" spans="1:32" ht="18.75" customHeight="1">
      <c r="A888" s="2" t="str">
        <f>IFERROR(IF('PREENCHER AQUI'!A888="","",'PREENCHER AQUI'!A888),"")</f>
        <v/>
      </c>
      <c r="B888" s="1" t="str">
        <f>IFERROR(IF('PREENCHER AQUI'!B888="","",PROPER('PREENCHER AQUI'!B888)),"")</f>
        <v/>
      </c>
      <c r="C888" s="1" t="str">
        <f>IFERROR(IF('PREENCHER AQUI'!C888="","",'PREENCHER AQUI'!C888),"")</f>
        <v/>
      </c>
      <c r="D888" s="2" t="str">
        <f>IFERROR(IF('PREENCHER AQUI'!D888="","",'PREENCHER AQUI'!D888),"")</f>
        <v/>
      </c>
      <c r="E888" s="2" t="str">
        <f>IFERROR(VLOOKUP(CONCATENATE(C888,D888),qdd!$C$2:$F$1000,2,FALSE),"")</f>
        <v/>
      </c>
      <c r="F888" s="2" t="str">
        <f>IFERROR(VLOOKUP(CONCATENATE(C888,D888),qdd!$C$2:$F$1000,3,FALSE),"")</f>
        <v/>
      </c>
      <c r="G888" s="2" t="str">
        <f>IFERROR(VLOOKUP(CONCATENATE(C888,D888),qdd!$C$2:$F$1000,4,FALSE),"")</f>
        <v/>
      </c>
      <c r="H888" s="6" t="str">
        <f t="shared" si="28"/>
        <v/>
      </c>
      <c r="I8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8" s="2" t="str">
        <f>IFERROR(IF('PREENCHER AQUI'!E888="","",'PREENCHER AQUI'!E888),"")</f>
        <v/>
      </c>
      <c r="K888" s="2" t="str">
        <f>IFERROR(IF('PREENCHER AQUI'!F888="","",'PREENCHER AQUI'!F888),"")</f>
        <v/>
      </c>
      <c r="L888" s="2" t="str">
        <f>IF(Tabela1[[#This Row],[IPU_COD]]=9,"91",IF(Tabela1[[#This Row],[ACAO_COD]]="","",VLOOKUP(CONCATENATE("G",J888,"M",K888),qdd!$BC$2:$BD$46,2,FALSE)))</f>
        <v/>
      </c>
      <c r="M888" s="2" t="str">
        <f>TEXT(IFERROR(VLOOKUP(CONCATENATE(C888,D888),qdd!$C$2:$G$1000,5,FALSE),""),0)</f>
        <v/>
      </c>
      <c r="N888" s="2" t="str">
        <f>IFERROR(IF('PREENCHER AQUI'!I888="","",'PREENCHER AQUI'!I888),"")</f>
        <v/>
      </c>
      <c r="O888" s="2" t="str">
        <f>IFERROR(IF('PREENCHER AQUI'!J888="","",'PREENCHER AQUI'!J888),"")</f>
        <v/>
      </c>
      <c r="P888" s="7" t="str">
        <f t="shared" si="29"/>
        <v/>
      </c>
      <c r="Q888" s="8" t="str">
        <f>IFERROR(IF(Tabela4[[#This Row],[VALOR]]="","",IF(Tabela1[[#This Row],[ORIENTACAO]]="Anular",'PREENCHER AQUI'!K888*-1*100,'PREENCHER AQUI'!K888*100)),"")</f>
        <v/>
      </c>
      <c r="T888" s="7" t="str">
        <f>IFERROR(IF('PREENCHER AQUI'!L888="","999",LEFT('PREENCHER AQUI'!L888,1)),"")</f>
        <v>999</v>
      </c>
      <c r="V888" s="19"/>
      <c r="W888" s="1" t="str">
        <f>IFERROR(VLOOKUP(Tabela1[[#This Row],[UO_COD]],qdd!$AT$1:$AU$102,2,FALSE),"")</f>
        <v/>
      </c>
      <c r="X888" s="1" t="str">
        <f>CONCATENATE("F",Tabela1[[#This Row],[FONTE_COD]],Tabela1[[#This Row],[IPU_COD]],"G",Tabela1[[#This Row],[GRUPO_COD]],"T",Tabela1[[#This Row],[TIPO]])</f>
        <v>FGT999</v>
      </c>
      <c r="Y8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8" s="19"/>
      <c r="AA888" s="29" t="str">
        <f>IFERROR(VLOOKUP(CONCATENATE("B",Tabela1[[#This Row],[BLOCO]],Tabela1[[#This Row],[UO_COD]]),qdd!$AW$2:$AX$1000,2,FALSE),"")</f>
        <v/>
      </c>
      <c r="AB888" s="30" t="str">
        <f>IFERROR(Tabela1[[#This Row],[VALOR]]/100,"")</f>
        <v/>
      </c>
      <c r="AC888" s="7" t="str" cm="1">
        <f t="array" aca="1" ref="AC888" ca="1">IF(Tabela1[[#This Row],[VALOR]]&lt;0,"",IFERROR(SUBSTITUTE(Converter_numero(Tabela1[[#This Row],[VALOR INCISO]]),",",""),""))</f>
        <v/>
      </c>
      <c r="AD888" s="29" t="str">
        <f>IF(Tabela1[[#This Row],[TIPO]]=REGRAS!$W$2,REGRAS!$X$2,IF(Tabela1[[#This Row],[TIPO]]=REGRAS!$W$4,REGRAS!$X$4,""))</f>
        <v/>
      </c>
      <c r="AE888" s="29" t="e">
        <f>VLOOKUP(Tabela1[[#This Row],[FONTE_COD]],REGRAS!$O$2:$P$69,2,FALSE)</f>
        <v>#N/A</v>
      </c>
      <c r="AF8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9" spans="1:32" ht="18.75" customHeight="1">
      <c r="A889" s="2" t="str">
        <f>IFERROR(IF('PREENCHER AQUI'!A889="","",'PREENCHER AQUI'!A889),"")</f>
        <v/>
      </c>
      <c r="B889" s="1" t="str">
        <f>IFERROR(IF('PREENCHER AQUI'!B889="","",PROPER('PREENCHER AQUI'!B889)),"")</f>
        <v/>
      </c>
      <c r="C889" s="1" t="str">
        <f>IFERROR(IF('PREENCHER AQUI'!C889="","",'PREENCHER AQUI'!C889),"")</f>
        <v/>
      </c>
      <c r="D889" s="2" t="str">
        <f>IFERROR(IF('PREENCHER AQUI'!D889="","",'PREENCHER AQUI'!D889),"")</f>
        <v/>
      </c>
      <c r="E889" s="2" t="str">
        <f>IFERROR(VLOOKUP(CONCATENATE(C889,D889),qdd!$C$2:$F$1000,2,FALSE),"")</f>
        <v/>
      </c>
      <c r="F889" s="2" t="str">
        <f>IFERROR(VLOOKUP(CONCATENATE(C889,D889),qdd!$C$2:$F$1000,3,FALSE),"")</f>
        <v/>
      </c>
      <c r="G889" s="2" t="str">
        <f>IFERROR(VLOOKUP(CONCATENATE(C889,D889),qdd!$C$2:$F$1000,4,FALSE),"")</f>
        <v/>
      </c>
      <c r="H889" s="6" t="str">
        <f t="shared" si="28"/>
        <v/>
      </c>
      <c r="I8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9" s="2" t="str">
        <f>IFERROR(IF('PREENCHER AQUI'!E889="","",'PREENCHER AQUI'!E889),"")</f>
        <v/>
      </c>
      <c r="K889" s="2" t="str">
        <f>IFERROR(IF('PREENCHER AQUI'!F889="","",'PREENCHER AQUI'!F889),"")</f>
        <v/>
      </c>
      <c r="L889" s="2" t="str">
        <f>IF(Tabela1[[#This Row],[IPU_COD]]=9,"91",IF(Tabela1[[#This Row],[ACAO_COD]]="","",VLOOKUP(CONCATENATE("G",J889,"M",K889),qdd!$BC$2:$BD$46,2,FALSE)))</f>
        <v/>
      </c>
      <c r="M889" s="2" t="str">
        <f>TEXT(IFERROR(VLOOKUP(CONCATENATE(C889,D889),qdd!$C$2:$G$1000,5,FALSE),""),0)</f>
        <v/>
      </c>
      <c r="N889" s="2" t="str">
        <f>IFERROR(IF('PREENCHER AQUI'!I889="","",'PREENCHER AQUI'!I889),"")</f>
        <v/>
      </c>
      <c r="O889" s="2" t="str">
        <f>IFERROR(IF('PREENCHER AQUI'!J889="","",'PREENCHER AQUI'!J889),"")</f>
        <v/>
      </c>
      <c r="P889" s="7" t="str">
        <f t="shared" si="29"/>
        <v/>
      </c>
      <c r="Q889" s="8" t="str">
        <f>IFERROR(IF(Tabela4[[#This Row],[VALOR]]="","",IF(Tabela1[[#This Row],[ORIENTACAO]]="Anular",'PREENCHER AQUI'!K889*-1*100,'PREENCHER AQUI'!K889*100)),"")</f>
        <v/>
      </c>
      <c r="T889" s="7" t="str">
        <f>IFERROR(IF('PREENCHER AQUI'!L889="","999",LEFT('PREENCHER AQUI'!L889,1)),"")</f>
        <v>999</v>
      </c>
      <c r="V889" s="19"/>
      <c r="W889" s="1" t="str">
        <f>IFERROR(VLOOKUP(Tabela1[[#This Row],[UO_COD]],qdd!$AT$1:$AU$102,2,FALSE),"")</f>
        <v/>
      </c>
      <c r="X889" s="1" t="str">
        <f>CONCATENATE("F",Tabela1[[#This Row],[FONTE_COD]],Tabela1[[#This Row],[IPU_COD]],"G",Tabela1[[#This Row],[GRUPO_COD]],"T",Tabela1[[#This Row],[TIPO]])</f>
        <v>FGT999</v>
      </c>
      <c r="Y8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9" s="19"/>
      <c r="AA889" s="29" t="str">
        <f>IFERROR(VLOOKUP(CONCATENATE("B",Tabela1[[#This Row],[BLOCO]],Tabela1[[#This Row],[UO_COD]]),qdd!$AW$2:$AX$1000,2,FALSE),"")</f>
        <v/>
      </c>
      <c r="AB889" s="30" t="str">
        <f>IFERROR(Tabela1[[#This Row],[VALOR]]/100,"")</f>
        <v/>
      </c>
      <c r="AC889" s="7" t="str" cm="1">
        <f t="array" aca="1" ref="AC889" ca="1">IF(Tabela1[[#This Row],[VALOR]]&lt;0,"",IFERROR(SUBSTITUTE(Converter_numero(Tabela1[[#This Row],[VALOR INCISO]]),",",""),""))</f>
        <v/>
      </c>
      <c r="AD889" s="29" t="str">
        <f>IF(Tabela1[[#This Row],[TIPO]]=REGRAS!$W$2,REGRAS!$X$2,IF(Tabela1[[#This Row],[TIPO]]=REGRAS!$W$4,REGRAS!$X$4,""))</f>
        <v/>
      </c>
      <c r="AE889" s="29" t="e">
        <f>VLOOKUP(Tabela1[[#This Row],[FONTE_COD]],REGRAS!$O$2:$P$69,2,FALSE)</f>
        <v>#N/A</v>
      </c>
      <c r="AF8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0" spans="1:32" ht="18.75" customHeight="1">
      <c r="A890" s="2" t="str">
        <f>IFERROR(IF('PREENCHER AQUI'!A890="","",'PREENCHER AQUI'!A890),"")</f>
        <v/>
      </c>
      <c r="B890" s="1" t="str">
        <f>IFERROR(IF('PREENCHER AQUI'!B890="","",PROPER('PREENCHER AQUI'!B890)),"")</f>
        <v/>
      </c>
      <c r="C890" s="1" t="str">
        <f>IFERROR(IF('PREENCHER AQUI'!C890="","",'PREENCHER AQUI'!C890),"")</f>
        <v/>
      </c>
      <c r="D890" s="2" t="str">
        <f>IFERROR(IF('PREENCHER AQUI'!D890="","",'PREENCHER AQUI'!D890),"")</f>
        <v/>
      </c>
      <c r="E890" s="2" t="str">
        <f>IFERROR(VLOOKUP(CONCATENATE(C890,D890),qdd!$C$2:$F$1000,2,FALSE),"")</f>
        <v/>
      </c>
      <c r="F890" s="2" t="str">
        <f>IFERROR(VLOOKUP(CONCATENATE(C890,D890),qdd!$C$2:$F$1000,3,FALSE),"")</f>
        <v/>
      </c>
      <c r="G890" s="2" t="str">
        <f>IFERROR(VLOOKUP(CONCATENATE(C890,D890),qdd!$C$2:$F$1000,4,FALSE),"")</f>
        <v/>
      </c>
      <c r="H890" s="6" t="str">
        <f t="shared" si="28"/>
        <v/>
      </c>
      <c r="I8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0" s="2" t="str">
        <f>IFERROR(IF('PREENCHER AQUI'!E890="","",'PREENCHER AQUI'!E890),"")</f>
        <v/>
      </c>
      <c r="K890" s="2" t="str">
        <f>IFERROR(IF('PREENCHER AQUI'!F890="","",'PREENCHER AQUI'!F890),"")</f>
        <v/>
      </c>
      <c r="L890" s="2" t="str">
        <f>IF(Tabela1[[#This Row],[IPU_COD]]=9,"91",IF(Tabela1[[#This Row],[ACAO_COD]]="","",VLOOKUP(CONCATENATE("G",J890,"M",K890),qdd!$BC$2:$BD$46,2,FALSE)))</f>
        <v/>
      </c>
      <c r="M890" s="2" t="str">
        <f>TEXT(IFERROR(VLOOKUP(CONCATENATE(C890,D890),qdd!$C$2:$G$1000,5,FALSE),""),0)</f>
        <v/>
      </c>
      <c r="N890" s="2" t="str">
        <f>IFERROR(IF('PREENCHER AQUI'!I890="","",'PREENCHER AQUI'!I890),"")</f>
        <v/>
      </c>
      <c r="O890" s="2" t="str">
        <f>IFERROR(IF('PREENCHER AQUI'!J890="","",'PREENCHER AQUI'!J890),"")</f>
        <v/>
      </c>
      <c r="P890" s="7" t="str">
        <f t="shared" si="29"/>
        <v/>
      </c>
      <c r="Q890" s="8" t="str">
        <f>IFERROR(IF(Tabela4[[#This Row],[VALOR]]="","",IF(Tabela1[[#This Row],[ORIENTACAO]]="Anular",'PREENCHER AQUI'!K890*-1*100,'PREENCHER AQUI'!K890*100)),"")</f>
        <v/>
      </c>
      <c r="T890" s="7" t="str">
        <f>IFERROR(IF('PREENCHER AQUI'!L890="","999",LEFT('PREENCHER AQUI'!L890,1)),"")</f>
        <v>999</v>
      </c>
      <c r="V890" s="19"/>
      <c r="W890" s="20" t="str">
        <f>IFERROR(VLOOKUP(Tabela1[[#This Row],[UO_COD]],qdd!$AT$1:$AU$102,2,FALSE),"")</f>
        <v/>
      </c>
      <c r="X890" s="20" t="str">
        <f>CONCATENATE("F",Tabela1[[#This Row],[FONTE_COD]],Tabela1[[#This Row],[IPU_COD]],"G",Tabela1[[#This Row],[GRUPO_COD]],"T",Tabela1[[#This Row],[TIPO]])</f>
        <v>FGT999</v>
      </c>
      <c r="Y8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0" s="19"/>
      <c r="AA890" s="29" t="str">
        <f>IFERROR(VLOOKUP(CONCATENATE("B",Tabela1[[#This Row],[BLOCO]],Tabela1[[#This Row],[UO_COD]]),qdd!$AW$2:$AX$1000,2,FALSE),"")</f>
        <v/>
      </c>
      <c r="AB890" s="30" t="str">
        <f>IFERROR(Tabela1[[#This Row],[VALOR]]/100,"")</f>
        <v/>
      </c>
      <c r="AC890" s="7" t="str" cm="1">
        <f t="array" aca="1" ref="AC890" ca="1">IF(Tabela1[[#This Row],[VALOR]]&lt;0,"",IFERROR(SUBSTITUTE(Converter_numero(Tabela1[[#This Row],[VALOR INCISO]]),",",""),""))</f>
        <v/>
      </c>
      <c r="AD890" s="29" t="str">
        <f>IF(Tabela1[[#This Row],[TIPO]]=REGRAS!$W$2,REGRAS!$X$2,IF(Tabela1[[#This Row],[TIPO]]=REGRAS!$W$4,REGRAS!$X$4,""))</f>
        <v/>
      </c>
      <c r="AE890" s="29" t="e">
        <f>VLOOKUP(Tabela1[[#This Row],[FONTE_COD]],REGRAS!$O$2:$P$69,2,FALSE)</f>
        <v>#N/A</v>
      </c>
      <c r="AF8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1" spans="1:32" ht="18.75" customHeight="1">
      <c r="A891" s="2" t="str">
        <f>IFERROR(IF('PREENCHER AQUI'!A891="","",'PREENCHER AQUI'!A891),"")</f>
        <v/>
      </c>
      <c r="B891" s="1" t="str">
        <f>IFERROR(IF('PREENCHER AQUI'!B891="","",PROPER('PREENCHER AQUI'!B891)),"")</f>
        <v/>
      </c>
      <c r="C891" s="1" t="str">
        <f>IFERROR(IF('PREENCHER AQUI'!C891="","",'PREENCHER AQUI'!C891),"")</f>
        <v/>
      </c>
      <c r="D891" s="2" t="str">
        <f>IFERROR(IF('PREENCHER AQUI'!D891="","",'PREENCHER AQUI'!D891),"")</f>
        <v/>
      </c>
      <c r="E891" s="2" t="str">
        <f>IFERROR(VLOOKUP(CONCATENATE(C891,D891),qdd!$C$2:$F$1000,2,FALSE),"")</f>
        <v/>
      </c>
      <c r="F891" s="2" t="str">
        <f>IFERROR(VLOOKUP(CONCATENATE(C891,D891),qdd!$C$2:$F$1000,3,FALSE),"")</f>
        <v/>
      </c>
      <c r="G891" s="2" t="str">
        <f>IFERROR(VLOOKUP(CONCATENATE(C891,D891),qdd!$C$2:$F$1000,4,FALSE),"")</f>
        <v/>
      </c>
      <c r="H891" s="6" t="str">
        <f t="shared" si="28"/>
        <v/>
      </c>
      <c r="I8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1" s="2" t="str">
        <f>IFERROR(IF('PREENCHER AQUI'!E891="","",'PREENCHER AQUI'!E891),"")</f>
        <v/>
      </c>
      <c r="K891" s="2" t="str">
        <f>IFERROR(IF('PREENCHER AQUI'!F891="","",'PREENCHER AQUI'!F891),"")</f>
        <v/>
      </c>
      <c r="L891" s="2" t="str">
        <f>IF(Tabela1[[#This Row],[IPU_COD]]=9,"91",IF(Tabela1[[#This Row],[ACAO_COD]]="","",VLOOKUP(CONCATENATE("G",J891,"M",K891),qdd!$BC$2:$BD$46,2,FALSE)))</f>
        <v/>
      </c>
      <c r="M891" s="2" t="str">
        <f>TEXT(IFERROR(VLOOKUP(CONCATENATE(C891,D891),qdd!$C$2:$G$1000,5,FALSE),""),0)</f>
        <v/>
      </c>
      <c r="N891" s="2" t="str">
        <f>IFERROR(IF('PREENCHER AQUI'!I891="","",'PREENCHER AQUI'!I891),"")</f>
        <v/>
      </c>
      <c r="O891" s="2" t="str">
        <f>IFERROR(IF('PREENCHER AQUI'!J891="","",'PREENCHER AQUI'!J891),"")</f>
        <v/>
      </c>
      <c r="P891" s="7" t="str">
        <f t="shared" si="29"/>
        <v/>
      </c>
      <c r="Q891" s="8" t="str">
        <f>IFERROR(IF(Tabela4[[#This Row],[VALOR]]="","",IF(Tabela1[[#This Row],[ORIENTACAO]]="Anular",'PREENCHER AQUI'!K891*-1*100,'PREENCHER AQUI'!K891*100)),"")</f>
        <v/>
      </c>
      <c r="T891" s="7" t="str">
        <f>IFERROR(IF('PREENCHER AQUI'!L891="","999",LEFT('PREENCHER AQUI'!L891,1)),"")</f>
        <v>999</v>
      </c>
      <c r="V891" s="19"/>
      <c r="W891" s="1" t="str">
        <f>IFERROR(VLOOKUP(Tabela1[[#This Row],[UO_COD]],qdd!$AT$1:$AU$102,2,FALSE),"")</f>
        <v/>
      </c>
      <c r="X891" s="1" t="str">
        <f>CONCATENATE("F",Tabela1[[#This Row],[FONTE_COD]],Tabela1[[#This Row],[IPU_COD]],"G",Tabela1[[#This Row],[GRUPO_COD]],"T",Tabela1[[#This Row],[TIPO]])</f>
        <v>FGT999</v>
      </c>
      <c r="Y8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1" s="19"/>
      <c r="AA891" s="29" t="str">
        <f>IFERROR(VLOOKUP(CONCATENATE("B",Tabela1[[#This Row],[BLOCO]],Tabela1[[#This Row],[UO_COD]]),qdd!$AW$2:$AX$1000,2,FALSE),"")</f>
        <v/>
      </c>
      <c r="AB891" s="30" t="str">
        <f>IFERROR(Tabela1[[#This Row],[VALOR]]/100,"")</f>
        <v/>
      </c>
      <c r="AC891" s="7" t="str" cm="1">
        <f t="array" aca="1" ref="AC891" ca="1">IF(Tabela1[[#This Row],[VALOR]]&lt;0,"",IFERROR(SUBSTITUTE(Converter_numero(Tabela1[[#This Row],[VALOR INCISO]]),",",""),""))</f>
        <v/>
      </c>
      <c r="AD891" s="29" t="str">
        <f>IF(Tabela1[[#This Row],[TIPO]]=REGRAS!$W$2,REGRAS!$X$2,IF(Tabela1[[#This Row],[TIPO]]=REGRAS!$W$4,REGRAS!$X$4,""))</f>
        <v/>
      </c>
      <c r="AE891" s="29" t="e">
        <f>VLOOKUP(Tabela1[[#This Row],[FONTE_COD]],REGRAS!$O$2:$P$69,2,FALSE)</f>
        <v>#N/A</v>
      </c>
      <c r="AF8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2" spans="1:32" ht="18.75" customHeight="1">
      <c r="A892" s="2" t="str">
        <f>IFERROR(IF('PREENCHER AQUI'!A892="","",'PREENCHER AQUI'!A892),"")</f>
        <v/>
      </c>
      <c r="B892" s="1" t="str">
        <f>IFERROR(IF('PREENCHER AQUI'!B892="","",PROPER('PREENCHER AQUI'!B892)),"")</f>
        <v/>
      </c>
      <c r="C892" s="1" t="str">
        <f>IFERROR(IF('PREENCHER AQUI'!C892="","",'PREENCHER AQUI'!C892),"")</f>
        <v/>
      </c>
      <c r="D892" s="2" t="str">
        <f>IFERROR(IF('PREENCHER AQUI'!D892="","",'PREENCHER AQUI'!D892),"")</f>
        <v/>
      </c>
      <c r="E892" s="2" t="str">
        <f>IFERROR(VLOOKUP(CONCATENATE(C892,D892),qdd!$C$2:$F$1000,2,FALSE),"")</f>
        <v/>
      </c>
      <c r="F892" s="2" t="str">
        <f>IFERROR(VLOOKUP(CONCATENATE(C892,D892),qdd!$C$2:$F$1000,3,FALSE),"")</f>
        <v/>
      </c>
      <c r="G892" s="2" t="str">
        <f>IFERROR(VLOOKUP(CONCATENATE(C892,D892),qdd!$C$2:$F$1000,4,FALSE),"")</f>
        <v/>
      </c>
      <c r="H892" s="6" t="str">
        <f t="shared" si="28"/>
        <v/>
      </c>
      <c r="I8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2" s="2" t="str">
        <f>IFERROR(IF('PREENCHER AQUI'!E892="","",'PREENCHER AQUI'!E892),"")</f>
        <v/>
      </c>
      <c r="K892" s="2" t="str">
        <f>IFERROR(IF('PREENCHER AQUI'!F892="","",'PREENCHER AQUI'!F892),"")</f>
        <v/>
      </c>
      <c r="L892" s="2" t="str">
        <f>IF(Tabela1[[#This Row],[IPU_COD]]=9,"91",IF(Tabela1[[#This Row],[ACAO_COD]]="","",VLOOKUP(CONCATENATE("G",J892,"M",K892),qdd!$BC$2:$BD$46,2,FALSE)))</f>
        <v/>
      </c>
      <c r="M892" s="2" t="str">
        <f>TEXT(IFERROR(VLOOKUP(CONCATENATE(C892,D892),qdd!$C$2:$G$1000,5,FALSE),""),0)</f>
        <v/>
      </c>
      <c r="N892" s="2" t="str">
        <f>IFERROR(IF('PREENCHER AQUI'!I892="","",'PREENCHER AQUI'!I892),"")</f>
        <v/>
      </c>
      <c r="O892" s="2" t="str">
        <f>IFERROR(IF('PREENCHER AQUI'!J892="","",'PREENCHER AQUI'!J892),"")</f>
        <v/>
      </c>
      <c r="P892" s="7" t="str">
        <f t="shared" si="29"/>
        <v/>
      </c>
      <c r="Q892" s="8" t="str">
        <f>IFERROR(IF(Tabela4[[#This Row],[VALOR]]="","",IF(Tabela1[[#This Row],[ORIENTACAO]]="Anular",'PREENCHER AQUI'!K892*-1*100,'PREENCHER AQUI'!K892*100)),"")</f>
        <v/>
      </c>
      <c r="T892" s="7" t="str">
        <f>IFERROR(IF('PREENCHER AQUI'!L892="","999",LEFT('PREENCHER AQUI'!L892,1)),"")</f>
        <v>999</v>
      </c>
      <c r="W892" s="1" t="str">
        <f>IFERROR(VLOOKUP(Tabela1[[#This Row],[UO_COD]],qdd!$AT$1:$AU$102,2,FALSE),"")</f>
        <v/>
      </c>
      <c r="X892" s="1" t="str">
        <f>CONCATENATE("F",Tabela1[[#This Row],[FONTE_COD]],Tabela1[[#This Row],[IPU_COD]],"G",Tabela1[[#This Row],[GRUPO_COD]],"T",Tabela1[[#This Row],[TIPO]])</f>
        <v>FGT999</v>
      </c>
      <c r="Y8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2" s="19"/>
      <c r="AA892" s="29" t="str">
        <f>IFERROR(VLOOKUP(CONCATENATE("B",Tabela1[[#This Row],[BLOCO]],Tabela1[[#This Row],[UO_COD]]),qdd!$AW$2:$AX$1000,2,FALSE),"")</f>
        <v/>
      </c>
      <c r="AB892" s="30" t="str">
        <f>IFERROR(Tabela1[[#This Row],[VALOR]]/100,"")</f>
        <v/>
      </c>
      <c r="AC892" s="7" t="str" cm="1">
        <f t="array" aca="1" ref="AC892" ca="1">IF(Tabela1[[#This Row],[VALOR]]&lt;0,"",IFERROR(SUBSTITUTE(Converter_numero(Tabela1[[#This Row],[VALOR INCISO]]),",",""),""))</f>
        <v/>
      </c>
      <c r="AD892" s="7" t="str">
        <f>IF(Tabela1[[#This Row],[TIPO]]=REGRAS!$W$2,REGRAS!$X$2,IF(Tabela1[[#This Row],[TIPO]]=REGRAS!$W$4,REGRAS!$X$4,""))</f>
        <v/>
      </c>
      <c r="AE892" s="29" t="e">
        <f>VLOOKUP(Tabela1[[#This Row],[FONTE_COD]],REGRAS!$O$2:$P$69,2,FALSE)</f>
        <v>#N/A</v>
      </c>
      <c r="AF8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3" spans="1:32" ht="18.75" customHeight="1">
      <c r="A893" s="2" t="str">
        <f>IFERROR(IF('PREENCHER AQUI'!A893="","",'PREENCHER AQUI'!A893),"")</f>
        <v/>
      </c>
      <c r="B893" s="1" t="str">
        <f>IFERROR(IF('PREENCHER AQUI'!B893="","",PROPER('PREENCHER AQUI'!B893)),"")</f>
        <v/>
      </c>
      <c r="C893" s="1" t="str">
        <f>IFERROR(IF('PREENCHER AQUI'!C893="","",'PREENCHER AQUI'!C893),"")</f>
        <v/>
      </c>
      <c r="D893" s="2" t="str">
        <f>IFERROR(IF('PREENCHER AQUI'!D893="","",'PREENCHER AQUI'!D893),"")</f>
        <v/>
      </c>
      <c r="E893" s="2" t="str">
        <f>IFERROR(VLOOKUP(CONCATENATE(C893,D893),qdd!$C$2:$F$1000,2,FALSE),"")</f>
        <v/>
      </c>
      <c r="F893" s="2" t="str">
        <f>IFERROR(VLOOKUP(CONCATENATE(C893,D893),qdd!$C$2:$F$1000,3,FALSE),"")</f>
        <v/>
      </c>
      <c r="G893" s="2" t="str">
        <f>IFERROR(VLOOKUP(CONCATENATE(C893,D893),qdd!$C$2:$F$1000,4,FALSE),"")</f>
        <v/>
      </c>
      <c r="H893" s="6" t="str">
        <f t="shared" si="28"/>
        <v/>
      </c>
      <c r="I8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3" s="2" t="str">
        <f>IFERROR(IF('PREENCHER AQUI'!E893="","",'PREENCHER AQUI'!E893),"")</f>
        <v/>
      </c>
      <c r="K893" s="2" t="str">
        <f>IFERROR(IF('PREENCHER AQUI'!F893="","",'PREENCHER AQUI'!F893),"")</f>
        <v/>
      </c>
      <c r="L893" s="2" t="str">
        <f>IF(Tabela1[[#This Row],[IPU_COD]]=9,"91",IF(Tabela1[[#This Row],[ACAO_COD]]="","",VLOOKUP(CONCATENATE("G",J893,"M",K893),qdd!$BC$2:$BD$46,2,FALSE)))</f>
        <v/>
      </c>
      <c r="M893" s="2" t="str">
        <f>TEXT(IFERROR(VLOOKUP(CONCATENATE(C893,D893),qdd!$C$2:$G$1000,5,FALSE),""),0)</f>
        <v/>
      </c>
      <c r="N893" s="2" t="str">
        <f>IFERROR(IF('PREENCHER AQUI'!I893="","",'PREENCHER AQUI'!I893),"")</f>
        <v/>
      </c>
      <c r="O893" s="2" t="str">
        <f>IFERROR(IF('PREENCHER AQUI'!J893="","",'PREENCHER AQUI'!J893),"")</f>
        <v/>
      </c>
      <c r="P893" s="7" t="str">
        <f t="shared" si="29"/>
        <v/>
      </c>
      <c r="Q893" s="8" t="str">
        <f>IFERROR(IF(Tabela4[[#This Row],[VALOR]]="","",IF(Tabela1[[#This Row],[ORIENTACAO]]="Anular",'PREENCHER AQUI'!K893*-1*100,'PREENCHER AQUI'!K893*100)),"")</f>
        <v/>
      </c>
      <c r="T893" s="7" t="str">
        <f>IFERROR(IF('PREENCHER AQUI'!L893="","999",LEFT('PREENCHER AQUI'!L893,1)),"")</f>
        <v>999</v>
      </c>
      <c r="V893" s="19"/>
      <c r="W893" s="1" t="str">
        <f>IFERROR(VLOOKUP(Tabela1[[#This Row],[UO_COD]],qdd!$AT$1:$AU$102,2,FALSE),"")</f>
        <v/>
      </c>
      <c r="X893" s="1" t="str">
        <f>CONCATENATE("F",Tabela1[[#This Row],[FONTE_COD]],Tabela1[[#This Row],[IPU_COD]],"G",Tabela1[[#This Row],[GRUPO_COD]],"T",Tabela1[[#This Row],[TIPO]])</f>
        <v>FGT999</v>
      </c>
      <c r="Y8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3" s="19"/>
      <c r="AA893" s="29" t="str">
        <f>IFERROR(VLOOKUP(CONCATENATE("B",Tabela1[[#This Row],[BLOCO]],Tabela1[[#This Row],[UO_COD]]),qdd!$AW$2:$AX$1000,2,FALSE),"")</f>
        <v/>
      </c>
      <c r="AB893" s="30" t="str">
        <f>IFERROR(Tabela1[[#This Row],[VALOR]]/100,"")</f>
        <v/>
      </c>
      <c r="AC893" s="7" t="str" cm="1">
        <f t="array" aca="1" ref="AC893" ca="1">IF(Tabela1[[#This Row],[VALOR]]&lt;0,"",IFERROR(SUBSTITUTE(Converter_numero(Tabela1[[#This Row],[VALOR INCISO]]),",",""),""))</f>
        <v/>
      </c>
      <c r="AD893" s="29" t="str">
        <f>IF(Tabela1[[#This Row],[TIPO]]=REGRAS!$W$2,REGRAS!$X$2,IF(Tabela1[[#This Row],[TIPO]]=REGRAS!$W$4,REGRAS!$X$4,""))</f>
        <v/>
      </c>
      <c r="AE893" s="29" t="e">
        <f>VLOOKUP(Tabela1[[#This Row],[FONTE_COD]],REGRAS!$O$2:$P$69,2,FALSE)</f>
        <v>#N/A</v>
      </c>
      <c r="AF8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4" spans="1:32" ht="18.75" customHeight="1">
      <c r="A894" s="2" t="str">
        <f>IFERROR(IF('PREENCHER AQUI'!A894="","",'PREENCHER AQUI'!A894),"")</f>
        <v/>
      </c>
      <c r="B894" s="1" t="str">
        <f>IFERROR(IF('PREENCHER AQUI'!B894="","",PROPER('PREENCHER AQUI'!B894)),"")</f>
        <v/>
      </c>
      <c r="C894" s="1" t="str">
        <f>IFERROR(IF('PREENCHER AQUI'!C894="","",'PREENCHER AQUI'!C894),"")</f>
        <v/>
      </c>
      <c r="D894" s="2" t="str">
        <f>IFERROR(IF('PREENCHER AQUI'!D894="","",'PREENCHER AQUI'!D894),"")</f>
        <v/>
      </c>
      <c r="E894" s="2" t="str">
        <f>IFERROR(VLOOKUP(CONCATENATE(C894,D894),qdd!$C$2:$F$1000,2,FALSE),"")</f>
        <v/>
      </c>
      <c r="F894" s="2" t="str">
        <f>IFERROR(VLOOKUP(CONCATENATE(C894,D894),qdd!$C$2:$F$1000,3,FALSE),"")</f>
        <v/>
      </c>
      <c r="G894" s="2" t="str">
        <f>IFERROR(VLOOKUP(CONCATENATE(C894,D894),qdd!$C$2:$F$1000,4,FALSE),"")</f>
        <v/>
      </c>
      <c r="H894" s="6" t="str">
        <f t="shared" si="28"/>
        <v/>
      </c>
      <c r="I8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4" s="2" t="str">
        <f>IFERROR(IF('PREENCHER AQUI'!E894="","",'PREENCHER AQUI'!E894),"")</f>
        <v/>
      </c>
      <c r="K894" s="2" t="str">
        <f>IFERROR(IF('PREENCHER AQUI'!F894="","",'PREENCHER AQUI'!F894),"")</f>
        <v/>
      </c>
      <c r="L894" s="2" t="str">
        <f>IF(Tabela1[[#This Row],[IPU_COD]]=9,"91",IF(Tabela1[[#This Row],[ACAO_COD]]="","",VLOOKUP(CONCATENATE("G",J894,"M",K894),qdd!$BC$2:$BD$46,2,FALSE)))</f>
        <v/>
      </c>
      <c r="M894" s="2" t="str">
        <f>TEXT(IFERROR(VLOOKUP(CONCATENATE(C894,D894),qdd!$C$2:$G$1000,5,FALSE),""),0)</f>
        <v/>
      </c>
      <c r="N894" s="2" t="str">
        <f>IFERROR(IF('PREENCHER AQUI'!I894="","",'PREENCHER AQUI'!I894),"")</f>
        <v/>
      </c>
      <c r="O894" s="2" t="str">
        <f>IFERROR(IF('PREENCHER AQUI'!J894="","",'PREENCHER AQUI'!J894),"")</f>
        <v/>
      </c>
      <c r="P894" s="7" t="str">
        <f t="shared" si="29"/>
        <v/>
      </c>
      <c r="Q894" s="8" t="str">
        <f>IFERROR(IF(Tabela4[[#This Row],[VALOR]]="","",IF(Tabela1[[#This Row],[ORIENTACAO]]="Anular",'PREENCHER AQUI'!K894*-1*100,'PREENCHER AQUI'!K894*100)),"")</f>
        <v/>
      </c>
      <c r="T894" s="7" t="str">
        <f>IFERROR(IF('PREENCHER AQUI'!L894="","999",LEFT('PREENCHER AQUI'!L894,1)),"")</f>
        <v>999</v>
      </c>
      <c r="V894" s="19"/>
      <c r="W894" s="1" t="str">
        <f>IFERROR(VLOOKUP(Tabela1[[#This Row],[UO_COD]],qdd!$AT$1:$AU$102,2,FALSE),"")</f>
        <v/>
      </c>
      <c r="X894" s="1" t="str">
        <f>CONCATENATE("F",Tabela1[[#This Row],[FONTE_COD]],Tabela1[[#This Row],[IPU_COD]],"G",Tabela1[[#This Row],[GRUPO_COD]],"T",Tabela1[[#This Row],[TIPO]])</f>
        <v>FGT999</v>
      </c>
      <c r="Y8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4" s="19"/>
      <c r="AA894" s="29" t="str">
        <f>IFERROR(VLOOKUP(CONCATENATE("B",Tabela1[[#This Row],[BLOCO]],Tabela1[[#This Row],[UO_COD]]),qdd!$AW$2:$AX$1000,2,FALSE),"")</f>
        <v/>
      </c>
      <c r="AB894" s="30" t="str">
        <f>IFERROR(Tabela1[[#This Row],[VALOR]]/100,"")</f>
        <v/>
      </c>
      <c r="AC894" s="7" t="str" cm="1">
        <f t="array" aca="1" ref="AC894" ca="1">IF(Tabela1[[#This Row],[VALOR]]&lt;0,"",IFERROR(SUBSTITUTE(Converter_numero(Tabela1[[#This Row],[VALOR INCISO]]),",",""),""))</f>
        <v/>
      </c>
      <c r="AD894" s="29" t="str">
        <f>IF(Tabela1[[#This Row],[TIPO]]=REGRAS!$W$2,REGRAS!$X$2,IF(Tabela1[[#This Row],[TIPO]]=REGRAS!$W$4,REGRAS!$X$4,""))</f>
        <v/>
      </c>
      <c r="AE894" s="29" t="e">
        <f>VLOOKUP(Tabela1[[#This Row],[FONTE_COD]],REGRAS!$O$2:$P$69,2,FALSE)</f>
        <v>#N/A</v>
      </c>
      <c r="AF8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5" spans="1:32" ht="18.75" customHeight="1">
      <c r="A895" s="2" t="str">
        <f>IFERROR(IF('PREENCHER AQUI'!A895="","",'PREENCHER AQUI'!A895),"")</f>
        <v/>
      </c>
      <c r="B895" s="1" t="str">
        <f>IFERROR(IF('PREENCHER AQUI'!B895="","",PROPER('PREENCHER AQUI'!B895)),"")</f>
        <v/>
      </c>
      <c r="C895" s="1" t="str">
        <f>IFERROR(IF('PREENCHER AQUI'!C895="","",'PREENCHER AQUI'!C895),"")</f>
        <v/>
      </c>
      <c r="D895" s="2" t="str">
        <f>IFERROR(IF('PREENCHER AQUI'!D895="","",'PREENCHER AQUI'!D895),"")</f>
        <v/>
      </c>
      <c r="E895" s="2" t="str">
        <f>IFERROR(VLOOKUP(CONCATENATE(C895,D895),qdd!$C$2:$F$1000,2,FALSE),"")</f>
        <v/>
      </c>
      <c r="F895" s="2" t="str">
        <f>IFERROR(VLOOKUP(CONCATENATE(C895,D895),qdd!$C$2:$F$1000,3,FALSE),"")</f>
        <v/>
      </c>
      <c r="G895" s="2" t="str">
        <f>IFERROR(VLOOKUP(CONCATENATE(C895,D895),qdd!$C$2:$F$1000,4,FALSE),"")</f>
        <v/>
      </c>
      <c r="H895" s="6" t="str">
        <f t="shared" si="28"/>
        <v/>
      </c>
      <c r="I8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5" s="2" t="str">
        <f>IFERROR(IF('PREENCHER AQUI'!E895="","",'PREENCHER AQUI'!E895),"")</f>
        <v/>
      </c>
      <c r="K895" s="2" t="str">
        <f>IFERROR(IF('PREENCHER AQUI'!F895="","",'PREENCHER AQUI'!F895),"")</f>
        <v/>
      </c>
      <c r="L895" s="2" t="str">
        <f>IF(Tabela1[[#This Row],[IPU_COD]]=9,"91",IF(Tabela1[[#This Row],[ACAO_COD]]="","",VLOOKUP(CONCATENATE("G",J895,"M",K895),qdd!$BC$2:$BD$46,2,FALSE)))</f>
        <v/>
      </c>
      <c r="M895" s="2" t="str">
        <f>TEXT(IFERROR(VLOOKUP(CONCATENATE(C895,D895),qdd!$C$2:$G$1000,5,FALSE),""),0)</f>
        <v/>
      </c>
      <c r="N895" s="2" t="str">
        <f>IFERROR(IF('PREENCHER AQUI'!I895="","",'PREENCHER AQUI'!I895),"")</f>
        <v/>
      </c>
      <c r="O895" s="2" t="str">
        <f>IFERROR(IF('PREENCHER AQUI'!J895="","",'PREENCHER AQUI'!J895),"")</f>
        <v/>
      </c>
      <c r="P895" s="7" t="str">
        <f t="shared" si="29"/>
        <v/>
      </c>
      <c r="Q895" s="8" t="str">
        <f>IFERROR(IF(Tabela4[[#This Row],[VALOR]]="","",IF(Tabela1[[#This Row],[ORIENTACAO]]="Anular",'PREENCHER AQUI'!K895*-1*100,'PREENCHER AQUI'!K895*100)),"")</f>
        <v/>
      </c>
      <c r="T895" s="7" t="str">
        <f>IFERROR(IF('PREENCHER AQUI'!L895="","999",LEFT('PREENCHER AQUI'!L895,1)),"")</f>
        <v>999</v>
      </c>
      <c r="V895" s="19"/>
      <c r="W895" s="20" t="str">
        <f>IFERROR(VLOOKUP(Tabela1[[#This Row],[UO_COD]],qdd!$AT$1:$AU$102,2,FALSE),"")</f>
        <v/>
      </c>
      <c r="X895" s="20" t="str">
        <f>CONCATENATE("F",Tabela1[[#This Row],[FONTE_COD]],Tabela1[[#This Row],[IPU_COD]],"G",Tabela1[[#This Row],[GRUPO_COD]],"T",Tabela1[[#This Row],[TIPO]])</f>
        <v>FGT999</v>
      </c>
      <c r="Y8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5" s="19"/>
      <c r="AA895" s="29" t="str">
        <f>IFERROR(VLOOKUP(CONCATENATE("B",Tabela1[[#This Row],[BLOCO]],Tabela1[[#This Row],[UO_COD]]),qdd!$AW$2:$AX$1000,2,FALSE),"")</f>
        <v/>
      </c>
      <c r="AB895" s="30" t="str">
        <f>IFERROR(Tabela1[[#This Row],[VALOR]]/100,"")</f>
        <v/>
      </c>
      <c r="AC895" s="7" t="str" cm="1">
        <f t="array" aca="1" ref="AC895" ca="1">IF(Tabela1[[#This Row],[VALOR]]&lt;0,"",IFERROR(SUBSTITUTE(Converter_numero(Tabela1[[#This Row],[VALOR INCISO]]),",",""),""))</f>
        <v/>
      </c>
      <c r="AD895" s="29" t="str">
        <f>IF(Tabela1[[#This Row],[TIPO]]=REGRAS!$W$2,REGRAS!$X$2,IF(Tabela1[[#This Row],[TIPO]]=REGRAS!$W$4,REGRAS!$X$4,""))</f>
        <v/>
      </c>
      <c r="AE895" s="29" t="e">
        <f>VLOOKUP(Tabela1[[#This Row],[FONTE_COD]],REGRAS!$O$2:$P$69,2,FALSE)</f>
        <v>#N/A</v>
      </c>
      <c r="AF8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6" spans="1:32" ht="18.75" customHeight="1">
      <c r="A896" s="2" t="str">
        <f>IFERROR(IF('PREENCHER AQUI'!A896="","",'PREENCHER AQUI'!A896),"")</f>
        <v/>
      </c>
      <c r="B896" s="1" t="str">
        <f>IFERROR(IF('PREENCHER AQUI'!B896="","",PROPER('PREENCHER AQUI'!B896)),"")</f>
        <v/>
      </c>
      <c r="C896" s="1" t="str">
        <f>IFERROR(IF('PREENCHER AQUI'!C896="","",'PREENCHER AQUI'!C896),"")</f>
        <v/>
      </c>
      <c r="D896" s="2" t="str">
        <f>IFERROR(IF('PREENCHER AQUI'!D896="","",'PREENCHER AQUI'!D896),"")</f>
        <v/>
      </c>
      <c r="E896" s="2" t="str">
        <f>IFERROR(VLOOKUP(CONCATENATE(C896,D896),qdd!$C$2:$F$1000,2,FALSE),"")</f>
        <v/>
      </c>
      <c r="F896" s="2" t="str">
        <f>IFERROR(VLOOKUP(CONCATENATE(C896,D896),qdd!$C$2:$F$1000,3,FALSE),"")</f>
        <v/>
      </c>
      <c r="G896" s="2" t="str">
        <f>IFERROR(VLOOKUP(CONCATENATE(C896,D896),qdd!$C$2:$F$1000,4,FALSE),"")</f>
        <v/>
      </c>
      <c r="H896" s="6" t="str">
        <f t="shared" si="28"/>
        <v/>
      </c>
      <c r="I8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6" s="2" t="str">
        <f>IFERROR(IF('PREENCHER AQUI'!E896="","",'PREENCHER AQUI'!E896),"")</f>
        <v/>
      </c>
      <c r="K896" s="2" t="str">
        <f>IFERROR(IF('PREENCHER AQUI'!F896="","",'PREENCHER AQUI'!F896),"")</f>
        <v/>
      </c>
      <c r="L896" s="2" t="str">
        <f>IF(Tabela1[[#This Row],[IPU_COD]]=9,"91",IF(Tabela1[[#This Row],[ACAO_COD]]="","",VLOOKUP(CONCATENATE("G",J896,"M",K896),qdd!$BC$2:$BD$46,2,FALSE)))</f>
        <v/>
      </c>
      <c r="M896" s="2" t="str">
        <f>TEXT(IFERROR(VLOOKUP(CONCATENATE(C896,D896),qdd!$C$2:$G$1000,5,FALSE),""),0)</f>
        <v/>
      </c>
      <c r="N896" s="2" t="str">
        <f>IFERROR(IF('PREENCHER AQUI'!I896="","",'PREENCHER AQUI'!I896),"")</f>
        <v/>
      </c>
      <c r="O896" s="2" t="str">
        <f>IFERROR(IF('PREENCHER AQUI'!J896="","",'PREENCHER AQUI'!J896),"")</f>
        <v/>
      </c>
      <c r="P896" s="7" t="str">
        <f t="shared" si="29"/>
        <v/>
      </c>
      <c r="Q896" s="8" t="str">
        <f>IFERROR(IF(Tabela4[[#This Row],[VALOR]]="","",IF(Tabela1[[#This Row],[ORIENTACAO]]="Anular",'PREENCHER AQUI'!K896*-1*100,'PREENCHER AQUI'!K896*100)),"")</f>
        <v/>
      </c>
      <c r="T896" s="7" t="str">
        <f>IFERROR(IF('PREENCHER AQUI'!L896="","999",LEFT('PREENCHER AQUI'!L896,1)),"")</f>
        <v>999</v>
      </c>
      <c r="V896" s="19"/>
      <c r="W896" s="1" t="str">
        <f>IFERROR(VLOOKUP(Tabela1[[#This Row],[UO_COD]],qdd!$AT$1:$AU$102,2,FALSE),"")</f>
        <v/>
      </c>
      <c r="X896" s="1" t="str">
        <f>CONCATENATE("F",Tabela1[[#This Row],[FONTE_COD]],Tabela1[[#This Row],[IPU_COD]],"G",Tabela1[[#This Row],[GRUPO_COD]],"T",Tabela1[[#This Row],[TIPO]])</f>
        <v>FGT999</v>
      </c>
      <c r="Y8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6" s="19"/>
      <c r="AA896" s="29" t="str">
        <f>IFERROR(VLOOKUP(CONCATENATE("B",Tabela1[[#This Row],[BLOCO]],Tabela1[[#This Row],[UO_COD]]),qdd!$AW$2:$AX$1000,2,FALSE),"")</f>
        <v/>
      </c>
      <c r="AB896" s="30" t="str">
        <f>IFERROR(Tabela1[[#This Row],[VALOR]]/100,"")</f>
        <v/>
      </c>
      <c r="AC896" s="7" t="str" cm="1">
        <f t="array" aca="1" ref="AC896" ca="1">IF(Tabela1[[#This Row],[VALOR]]&lt;0,"",IFERROR(SUBSTITUTE(Converter_numero(Tabela1[[#This Row],[VALOR INCISO]]),",",""),""))</f>
        <v/>
      </c>
      <c r="AD896" s="29" t="str">
        <f>IF(Tabela1[[#This Row],[TIPO]]=REGRAS!$W$2,REGRAS!$X$2,IF(Tabela1[[#This Row],[TIPO]]=REGRAS!$W$4,REGRAS!$X$4,""))</f>
        <v/>
      </c>
      <c r="AE896" s="29" t="e">
        <f>VLOOKUP(Tabela1[[#This Row],[FONTE_COD]],REGRAS!$O$2:$P$69,2,FALSE)</f>
        <v>#N/A</v>
      </c>
      <c r="AF8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7" spans="1:32" ht="18.75" customHeight="1">
      <c r="A897" s="2" t="str">
        <f>IFERROR(IF('PREENCHER AQUI'!A897="","",'PREENCHER AQUI'!A897),"")</f>
        <v/>
      </c>
      <c r="B897" s="1" t="str">
        <f>IFERROR(IF('PREENCHER AQUI'!B897="","",PROPER('PREENCHER AQUI'!B897)),"")</f>
        <v/>
      </c>
      <c r="C897" s="1" t="str">
        <f>IFERROR(IF('PREENCHER AQUI'!C897="","",'PREENCHER AQUI'!C897),"")</f>
        <v/>
      </c>
      <c r="D897" s="2" t="str">
        <f>IFERROR(IF('PREENCHER AQUI'!D897="","",'PREENCHER AQUI'!D897),"")</f>
        <v/>
      </c>
      <c r="E897" s="2" t="str">
        <f>IFERROR(VLOOKUP(CONCATENATE(C897,D897),qdd!$C$2:$F$1000,2,FALSE),"")</f>
        <v/>
      </c>
      <c r="F897" s="2" t="str">
        <f>IFERROR(VLOOKUP(CONCATENATE(C897,D897),qdd!$C$2:$F$1000,3,FALSE),"")</f>
        <v/>
      </c>
      <c r="G897" s="2" t="str">
        <f>IFERROR(VLOOKUP(CONCATENATE(C897,D897),qdd!$C$2:$F$1000,4,FALSE),"")</f>
        <v/>
      </c>
      <c r="H897" s="6" t="str">
        <f t="shared" si="28"/>
        <v/>
      </c>
      <c r="I8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7" s="2" t="str">
        <f>IFERROR(IF('PREENCHER AQUI'!E897="","",'PREENCHER AQUI'!E897),"")</f>
        <v/>
      </c>
      <c r="K897" s="2" t="str">
        <f>IFERROR(IF('PREENCHER AQUI'!F897="","",'PREENCHER AQUI'!F897),"")</f>
        <v/>
      </c>
      <c r="L897" s="2" t="str">
        <f>IF(Tabela1[[#This Row],[IPU_COD]]=9,"91",IF(Tabela1[[#This Row],[ACAO_COD]]="","",VLOOKUP(CONCATENATE("G",J897,"M",K897),qdd!$BC$2:$BD$46,2,FALSE)))</f>
        <v/>
      </c>
      <c r="M897" s="2" t="str">
        <f>TEXT(IFERROR(VLOOKUP(CONCATENATE(C897,D897),qdd!$C$2:$G$1000,5,FALSE),""),0)</f>
        <v/>
      </c>
      <c r="N897" s="2" t="str">
        <f>IFERROR(IF('PREENCHER AQUI'!I897="","",'PREENCHER AQUI'!I897),"")</f>
        <v/>
      </c>
      <c r="O897" s="2" t="str">
        <f>IFERROR(IF('PREENCHER AQUI'!J897="","",'PREENCHER AQUI'!J897),"")</f>
        <v/>
      </c>
      <c r="P897" s="7" t="str">
        <f t="shared" si="29"/>
        <v/>
      </c>
      <c r="Q897" s="8" t="str">
        <f>IFERROR(IF(Tabela4[[#This Row],[VALOR]]="","",IF(Tabela1[[#This Row],[ORIENTACAO]]="Anular",'PREENCHER AQUI'!K897*-1*100,'PREENCHER AQUI'!K897*100)),"")</f>
        <v/>
      </c>
      <c r="T897" s="7" t="str">
        <f>IFERROR(IF('PREENCHER AQUI'!L897="","999",LEFT('PREENCHER AQUI'!L897,1)),"")</f>
        <v>999</v>
      </c>
      <c r="W897" s="1" t="str">
        <f>IFERROR(VLOOKUP(Tabela1[[#This Row],[UO_COD]],qdd!$AT$1:$AU$102,2,FALSE),"")</f>
        <v/>
      </c>
      <c r="X897" s="1" t="str">
        <f>CONCATENATE("F",Tabela1[[#This Row],[FONTE_COD]],Tabela1[[#This Row],[IPU_COD]],"G",Tabela1[[#This Row],[GRUPO_COD]],"T",Tabela1[[#This Row],[TIPO]])</f>
        <v>FGT999</v>
      </c>
      <c r="Y8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7" s="19"/>
      <c r="AA897" s="29" t="str">
        <f>IFERROR(VLOOKUP(CONCATENATE("B",Tabela1[[#This Row],[BLOCO]],Tabela1[[#This Row],[UO_COD]]),qdd!$AW$2:$AX$1000,2,FALSE),"")</f>
        <v/>
      </c>
      <c r="AB897" s="30" t="str">
        <f>IFERROR(Tabela1[[#This Row],[VALOR]]/100,"")</f>
        <v/>
      </c>
      <c r="AC897" s="7" t="str" cm="1">
        <f t="array" aca="1" ref="AC897" ca="1">IF(Tabela1[[#This Row],[VALOR]]&lt;0,"",IFERROR(SUBSTITUTE(Converter_numero(Tabela1[[#This Row],[VALOR INCISO]]),",",""),""))</f>
        <v/>
      </c>
      <c r="AD897" s="7" t="str">
        <f>IF(Tabela1[[#This Row],[TIPO]]=REGRAS!$W$2,REGRAS!$X$2,IF(Tabela1[[#This Row],[TIPO]]=REGRAS!$W$4,REGRAS!$X$4,""))</f>
        <v/>
      </c>
      <c r="AE897" s="29" t="e">
        <f>VLOOKUP(Tabela1[[#This Row],[FONTE_COD]],REGRAS!$O$2:$P$69,2,FALSE)</f>
        <v>#N/A</v>
      </c>
      <c r="AF8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8" spans="1:32" ht="18.75" customHeight="1">
      <c r="A898" s="2" t="str">
        <f>IFERROR(IF('PREENCHER AQUI'!A898="","",'PREENCHER AQUI'!A898),"")</f>
        <v/>
      </c>
      <c r="B898" s="1" t="str">
        <f>IFERROR(IF('PREENCHER AQUI'!B898="","",PROPER('PREENCHER AQUI'!B898)),"")</f>
        <v/>
      </c>
      <c r="C898" s="1" t="str">
        <f>IFERROR(IF('PREENCHER AQUI'!C898="","",'PREENCHER AQUI'!C898),"")</f>
        <v/>
      </c>
      <c r="D898" s="2" t="str">
        <f>IFERROR(IF('PREENCHER AQUI'!D898="","",'PREENCHER AQUI'!D898),"")</f>
        <v/>
      </c>
      <c r="E898" s="2" t="str">
        <f>IFERROR(VLOOKUP(CONCATENATE(C898,D898),qdd!$C$2:$F$1000,2,FALSE),"")</f>
        <v/>
      </c>
      <c r="F898" s="2" t="str">
        <f>IFERROR(VLOOKUP(CONCATENATE(C898,D898),qdd!$C$2:$F$1000,3,FALSE),"")</f>
        <v/>
      </c>
      <c r="G898" s="2" t="str">
        <f>IFERROR(VLOOKUP(CONCATENATE(C898,D898),qdd!$C$2:$F$1000,4,FALSE),"")</f>
        <v/>
      </c>
      <c r="H898" s="6" t="str">
        <f t="shared" si="28"/>
        <v/>
      </c>
      <c r="I8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8" s="2" t="str">
        <f>IFERROR(IF('PREENCHER AQUI'!E898="","",'PREENCHER AQUI'!E898),"")</f>
        <v/>
      </c>
      <c r="K898" s="2" t="str">
        <f>IFERROR(IF('PREENCHER AQUI'!F898="","",'PREENCHER AQUI'!F898),"")</f>
        <v/>
      </c>
      <c r="L898" s="2" t="str">
        <f>IF(Tabela1[[#This Row],[IPU_COD]]=9,"91",IF(Tabela1[[#This Row],[ACAO_COD]]="","",VLOOKUP(CONCATENATE("G",J898,"M",K898),qdd!$BC$2:$BD$46,2,FALSE)))</f>
        <v/>
      </c>
      <c r="M898" s="2" t="str">
        <f>TEXT(IFERROR(VLOOKUP(CONCATENATE(C898,D898),qdd!$C$2:$G$1000,5,FALSE),""),0)</f>
        <v/>
      </c>
      <c r="N898" s="2" t="str">
        <f>IFERROR(IF('PREENCHER AQUI'!I898="","",'PREENCHER AQUI'!I898),"")</f>
        <v/>
      </c>
      <c r="O898" s="2" t="str">
        <f>IFERROR(IF('PREENCHER AQUI'!J898="","",'PREENCHER AQUI'!J898),"")</f>
        <v/>
      </c>
      <c r="P898" s="7" t="str">
        <f t="shared" si="29"/>
        <v/>
      </c>
      <c r="Q898" s="8" t="str">
        <f>IFERROR(IF(Tabela4[[#This Row],[VALOR]]="","",IF(Tabela1[[#This Row],[ORIENTACAO]]="Anular",'PREENCHER AQUI'!K898*-1*100,'PREENCHER AQUI'!K898*100)),"")</f>
        <v/>
      </c>
      <c r="T898" s="7" t="str">
        <f>IFERROR(IF('PREENCHER AQUI'!L898="","999",LEFT('PREENCHER AQUI'!L898,1)),"")</f>
        <v>999</v>
      </c>
      <c r="V898" s="19"/>
      <c r="W898" s="1" t="str">
        <f>IFERROR(VLOOKUP(Tabela1[[#This Row],[UO_COD]],qdd!$AT$1:$AU$102,2,FALSE),"")</f>
        <v/>
      </c>
      <c r="X898" s="1" t="str">
        <f>CONCATENATE("F",Tabela1[[#This Row],[FONTE_COD]],Tabela1[[#This Row],[IPU_COD]],"G",Tabela1[[#This Row],[GRUPO_COD]],"T",Tabela1[[#This Row],[TIPO]])</f>
        <v>FGT999</v>
      </c>
      <c r="Y8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8" s="19"/>
      <c r="AA898" s="29" t="str">
        <f>IFERROR(VLOOKUP(CONCATENATE("B",Tabela1[[#This Row],[BLOCO]],Tabela1[[#This Row],[UO_COD]]),qdd!$AW$2:$AX$1000,2,FALSE),"")</f>
        <v/>
      </c>
      <c r="AB898" s="30" t="str">
        <f>IFERROR(Tabela1[[#This Row],[VALOR]]/100,"")</f>
        <v/>
      </c>
      <c r="AC898" s="7" t="str" cm="1">
        <f t="array" aca="1" ref="AC898" ca="1">IF(Tabela1[[#This Row],[VALOR]]&lt;0,"",IFERROR(SUBSTITUTE(Converter_numero(Tabela1[[#This Row],[VALOR INCISO]]),",",""),""))</f>
        <v/>
      </c>
      <c r="AD898" s="29" t="str">
        <f>IF(Tabela1[[#This Row],[TIPO]]=REGRAS!$W$2,REGRAS!$X$2,IF(Tabela1[[#This Row],[TIPO]]=REGRAS!$W$4,REGRAS!$X$4,""))</f>
        <v/>
      </c>
      <c r="AE898" s="29" t="e">
        <f>VLOOKUP(Tabela1[[#This Row],[FONTE_COD]],REGRAS!$O$2:$P$69,2,FALSE)</f>
        <v>#N/A</v>
      </c>
      <c r="AF8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9" spans="1:32" ht="18.75" customHeight="1">
      <c r="A899" s="2" t="str">
        <f>IFERROR(IF('PREENCHER AQUI'!A899="","",'PREENCHER AQUI'!A899),"")</f>
        <v/>
      </c>
      <c r="B899" s="1" t="str">
        <f>IFERROR(IF('PREENCHER AQUI'!B899="","",PROPER('PREENCHER AQUI'!B899)),"")</f>
        <v/>
      </c>
      <c r="C899" s="1" t="str">
        <f>IFERROR(IF('PREENCHER AQUI'!C899="","",'PREENCHER AQUI'!C899),"")</f>
        <v/>
      </c>
      <c r="D899" s="2" t="str">
        <f>IFERROR(IF('PREENCHER AQUI'!D899="","",'PREENCHER AQUI'!D899),"")</f>
        <v/>
      </c>
      <c r="E899" s="2" t="str">
        <f>IFERROR(VLOOKUP(CONCATENATE(C899,D899),qdd!$C$2:$F$1000,2,FALSE),"")</f>
        <v/>
      </c>
      <c r="F899" s="2" t="str">
        <f>IFERROR(VLOOKUP(CONCATENATE(C899,D899),qdd!$C$2:$F$1000,3,FALSE),"")</f>
        <v/>
      </c>
      <c r="G899" s="2" t="str">
        <f>IFERROR(VLOOKUP(CONCATENATE(C899,D899),qdd!$C$2:$F$1000,4,FALSE),"")</f>
        <v/>
      </c>
      <c r="H899" s="6" t="str">
        <f t="shared" ref="H899:H962" si="30">IF(E899="","","0001")</f>
        <v/>
      </c>
      <c r="I8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9" s="2" t="str">
        <f>IFERROR(IF('PREENCHER AQUI'!E899="","",'PREENCHER AQUI'!E899),"")</f>
        <v/>
      </c>
      <c r="K899" s="2" t="str">
        <f>IFERROR(IF('PREENCHER AQUI'!F899="","",'PREENCHER AQUI'!F899),"")</f>
        <v/>
      </c>
      <c r="L899" s="2" t="str">
        <f>IF(Tabela1[[#This Row],[IPU_COD]]=9,"91",IF(Tabela1[[#This Row],[ACAO_COD]]="","",VLOOKUP(CONCATENATE("G",J899,"M",K899),qdd!$BC$2:$BD$46,2,FALSE)))</f>
        <v/>
      </c>
      <c r="M899" s="2" t="str">
        <f>TEXT(IFERROR(VLOOKUP(CONCATENATE(C899,D899),qdd!$C$2:$G$1000,5,FALSE),""),0)</f>
        <v/>
      </c>
      <c r="N899" s="2" t="str">
        <f>IFERROR(IF('PREENCHER AQUI'!I899="","",'PREENCHER AQUI'!I899),"")</f>
        <v/>
      </c>
      <c r="O899" s="2" t="str">
        <f>IFERROR(IF('PREENCHER AQUI'!J899="","",'PREENCHER AQUI'!J899),"")</f>
        <v/>
      </c>
      <c r="P899" s="7" t="str">
        <f t="shared" ref="P899:P962" si="31">IFERROR(CONCATENATE(E899,F899,G899,D899,H899,I899,J899,K899,L899,M899,N899,O899),"")</f>
        <v/>
      </c>
      <c r="Q899" s="8" t="str">
        <f>IFERROR(IF(Tabela4[[#This Row],[VALOR]]="","",IF(Tabela1[[#This Row],[ORIENTACAO]]="Anular",'PREENCHER AQUI'!K899*-1*100,'PREENCHER AQUI'!K899*100)),"")</f>
        <v/>
      </c>
      <c r="T899" s="7" t="str">
        <f>IFERROR(IF('PREENCHER AQUI'!L899="","999",LEFT('PREENCHER AQUI'!L899,1)),"")</f>
        <v>999</v>
      </c>
      <c r="V899" s="19"/>
      <c r="W899" s="1" t="str">
        <f>IFERROR(VLOOKUP(Tabela1[[#This Row],[UO_COD]],qdd!$AT$1:$AU$102,2,FALSE),"")</f>
        <v/>
      </c>
      <c r="X899" s="1" t="str">
        <f>CONCATENATE("F",Tabela1[[#This Row],[FONTE_COD]],Tabela1[[#This Row],[IPU_COD]],"G",Tabela1[[#This Row],[GRUPO_COD]],"T",Tabela1[[#This Row],[TIPO]])</f>
        <v>FGT999</v>
      </c>
      <c r="Y8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9" s="19"/>
      <c r="AA899" s="29" t="str">
        <f>IFERROR(VLOOKUP(CONCATENATE("B",Tabela1[[#This Row],[BLOCO]],Tabela1[[#This Row],[UO_COD]]),qdd!$AW$2:$AX$1000,2,FALSE),"")</f>
        <v/>
      </c>
      <c r="AB899" s="30" t="str">
        <f>IFERROR(Tabela1[[#This Row],[VALOR]]/100,"")</f>
        <v/>
      </c>
      <c r="AC899" s="7" t="str" cm="1">
        <f t="array" aca="1" ref="AC899" ca="1">IF(Tabela1[[#This Row],[VALOR]]&lt;0,"",IFERROR(SUBSTITUTE(Converter_numero(Tabela1[[#This Row],[VALOR INCISO]]),",",""),""))</f>
        <v/>
      </c>
      <c r="AD899" s="29" t="str">
        <f>IF(Tabela1[[#This Row],[TIPO]]=REGRAS!$W$2,REGRAS!$X$2,IF(Tabela1[[#This Row],[TIPO]]=REGRAS!$W$4,REGRAS!$X$4,""))</f>
        <v/>
      </c>
      <c r="AE899" s="29" t="e">
        <f>VLOOKUP(Tabela1[[#This Row],[FONTE_COD]],REGRAS!$O$2:$P$69,2,FALSE)</f>
        <v>#N/A</v>
      </c>
      <c r="AF8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0" spans="1:32" ht="18.75" customHeight="1">
      <c r="A900" s="2" t="str">
        <f>IFERROR(IF('PREENCHER AQUI'!A900="","",'PREENCHER AQUI'!A900),"")</f>
        <v/>
      </c>
      <c r="B900" s="1" t="str">
        <f>IFERROR(IF('PREENCHER AQUI'!B900="","",PROPER('PREENCHER AQUI'!B900)),"")</f>
        <v/>
      </c>
      <c r="C900" s="1" t="str">
        <f>IFERROR(IF('PREENCHER AQUI'!C900="","",'PREENCHER AQUI'!C900),"")</f>
        <v/>
      </c>
      <c r="D900" s="2" t="str">
        <f>IFERROR(IF('PREENCHER AQUI'!D900="","",'PREENCHER AQUI'!D900),"")</f>
        <v/>
      </c>
      <c r="E900" s="2" t="str">
        <f>IFERROR(VLOOKUP(CONCATENATE(C900,D900),qdd!$C$2:$F$1000,2,FALSE),"")</f>
        <v/>
      </c>
      <c r="F900" s="2" t="str">
        <f>IFERROR(VLOOKUP(CONCATENATE(C900,D900),qdd!$C$2:$F$1000,3,FALSE),"")</f>
        <v/>
      </c>
      <c r="G900" s="2" t="str">
        <f>IFERROR(VLOOKUP(CONCATENATE(C900,D900),qdd!$C$2:$F$1000,4,FALSE),"")</f>
        <v/>
      </c>
      <c r="H900" s="6" t="str">
        <f t="shared" si="30"/>
        <v/>
      </c>
      <c r="I9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0" s="2" t="str">
        <f>IFERROR(IF('PREENCHER AQUI'!E900="","",'PREENCHER AQUI'!E900),"")</f>
        <v/>
      </c>
      <c r="K900" s="2" t="str">
        <f>IFERROR(IF('PREENCHER AQUI'!F900="","",'PREENCHER AQUI'!F900),"")</f>
        <v/>
      </c>
      <c r="L900" s="2" t="str">
        <f>IF(Tabela1[[#This Row],[IPU_COD]]=9,"91",IF(Tabela1[[#This Row],[ACAO_COD]]="","",VLOOKUP(CONCATENATE("G",J900,"M",K900),qdd!$BC$2:$BD$46,2,FALSE)))</f>
        <v/>
      </c>
      <c r="M900" s="2" t="str">
        <f>TEXT(IFERROR(VLOOKUP(CONCATENATE(C900,D900),qdd!$C$2:$G$1000,5,FALSE),""),0)</f>
        <v/>
      </c>
      <c r="N900" s="2" t="str">
        <f>IFERROR(IF('PREENCHER AQUI'!I900="","",'PREENCHER AQUI'!I900),"")</f>
        <v/>
      </c>
      <c r="O900" s="2" t="str">
        <f>IFERROR(IF('PREENCHER AQUI'!J900="","",'PREENCHER AQUI'!J900),"")</f>
        <v/>
      </c>
      <c r="P900" s="7" t="str">
        <f t="shared" si="31"/>
        <v/>
      </c>
      <c r="Q900" s="8" t="str">
        <f>IFERROR(IF(Tabela4[[#This Row],[VALOR]]="","",IF(Tabela1[[#This Row],[ORIENTACAO]]="Anular",'PREENCHER AQUI'!K900*-1*100,'PREENCHER AQUI'!K900*100)),"")</f>
        <v/>
      </c>
      <c r="T900" s="7" t="str">
        <f>IFERROR(IF('PREENCHER AQUI'!L900="","999",LEFT('PREENCHER AQUI'!L900,1)),"")</f>
        <v>999</v>
      </c>
      <c r="V900" s="19"/>
      <c r="W900" s="20" t="str">
        <f>IFERROR(VLOOKUP(Tabela1[[#This Row],[UO_COD]],qdd!$AT$1:$AU$102,2,FALSE),"")</f>
        <v/>
      </c>
      <c r="X900" s="20" t="str">
        <f>CONCATENATE("F",Tabela1[[#This Row],[FONTE_COD]],Tabela1[[#This Row],[IPU_COD]],"G",Tabela1[[#This Row],[GRUPO_COD]],"T",Tabela1[[#This Row],[TIPO]])</f>
        <v>FGT999</v>
      </c>
      <c r="Y9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0" s="19"/>
      <c r="AA900" s="29" t="str">
        <f>IFERROR(VLOOKUP(CONCATENATE("B",Tabela1[[#This Row],[BLOCO]],Tabela1[[#This Row],[UO_COD]]),qdd!$AW$2:$AX$1000,2,FALSE),"")</f>
        <v/>
      </c>
      <c r="AB900" s="30" t="str">
        <f>IFERROR(Tabela1[[#This Row],[VALOR]]/100,"")</f>
        <v/>
      </c>
      <c r="AC900" s="7" t="str" cm="1">
        <f t="array" aca="1" ref="AC900" ca="1">IF(Tabela1[[#This Row],[VALOR]]&lt;0,"",IFERROR(SUBSTITUTE(Converter_numero(Tabela1[[#This Row],[VALOR INCISO]]),",",""),""))</f>
        <v/>
      </c>
      <c r="AD900" s="29" t="str">
        <f>IF(Tabela1[[#This Row],[TIPO]]=REGRAS!$W$2,REGRAS!$X$2,IF(Tabela1[[#This Row],[TIPO]]=REGRAS!$W$4,REGRAS!$X$4,""))</f>
        <v/>
      </c>
      <c r="AE900" s="29" t="e">
        <f>VLOOKUP(Tabela1[[#This Row],[FONTE_COD]],REGRAS!$O$2:$P$69,2,FALSE)</f>
        <v>#N/A</v>
      </c>
      <c r="AF9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1" spans="1:32" ht="18.75" customHeight="1">
      <c r="A901" s="2" t="str">
        <f>IFERROR(IF('PREENCHER AQUI'!A901="","",'PREENCHER AQUI'!A901),"")</f>
        <v/>
      </c>
      <c r="B901" s="1" t="str">
        <f>IFERROR(IF('PREENCHER AQUI'!B901="","",PROPER('PREENCHER AQUI'!B901)),"")</f>
        <v/>
      </c>
      <c r="C901" s="1" t="str">
        <f>IFERROR(IF('PREENCHER AQUI'!C901="","",'PREENCHER AQUI'!C901),"")</f>
        <v/>
      </c>
      <c r="D901" s="2" t="str">
        <f>IFERROR(IF('PREENCHER AQUI'!D901="","",'PREENCHER AQUI'!D901),"")</f>
        <v/>
      </c>
      <c r="E901" s="2" t="str">
        <f>IFERROR(VLOOKUP(CONCATENATE(C901,D901),qdd!$C$2:$F$1000,2,FALSE),"")</f>
        <v/>
      </c>
      <c r="F901" s="2" t="str">
        <f>IFERROR(VLOOKUP(CONCATENATE(C901,D901),qdd!$C$2:$F$1000,3,FALSE),"")</f>
        <v/>
      </c>
      <c r="G901" s="2" t="str">
        <f>IFERROR(VLOOKUP(CONCATENATE(C901,D901),qdd!$C$2:$F$1000,4,FALSE),"")</f>
        <v/>
      </c>
      <c r="H901" s="6" t="str">
        <f t="shared" si="30"/>
        <v/>
      </c>
      <c r="I9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1" s="2" t="str">
        <f>IFERROR(IF('PREENCHER AQUI'!E901="","",'PREENCHER AQUI'!E901),"")</f>
        <v/>
      </c>
      <c r="K901" s="2" t="str">
        <f>IFERROR(IF('PREENCHER AQUI'!F901="","",'PREENCHER AQUI'!F901),"")</f>
        <v/>
      </c>
      <c r="L901" s="2" t="str">
        <f>IF(Tabela1[[#This Row],[IPU_COD]]=9,"91",IF(Tabela1[[#This Row],[ACAO_COD]]="","",VLOOKUP(CONCATENATE("G",J901,"M",K901),qdd!$BC$2:$BD$46,2,FALSE)))</f>
        <v/>
      </c>
      <c r="M901" s="2" t="str">
        <f>TEXT(IFERROR(VLOOKUP(CONCATENATE(C901,D901),qdd!$C$2:$G$1000,5,FALSE),""),0)</f>
        <v/>
      </c>
      <c r="N901" s="2" t="str">
        <f>IFERROR(IF('PREENCHER AQUI'!I901="","",'PREENCHER AQUI'!I901),"")</f>
        <v/>
      </c>
      <c r="O901" s="2" t="str">
        <f>IFERROR(IF('PREENCHER AQUI'!J901="","",'PREENCHER AQUI'!J901),"")</f>
        <v/>
      </c>
      <c r="P901" s="7" t="str">
        <f t="shared" si="31"/>
        <v/>
      </c>
      <c r="Q901" s="8" t="str">
        <f>IFERROR(IF(Tabela4[[#This Row],[VALOR]]="","",IF(Tabela1[[#This Row],[ORIENTACAO]]="Anular",'PREENCHER AQUI'!K901*-1*100,'PREENCHER AQUI'!K901*100)),"")</f>
        <v/>
      </c>
      <c r="T901" s="7" t="str">
        <f>IFERROR(IF('PREENCHER AQUI'!L901="","999",LEFT('PREENCHER AQUI'!L901,1)),"")</f>
        <v>999</v>
      </c>
      <c r="V901" s="19"/>
      <c r="W901" s="1" t="str">
        <f>IFERROR(VLOOKUP(Tabela1[[#This Row],[UO_COD]],qdd!$AT$1:$AU$102,2,FALSE),"")</f>
        <v/>
      </c>
      <c r="X901" s="1" t="str">
        <f>CONCATENATE("F",Tabela1[[#This Row],[FONTE_COD]],Tabela1[[#This Row],[IPU_COD]],"G",Tabela1[[#This Row],[GRUPO_COD]],"T",Tabela1[[#This Row],[TIPO]])</f>
        <v>FGT999</v>
      </c>
      <c r="Y9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1" s="19"/>
      <c r="AA901" s="29" t="str">
        <f>IFERROR(VLOOKUP(CONCATENATE("B",Tabela1[[#This Row],[BLOCO]],Tabela1[[#This Row],[UO_COD]]),qdd!$AW$2:$AX$1000,2,FALSE),"")</f>
        <v/>
      </c>
      <c r="AB901" s="30" t="str">
        <f>IFERROR(Tabela1[[#This Row],[VALOR]]/100,"")</f>
        <v/>
      </c>
      <c r="AC901" s="7" t="str" cm="1">
        <f t="array" aca="1" ref="AC901" ca="1">IF(Tabela1[[#This Row],[VALOR]]&lt;0,"",IFERROR(SUBSTITUTE(Converter_numero(Tabela1[[#This Row],[VALOR INCISO]]),",",""),""))</f>
        <v/>
      </c>
      <c r="AD901" s="29" t="str">
        <f>IF(Tabela1[[#This Row],[TIPO]]=REGRAS!$W$2,REGRAS!$X$2,IF(Tabela1[[#This Row],[TIPO]]=REGRAS!$W$4,REGRAS!$X$4,""))</f>
        <v/>
      </c>
      <c r="AE901" s="29" t="e">
        <f>VLOOKUP(Tabela1[[#This Row],[FONTE_COD]],REGRAS!$O$2:$P$69,2,FALSE)</f>
        <v>#N/A</v>
      </c>
      <c r="AF9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2" spans="1:32" ht="18.75" customHeight="1">
      <c r="A902" s="2" t="str">
        <f>IFERROR(IF('PREENCHER AQUI'!A902="","",'PREENCHER AQUI'!A902),"")</f>
        <v/>
      </c>
      <c r="B902" s="1" t="str">
        <f>IFERROR(IF('PREENCHER AQUI'!B902="","",PROPER('PREENCHER AQUI'!B902)),"")</f>
        <v/>
      </c>
      <c r="C902" s="1" t="str">
        <f>IFERROR(IF('PREENCHER AQUI'!C902="","",'PREENCHER AQUI'!C902),"")</f>
        <v/>
      </c>
      <c r="D902" s="2" t="str">
        <f>IFERROR(IF('PREENCHER AQUI'!D902="","",'PREENCHER AQUI'!D902),"")</f>
        <v/>
      </c>
      <c r="E902" s="2" t="str">
        <f>IFERROR(VLOOKUP(CONCATENATE(C902,D902),qdd!$C$2:$F$1000,2,FALSE),"")</f>
        <v/>
      </c>
      <c r="F902" s="2" t="str">
        <f>IFERROR(VLOOKUP(CONCATENATE(C902,D902),qdd!$C$2:$F$1000,3,FALSE),"")</f>
        <v/>
      </c>
      <c r="G902" s="2" t="str">
        <f>IFERROR(VLOOKUP(CONCATENATE(C902,D902),qdd!$C$2:$F$1000,4,FALSE),"")</f>
        <v/>
      </c>
      <c r="H902" s="6" t="str">
        <f t="shared" si="30"/>
        <v/>
      </c>
      <c r="I9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2" s="2" t="str">
        <f>IFERROR(IF('PREENCHER AQUI'!E902="","",'PREENCHER AQUI'!E902),"")</f>
        <v/>
      </c>
      <c r="K902" s="2" t="str">
        <f>IFERROR(IF('PREENCHER AQUI'!F902="","",'PREENCHER AQUI'!F902),"")</f>
        <v/>
      </c>
      <c r="L902" s="2" t="str">
        <f>IF(Tabela1[[#This Row],[IPU_COD]]=9,"91",IF(Tabela1[[#This Row],[ACAO_COD]]="","",VLOOKUP(CONCATENATE("G",J902,"M",K902),qdd!$BC$2:$BD$46,2,FALSE)))</f>
        <v/>
      </c>
      <c r="M902" s="2" t="str">
        <f>TEXT(IFERROR(VLOOKUP(CONCATENATE(C902,D902),qdd!$C$2:$G$1000,5,FALSE),""),0)</f>
        <v/>
      </c>
      <c r="N902" s="2" t="str">
        <f>IFERROR(IF('PREENCHER AQUI'!I902="","",'PREENCHER AQUI'!I902),"")</f>
        <v/>
      </c>
      <c r="O902" s="2" t="str">
        <f>IFERROR(IF('PREENCHER AQUI'!J902="","",'PREENCHER AQUI'!J902),"")</f>
        <v/>
      </c>
      <c r="P902" s="7" t="str">
        <f t="shared" si="31"/>
        <v/>
      </c>
      <c r="Q902" s="8" t="str">
        <f>IFERROR(IF(Tabela4[[#This Row],[VALOR]]="","",IF(Tabela1[[#This Row],[ORIENTACAO]]="Anular",'PREENCHER AQUI'!K902*-1*100,'PREENCHER AQUI'!K902*100)),"")</f>
        <v/>
      </c>
      <c r="T902" s="7" t="str">
        <f>IFERROR(IF('PREENCHER AQUI'!L902="","999",LEFT('PREENCHER AQUI'!L902,1)),"")</f>
        <v>999</v>
      </c>
      <c r="W902" s="1" t="str">
        <f>IFERROR(VLOOKUP(Tabela1[[#This Row],[UO_COD]],qdd!$AT$1:$AU$102,2,FALSE),"")</f>
        <v/>
      </c>
      <c r="X902" s="1" t="str">
        <f>CONCATENATE("F",Tabela1[[#This Row],[FONTE_COD]],Tabela1[[#This Row],[IPU_COD]],"G",Tabela1[[#This Row],[GRUPO_COD]],"T",Tabela1[[#This Row],[TIPO]])</f>
        <v>FGT999</v>
      </c>
      <c r="Y9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2" s="19"/>
      <c r="AA902" s="29" t="str">
        <f>IFERROR(VLOOKUP(CONCATENATE("B",Tabela1[[#This Row],[BLOCO]],Tabela1[[#This Row],[UO_COD]]),qdd!$AW$2:$AX$1000,2,FALSE),"")</f>
        <v/>
      </c>
      <c r="AB902" s="30" t="str">
        <f>IFERROR(Tabela1[[#This Row],[VALOR]]/100,"")</f>
        <v/>
      </c>
      <c r="AC902" s="7" t="str" cm="1">
        <f t="array" aca="1" ref="AC902" ca="1">IF(Tabela1[[#This Row],[VALOR]]&lt;0,"",IFERROR(SUBSTITUTE(Converter_numero(Tabela1[[#This Row],[VALOR INCISO]]),",",""),""))</f>
        <v/>
      </c>
      <c r="AD902" s="7" t="str">
        <f>IF(Tabela1[[#This Row],[TIPO]]=REGRAS!$W$2,REGRAS!$X$2,IF(Tabela1[[#This Row],[TIPO]]=REGRAS!$W$4,REGRAS!$X$4,""))</f>
        <v/>
      </c>
      <c r="AE902" s="29" t="e">
        <f>VLOOKUP(Tabela1[[#This Row],[FONTE_COD]],REGRAS!$O$2:$P$69,2,FALSE)</f>
        <v>#N/A</v>
      </c>
      <c r="AF9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3" spans="1:32" ht="18.75" customHeight="1">
      <c r="A903" s="2" t="str">
        <f>IFERROR(IF('PREENCHER AQUI'!A903="","",'PREENCHER AQUI'!A903),"")</f>
        <v/>
      </c>
      <c r="B903" s="1" t="str">
        <f>IFERROR(IF('PREENCHER AQUI'!B903="","",PROPER('PREENCHER AQUI'!B903)),"")</f>
        <v/>
      </c>
      <c r="C903" s="1" t="str">
        <f>IFERROR(IF('PREENCHER AQUI'!C903="","",'PREENCHER AQUI'!C903),"")</f>
        <v/>
      </c>
      <c r="D903" s="2" t="str">
        <f>IFERROR(IF('PREENCHER AQUI'!D903="","",'PREENCHER AQUI'!D903),"")</f>
        <v/>
      </c>
      <c r="E903" s="2" t="str">
        <f>IFERROR(VLOOKUP(CONCATENATE(C903,D903),qdd!$C$2:$F$1000,2,FALSE),"")</f>
        <v/>
      </c>
      <c r="F903" s="2" t="str">
        <f>IFERROR(VLOOKUP(CONCATENATE(C903,D903),qdd!$C$2:$F$1000,3,FALSE),"")</f>
        <v/>
      </c>
      <c r="G903" s="2" t="str">
        <f>IFERROR(VLOOKUP(CONCATENATE(C903,D903),qdd!$C$2:$F$1000,4,FALSE),"")</f>
        <v/>
      </c>
      <c r="H903" s="6" t="str">
        <f t="shared" si="30"/>
        <v/>
      </c>
      <c r="I9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3" s="2" t="str">
        <f>IFERROR(IF('PREENCHER AQUI'!E903="","",'PREENCHER AQUI'!E903),"")</f>
        <v/>
      </c>
      <c r="K903" s="2" t="str">
        <f>IFERROR(IF('PREENCHER AQUI'!F903="","",'PREENCHER AQUI'!F903),"")</f>
        <v/>
      </c>
      <c r="L903" s="2" t="str">
        <f>IF(Tabela1[[#This Row],[IPU_COD]]=9,"91",IF(Tabela1[[#This Row],[ACAO_COD]]="","",VLOOKUP(CONCATENATE("G",J903,"M",K903),qdd!$BC$2:$BD$46,2,FALSE)))</f>
        <v/>
      </c>
      <c r="M903" s="2" t="str">
        <f>TEXT(IFERROR(VLOOKUP(CONCATENATE(C903,D903),qdd!$C$2:$G$1000,5,FALSE),""),0)</f>
        <v/>
      </c>
      <c r="N903" s="2" t="str">
        <f>IFERROR(IF('PREENCHER AQUI'!I903="","",'PREENCHER AQUI'!I903),"")</f>
        <v/>
      </c>
      <c r="O903" s="2" t="str">
        <f>IFERROR(IF('PREENCHER AQUI'!J903="","",'PREENCHER AQUI'!J903),"")</f>
        <v/>
      </c>
      <c r="P903" s="7" t="str">
        <f t="shared" si="31"/>
        <v/>
      </c>
      <c r="Q903" s="8" t="str">
        <f>IFERROR(IF(Tabela4[[#This Row],[VALOR]]="","",IF(Tabela1[[#This Row],[ORIENTACAO]]="Anular",'PREENCHER AQUI'!K903*-1*100,'PREENCHER AQUI'!K903*100)),"")</f>
        <v/>
      </c>
      <c r="T903" s="7" t="str">
        <f>IFERROR(IF('PREENCHER AQUI'!L903="","999",LEFT('PREENCHER AQUI'!L903,1)),"")</f>
        <v>999</v>
      </c>
      <c r="V903" s="19"/>
      <c r="W903" s="1" t="str">
        <f>IFERROR(VLOOKUP(Tabela1[[#This Row],[UO_COD]],qdd!$AT$1:$AU$102,2,FALSE),"")</f>
        <v/>
      </c>
      <c r="X903" s="1" t="str">
        <f>CONCATENATE("F",Tabela1[[#This Row],[FONTE_COD]],Tabela1[[#This Row],[IPU_COD]],"G",Tabela1[[#This Row],[GRUPO_COD]],"T",Tabela1[[#This Row],[TIPO]])</f>
        <v>FGT999</v>
      </c>
      <c r="Y9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3" s="19"/>
      <c r="AA903" s="29" t="str">
        <f>IFERROR(VLOOKUP(CONCATENATE("B",Tabela1[[#This Row],[BLOCO]],Tabela1[[#This Row],[UO_COD]]),qdd!$AW$2:$AX$1000,2,FALSE),"")</f>
        <v/>
      </c>
      <c r="AB903" s="30" t="str">
        <f>IFERROR(Tabela1[[#This Row],[VALOR]]/100,"")</f>
        <v/>
      </c>
      <c r="AC903" s="7" t="str" cm="1">
        <f t="array" aca="1" ref="AC903" ca="1">IF(Tabela1[[#This Row],[VALOR]]&lt;0,"",IFERROR(SUBSTITUTE(Converter_numero(Tabela1[[#This Row],[VALOR INCISO]]),",",""),""))</f>
        <v/>
      </c>
      <c r="AD903" s="29" t="str">
        <f>IF(Tabela1[[#This Row],[TIPO]]=REGRAS!$W$2,REGRAS!$X$2,IF(Tabela1[[#This Row],[TIPO]]=REGRAS!$W$4,REGRAS!$X$4,""))</f>
        <v/>
      </c>
      <c r="AE903" s="29" t="e">
        <f>VLOOKUP(Tabela1[[#This Row],[FONTE_COD]],REGRAS!$O$2:$P$69,2,FALSE)</f>
        <v>#N/A</v>
      </c>
      <c r="AF9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4" spans="1:32" ht="18.75" customHeight="1">
      <c r="A904" s="2" t="str">
        <f>IFERROR(IF('PREENCHER AQUI'!A904="","",'PREENCHER AQUI'!A904),"")</f>
        <v/>
      </c>
      <c r="B904" s="1" t="str">
        <f>IFERROR(IF('PREENCHER AQUI'!B904="","",PROPER('PREENCHER AQUI'!B904)),"")</f>
        <v/>
      </c>
      <c r="C904" s="1" t="str">
        <f>IFERROR(IF('PREENCHER AQUI'!C904="","",'PREENCHER AQUI'!C904),"")</f>
        <v/>
      </c>
      <c r="D904" s="2" t="str">
        <f>IFERROR(IF('PREENCHER AQUI'!D904="","",'PREENCHER AQUI'!D904),"")</f>
        <v/>
      </c>
      <c r="E904" s="2" t="str">
        <f>IFERROR(VLOOKUP(CONCATENATE(C904,D904),qdd!$C$2:$F$1000,2,FALSE),"")</f>
        <v/>
      </c>
      <c r="F904" s="2" t="str">
        <f>IFERROR(VLOOKUP(CONCATENATE(C904,D904),qdd!$C$2:$F$1000,3,FALSE),"")</f>
        <v/>
      </c>
      <c r="G904" s="2" t="str">
        <f>IFERROR(VLOOKUP(CONCATENATE(C904,D904),qdd!$C$2:$F$1000,4,FALSE),"")</f>
        <v/>
      </c>
      <c r="H904" s="6" t="str">
        <f t="shared" si="30"/>
        <v/>
      </c>
      <c r="I9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4" s="2" t="str">
        <f>IFERROR(IF('PREENCHER AQUI'!E904="","",'PREENCHER AQUI'!E904),"")</f>
        <v/>
      </c>
      <c r="K904" s="2" t="str">
        <f>IFERROR(IF('PREENCHER AQUI'!F904="","",'PREENCHER AQUI'!F904),"")</f>
        <v/>
      </c>
      <c r="L904" s="2" t="str">
        <f>IF(Tabela1[[#This Row],[IPU_COD]]=9,"91",IF(Tabela1[[#This Row],[ACAO_COD]]="","",VLOOKUP(CONCATENATE("G",J904,"M",K904),qdd!$BC$2:$BD$46,2,FALSE)))</f>
        <v/>
      </c>
      <c r="M904" s="2" t="str">
        <f>TEXT(IFERROR(VLOOKUP(CONCATENATE(C904,D904),qdd!$C$2:$G$1000,5,FALSE),""),0)</f>
        <v/>
      </c>
      <c r="N904" s="2" t="str">
        <f>IFERROR(IF('PREENCHER AQUI'!I904="","",'PREENCHER AQUI'!I904),"")</f>
        <v/>
      </c>
      <c r="O904" s="2" t="str">
        <f>IFERROR(IF('PREENCHER AQUI'!J904="","",'PREENCHER AQUI'!J904),"")</f>
        <v/>
      </c>
      <c r="P904" s="7" t="str">
        <f t="shared" si="31"/>
        <v/>
      </c>
      <c r="Q904" s="8" t="str">
        <f>IFERROR(IF(Tabela4[[#This Row],[VALOR]]="","",IF(Tabela1[[#This Row],[ORIENTACAO]]="Anular",'PREENCHER AQUI'!K904*-1*100,'PREENCHER AQUI'!K904*100)),"")</f>
        <v/>
      </c>
      <c r="T904" s="7" t="str">
        <f>IFERROR(IF('PREENCHER AQUI'!L904="","999",LEFT('PREENCHER AQUI'!L904,1)),"")</f>
        <v>999</v>
      </c>
      <c r="V904" s="19"/>
      <c r="W904" s="1" t="str">
        <f>IFERROR(VLOOKUP(Tabela1[[#This Row],[UO_COD]],qdd!$AT$1:$AU$102,2,FALSE),"")</f>
        <v/>
      </c>
      <c r="X904" s="1" t="str">
        <f>CONCATENATE("F",Tabela1[[#This Row],[FONTE_COD]],Tabela1[[#This Row],[IPU_COD]],"G",Tabela1[[#This Row],[GRUPO_COD]],"T",Tabela1[[#This Row],[TIPO]])</f>
        <v>FGT999</v>
      </c>
      <c r="Y9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4" s="19"/>
      <c r="AA904" s="29" t="str">
        <f>IFERROR(VLOOKUP(CONCATENATE("B",Tabela1[[#This Row],[BLOCO]],Tabela1[[#This Row],[UO_COD]]),qdd!$AW$2:$AX$1000,2,FALSE),"")</f>
        <v/>
      </c>
      <c r="AB904" s="30" t="str">
        <f>IFERROR(Tabela1[[#This Row],[VALOR]]/100,"")</f>
        <v/>
      </c>
      <c r="AC904" s="7" t="str" cm="1">
        <f t="array" aca="1" ref="AC904" ca="1">IF(Tabela1[[#This Row],[VALOR]]&lt;0,"",IFERROR(SUBSTITUTE(Converter_numero(Tabela1[[#This Row],[VALOR INCISO]]),",",""),""))</f>
        <v/>
      </c>
      <c r="AD904" s="29" t="str">
        <f>IF(Tabela1[[#This Row],[TIPO]]=REGRAS!$W$2,REGRAS!$X$2,IF(Tabela1[[#This Row],[TIPO]]=REGRAS!$W$4,REGRAS!$X$4,""))</f>
        <v/>
      </c>
      <c r="AE904" s="29" t="e">
        <f>VLOOKUP(Tabela1[[#This Row],[FONTE_COD]],REGRAS!$O$2:$P$69,2,FALSE)</f>
        <v>#N/A</v>
      </c>
      <c r="AF9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5" spans="1:32" ht="18.75" customHeight="1">
      <c r="A905" s="2" t="str">
        <f>IFERROR(IF('PREENCHER AQUI'!A905="","",'PREENCHER AQUI'!A905),"")</f>
        <v/>
      </c>
      <c r="B905" s="1" t="str">
        <f>IFERROR(IF('PREENCHER AQUI'!B905="","",PROPER('PREENCHER AQUI'!B905)),"")</f>
        <v/>
      </c>
      <c r="C905" s="1" t="str">
        <f>IFERROR(IF('PREENCHER AQUI'!C905="","",'PREENCHER AQUI'!C905),"")</f>
        <v/>
      </c>
      <c r="D905" s="2" t="str">
        <f>IFERROR(IF('PREENCHER AQUI'!D905="","",'PREENCHER AQUI'!D905),"")</f>
        <v/>
      </c>
      <c r="E905" s="2" t="str">
        <f>IFERROR(VLOOKUP(CONCATENATE(C905,D905),qdd!$C$2:$F$1000,2,FALSE),"")</f>
        <v/>
      </c>
      <c r="F905" s="2" t="str">
        <f>IFERROR(VLOOKUP(CONCATENATE(C905,D905),qdd!$C$2:$F$1000,3,FALSE),"")</f>
        <v/>
      </c>
      <c r="G905" s="2" t="str">
        <f>IFERROR(VLOOKUP(CONCATENATE(C905,D905),qdd!$C$2:$F$1000,4,FALSE),"")</f>
        <v/>
      </c>
      <c r="H905" s="6" t="str">
        <f t="shared" si="30"/>
        <v/>
      </c>
      <c r="I9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5" s="2" t="str">
        <f>IFERROR(IF('PREENCHER AQUI'!E905="","",'PREENCHER AQUI'!E905),"")</f>
        <v/>
      </c>
      <c r="K905" s="2" t="str">
        <f>IFERROR(IF('PREENCHER AQUI'!F905="","",'PREENCHER AQUI'!F905),"")</f>
        <v/>
      </c>
      <c r="L905" s="2" t="str">
        <f>IF(Tabela1[[#This Row],[IPU_COD]]=9,"91",IF(Tabela1[[#This Row],[ACAO_COD]]="","",VLOOKUP(CONCATENATE("G",J905,"M",K905),qdd!$BC$2:$BD$46,2,FALSE)))</f>
        <v/>
      </c>
      <c r="M905" s="2" t="str">
        <f>TEXT(IFERROR(VLOOKUP(CONCATENATE(C905,D905),qdd!$C$2:$G$1000,5,FALSE),""),0)</f>
        <v/>
      </c>
      <c r="N905" s="2" t="str">
        <f>IFERROR(IF('PREENCHER AQUI'!I905="","",'PREENCHER AQUI'!I905),"")</f>
        <v/>
      </c>
      <c r="O905" s="2" t="str">
        <f>IFERROR(IF('PREENCHER AQUI'!J905="","",'PREENCHER AQUI'!J905),"")</f>
        <v/>
      </c>
      <c r="P905" s="7" t="str">
        <f t="shared" si="31"/>
        <v/>
      </c>
      <c r="Q905" s="8" t="str">
        <f>IFERROR(IF(Tabela4[[#This Row],[VALOR]]="","",IF(Tabela1[[#This Row],[ORIENTACAO]]="Anular",'PREENCHER AQUI'!K905*-1*100,'PREENCHER AQUI'!K905*100)),"")</f>
        <v/>
      </c>
      <c r="T905" s="7" t="str">
        <f>IFERROR(IF('PREENCHER AQUI'!L905="","999",LEFT('PREENCHER AQUI'!L905,1)),"")</f>
        <v>999</v>
      </c>
      <c r="V905" s="19"/>
      <c r="W905" s="20" t="str">
        <f>IFERROR(VLOOKUP(Tabela1[[#This Row],[UO_COD]],qdd!$AT$1:$AU$102,2,FALSE),"")</f>
        <v/>
      </c>
      <c r="X905" s="20" t="str">
        <f>CONCATENATE("F",Tabela1[[#This Row],[FONTE_COD]],Tabela1[[#This Row],[IPU_COD]],"G",Tabela1[[#This Row],[GRUPO_COD]],"T",Tabela1[[#This Row],[TIPO]])</f>
        <v>FGT999</v>
      </c>
      <c r="Y9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5" s="19"/>
      <c r="AA905" s="29" t="str">
        <f>IFERROR(VLOOKUP(CONCATENATE("B",Tabela1[[#This Row],[BLOCO]],Tabela1[[#This Row],[UO_COD]]),qdd!$AW$2:$AX$1000,2,FALSE),"")</f>
        <v/>
      </c>
      <c r="AB905" s="30" t="str">
        <f>IFERROR(Tabela1[[#This Row],[VALOR]]/100,"")</f>
        <v/>
      </c>
      <c r="AC905" s="7" t="str" cm="1">
        <f t="array" aca="1" ref="AC905" ca="1">IF(Tabela1[[#This Row],[VALOR]]&lt;0,"",IFERROR(SUBSTITUTE(Converter_numero(Tabela1[[#This Row],[VALOR INCISO]]),",",""),""))</f>
        <v/>
      </c>
      <c r="AD905" s="29" t="str">
        <f>IF(Tabela1[[#This Row],[TIPO]]=REGRAS!$W$2,REGRAS!$X$2,IF(Tabela1[[#This Row],[TIPO]]=REGRAS!$W$4,REGRAS!$X$4,""))</f>
        <v/>
      </c>
      <c r="AE905" s="29" t="e">
        <f>VLOOKUP(Tabela1[[#This Row],[FONTE_COD]],REGRAS!$O$2:$P$69,2,FALSE)</f>
        <v>#N/A</v>
      </c>
      <c r="AF9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6" spans="1:32" ht="18.75" customHeight="1">
      <c r="A906" s="2" t="str">
        <f>IFERROR(IF('PREENCHER AQUI'!A906="","",'PREENCHER AQUI'!A906),"")</f>
        <v/>
      </c>
      <c r="B906" s="1" t="str">
        <f>IFERROR(IF('PREENCHER AQUI'!B906="","",PROPER('PREENCHER AQUI'!B906)),"")</f>
        <v/>
      </c>
      <c r="C906" s="1" t="str">
        <f>IFERROR(IF('PREENCHER AQUI'!C906="","",'PREENCHER AQUI'!C906),"")</f>
        <v/>
      </c>
      <c r="D906" s="2" t="str">
        <f>IFERROR(IF('PREENCHER AQUI'!D906="","",'PREENCHER AQUI'!D906),"")</f>
        <v/>
      </c>
      <c r="E906" s="2" t="str">
        <f>IFERROR(VLOOKUP(CONCATENATE(C906,D906),qdd!$C$2:$F$1000,2,FALSE),"")</f>
        <v/>
      </c>
      <c r="F906" s="2" t="str">
        <f>IFERROR(VLOOKUP(CONCATENATE(C906,D906),qdd!$C$2:$F$1000,3,FALSE),"")</f>
        <v/>
      </c>
      <c r="G906" s="2" t="str">
        <f>IFERROR(VLOOKUP(CONCATENATE(C906,D906),qdd!$C$2:$F$1000,4,FALSE),"")</f>
        <v/>
      </c>
      <c r="H906" s="6" t="str">
        <f t="shared" si="30"/>
        <v/>
      </c>
      <c r="I9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6" s="2" t="str">
        <f>IFERROR(IF('PREENCHER AQUI'!E906="","",'PREENCHER AQUI'!E906),"")</f>
        <v/>
      </c>
      <c r="K906" s="2" t="str">
        <f>IFERROR(IF('PREENCHER AQUI'!F906="","",'PREENCHER AQUI'!F906),"")</f>
        <v/>
      </c>
      <c r="L906" s="2" t="str">
        <f>IF(Tabela1[[#This Row],[IPU_COD]]=9,"91",IF(Tabela1[[#This Row],[ACAO_COD]]="","",VLOOKUP(CONCATENATE("G",J906,"M",K906),qdd!$BC$2:$BD$46,2,FALSE)))</f>
        <v/>
      </c>
      <c r="M906" s="2" t="str">
        <f>TEXT(IFERROR(VLOOKUP(CONCATENATE(C906,D906),qdd!$C$2:$G$1000,5,FALSE),""),0)</f>
        <v/>
      </c>
      <c r="N906" s="2" t="str">
        <f>IFERROR(IF('PREENCHER AQUI'!I906="","",'PREENCHER AQUI'!I906),"")</f>
        <v/>
      </c>
      <c r="O906" s="2" t="str">
        <f>IFERROR(IF('PREENCHER AQUI'!J906="","",'PREENCHER AQUI'!J906),"")</f>
        <v/>
      </c>
      <c r="P906" s="7" t="str">
        <f t="shared" si="31"/>
        <v/>
      </c>
      <c r="Q906" s="8" t="str">
        <f>IFERROR(IF(Tabela4[[#This Row],[VALOR]]="","",IF(Tabela1[[#This Row],[ORIENTACAO]]="Anular",'PREENCHER AQUI'!K906*-1*100,'PREENCHER AQUI'!K906*100)),"")</f>
        <v/>
      </c>
      <c r="T906" s="7" t="str">
        <f>IFERROR(IF('PREENCHER AQUI'!L906="","999",LEFT('PREENCHER AQUI'!L906,1)),"")</f>
        <v>999</v>
      </c>
      <c r="V906" s="19"/>
      <c r="W906" s="1" t="str">
        <f>IFERROR(VLOOKUP(Tabela1[[#This Row],[UO_COD]],qdd!$AT$1:$AU$102,2,FALSE),"")</f>
        <v/>
      </c>
      <c r="X906" s="1" t="str">
        <f>CONCATENATE("F",Tabela1[[#This Row],[FONTE_COD]],Tabela1[[#This Row],[IPU_COD]],"G",Tabela1[[#This Row],[GRUPO_COD]],"T",Tabela1[[#This Row],[TIPO]])</f>
        <v>FGT999</v>
      </c>
      <c r="Y9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6" s="19"/>
      <c r="AA906" s="29" t="str">
        <f>IFERROR(VLOOKUP(CONCATENATE("B",Tabela1[[#This Row],[BLOCO]],Tabela1[[#This Row],[UO_COD]]),qdd!$AW$2:$AX$1000,2,FALSE),"")</f>
        <v/>
      </c>
      <c r="AB906" s="30" t="str">
        <f>IFERROR(Tabela1[[#This Row],[VALOR]]/100,"")</f>
        <v/>
      </c>
      <c r="AC906" s="7" t="str" cm="1">
        <f t="array" aca="1" ref="AC906" ca="1">IF(Tabela1[[#This Row],[VALOR]]&lt;0,"",IFERROR(SUBSTITUTE(Converter_numero(Tabela1[[#This Row],[VALOR INCISO]]),",",""),""))</f>
        <v/>
      </c>
      <c r="AD906" s="29" t="str">
        <f>IF(Tabela1[[#This Row],[TIPO]]=REGRAS!$W$2,REGRAS!$X$2,IF(Tabela1[[#This Row],[TIPO]]=REGRAS!$W$4,REGRAS!$X$4,""))</f>
        <v/>
      </c>
      <c r="AE906" s="29" t="e">
        <f>VLOOKUP(Tabela1[[#This Row],[FONTE_COD]],REGRAS!$O$2:$P$69,2,FALSE)</f>
        <v>#N/A</v>
      </c>
      <c r="AF9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7" spans="1:32" ht="18.75" customHeight="1">
      <c r="A907" s="2" t="str">
        <f>IFERROR(IF('PREENCHER AQUI'!A907="","",'PREENCHER AQUI'!A907),"")</f>
        <v/>
      </c>
      <c r="B907" s="1" t="str">
        <f>IFERROR(IF('PREENCHER AQUI'!B907="","",PROPER('PREENCHER AQUI'!B907)),"")</f>
        <v/>
      </c>
      <c r="C907" s="1" t="str">
        <f>IFERROR(IF('PREENCHER AQUI'!C907="","",'PREENCHER AQUI'!C907),"")</f>
        <v/>
      </c>
      <c r="D907" s="2" t="str">
        <f>IFERROR(IF('PREENCHER AQUI'!D907="","",'PREENCHER AQUI'!D907),"")</f>
        <v/>
      </c>
      <c r="E907" s="2" t="str">
        <f>IFERROR(VLOOKUP(CONCATENATE(C907,D907),qdd!$C$2:$F$1000,2,FALSE),"")</f>
        <v/>
      </c>
      <c r="F907" s="2" t="str">
        <f>IFERROR(VLOOKUP(CONCATENATE(C907,D907),qdd!$C$2:$F$1000,3,FALSE),"")</f>
        <v/>
      </c>
      <c r="G907" s="2" t="str">
        <f>IFERROR(VLOOKUP(CONCATENATE(C907,D907),qdd!$C$2:$F$1000,4,FALSE),"")</f>
        <v/>
      </c>
      <c r="H907" s="6" t="str">
        <f t="shared" si="30"/>
        <v/>
      </c>
      <c r="I9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7" s="2" t="str">
        <f>IFERROR(IF('PREENCHER AQUI'!E907="","",'PREENCHER AQUI'!E907),"")</f>
        <v/>
      </c>
      <c r="K907" s="2" t="str">
        <f>IFERROR(IF('PREENCHER AQUI'!F907="","",'PREENCHER AQUI'!F907),"")</f>
        <v/>
      </c>
      <c r="L907" s="2" t="str">
        <f>IF(Tabela1[[#This Row],[IPU_COD]]=9,"91",IF(Tabela1[[#This Row],[ACAO_COD]]="","",VLOOKUP(CONCATENATE("G",J907,"M",K907),qdd!$BC$2:$BD$46,2,FALSE)))</f>
        <v/>
      </c>
      <c r="M907" s="2" t="str">
        <f>TEXT(IFERROR(VLOOKUP(CONCATENATE(C907,D907),qdd!$C$2:$G$1000,5,FALSE),""),0)</f>
        <v/>
      </c>
      <c r="N907" s="2" t="str">
        <f>IFERROR(IF('PREENCHER AQUI'!I907="","",'PREENCHER AQUI'!I907),"")</f>
        <v/>
      </c>
      <c r="O907" s="2" t="str">
        <f>IFERROR(IF('PREENCHER AQUI'!J907="","",'PREENCHER AQUI'!J907),"")</f>
        <v/>
      </c>
      <c r="P907" s="7" t="str">
        <f t="shared" si="31"/>
        <v/>
      </c>
      <c r="Q907" s="8" t="str">
        <f>IFERROR(IF(Tabela4[[#This Row],[VALOR]]="","",IF(Tabela1[[#This Row],[ORIENTACAO]]="Anular",'PREENCHER AQUI'!K907*-1*100,'PREENCHER AQUI'!K907*100)),"")</f>
        <v/>
      </c>
      <c r="T907" s="7" t="str">
        <f>IFERROR(IF('PREENCHER AQUI'!L907="","999",LEFT('PREENCHER AQUI'!L907,1)),"")</f>
        <v>999</v>
      </c>
      <c r="W907" s="1" t="str">
        <f>IFERROR(VLOOKUP(Tabela1[[#This Row],[UO_COD]],qdd!$AT$1:$AU$102,2,FALSE),"")</f>
        <v/>
      </c>
      <c r="X907" s="1" t="str">
        <f>CONCATENATE("F",Tabela1[[#This Row],[FONTE_COD]],Tabela1[[#This Row],[IPU_COD]],"G",Tabela1[[#This Row],[GRUPO_COD]],"T",Tabela1[[#This Row],[TIPO]])</f>
        <v>FGT999</v>
      </c>
      <c r="Y9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7" s="19"/>
      <c r="AA907" s="29" t="str">
        <f>IFERROR(VLOOKUP(CONCATENATE("B",Tabela1[[#This Row],[BLOCO]],Tabela1[[#This Row],[UO_COD]]),qdd!$AW$2:$AX$1000,2,FALSE),"")</f>
        <v/>
      </c>
      <c r="AB907" s="30" t="str">
        <f>IFERROR(Tabela1[[#This Row],[VALOR]]/100,"")</f>
        <v/>
      </c>
      <c r="AC907" s="7" t="str" cm="1">
        <f t="array" aca="1" ref="AC907" ca="1">IF(Tabela1[[#This Row],[VALOR]]&lt;0,"",IFERROR(SUBSTITUTE(Converter_numero(Tabela1[[#This Row],[VALOR INCISO]]),",",""),""))</f>
        <v/>
      </c>
      <c r="AD907" s="7" t="str">
        <f>IF(Tabela1[[#This Row],[TIPO]]=REGRAS!$W$2,REGRAS!$X$2,IF(Tabela1[[#This Row],[TIPO]]=REGRAS!$W$4,REGRAS!$X$4,""))</f>
        <v/>
      </c>
      <c r="AE907" s="29" t="e">
        <f>VLOOKUP(Tabela1[[#This Row],[FONTE_COD]],REGRAS!$O$2:$P$69,2,FALSE)</f>
        <v>#N/A</v>
      </c>
      <c r="AF9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8" spans="1:32" ht="18.75" customHeight="1">
      <c r="A908" s="2" t="str">
        <f>IFERROR(IF('PREENCHER AQUI'!A908="","",'PREENCHER AQUI'!A908),"")</f>
        <v/>
      </c>
      <c r="B908" s="1" t="str">
        <f>IFERROR(IF('PREENCHER AQUI'!B908="","",PROPER('PREENCHER AQUI'!B908)),"")</f>
        <v/>
      </c>
      <c r="C908" s="1" t="str">
        <f>IFERROR(IF('PREENCHER AQUI'!C908="","",'PREENCHER AQUI'!C908),"")</f>
        <v/>
      </c>
      <c r="D908" s="2" t="str">
        <f>IFERROR(IF('PREENCHER AQUI'!D908="","",'PREENCHER AQUI'!D908),"")</f>
        <v/>
      </c>
      <c r="E908" s="2" t="str">
        <f>IFERROR(VLOOKUP(CONCATENATE(C908,D908),qdd!$C$2:$F$1000,2,FALSE),"")</f>
        <v/>
      </c>
      <c r="F908" s="2" t="str">
        <f>IFERROR(VLOOKUP(CONCATENATE(C908,D908),qdd!$C$2:$F$1000,3,FALSE),"")</f>
        <v/>
      </c>
      <c r="G908" s="2" t="str">
        <f>IFERROR(VLOOKUP(CONCATENATE(C908,D908),qdd!$C$2:$F$1000,4,FALSE),"")</f>
        <v/>
      </c>
      <c r="H908" s="6" t="str">
        <f t="shared" si="30"/>
        <v/>
      </c>
      <c r="I9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8" s="2" t="str">
        <f>IFERROR(IF('PREENCHER AQUI'!E908="","",'PREENCHER AQUI'!E908),"")</f>
        <v/>
      </c>
      <c r="K908" s="2" t="str">
        <f>IFERROR(IF('PREENCHER AQUI'!F908="","",'PREENCHER AQUI'!F908),"")</f>
        <v/>
      </c>
      <c r="L908" s="2" t="str">
        <f>IF(Tabela1[[#This Row],[IPU_COD]]=9,"91",IF(Tabela1[[#This Row],[ACAO_COD]]="","",VLOOKUP(CONCATENATE("G",J908,"M",K908),qdd!$BC$2:$BD$46,2,FALSE)))</f>
        <v/>
      </c>
      <c r="M908" s="2" t="str">
        <f>TEXT(IFERROR(VLOOKUP(CONCATENATE(C908,D908),qdd!$C$2:$G$1000,5,FALSE),""),0)</f>
        <v/>
      </c>
      <c r="N908" s="2" t="str">
        <f>IFERROR(IF('PREENCHER AQUI'!I908="","",'PREENCHER AQUI'!I908),"")</f>
        <v/>
      </c>
      <c r="O908" s="2" t="str">
        <f>IFERROR(IF('PREENCHER AQUI'!J908="","",'PREENCHER AQUI'!J908),"")</f>
        <v/>
      </c>
      <c r="P908" s="7" t="str">
        <f t="shared" si="31"/>
        <v/>
      </c>
      <c r="Q908" s="8" t="str">
        <f>IFERROR(IF(Tabela4[[#This Row],[VALOR]]="","",IF(Tabela1[[#This Row],[ORIENTACAO]]="Anular",'PREENCHER AQUI'!K908*-1*100,'PREENCHER AQUI'!K908*100)),"")</f>
        <v/>
      </c>
      <c r="T908" s="7" t="str">
        <f>IFERROR(IF('PREENCHER AQUI'!L908="","999",LEFT('PREENCHER AQUI'!L908,1)),"")</f>
        <v>999</v>
      </c>
      <c r="V908" s="19"/>
      <c r="W908" s="1" t="str">
        <f>IFERROR(VLOOKUP(Tabela1[[#This Row],[UO_COD]],qdd!$AT$1:$AU$102,2,FALSE),"")</f>
        <v/>
      </c>
      <c r="X908" s="1" t="str">
        <f>CONCATENATE("F",Tabela1[[#This Row],[FONTE_COD]],Tabela1[[#This Row],[IPU_COD]],"G",Tabela1[[#This Row],[GRUPO_COD]],"T",Tabela1[[#This Row],[TIPO]])</f>
        <v>FGT999</v>
      </c>
      <c r="Y9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8" s="19"/>
      <c r="AA908" s="29" t="str">
        <f>IFERROR(VLOOKUP(CONCATENATE("B",Tabela1[[#This Row],[BLOCO]],Tabela1[[#This Row],[UO_COD]]),qdd!$AW$2:$AX$1000,2,FALSE),"")</f>
        <v/>
      </c>
      <c r="AB908" s="30" t="str">
        <f>IFERROR(Tabela1[[#This Row],[VALOR]]/100,"")</f>
        <v/>
      </c>
      <c r="AC908" s="7" t="str" cm="1">
        <f t="array" aca="1" ref="AC908" ca="1">IF(Tabela1[[#This Row],[VALOR]]&lt;0,"",IFERROR(SUBSTITUTE(Converter_numero(Tabela1[[#This Row],[VALOR INCISO]]),",",""),""))</f>
        <v/>
      </c>
      <c r="AD908" s="29" t="str">
        <f>IF(Tabela1[[#This Row],[TIPO]]=REGRAS!$W$2,REGRAS!$X$2,IF(Tabela1[[#This Row],[TIPO]]=REGRAS!$W$4,REGRAS!$X$4,""))</f>
        <v/>
      </c>
      <c r="AE908" s="29" t="e">
        <f>VLOOKUP(Tabela1[[#This Row],[FONTE_COD]],REGRAS!$O$2:$P$69,2,FALSE)</f>
        <v>#N/A</v>
      </c>
      <c r="AF9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9" spans="1:32" ht="18.75" customHeight="1">
      <c r="A909" s="2" t="str">
        <f>IFERROR(IF('PREENCHER AQUI'!A909="","",'PREENCHER AQUI'!A909),"")</f>
        <v/>
      </c>
      <c r="B909" s="1" t="str">
        <f>IFERROR(IF('PREENCHER AQUI'!B909="","",PROPER('PREENCHER AQUI'!B909)),"")</f>
        <v/>
      </c>
      <c r="C909" s="1" t="str">
        <f>IFERROR(IF('PREENCHER AQUI'!C909="","",'PREENCHER AQUI'!C909),"")</f>
        <v/>
      </c>
      <c r="D909" s="2" t="str">
        <f>IFERROR(IF('PREENCHER AQUI'!D909="","",'PREENCHER AQUI'!D909),"")</f>
        <v/>
      </c>
      <c r="E909" s="2" t="str">
        <f>IFERROR(VLOOKUP(CONCATENATE(C909,D909),qdd!$C$2:$F$1000,2,FALSE),"")</f>
        <v/>
      </c>
      <c r="F909" s="2" t="str">
        <f>IFERROR(VLOOKUP(CONCATENATE(C909,D909),qdd!$C$2:$F$1000,3,FALSE),"")</f>
        <v/>
      </c>
      <c r="G909" s="2" t="str">
        <f>IFERROR(VLOOKUP(CONCATENATE(C909,D909),qdd!$C$2:$F$1000,4,FALSE),"")</f>
        <v/>
      </c>
      <c r="H909" s="6" t="str">
        <f t="shared" si="30"/>
        <v/>
      </c>
      <c r="I9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9" s="2" t="str">
        <f>IFERROR(IF('PREENCHER AQUI'!E909="","",'PREENCHER AQUI'!E909),"")</f>
        <v/>
      </c>
      <c r="K909" s="2" t="str">
        <f>IFERROR(IF('PREENCHER AQUI'!F909="","",'PREENCHER AQUI'!F909),"")</f>
        <v/>
      </c>
      <c r="L909" s="2" t="str">
        <f>IF(Tabela1[[#This Row],[IPU_COD]]=9,"91",IF(Tabela1[[#This Row],[ACAO_COD]]="","",VLOOKUP(CONCATENATE("G",J909,"M",K909),qdd!$BC$2:$BD$46,2,FALSE)))</f>
        <v/>
      </c>
      <c r="M909" s="2" t="str">
        <f>TEXT(IFERROR(VLOOKUP(CONCATENATE(C909,D909),qdd!$C$2:$G$1000,5,FALSE),""),0)</f>
        <v/>
      </c>
      <c r="N909" s="2" t="str">
        <f>IFERROR(IF('PREENCHER AQUI'!I909="","",'PREENCHER AQUI'!I909),"")</f>
        <v/>
      </c>
      <c r="O909" s="2" t="str">
        <f>IFERROR(IF('PREENCHER AQUI'!J909="","",'PREENCHER AQUI'!J909),"")</f>
        <v/>
      </c>
      <c r="P909" s="7" t="str">
        <f t="shared" si="31"/>
        <v/>
      </c>
      <c r="Q909" s="8" t="str">
        <f>IFERROR(IF(Tabela4[[#This Row],[VALOR]]="","",IF(Tabela1[[#This Row],[ORIENTACAO]]="Anular",'PREENCHER AQUI'!K909*-1*100,'PREENCHER AQUI'!K909*100)),"")</f>
        <v/>
      </c>
      <c r="T909" s="7" t="str">
        <f>IFERROR(IF('PREENCHER AQUI'!L909="","999",LEFT('PREENCHER AQUI'!L909,1)),"")</f>
        <v>999</v>
      </c>
      <c r="V909" s="19"/>
      <c r="W909" s="1" t="str">
        <f>IFERROR(VLOOKUP(Tabela1[[#This Row],[UO_COD]],qdd!$AT$1:$AU$102,2,FALSE),"")</f>
        <v/>
      </c>
      <c r="X909" s="1" t="str">
        <f>CONCATENATE("F",Tabela1[[#This Row],[FONTE_COD]],Tabela1[[#This Row],[IPU_COD]],"G",Tabela1[[#This Row],[GRUPO_COD]],"T",Tabela1[[#This Row],[TIPO]])</f>
        <v>FGT999</v>
      </c>
      <c r="Y9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9" s="19"/>
      <c r="AA909" s="29" t="str">
        <f>IFERROR(VLOOKUP(CONCATENATE("B",Tabela1[[#This Row],[BLOCO]],Tabela1[[#This Row],[UO_COD]]),qdd!$AW$2:$AX$1000,2,FALSE),"")</f>
        <v/>
      </c>
      <c r="AB909" s="30" t="str">
        <f>IFERROR(Tabela1[[#This Row],[VALOR]]/100,"")</f>
        <v/>
      </c>
      <c r="AC909" s="7" t="str" cm="1">
        <f t="array" aca="1" ref="AC909" ca="1">IF(Tabela1[[#This Row],[VALOR]]&lt;0,"",IFERROR(SUBSTITUTE(Converter_numero(Tabela1[[#This Row],[VALOR INCISO]]),",",""),""))</f>
        <v/>
      </c>
      <c r="AD909" s="29" t="str">
        <f>IF(Tabela1[[#This Row],[TIPO]]=REGRAS!$W$2,REGRAS!$X$2,IF(Tabela1[[#This Row],[TIPO]]=REGRAS!$W$4,REGRAS!$X$4,""))</f>
        <v/>
      </c>
      <c r="AE909" s="29" t="e">
        <f>VLOOKUP(Tabela1[[#This Row],[FONTE_COD]],REGRAS!$O$2:$P$69,2,FALSE)</f>
        <v>#N/A</v>
      </c>
      <c r="AF9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0" spans="1:32" ht="18.75" customHeight="1">
      <c r="A910" s="2" t="str">
        <f>IFERROR(IF('PREENCHER AQUI'!A910="","",'PREENCHER AQUI'!A910),"")</f>
        <v/>
      </c>
      <c r="B910" s="1" t="str">
        <f>IFERROR(IF('PREENCHER AQUI'!B910="","",PROPER('PREENCHER AQUI'!B910)),"")</f>
        <v/>
      </c>
      <c r="C910" s="1" t="str">
        <f>IFERROR(IF('PREENCHER AQUI'!C910="","",'PREENCHER AQUI'!C910),"")</f>
        <v/>
      </c>
      <c r="D910" s="2" t="str">
        <f>IFERROR(IF('PREENCHER AQUI'!D910="","",'PREENCHER AQUI'!D910),"")</f>
        <v/>
      </c>
      <c r="E910" s="2" t="str">
        <f>IFERROR(VLOOKUP(CONCATENATE(C910,D910),qdd!$C$2:$F$1000,2,FALSE),"")</f>
        <v/>
      </c>
      <c r="F910" s="2" t="str">
        <f>IFERROR(VLOOKUP(CONCATENATE(C910,D910),qdd!$C$2:$F$1000,3,FALSE),"")</f>
        <v/>
      </c>
      <c r="G910" s="2" t="str">
        <f>IFERROR(VLOOKUP(CONCATENATE(C910,D910),qdd!$C$2:$F$1000,4,FALSE),"")</f>
        <v/>
      </c>
      <c r="H910" s="6" t="str">
        <f t="shared" si="30"/>
        <v/>
      </c>
      <c r="I9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0" s="2" t="str">
        <f>IFERROR(IF('PREENCHER AQUI'!E910="","",'PREENCHER AQUI'!E910),"")</f>
        <v/>
      </c>
      <c r="K910" s="2" t="str">
        <f>IFERROR(IF('PREENCHER AQUI'!F910="","",'PREENCHER AQUI'!F910),"")</f>
        <v/>
      </c>
      <c r="L910" s="2" t="str">
        <f>IF(Tabela1[[#This Row],[IPU_COD]]=9,"91",IF(Tabela1[[#This Row],[ACAO_COD]]="","",VLOOKUP(CONCATENATE("G",J910,"M",K910),qdd!$BC$2:$BD$46,2,FALSE)))</f>
        <v/>
      </c>
      <c r="M910" s="2" t="str">
        <f>TEXT(IFERROR(VLOOKUP(CONCATENATE(C910,D910),qdd!$C$2:$G$1000,5,FALSE),""),0)</f>
        <v/>
      </c>
      <c r="N910" s="2" t="str">
        <f>IFERROR(IF('PREENCHER AQUI'!I910="","",'PREENCHER AQUI'!I910),"")</f>
        <v/>
      </c>
      <c r="O910" s="2" t="str">
        <f>IFERROR(IF('PREENCHER AQUI'!J910="","",'PREENCHER AQUI'!J910),"")</f>
        <v/>
      </c>
      <c r="P910" s="7" t="str">
        <f t="shared" si="31"/>
        <v/>
      </c>
      <c r="Q910" s="8" t="str">
        <f>IFERROR(IF(Tabela4[[#This Row],[VALOR]]="","",IF(Tabela1[[#This Row],[ORIENTACAO]]="Anular",'PREENCHER AQUI'!K910*-1*100,'PREENCHER AQUI'!K910*100)),"")</f>
        <v/>
      </c>
      <c r="T910" s="7" t="str">
        <f>IFERROR(IF('PREENCHER AQUI'!L910="","999",LEFT('PREENCHER AQUI'!L910,1)),"")</f>
        <v>999</v>
      </c>
      <c r="V910" s="19"/>
      <c r="W910" s="20" t="str">
        <f>IFERROR(VLOOKUP(Tabela1[[#This Row],[UO_COD]],qdd!$AT$1:$AU$102,2,FALSE),"")</f>
        <v/>
      </c>
      <c r="X910" s="20" t="str">
        <f>CONCATENATE("F",Tabela1[[#This Row],[FONTE_COD]],Tabela1[[#This Row],[IPU_COD]],"G",Tabela1[[#This Row],[GRUPO_COD]],"T",Tabela1[[#This Row],[TIPO]])</f>
        <v>FGT999</v>
      </c>
      <c r="Y9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0" s="19"/>
      <c r="AA910" s="29" t="str">
        <f>IFERROR(VLOOKUP(CONCATENATE("B",Tabela1[[#This Row],[BLOCO]],Tabela1[[#This Row],[UO_COD]]),qdd!$AW$2:$AX$1000,2,FALSE),"")</f>
        <v/>
      </c>
      <c r="AB910" s="30" t="str">
        <f>IFERROR(Tabela1[[#This Row],[VALOR]]/100,"")</f>
        <v/>
      </c>
      <c r="AC910" s="7" t="str" cm="1">
        <f t="array" aca="1" ref="AC910" ca="1">IF(Tabela1[[#This Row],[VALOR]]&lt;0,"",IFERROR(SUBSTITUTE(Converter_numero(Tabela1[[#This Row],[VALOR INCISO]]),",",""),""))</f>
        <v/>
      </c>
      <c r="AD910" s="29" t="str">
        <f>IF(Tabela1[[#This Row],[TIPO]]=REGRAS!$W$2,REGRAS!$X$2,IF(Tabela1[[#This Row],[TIPO]]=REGRAS!$W$4,REGRAS!$X$4,""))</f>
        <v/>
      </c>
      <c r="AE910" s="29" t="e">
        <f>VLOOKUP(Tabela1[[#This Row],[FONTE_COD]],REGRAS!$O$2:$P$69,2,FALSE)</f>
        <v>#N/A</v>
      </c>
      <c r="AF9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1" spans="1:32" ht="18.75" customHeight="1">
      <c r="A911" s="2" t="str">
        <f>IFERROR(IF('PREENCHER AQUI'!A911="","",'PREENCHER AQUI'!A911),"")</f>
        <v/>
      </c>
      <c r="B911" s="1" t="str">
        <f>IFERROR(IF('PREENCHER AQUI'!B911="","",PROPER('PREENCHER AQUI'!B911)),"")</f>
        <v/>
      </c>
      <c r="C911" s="1" t="str">
        <f>IFERROR(IF('PREENCHER AQUI'!C911="","",'PREENCHER AQUI'!C911),"")</f>
        <v/>
      </c>
      <c r="D911" s="2" t="str">
        <f>IFERROR(IF('PREENCHER AQUI'!D911="","",'PREENCHER AQUI'!D911),"")</f>
        <v/>
      </c>
      <c r="E911" s="2" t="str">
        <f>IFERROR(VLOOKUP(CONCATENATE(C911,D911),qdd!$C$2:$F$1000,2,FALSE),"")</f>
        <v/>
      </c>
      <c r="F911" s="2" t="str">
        <f>IFERROR(VLOOKUP(CONCATENATE(C911,D911),qdd!$C$2:$F$1000,3,FALSE),"")</f>
        <v/>
      </c>
      <c r="G911" s="2" t="str">
        <f>IFERROR(VLOOKUP(CONCATENATE(C911,D911),qdd!$C$2:$F$1000,4,FALSE),"")</f>
        <v/>
      </c>
      <c r="H911" s="6" t="str">
        <f t="shared" si="30"/>
        <v/>
      </c>
      <c r="I9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1" s="2" t="str">
        <f>IFERROR(IF('PREENCHER AQUI'!E911="","",'PREENCHER AQUI'!E911),"")</f>
        <v/>
      </c>
      <c r="K911" s="2" t="str">
        <f>IFERROR(IF('PREENCHER AQUI'!F911="","",'PREENCHER AQUI'!F911),"")</f>
        <v/>
      </c>
      <c r="L911" s="2" t="str">
        <f>IF(Tabela1[[#This Row],[IPU_COD]]=9,"91",IF(Tabela1[[#This Row],[ACAO_COD]]="","",VLOOKUP(CONCATENATE("G",J911,"M",K911),qdd!$BC$2:$BD$46,2,FALSE)))</f>
        <v/>
      </c>
      <c r="M911" s="2" t="str">
        <f>TEXT(IFERROR(VLOOKUP(CONCATENATE(C911,D911),qdd!$C$2:$G$1000,5,FALSE),""),0)</f>
        <v/>
      </c>
      <c r="N911" s="2" t="str">
        <f>IFERROR(IF('PREENCHER AQUI'!I911="","",'PREENCHER AQUI'!I911),"")</f>
        <v/>
      </c>
      <c r="O911" s="2" t="str">
        <f>IFERROR(IF('PREENCHER AQUI'!J911="","",'PREENCHER AQUI'!J911),"")</f>
        <v/>
      </c>
      <c r="P911" s="7" t="str">
        <f t="shared" si="31"/>
        <v/>
      </c>
      <c r="Q911" s="8" t="str">
        <f>IFERROR(IF(Tabela4[[#This Row],[VALOR]]="","",IF(Tabela1[[#This Row],[ORIENTACAO]]="Anular",'PREENCHER AQUI'!K911*-1*100,'PREENCHER AQUI'!K911*100)),"")</f>
        <v/>
      </c>
      <c r="T911" s="7" t="str">
        <f>IFERROR(IF('PREENCHER AQUI'!L911="","999",LEFT('PREENCHER AQUI'!L911,1)),"")</f>
        <v>999</v>
      </c>
      <c r="V911" s="19"/>
      <c r="W911" s="1" t="str">
        <f>IFERROR(VLOOKUP(Tabela1[[#This Row],[UO_COD]],qdd!$AT$1:$AU$102,2,FALSE),"")</f>
        <v/>
      </c>
      <c r="X911" s="1" t="str">
        <f>CONCATENATE("F",Tabela1[[#This Row],[FONTE_COD]],Tabela1[[#This Row],[IPU_COD]],"G",Tabela1[[#This Row],[GRUPO_COD]],"T",Tabela1[[#This Row],[TIPO]])</f>
        <v>FGT999</v>
      </c>
      <c r="Y9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1" s="19"/>
      <c r="AA911" s="29" t="str">
        <f>IFERROR(VLOOKUP(CONCATENATE("B",Tabela1[[#This Row],[BLOCO]],Tabela1[[#This Row],[UO_COD]]),qdd!$AW$2:$AX$1000,2,FALSE),"")</f>
        <v/>
      </c>
      <c r="AB911" s="30" t="str">
        <f>IFERROR(Tabela1[[#This Row],[VALOR]]/100,"")</f>
        <v/>
      </c>
      <c r="AC911" s="7" t="str" cm="1">
        <f t="array" aca="1" ref="AC911" ca="1">IF(Tabela1[[#This Row],[VALOR]]&lt;0,"",IFERROR(SUBSTITUTE(Converter_numero(Tabela1[[#This Row],[VALOR INCISO]]),",",""),""))</f>
        <v/>
      </c>
      <c r="AD911" s="29" t="str">
        <f>IF(Tabela1[[#This Row],[TIPO]]=REGRAS!$W$2,REGRAS!$X$2,IF(Tabela1[[#This Row],[TIPO]]=REGRAS!$W$4,REGRAS!$X$4,""))</f>
        <v/>
      </c>
      <c r="AE911" s="29" t="e">
        <f>VLOOKUP(Tabela1[[#This Row],[FONTE_COD]],REGRAS!$O$2:$P$69,2,FALSE)</f>
        <v>#N/A</v>
      </c>
      <c r="AF9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2" spans="1:32" ht="18.75" customHeight="1">
      <c r="A912" s="2" t="str">
        <f>IFERROR(IF('PREENCHER AQUI'!A912="","",'PREENCHER AQUI'!A912),"")</f>
        <v/>
      </c>
      <c r="B912" s="1" t="str">
        <f>IFERROR(IF('PREENCHER AQUI'!B912="","",PROPER('PREENCHER AQUI'!B912)),"")</f>
        <v/>
      </c>
      <c r="C912" s="1" t="str">
        <f>IFERROR(IF('PREENCHER AQUI'!C912="","",'PREENCHER AQUI'!C912),"")</f>
        <v/>
      </c>
      <c r="D912" s="2" t="str">
        <f>IFERROR(IF('PREENCHER AQUI'!D912="","",'PREENCHER AQUI'!D912),"")</f>
        <v/>
      </c>
      <c r="E912" s="2" t="str">
        <f>IFERROR(VLOOKUP(CONCATENATE(C912,D912),qdd!$C$2:$F$1000,2,FALSE),"")</f>
        <v/>
      </c>
      <c r="F912" s="2" t="str">
        <f>IFERROR(VLOOKUP(CONCATENATE(C912,D912),qdd!$C$2:$F$1000,3,FALSE),"")</f>
        <v/>
      </c>
      <c r="G912" s="2" t="str">
        <f>IFERROR(VLOOKUP(CONCATENATE(C912,D912),qdd!$C$2:$F$1000,4,FALSE),"")</f>
        <v/>
      </c>
      <c r="H912" s="6" t="str">
        <f t="shared" si="30"/>
        <v/>
      </c>
      <c r="I9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2" s="2" t="str">
        <f>IFERROR(IF('PREENCHER AQUI'!E912="","",'PREENCHER AQUI'!E912),"")</f>
        <v/>
      </c>
      <c r="K912" s="2" t="str">
        <f>IFERROR(IF('PREENCHER AQUI'!F912="","",'PREENCHER AQUI'!F912),"")</f>
        <v/>
      </c>
      <c r="L912" s="2" t="str">
        <f>IF(Tabela1[[#This Row],[IPU_COD]]=9,"91",IF(Tabela1[[#This Row],[ACAO_COD]]="","",VLOOKUP(CONCATENATE("G",J912,"M",K912),qdd!$BC$2:$BD$46,2,FALSE)))</f>
        <v/>
      </c>
      <c r="M912" s="2" t="str">
        <f>TEXT(IFERROR(VLOOKUP(CONCATENATE(C912,D912),qdd!$C$2:$G$1000,5,FALSE),""),0)</f>
        <v/>
      </c>
      <c r="N912" s="2" t="str">
        <f>IFERROR(IF('PREENCHER AQUI'!I912="","",'PREENCHER AQUI'!I912),"")</f>
        <v/>
      </c>
      <c r="O912" s="2" t="str">
        <f>IFERROR(IF('PREENCHER AQUI'!J912="","",'PREENCHER AQUI'!J912),"")</f>
        <v/>
      </c>
      <c r="P912" s="7" t="str">
        <f t="shared" si="31"/>
        <v/>
      </c>
      <c r="Q912" s="8" t="str">
        <f>IFERROR(IF(Tabela4[[#This Row],[VALOR]]="","",IF(Tabela1[[#This Row],[ORIENTACAO]]="Anular",'PREENCHER AQUI'!K912*-1*100,'PREENCHER AQUI'!K912*100)),"")</f>
        <v/>
      </c>
      <c r="T912" s="7" t="str">
        <f>IFERROR(IF('PREENCHER AQUI'!L912="","999",LEFT('PREENCHER AQUI'!L912,1)),"")</f>
        <v>999</v>
      </c>
      <c r="W912" s="1" t="str">
        <f>IFERROR(VLOOKUP(Tabela1[[#This Row],[UO_COD]],qdd!$AT$1:$AU$102,2,FALSE),"")</f>
        <v/>
      </c>
      <c r="X912" s="1" t="str">
        <f>CONCATENATE("F",Tabela1[[#This Row],[FONTE_COD]],Tabela1[[#This Row],[IPU_COD]],"G",Tabela1[[#This Row],[GRUPO_COD]],"T",Tabela1[[#This Row],[TIPO]])</f>
        <v>FGT999</v>
      </c>
      <c r="Y9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2" s="19"/>
      <c r="AA912" s="29" t="str">
        <f>IFERROR(VLOOKUP(CONCATENATE("B",Tabela1[[#This Row],[BLOCO]],Tabela1[[#This Row],[UO_COD]]),qdd!$AW$2:$AX$1000,2,FALSE),"")</f>
        <v/>
      </c>
      <c r="AB912" s="30" t="str">
        <f>IFERROR(Tabela1[[#This Row],[VALOR]]/100,"")</f>
        <v/>
      </c>
      <c r="AC912" s="7" t="str" cm="1">
        <f t="array" aca="1" ref="AC912" ca="1">IF(Tabela1[[#This Row],[VALOR]]&lt;0,"",IFERROR(SUBSTITUTE(Converter_numero(Tabela1[[#This Row],[VALOR INCISO]]),",",""),""))</f>
        <v/>
      </c>
      <c r="AD912" s="7" t="str">
        <f>IF(Tabela1[[#This Row],[TIPO]]=REGRAS!$W$2,REGRAS!$X$2,IF(Tabela1[[#This Row],[TIPO]]=REGRAS!$W$4,REGRAS!$X$4,""))</f>
        <v/>
      </c>
      <c r="AE912" s="29" t="e">
        <f>VLOOKUP(Tabela1[[#This Row],[FONTE_COD]],REGRAS!$O$2:$P$69,2,FALSE)</f>
        <v>#N/A</v>
      </c>
      <c r="AF9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3" spans="1:32" ht="18.75" customHeight="1">
      <c r="A913" s="2" t="str">
        <f>IFERROR(IF('PREENCHER AQUI'!A913="","",'PREENCHER AQUI'!A913),"")</f>
        <v/>
      </c>
      <c r="B913" s="1" t="str">
        <f>IFERROR(IF('PREENCHER AQUI'!B913="","",PROPER('PREENCHER AQUI'!B913)),"")</f>
        <v/>
      </c>
      <c r="C913" s="1" t="str">
        <f>IFERROR(IF('PREENCHER AQUI'!C913="","",'PREENCHER AQUI'!C913),"")</f>
        <v/>
      </c>
      <c r="D913" s="2" t="str">
        <f>IFERROR(IF('PREENCHER AQUI'!D913="","",'PREENCHER AQUI'!D913),"")</f>
        <v/>
      </c>
      <c r="E913" s="2" t="str">
        <f>IFERROR(VLOOKUP(CONCATENATE(C913,D913),qdd!$C$2:$F$1000,2,FALSE),"")</f>
        <v/>
      </c>
      <c r="F913" s="2" t="str">
        <f>IFERROR(VLOOKUP(CONCATENATE(C913,D913),qdd!$C$2:$F$1000,3,FALSE),"")</f>
        <v/>
      </c>
      <c r="G913" s="2" t="str">
        <f>IFERROR(VLOOKUP(CONCATENATE(C913,D913),qdd!$C$2:$F$1000,4,FALSE),"")</f>
        <v/>
      </c>
      <c r="H913" s="6" t="str">
        <f t="shared" si="30"/>
        <v/>
      </c>
      <c r="I9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3" s="2" t="str">
        <f>IFERROR(IF('PREENCHER AQUI'!E913="","",'PREENCHER AQUI'!E913),"")</f>
        <v/>
      </c>
      <c r="K913" s="2" t="str">
        <f>IFERROR(IF('PREENCHER AQUI'!F913="","",'PREENCHER AQUI'!F913),"")</f>
        <v/>
      </c>
      <c r="L913" s="2" t="str">
        <f>IF(Tabela1[[#This Row],[IPU_COD]]=9,"91",IF(Tabela1[[#This Row],[ACAO_COD]]="","",VLOOKUP(CONCATENATE("G",J913,"M",K913),qdd!$BC$2:$BD$46,2,FALSE)))</f>
        <v/>
      </c>
      <c r="M913" s="2" t="str">
        <f>TEXT(IFERROR(VLOOKUP(CONCATENATE(C913,D913),qdd!$C$2:$G$1000,5,FALSE),""),0)</f>
        <v/>
      </c>
      <c r="N913" s="2" t="str">
        <f>IFERROR(IF('PREENCHER AQUI'!I913="","",'PREENCHER AQUI'!I913),"")</f>
        <v/>
      </c>
      <c r="O913" s="2" t="str">
        <f>IFERROR(IF('PREENCHER AQUI'!J913="","",'PREENCHER AQUI'!J913),"")</f>
        <v/>
      </c>
      <c r="P913" s="7" t="str">
        <f t="shared" si="31"/>
        <v/>
      </c>
      <c r="Q913" s="8" t="str">
        <f>IFERROR(IF(Tabela4[[#This Row],[VALOR]]="","",IF(Tabela1[[#This Row],[ORIENTACAO]]="Anular",'PREENCHER AQUI'!K913*-1*100,'PREENCHER AQUI'!K913*100)),"")</f>
        <v/>
      </c>
      <c r="T913" s="7" t="str">
        <f>IFERROR(IF('PREENCHER AQUI'!L913="","999",LEFT('PREENCHER AQUI'!L913,1)),"")</f>
        <v>999</v>
      </c>
      <c r="V913" s="19"/>
      <c r="W913" s="1" t="str">
        <f>IFERROR(VLOOKUP(Tabela1[[#This Row],[UO_COD]],qdd!$AT$1:$AU$102,2,FALSE),"")</f>
        <v/>
      </c>
      <c r="X913" s="1" t="str">
        <f>CONCATENATE("F",Tabela1[[#This Row],[FONTE_COD]],Tabela1[[#This Row],[IPU_COD]],"G",Tabela1[[#This Row],[GRUPO_COD]],"T",Tabela1[[#This Row],[TIPO]])</f>
        <v>FGT999</v>
      </c>
      <c r="Y9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3" s="19"/>
      <c r="AA913" s="29" t="str">
        <f>IFERROR(VLOOKUP(CONCATENATE("B",Tabela1[[#This Row],[BLOCO]],Tabela1[[#This Row],[UO_COD]]),qdd!$AW$2:$AX$1000,2,FALSE),"")</f>
        <v/>
      </c>
      <c r="AB913" s="30" t="str">
        <f>IFERROR(Tabela1[[#This Row],[VALOR]]/100,"")</f>
        <v/>
      </c>
      <c r="AC913" s="7" t="str" cm="1">
        <f t="array" aca="1" ref="AC913" ca="1">IF(Tabela1[[#This Row],[VALOR]]&lt;0,"",IFERROR(SUBSTITUTE(Converter_numero(Tabela1[[#This Row],[VALOR INCISO]]),",",""),""))</f>
        <v/>
      </c>
      <c r="AD913" s="29" t="str">
        <f>IF(Tabela1[[#This Row],[TIPO]]=REGRAS!$W$2,REGRAS!$X$2,IF(Tabela1[[#This Row],[TIPO]]=REGRAS!$W$4,REGRAS!$X$4,""))</f>
        <v/>
      </c>
      <c r="AE913" s="29" t="e">
        <f>VLOOKUP(Tabela1[[#This Row],[FONTE_COD]],REGRAS!$O$2:$P$69,2,FALSE)</f>
        <v>#N/A</v>
      </c>
      <c r="AF9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4" spans="1:32" ht="18.75" customHeight="1">
      <c r="A914" s="2" t="str">
        <f>IFERROR(IF('PREENCHER AQUI'!A914="","",'PREENCHER AQUI'!A914),"")</f>
        <v/>
      </c>
      <c r="B914" s="1" t="str">
        <f>IFERROR(IF('PREENCHER AQUI'!B914="","",PROPER('PREENCHER AQUI'!B914)),"")</f>
        <v/>
      </c>
      <c r="C914" s="1" t="str">
        <f>IFERROR(IF('PREENCHER AQUI'!C914="","",'PREENCHER AQUI'!C914),"")</f>
        <v/>
      </c>
      <c r="D914" s="2" t="str">
        <f>IFERROR(IF('PREENCHER AQUI'!D914="","",'PREENCHER AQUI'!D914),"")</f>
        <v/>
      </c>
      <c r="E914" s="2" t="str">
        <f>IFERROR(VLOOKUP(CONCATENATE(C914,D914),qdd!$C$2:$F$1000,2,FALSE),"")</f>
        <v/>
      </c>
      <c r="F914" s="2" t="str">
        <f>IFERROR(VLOOKUP(CONCATENATE(C914,D914),qdd!$C$2:$F$1000,3,FALSE),"")</f>
        <v/>
      </c>
      <c r="G914" s="2" t="str">
        <f>IFERROR(VLOOKUP(CONCATENATE(C914,D914),qdd!$C$2:$F$1000,4,FALSE),"")</f>
        <v/>
      </c>
      <c r="H914" s="6" t="str">
        <f t="shared" si="30"/>
        <v/>
      </c>
      <c r="I9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4" s="2" t="str">
        <f>IFERROR(IF('PREENCHER AQUI'!E914="","",'PREENCHER AQUI'!E914),"")</f>
        <v/>
      </c>
      <c r="K914" s="2" t="str">
        <f>IFERROR(IF('PREENCHER AQUI'!F914="","",'PREENCHER AQUI'!F914),"")</f>
        <v/>
      </c>
      <c r="L914" s="2" t="str">
        <f>IF(Tabela1[[#This Row],[IPU_COD]]=9,"91",IF(Tabela1[[#This Row],[ACAO_COD]]="","",VLOOKUP(CONCATENATE("G",J914,"M",K914),qdd!$BC$2:$BD$46,2,FALSE)))</f>
        <v/>
      </c>
      <c r="M914" s="2" t="str">
        <f>TEXT(IFERROR(VLOOKUP(CONCATENATE(C914,D914),qdd!$C$2:$G$1000,5,FALSE),""),0)</f>
        <v/>
      </c>
      <c r="N914" s="2" t="str">
        <f>IFERROR(IF('PREENCHER AQUI'!I914="","",'PREENCHER AQUI'!I914),"")</f>
        <v/>
      </c>
      <c r="O914" s="2" t="str">
        <f>IFERROR(IF('PREENCHER AQUI'!J914="","",'PREENCHER AQUI'!J914),"")</f>
        <v/>
      </c>
      <c r="P914" s="7" t="str">
        <f t="shared" si="31"/>
        <v/>
      </c>
      <c r="Q914" s="8" t="str">
        <f>IFERROR(IF(Tabela4[[#This Row],[VALOR]]="","",IF(Tabela1[[#This Row],[ORIENTACAO]]="Anular",'PREENCHER AQUI'!K914*-1*100,'PREENCHER AQUI'!K914*100)),"")</f>
        <v/>
      </c>
      <c r="T914" s="7" t="str">
        <f>IFERROR(IF('PREENCHER AQUI'!L914="","999",LEFT('PREENCHER AQUI'!L914,1)),"")</f>
        <v>999</v>
      </c>
      <c r="V914" s="19"/>
      <c r="W914" s="1" t="str">
        <f>IFERROR(VLOOKUP(Tabela1[[#This Row],[UO_COD]],qdd!$AT$1:$AU$102,2,FALSE),"")</f>
        <v/>
      </c>
      <c r="X914" s="1" t="str">
        <f>CONCATENATE("F",Tabela1[[#This Row],[FONTE_COD]],Tabela1[[#This Row],[IPU_COD]],"G",Tabela1[[#This Row],[GRUPO_COD]],"T",Tabela1[[#This Row],[TIPO]])</f>
        <v>FGT999</v>
      </c>
      <c r="Y9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4" s="19"/>
      <c r="AA914" s="29" t="str">
        <f>IFERROR(VLOOKUP(CONCATENATE("B",Tabela1[[#This Row],[BLOCO]],Tabela1[[#This Row],[UO_COD]]),qdd!$AW$2:$AX$1000,2,FALSE),"")</f>
        <v/>
      </c>
      <c r="AB914" s="30" t="str">
        <f>IFERROR(Tabela1[[#This Row],[VALOR]]/100,"")</f>
        <v/>
      </c>
      <c r="AC914" s="7" t="str" cm="1">
        <f t="array" aca="1" ref="AC914" ca="1">IF(Tabela1[[#This Row],[VALOR]]&lt;0,"",IFERROR(SUBSTITUTE(Converter_numero(Tabela1[[#This Row],[VALOR INCISO]]),",",""),""))</f>
        <v/>
      </c>
      <c r="AD914" s="29" t="str">
        <f>IF(Tabela1[[#This Row],[TIPO]]=REGRAS!$W$2,REGRAS!$X$2,IF(Tabela1[[#This Row],[TIPO]]=REGRAS!$W$4,REGRAS!$X$4,""))</f>
        <v/>
      </c>
      <c r="AE914" s="29" t="e">
        <f>VLOOKUP(Tabela1[[#This Row],[FONTE_COD]],REGRAS!$O$2:$P$69,2,FALSE)</f>
        <v>#N/A</v>
      </c>
      <c r="AF9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5" spans="1:32" ht="18.75" customHeight="1">
      <c r="A915" s="2" t="str">
        <f>IFERROR(IF('PREENCHER AQUI'!A915="","",'PREENCHER AQUI'!A915),"")</f>
        <v/>
      </c>
      <c r="B915" s="1" t="str">
        <f>IFERROR(IF('PREENCHER AQUI'!B915="","",PROPER('PREENCHER AQUI'!B915)),"")</f>
        <v/>
      </c>
      <c r="C915" s="1" t="str">
        <f>IFERROR(IF('PREENCHER AQUI'!C915="","",'PREENCHER AQUI'!C915),"")</f>
        <v/>
      </c>
      <c r="D915" s="2" t="str">
        <f>IFERROR(IF('PREENCHER AQUI'!D915="","",'PREENCHER AQUI'!D915),"")</f>
        <v/>
      </c>
      <c r="E915" s="2" t="str">
        <f>IFERROR(VLOOKUP(CONCATENATE(C915,D915),qdd!$C$2:$F$1000,2,FALSE),"")</f>
        <v/>
      </c>
      <c r="F915" s="2" t="str">
        <f>IFERROR(VLOOKUP(CONCATENATE(C915,D915),qdd!$C$2:$F$1000,3,FALSE),"")</f>
        <v/>
      </c>
      <c r="G915" s="2" t="str">
        <f>IFERROR(VLOOKUP(CONCATENATE(C915,D915),qdd!$C$2:$F$1000,4,FALSE),"")</f>
        <v/>
      </c>
      <c r="H915" s="6" t="str">
        <f t="shared" si="30"/>
        <v/>
      </c>
      <c r="I9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5" s="2" t="str">
        <f>IFERROR(IF('PREENCHER AQUI'!E915="","",'PREENCHER AQUI'!E915),"")</f>
        <v/>
      </c>
      <c r="K915" s="2" t="str">
        <f>IFERROR(IF('PREENCHER AQUI'!F915="","",'PREENCHER AQUI'!F915),"")</f>
        <v/>
      </c>
      <c r="L915" s="2" t="str">
        <f>IF(Tabela1[[#This Row],[IPU_COD]]=9,"91",IF(Tabela1[[#This Row],[ACAO_COD]]="","",VLOOKUP(CONCATENATE("G",J915,"M",K915),qdd!$BC$2:$BD$46,2,FALSE)))</f>
        <v/>
      </c>
      <c r="M915" s="2" t="str">
        <f>TEXT(IFERROR(VLOOKUP(CONCATENATE(C915,D915),qdd!$C$2:$G$1000,5,FALSE),""),0)</f>
        <v/>
      </c>
      <c r="N915" s="2" t="str">
        <f>IFERROR(IF('PREENCHER AQUI'!I915="","",'PREENCHER AQUI'!I915),"")</f>
        <v/>
      </c>
      <c r="O915" s="2" t="str">
        <f>IFERROR(IF('PREENCHER AQUI'!J915="","",'PREENCHER AQUI'!J915),"")</f>
        <v/>
      </c>
      <c r="P915" s="7" t="str">
        <f t="shared" si="31"/>
        <v/>
      </c>
      <c r="Q915" s="8" t="str">
        <f>IFERROR(IF(Tabela4[[#This Row],[VALOR]]="","",IF(Tabela1[[#This Row],[ORIENTACAO]]="Anular",'PREENCHER AQUI'!K915*-1*100,'PREENCHER AQUI'!K915*100)),"")</f>
        <v/>
      </c>
      <c r="T915" s="7" t="str">
        <f>IFERROR(IF('PREENCHER AQUI'!L915="","999",LEFT('PREENCHER AQUI'!L915,1)),"")</f>
        <v>999</v>
      </c>
      <c r="V915" s="19"/>
      <c r="W915" s="20" t="str">
        <f>IFERROR(VLOOKUP(Tabela1[[#This Row],[UO_COD]],qdd!$AT$1:$AU$102,2,FALSE),"")</f>
        <v/>
      </c>
      <c r="X915" s="20" t="str">
        <f>CONCATENATE("F",Tabela1[[#This Row],[FONTE_COD]],Tabela1[[#This Row],[IPU_COD]],"G",Tabela1[[#This Row],[GRUPO_COD]],"T",Tabela1[[#This Row],[TIPO]])</f>
        <v>FGT999</v>
      </c>
      <c r="Y9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5" s="19"/>
      <c r="AA915" s="29" t="str">
        <f>IFERROR(VLOOKUP(CONCATENATE("B",Tabela1[[#This Row],[BLOCO]],Tabela1[[#This Row],[UO_COD]]),qdd!$AW$2:$AX$1000,2,FALSE),"")</f>
        <v/>
      </c>
      <c r="AB915" s="30" t="str">
        <f>IFERROR(Tabela1[[#This Row],[VALOR]]/100,"")</f>
        <v/>
      </c>
      <c r="AC915" s="7" t="str" cm="1">
        <f t="array" aca="1" ref="AC915" ca="1">IF(Tabela1[[#This Row],[VALOR]]&lt;0,"",IFERROR(SUBSTITUTE(Converter_numero(Tabela1[[#This Row],[VALOR INCISO]]),",",""),""))</f>
        <v/>
      </c>
      <c r="AD915" s="29" t="str">
        <f>IF(Tabela1[[#This Row],[TIPO]]=REGRAS!$W$2,REGRAS!$X$2,IF(Tabela1[[#This Row],[TIPO]]=REGRAS!$W$4,REGRAS!$X$4,""))</f>
        <v/>
      </c>
      <c r="AE915" s="29" t="e">
        <f>VLOOKUP(Tabela1[[#This Row],[FONTE_COD]],REGRAS!$O$2:$P$69,2,FALSE)</f>
        <v>#N/A</v>
      </c>
      <c r="AF9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6" spans="1:32" ht="18.75" customHeight="1">
      <c r="A916" s="2" t="str">
        <f>IFERROR(IF('PREENCHER AQUI'!A916="","",'PREENCHER AQUI'!A916),"")</f>
        <v/>
      </c>
      <c r="B916" s="1" t="str">
        <f>IFERROR(IF('PREENCHER AQUI'!B916="","",PROPER('PREENCHER AQUI'!B916)),"")</f>
        <v/>
      </c>
      <c r="C916" s="1" t="str">
        <f>IFERROR(IF('PREENCHER AQUI'!C916="","",'PREENCHER AQUI'!C916),"")</f>
        <v/>
      </c>
      <c r="D916" s="2" t="str">
        <f>IFERROR(IF('PREENCHER AQUI'!D916="","",'PREENCHER AQUI'!D916),"")</f>
        <v/>
      </c>
      <c r="E916" s="2" t="str">
        <f>IFERROR(VLOOKUP(CONCATENATE(C916,D916),qdd!$C$2:$F$1000,2,FALSE),"")</f>
        <v/>
      </c>
      <c r="F916" s="2" t="str">
        <f>IFERROR(VLOOKUP(CONCATENATE(C916,D916),qdd!$C$2:$F$1000,3,FALSE),"")</f>
        <v/>
      </c>
      <c r="G916" s="2" t="str">
        <f>IFERROR(VLOOKUP(CONCATENATE(C916,D916),qdd!$C$2:$F$1000,4,FALSE),"")</f>
        <v/>
      </c>
      <c r="H916" s="6" t="str">
        <f t="shared" si="30"/>
        <v/>
      </c>
      <c r="I9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6" s="2" t="str">
        <f>IFERROR(IF('PREENCHER AQUI'!E916="","",'PREENCHER AQUI'!E916),"")</f>
        <v/>
      </c>
      <c r="K916" s="2" t="str">
        <f>IFERROR(IF('PREENCHER AQUI'!F916="","",'PREENCHER AQUI'!F916),"")</f>
        <v/>
      </c>
      <c r="L916" s="2" t="str">
        <f>IF(Tabela1[[#This Row],[IPU_COD]]=9,"91",IF(Tabela1[[#This Row],[ACAO_COD]]="","",VLOOKUP(CONCATENATE("G",J916,"M",K916),qdd!$BC$2:$BD$46,2,FALSE)))</f>
        <v/>
      </c>
      <c r="M916" s="2" t="str">
        <f>TEXT(IFERROR(VLOOKUP(CONCATENATE(C916,D916),qdd!$C$2:$G$1000,5,FALSE),""),0)</f>
        <v/>
      </c>
      <c r="N916" s="2" t="str">
        <f>IFERROR(IF('PREENCHER AQUI'!I916="","",'PREENCHER AQUI'!I916),"")</f>
        <v/>
      </c>
      <c r="O916" s="2" t="str">
        <f>IFERROR(IF('PREENCHER AQUI'!J916="","",'PREENCHER AQUI'!J916),"")</f>
        <v/>
      </c>
      <c r="P916" s="7" t="str">
        <f t="shared" si="31"/>
        <v/>
      </c>
      <c r="Q916" s="8" t="str">
        <f>IFERROR(IF(Tabela4[[#This Row],[VALOR]]="","",IF(Tabela1[[#This Row],[ORIENTACAO]]="Anular",'PREENCHER AQUI'!K916*-1*100,'PREENCHER AQUI'!K916*100)),"")</f>
        <v/>
      </c>
      <c r="T916" s="7" t="str">
        <f>IFERROR(IF('PREENCHER AQUI'!L916="","999",LEFT('PREENCHER AQUI'!L916,1)),"")</f>
        <v>999</v>
      </c>
      <c r="V916" s="19"/>
      <c r="W916" s="1" t="str">
        <f>IFERROR(VLOOKUP(Tabela1[[#This Row],[UO_COD]],qdd!$AT$1:$AU$102,2,FALSE),"")</f>
        <v/>
      </c>
      <c r="X916" s="1" t="str">
        <f>CONCATENATE("F",Tabela1[[#This Row],[FONTE_COD]],Tabela1[[#This Row],[IPU_COD]],"G",Tabela1[[#This Row],[GRUPO_COD]],"T",Tabela1[[#This Row],[TIPO]])</f>
        <v>FGT999</v>
      </c>
      <c r="Y9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6" s="19"/>
      <c r="AA916" s="29" t="str">
        <f>IFERROR(VLOOKUP(CONCATENATE("B",Tabela1[[#This Row],[BLOCO]],Tabela1[[#This Row],[UO_COD]]),qdd!$AW$2:$AX$1000,2,FALSE),"")</f>
        <v/>
      </c>
      <c r="AB916" s="30" t="str">
        <f>IFERROR(Tabela1[[#This Row],[VALOR]]/100,"")</f>
        <v/>
      </c>
      <c r="AC916" s="7" t="str" cm="1">
        <f t="array" aca="1" ref="AC916" ca="1">IF(Tabela1[[#This Row],[VALOR]]&lt;0,"",IFERROR(SUBSTITUTE(Converter_numero(Tabela1[[#This Row],[VALOR INCISO]]),",",""),""))</f>
        <v/>
      </c>
      <c r="AD916" s="29" t="str">
        <f>IF(Tabela1[[#This Row],[TIPO]]=REGRAS!$W$2,REGRAS!$X$2,IF(Tabela1[[#This Row],[TIPO]]=REGRAS!$W$4,REGRAS!$X$4,""))</f>
        <v/>
      </c>
      <c r="AE916" s="29" t="e">
        <f>VLOOKUP(Tabela1[[#This Row],[FONTE_COD]],REGRAS!$O$2:$P$69,2,FALSE)</f>
        <v>#N/A</v>
      </c>
      <c r="AF9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7" spans="1:32" ht="18.75" customHeight="1">
      <c r="A917" s="2" t="str">
        <f>IFERROR(IF('PREENCHER AQUI'!A917="","",'PREENCHER AQUI'!A917),"")</f>
        <v/>
      </c>
      <c r="B917" s="1" t="str">
        <f>IFERROR(IF('PREENCHER AQUI'!B917="","",PROPER('PREENCHER AQUI'!B917)),"")</f>
        <v/>
      </c>
      <c r="C917" s="1" t="str">
        <f>IFERROR(IF('PREENCHER AQUI'!C917="","",'PREENCHER AQUI'!C917),"")</f>
        <v/>
      </c>
      <c r="D917" s="2" t="str">
        <f>IFERROR(IF('PREENCHER AQUI'!D917="","",'PREENCHER AQUI'!D917),"")</f>
        <v/>
      </c>
      <c r="E917" s="2" t="str">
        <f>IFERROR(VLOOKUP(CONCATENATE(C917,D917),qdd!$C$2:$F$1000,2,FALSE),"")</f>
        <v/>
      </c>
      <c r="F917" s="2" t="str">
        <f>IFERROR(VLOOKUP(CONCATENATE(C917,D917),qdd!$C$2:$F$1000,3,FALSE),"")</f>
        <v/>
      </c>
      <c r="G917" s="2" t="str">
        <f>IFERROR(VLOOKUP(CONCATENATE(C917,D917),qdd!$C$2:$F$1000,4,FALSE),"")</f>
        <v/>
      </c>
      <c r="H917" s="6" t="str">
        <f t="shared" si="30"/>
        <v/>
      </c>
      <c r="I9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7" s="2" t="str">
        <f>IFERROR(IF('PREENCHER AQUI'!E917="","",'PREENCHER AQUI'!E917),"")</f>
        <v/>
      </c>
      <c r="K917" s="2" t="str">
        <f>IFERROR(IF('PREENCHER AQUI'!F917="","",'PREENCHER AQUI'!F917),"")</f>
        <v/>
      </c>
      <c r="L917" s="2" t="str">
        <f>IF(Tabela1[[#This Row],[IPU_COD]]=9,"91",IF(Tabela1[[#This Row],[ACAO_COD]]="","",VLOOKUP(CONCATENATE("G",J917,"M",K917),qdd!$BC$2:$BD$46,2,FALSE)))</f>
        <v/>
      </c>
      <c r="M917" s="2" t="str">
        <f>TEXT(IFERROR(VLOOKUP(CONCATENATE(C917,D917),qdd!$C$2:$G$1000,5,FALSE),""),0)</f>
        <v/>
      </c>
      <c r="N917" s="2" t="str">
        <f>IFERROR(IF('PREENCHER AQUI'!I917="","",'PREENCHER AQUI'!I917),"")</f>
        <v/>
      </c>
      <c r="O917" s="2" t="str">
        <f>IFERROR(IF('PREENCHER AQUI'!J917="","",'PREENCHER AQUI'!J917),"")</f>
        <v/>
      </c>
      <c r="P917" s="7" t="str">
        <f t="shared" si="31"/>
        <v/>
      </c>
      <c r="Q917" s="8" t="str">
        <f>IFERROR(IF(Tabela4[[#This Row],[VALOR]]="","",IF(Tabela1[[#This Row],[ORIENTACAO]]="Anular",'PREENCHER AQUI'!K917*-1*100,'PREENCHER AQUI'!K917*100)),"")</f>
        <v/>
      </c>
      <c r="T917" s="7" t="str">
        <f>IFERROR(IF('PREENCHER AQUI'!L917="","999",LEFT('PREENCHER AQUI'!L917,1)),"")</f>
        <v>999</v>
      </c>
      <c r="W917" s="1" t="str">
        <f>IFERROR(VLOOKUP(Tabela1[[#This Row],[UO_COD]],qdd!$AT$1:$AU$102,2,FALSE),"")</f>
        <v/>
      </c>
      <c r="X917" s="1" t="str">
        <f>CONCATENATE("F",Tabela1[[#This Row],[FONTE_COD]],Tabela1[[#This Row],[IPU_COD]],"G",Tabela1[[#This Row],[GRUPO_COD]],"T",Tabela1[[#This Row],[TIPO]])</f>
        <v>FGT999</v>
      </c>
      <c r="Y9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7" s="19"/>
      <c r="AA917" s="29" t="str">
        <f>IFERROR(VLOOKUP(CONCATENATE("B",Tabela1[[#This Row],[BLOCO]],Tabela1[[#This Row],[UO_COD]]),qdd!$AW$2:$AX$1000,2,FALSE),"")</f>
        <v/>
      </c>
      <c r="AB917" s="30" t="str">
        <f>IFERROR(Tabela1[[#This Row],[VALOR]]/100,"")</f>
        <v/>
      </c>
      <c r="AC917" s="7" t="str" cm="1">
        <f t="array" aca="1" ref="AC917" ca="1">IF(Tabela1[[#This Row],[VALOR]]&lt;0,"",IFERROR(SUBSTITUTE(Converter_numero(Tabela1[[#This Row],[VALOR INCISO]]),",",""),""))</f>
        <v/>
      </c>
      <c r="AD917" s="7" t="str">
        <f>IF(Tabela1[[#This Row],[TIPO]]=REGRAS!$W$2,REGRAS!$X$2,IF(Tabela1[[#This Row],[TIPO]]=REGRAS!$W$4,REGRAS!$X$4,""))</f>
        <v/>
      </c>
      <c r="AE917" s="29" t="e">
        <f>VLOOKUP(Tabela1[[#This Row],[FONTE_COD]],REGRAS!$O$2:$P$69,2,FALSE)</f>
        <v>#N/A</v>
      </c>
      <c r="AF9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8" spans="1:32" ht="18.75" customHeight="1">
      <c r="A918" s="2" t="str">
        <f>IFERROR(IF('PREENCHER AQUI'!A918="","",'PREENCHER AQUI'!A918),"")</f>
        <v/>
      </c>
      <c r="B918" s="1" t="str">
        <f>IFERROR(IF('PREENCHER AQUI'!B918="","",PROPER('PREENCHER AQUI'!B918)),"")</f>
        <v/>
      </c>
      <c r="C918" s="1" t="str">
        <f>IFERROR(IF('PREENCHER AQUI'!C918="","",'PREENCHER AQUI'!C918),"")</f>
        <v/>
      </c>
      <c r="D918" s="2" t="str">
        <f>IFERROR(IF('PREENCHER AQUI'!D918="","",'PREENCHER AQUI'!D918),"")</f>
        <v/>
      </c>
      <c r="E918" s="2" t="str">
        <f>IFERROR(VLOOKUP(CONCATENATE(C918,D918),qdd!$C$2:$F$1000,2,FALSE),"")</f>
        <v/>
      </c>
      <c r="F918" s="2" t="str">
        <f>IFERROR(VLOOKUP(CONCATENATE(C918,D918),qdd!$C$2:$F$1000,3,FALSE),"")</f>
        <v/>
      </c>
      <c r="G918" s="2" t="str">
        <f>IFERROR(VLOOKUP(CONCATENATE(C918,D918),qdd!$C$2:$F$1000,4,FALSE),"")</f>
        <v/>
      </c>
      <c r="H918" s="6" t="str">
        <f t="shared" si="30"/>
        <v/>
      </c>
      <c r="I9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8" s="2" t="str">
        <f>IFERROR(IF('PREENCHER AQUI'!E918="","",'PREENCHER AQUI'!E918),"")</f>
        <v/>
      </c>
      <c r="K918" s="2" t="str">
        <f>IFERROR(IF('PREENCHER AQUI'!F918="","",'PREENCHER AQUI'!F918),"")</f>
        <v/>
      </c>
      <c r="L918" s="2" t="str">
        <f>IF(Tabela1[[#This Row],[IPU_COD]]=9,"91",IF(Tabela1[[#This Row],[ACAO_COD]]="","",VLOOKUP(CONCATENATE("G",J918,"M",K918),qdd!$BC$2:$BD$46,2,FALSE)))</f>
        <v/>
      </c>
      <c r="M918" s="2" t="str">
        <f>TEXT(IFERROR(VLOOKUP(CONCATENATE(C918,D918),qdd!$C$2:$G$1000,5,FALSE),""),0)</f>
        <v/>
      </c>
      <c r="N918" s="2" t="str">
        <f>IFERROR(IF('PREENCHER AQUI'!I918="","",'PREENCHER AQUI'!I918),"")</f>
        <v/>
      </c>
      <c r="O918" s="2" t="str">
        <f>IFERROR(IF('PREENCHER AQUI'!J918="","",'PREENCHER AQUI'!J918),"")</f>
        <v/>
      </c>
      <c r="P918" s="7" t="str">
        <f t="shared" si="31"/>
        <v/>
      </c>
      <c r="Q918" s="8" t="str">
        <f>IFERROR(IF(Tabela4[[#This Row],[VALOR]]="","",IF(Tabela1[[#This Row],[ORIENTACAO]]="Anular",'PREENCHER AQUI'!K918*-1*100,'PREENCHER AQUI'!K918*100)),"")</f>
        <v/>
      </c>
      <c r="T918" s="7" t="str">
        <f>IFERROR(IF('PREENCHER AQUI'!L918="","999",LEFT('PREENCHER AQUI'!L918,1)),"")</f>
        <v>999</v>
      </c>
      <c r="V918" s="19"/>
      <c r="W918" s="1" t="str">
        <f>IFERROR(VLOOKUP(Tabela1[[#This Row],[UO_COD]],qdd!$AT$1:$AU$102,2,FALSE),"")</f>
        <v/>
      </c>
      <c r="X918" s="1" t="str">
        <f>CONCATENATE("F",Tabela1[[#This Row],[FONTE_COD]],Tabela1[[#This Row],[IPU_COD]],"G",Tabela1[[#This Row],[GRUPO_COD]],"T",Tabela1[[#This Row],[TIPO]])</f>
        <v>FGT999</v>
      </c>
      <c r="Y9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8" s="19"/>
      <c r="AA918" s="29" t="str">
        <f>IFERROR(VLOOKUP(CONCATENATE("B",Tabela1[[#This Row],[BLOCO]],Tabela1[[#This Row],[UO_COD]]),qdd!$AW$2:$AX$1000,2,FALSE),"")</f>
        <v/>
      </c>
      <c r="AB918" s="30" t="str">
        <f>IFERROR(Tabela1[[#This Row],[VALOR]]/100,"")</f>
        <v/>
      </c>
      <c r="AC918" s="7" t="str" cm="1">
        <f t="array" aca="1" ref="AC918" ca="1">IF(Tabela1[[#This Row],[VALOR]]&lt;0,"",IFERROR(SUBSTITUTE(Converter_numero(Tabela1[[#This Row],[VALOR INCISO]]),",",""),""))</f>
        <v/>
      </c>
      <c r="AD918" s="29" t="str">
        <f>IF(Tabela1[[#This Row],[TIPO]]=REGRAS!$W$2,REGRAS!$X$2,IF(Tabela1[[#This Row],[TIPO]]=REGRAS!$W$4,REGRAS!$X$4,""))</f>
        <v/>
      </c>
      <c r="AE918" s="29" t="e">
        <f>VLOOKUP(Tabela1[[#This Row],[FONTE_COD]],REGRAS!$O$2:$P$69,2,FALSE)</f>
        <v>#N/A</v>
      </c>
      <c r="AF9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9" spans="1:32" ht="18.75" customHeight="1">
      <c r="A919" s="2" t="str">
        <f>IFERROR(IF('PREENCHER AQUI'!A919="","",'PREENCHER AQUI'!A919),"")</f>
        <v/>
      </c>
      <c r="B919" s="1" t="str">
        <f>IFERROR(IF('PREENCHER AQUI'!B919="","",PROPER('PREENCHER AQUI'!B919)),"")</f>
        <v/>
      </c>
      <c r="C919" s="1" t="str">
        <f>IFERROR(IF('PREENCHER AQUI'!C919="","",'PREENCHER AQUI'!C919),"")</f>
        <v/>
      </c>
      <c r="D919" s="2" t="str">
        <f>IFERROR(IF('PREENCHER AQUI'!D919="","",'PREENCHER AQUI'!D919),"")</f>
        <v/>
      </c>
      <c r="E919" s="2" t="str">
        <f>IFERROR(VLOOKUP(CONCATENATE(C919,D919),qdd!$C$2:$F$1000,2,FALSE),"")</f>
        <v/>
      </c>
      <c r="F919" s="2" t="str">
        <f>IFERROR(VLOOKUP(CONCATENATE(C919,D919),qdd!$C$2:$F$1000,3,FALSE),"")</f>
        <v/>
      </c>
      <c r="G919" s="2" t="str">
        <f>IFERROR(VLOOKUP(CONCATENATE(C919,D919),qdd!$C$2:$F$1000,4,FALSE),"")</f>
        <v/>
      </c>
      <c r="H919" s="6" t="str">
        <f t="shared" si="30"/>
        <v/>
      </c>
      <c r="I9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9" s="2" t="str">
        <f>IFERROR(IF('PREENCHER AQUI'!E919="","",'PREENCHER AQUI'!E919),"")</f>
        <v/>
      </c>
      <c r="K919" s="2" t="str">
        <f>IFERROR(IF('PREENCHER AQUI'!F919="","",'PREENCHER AQUI'!F919),"")</f>
        <v/>
      </c>
      <c r="L919" s="2" t="str">
        <f>IF(Tabela1[[#This Row],[IPU_COD]]=9,"91",IF(Tabela1[[#This Row],[ACAO_COD]]="","",VLOOKUP(CONCATENATE("G",J919,"M",K919),qdd!$BC$2:$BD$46,2,FALSE)))</f>
        <v/>
      </c>
      <c r="M919" s="2" t="str">
        <f>TEXT(IFERROR(VLOOKUP(CONCATENATE(C919,D919),qdd!$C$2:$G$1000,5,FALSE),""),0)</f>
        <v/>
      </c>
      <c r="N919" s="2" t="str">
        <f>IFERROR(IF('PREENCHER AQUI'!I919="","",'PREENCHER AQUI'!I919),"")</f>
        <v/>
      </c>
      <c r="O919" s="2" t="str">
        <f>IFERROR(IF('PREENCHER AQUI'!J919="","",'PREENCHER AQUI'!J919),"")</f>
        <v/>
      </c>
      <c r="P919" s="7" t="str">
        <f t="shared" si="31"/>
        <v/>
      </c>
      <c r="Q919" s="8" t="str">
        <f>IFERROR(IF(Tabela4[[#This Row],[VALOR]]="","",IF(Tabela1[[#This Row],[ORIENTACAO]]="Anular",'PREENCHER AQUI'!K919*-1*100,'PREENCHER AQUI'!K919*100)),"")</f>
        <v/>
      </c>
      <c r="T919" s="7" t="str">
        <f>IFERROR(IF('PREENCHER AQUI'!L919="","999",LEFT('PREENCHER AQUI'!L919,1)),"")</f>
        <v>999</v>
      </c>
      <c r="V919" s="19"/>
      <c r="W919" s="1" t="str">
        <f>IFERROR(VLOOKUP(Tabela1[[#This Row],[UO_COD]],qdd!$AT$1:$AU$102,2,FALSE),"")</f>
        <v/>
      </c>
      <c r="X919" s="1" t="str">
        <f>CONCATENATE("F",Tabela1[[#This Row],[FONTE_COD]],Tabela1[[#This Row],[IPU_COD]],"G",Tabela1[[#This Row],[GRUPO_COD]],"T",Tabela1[[#This Row],[TIPO]])</f>
        <v>FGT999</v>
      </c>
      <c r="Y9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9" s="19"/>
      <c r="AA919" s="29" t="str">
        <f>IFERROR(VLOOKUP(CONCATENATE("B",Tabela1[[#This Row],[BLOCO]],Tabela1[[#This Row],[UO_COD]]),qdd!$AW$2:$AX$1000,2,FALSE),"")</f>
        <v/>
      </c>
      <c r="AB919" s="30" t="str">
        <f>IFERROR(Tabela1[[#This Row],[VALOR]]/100,"")</f>
        <v/>
      </c>
      <c r="AC919" s="7" t="str" cm="1">
        <f t="array" aca="1" ref="AC919" ca="1">IF(Tabela1[[#This Row],[VALOR]]&lt;0,"",IFERROR(SUBSTITUTE(Converter_numero(Tabela1[[#This Row],[VALOR INCISO]]),",",""),""))</f>
        <v/>
      </c>
      <c r="AD919" s="29" t="str">
        <f>IF(Tabela1[[#This Row],[TIPO]]=REGRAS!$W$2,REGRAS!$X$2,IF(Tabela1[[#This Row],[TIPO]]=REGRAS!$W$4,REGRAS!$X$4,""))</f>
        <v/>
      </c>
      <c r="AE919" s="29" t="e">
        <f>VLOOKUP(Tabela1[[#This Row],[FONTE_COD]],REGRAS!$O$2:$P$69,2,FALSE)</f>
        <v>#N/A</v>
      </c>
      <c r="AF9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0" spans="1:32" ht="18.75" customHeight="1">
      <c r="A920" s="2" t="str">
        <f>IFERROR(IF('PREENCHER AQUI'!A920="","",'PREENCHER AQUI'!A920),"")</f>
        <v/>
      </c>
      <c r="B920" s="1" t="str">
        <f>IFERROR(IF('PREENCHER AQUI'!B920="","",PROPER('PREENCHER AQUI'!B920)),"")</f>
        <v/>
      </c>
      <c r="C920" s="1" t="str">
        <f>IFERROR(IF('PREENCHER AQUI'!C920="","",'PREENCHER AQUI'!C920),"")</f>
        <v/>
      </c>
      <c r="D920" s="2" t="str">
        <f>IFERROR(IF('PREENCHER AQUI'!D920="","",'PREENCHER AQUI'!D920),"")</f>
        <v/>
      </c>
      <c r="E920" s="2" t="str">
        <f>IFERROR(VLOOKUP(CONCATENATE(C920,D920),qdd!$C$2:$F$1000,2,FALSE),"")</f>
        <v/>
      </c>
      <c r="F920" s="2" t="str">
        <f>IFERROR(VLOOKUP(CONCATENATE(C920,D920),qdd!$C$2:$F$1000,3,FALSE),"")</f>
        <v/>
      </c>
      <c r="G920" s="2" t="str">
        <f>IFERROR(VLOOKUP(CONCATENATE(C920,D920),qdd!$C$2:$F$1000,4,FALSE),"")</f>
        <v/>
      </c>
      <c r="H920" s="6" t="str">
        <f t="shared" si="30"/>
        <v/>
      </c>
      <c r="I9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0" s="2" t="str">
        <f>IFERROR(IF('PREENCHER AQUI'!E920="","",'PREENCHER AQUI'!E920),"")</f>
        <v/>
      </c>
      <c r="K920" s="2" t="str">
        <f>IFERROR(IF('PREENCHER AQUI'!F920="","",'PREENCHER AQUI'!F920),"")</f>
        <v/>
      </c>
      <c r="L920" s="2" t="str">
        <f>IF(Tabela1[[#This Row],[IPU_COD]]=9,"91",IF(Tabela1[[#This Row],[ACAO_COD]]="","",VLOOKUP(CONCATENATE("G",J920,"M",K920),qdd!$BC$2:$BD$46,2,FALSE)))</f>
        <v/>
      </c>
      <c r="M920" s="2" t="str">
        <f>TEXT(IFERROR(VLOOKUP(CONCATENATE(C920,D920),qdd!$C$2:$G$1000,5,FALSE),""),0)</f>
        <v/>
      </c>
      <c r="N920" s="2" t="str">
        <f>IFERROR(IF('PREENCHER AQUI'!I920="","",'PREENCHER AQUI'!I920),"")</f>
        <v/>
      </c>
      <c r="O920" s="2" t="str">
        <f>IFERROR(IF('PREENCHER AQUI'!J920="","",'PREENCHER AQUI'!J920),"")</f>
        <v/>
      </c>
      <c r="P920" s="7" t="str">
        <f t="shared" si="31"/>
        <v/>
      </c>
      <c r="Q920" s="8" t="str">
        <f>IFERROR(IF(Tabela4[[#This Row],[VALOR]]="","",IF(Tabela1[[#This Row],[ORIENTACAO]]="Anular",'PREENCHER AQUI'!K920*-1*100,'PREENCHER AQUI'!K920*100)),"")</f>
        <v/>
      </c>
      <c r="T920" s="7" t="str">
        <f>IFERROR(IF('PREENCHER AQUI'!L920="","999",LEFT('PREENCHER AQUI'!L920,1)),"")</f>
        <v>999</v>
      </c>
      <c r="V920" s="19"/>
      <c r="W920" s="20" t="str">
        <f>IFERROR(VLOOKUP(Tabela1[[#This Row],[UO_COD]],qdd!$AT$1:$AU$102,2,FALSE),"")</f>
        <v/>
      </c>
      <c r="X920" s="20" t="str">
        <f>CONCATENATE("F",Tabela1[[#This Row],[FONTE_COD]],Tabela1[[#This Row],[IPU_COD]],"G",Tabela1[[#This Row],[GRUPO_COD]],"T",Tabela1[[#This Row],[TIPO]])</f>
        <v>FGT999</v>
      </c>
      <c r="Y9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0" s="19"/>
      <c r="AA920" s="29" t="str">
        <f>IFERROR(VLOOKUP(CONCATENATE("B",Tabela1[[#This Row],[BLOCO]],Tabela1[[#This Row],[UO_COD]]),qdd!$AW$2:$AX$1000,2,FALSE),"")</f>
        <v/>
      </c>
      <c r="AB920" s="30" t="str">
        <f>IFERROR(Tabela1[[#This Row],[VALOR]]/100,"")</f>
        <v/>
      </c>
      <c r="AC920" s="7" t="str" cm="1">
        <f t="array" aca="1" ref="AC920" ca="1">IF(Tabela1[[#This Row],[VALOR]]&lt;0,"",IFERROR(SUBSTITUTE(Converter_numero(Tabela1[[#This Row],[VALOR INCISO]]),",",""),""))</f>
        <v/>
      </c>
      <c r="AD920" s="29" t="str">
        <f>IF(Tabela1[[#This Row],[TIPO]]=REGRAS!$W$2,REGRAS!$X$2,IF(Tabela1[[#This Row],[TIPO]]=REGRAS!$W$4,REGRAS!$X$4,""))</f>
        <v/>
      </c>
      <c r="AE920" s="29" t="e">
        <f>VLOOKUP(Tabela1[[#This Row],[FONTE_COD]],REGRAS!$O$2:$P$69,2,FALSE)</f>
        <v>#N/A</v>
      </c>
      <c r="AF9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1" spans="1:32" ht="18.75" customHeight="1">
      <c r="A921" s="2" t="str">
        <f>IFERROR(IF('PREENCHER AQUI'!A921="","",'PREENCHER AQUI'!A921),"")</f>
        <v/>
      </c>
      <c r="B921" s="1" t="str">
        <f>IFERROR(IF('PREENCHER AQUI'!B921="","",PROPER('PREENCHER AQUI'!B921)),"")</f>
        <v/>
      </c>
      <c r="C921" s="1" t="str">
        <f>IFERROR(IF('PREENCHER AQUI'!C921="","",'PREENCHER AQUI'!C921),"")</f>
        <v/>
      </c>
      <c r="D921" s="2" t="str">
        <f>IFERROR(IF('PREENCHER AQUI'!D921="","",'PREENCHER AQUI'!D921),"")</f>
        <v/>
      </c>
      <c r="E921" s="2" t="str">
        <f>IFERROR(VLOOKUP(CONCATENATE(C921,D921),qdd!$C$2:$F$1000,2,FALSE),"")</f>
        <v/>
      </c>
      <c r="F921" s="2" t="str">
        <f>IFERROR(VLOOKUP(CONCATENATE(C921,D921),qdd!$C$2:$F$1000,3,FALSE),"")</f>
        <v/>
      </c>
      <c r="G921" s="2" t="str">
        <f>IFERROR(VLOOKUP(CONCATENATE(C921,D921),qdd!$C$2:$F$1000,4,FALSE),"")</f>
        <v/>
      </c>
      <c r="H921" s="6" t="str">
        <f t="shared" si="30"/>
        <v/>
      </c>
      <c r="I9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1" s="2" t="str">
        <f>IFERROR(IF('PREENCHER AQUI'!E921="","",'PREENCHER AQUI'!E921),"")</f>
        <v/>
      </c>
      <c r="K921" s="2" t="str">
        <f>IFERROR(IF('PREENCHER AQUI'!F921="","",'PREENCHER AQUI'!F921),"")</f>
        <v/>
      </c>
      <c r="L921" s="2" t="str">
        <f>IF(Tabela1[[#This Row],[IPU_COD]]=9,"91",IF(Tabela1[[#This Row],[ACAO_COD]]="","",VLOOKUP(CONCATENATE("G",J921,"M",K921),qdd!$BC$2:$BD$46,2,FALSE)))</f>
        <v/>
      </c>
      <c r="M921" s="2" t="str">
        <f>TEXT(IFERROR(VLOOKUP(CONCATENATE(C921,D921),qdd!$C$2:$G$1000,5,FALSE),""),0)</f>
        <v/>
      </c>
      <c r="N921" s="2" t="str">
        <f>IFERROR(IF('PREENCHER AQUI'!I921="","",'PREENCHER AQUI'!I921),"")</f>
        <v/>
      </c>
      <c r="O921" s="2" t="str">
        <f>IFERROR(IF('PREENCHER AQUI'!J921="","",'PREENCHER AQUI'!J921),"")</f>
        <v/>
      </c>
      <c r="P921" s="7" t="str">
        <f t="shared" si="31"/>
        <v/>
      </c>
      <c r="Q921" s="8" t="str">
        <f>IFERROR(IF(Tabela4[[#This Row],[VALOR]]="","",IF(Tabela1[[#This Row],[ORIENTACAO]]="Anular",'PREENCHER AQUI'!K921*-1*100,'PREENCHER AQUI'!K921*100)),"")</f>
        <v/>
      </c>
      <c r="T921" s="7" t="str">
        <f>IFERROR(IF('PREENCHER AQUI'!L921="","999",LEFT('PREENCHER AQUI'!L921,1)),"")</f>
        <v>999</v>
      </c>
      <c r="V921" s="19"/>
      <c r="W921" s="1" t="str">
        <f>IFERROR(VLOOKUP(Tabela1[[#This Row],[UO_COD]],qdd!$AT$1:$AU$102,2,FALSE),"")</f>
        <v/>
      </c>
      <c r="X921" s="1" t="str">
        <f>CONCATENATE("F",Tabela1[[#This Row],[FONTE_COD]],Tabela1[[#This Row],[IPU_COD]],"G",Tabela1[[#This Row],[GRUPO_COD]],"T",Tabela1[[#This Row],[TIPO]])</f>
        <v>FGT999</v>
      </c>
      <c r="Y9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1" s="19"/>
      <c r="AA921" s="29" t="str">
        <f>IFERROR(VLOOKUP(CONCATENATE("B",Tabela1[[#This Row],[BLOCO]],Tabela1[[#This Row],[UO_COD]]),qdd!$AW$2:$AX$1000,2,FALSE),"")</f>
        <v/>
      </c>
      <c r="AB921" s="30" t="str">
        <f>IFERROR(Tabela1[[#This Row],[VALOR]]/100,"")</f>
        <v/>
      </c>
      <c r="AC921" s="7" t="str" cm="1">
        <f t="array" aca="1" ref="AC921" ca="1">IF(Tabela1[[#This Row],[VALOR]]&lt;0,"",IFERROR(SUBSTITUTE(Converter_numero(Tabela1[[#This Row],[VALOR INCISO]]),",",""),""))</f>
        <v/>
      </c>
      <c r="AD921" s="29" t="str">
        <f>IF(Tabela1[[#This Row],[TIPO]]=REGRAS!$W$2,REGRAS!$X$2,IF(Tabela1[[#This Row],[TIPO]]=REGRAS!$W$4,REGRAS!$X$4,""))</f>
        <v/>
      </c>
      <c r="AE921" s="29" t="e">
        <f>VLOOKUP(Tabela1[[#This Row],[FONTE_COD]],REGRAS!$O$2:$P$69,2,FALSE)</f>
        <v>#N/A</v>
      </c>
      <c r="AF9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2" spans="1:32" ht="18.75" customHeight="1">
      <c r="A922" s="2" t="str">
        <f>IFERROR(IF('PREENCHER AQUI'!A922="","",'PREENCHER AQUI'!A922),"")</f>
        <v/>
      </c>
      <c r="B922" s="1" t="str">
        <f>IFERROR(IF('PREENCHER AQUI'!B922="","",PROPER('PREENCHER AQUI'!B922)),"")</f>
        <v/>
      </c>
      <c r="C922" s="1" t="str">
        <f>IFERROR(IF('PREENCHER AQUI'!C922="","",'PREENCHER AQUI'!C922),"")</f>
        <v/>
      </c>
      <c r="D922" s="2" t="str">
        <f>IFERROR(IF('PREENCHER AQUI'!D922="","",'PREENCHER AQUI'!D922),"")</f>
        <v/>
      </c>
      <c r="E922" s="2" t="str">
        <f>IFERROR(VLOOKUP(CONCATENATE(C922,D922),qdd!$C$2:$F$1000,2,FALSE),"")</f>
        <v/>
      </c>
      <c r="F922" s="2" t="str">
        <f>IFERROR(VLOOKUP(CONCATENATE(C922,D922),qdd!$C$2:$F$1000,3,FALSE),"")</f>
        <v/>
      </c>
      <c r="G922" s="2" t="str">
        <f>IFERROR(VLOOKUP(CONCATENATE(C922,D922),qdd!$C$2:$F$1000,4,FALSE),"")</f>
        <v/>
      </c>
      <c r="H922" s="6" t="str">
        <f t="shared" si="30"/>
        <v/>
      </c>
      <c r="I9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2" s="2" t="str">
        <f>IFERROR(IF('PREENCHER AQUI'!E922="","",'PREENCHER AQUI'!E922),"")</f>
        <v/>
      </c>
      <c r="K922" s="2" t="str">
        <f>IFERROR(IF('PREENCHER AQUI'!F922="","",'PREENCHER AQUI'!F922),"")</f>
        <v/>
      </c>
      <c r="L922" s="2" t="str">
        <f>IF(Tabela1[[#This Row],[IPU_COD]]=9,"91",IF(Tabela1[[#This Row],[ACAO_COD]]="","",VLOOKUP(CONCATENATE("G",J922,"M",K922),qdd!$BC$2:$BD$46,2,FALSE)))</f>
        <v/>
      </c>
      <c r="M922" s="2" t="str">
        <f>TEXT(IFERROR(VLOOKUP(CONCATENATE(C922,D922),qdd!$C$2:$G$1000,5,FALSE),""),0)</f>
        <v/>
      </c>
      <c r="N922" s="2" t="str">
        <f>IFERROR(IF('PREENCHER AQUI'!I922="","",'PREENCHER AQUI'!I922),"")</f>
        <v/>
      </c>
      <c r="O922" s="2" t="str">
        <f>IFERROR(IF('PREENCHER AQUI'!J922="","",'PREENCHER AQUI'!J922),"")</f>
        <v/>
      </c>
      <c r="P922" s="7" t="str">
        <f t="shared" si="31"/>
        <v/>
      </c>
      <c r="Q922" s="8" t="str">
        <f>IFERROR(IF(Tabela4[[#This Row],[VALOR]]="","",IF(Tabela1[[#This Row],[ORIENTACAO]]="Anular",'PREENCHER AQUI'!K922*-1*100,'PREENCHER AQUI'!K922*100)),"")</f>
        <v/>
      </c>
      <c r="T922" s="7" t="str">
        <f>IFERROR(IF('PREENCHER AQUI'!L922="","999",LEFT('PREENCHER AQUI'!L922,1)),"")</f>
        <v>999</v>
      </c>
      <c r="W922" s="1" t="str">
        <f>IFERROR(VLOOKUP(Tabela1[[#This Row],[UO_COD]],qdd!$AT$1:$AU$102,2,FALSE),"")</f>
        <v/>
      </c>
      <c r="X922" s="1" t="str">
        <f>CONCATENATE("F",Tabela1[[#This Row],[FONTE_COD]],Tabela1[[#This Row],[IPU_COD]],"G",Tabela1[[#This Row],[GRUPO_COD]],"T",Tabela1[[#This Row],[TIPO]])</f>
        <v>FGT999</v>
      </c>
      <c r="Y9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2" s="19"/>
      <c r="AA922" s="29" t="str">
        <f>IFERROR(VLOOKUP(CONCATENATE("B",Tabela1[[#This Row],[BLOCO]],Tabela1[[#This Row],[UO_COD]]),qdd!$AW$2:$AX$1000,2,FALSE),"")</f>
        <v/>
      </c>
      <c r="AB922" s="30" t="str">
        <f>IFERROR(Tabela1[[#This Row],[VALOR]]/100,"")</f>
        <v/>
      </c>
      <c r="AC922" s="7" t="str" cm="1">
        <f t="array" aca="1" ref="AC922" ca="1">IF(Tabela1[[#This Row],[VALOR]]&lt;0,"",IFERROR(SUBSTITUTE(Converter_numero(Tabela1[[#This Row],[VALOR INCISO]]),",",""),""))</f>
        <v/>
      </c>
      <c r="AD922" s="7" t="str">
        <f>IF(Tabela1[[#This Row],[TIPO]]=REGRAS!$W$2,REGRAS!$X$2,IF(Tabela1[[#This Row],[TIPO]]=REGRAS!$W$4,REGRAS!$X$4,""))</f>
        <v/>
      </c>
      <c r="AE922" s="29" t="e">
        <f>VLOOKUP(Tabela1[[#This Row],[FONTE_COD]],REGRAS!$O$2:$P$69,2,FALSE)</f>
        <v>#N/A</v>
      </c>
      <c r="AF9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3" spans="1:32" ht="18.75" customHeight="1">
      <c r="A923" s="2" t="str">
        <f>IFERROR(IF('PREENCHER AQUI'!A923="","",'PREENCHER AQUI'!A923),"")</f>
        <v/>
      </c>
      <c r="B923" s="1" t="str">
        <f>IFERROR(IF('PREENCHER AQUI'!B923="","",PROPER('PREENCHER AQUI'!B923)),"")</f>
        <v/>
      </c>
      <c r="C923" s="1" t="str">
        <f>IFERROR(IF('PREENCHER AQUI'!C923="","",'PREENCHER AQUI'!C923),"")</f>
        <v/>
      </c>
      <c r="D923" s="2" t="str">
        <f>IFERROR(IF('PREENCHER AQUI'!D923="","",'PREENCHER AQUI'!D923),"")</f>
        <v/>
      </c>
      <c r="E923" s="2" t="str">
        <f>IFERROR(VLOOKUP(CONCATENATE(C923,D923),qdd!$C$2:$F$1000,2,FALSE),"")</f>
        <v/>
      </c>
      <c r="F923" s="2" t="str">
        <f>IFERROR(VLOOKUP(CONCATENATE(C923,D923),qdd!$C$2:$F$1000,3,FALSE),"")</f>
        <v/>
      </c>
      <c r="G923" s="2" t="str">
        <f>IFERROR(VLOOKUP(CONCATENATE(C923,D923),qdd!$C$2:$F$1000,4,FALSE),"")</f>
        <v/>
      </c>
      <c r="H923" s="6" t="str">
        <f t="shared" si="30"/>
        <v/>
      </c>
      <c r="I9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3" s="2" t="str">
        <f>IFERROR(IF('PREENCHER AQUI'!E923="","",'PREENCHER AQUI'!E923),"")</f>
        <v/>
      </c>
      <c r="K923" s="2" t="str">
        <f>IFERROR(IF('PREENCHER AQUI'!F923="","",'PREENCHER AQUI'!F923),"")</f>
        <v/>
      </c>
      <c r="L923" s="2" t="str">
        <f>IF(Tabela1[[#This Row],[IPU_COD]]=9,"91",IF(Tabela1[[#This Row],[ACAO_COD]]="","",VLOOKUP(CONCATENATE("G",J923,"M",K923),qdd!$BC$2:$BD$46,2,FALSE)))</f>
        <v/>
      </c>
      <c r="M923" s="2" t="str">
        <f>TEXT(IFERROR(VLOOKUP(CONCATENATE(C923,D923),qdd!$C$2:$G$1000,5,FALSE),""),0)</f>
        <v/>
      </c>
      <c r="N923" s="2" t="str">
        <f>IFERROR(IF('PREENCHER AQUI'!I923="","",'PREENCHER AQUI'!I923),"")</f>
        <v/>
      </c>
      <c r="O923" s="2" t="str">
        <f>IFERROR(IF('PREENCHER AQUI'!J923="","",'PREENCHER AQUI'!J923),"")</f>
        <v/>
      </c>
      <c r="P923" s="7" t="str">
        <f t="shared" si="31"/>
        <v/>
      </c>
      <c r="Q923" s="8" t="str">
        <f>IFERROR(IF(Tabela4[[#This Row],[VALOR]]="","",IF(Tabela1[[#This Row],[ORIENTACAO]]="Anular",'PREENCHER AQUI'!K923*-1*100,'PREENCHER AQUI'!K923*100)),"")</f>
        <v/>
      </c>
      <c r="T923" s="7" t="str">
        <f>IFERROR(IF('PREENCHER AQUI'!L923="","999",LEFT('PREENCHER AQUI'!L923,1)),"")</f>
        <v>999</v>
      </c>
      <c r="V923" s="19"/>
      <c r="W923" s="1" t="str">
        <f>IFERROR(VLOOKUP(Tabela1[[#This Row],[UO_COD]],qdd!$AT$1:$AU$102,2,FALSE),"")</f>
        <v/>
      </c>
      <c r="X923" s="1" t="str">
        <f>CONCATENATE("F",Tabela1[[#This Row],[FONTE_COD]],Tabela1[[#This Row],[IPU_COD]],"G",Tabela1[[#This Row],[GRUPO_COD]],"T",Tabela1[[#This Row],[TIPO]])</f>
        <v>FGT999</v>
      </c>
      <c r="Y9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3" s="19"/>
      <c r="AA923" s="29" t="str">
        <f>IFERROR(VLOOKUP(CONCATENATE("B",Tabela1[[#This Row],[BLOCO]],Tabela1[[#This Row],[UO_COD]]),qdd!$AW$2:$AX$1000,2,FALSE),"")</f>
        <v/>
      </c>
      <c r="AB923" s="30" t="str">
        <f>IFERROR(Tabela1[[#This Row],[VALOR]]/100,"")</f>
        <v/>
      </c>
      <c r="AC923" s="7" t="str" cm="1">
        <f t="array" aca="1" ref="AC923" ca="1">IF(Tabela1[[#This Row],[VALOR]]&lt;0,"",IFERROR(SUBSTITUTE(Converter_numero(Tabela1[[#This Row],[VALOR INCISO]]),",",""),""))</f>
        <v/>
      </c>
      <c r="AD923" s="29" t="str">
        <f>IF(Tabela1[[#This Row],[TIPO]]=REGRAS!$W$2,REGRAS!$X$2,IF(Tabela1[[#This Row],[TIPO]]=REGRAS!$W$4,REGRAS!$X$4,""))</f>
        <v/>
      </c>
      <c r="AE923" s="29" t="e">
        <f>VLOOKUP(Tabela1[[#This Row],[FONTE_COD]],REGRAS!$O$2:$P$69,2,FALSE)</f>
        <v>#N/A</v>
      </c>
      <c r="AF9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4" spans="1:32" ht="18.75" customHeight="1">
      <c r="A924" s="2" t="str">
        <f>IFERROR(IF('PREENCHER AQUI'!A924="","",'PREENCHER AQUI'!A924),"")</f>
        <v/>
      </c>
      <c r="B924" s="1" t="str">
        <f>IFERROR(IF('PREENCHER AQUI'!B924="","",PROPER('PREENCHER AQUI'!B924)),"")</f>
        <v/>
      </c>
      <c r="C924" s="1" t="str">
        <f>IFERROR(IF('PREENCHER AQUI'!C924="","",'PREENCHER AQUI'!C924),"")</f>
        <v/>
      </c>
      <c r="D924" s="2" t="str">
        <f>IFERROR(IF('PREENCHER AQUI'!D924="","",'PREENCHER AQUI'!D924),"")</f>
        <v/>
      </c>
      <c r="E924" s="2" t="str">
        <f>IFERROR(VLOOKUP(CONCATENATE(C924,D924),qdd!$C$2:$F$1000,2,FALSE),"")</f>
        <v/>
      </c>
      <c r="F924" s="2" t="str">
        <f>IFERROR(VLOOKUP(CONCATENATE(C924,D924),qdd!$C$2:$F$1000,3,FALSE),"")</f>
        <v/>
      </c>
      <c r="G924" s="2" t="str">
        <f>IFERROR(VLOOKUP(CONCATENATE(C924,D924),qdd!$C$2:$F$1000,4,FALSE),"")</f>
        <v/>
      </c>
      <c r="H924" s="6" t="str">
        <f t="shared" si="30"/>
        <v/>
      </c>
      <c r="I9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4" s="2" t="str">
        <f>IFERROR(IF('PREENCHER AQUI'!E924="","",'PREENCHER AQUI'!E924),"")</f>
        <v/>
      </c>
      <c r="K924" s="2" t="str">
        <f>IFERROR(IF('PREENCHER AQUI'!F924="","",'PREENCHER AQUI'!F924),"")</f>
        <v/>
      </c>
      <c r="L924" s="2" t="str">
        <f>IF(Tabela1[[#This Row],[IPU_COD]]=9,"91",IF(Tabela1[[#This Row],[ACAO_COD]]="","",VLOOKUP(CONCATENATE("G",J924,"M",K924),qdd!$BC$2:$BD$46,2,FALSE)))</f>
        <v/>
      </c>
      <c r="M924" s="2" t="str">
        <f>TEXT(IFERROR(VLOOKUP(CONCATENATE(C924,D924),qdd!$C$2:$G$1000,5,FALSE),""),0)</f>
        <v/>
      </c>
      <c r="N924" s="2" t="str">
        <f>IFERROR(IF('PREENCHER AQUI'!I924="","",'PREENCHER AQUI'!I924),"")</f>
        <v/>
      </c>
      <c r="O924" s="2" t="str">
        <f>IFERROR(IF('PREENCHER AQUI'!J924="","",'PREENCHER AQUI'!J924),"")</f>
        <v/>
      </c>
      <c r="P924" s="7" t="str">
        <f t="shared" si="31"/>
        <v/>
      </c>
      <c r="Q924" s="8" t="str">
        <f>IFERROR(IF(Tabela4[[#This Row],[VALOR]]="","",IF(Tabela1[[#This Row],[ORIENTACAO]]="Anular",'PREENCHER AQUI'!K924*-1*100,'PREENCHER AQUI'!K924*100)),"")</f>
        <v/>
      </c>
      <c r="T924" s="7" t="str">
        <f>IFERROR(IF('PREENCHER AQUI'!L924="","999",LEFT('PREENCHER AQUI'!L924,1)),"")</f>
        <v>999</v>
      </c>
      <c r="V924" s="19"/>
      <c r="W924" s="1" t="str">
        <f>IFERROR(VLOOKUP(Tabela1[[#This Row],[UO_COD]],qdd!$AT$1:$AU$102,2,FALSE),"")</f>
        <v/>
      </c>
      <c r="X924" s="1" t="str">
        <f>CONCATENATE("F",Tabela1[[#This Row],[FONTE_COD]],Tabela1[[#This Row],[IPU_COD]],"G",Tabela1[[#This Row],[GRUPO_COD]],"T",Tabela1[[#This Row],[TIPO]])</f>
        <v>FGT999</v>
      </c>
      <c r="Y9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4" s="19"/>
      <c r="AA924" s="29" t="str">
        <f>IFERROR(VLOOKUP(CONCATENATE("B",Tabela1[[#This Row],[BLOCO]],Tabela1[[#This Row],[UO_COD]]),qdd!$AW$2:$AX$1000,2,FALSE),"")</f>
        <v/>
      </c>
      <c r="AB924" s="30" t="str">
        <f>IFERROR(Tabela1[[#This Row],[VALOR]]/100,"")</f>
        <v/>
      </c>
      <c r="AC924" s="7" t="str" cm="1">
        <f t="array" aca="1" ref="AC924" ca="1">IF(Tabela1[[#This Row],[VALOR]]&lt;0,"",IFERROR(SUBSTITUTE(Converter_numero(Tabela1[[#This Row],[VALOR INCISO]]),",",""),""))</f>
        <v/>
      </c>
      <c r="AD924" s="29" t="str">
        <f>IF(Tabela1[[#This Row],[TIPO]]=REGRAS!$W$2,REGRAS!$X$2,IF(Tabela1[[#This Row],[TIPO]]=REGRAS!$W$4,REGRAS!$X$4,""))</f>
        <v/>
      </c>
      <c r="AE924" s="29" t="e">
        <f>VLOOKUP(Tabela1[[#This Row],[FONTE_COD]],REGRAS!$O$2:$P$69,2,FALSE)</f>
        <v>#N/A</v>
      </c>
      <c r="AF9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5" spans="1:32" ht="18.75" customHeight="1">
      <c r="A925" s="2" t="str">
        <f>IFERROR(IF('PREENCHER AQUI'!A925="","",'PREENCHER AQUI'!A925),"")</f>
        <v/>
      </c>
      <c r="B925" s="1" t="str">
        <f>IFERROR(IF('PREENCHER AQUI'!B925="","",PROPER('PREENCHER AQUI'!B925)),"")</f>
        <v/>
      </c>
      <c r="C925" s="1" t="str">
        <f>IFERROR(IF('PREENCHER AQUI'!C925="","",'PREENCHER AQUI'!C925),"")</f>
        <v/>
      </c>
      <c r="D925" s="2" t="str">
        <f>IFERROR(IF('PREENCHER AQUI'!D925="","",'PREENCHER AQUI'!D925),"")</f>
        <v/>
      </c>
      <c r="E925" s="2" t="str">
        <f>IFERROR(VLOOKUP(CONCATENATE(C925,D925),qdd!$C$2:$F$1000,2,FALSE),"")</f>
        <v/>
      </c>
      <c r="F925" s="2" t="str">
        <f>IFERROR(VLOOKUP(CONCATENATE(C925,D925),qdd!$C$2:$F$1000,3,FALSE),"")</f>
        <v/>
      </c>
      <c r="G925" s="2" t="str">
        <f>IFERROR(VLOOKUP(CONCATENATE(C925,D925),qdd!$C$2:$F$1000,4,FALSE),"")</f>
        <v/>
      </c>
      <c r="H925" s="6" t="str">
        <f t="shared" si="30"/>
        <v/>
      </c>
      <c r="I9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5" s="2" t="str">
        <f>IFERROR(IF('PREENCHER AQUI'!E925="","",'PREENCHER AQUI'!E925),"")</f>
        <v/>
      </c>
      <c r="K925" s="2" t="str">
        <f>IFERROR(IF('PREENCHER AQUI'!F925="","",'PREENCHER AQUI'!F925),"")</f>
        <v/>
      </c>
      <c r="L925" s="2" t="str">
        <f>IF(Tabela1[[#This Row],[IPU_COD]]=9,"91",IF(Tabela1[[#This Row],[ACAO_COD]]="","",VLOOKUP(CONCATENATE("G",J925,"M",K925),qdd!$BC$2:$BD$46,2,FALSE)))</f>
        <v/>
      </c>
      <c r="M925" s="2" t="str">
        <f>TEXT(IFERROR(VLOOKUP(CONCATENATE(C925,D925),qdd!$C$2:$G$1000,5,FALSE),""),0)</f>
        <v/>
      </c>
      <c r="N925" s="2" t="str">
        <f>IFERROR(IF('PREENCHER AQUI'!I925="","",'PREENCHER AQUI'!I925),"")</f>
        <v/>
      </c>
      <c r="O925" s="2" t="str">
        <f>IFERROR(IF('PREENCHER AQUI'!J925="","",'PREENCHER AQUI'!J925),"")</f>
        <v/>
      </c>
      <c r="P925" s="7" t="str">
        <f t="shared" si="31"/>
        <v/>
      </c>
      <c r="Q925" s="8" t="str">
        <f>IFERROR(IF(Tabela4[[#This Row],[VALOR]]="","",IF(Tabela1[[#This Row],[ORIENTACAO]]="Anular",'PREENCHER AQUI'!K925*-1*100,'PREENCHER AQUI'!K925*100)),"")</f>
        <v/>
      </c>
      <c r="T925" s="7" t="str">
        <f>IFERROR(IF('PREENCHER AQUI'!L925="","999",LEFT('PREENCHER AQUI'!L925,1)),"")</f>
        <v>999</v>
      </c>
      <c r="V925" s="19"/>
      <c r="W925" s="20" t="str">
        <f>IFERROR(VLOOKUP(Tabela1[[#This Row],[UO_COD]],qdd!$AT$1:$AU$102,2,FALSE),"")</f>
        <v/>
      </c>
      <c r="X925" s="20" t="str">
        <f>CONCATENATE("F",Tabela1[[#This Row],[FONTE_COD]],Tabela1[[#This Row],[IPU_COD]],"G",Tabela1[[#This Row],[GRUPO_COD]],"T",Tabela1[[#This Row],[TIPO]])</f>
        <v>FGT999</v>
      </c>
      <c r="Y9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5" s="19"/>
      <c r="AA925" s="29" t="str">
        <f>IFERROR(VLOOKUP(CONCATENATE("B",Tabela1[[#This Row],[BLOCO]],Tabela1[[#This Row],[UO_COD]]),qdd!$AW$2:$AX$1000,2,FALSE),"")</f>
        <v/>
      </c>
      <c r="AB925" s="30" t="str">
        <f>IFERROR(Tabela1[[#This Row],[VALOR]]/100,"")</f>
        <v/>
      </c>
      <c r="AC925" s="7" t="str" cm="1">
        <f t="array" aca="1" ref="AC925" ca="1">IF(Tabela1[[#This Row],[VALOR]]&lt;0,"",IFERROR(SUBSTITUTE(Converter_numero(Tabela1[[#This Row],[VALOR INCISO]]),",",""),""))</f>
        <v/>
      </c>
      <c r="AD925" s="29" t="str">
        <f>IF(Tabela1[[#This Row],[TIPO]]=REGRAS!$W$2,REGRAS!$X$2,IF(Tabela1[[#This Row],[TIPO]]=REGRAS!$W$4,REGRAS!$X$4,""))</f>
        <v/>
      </c>
      <c r="AE925" s="29" t="e">
        <f>VLOOKUP(Tabela1[[#This Row],[FONTE_COD]],REGRAS!$O$2:$P$69,2,FALSE)</f>
        <v>#N/A</v>
      </c>
      <c r="AF9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6" spans="1:32" ht="18.75" customHeight="1">
      <c r="A926" s="2" t="str">
        <f>IFERROR(IF('PREENCHER AQUI'!A926="","",'PREENCHER AQUI'!A926),"")</f>
        <v/>
      </c>
      <c r="B926" s="1" t="str">
        <f>IFERROR(IF('PREENCHER AQUI'!B926="","",PROPER('PREENCHER AQUI'!B926)),"")</f>
        <v/>
      </c>
      <c r="C926" s="1" t="str">
        <f>IFERROR(IF('PREENCHER AQUI'!C926="","",'PREENCHER AQUI'!C926),"")</f>
        <v/>
      </c>
      <c r="D926" s="2" t="str">
        <f>IFERROR(IF('PREENCHER AQUI'!D926="","",'PREENCHER AQUI'!D926),"")</f>
        <v/>
      </c>
      <c r="E926" s="2" t="str">
        <f>IFERROR(VLOOKUP(CONCATENATE(C926,D926),qdd!$C$2:$F$1000,2,FALSE),"")</f>
        <v/>
      </c>
      <c r="F926" s="2" t="str">
        <f>IFERROR(VLOOKUP(CONCATENATE(C926,D926),qdd!$C$2:$F$1000,3,FALSE),"")</f>
        <v/>
      </c>
      <c r="G926" s="2" t="str">
        <f>IFERROR(VLOOKUP(CONCATENATE(C926,D926),qdd!$C$2:$F$1000,4,FALSE),"")</f>
        <v/>
      </c>
      <c r="H926" s="6" t="str">
        <f t="shared" si="30"/>
        <v/>
      </c>
      <c r="I9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6" s="2" t="str">
        <f>IFERROR(IF('PREENCHER AQUI'!E926="","",'PREENCHER AQUI'!E926),"")</f>
        <v/>
      </c>
      <c r="K926" s="2" t="str">
        <f>IFERROR(IF('PREENCHER AQUI'!F926="","",'PREENCHER AQUI'!F926),"")</f>
        <v/>
      </c>
      <c r="L926" s="2" t="str">
        <f>IF(Tabela1[[#This Row],[IPU_COD]]=9,"91",IF(Tabela1[[#This Row],[ACAO_COD]]="","",VLOOKUP(CONCATENATE("G",J926,"M",K926),qdd!$BC$2:$BD$46,2,FALSE)))</f>
        <v/>
      </c>
      <c r="M926" s="2" t="str">
        <f>TEXT(IFERROR(VLOOKUP(CONCATENATE(C926,D926),qdd!$C$2:$G$1000,5,FALSE),""),0)</f>
        <v/>
      </c>
      <c r="N926" s="2" t="str">
        <f>IFERROR(IF('PREENCHER AQUI'!I926="","",'PREENCHER AQUI'!I926),"")</f>
        <v/>
      </c>
      <c r="O926" s="2" t="str">
        <f>IFERROR(IF('PREENCHER AQUI'!J926="","",'PREENCHER AQUI'!J926),"")</f>
        <v/>
      </c>
      <c r="P926" s="7" t="str">
        <f t="shared" si="31"/>
        <v/>
      </c>
      <c r="Q926" s="8" t="str">
        <f>IFERROR(IF(Tabela4[[#This Row],[VALOR]]="","",IF(Tabela1[[#This Row],[ORIENTACAO]]="Anular",'PREENCHER AQUI'!K926*-1*100,'PREENCHER AQUI'!K926*100)),"")</f>
        <v/>
      </c>
      <c r="T926" s="7" t="str">
        <f>IFERROR(IF('PREENCHER AQUI'!L926="","999",LEFT('PREENCHER AQUI'!L926,1)),"")</f>
        <v>999</v>
      </c>
      <c r="V926" s="19"/>
      <c r="W926" s="1" t="str">
        <f>IFERROR(VLOOKUP(Tabela1[[#This Row],[UO_COD]],qdd!$AT$1:$AU$102,2,FALSE),"")</f>
        <v/>
      </c>
      <c r="X926" s="1" t="str">
        <f>CONCATENATE("F",Tabela1[[#This Row],[FONTE_COD]],Tabela1[[#This Row],[IPU_COD]],"G",Tabela1[[#This Row],[GRUPO_COD]],"T",Tabela1[[#This Row],[TIPO]])</f>
        <v>FGT999</v>
      </c>
      <c r="Y9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6" s="19"/>
      <c r="AA926" s="29" t="str">
        <f>IFERROR(VLOOKUP(CONCATENATE("B",Tabela1[[#This Row],[BLOCO]],Tabela1[[#This Row],[UO_COD]]),qdd!$AW$2:$AX$1000,2,FALSE),"")</f>
        <v/>
      </c>
      <c r="AB926" s="30" t="str">
        <f>IFERROR(Tabela1[[#This Row],[VALOR]]/100,"")</f>
        <v/>
      </c>
      <c r="AC926" s="7" t="str" cm="1">
        <f t="array" aca="1" ref="AC926" ca="1">IF(Tabela1[[#This Row],[VALOR]]&lt;0,"",IFERROR(SUBSTITUTE(Converter_numero(Tabela1[[#This Row],[VALOR INCISO]]),",",""),""))</f>
        <v/>
      </c>
      <c r="AD926" s="29" t="str">
        <f>IF(Tabela1[[#This Row],[TIPO]]=REGRAS!$W$2,REGRAS!$X$2,IF(Tabela1[[#This Row],[TIPO]]=REGRAS!$W$4,REGRAS!$X$4,""))</f>
        <v/>
      </c>
      <c r="AE926" s="29" t="e">
        <f>VLOOKUP(Tabela1[[#This Row],[FONTE_COD]],REGRAS!$O$2:$P$69,2,FALSE)</f>
        <v>#N/A</v>
      </c>
      <c r="AF9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7" spans="1:32" ht="18.75" customHeight="1">
      <c r="A927" s="2" t="str">
        <f>IFERROR(IF('PREENCHER AQUI'!A927="","",'PREENCHER AQUI'!A927),"")</f>
        <v/>
      </c>
      <c r="B927" s="1" t="str">
        <f>IFERROR(IF('PREENCHER AQUI'!B927="","",PROPER('PREENCHER AQUI'!B927)),"")</f>
        <v/>
      </c>
      <c r="C927" s="1" t="str">
        <f>IFERROR(IF('PREENCHER AQUI'!C927="","",'PREENCHER AQUI'!C927),"")</f>
        <v/>
      </c>
      <c r="D927" s="2" t="str">
        <f>IFERROR(IF('PREENCHER AQUI'!D927="","",'PREENCHER AQUI'!D927),"")</f>
        <v/>
      </c>
      <c r="E927" s="2" t="str">
        <f>IFERROR(VLOOKUP(CONCATENATE(C927,D927),qdd!$C$2:$F$1000,2,FALSE),"")</f>
        <v/>
      </c>
      <c r="F927" s="2" t="str">
        <f>IFERROR(VLOOKUP(CONCATENATE(C927,D927),qdd!$C$2:$F$1000,3,FALSE),"")</f>
        <v/>
      </c>
      <c r="G927" s="2" t="str">
        <f>IFERROR(VLOOKUP(CONCATENATE(C927,D927),qdd!$C$2:$F$1000,4,FALSE),"")</f>
        <v/>
      </c>
      <c r="H927" s="6" t="str">
        <f t="shared" si="30"/>
        <v/>
      </c>
      <c r="I9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7" s="2" t="str">
        <f>IFERROR(IF('PREENCHER AQUI'!E927="","",'PREENCHER AQUI'!E927),"")</f>
        <v/>
      </c>
      <c r="K927" s="2" t="str">
        <f>IFERROR(IF('PREENCHER AQUI'!F927="","",'PREENCHER AQUI'!F927),"")</f>
        <v/>
      </c>
      <c r="L927" s="2" t="str">
        <f>IF(Tabela1[[#This Row],[IPU_COD]]=9,"91",IF(Tabela1[[#This Row],[ACAO_COD]]="","",VLOOKUP(CONCATENATE("G",J927,"M",K927),qdd!$BC$2:$BD$46,2,FALSE)))</f>
        <v/>
      </c>
      <c r="M927" s="2" t="str">
        <f>TEXT(IFERROR(VLOOKUP(CONCATENATE(C927,D927),qdd!$C$2:$G$1000,5,FALSE),""),0)</f>
        <v/>
      </c>
      <c r="N927" s="2" t="str">
        <f>IFERROR(IF('PREENCHER AQUI'!I927="","",'PREENCHER AQUI'!I927),"")</f>
        <v/>
      </c>
      <c r="O927" s="2" t="str">
        <f>IFERROR(IF('PREENCHER AQUI'!J927="","",'PREENCHER AQUI'!J927),"")</f>
        <v/>
      </c>
      <c r="P927" s="7" t="str">
        <f t="shared" si="31"/>
        <v/>
      </c>
      <c r="Q927" s="8" t="str">
        <f>IFERROR(IF(Tabela4[[#This Row],[VALOR]]="","",IF(Tabela1[[#This Row],[ORIENTACAO]]="Anular",'PREENCHER AQUI'!K927*-1*100,'PREENCHER AQUI'!K927*100)),"")</f>
        <v/>
      </c>
      <c r="T927" s="7" t="str">
        <f>IFERROR(IF('PREENCHER AQUI'!L927="","999",LEFT('PREENCHER AQUI'!L927,1)),"")</f>
        <v>999</v>
      </c>
      <c r="W927" s="1" t="str">
        <f>IFERROR(VLOOKUP(Tabela1[[#This Row],[UO_COD]],qdd!$AT$1:$AU$102,2,FALSE),"")</f>
        <v/>
      </c>
      <c r="X927" s="1" t="str">
        <f>CONCATENATE("F",Tabela1[[#This Row],[FONTE_COD]],Tabela1[[#This Row],[IPU_COD]],"G",Tabela1[[#This Row],[GRUPO_COD]],"T",Tabela1[[#This Row],[TIPO]])</f>
        <v>FGT999</v>
      </c>
      <c r="Y9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7" s="19"/>
      <c r="AA927" s="29" t="str">
        <f>IFERROR(VLOOKUP(CONCATENATE("B",Tabela1[[#This Row],[BLOCO]],Tabela1[[#This Row],[UO_COD]]),qdd!$AW$2:$AX$1000,2,FALSE),"")</f>
        <v/>
      </c>
      <c r="AB927" s="30" t="str">
        <f>IFERROR(Tabela1[[#This Row],[VALOR]]/100,"")</f>
        <v/>
      </c>
      <c r="AC927" s="7" t="str" cm="1">
        <f t="array" aca="1" ref="AC927" ca="1">IF(Tabela1[[#This Row],[VALOR]]&lt;0,"",IFERROR(SUBSTITUTE(Converter_numero(Tabela1[[#This Row],[VALOR INCISO]]),",",""),""))</f>
        <v/>
      </c>
      <c r="AD927" s="7" t="str">
        <f>IF(Tabela1[[#This Row],[TIPO]]=REGRAS!$W$2,REGRAS!$X$2,IF(Tabela1[[#This Row],[TIPO]]=REGRAS!$W$4,REGRAS!$X$4,""))</f>
        <v/>
      </c>
      <c r="AE927" s="29" t="e">
        <f>VLOOKUP(Tabela1[[#This Row],[FONTE_COD]],REGRAS!$O$2:$P$69,2,FALSE)</f>
        <v>#N/A</v>
      </c>
      <c r="AF9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8" spans="1:32" ht="18.75" customHeight="1">
      <c r="A928" s="2" t="str">
        <f>IFERROR(IF('PREENCHER AQUI'!A928="","",'PREENCHER AQUI'!A928),"")</f>
        <v/>
      </c>
      <c r="B928" s="1" t="str">
        <f>IFERROR(IF('PREENCHER AQUI'!B928="","",PROPER('PREENCHER AQUI'!B928)),"")</f>
        <v/>
      </c>
      <c r="C928" s="1" t="str">
        <f>IFERROR(IF('PREENCHER AQUI'!C928="","",'PREENCHER AQUI'!C928),"")</f>
        <v/>
      </c>
      <c r="D928" s="2" t="str">
        <f>IFERROR(IF('PREENCHER AQUI'!D928="","",'PREENCHER AQUI'!D928),"")</f>
        <v/>
      </c>
      <c r="E928" s="2" t="str">
        <f>IFERROR(VLOOKUP(CONCATENATE(C928,D928),qdd!$C$2:$F$1000,2,FALSE),"")</f>
        <v/>
      </c>
      <c r="F928" s="2" t="str">
        <f>IFERROR(VLOOKUP(CONCATENATE(C928,D928),qdd!$C$2:$F$1000,3,FALSE),"")</f>
        <v/>
      </c>
      <c r="G928" s="2" t="str">
        <f>IFERROR(VLOOKUP(CONCATENATE(C928,D928),qdd!$C$2:$F$1000,4,FALSE),"")</f>
        <v/>
      </c>
      <c r="H928" s="6" t="str">
        <f t="shared" si="30"/>
        <v/>
      </c>
      <c r="I9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8" s="2" t="str">
        <f>IFERROR(IF('PREENCHER AQUI'!E928="","",'PREENCHER AQUI'!E928),"")</f>
        <v/>
      </c>
      <c r="K928" s="2" t="str">
        <f>IFERROR(IF('PREENCHER AQUI'!F928="","",'PREENCHER AQUI'!F928),"")</f>
        <v/>
      </c>
      <c r="L928" s="2" t="str">
        <f>IF(Tabela1[[#This Row],[IPU_COD]]=9,"91",IF(Tabela1[[#This Row],[ACAO_COD]]="","",VLOOKUP(CONCATENATE("G",J928,"M",K928),qdd!$BC$2:$BD$46,2,FALSE)))</f>
        <v/>
      </c>
      <c r="M928" s="2" t="str">
        <f>TEXT(IFERROR(VLOOKUP(CONCATENATE(C928,D928),qdd!$C$2:$G$1000,5,FALSE),""),0)</f>
        <v/>
      </c>
      <c r="N928" s="2" t="str">
        <f>IFERROR(IF('PREENCHER AQUI'!I928="","",'PREENCHER AQUI'!I928),"")</f>
        <v/>
      </c>
      <c r="O928" s="2" t="str">
        <f>IFERROR(IF('PREENCHER AQUI'!J928="","",'PREENCHER AQUI'!J928),"")</f>
        <v/>
      </c>
      <c r="P928" s="7" t="str">
        <f t="shared" si="31"/>
        <v/>
      </c>
      <c r="Q928" s="8" t="str">
        <f>IFERROR(IF(Tabela4[[#This Row],[VALOR]]="","",IF(Tabela1[[#This Row],[ORIENTACAO]]="Anular",'PREENCHER AQUI'!K928*-1*100,'PREENCHER AQUI'!K928*100)),"")</f>
        <v/>
      </c>
      <c r="T928" s="7" t="str">
        <f>IFERROR(IF('PREENCHER AQUI'!L928="","999",LEFT('PREENCHER AQUI'!L928,1)),"")</f>
        <v>999</v>
      </c>
      <c r="V928" s="19"/>
      <c r="W928" s="1" t="str">
        <f>IFERROR(VLOOKUP(Tabela1[[#This Row],[UO_COD]],qdd!$AT$1:$AU$102,2,FALSE),"")</f>
        <v/>
      </c>
      <c r="X928" s="1" t="str">
        <f>CONCATENATE("F",Tabela1[[#This Row],[FONTE_COD]],Tabela1[[#This Row],[IPU_COD]],"G",Tabela1[[#This Row],[GRUPO_COD]],"T",Tabela1[[#This Row],[TIPO]])</f>
        <v>FGT999</v>
      </c>
      <c r="Y9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8" s="19"/>
      <c r="AA928" s="29" t="str">
        <f>IFERROR(VLOOKUP(CONCATENATE("B",Tabela1[[#This Row],[BLOCO]],Tabela1[[#This Row],[UO_COD]]),qdd!$AW$2:$AX$1000,2,FALSE),"")</f>
        <v/>
      </c>
      <c r="AB928" s="30" t="str">
        <f>IFERROR(Tabela1[[#This Row],[VALOR]]/100,"")</f>
        <v/>
      </c>
      <c r="AC928" s="7" t="str" cm="1">
        <f t="array" aca="1" ref="AC928" ca="1">IF(Tabela1[[#This Row],[VALOR]]&lt;0,"",IFERROR(SUBSTITUTE(Converter_numero(Tabela1[[#This Row],[VALOR INCISO]]),",",""),""))</f>
        <v/>
      </c>
      <c r="AD928" s="29" t="str">
        <f>IF(Tabela1[[#This Row],[TIPO]]=REGRAS!$W$2,REGRAS!$X$2,IF(Tabela1[[#This Row],[TIPO]]=REGRAS!$W$4,REGRAS!$X$4,""))</f>
        <v/>
      </c>
      <c r="AE928" s="29" t="e">
        <f>VLOOKUP(Tabela1[[#This Row],[FONTE_COD]],REGRAS!$O$2:$P$69,2,FALSE)</f>
        <v>#N/A</v>
      </c>
      <c r="AF9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9" spans="1:32" ht="18.75" customHeight="1">
      <c r="A929" s="2" t="str">
        <f>IFERROR(IF('PREENCHER AQUI'!A929="","",'PREENCHER AQUI'!A929),"")</f>
        <v/>
      </c>
      <c r="B929" s="1" t="str">
        <f>IFERROR(IF('PREENCHER AQUI'!B929="","",PROPER('PREENCHER AQUI'!B929)),"")</f>
        <v/>
      </c>
      <c r="C929" s="1" t="str">
        <f>IFERROR(IF('PREENCHER AQUI'!C929="","",'PREENCHER AQUI'!C929),"")</f>
        <v/>
      </c>
      <c r="D929" s="2" t="str">
        <f>IFERROR(IF('PREENCHER AQUI'!D929="","",'PREENCHER AQUI'!D929),"")</f>
        <v/>
      </c>
      <c r="E929" s="2" t="str">
        <f>IFERROR(VLOOKUP(CONCATENATE(C929,D929),qdd!$C$2:$F$1000,2,FALSE),"")</f>
        <v/>
      </c>
      <c r="F929" s="2" t="str">
        <f>IFERROR(VLOOKUP(CONCATENATE(C929,D929),qdd!$C$2:$F$1000,3,FALSE),"")</f>
        <v/>
      </c>
      <c r="G929" s="2" t="str">
        <f>IFERROR(VLOOKUP(CONCATENATE(C929,D929),qdd!$C$2:$F$1000,4,FALSE),"")</f>
        <v/>
      </c>
      <c r="H929" s="6" t="str">
        <f t="shared" si="30"/>
        <v/>
      </c>
      <c r="I9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9" s="2" t="str">
        <f>IFERROR(IF('PREENCHER AQUI'!E929="","",'PREENCHER AQUI'!E929),"")</f>
        <v/>
      </c>
      <c r="K929" s="2" t="str">
        <f>IFERROR(IF('PREENCHER AQUI'!F929="","",'PREENCHER AQUI'!F929),"")</f>
        <v/>
      </c>
      <c r="L929" s="2" t="str">
        <f>IF(Tabela1[[#This Row],[IPU_COD]]=9,"91",IF(Tabela1[[#This Row],[ACAO_COD]]="","",VLOOKUP(CONCATENATE("G",J929,"M",K929),qdd!$BC$2:$BD$46,2,FALSE)))</f>
        <v/>
      </c>
      <c r="M929" s="2" t="str">
        <f>TEXT(IFERROR(VLOOKUP(CONCATENATE(C929,D929),qdd!$C$2:$G$1000,5,FALSE),""),0)</f>
        <v/>
      </c>
      <c r="N929" s="2" t="str">
        <f>IFERROR(IF('PREENCHER AQUI'!I929="","",'PREENCHER AQUI'!I929),"")</f>
        <v/>
      </c>
      <c r="O929" s="2" t="str">
        <f>IFERROR(IF('PREENCHER AQUI'!J929="","",'PREENCHER AQUI'!J929),"")</f>
        <v/>
      </c>
      <c r="P929" s="7" t="str">
        <f t="shared" si="31"/>
        <v/>
      </c>
      <c r="Q929" s="8" t="str">
        <f>IFERROR(IF(Tabela4[[#This Row],[VALOR]]="","",IF(Tabela1[[#This Row],[ORIENTACAO]]="Anular",'PREENCHER AQUI'!K929*-1*100,'PREENCHER AQUI'!K929*100)),"")</f>
        <v/>
      </c>
      <c r="T929" s="7" t="str">
        <f>IFERROR(IF('PREENCHER AQUI'!L929="","999",LEFT('PREENCHER AQUI'!L929,1)),"")</f>
        <v>999</v>
      </c>
      <c r="V929" s="19"/>
      <c r="W929" s="1" t="str">
        <f>IFERROR(VLOOKUP(Tabela1[[#This Row],[UO_COD]],qdd!$AT$1:$AU$102,2,FALSE),"")</f>
        <v/>
      </c>
      <c r="X929" s="1" t="str">
        <f>CONCATENATE("F",Tabela1[[#This Row],[FONTE_COD]],Tabela1[[#This Row],[IPU_COD]],"G",Tabela1[[#This Row],[GRUPO_COD]],"T",Tabela1[[#This Row],[TIPO]])</f>
        <v>FGT999</v>
      </c>
      <c r="Y9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9" s="19"/>
      <c r="AA929" s="29" t="str">
        <f>IFERROR(VLOOKUP(CONCATENATE("B",Tabela1[[#This Row],[BLOCO]],Tabela1[[#This Row],[UO_COD]]),qdd!$AW$2:$AX$1000,2,FALSE),"")</f>
        <v/>
      </c>
      <c r="AB929" s="30" t="str">
        <f>IFERROR(Tabela1[[#This Row],[VALOR]]/100,"")</f>
        <v/>
      </c>
      <c r="AC929" s="7" t="str" cm="1">
        <f t="array" aca="1" ref="AC929" ca="1">IF(Tabela1[[#This Row],[VALOR]]&lt;0,"",IFERROR(SUBSTITUTE(Converter_numero(Tabela1[[#This Row],[VALOR INCISO]]),",",""),""))</f>
        <v/>
      </c>
      <c r="AD929" s="29" t="str">
        <f>IF(Tabela1[[#This Row],[TIPO]]=REGRAS!$W$2,REGRAS!$X$2,IF(Tabela1[[#This Row],[TIPO]]=REGRAS!$W$4,REGRAS!$X$4,""))</f>
        <v/>
      </c>
      <c r="AE929" s="29" t="e">
        <f>VLOOKUP(Tabela1[[#This Row],[FONTE_COD]],REGRAS!$O$2:$P$69,2,FALSE)</f>
        <v>#N/A</v>
      </c>
      <c r="AF9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0" spans="1:32" ht="18.75" customHeight="1">
      <c r="A930" s="2" t="str">
        <f>IFERROR(IF('PREENCHER AQUI'!A930="","",'PREENCHER AQUI'!A930),"")</f>
        <v/>
      </c>
      <c r="B930" s="1" t="str">
        <f>IFERROR(IF('PREENCHER AQUI'!B930="","",PROPER('PREENCHER AQUI'!B930)),"")</f>
        <v/>
      </c>
      <c r="C930" s="1" t="str">
        <f>IFERROR(IF('PREENCHER AQUI'!C930="","",'PREENCHER AQUI'!C930),"")</f>
        <v/>
      </c>
      <c r="D930" s="2" t="str">
        <f>IFERROR(IF('PREENCHER AQUI'!D930="","",'PREENCHER AQUI'!D930),"")</f>
        <v/>
      </c>
      <c r="E930" s="2" t="str">
        <f>IFERROR(VLOOKUP(CONCATENATE(C930,D930),qdd!$C$2:$F$1000,2,FALSE),"")</f>
        <v/>
      </c>
      <c r="F930" s="2" t="str">
        <f>IFERROR(VLOOKUP(CONCATENATE(C930,D930),qdd!$C$2:$F$1000,3,FALSE),"")</f>
        <v/>
      </c>
      <c r="G930" s="2" t="str">
        <f>IFERROR(VLOOKUP(CONCATENATE(C930,D930),qdd!$C$2:$F$1000,4,FALSE),"")</f>
        <v/>
      </c>
      <c r="H930" s="6" t="str">
        <f t="shared" si="30"/>
        <v/>
      </c>
      <c r="I9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0" s="2" t="str">
        <f>IFERROR(IF('PREENCHER AQUI'!E930="","",'PREENCHER AQUI'!E930),"")</f>
        <v/>
      </c>
      <c r="K930" s="2" t="str">
        <f>IFERROR(IF('PREENCHER AQUI'!F930="","",'PREENCHER AQUI'!F930),"")</f>
        <v/>
      </c>
      <c r="L930" s="2" t="str">
        <f>IF(Tabela1[[#This Row],[IPU_COD]]=9,"91",IF(Tabela1[[#This Row],[ACAO_COD]]="","",VLOOKUP(CONCATENATE("G",J930,"M",K930),qdd!$BC$2:$BD$46,2,FALSE)))</f>
        <v/>
      </c>
      <c r="M930" s="2" t="str">
        <f>TEXT(IFERROR(VLOOKUP(CONCATENATE(C930,D930),qdd!$C$2:$G$1000,5,FALSE),""),0)</f>
        <v/>
      </c>
      <c r="N930" s="2" t="str">
        <f>IFERROR(IF('PREENCHER AQUI'!I930="","",'PREENCHER AQUI'!I930),"")</f>
        <v/>
      </c>
      <c r="O930" s="2" t="str">
        <f>IFERROR(IF('PREENCHER AQUI'!J930="","",'PREENCHER AQUI'!J930),"")</f>
        <v/>
      </c>
      <c r="P930" s="7" t="str">
        <f t="shared" si="31"/>
        <v/>
      </c>
      <c r="Q930" s="8" t="str">
        <f>IFERROR(IF(Tabela4[[#This Row],[VALOR]]="","",IF(Tabela1[[#This Row],[ORIENTACAO]]="Anular",'PREENCHER AQUI'!K930*-1*100,'PREENCHER AQUI'!K930*100)),"")</f>
        <v/>
      </c>
      <c r="T930" s="7" t="str">
        <f>IFERROR(IF('PREENCHER AQUI'!L930="","999",LEFT('PREENCHER AQUI'!L930,1)),"")</f>
        <v>999</v>
      </c>
      <c r="V930" s="19"/>
      <c r="W930" s="20" t="str">
        <f>IFERROR(VLOOKUP(Tabela1[[#This Row],[UO_COD]],qdd!$AT$1:$AU$102,2,FALSE),"")</f>
        <v/>
      </c>
      <c r="X930" s="20" t="str">
        <f>CONCATENATE("F",Tabela1[[#This Row],[FONTE_COD]],Tabela1[[#This Row],[IPU_COD]],"G",Tabela1[[#This Row],[GRUPO_COD]],"T",Tabela1[[#This Row],[TIPO]])</f>
        <v>FGT999</v>
      </c>
      <c r="Y9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0" s="19"/>
      <c r="AA930" s="29" t="str">
        <f>IFERROR(VLOOKUP(CONCATENATE("B",Tabela1[[#This Row],[BLOCO]],Tabela1[[#This Row],[UO_COD]]),qdd!$AW$2:$AX$1000,2,FALSE),"")</f>
        <v/>
      </c>
      <c r="AB930" s="30" t="str">
        <f>IFERROR(Tabela1[[#This Row],[VALOR]]/100,"")</f>
        <v/>
      </c>
      <c r="AC930" s="7" t="str" cm="1">
        <f t="array" aca="1" ref="AC930" ca="1">IF(Tabela1[[#This Row],[VALOR]]&lt;0,"",IFERROR(SUBSTITUTE(Converter_numero(Tabela1[[#This Row],[VALOR INCISO]]),",",""),""))</f>
        <v/>
      </c>
      <c r="AD930" s="29" t="str">
        <f>IF(Tabela1[[#This Row],[TIPO]]=REGRAS!$W$2,REGRAS!$X$2,IF(Tabela1[[#This Row],[TIPO]]=REGRAS!$W$4,REGRAS!$X$4,""))</f>
        <v/>
      </c>
      <c r="AE930" s="29" t="e">
        <f>VLOOKUP(Tabela1[[#This Row],[FONTE_COD]],REGRAS!$O$2:$P$69,2,FALSE)</f>
        <v>#N/A</v>
      </c>
      <c r="AF9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1" spans="1:32" ht="18.75" customHeight="1">
      <c r="A931" s="2" t="str">
        <f>IFERROR(IF('PREENCHER AQUI'!A931="","",'PREENCHER AQUI'!A931),"")</f>
        <v/>
      </c>
      <c r="B931" s="1" t="str">
        <f>IFERROR(IF('PREENCHER AQUI'!B931="","",PROPER('PREENCHER AQUI'!B931)),"")</f>
        <v/>
      </c>
      <c r="C931" s="1" t="str">
        <f>IFERROR(IF('PREENCHER AQUI'!C931="","",'PREENCHER AQUI'!C931),"")</f>
        <v/>
      </c>
      <c r="D931" s="2" t="str">
        <f>IFERROR(IF('PREENCHER AQUI'!D931="","",'PREENCHER AQUI'!D931),"")</f>
        <v/>
      </c>
      <c r="E931" s="2" t="str">
        <f>IFERROR(VLOOKUP(CONCATENATE(C931,D931),qdd!$C$2:$F$1000,2,FALSE),"")</f>
        <v/>
      </c>
      <c r="F931" s="2" t="str">
        <f>IFERROR(VLOOKUP(CONCATENATE(C931,D931),qdd!$C$2:$F$1000,3,FALSE),"")</f>
        <v/>
      </c>
      <c r="G931" s="2" t="str">
        <f>IFERROR(VLOOKUP(CONCATENATE(C931,D931),qdd!$C$2:$F$1000,4,FALSE),"")</f>
        <v/>
      </c>
      <c r="H931" s="6" t="str">
        <f t="shared" si="30"/>
        <v/>
      </c>
      <c r="I9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1" s="2" t="str">
        <f>IFERROR(IF('PREENCHER AQUI'!E931="","",'PREENCHER AQUI'!E931),"")</f>
        <v/>
      </c>
      <c r="K931" s="2" t="str">
        <f>IFERROR(IF('PREENCHER AQUI'!F931="","",'PREENCHER AQUI'!F931),"")</f>
        <v/>
      </c>
      <c r="L931" s="2" t="str">
        <f>IF(Tabela1[[#This Row],[IPU_COD]]=9,"91",IF(Tabela1[[#This Row],[ACAO_COD]]="","",VLOOKUP(CONCATENATE("G",J931,"M",K931),qdd!$BC$2:$BD$46,2,FALSE)))</f>
        <v/>
      </c>
      <c r="M931" s="2" t="str">
        <f>TEXT(IFERROR(VLOOKUP(CONCATENATE(C931,D931),qdd!$C$2:$G$1000,5,FALSE),""),0)</f>
        <v/>
      </c>
      <c r="N931" s="2" t="str">
        <f>IFERROR(IF('PREENCHER AQUI'!I931="","",'PREENCHER AQUI'!I931),"")</f>
        <v/>
      </c>
      <c r="O931" s="2" t="str">
        <f>IFERROR(IF('PREENCHER AQUI'!J931="","",'PREENCHER AQUI'!J931),"")</f>
        <v/>
      </c>
      <c r="P931" s="7" t="str">
        <f t="shared" si="31"/>
        <v/>
      </c>
      <c r="Q931" s="8" t="str">
        <f>IFERROR(IF(Tabela4[[#This Row],[VALOR]]="","",IF(Tabela1[[#This Row],[ORIENTACAO]]="Anular",'PREENCHER AQUI'!K931*-1*100,'PREENCHER AQUI'!K931*100)),"")</f>
        <v/>
      </c>
      <c r="T931" s="7" t="str">
        <f>IFERROR(IF('PREENCHER AQUI'!L931="","999",LEFT('PREENCHER AQUI'!L931,1)),"")</f>
        <v>999</v>
      </c>
      <c r="V931" s="19"/>
      <c r="W931" s="1" t="str">
        <f>IFERROR(VLOOKUP(Tabela1[[#This Row],[UO_COD]],qdd!$AT$1:$AU$102,2,FALSE),"")</f>
        <v/>
      </c>
      <c r="X931" s="1" t="str">
        <f>CONCATENATE("F",Tabela1[[#This Row],[FONTE_COD]],Tabela1[[#This Row],[IPU_COD]],"G",Tabela1[[#This Row],[GRUPO_COD]],"T",Tabela1[[#This Row],[TIPO]])</f>
        <v>FGT999</v>
      </c>
      <c r="Y9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1" s="19"/>
      <c r="AA931" s="29" t="str">
        <f>IFERROR(VLOOKUP(CONCATENATE("B",Tabela1[[#This Row],[BLOCO]],Tabela1[[#This Row],[UO_COD]]),qdd!$AW$2:$AX$1000,2,FALSE),"")</f>
        <v/>
      </c>
      <c r="AB931" s="30" t="str">
        <f>IFERROR(Tabela1[[#This Row],[VALOR]]/100,"")</f>
        <v/>
      </c>
      <c r="AC931" s="7" t="str" cm="1">
        <f t="array" aca="1" ref="AC931" ca="1">IF(Tabela1[[#This Row],[VALOR]]&lt;0,"",IFERROR(SUBSTITUTE(Converter_numero(Tabela1[[#This Row],[VALOR INCISO]]),",",""),""))</f>
        <v/>
      </c>
      <c r="AD931" s="29" t="str">
        <f>IF(Tabela1[[#This Row],[TIPO]]=REGRAS!$W$2,REGRAS!$X$2,IF(Tabela1[[#This Row],[TIPO]]=REGRAS!$W$4,REGRAS!$X$4,""))</f>
        <v/>
      </c>
      <c r="AE931" s="29" t="e">
        <f>VLOOKUP(Tabela1[[#This Row],[FONTE_COD]],REGRAS!$O$2:$P$69,2,FALSE)</f>
        <v>#N/A</v>
      </c>
      <c r="AF9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2" spans="1:32" ht="18.75" customHeight="1">
      <c r="A932" s="2" t="str">
        <f>IFERROR(IF('PREENCHER AQUI'!A932="","",'PREENCHER AQUI'!A932),"")</f>
        <v/>
      </c>
      <c r="B932" s="1" t="str">
        <f>IFERROR(IF('PREENCHER AQUI'!B932="","",PROPER('PREENCHER AQUI'!B932)),"")</f>
        <v/>
      </c>
      <c r="C932" s="1" t="str">
        <f>IFERROR(IF('PREENCHER AQUI'!C932="","",'PREENCHER AQUI'!C932),"")</f>
        <v/>
      </c>
      <c r="D932" s="2" t="str">
        <f>IFERROR(IF('PREENCHER AQUI'!D932="","",'PREENCHER AQUI'!D932),"")</f>
        <v/>
      </c>
      <c r="E932" s="2" t="str">
        <f>IFERROR(VLOOKUP(CONCATENATE(C932,D932),qdd!$C$2:$F$1000,2,FALSE),"")</f>
        <v/>
      </c>
      <c r="F932" s="2" t="str">
        <f>IFERROR(VLOOKUP(CONCATENATE(C932,D932),qdd!$C$2:$F$1000,3,FALSE),"")</f>
        <v/>
      </c>
      <c r="G932" s="2" t="str">
        <f>IFERROR(VLOOKUP(CONCATENATE(C932,D932),qdd!$C$2:$F$1000,4,FALSE),"")</f>
        <v/>
      </c>
      <c r="H932" s="6" t="str">
        <f t="shared" si="30"/>
        <v/>
      </c>
      <c r="I9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2" s="2" t="str">
        <f>IFERROR(IF('PREENCHER AQUI'!E932="","",'PREENCHER AQUI'!E932),"")</f>
        <v/>
      </c>
      <c r="K932" s="2" t="str">
        <f>IFERROR(IF('PREENCHER AQUI'!F932="","",'PREENCHER AQUI'!F932),"")</f>
        <v/>
      </c>
      <c r="L932" s="2" t="str">
        <f>IF(Tabela1[[#This Row],[IPU_COD]]=9,"91",IF(Tabela1[[#This Row],[ACAO_COD]]="","",VLOOKUP(CONCATENATE("G",J932,"M",K932),qdd!$BC$2:$BD$46,2,FALSE)))</f>
        <v/>
      </c>
      <c r="M932" s="2" t="str">
        <f>TEXT(IFERROR(VLOOKUP(CONCATENATE(C932,D932),qdd!$C$2:$G$1000,5,FALSE),""),0)</f>
        <v/>
      </c>
      <c r="N932" s="2" t="str">
        <f>IFERROR(IF('PREENCHER AQUI'!I932="","",'PREENCHER AQUI'!I932),"")</f>
        <v/>
      </c>
      <c r="O932" s="2" t="str">
        <f>IFERROR(IF('PREENCHER AQUI'!J932="","",'PREENCHER AQUI'!J932),"")</f>
        <v/>
      </c>
      <c r="P932" s="7" t="str">
        <f t="shared" si="31"/>
        <v/>
      </c>
      <c r="Q932" s="8" t="str">
        <f>IFERROR(IF(Tabela4[[#This Row],[VALOR]]="","",IF(Tabela1[[#This Row],[ORIENTACAO]]="Anular",'PREENCHER AQUI'!K932*-1*100,'PREENCHER AQUI'!K932*100)),"")</f>
        <v/>
      </c>
      <c r="T932" s="7" t="str">
        <f>IFERROR(IF('PREENCHER AQUI'!L932="","999",LEFT('PREENCHER AQUI'!L932,1)),"")</f>
        <v>999</v>
      </c>
      <c r="W932" s="1" t="str">
        <f>IFERROR(VLOOKUP(Tabela1[[#This Row],[UO_COD]],qdd!$AT$1:$AU$102,2,FALSE),"")</f>
        <v/>
      </c>
      <c r="X932" s="1" t="str">
        <f>CONCATENATE("F",Tabela1[[#This Row],[FONTE_COD]],Tabela1[[#This Row],[IPU_COD]],"G",Tabela1[[#This Row],[GRUPO_COD]],"T",Tabela1[[#This Row],[TIPO]])</f>
        <v>FGT999</v>
      </c>
      <c r="Y9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2" s="19"/>
      <c r="AA932" s="29" t="str">
        <f>IFERROR(VLOOKUP(CONCATENATE("B",Tabela1[[#This Row],[BLOCO]],Tabela1[[#This Row],[UO_COD]]),qdd!$AW$2:$AX$1000,2,FALSE),"")</f>
        <v/>
      </c>
      <c r="AB932" s="30" t="str">
        <f>IFERROR(Tabela1[[#This Row],[VALOR]]/100,"")</f>
        <v/>
      </c>
      <c r="AC932" s="7" t="str" cm="1">
        <f t="array" aca="1" ref="AC932" ca="1">IF(Tabela1[[#This Row],[VALOR]]&lt;0,"",IFERROR(SUBSTITUTE(Converter_numero(Tabela1[[#This Row],[VALOR INCISO]]),",",""),""))</f>
        <v/>
      </c>
      <c r="AD932" s="7" t="str">
        <f>IF(Tabela1[[#This Row],[TIPO]]=REGRAS!$W$2,REGRAS!$X$2,IF(Tabela1[[#This Row],[TIPO]]=REGRAS!$W$4,REGRAS!$X$4,""))</f>
        <v/>
      </c>
      <c r="AE932" s="29" t="e">
        <f>VLOOKUP(Tabela1[[#This Row],[FONTE_COD]],REGRAS!$O$2:$P$69,2,FALSE)</f>
        <v>#N/A</v>
      </c>
      <c r="AF9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3" spans="1:32" ht="18.75" customHeight="1">
      <c r="A933" s="2" t="str">
        <f>IFERROR(IF('PREENCHER AQUI'!A933="","",'PREENCHER AQUI'!A933),"")</f>
        <v/>
      </c>
      <c r="B933" s="1" t="str">
        <f>IFERROR(IF('PREENCHER AQUI'!B933="","",PROPER('PREENCHER AQUI'!B933)),"")</f>
        <v/>
      </c>
      <c r="C933" s="1" t="str">
        <f>IFERROR(IF('PREENCHER AQUI'!C933="","",'PREENCHER AQUI'!C933),"")</f>
        <v/>
      </c>
      <c r="D933" s="2" t="str">
        <f>IFERROR(IF('PREENCHER AQUI'!D933="","",'PREENCHER AQUI'!D933),"")</f>
        <v/>
      </c>
      <c r="E933" s="2" t="str">
        <f>IFERROR(VLOOKUP(CONCATENATE(C933,D933),qdd!$C$2:$F$1000,2,FALSE),"")</f>
        <v/>
      </c>
      <c r="F933" s="2" t="str">
        <f>IFERROR(VLOOKUP(CONCATENATE(C933,D933),qdd!$C$2:$F$1000,3,FALSE),"")</f>
        <v/>
      </c>
      <c r="G933" s="2" t="str">
        <f>IFERROR(VLOOKUP(CONCATENATE(C933,D933),qdd!$C$2:$F$1000,4,FALSE),"")</f>
        <v/>
      </c>
      <c r="H933" s="6" t="str">
        <f t="shared" si="30"/>
        <v/>
      </c>
      <c r="I9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3" s="2" t="str">
        <f>IFERROR(IF('PREENCHER AQUI'!E933="","",'PREENCHER AQUI'!E933),"")</f>
        <v/>
      </c>
      <c r="K933" s="2" t="str">
        <f>IFERROR(IF('PREENCHER AQUI'!F933="","",'PREENCHER AQUI'!F933),"")</f>
        <v/>
      </c>
      <c r="L933" s="2" t="str">
        <f>IF(Tabela1[[#This Row],[IPU_COD]]=9,"91",IF(Tabela1[[#This Row],[ACAO_COD]]="","",VLOOKUP(CONCATENATE("G",J933,"M",K933),qdd!$BC$2:$BD$46,2,FALSE)))</f>
        <v/>
      </c>
      <c r="M933" s="2" t="str">
        <f>TEXT(IFERROR(VLOOKUP(CONCATENATE(C933,D933),qdd!$C$2:$G$1000,5,FALSE),""),0)</f>
        <v/>
      </c>
      <c r="N933" s="2" t="str">
        <f>IFERROR(IF('PREENCHER AQUI'!I933="","",'PREENCHER AQUI'!I933),"")</f>
        <v/>
      </c>
      <c r="O933" s="2" t="str">
        <f>IFERROR(IF('PREENCHER AQUI'!J933="","",'PREENCHER AQUI'!J933),"")</f>
        <v/>
      </c>
      <c r="P933" s="7" t="str">
        <f t="shared" si="31"/>
        <v/>
      </c>
      <c r="Q933" s="8" t="str">
        <f>IFERROR(IF(Tabela4[[#This Row],[VALOR]]="","",IF(Tabela1[[#This Row],[ORIENTACAO]]="Anular",'PREENCHER AQUI'!K933*-1*100,'PREENCHER AQUI'!K933*100)),"")</f>
        <v/>
      </c>
      <c r="T933" s="7" t="str">
        <f>IFERROR(IF('PREENCHER AQUI'!L933="","999",LEFT('PREENCHER AQUI'!L933,1)),"")</f>
        <v>999</v>
      </c>
      <c r="V933" s="19"/>
      <c r="W933" s="1" t="str">
        <f>IFERROR(VLOOKUP(Tabela1[[#This Row],[UO_COD]],qdd!$AT$1:$AU$102,2,FALSE),"")</f>
        <v/>
      </c>
      <c r="X933" s="1" t="str">
        <f>CONCATENATE("F",Tabela1[[#This Row],[FONTE_COD]],Tabela1[[#This Row],[IPU_COD]],"G",Tabela1[[#This Row],[GRUPO_COD]],"T",Tabela1[[#This Row],[TIPO]])</f>
        <v>FGT999</v>
      </c>
      <c r="Y9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3" s="19"/>
      <c r="AA933" s="29" t="str">
        <f>IFERROR(VLOOKUP(CONCATENATE("B",Tabela1[[#This Row],[BLOCO]],Tabela1[[#This Row],[UO_COD]]),qdd!$AW$2:$AX$1000,2,FALSE),"")</f>
        <v/>
      </c>
      <c r="AB933" s="30" t="str">
        <f>IFERROR(Tabela1[[#This Row],[VALOR]]/100,"")</f>
        <v/>
      </c>
      <c r="AC933" s="7" t="str" cm="1">
        <f t="array" aca="1" ref="AC933" ca="1">IF(Tabela1[[#This Row],[VALOR]]&lt;0,"",IFERROR(SUBSTITUTE(Converter_numero(Tabela1[[#This Row],[VALOR INCISO]]),",",""),""))</f>
        <v/>
      </c>
      <c r="AD933" s="29" t="str">
        <f>IF(Tabela1[[#This Row],[TIPO]]=REGRAS!$W$2,REGRAS!$X$2,IF(Tabela1[[#This Row],[TIPO]]=REGRAS!$W$4,REGRAS!$X$4,""))</f>
        <v/>
      </c>
      <c r="AE933" s="29" t="e">
        <f>VLOOKUP(Tabela1[[#This Row],[FONTE_COD]],REGRAS!$O$2:$P$69,2,FALSE)</f>
        <v>#N/A</v>
      </c>
      <c r="AF9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4" spans="1:32" ht="18.75" customHeight="1">
      <c r="A934" s="2" t="str">
        <f>IFERROR(IF('PREENCHER AQUI'!A934="","",'PREENCHER AQUI'!A934),"")</f>
        <v/>
      </c>
      <c r="B934" s="1" t="str">
        <f>IFERROR(IF('PREENCHER AQUI'!B934="","",PROPER('PREENCHER AQUI'!B934)),"")</f>
        <v/>
      </c>
      <c r="C934" s="1" t="str">
        <f>IFERROR(IF('PREENCHER AQUI'!C934="","",'PREENCHER AQUI'!C934),"")</f>
        <v/>
      </c>
      <c r="D934" s="2" t="str">
        <f>IFERROR(IF('PREENCHER AQUI'!D934="","",'PREENCHER AQUI'!D934),"")</f>
        <v/>
      </c>
      <c r="E934" s="2" t="str">
        <f>IFERROR(VLOOKUP(CONCATENATE(C934,D934),qdd!$C$2:$F$1000,2,FALSE),"")</f>
        <v/>
      </c>
      <c r="F934" s="2" t="str">
        <f>IFERROR(VLOOKUP(CONCATENATE(C934,D934),qdd!$C$2:$F$1000,3,FALSE),"")</f>
        <v/>
      </c>
      <c r="G934" s="2" t="str">
        <f>IFERROR(VLOOKUP(CONCATENATE(C934,D934),qdd!$C$2:$F$1000,4,FALSE),"")</f>
        <v/>
      </c>
      <c r="H934" s="6" t="str">
        <f t="shared" si="30"/>
        <v/>
      </c>
      <c r="I9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4" s="2" t="str">
        <f>IFERROR(IF('PREENCHER AQUI'!E934="","",'PREENCHER AQUI'!E934),"")</f>
        <v/>
      </c>
      <c r="K934" s="2" t="str">
        <f>IFERROR(IF('PREENCHER AQUI'!F934="","",'PREENCHER AQUI'!F934),"")</f>
        <v/>
      </c>
      <c r="L934" s="2" t="str">
        <f>IF(Tabela1[[#This Row],[IPU_COD]]=9,"91",IF(Tabela1[[#This Row],[ACAO_COD]]="","",VLOOKUP(CONCATENATE("G",J934,"M",K934),qdd!$BC$2:$BD$46,2,FALSE)))</f>
        <v/>
      </c>
      <c r="M934" s="2" t="str">
        <f>TEXT(IFERROR(VLOOKUP(CONCATENATE(C934,D934),qdd!$C$2:$G$1000,5,FALSE),""),0)</f>
        <v/>
      </c>
      <c r="N934" s="2" t="str">
        <f>IFERROR(IF('PREENCHER AQUI'!I934="","",'PREENCHER AQUI'!I934),"")</f>
        <v/>
      </c>
      <c r="O934" s="2" t="str">
        <f>IFERROR(IF('PREENCHER AQUI'!J934="","",'PREENCHER AQUI'!J934),"")</f>
        <v/>
      </c>
      <c r="P934" s="7" t="str">
        <f t="shared" si="31"/>
        <v/>
      </c>
      <c r="Q934" s="8" t="str">
        <f>IFERROR(IF(Tabela4[[#This Row],[VALOR]]="","",IF(Tabela1[[#This Row],[ORIENTACAO]]="Anular",'PREENCHER AQUI'!K934*-1*100,'PREENCHER AQUI'!K934*100)),"")</f>
        <v/>
      </c>
      <c r="T934" s="7" t="str">
        <f>IFERROR(IF('PREENCHER AQUI'!L934="","999",LEFT('PREENCHER AQUI'!L934,1)),"")</f>
        <v>999</v>
      </c>
      <c r="V934" s="19"/>
      <c r="W934" s="1" t="str">
        <f>IFERROR(VLOOKUP(Tabela1[[#This Row],[UO_COD]],qdd!$AT$1:$AU$102,2,FALSE),"")</f>
        <v/>
      </c>
      <c r="X934" s="1" t="str">
        <f>CONCATENATE("F",Tabela1[[#This Row],[FONTE_COD]],Tabela1[[#This Row],[IPU_COD]],"G",Tabela1[[#This Row],[GRUPO_COD]],"T",Tabela1[[#This Row],[TIPO]])</f>
        <v>FGT999</v>
      </c>
      <c r="Y9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4" s="19"/>
      <c r="AA934" s="29" t="str">
        <f>IFERROR(VLOOKUP(CONCATENATE("B",Tabela1[[#This Row],[BLOCO]],Tabela1[[#This Row],[UO_COD]]),qdd!$AW$2:$AX$1000,2,FALSE),"")</f>
        <v/>
      </c>
      <c r="AB934" s="30" t="str">
        <f>IFERROR(Tabela1[[#This Row],[VALOR]]/100,"")</f>
        <v/>
      </c>
      <c r="AC934" s="7" t="str" cm="1">
        <f t="array" aca="1" ref="AC934" ca="1">IF(Tabela1[[#This Row],[VALOR]]&lt;0,"",IFERROR(SUBSTITUTE(Converter_numero(Tabela1[[#This Row],[VALOR INCISO]]),",",""),""))</f>
        <v/>
      </c>
      <c r="AD934" s="29" t="str">
        <f>IF(Tabela1[[#This Row],[TIPO]]=REGRAS!$W$2,REGRAS!$X$2,IF(Tabela1[[#This Row],[TIPO]]=REGRAS!$W$4,REGRAS!$X$4,""))</f>
        <v/>
      </c>
      <c r="AE934" s="29" t="e">
        <f>VLOOKUP(Tabela1[[#This Row],[FONTE_COD]],REGRAS!$O$2:$P$69,2,FALSE)</f>
        <v>#N/A</v>
      </c>
      <c r="AF9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5" spans="1:32" ht="18.75" customHeight="1">
      <c r="A935" s="2" t="str">
        <f>IFERROR(IF('PREENCHER AQUI'!A935="","",'PREENCHER AQUI'!A935),"")</f>
        <v/>
      </c>
      <c r="B935" s="1" t="str">
        <f>IFERROR(IF('PREENCHER AQUI'!B935="","",PROPER('PREENCHER AQUI'!B935)),"")</f>
        <v/>
      </c>
      <c r="C935" s="1" t="str">
        <f>IFERROR(IF('PREENCHER AQUI'!C935="","",'PREENCHER AQUI'!C935),"")</f>
        <v/>
      </c>
      <c r="D935" s="2" t="str">
        <f>IFERROR(IF('PREENCHER AQUI'!D935="","",'PREENCHER AQUI'!D935),"")</f>
        <v/>
      </c>
      <c r="E935" s="2" t="str">
        <f>IFERROR(VLOOKUP(CONCATENATE(C935,D935),qdd!$C$2:$F$1000,2,FALSE),"")</f>
        <v/>
      </c>
      <c r="F935" s="2" t="str">
        <f>IFERROR(VLOOKUP(CONCATENATE(C935,D935),qdd!$C$2:$F$1000,3,FALSE),"")</f>
        <v/>
      </c>
      <c r="G935" s="2" t="str">
        <f>IFERROR(VLOOKUP(CONCATENATE(C935,D935),qdd!$C$2:$F$1000,4,FALSE),"")</f>
        <v/>
      </c>
      <c r="H935" s="6" t="str">
        <f t="shared" si="30"/>
        <v/>
      </c>
      <c r="I9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5" s="2" t="str">
        <f>IFERROR(IF('PREENCHER AQUI'!E935="","",'PREENCHER AQUI'!E935),"")</f>
        <v/>
      </c>
      <c r="K935" s="2" t="str">
        <f>IFERROR(IF('PREENCHER AQUI'!F935="","",'PREENCHER AQUI'!F935),"")</f>
        <v/>
      </c>
      <c r="L935" s="2" t="str">
        <f>IF(Tabela1[[#This Row],[IPU_COD]]=9,"91",IF(Tabela1[[#This Row],[ACAO_COD]]="","",VLOOKUP(CONCATENATE("G",J935,"M",K935),qdd!$BC$2:$BD$46,2,FALSE)))</f>
        <v/>
      </c>
      <c r="M935" s="2" t="str">
        <f>TEXT(IFERROR(VLOOKUP(CONCATENATE(C935,D935),qdd!$C$2:$G$1000,5,FALSE),""),0)</f>
        <v/>
      </c>
      <c r="N935" s="2" t="str">
        <f>IFERROR(IF('PREENCHER AQUI'!I935="","",'PREENCHER AQUI'!I935),"")</f>
        <v/>
      </c>
      <c r="O935" s="2" t="str">
        <f>IFERROR(IF('PREENCHER AQUI'!J935="","",'PREENCHER AQUI'!J935),"")</f>
        <v/>
      </c>
      <c r="P935" s="7" t="str">
        <f t="shared" si="31"/>
        <v/>
      </c>
      <c r="Q935" s="8" t="str">
        <f>IFERROR(IF(Tabela4[[#This Row],[VALOR]]="","",IF(Tabela1[[#This Row],[ORIENTACAO]]="Anular",'PREENCHER AQUI'!K935*-1*100,'PREENCHER AQUI'!K935*100)),"")</f>
        <v/>
      </c>
      <c r="T935" s="7" t="str">
        <f>IFERROR(IF('PREENCHER AQUI'!L935="","999",LEFT('PREENCHER AQUI'!L935,1)),"")</f>
        <v>999</v>
      </c>
      <c r="V935" s="19"/>
      <c r="W935" s="20" t="str">
        <f>IFERROR(VLOOKUP(Tabela1[[#This Row],[UO_COD]],qdd!$AT$1:$AU$102,2,FALSE),"")</f>
        <v/>
      </c>
      <c r="X935" s="20" t="str">
        <f>CONCATENATE("F",Tabela1[[#This Row],[FONTE_COD]],Tabela1[[#This Row],[IPU_COD]],"G",Tabela1[[#This Row],[GRUPO_COD]],"T",Tabela1[[#This Row],[TIPO]])</f>
        <v>FGT999</v>
      </c>
      <c r="Y9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5" s="19"/>
      <c r="AA935" s="29" t="str">
        <f>IFERROR(VLOOKUP(CONCATENATE("B",Tabela1[[#This Row],[BLOCO]],Tabela1[[#This Row],[UO_COD]]),qdd!$AW$2:$AX$1000,2,FALSE),"")</f>
        <v/>
      </c>
      <c r="AB935" s="30" t="str">
        <f>IFERROR(Tabela1[[#This Row],[VALOR]]/100,"")</f>
        <v/>
      </c>
      <c r="AC935" s="7" t="str" cm="1">
        <f t="array" aca="1" ref="AC935" ca="1">IF(Tabela1[[#This Row],[VALOR]]&lt;0,"",IFERROR(SUBSTITUTE(Converter_numero(Tabela1[[#This Row],[VALOR INCISO]]),",",""),""))</f>
        <v/>
      </c>
      <c r="AD935" s="29" t="str">
        <f>IF(Tabela1[[#This Row],[TIPO]]=REGRAS!$W$2,REGRAS!$X$2,IF(Tabela1[[#This Row],[TIPO]]=REGRAS!$W$4,REGRAS!$X$4,""))</f>
        <v/>
      </c>
      <c r="AE935" s="29" t="e">
        <f>VLOOKUP(Tabela1[[#This Row],[FONTE_COD]],REGRAS!$O$2:$P$69,2,FALSE)</f>
        <v>#N/A</v>
      </c>
      <c r="AF9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6" spans="1:32" ht="18.75" customHeight="1">
      <c r="A936" s="2" t="str">
        <f>IFERROR(IF('PREENCHER AQUI'!A936="","",'PREENCHER AQUI'!A936),"")</f>
        <v/>
      </c>
      <c r="B936" s="1" t="str">
        <f>IFERROR(IF('PREENCHER AQUI'!B936="","",PROPER('PREENCHER AQUI'!B936)),"")</f>
        <v/>
      </c>
      <c r="C936" s="1" t="str">
        <f>IFERROR(IF('PREENCHER AQUI'!C936="","",'PREENCHER AQUI'!C936),"")</f>
        <v/>
      </c>
      <c r="D936" s="2" t="str">
        <f>IFERROR(IF('PREENCHER AQUI'!D936="","",'PREENCHER AQUI'!D936),"")</f>
        <v/>
      </c>
      <c r="E936" s="2" t="str">
        <f>IFERROR(VLOOKUP(CONCATENATE(C936,D936),qdd!$C$2:$F$1000,2,FALSE),"")</f>
        <v/>
      </c>
      <c r="F936" s="2" t="str">
        <f>IFERROR(VLOOKUP(CONCATENATE(C936,D936),qdd!$C$2:$F$1000,3,FALSE),"")</f>
        <v/>
      </c>
      <c r="G936" s="2" t="str">
        <f>IFERROR(VLOOKUP(CONCATENATE(C936,D936),qdd!$C$2:$F$1000,4,FALSE),"")</f>
        <v/>
      </c>
      <c r="H936" s="6" t="str">
        <f t="shared" si="30"/>
        <v/>
      </c>
      <c r="I9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6" s="2" t="str">
        <f>IFERROR(IF('PREENCHER AQUI'!E936="","",'PREENCHER AQUI'!E936),"")</f>
        <v/>
      </c>
      <c r="K936" s="2" t="str">
        <f>IFERROR(IF('PREENCHER AQUI'!F936="","",'PREENCHER AQUI'!F936),"")</f>
        <v/>
      </c>
      <c r="L936" s="2" t="str">
        <f>IF(Tabela1[[#This Row],[IPU_COD]]=9,"91",IF(Tabela1[[#This Row],[ACAO_COD]]="","",VLOOKUP(CONCATENATE("G",J936,"M",K936),qdd!$BC$2:$BD$46,2,FALSE)))</f>
        <v/>
      </c>
      <c r="M936" s="2" t="str">
        <f>TEXT(IFERROR(VLOOKUP(CONCATENATE(C936,D936),qdd!$C$2:$G$1000,5,FALSE),""),0)</f>
        <v/>
      </c>
      <c r="N936" s="2" t="str">
        <f>IFERROR(IF('PREENCHER AQUI'!I936="","",'PREENCHER AQUI'!I936),"")</f>
        <v/>
      </c>
      <c r="O936" s="2" t="str">
        <f>IFERROR(IF('PREENCHER AQUI'!J936="","",'PREENCHER AQUI'!J936),"")</f>
        <v/>
      </c>
      <c r="P936" s="7" t="str">
        <f t="shared" si="31"/>
        <v/>
      </c>
      <c r="Q936" s="8" t="str">
        <f>IFERROR(IF(Tabela4[[#This Row],[VALOR]]="","",IF(Tabela1[[#This Row],[ORIENTACAO]]="Anular",'PREENCHER AQUI'!K936*-1*100,'PREENCHER AQUI'!K936*100)),"")</f>
        <v/>
      </c>
      <c r="T936" s="7" t="str">
        <f>IFERROR(IF('PREENCHER AQUI'!L936="","999",LEFT('PREENCHER AQUI'!L936,1)),"")</f>
        <v>999</v>
      </c>
      <c r="V936" s="19"/>
      <c r="W936" s="1" t="str">
        <f>IFERROR(VLOOKUP(Tabela1[[#This Row],[UO_COD]],qdd!$AT$1:$AU$102,2,FALSE),"")</f>
        <v/>
      </c>
      <c r="X936" s="1" t="str">
        <f>CONCATENATE("F",Tabela1[[#This Row],[FONTE_COD]],Tabela1[[#This Row],[IPU_COD]],"G",Tabela1[[#This Row],[GRUPO_COD]],"T",Tabela1[[#This Row],[TIPO]])</f>
        <v>FGT999</v>
      </c>
      <c r="Y9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6" s="19"/>
      <c r="AA936" s="29" t="str">
        <f>IFERROR(VLOOKUP(CONCATENATE("B",Tabela1[[#This Row],[BLOCO]],Tabela1[[#This Row],[UO_COD]]),qdd!$AW$2:$AX$1000,2,FALSE),"")</f>
        <v/>
      </c>
      <c r="AB936" s="30" t="str">
        <f>IFERROR(Tabela1[[#This Row],[VALOR]]/100,"")</f>
        <v/>
      </c>
      <c r="AC936" s="7" t="str" cm="1">
        <f t="array" aca="1" ref="AC936" ca="1">IF(Tabela1[[#This Row],[VALOR]]&lt;0,"",IFERROR(SUBSTITUTE(Converter_numero(Tabela1[[#This Row],[VALOR INCISO]]),",",""),""))</f>
        <v/>
      </c>
      <c r="AD936" s="29" t="str">
        <f>IF(Tabela1[[#This Row],[TIPO]]=REGRAS!$W$2,REGRAS!$X$2,IF(Tabela1[[#This Row],[TIPO]]=REGRAS!$W$4,REGRAS!$X$4,""))</f>
        <v/>
      </c>
      <c r="AE936" s="29" t="e">
        <f>VLOOKUP(Tabela1[[#This Row],[FONTE_COD]],REGRAS!$O$2:$P$69,2,FALSE)</f>
        <v>#N/A</v>
      </c>
      <c r="AF9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7" spans="1:32" ht="18.75" customHeight="1">
      <c r="A937" s="2" t="str">
        <f>IFERROR(IF('PREENCHER AQUI'!A937="","",'PREENCHER AQUI'!A937),"")</f>
        <v/>
      </c>
      <c r="B937" s="1" t="str">
        <f>IFERROR(IF('PREENCHER AQUI'!B937="","",PROPER('PREENCHER AQUI'!B937)),"")</f>
        <v/>
      </c>
      <c r="C937" s="1" t="str">
        <f>IFERROR(IF('PREENCHER AQUI'!C937="","",'PREENCHER AQUI'!C937),"")</f>
        <v/>
      </c>
      <c r="D937" s="2" t="str">
        <f>IFERROR(IF('PREENCHER AQUI'!D937="","",'PREENCHER AQUI'!D937),"")</f>
        <v/>
      </c>
      <c r="E937" s="2" t="str">
        <f>IFERROR(VLOOKUP(CONCATENATE(C937,D937),qdd!$C$2:$F$1000,2,FALSE),"")</f>
        <v/>
      </c>
      <c r="F937" s="2" t="str">
        <f>IFERROR(VLOOKUP(CONCATENATE(C937,D937),qdd!$C$2:$F$1000,3,FALSE),"")</f>
        <v/>
      </c>
      <c r="G937" s="2" t="str">
        <f>IFERROR(VLOOKUP(CONCATENATE(C937,D937),qdd!$C$2:$F$1000,4,FALSE),"")</f>
        <v/>
      </c>
      <c r="H937" s="6" t="str">
        <f t="shared" si="30"/>
        <v/>
      </c>
      <c r="I9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7" s="2" t="str">
        <f>IFERROR(IF('PREENCHER AQUI'!E937="","",'PREENCHER AQUI'!E937),"")</f>
        <v/>
      </c>
      <c r="K937" s="2" t="str">
        <f>IFERROR(IF('PREENCHER AQUI'!F937="","",'PREENCHER AQUI'!F937),"")</f>
        <v/>
      </c>
      <c r="L937" s="2" t="str">
        <f>IF(Tabela1[[#This Row],[IPU_COD]]=9,"91",IF(Tabela1[[#This Row],[ACAO_COD]]="","",VLOOKUP(CONCATENATE("G",J937,"M",K937),qdd!$BC$2:$BD$46,2,FALSE)))</f>
        <v/>
      </c>
      <c r="M937" s="2" t="str">
        <f>TEXT(IFERROR(VLOOKUP(CONCATENATE(C937,D937),qdd!$C$2:$G$1000,5,FALSE),""),0)</f>
        <v/>
      </c>
      <c r="N937" s="2" t="str">
        <f>IFERROR(IF('PREENCHER AQUI'!I937="","",'PREENCHER AQUI'!I937),"")</f>
        <v/>
      </c>
      <c r="O937" s="2" t="str">
        <f>IFERROR(IF('PREENCHER AQUI'!J937="","",'PREENCHER AQUI'!J937),"")</f>
        <v/>
      </c>
      <c r="P937" s="7" t="str">
        <f t="shared" si="31"/>
        <v/>
      </c>
      <c r="Q937" s="8" t="str">
        <f>IFERROR(IF(Tabela4[[#This Row],[VALOR]]="","",IF(Tabela1[[#This Row],[ORIENTACAO]]="Anular",'PREENCHER AQUI'!K937*-1*100,'PREENCHER AQUI'!K937*100)),"")</f>
        <v/>
      </c>
      <c r="T937" s="7" t="str">
        <f>IFERROR(IF('PREENCHER AQUI'!L937="","999",LEFT('PREENCHER AQUI'!L937,1)),"")</f>
        <v>999</v>
      </c>
      <c r="W937" s="1" t="str">
        <f>IFERROR(VLOOKUP(Tabela1[[#This Row],[UO_COD]],qdd!$AT$1:$AU$102,2,FALSE),"")</f>
        <v/>
      </c>
      <c r="X937" s="1" t="str">
        <f>CONCATENATE("F",Tabela1[[#This Row],[FONTE_COD]],Tabela1[[#This Row],[IPU_COD]],"G",Tabela1[[#This Row],[GRUPO_COD]],"T",Tabela1[[#This Row],[TIPO]])</f>
        <v>FGT999</v>
      </c>
      <c r="Y9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7" s="19"/>
      <c r="AA937" s="29" t="str">
        <f>IFERROR(VLOOKUP(CONCATENATE("B",Tabela1[[#This Row],[BLOCO]],Tabela1[[#This Row],[UO_COD]]),qdd!$AW$2:$AX$1000,2,FALSE),"")</f>
        <v/>
      </c>
      <c r="AB937" s="30" t="str">
        <f>IFERROR(Tabela1[[#This Row],[VALOR]]/100,"")</f>
        <v/>
      </c>
      <c r="AC937" s="7" t="str" cm="1">
        <f t="array" aca="1" ref="AC937" ca="1">IF(Tabela1[[#This Row],[VALOR]]&lt;0,"",IFERROR(SUBSTITUTE(Converter_numero(Tabela1[[#This Row],[VALOR INCISO]]),",",""),""))</f>
        <v/>
      </c>
      <c r="AD937" s="7" t="str">
        <f>IF(Tabela1[[#This Row],[TIPO]]=REGRAS!$W$2,REGRAS!$X$2,IF(Tabela1[[#This Row],[TIPO]]=REGRAS!$W$4,REGRAS!$X$4,""))</f>
        <v/>
      </c>
      <c r="AE937" s="29" t="e">
        <f>VLOOKUP(Tabela1[[#This Row],[FONTE_COD]],REGRAS!$O$2:$P$69,2,FALSE)</f>
        <v>#N/A</v>
      </c>
      <c r="AF9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8" spans="1:32" ht="18.75" customHeight="1">
      <c r="A938" s="2" t="str">
        <f>IFERROR(IF('PREENCHER AQUI'!A938="","",'PREENCHER AQUI'!A938),"")</f>
        <v/>
      </c>
      <c r="B938" s="1" t="str">
        <f>IFERROR(IF('PREENCHER AQUI'!B938="","",PROPER('PREENCHER AQUI'!B938)),"")</f>
        <v/>
      </c>
      <c r="C938" s="1" t="str">
        <f>IFERROR(IF('PREENCHER AQUI'!C938="","",'PREENCHER AQUI'!C938),"")</f>
        <v/>
      </c>
      <c r="D938" s="2" t="str">
        <f>IFERROR(IF('PREENCHER AQUI'!D938="","",'PREENCHER AQUI'!D938),"")</f>
        <v/>
      </c>
      <c r="E938" s="2" t="str">
        <f>IFERROR(VLOOKUP(CONCATENATE(C938,D938),qdd!$C$2:$F$1000,2,FALSE),"")</f>
        <v/>
      </c>
      <c r="F938" s="2" t="str">
        <f>IFERROR(VLOOKUP(CONCATENATE(C938,D938),qdd!$C$2:$F$1000,3,FALSE),"")</f>
        <v/>
      </c>
      <c r="G938" s="2" t="str">
        <f>IFERROR(VLOOKUP(CONCATENATE(C938,D938),qdd!$C$2:$F$1000,4,FALSE),"")</f>
        <v/>
      </c>
      <c r="H938" s="6" t="str">
        <f t="shared" si="30"/>
        <v/>
      </c>
      <c r="I9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8" s="2" t="str">
        <f>IFERROR(IF('PREENCHER AQUI'!E938="","",'PREENCHER AQUI'!E938),"")</f>
        <v/>
      </c>
      <c r="K938" s="2" t="str">
        <f>IFERROR(IF('PREENCHER AQUI'!F938="","",'PREENCHER AQUI'!F938),"")</f>
        <v/>
      </c>
      <c r="L938" s="2" t="str">
        <f>IF(Tabela1[[#This Row],[IPU_COD]]=9,"91",IF(Tabela1[[#This Row],[ACAO_COD]]="","",VLOOKUP(CONCATENATE("G",J938,"M",K938),qdd!$BC$2:$BD$46,2,FALSE)))</f>
        <v/>
      </c>
      <c r="M938" s="2" t="str">
        <f>TEXT(IFERROR(VLOOKUP(CONCATENATE(C938,D938),qdd!$C$2:$G$1000,5,FALSE),""),0)</f>
        <v/>
      </c>
      <c r="N938" s="2" t="str">
        <f>IFERROR(IF('PREENCHER AQUI'!I938="","",'PREENCHER AQUI'!I938),"")</f>
        <v/>
      </c>
      <c r="O938" s="2" t="str">
        <f>IFERROR(IF('PREENCHER AQUI'!J938="","",'PREENCHER AQUI'!J938),"")</f>
        <v/>
      </c>
      <c r="P938" s="7" t="str">
        <f t="shared" si="31"/>
        <v/>
      </c>
      <c r="Q938" s="8" t="str">
        <f>IFERROR(IF(Tabela4[[#This Row],[VALOR]]="","",IF(Tabela1[[#This Row],[ORIENTACAO]]="Anular",'PREENCHER AQUI'!K938*-1*100,'PREENCHER AQUI'!K938*100)),"")</f>
        <v/>
      </c>
      <c r="T938" s="7" t="str">
        <f>IFERROR(IF('PREENCHER AQUI'!L938="","999",LEFT('PREENCHER AQUI'!L938,1)),"")</f>
        <v>999</v>
      </c>
      <c r="V938" s="19"/>
      <c r="W938" s="1" t="str">
        <f>IFERROR(VLOOKUP(Tabela1[[#This Row],[UO_COD]],qdd!$AT$1:$AU$102,2,FALSE),"")</f>
        <v/>
      </c>
      <c r="X938" s="1" t="str">
        <f>CONCATENATE("F",Tabela1[[#This Row],[FONTE_COD]],Tabela1[[#This Row],[IPU_COD]],"G",Tabela1[[#This Row],[GRUPO_COD]],"T",Tabela1[[#This Row],[TIPO]])</f>
        <v>FGT999</v>
      </c>
      <c r="Y9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8" s="19"/>
      <c r="AA938" s="29" t="str">
        <f>IFERROR(VLOOKUP(CONCATENATE("B",Tabela1[[#This Row],[BLOCO]],Tabela1[[#This Row],[UO_COD]]),qdd!$AW$2:$AX$1000,2,FALSE),"")</f>
        <v/>
      </c>
      <c r="AB938" s="30" t="str">
        <f>IFERROR(Tabela1[[#This Row],[VALOR]]/100,"")</f>
        <v/>
      </c>
      <c r="AC938" s="7" t="str" cm="1">
        <f t="array" aca="1" ref="AC938" ca="1">IF(Tabela1[[#This Row],[VALOR]]&lt;0,"",IFERROR(SUBSTITUTE(Converter_numero(Tabela1[[#This Row],[VALOR INCISO]]),",",""),""))</f>
        <v/>
      </c>
      <c r="AD938" s="29" t="str">
        <f>IF(Tabela1[[#This Row],[TIPO]]=REGRAS!$W$2,REGRAS!$X$2,IF(Tabela1[[#This Row],[TIPO]]=REGRAS!$W$4,REGRAS!$X$4,""))</f>
        <v/>
      </c>
      <c r="AE938" s="29" t="e">
        <f>VLOOKUP(Tabela1[[#This Row],[FONTE_COD]],REGRAS!$O$2:$P$69,2,FALSE)</f>
        <v>#N/A</v>
      </c>
      <c r="AF9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9" spans="1:32" ht="18.75" customHeight="1">
      <c r="A939" s="2" t="str">
        <f>IFERROR(IF('PREENCHER AQUI'!A939="","",'PREENCHER AQUI'!A939),"")</f>
        <v/>
      </c>
      <c r="B939" s="1" t="str">
        <f>IFERROR(IF('PREENCHER AQUI'!B939="","",PROPER('PREENCHER AQUI'!B939)),"")</f>
        <v/>
      </c>
      <c r="C939" s="1" t="str">
        <f>IFERROR(IF('PREENCHER AQUI'!C939="","",'PREENCHER AQUI'!C939),"")</f>
        <v/>
      </c>
      <c r="D939" s="2" t="str">
        <f>IFERROR(IF('PREENCHER AQUI'!D939="","",'PREENCHER AQUI'!D939),"")</f>
        <v/>
      </c>
      <c r="E939" s="2" t="str">
        <f>IFERROR(VLOOKUP(CONCATENATE(C939,D939),qdd!$C$2:$F$1000,2,FALSE),"")</f>
        <v/>
      </c>
      <c r="F939" s="2" t="str">
        <f>IFERROR(VLOOKUP(CONCATENATE(C939,D939),qdd!$C$2:$F$1000,3,FALSE),"")</f>
        <v/>
      </c>
      <c r="G939" s="2" t="str">
        <f>IFERROR(VLOOKUP(CONCATENATE(C939,D939),qdd!$C$2:$F$1000,4,FALSE),"")</f>
        <v/>
      </c>
      <c r="H939" s="6" t="str">
        <f t="shared" si="30"/>
        <v/>
      </c>
      <c r="I9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9" s="2" t="str">
        <f>IFERROR(IF('PREENCHER AQUI'!E939="","",'PREENCHER AQUI'!E939),"")</f>
        <v/>
      </c>
      <c r="K939" s="2" t="str">
        <f>IFERROR(IF('PREENCHER AQUI'!F939="","",'PREENCHER AQUI'!F939),"")</f>
        <v/>
      </c>
      <c r="L939" s="2" t="str">
        <f>IF(Tabela1[[#This Row],[IPU_COD]]=9,"91",IF(Tabela1[[#This Row],[ACAO_COD]]="","",VLOOKUP(CONCATENATE("G",J939,"M",K939),qdd!$BC$2:$BD$46,2,FALSE)))</f>
        <v/>
      </c>
      <c r="M939" s="2" t="str">
        <f>TEXT(IFERROR(VLOOKUP(CONCATENATE(C939,D939),qdd!$C$2:$G$1000,5,FALSE),""),0)</f>
        <v/>
      </c>
      <c r="N939" s="2" t="str">
        <f>IFERROR(IF('PREENCHER AQUI'!I939="","",'PREENCHER AQUI'!I939),"")</f>
        <v/>
      </c>
      <c r="O939" s="2" t="str">
        <f>IFERROR(IF('PREENCHER AQUI'!J939="","",'PREENCHER AQUI'!J939),"")</f>
        <v/>
      </c>
      <c r="P939" s="7" t="str">
        <f t="shared" si="31"/>
        <v/>
      </c>
      <c r="Q939" s="8" t="str">
        <f>IFERROR(IF(Tabela4[[#This Row],[VALOR]]="","",IF(Tabela1[[#This Row],[ORIENTACAO]]="Anular",'PREENCHER AQUI'!K939*-1*100,'PREENCHER AQUI'!K939*100)),"")</f>
        <v/>
      </c>
      <c r="T939" s="7" t="str">
        <f>IFERROR(IF('PREENCHER AQUI'!L939="","999",LEFT('PREENCHER AQUI'!L939,1)),"")</f>
        <v>999</v>
      </c>
      <c r="V939" s="19"/>
      <c r="W939" s="1" t="str">
        <f>IFERROR(VLOOKUP(Tabela1[[#This Row],[UO_COD]],qdd!$AT$1:$AU$102,2,FALSE),"")</f>
        <v/>
      </c>
      <c r="X939" s="1" t="str">
        <f>CONCATENATE("F",Tabela1[[#This Row],[FONTE_COD]],Tabela1[[#This Row],[IPU_COD]],"G",Tabela1[[#This Row],[GRUPO_COD]],"T",Tabela1[[#This Row],[TIPO]])</f>
        <v>FGT999</v>
      </c>
      <c r="Y9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9" s="19"/>
      <c r="AA939" s="29" t="str">
        <f>IFERROR(VLOOKUP(CONCATENATE("B",Tabela1[[#This Row],[BLOCO]],Tabela1[[#This Row],[UO_COD]]),qdd!$AW$2:$AX$1000,2,FALSE),"")</f>
        <v/>
      </c>
      <c r="AB939" s="30" t="str">
        <f>IFERROR(Tabela1[[#This Row],[VALOR]]/100,"")</f>
        <v/>
      </c>
      <c r="AC939" s="7" t="str" cm="1">
        <f t="array" aca="1" ref="AC939" ca="1">IF(Tabela1[[#This Row],[VALOR]]&lt;0,"",IFERROR(SUBSTITUTE(Converter_numero(Tabela1[[#This Row],[VALOR INCISO]]),",",""),""))</f>
        <v/>
      </c>
      <c r="AD939" s="29" t="str">
        <f>IF(Tabela1[[#This Row],[TIPO]]=REGRAS!$W$2,REGRAS!$X$2,IF(Tabela1[[#This Row],[TIPO]]=REGRAS!$W$4,REGRAS!$X$4,""))</f>
        <v/>
      </c>
      <c r="AE939" s="29" t="e">
        <f>VLOOKUP(Tabela1[[#This Row],[FONTE_COD]],REGRAS!$O$2:$P$69,2,FALSE)</f>
        <v>#N/A</v>
      </c>
      <c r="AF9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0" spans="1:32" ht="18.75" customHeight="1">
      <c r="A940" s="2" t="str">
        <f>IFERROR(IF('PREENCHER AQUI'!A940="","",'PREENCHER AQUI'!A940),"")</f>
        <v/>
      </c>
      <c r="B940" s="1" t="str">
        <f>IFERROR(IF('PREENCHER AQUI'!B940="","",PROPER('PREENCHER AQUI'!B940)),"")</f>
        <v/>
      </c>
      <c r="C940" s="1" t="str">
        <f>IFERROR(IF('PREENCHER AQUI'!C940="","",'PREENCHER AQUI'!C940),"")</f>
        <v/>
      </c>
      <c r="D940" s="2" t="str">
        <f>IFERROR(IF('PREENCHER AQUI'!D940="","",'PREENCHER AQUI'!D940),"")</f>
        <v/>
      </c>
      <c r="E940" s="2" t="str">
        <f>IFERROR(VLOOKUP(CONCATENATE(C940,D940),qdd!$C$2:$F$1000,2,FALSE),"")</f>
        <v/>
      </c>
      <c r="F940" s="2" t="str">
        <f>IFERROR(VLOOKUP(CONCATENATE(C940,D940),qdd!$C$2:$F$1000,3,FALSE),"")</f>
        <v/>
      </c>
      <c r="G940" s="2" t="str">
        <f>IFERROR(VLOOKUP(CONCATENATE(C940,D940),qdd!$C$2:$F$1000,4,FALSE),"")</f>
        <v/>
      </c>
      <c r="H940" s="6" t="str">
        <f t="shared" si="30"/>
        <v/>
      </c>
      <c r="I9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0" s="2" t="str">
        <f>IFERROR(IF('PREENCHER AQUI'!E940="","",'PREENCHER AQUI'!E940),"")</f>
        <v/>
      </c>
      <c r="K940" s="2" t="str">
        <f>IFERROR(IF('PREENCHER AQUI'!F940="","",'PREENCHER AQUI'!F940),"")</f>
        <v/>
      </c>
      <c r="L940" s="2" t="str">
        <f>IF(Tabela1[[#This Row],[IPU_COD]]=9,"91",IF(Tabela1[[#This Row],[ACAO_COD]]="","",VLOOKUP(CONCATENATE("G",J940,"M",K940),qdd!$BC$2:$BD$46,2,FALSE)))</f>
        <v/>
      </c>
      <c r="M940" s="2" t="str">
        <f>TEXT(IFERROR(VLOOKUP(CONCATENATE(C940,D940),qdd!$C$2:$G$1000,5,FALSE),""),0)</f>
        <v/>
      </c>
      <c r="N940" s="2" t="str">
        <f>IFERROR(IF('PREENCHER AQUI'!I940="","",'PREENCHER AQUI'!I940),"")</f>
        <v/>
      </c>
      <c r="O940" s="2" t="str">
        <f>IFERROR(IF('PREENCHER AQUI'!J940="","",'PREENCHER AQUI'!J940),"")</f>
        <v/>
      </c>
      <c r="P940" s="7" t="str">
        <f t="shared" si="31"/>
        <v/>
      </c>
      <c r="Q940" s="8" t="str">
        <f>IFERROR(IF(Tabela4[[#This Row],[VALOR]]="","",IF(Tabela1[[#This Row],[ORIENTACAO]]="Anular",'PREENCHER AQUI'!K940*-1*100,'PREENCHER AQUI'!K940*100)),"")</f>
        <v/>
      </c>
      <c r="T940" s="7" t="str">
        <f>IFERROR(IF('PREENCHER AQUI'!L940="","999",LEFT('PREENCHER AQUI'!L940,1)),"")</f>
        <v>999</v>
      </c>
      <c r="V940" s="19"/>
      <c r="W940" s="20" t="str">
        <f>IFERROR(VLOOKUP(Tabela1[[#This Row],[UO_COD]],qdd!$AT$1:$AU$102,2,FALSE),"")</f>
        <v/>
      </c>
      <c r="X940" s="20" t="str">
        <f>CONCATENATE("F",Tabela1[[#This Row],[FONTE_COD]],Tabela1[[#This Row],[IPU_COD]],"G",Tabela1[[#This Row],[GRUPO_COD]],"T",Tabela1[[#This Row],[TIPO]])</f>
        <v>FGT999</v>
      </c>
      <c r="Y9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0" s="19"/>
      <c r="AA940" s="29" t="str">
        <f>IFERROR(VLOOKUP(CONCATENATE("B",Tabela1[[#This Row],[BLOCO]],Tabela1[[#This Row],[UO_COD]]),qdd!$AW$2:$AX$1000,2,FALSE),"")</f>
        <v/>
      </c>
      <c r="AB940" s="30" t="str">
        <f>IFERROR(Tabela1[[#This Row],[VALOR]]/100,"")</f>
        <v/>
      </c>
      <c r="AC940" s="7" t="str" cm="1">
        <f t="array" aca="1" ref="AC940" ca="1">IF(Tabela1[[#This Row],[VALOR]]&lt;0,"",IFERROR(SUBSTITUTE(Converter_numero(Tabela1[[#This Row],[VALOR INCISO]]),",",""),""))</f>
        <v/>
      </c>
      <c r="AD940" s="29" t="str">
        <f>IF(Tabela1[[#This Row],[TIPO]]=REGRAS!$W$2,REGRAS!$X$2,IF(Tabela1[[#This Row],[TIPO]]=REGRAS!$W$4,REGRAS!$X$4,""))</f>
        <v/>
      </c>
      <c r="AE940" s="29" t="e">
        <f>VLOOKUP(Tabela1[[#This Row],[FONTE_COD]],REGRAS!$O$2:$P$69,2,FALSE)</f>
        <v>#N/A</v>
      </c>
      <c r="AF9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1" spans="1:32" ht="18.75" customHeight="1">
      <c r="A941" s="2" t="str">
        <f>IFERROR(IF('PREENCHER AQUI'!A941="","",'PREENCHER AQUI'!A941),"")</f>
        <v/>
      </c>
      <c r="B941" s="1" t="str">
        <f>IFERROR(IF('PREENCHER AQUI'!B941="","",PROPER('PREENCHER AQUI'!B941)),"")</f>
        <v/>
      </c>
      <c r="C941" s="1" t="str">
        <f>IFERROR(IF('PREENCHER AQUI'!C941="","",'PREENCHER AQUI'!C941),"")</f>
        <v/>
      </c>
      <c r="D941" s="2" t="str">
        <f>IFERROR(IF('PREENCHER AQUI'!D941="","",'PREENCHER AQUI'!D941),"")</f>
        <v/>
      </c>
      <c r="E941" s="2" t="str">
        <f>IFERROR(VLOOKUP(CONCATENATE(C941,D941),qdd!$C$2:$F$1000,2,FALSE),"")</f>
        <v/>
      </c>
      <c r="F941" s="2" t="str">
        <f>IFERROR(VLOOKUP(CONCATENATE(C941,D941),qdd!$C$2:$F$1000,3,FALSE),"")</f>
        <v/>
      </c>
      <c r="G941" s="2" t="str">
        <f>IFERROR(VLOOKUP(CONCATENATE(C941,D941),qdd!$C$2:$F$1000,4,FALSE),"")</f>
        <v/>
      </c>
      <c r="H941" s="6" t="str">
        <f t="shared" si="30"/>
        <v/>
      </c>
      <c r="I9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1" s="2" t="str">
        <f>IFERROR(IF('PREENCHER AQUI'!E941="","",'PREENCHER AQUI'!E941),"")</f>
        <v/>
      </c>
      <c r="K941" s="2" t="str">
        <f>IFERROR(IF('PREENCHER AQUI'!F941="","",'PREENCHER AQUI'!F941),"")</f>
        <v/>
      </c>
      <c r="L941" s="2" t="str">
        <f>IF(Tabela1[[#This Row],[IPU_COD]]=9,"91",IF(Tabela1[[#This Row],[ACAO_COD]]="","",VLOOKUP(CONCATENATE("G",J941,"M",K941),qdd!$BC$2:$BD$46,2,FALSE)))</f>
        <v/>
      </c>
      <c r="M941" s="2" t="str">
        <f>TEXT(IFERROR(VLOOKUP(CONCATENATE(C941,D941),qdd!$C$2:$G$1000,5,FALSE),""),0)</f>
        <v/>
      </c>
      <c r="N941" s="2" t="str">
        <f>IFERROR(IF('PREENCHER AQUI'!I941="","",'PREENCHER AQUI'!I941),"")</f>
        <v/>
      </c>
      <c r="O941" s="2" t="str">
        <f>IFERROR(IF('PREENCHER AQUI'!J941="","",'PREENCHER AQUI'!J941),"")</f>
        <v/>
      </c>
      <c r="P941" s="7" t="str">
        <f t="shared" si="31"/>
        <v/>
      </c>
      <c r="Q941" s="8" t="str">
        <f>IFERROR(IF(Tabela4[[#This Row],[VALOR]]="","",IF(Tabela1[[#This Row],[ORIENTACAO]]="Anular",'PREENCHER AQUI'!K941*-1*100,'PREENCHER AQUI'!K941*100)),"")</f>
        <v/>
      </c>
      <c r="T941" s="7" t="str">
        <f>IFERROR(IF('PREENCHER AQUI'!L941="","999",LEFT('PREENCHER AQUI'!L941,1)),"")</f>
        <v>999</v>
      </c>
      <c r="V941" s="19"/>
      <c r="W941" s="1" t="str">
        <f>IFERROR(VLOOKUP(Tabela1[[#This Row],[UO_COD]],qdd!$AT$1:$AU$102,2,FALSE),"")</f>
        <v/>
      </c>
      <c r="X941" s="1" t="str">
        <f>CONCATENATE("F",Tabela1[[#This Row],[FONTE_COD]],Tabela1[[#This Row],[IPU_COD]],"G",Tabela1[[#This Row],[GRUPO_COD]],"T",Tabela1[[#This Row],[TIPO]])</f>
        <v>FGT999</v>
      </c>
      <c r="Y9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1" s="19"/>
      <c r="AA941" s="29" t="str">
        <f>IFERROR(VLOOKUP(CONCATENATE("B",Tabela1[[#This Row],[BLOCO]],Tabela1[[#This Row],[UO_COD]]),qdd!$AW$2:$AX$1000,2,FALSE),"")</f>
        <v/>
      </c>
      <c r="AB941" s="30" t="str">
        <f>IFERROR(Tabela1[[#This Row],[VALOR]]/100,"")</f>
        <v/>
      </c>
      <c r="AC941" s="7" t="str" cm="1">
        <f t="array" aca="1" ref="AC941" ca="1">IF(Tabela1[[#This Row],[VALOR]]&lt;0,"",IFERROR(SUBSTITUTE(Converter_numero(Tabela1[[#This Row],[VALOR INCISO]]),",",""),""))</f>
        <v/>
      </c>
      <c r="AD941" s="29" t="str">
        <f>IF(Tabela1[[#This Row],[TIPO]]=REGRAS!$W$2,REGRAS!$X$2,IF(Tabela1[[#This Row],[TIPO]]=REGRAS!$W$4,REGRAS!$X$4,""))</f>
        <v/>
      </c>
      <c r="AE941" s="29" t="e">
        <f>VLOOKUP(Tabela1[[#This Row],[FONTE_COD]],REGRAS!$O$2:$P$69,2,FALSE)</f>
        <v>#N/A</v>
      </c>
      <c r="AF9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2" spans="1:32" ht="18.75" customHeight="1">
      <c r="A942" s="2" t="str">
        <f>IFERROR(IF('PREENCHER AQUI'!A942="","",'PREENCHER AQUI'!A942),"")</f>
        <v/>
      </c>
      <c r="B942" s="1" t="str">
        <f>IFERROR(IF('PREENCHER AQUI'!B942="","",PROPER('PREENCHER AQUI'!B942)),"")</f>
        <v/>
      </c>
      <c r="C942" s="1" t="str">
        <f>IFERROR(IF('PREENCHER AQUI'!C942="","",'PREENCHER AQUI'!C942),"")</f>
        <v/>
      </c>
      <c r="D942" s="2" t="str">
        <f>IFERROR(IF('PREENCHER AQUI'!D942="","",'PREENCHER AQUI'!D942),"")</f>
        <v/>
      </c>
      <c r="E942" s="2" t="str">
        <f>IFERROR(VLOOKUP(CONCATENATE(C942,D942),qdd!$C$2:$F$1000,2,FALSE),"")</f>
        <v/>
      </c>
      <c r="F942" s="2" t="str">
        <f>IFERROR(VLOOKUP(CONCATENATE(C942,D942),qdd!$C$2:$F$1000,3,FALSE),"")</f>
        <v/>
      </c>
      <c r="G942" s="2" t="str">
        <f>IFERROR(VLOOKUP(CONCATENATE(C942,D942),qdd!$C$2:$F$1000,4,FALSE),"")</f>
        <v/>
      </c>
      <c r="H942" s="6" t="str">
        <f t="shared" si="30"/>
        <v/>
      </c>
      <c r="I9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2" s="2" t="str">
        <f>IFERROR(IF('PREENCHER AQUI'!E942="","",'PREENCHER AQUI'!E942),"")</f>
        <v/>
      </c>
      <c r="K942" s="2" t="str">
        <f>IFERROR(IF('PREENCHER AQUI'!F942="","",'PREENCHER AQUI'!F942),"")</f>
        <v/>
      </c>
      <c r="L942" s="2" t="str">
        <f>IF(Tabela1[[#This Row],[IPU_COD]]=9,"91",IF(Tabela1[[#This Row],[ACAO_COD]]="","",VLOOKUP(CONCATENATE("G",J942,"M",K942),qdd!$BC$2:$BD$46,2,FALSE)))</f>
        <v/>
      </c>
      <c r="M942" s="2" t="str">
        <f>TEXT(IFERROR(VLOOKUP(CONCATENATE(C942,D942),qdd!$C$2:$G$1000,5,FALSE),""),0)</f>
        <v/>
      </c>
      <c r="N942" s="2" t="str">
        <f>IFERROR(IF('PREENCHER AQUI'!I942="","",'PREENCHER AQUI'!I942),"")</f>
        <v/>
      </c>
      <c r="O942" s="2" t="str">
        <f>IFERROR(IF('PREENCHER AQUI'!J942="","",'PREENCHER AQUI'!J942),"")</f>
        <v/>
      </c>
      <c r="P942" s="7" t="str">
        <f t="shared" si="31"/>
        <v/>
      </c>
      <c r="Q942" s="8" t="str">
        <f>IFERROR(IF(Tabela4[[#This Row],[VALOR]]="","",IF(Tabela1[[#This Row],[ORIENTACAO]]="Anular",'PREENCHER AQUI'!K942*-1*100,'PREENCHER AQUI'!K942*100)),"")</f>
        <v/>
      </c>
      <c r="T942" s="7" t="str">
        <f>IFERROR(IF('PREENCHER AQUI'!L942="","999",LEFT('PREENCHER AQUI'!L942,1)),"")</f>
        <v>999</v>
      </c>
      <c r="W942" s="1" t="str">
        <f>IFERROR(VLOOKUP(Tabela1[[#This Row],[UO_COD]],qdd!$AT$1:$AU$102,2,FALSE),"")</f>
        <v/>
      </c>
      <c r="X942" s="1" t="str">
        <f>CONCATENATE("F",Tabela1[[#This Row],[FONTE_COD]],Tabela1[[#This Row],[IPU_COD]],"G",Tabela1[[#This Row],[GRUPO_COD]],"T",Tabela1[[#This Row],[TIPO]])</f>
        <v>FGT999</v>
      </c>
      <c r="Y9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2" s="19"/>
      <c r="AA942" s="29" t="str">
        <f>IFERROR(VLOOKUP(CONCATENATE("B",Tabela1[[#This Row],[BLOCO]],Tabela1[[#This Row],[UO_COD]]),qdd!$AW$2:$AX$1000,2,FALSE),"")</f>
        <v/>
      </c>
      <c r="AB942" s="30" t="str">
        <f>IFERROR(Tabela1[[#This Row],[VALOR]]/100,"")</f>
        <v/>
      </c>
      <c r="AC942" s="7" t="str" cm="1">
        <f t="array" aca="1" ref="AC942" ca="1">IF(Tabela1[[#This Row],[VALOR]]&lt;0,"",IFERROR(SUBSTITUTE(Converter_numero(Tabela1[[#This Row],[VALOR INCISO]]),",",""),""))</f>
        <v/>
      </c>
      <c r="AD942" s="7" t="str">
        <f>IF(Tabela1[[#This Row],[TIPO]]=REGRAS!$W$2,REGRAS!$X$2,IF(Tabela1[[#This Row],[TIPO]]=REGRAS!$W$4,REGRAS!$X$4,""))</f>
        <v/>
      </c>
      <c r="AE942" s="29" t="e">
        <f>VLOOKUP(Tabela1[[#This Row],[FONTE_COD]],REGRAS!$O$2:$P$69,2,FALSE)</f>
        <v>#N/A</v>
      </c>
      <c r="AF9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3" spans="1:32" ht="18.75" customHeight="1">
      <c r="A943" s="2" t="str">
        <f>IFERROR(IF('PREENCHER AQUI'!A943="","",'PREENCHER AQUI'!A943),"")</f>
        <v/>
      </c>
      <c r="B943" s="1" t="str">
        <f>IFERROR(IF('PREENCHER AQUI'!B943="","",PROPER('PREENCHER AQUI'!B943)),"")</f>
        <v/>
      </c>
      <c r="C943" s="1" t="str">
        <f>IFERROR(IF('PREENCHER AQUI'!C943="","",'PREENCHER AQUI'!C943),"")</f>
        <v/>
      </c>
      <c r="D943" s="2" t="str">
        <f>IFERROR(IF('PREENCHER AQUI'!D943="","",'PREENCHER AQUI'!D943),"")</f>
        <v/>
      </c>
      <c r="E943" s="2" t="str">
        <f>IFERROR(VLOOKUP(CONCATENATE(C943,D943),qdd!$C$2:$F$1000,2,FALSE),"")</f>
        <v/>
      </c>
      <c r="F943" s="2" t="str">
        <f>IFERROR(VLOOKUP(CONCATENATE(C943,D943),qdd!$C$2:$F$1000,3,FALSE),"")</f>
        <v/>
      </c>
      <c r="G943" s="2" t="str">
        <f>IFERROR(VLOOKUP(CONCATENATE(C943,D943),qdd!$C$2:$F$1000,4,FALSE),"")</f>
        <v/>
      </c>
      <c r="H943" s="6" t="str">
        <f t="shared" si="30"/>
        <v/>
      </c>
      <c r="I9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3" s="2" t="str">
        <f>IFERROR(IF('PREENCHER AQUI'!E943="","",'PREENCHER AQUI'!E943),"")</f>
        <v/>
      </c>
      <c r="K943" s="2" t="str">
        <f>IFERROR(IF('PREENCHER AQUI'!F943="","",'PREENCHER AQUI'!F943),"")</f>
        <v/>
      </c>
      <c r="L943" s="2" t="str">
        <f>IF(Tabela1[[#This Row],[IPU_COD]]=9,"91",IF(Tabela1[[#This Row],[ACAO_COD]]="","",VLOOKUP(CONCATENATE("G",J943,"M",K943),qdd!$BC$2:$BD$46,2,FALSE)))</f>
        <v/>
      </c>
      <c r="M943" s="2" t="str">
        <f>TEXT(IFERROR(VLOOKUP(CONCATENATE(C943,D943),qdd!$C$2:$G$1000,5,FALSE),""),0)</f>
        <v/>
      </c>
      <c r="N943" s="2" t="str">
        <f>IFERROR(IF('PREENCHER AQUI'!I943="","",'PREENCHER AQUI'!I943),"")</f>
        <v/>
      </c>
      <c r="O943" s="2" t="str">
        <f>IFERROR(IF('PREENCHER AQUI'!J943="","",'PREENCHER AQUI'!J943),"")</f>
        <v/>
      </c>
      <c r="P943" s="7" t="str">
        <f t="shared" si="31"/>
        <v/>
      </c>
      <c r="Q943" s="8" t="str">
        <f>IFERROR(IF(Tabela4[[#This Row],[VALOR]]="","",IF(Tabela1[[#This Row],[ORIENTACAO]]="Anular",'PREENCHER AQUI'!K943*-1*100,'PREENCHER AQUI'!K943*100)),"")</f>
        <v/>
      </c>
      <c r="T943" s="7" t="str">
        <f>IFERROR(IF('PREENCHER AQUI'!L943="","999",LEFT('PREENCHER AQUI'!L943,1)),"")</f>
        <v>999</v>
      </c>
      <c r="V943" s="19"/>
      <c r="W943" s="1" t="str">
        <f>IFERROR(VLOOKUP(Tabela1[[#This Row],[UO_COD]],qdd!$AT$1:$AU$102,2,FALSE),"")</f>
        <v/>
      </c>
      <c r="X943" s="1" t="str">
        <f>CONCATENATE("F",Tabela1[[#This Row],[FONTE_COD]],Tabela1[[#This Row],[IPU_COD]],"G",Tabela1[[#This Row],[GRUPO_COD]],"T",Tabela1[[#This Row],[TIPO]])</f>
        <v>FGT999</v>
      </c>
      <c r="Y9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3" s="19"/>
      <c r="AA943" s="29" t="str">
        <f>IFERROR(VLOOKUP(CONCATENATE("B",Tabela1[[#This Row],[BLOCO]],Tabela1[[#This Row],[UO_COD]]),qdd!$AW$2:$AX$1000,2,FALSE),"")</f>
        <v/>
      </c>
      <c r="AB943" s="30" t="str">
        <f>IFERROR(Tabela1[[#This Row],[VALOR]]/100,"")</f>
        <v/>
      </c>
      <c r="AC943" s="7" t="str" cm="1">
        <f t="array" aca="1" ref="AC943" ca="1">IF(Tabela1[[#This Row],[VALOR]]&lt;0,"",IFERROR(SUBSTITUTE(Converter_numero(Tabela1[[#This Row],[VALOR INCISO]]),",",""),""))</f>
        <v/>
      </c>
      <c r="AD943" s="29" t="str">
        <f>IF(Tabela1[[#This Row],[TIPO]]=REGRAS!$W$2,REGRAS!$X$2,IF(Tabela1[[#This Row],[TIPO]]=REGRAS!$W$4,REGRAS!$X$4,""))</f>
        <v/>
      </c>
      <c r="AE943" s="29" t="e">
        <f>VLOOKUP(Tabela1[[#This Row],[FONTE_COD]],REGRAS!$O$2:$P$69,2,FALSE)</f>
        <v>#N/A</v>
      </c>
      <c r="AF9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4" spans="1:32" ht="18.75" customHeight="1">
      <c r="A944" s="2" t="str">
        <f>IFERROR(IF('PREENCHER AQUI'!A944="","",'PREENCHER AQUI'!A944),"")</f>
        <v/>
      </c>
      <c r="B944" s="1" t="str">
        <f>IFERROR(IF('PREENCHER AQUI'!B944="","",PROPER('PREENCHER AQUI'!B944)),"")</f>
        <v/>
      </c>
      <c r="C944" s="1" t="str">
        <f>IFERROR(IF('PREENCHER AQUI'!C944="","",'PREENCHER AQUI'!C944),"")</f>
        <v/>
      </c>
      <c r="D944" s="2" t="str">
        <f>IFERROR(IF('PREENCHER AQUI'!D944="","",'PREENCHER AQUI'!D944),"")</f>
        <v/>
      </c>
      <c r="E944" s="2" t="str">
        <f>IFERROR(VLOOKUP(CONCATENATE(C944,D944),qdd!$C$2:$F$1000,2,FALSE),"")</f>
        <v/>
      </c>
      <c r="F944" s="2" t="str">
        <f>IFERROR(VLOOKUP(CONCATENATE(C944,D944),qdd!$C$2:$F$1000,3,FALSE),"")</f>
        <v/>
      </c>
      <c r="G944" s="2" t="str">
        <f>IFERROR(VLOOKUP(CONCATENATE(C944,D944),qdd!$C$2:$F$1000,4,FALSE),"")</f>
        <v/>
      </c>
      <c r="H944" s="6" t="str">
        <f t="shared" si="30"/>
        <v/>
      </c>
      <c r="I9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4" s="2" t="str">
        <f>IFERROR(IF('PREENCHER AQUI'!E944="","",'PREENCHER AQUI'!E944),"")</f>
        <v/>
      </c>
      <c r="K944" s="2" t="str">
        <f>IFERROR(IF('PREENCHER AQUI'!F944="","",'PREENCHER AQUI'!F944),"")</f>
        <v/>
      </c>
      <c r="L944" s="2" t="str">
        <f>IF(Tabela1[[#This Row],[IPU_COD]]=9,"91",IF(Tabela1[[#This Row],[ACAO_COD]]="","",VLOOKUP(CONCATENATE("G",J944,"M",K944),qdd!$BC$2:$BD$46,2,FALSE)))</f>
        <v/>
      </c>
      <c r="M944" s="2" t="str">
        <f>TEXT(IFERROR(VLOOKUP(CONCATENATE(C944,D944),qdd!$C$2:$G$1000,5,FALSE),""),0)</f>
        <v/>
      </c>
      <c r="N944" s="2" t="str">
        <f>IFERROR(IF('PREENCHER AQUI'!I944="","",'PREENCHER AQUI'!I944),"")</f>
        <v/>
      </c>
      <c r="O944" s="2" t="str">
        <f>IFERROR(IF('PREENCHER AQUI'!J944="","",'PREENCHER AQUI'!J944),"")</f>
        <v/>
      </c>
      <c r="P944" s="7" t="str">
        <f t="shared" si="31"/>
        <v/>
      </c>
      <c r="Q944" s="8" t="str">
        <f>IFERROR(IF(Tabela4[[#This Row],[VALOR]]="","",IF(Tabela1[[#This Row],[ORIENTACAO]]="Anular",'PREENCHER AQUI'!K944*-1*100,'PREENCHER AQUI'!K944*100)),"")</f>
        <v/>
      </c>
      <c r="T944" s="7" t="str">
        <f>IFERROR(IF('PREENCHER AQUI'!L944="","999",LEFT('PREENCHER AQUI'!L944,1)),"")</f>
        <v>999</v>
      </c>
      <c r="V944" s="19"/>
      <c r="W944" s="1" t="str">
        <f>IFERROR(VLOOKUP(Tabela1[[#This Row],[UO_COD]],qdd!$AT$1:$AU$102,2,FALSE),"")</f>
        <v/>
      </c>
      <c r="X944" s="1" t="str">
        <f>CONCATENATE("F",Tabela1[[#This Row],[FONTE_COD]],Tabela1[[#This Row],[IPU_COD]],"G",Tabela1[[#This Row],[GRUPO_COD]],"T",Tabela1[[#This Row],[TIPO]])</f>
        <v>FGT999</v>
      </c>
      <c r="Y9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4" s="19"/>
      <c r="AA944" s="29" t="str">
        <f>IFERROR(VLOOKUP(CONCATENATE("B",Tabela1[[#This Row],[BLOCO]],Tabela1[[#This Row],[UO_COD]]),qdd!$AW$2:$AX$1000,2,FALSE),"")</f>
        <v/>
      </c>
      <c r="AB944" s="30" t="str">
        <f>IFERROR(Tabela1[[#This Row],[VALOR]]/100,"")</f>
        <v/>
      </c>
      <c r="AC944" s="7" t="str" cm="1">
        <f t="array" aca="1" ref="AC944" ca="1">IF(Tabela1[[#This Row],[VALOR]]&lt;0,"",IFERROR(SUBSTITUTE(Converter_numero(Tabela1[[#This Row],[VALOR INCISO]]),",",""),""))</f>
        <v/>
      </c>
      <c r="AD944" s="29" t="str">
        <f>IF(Tabela1[[#This Row],[TIPO]]=REGRAS!$W$2,REGRAS!$X$2,IF(Tabela1[[#This Row],[TIPO]]=REGRAS!$W$4,REGRAS!$X$4,""))</f>
        <v/>
      </c>
      <c r="AE944" s="29" t="e">
        <f>VLOOKUP(Tabela1[[#This Row],[FONTE_COD]],REGRAS!$O$2:$P$69,2,FALSE)</f>
        <v>#N/A</v>
      </c>
      <c r="AF9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5" spans="1:32" ht="18.75" customHeight="1">
      <c r="A945" s="2" t="str">
        <f>IFERROR(IF('PREENCHER AQUI'!A945="","",'PREENCHER AQUI'!A945),"")</f>
        <v/>
      </c>
      <c r="B945" s="1" t="str">
        <f>IFERROR(IF('PREENCHER AQUI'!B945="","",PROPER('PREENCHER AQUI'!B945)),"")</f>
        <v/>
      </c>
      <c r="C945" s="1" t="str">
        <f>IFERROR(IF('PREENCHER AQUI'!C945="","",'PREENCHER AQUI'!C945),"")</f>
        <v/>
      </c>
      <c r="D945" s="2" t="str">
        <f>IFERROR(IF('PREENCHER AQUI'!D945="","",'PREENCHER AQUI'!D945),"")</f>
        <v/>
      </c>
      <c r="E945" s="2" t="str">
        <f>IFERROR(VLOOKUP(CONCATENATE(C945,D945),qdd!$C$2:$F$1000,2,FALSE),"")</f>
        <v/>
      </c>
      <c r="F945" s="2" t="str">
        <f>IFERROR(VLOOKUP(CONCATENATE(C945,D945),qdd!$C$2:$F$1000,3,FALSE),"")</f>
        <v/>
      </c>
      <c r="G945" s="2" t="str">
        <f>IFERROR(VLOOKUP(CONCATENATE(C945,D945),qdd!$C$2:$F$1000,4,FALSE),"")</f>
        <v/>
      </c>
      <c r="H945" s="6" t="str">
        <f t="shared" si="30"/>
        <v/>
      </c>
      <c r="I9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5" s="2" t="str">
        <f>IFERROR(IF('PREENCHER AQUI'!E945="","",'PREENCHER AQUI'!E945),"")</f>
        <v/>
      </c>
      <c r="K945" s="2" t="str">
        <f>IFERROR(IF('PREENCHER AQUI'!F945="","",'PREENCHER AQUI'!F945),"")</f>
        <v/>
      </c>
      <c r="L945" s="2" t="str">
        <f>IF(Tabela1[[#This Row],[IPU_COD]]=9,"91",IF(Tabela1[[#This Row],[ACAO_COD]]="","",VLOOKUP(CONCATENATE("G",J945,"M",K945),qdd!$BC$2:$BD$46,2,FALSE)))</f>
        <v/>
      </c>
      <c r="M945" s="2" t="str">
        <f>TEXT(IFERROR(VLOOKUP(CONCATENATE(C945,D945),qdd!$C$2:$G$1000,5,FALSE),""),0)</f>
        <v/>
      </c>
      <c r="N945" s="2" t="str">
        <f>IFERROR(IF('PREENCHER AQUI'!I945="","",'PREENCHER AQUI'!I945),"")</f>
        <v/>
      </c>
      <c r="O945" s="2" t="str">
        <f>IFERROR(IF('PREENCHER AQUI'!J945="","",'PREENCHER AQUI'!J945),"")</f>
        <v/>
      </c>
      <c r="P945" s="7" t="str">
        <f t="shared" si="31"/>
        <v/>
      </c>
      <c r="Q945" s="8" t="str">
        <f>IFERROR(IF(Tabela4[[#This Row],[VALOR]]="","",IF(Tabela1[[#This Row],[ORIENTACAO]]="Anular",'PREENCHER AQUI'!K945*-1*100,'PREENCHER AQUI'!K945*100)),"")</f>
        <v/>
      </c>
      <c r="T945" s="7" t="str">
        <f>IFERROR(IF('PREENCHER AQUI'!L945="","999",LEFT('PREENCHER AQUI'!L945,1)),"")</f>
        <v>999</v>
      </c>
      <c r="V945" s="19"/>
      <c r="W945" s="20" t="str">
        <f>IFERROR(VLOOKUP(Tabela1[[#This Row],[UO_COD]],qdd!$AT$1:$AU$102,2,FALSE),"")</f>
        <v/>
      </c>
      <c r="X945" s="20" t="str">
        <f>CONCATENATE("F",Tabela1[[#This Row],[FONTE_COD]],Tabela1[[#This Row],[IPU_COD]],"G",Tabela1[[#This Row],[GRUPO_COD]],"T",Tabela1[[#This Row],[TIPO]])</f>
        <v>FGT999</v>
      </c>
      <c r="Y9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5" s="19"/>
      <c r="AA945" s="29" t="str">
        <f>IFERROR(VLOOKUP(CONCATENATE("B",Tabela1[[#This Row],[BLOCO]],Tabela1[[#This Row],[UO_COD]]),qdd!$AW$2:$AX$1000,2,FALSE),"")</f>
        <v/>
      </c>
      <c r="AB945" s="30" t="str">
        <f>IFERROR(Tabela1[[#This Row],[VALOR]]/100,"")</f>
        <v/>
      </c>
      <c r="AC945" s="7" t="str" cm="1">
        <f t="array" aca="1" ref="AC945" ca="1">IF(Tabela1[[#This Row],[VALOR]]&lt;0,"",IFERROR(SUBSTITUTE(Converter_numero(Tabela1[[#This Row],[VALOR INCISO]]),",",""),""))</f>
        <v/>
      </c>
      <c r="AD945" s="29" t="str">
        <f>IF(Tabela1[[#This Row],[TIPO]]=REGRAS!$W$2,REGRAS!$X$2,IF(Tabela1[[#This Row],[TIPO]]=REGRAS!$W$4,REGRAS!$X$4,""))</f>
        <v/>
      </c>
      <c r="AE945" s="29" t="e">
        <f>VLOOKUP(Tabela1[[#This Row],[FONTE_COD]],REGRAS!$O$2:$P$69,2,FALSE)</f>
        <v>#N/A</v>
      </c>
      <c r="AF9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6" spans="1:32" ht="18.75" customHeight="1">
      <c r="A946" s="2" t="str">
        <f>IFERROR(IF('PREENCHER AQUI'!A946="","",'PREENCHER AQUI'!A946),"")</f>
        <v/>
      </c>
      <c r="B946" s="1" t="str">
        <f>IFERROR(IF('PREENCHER AQUI'!B946="","",PROPER('PREENCHER AQUI'!B946)),"")</f>
        <v/>
      </c>
      <c r="C946" s="1" t="str">
        <f>IFERROR(IF('PREENCHER AQUI'!C946="","",'PREENCHER AQUI'!C946),"")</f>
        <v/>
      </c>
      <c r="D946" s="2" t="str">
        <f>IFERROR(IF('PREENCHER AQUI'!D946="","",'PREENCHER AQUI'!D946),"")</f>
        <v/>
      </c>
      <c r="E946" s="2" t="str">
        <f>IFERROR(VLOOKUP(CONCATENATE(C946,D946),qdd!$C$2:$F$1000,2,FALSE),"")</f>
        <v/>
      </c>
      <c r="F946" s="2" t="str">
        <f>IFERROR(VLOOKUP(CONCATENATE(C946,D946),qdd!$C$2:$F$1000,3,FALSE),"")</f>
        <v/>
      </c>
      <c r="G946" s="2" t="str">
        <f>IFERROR(VLOOKUP(CONCATENATE(C946,D946),qdd!$C$2:$F$1000,4,FALSE),"")</f>
        <v/>
      </c>
      <c r="H946" s="6" t="str">
        <f t="shared" si="30"/>
        <v/>
      </c>
      <c r="I9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6" s="2" t="str">
        <f>IFERROR(IF('PREENCHER AQUI'!E946="","",'PREENCHER AQUI'!E946),"")</f>
        <v/>
      </c>
      <c r="K946" s="2" t="str">
        <f>IFERROR(IF('PREENCHER AQUI'!F946="","",'PREENCHER AQUI'!F946),"")</f>
        <v/>
      </c>
      <c r="L946" s="2" t="str">
        <f>IF(Tabela1[[#This Row],[IPU_COD]]=9,"91",IF(Tabela1[[#This Row],[ACAO_COD]]="","",VLOOKUP(CONCATENATE("G",J946,"M",K946),qdd!$BC$2:$BD$46,2,FALSE)))</f>
        <v/>
      </c>
      <c r="M946" s="2" t="str">
        <f>TEXT(IFERROR(VLOOKUP(CONCATENATE(C946,D946),qdd!$C$2:$G$1000,5,FALSE),""),0)</f>
        <v/>
      </c>
      <c r="N946" s="2" t="str">
        <f>IFERROR(IF('PREENCHER AQUI'!I946="","",'PREENCHER AQUI'!I946),"")</f>
        <v/>
      </c>
      <c r="O946" s="2" t="str">
        <f>IFERROR(IF('PREENCHER AQUI'!J946="","",'PREENCHER AQUI'!J946),"")</f>
        <v/>
      </c>
      <c r="P946" s="7" t="str">
        <f t="shared" si="31"/>
        <v/>
      </c>
      <c r="Q946" s="8" t="str">
        <f>IFERROR(IF(Tabela4[[#This Row],[VALOR]]="","",IF(Tabela1[[#This Row],[ORIENTACAO]]="Anular",'PREENCHER AQUI'!K946*-1*100,'PREENCHER AQUI'!K946*100)),"")</f>
        <v/>
      </c>
      <c r="T946" s="7" t="str">
        <f>IFERROR(IF('PREENCHER AQUI'!L946="","999",LEFT('PREENCHER AQUI'!L946,1)),"")</f>
        <v>999</v>
      </c>
      <c r="V946" s="19"/>
      <c r="W946" s="1" t="str">
        <f>IFERROR(VLOOKUP(Tabela1[[#This Row],[UO_COD]],qdd!$AT$1:$AU$102,2,FALSE),"")</f>
        <v/>
      </c>
      <c r="X946" s="1" t="str">
        <f>CONCATENATE("F",Tabela1[[#This Row],[FONTE_COD]],Tabela1[[#This Row],[IPU_COD]],"G",Tabela1[[#This Row],[GRUPO_COD]],"T",Tabela1[[#This Row],[TIPO]])</f>
        <v>FGT999</v>
      </c>
      <c r="Y9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6" s="19"/>
      <c r="AA946" s="29" t="str">
        <f>IFERROR(VLOOKUP(CONCATENATE("B",Tabela1[[#This Row],[BLOCO]],Tabela1[[#This Row],[UO_COD]]),qdd!$AW$2:$AX$1000,2,FALSE),"")</f>
        <v/>
      </c>
      <c r="AB946" s="30" t="str">
        <f>IFERROR(Tabela1[[#This Row],[VALOR]]/100,"")</f>
        <v/>
      </c>
      <c r="AC946" s="7" t="str" cm="1">
        <f t="array" aca="1" ref="AC946" ca="1">IF(Tabela1[[#This Row],[VALOR]]&lt;0,"",IFERROR(SUBSTITUTE(Converter_numero(Tabela1[[#This Row],[VALOR INCISO]]),",",""),""))</f>
        <v/>
      </c>
      <c r="AD946" s="29" t="str">
        <f>IF(Tabela1[[#This Row],[TIPO]]=REGRAS!$W$2,REGRAS!$X$2,IF(Tabela1[[#This Row],[TIPO]]=REGRAS!$W$4,REGRAS!$X$4,""))</f>
        <v/>
      </c>
      <c r="AE946" s="29" t="e">
        <f>VLOOKUP(Tabela1[[#This Row],[FONTE_COD]],REGRAS!$O$2:$P$69,2,FALSE)</f>
        <v>#N/A</v>
      </c>
      <c r="AF9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7" spans="1:32" ht="18.75" customHeight="1">
      <c r="A947" s="2" t="str">
        <f>IFERROR(IF('PREENCHER AQUI'!A947="","",'PREENCHER AQUI'!A947),"")</f>
        <v/>
      </c>
      <c r="B947" s="1" t="str">
        <f>IFERROR(IF('PREENCHER AQUI'!B947="","",PROPER('PREENCHER AQUI'!B947)),"")</f>
        <v/>
      </c>
      <c r="C947" s="1" t="str">
        <f>IFERROR(IF('PREENCHER AQUI'!C947="","",'PREENCHER AQUI'!C947),"")</f>
        <v/>
      </c>
      <c r="D947" s="2" t="str">
        <f>IFERROR(IF('PREENCHER AQUI'!D947="","",'PREENCHER AQUI'!D947),"")</f>
        <v/>
      </c>
      <c r="E947" s="2" t="str">
        <f>IFERROR(VLOOKUP(CONCATENATE(C947,D947),qdd!$C$2:$F$1000,2,FALSE),"")</f>
        <v/>
      </c>
      <c r="F947" s="2" t="str">
        <f>IFERROR(VLOOKUP(CONCATENATE(C947,D947),qdd!$C$2:$F$1000,3,FALSE),"")</f>
        <v/>
      </c>
      <c r="G947" s="2" t="str">
        <f>IFERROR(VLOOKUP(CONCATENATE(C947,D947),qdd!$C$2:$F$1000,4,FALSE),"")</f>
        <v/>
      </c>
      <c r="H947" s="6" t="str">
        <f t="shared" si="30"/>
        <v/>
      </c>
      <c r="I9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7" s="2" t="str">
        <f>IFERROR(IF('PREENCHER AQUI'!E947="","",'PREENCHER AQUI'!E947),"")</f>
        <v/>
      </c>
      <c r="K947" s="2" t="str">
        <f>IFERROR(IF('PREENCHER AQUI'!F947="","",'PREENCHER AQUI'!F947),"")</f>
        <v/>
      </c>
      <c r="L947" s="2" t="str">
        <f>IF(Tabela1[[#This Row],[IPU_COD]]=9,"91",IF(Tabela1[[#This Row],[ACAO_COD]]="","",VLOOKUP(CONCATENATE("G",J947,"M",K947),qdd!$BC$2:$BD$46,2,FALSE)))</f>
        <v/>
      </c>
      <c r="M947" s="2" t="str">
        <f>TEXT(IFERROR(VLOOKUP(CONCATENATE(C947,D947),qdd!$C$2:$G$1000,5,FALSE),""),0)</f>
        <v/>
      </c>
      <c r="N947" s="2" t="str">
        <f>IFERROR(IF('PREENCHER AQUI'!I947="","",'PREENCHER AQUI'!I947),"")</f>
        <v/>
      </c>
      <c r="O947" s="2" t="str">
        <f>IFERROR(IF('PREENCHER AQUI'!J947="","",'PREENCHER AQUI'!J947),"")</f>
        <v/>
      </c>
      <c r="P947" s="7" t="str">
        <f t="shared" si="31"/>
        <v/>
      </c>
      <c r="Q947" s="8" t="str">
        <f>IFERROR(IF(Tabela4[[#This Row],[VALOR]]="","",IF(Tabela1[[#This Row],[ORIENTACAO]]="Anular",'PREENCHER AQUI'!K947*-1*100,'PREENCHER AQUI'!K947*100)),"")</f>
        <v/>
      </c>
      <c r="T947" s="7" t="str">
        <f>IFERROR(IF('PREENCHER AQUI'!L947="","999",LEFT('PREENCHER AQUI'!L947,1)),"")</f>
        <v>999</v>
      </c>
      <c r="W947" s="1" t="str">
        <f>IFERROR(VLOOKUP(Tabela1[[#This Row],[UO_COD]],qdd!$AT$1:$AU$102,2,FALSE),"")</f>
        <v/>
      </c>
      <c r="X947" s="1" t="str">
        <f>CONCATENATE("F",Tabela1[[#This Row],[FONTE_COD]],Tabela1[[#This Row],[IPU_COD]],"G",Tabela1[[#This Row],[GRUPO_COD]],"T",Tabela1[[#This Row],[TIPO]])</f>
        <v>FGT999</v>
      </c>
      <c r="Y9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7" s="19"/>
      <c r="AA947" s="29" t="str">
        <f>IFERROR(VLOOKUP(CONCATENATE("B",Tabela1[[#This Row],[BLOCO]],Tabela1[[#This Row],[UO_COD]]),qdd!$AW$2:$AX$1000,2,FALSE),"")</f>
        <v/>
      </c>
      <c r="AB947" s="30" t="str">
        <f>IFERROR(Tabela1[[#This Row],[VALOR]]/100,"")</f>
        <v/>
      </c>
      <c r="AC947" s="7" t="str" cm="1">
        <f t="array" aca="1" ref="AC947" ca="1">IF(Tabela1[[#This Row],[VALOR]]&lt;0,"",IFERROR(SUBSTITUTE(Converter_numero(Tabela1[[#This Row],[VALOR INCISO]]),",",""),""))</f>
        <v/>
      </c>
      <c r="AD947" s="7" t="str">
        <f>IF(Tabela1[[#This Row],[TIPO]]=REGRAS!$W$2,REGRAS!$X$2,IF(Tabela1[[#This Row],[TIPO]]=REGRAS!$W$4,REGRAS!$X$4,""))</f>
        <v/>
      </c>
      <c r="AE947" s="29" t="e">
        <f>VLOOKUP(Tabela1[[#This Row],[FONTE_COD]],REGRAS!$O$2:$P$69,2,FALSE)</f>
        <v>#N/A</v>
      </c>
      <c r="AF9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8" spans="1:32" ht="18.75" customHeight="1">
      <c r="A948" s="2" t="str">
        <f>IFERROR(IF('PREENCHER AQUI'!A948="","",'PREENCHER AQUI'!A948),"")</f>
        <v/>
      </c>
      <c r="B948" s="1" t="str">
        <f>IFERROR(IF('PREENCHER AQUI'!B948="","",PROPER('PREENCHER AQUI'!B948)),"")</f>
        <v/>
      </c>
      <c r="C948" s="1" t="str">
        <f>IFERROR(IF('PREENCHER AQUI'!C948="","",'PREENCHER AQUI'!C948),"")</f>
        <v/>
      </c>
      <c r="D948" s="2" t="str">
        <f>IFERROR(IF('PREENCHER AQUI'!D948="","",'PREENCHER AQUI'!D948),"")</f>
        <v/>
      </c>
      <c r="E948" s="2" t="str">
        <f>IFERROR(VLOOKUP(CONCATENATE(C948,D948),qdd!$C$2:$F$1000,2,FALSE),"")</f>
        <v/>
      </c>
      <c r="F948" s="2" t="str">
        <f>IFERROR(VLOOKUP(CONCATENATE(C948,D948),qdd!$C$2:$F$1000,3,FALSE),"")</f>
        <v/>
      </c>
      <c r="G948" s="2" t="str">
        <f>IFERROR(VLOOKUP(CONCATENATE(C948,D948),qdd!$C$2:$F$1000,4,FALSE),"")</f>
        <v/>
      </c>
      <c r="H948" s="6" t="str">
        <f t="shared" si="30"/>
        <v/>
      </c>
      <c r="I9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8" s="2" t="str">
        <f>IFERROR(IF('PREENCHER AQUI'!E948="","",'PREENCHER AQUI'!E948),"")</f>
        <v/>
      </c>
      <c r="K948" s="2" t="str">
        <f>IFERROR(IF('PREENCHER AQUI'!F948="","",'PREENCHER AQUI'!F948),"")</f>
        <v/>
      </c>
      <c r="L948" s="2" t="str">
        <f>IF(Tabela1[[#This Row],[IPU_COD]]=9,"91",IF(Tabela1[[#This Row],[ACAO_COD]]="","",VLOOKUP(CONCATENATE("G",J948,"M",K948),qdd!$BC$2:$BD$46,2,FALSE)))</f>
        <v/>
      </c>
      <c r="M948" s="2" t="str">
        <f>TEXT(IFERROR(VLOOKUP(CONCATENATE(C948,D948),qdd!$C$2:$G$1000,5,FALSE),""),0)</f>
        <v/>
      </c>
      <c r="N948" s="2" t="str">
        <f>IFERROR(IF('PREENCHER AQUI'!I948="","",'PREENCHER AQUI'!I948),"")</f>
        <v/>
      </c>
      <c r="O948" s="2" t="str">
        <f>IFERROR(IF('PREENCHER AQUI'!J948="","",'PREENCHER AQUI'!J948),"")</f>
        <v/>
      </c>
      <c r="P948" s="7" t="str">
        <f t="shared" si="31"/>
        <v/>
      </c>
      <c r="Q948" s="8" t="str">
        <f>IFERROR(IF(Tabela4[[#This Row],[VALOR]]="","",IF(Tabela1[[#This Row],[ORIENTACAO]]="Anular",'PREENCHER AQUI'!K948*-1*100,'PREENCHER AQUI'!K948*100)),"")</f>
        <v/>
      </c>
      <c r="T948" s="7" t="str">
        <f>IFERROR(IF('PREENCHER AQUI'!L948="","999",LEFT('PREENCHER AQUI'!L948,1)),"")</f>
        <v>999</v>
      </c>
      <c r="V948" s="19"/>
      <c r="W948" s="1" t="str">
        <f>IFERROR(VLOOKUP(Tabela1[[#This Row],[UO_COD]],qdd!$AT$1:$AU$102,2,FALSE),"")</f>
        <v/>
      </c>
      <c r="X948" s="1" t="str">
        <f>CONCATENATE("F",Tabela1[[#This Row],[FONTE_COD]],Tabela1[[#This Row],[IPU_COD]],"G",Tabela1[[#This Row],[GRUPO_COD]],"T",Tabela1[[#This Row],[TIPO]])</f>
        <v>FGT999</v>
      </c>
      <c r="Y9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8" s="19"/>
      <c r="AA948" s="29" t="str">
        <f>IFERROR(VLOOKUP(CONCATENATE("B",Tabela1[[#This Row],[BLOCO]],Tabela1[[#This Row],[UO_COD]]),qdd!$AW$2:$AX$1000,2,FALSE),"")</f>
        <v/>
      </c>
      <c r="AB948" s="30" t="str">
        <f>IFERROR(Tabela1[[#This Row],[VALOR]]/100,"")</f>
        <v/>
      </c>
      <c r="AC948" s="7" t="str" cm="1">
        <f t="array" aca="1" ref="AC948" ca="1">IF(Tabela1[[#This Row],[VALOR]]&lt;0,"",IFERROR(SUBSTITUTE(Converter_numero(Tabela1[[#This Row],[VALOR INCISO]]),",",""),""))</f>
        <v/>
      </c>
      <c r="AD948" s="29" t="str">
        <f>IF(Tabela1[[#This Row],[TIPO]]=REGRAS!$W$2,REGRAS!$X$2,IF(Tabela1[[#This Row],[TIPO]]=REGRAS!$W$4,REGRAS!$X$4,""))</f>
        <v/>
      </c>
      <c r="AE948" s="29" t="e">
        <f>VLOOKUP(Tabela1[[#This Row],[FONTE_COD]],REGRAS!$O$2:$P$69,2,FALSE)</f>
        <v>#N/A</v>
      </c>
      <c r="AF9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9" spans="1:32" ht="18.75" customHeight="1">
      <c r="A949" s="2" t="str">
        <f>IFERROR(IF('PREENCHER AQUI'!A949="","",'PREENCHER AQUI'!A949),"")</f>
        <v/>
      </c>
      <c r="B949" s="1" t="str">
        <f>IFERROR(IF('PREENCHER AQUI'!B949="","",PROPER('PREENCHER AQUI'!B949)),"")</f>
        <v/>
      </c>
      <c r="C949" s="1" t="str">
        <f>IFERROR(IF('PREENCHER AQUI'!C949="","",'PREENCHER AQUI'!C949),"")</f>
        <v/>
      </c>
      <c r="D949" s="2" t="str">
        <f>IFERROR(IF('PREENCHER AQUI'!D949="","",'PREENCHER AQUI'!D949),"")</f>
        <v/>
      </c>
      <c r="E949" s="2" t="str">
        <f>IFERROR(VLOOKUP(CONCATENATE(C949,D949),qdd!$C$2:$F$1000,2,FALSE),"")</f>
        <v/>
      </c>
      <c r="F949" s="2" t="str">
        <f>IFERROR(VLOOKUP(CONCATENATE(C949,D949),qdd!$C$2:$F$1000,3,FALSE),"")</f>
        <v/>
      </c>
      <c r="G949" s="2" t="str">
        <f>IFERROR(VLOOKUP(CONCATENATE(C949,D949),qdd!$C$2:$F$1000,4,FALSE),"")</f>
        <v/>
      </c>
      <c r="H949" s="6" t="str">
        <f t="shared" si="30"/>
        <v/>
      </c>
      <c r="I9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9" s="2" t="str">
        <f>IFERROR(IF('PREENCHER AQUI'!E949="","",'PREENCHER AQUI'!E949),"")</f>
        <v/>
      </c>
      <c r="K949" s="2" t="str">
        <f>IFERROR(IF('PREENCHER AQUI'!F949="","",'PREENCHER AQUI'!F949),"")</f>
        <v/>
      </c>
      <c r="L949" s="2" t="str">
        <f>IF(Tabela1[[#This Row],[IPU_COD]]=9,"91",IF(Tabela1[[#This Row],[ACAO_COD]]="","",VLOOKUP(CONCATENATE("G",J949,"M",K949),qdd!$BC$2:$BD$46,2,FALSE)))</f>
        <v/>
      </c>
      <c r="M949" s="2" t="str">
        <f>TEXT(IFERROR(VLOOKUP(CONCATENATE(C949,D949),qdd!$C$2:$G$1000,5,FALSE),""),0)</f>
        <v/>
      </c>
      <c r="N949" s="2" t="str">
        <f>IFERROR(IF('PREENCHER AQUI'!I949="","",'PREENCHER AQUI'!I949),"")</f>
        <v/>
      </c>
      <c r="O949" s="2" t="str">
        <f>IFERROR(IF('PREENCHER AQUI'!J949="","",'PREENCHER AQUI'!J949),"")</f>
        <v/>
      </c>
      <c r="P949" s="7" t="str">
        <f t="shared" si="31"/>
        <v/>
      </c>
      <c r="Q949" s="8" t="str">
        <f>IFERROR(IF(Tabela4[[#This Row],[VALOR]]="","",IF(Tabela1[[#This Row],[ORIENTACAO]]="Anular",'PREENCHER AQUI'!K949*-1*100,'PREENCHER AQUI'!K949*100)),"")</f>
        <v/>
      </c>
      <c r="T949" s="7" t="str">
        <f>IFERROR(IF('PREENCHER AQUI'!L949="","999",LEFT('PREENCHER AQUI'!L949,1)),"")</f>
        <v>999</v>
      </c>
      <c r="V949" s="19"/>
      <c r="W949" s="1" t="str">
        <f>IFERROR(VLOOKUP(Tabela1[[#This Row],[UO_COD]],qdd!$AT$1:$AU$102,2,FALSE),"")</f>
        <v/>
      </c>
      <c r="X949" s="1" t="str">
        <f>CONCATENATE("F",Tabela1[[#This Row],[FONTE_COD]],Tabela1[[#This Row],[IPU_COD]],"G",Tabela1[[#This Row],[GRUPO_COD]],"T",Tabela1[[#This Row],[TIPO]])</f>
        <v>FGT999</v>
      </c>
      <c r="Y9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9" s="19"/>
      <c r="AA949" s="29" t="str">
        <f>IFERROR(VLOOKUP(CONCATENATE("B",Tabela1[[#This Row],[BLOCO]],Tabela1[[#This Row],[UO_COD]]),qdd!$AW$2:$AX$1000,2,FALSE),"")</f>
        <v/>
      </c>
      <c r="AB949" s="30" t="str">
        <f>IFERROR(Tabela1[[#This Row],[VALOR]]/100,"")</f>
        <v/>
      </c>
      <c r="AC949" s="7" t="str" cm="1">
        <f t="array" aca="1" ref="AC949" ca="1">IF(Tabela1[[#This Row],[VALOR]]&lt;0,"",IFERROR(SUBSTITUTE(Converter_numero(Tabela1[[#This Row],[VALOR INCISO]]),",",""),""))</f>
        <v/>
      </c>
      <c r="AD949" s="29" t="str">
        <f>IF(Tabela1[[#This Row],[TIPO]]=REGRAS!$W$2,REGRAS!$X$2,IF(Tabela1[[#This Row],[TIPO]]=REGRAS!$W$4,REGRAS!$X$4,""))</f>
        <v/>
      </c>
      <c r="AE949" s="29" t="e">
        <f>VLOOKUP(Tabela1[[#This Row],[FONTE_COD]],REGRAS!$O$2:$P$69,2,FALSE)</f>
        <v>#N/A</v>
      </c>
      <c r="AF9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0" spans="1:32" ht="18.75" customHeight="1">
      <c r="A950" s="2" t="str">
        <f>IFERROR(IF('PREENCHER AQUI'!A950="","",'PREENCHER AQUI'!A950),"")</f>
        <v/>
      </c>
      <c r="B950" s="1" t="str">
        <f>IFERROR(IF('PREENCHER AQUI'!B950="","",PROPER('PREENCHER AQUI'!B950)),"")</f>
        <v/>
      </c>
      <c r="C950" s="1" t="str">
        <f>IFERROR(IF('PREENCHER AQUI'!C950="","",'PREENCHER AQUI'!C950),"")</f>
        <v/>
      </c>
      <c r="D950" s="2" t="str">
        <f>IFERROR(IF('PREENCHER AQUI'!D950="","",'PREENCHER AQUI'!D950),"")</f>
        <v/>
      </c>
      <c r="E950" s="2" t="str">
        <f>IFERROR(VLOOKUP(CONCATENATE(C950,D950),qdd!$C$2:$F$1000,2,FALSE),"")</f>
        <v/>
      </c>
      <c r="F950" s="2" t="str">
        <f>IFERROR(VLOOKUP(CONCATENATE(C950,D950),qdd!$C$2:$F$1000,3,FALSE),"")</f>
        <v/>
      </c>
      <c r="G950" s="2" t="str">
        <f>IFERROR(VLOOKUP(CONCATENATE(C950,D950),qdd!$C$2:$F$1000,4,FALSE),"")</f>
        <v/>
      </c>
      <c r="H950" s="6" t="str">
        <f t="shared" si="30"/>
        <v/>
      </c>
      <c r="I9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0" s="2" t="str">
        <f>IFERROR(IF('PREENCHER AQUI'!E950="","",'PREENCHER AQUI'!E950),"")</f>
        <v/>
      </c>
      <c r="K950" s="2" t="str">
        <f>IFERROR(IF('PREENCHER AQUI'!F950="","",'PREENCHER AQUI'!F950),"")</f>
        <v/>
      </c>
      <c r="L950" s="2" t="str">
        <f>IF(Tabela1[[#This Row],[IPU_COD]]=9,"91",IF(Tabela1[[#This Row],[ACAO_COD]]="","",VLOOKUP(CONCATENATE("G",J950,"M",K950),qdd!$BC$2:$BD$46,2,FALSE)))</f>
        <v/>
      </c>
      <c r="M950" s="2" t="str">
        <f>TEXT(IFERROR(VLOOKUP(CONCATENATE(C950,D950),qdd!$C$2:$G$1000,5,FALSE),""),0)</f>
        <v/>
      </c>
      <c r="N950" s="2" t="str">
        <f>IFERROR(IF('PREENCHER AQUI'!I950="","",'PREENCHER AQUI'!I950),"")</f>
        <v/>
      </c>
      <c r="O950" s="2" t="str">
        <f>IFERROR(IF('PREENCHER AQUI'!J950="","",'PREENCHER AQUI'!J950),"")</f>
        <v/>
      </c>
      <c r="P950" s="7" t="str">
        <f t="shared" si="31"/>
        <v/>
      </c>
      <c r="Q950" s="8" t="str">
        <f>IFERROR(IF(Tabela4[[#This Row],[VALOR]]="","",IF(Tabela1[[#This Row],[ORIENTACAO]]="Anular",'PREENCHER AQUI'!K950*-1*100,'PREENCHER AQUI'!K950*100)),"")</f>
        <v/>
      </c>
      <c r="T950" s="7" t="str">
        <f>IFERROR(IF('PREENCHER AQUI'!L950="","999",LEFT('PREENCHER AQUI'!L950,1)),"")</f>
        <v>999</v>
      </c>
      <c r="V950" s="19"/>
      <c r="W950" s="20" t="str">
        <f>IFERROR(VLOOKUP(Tabela1[[#This Row],[UO_COD]],qdd!$AT$1:$AU$102,2,FALSE),"")</f>
        <v/>
      </c>
      <c r="X950" s="20" t="str">
        <f>CONCATENATE("F",Tabela1[[#This Row],[FONTE_COD]],Tabela1[[#This Row],[IPU_COD]],"G",Tabela1[[#This Row],[GRUPO_COD]],"T",Tabela1[[#This Row],[TIPO]])</f>
        <v>FGT999</v>
      </c>
      <c r="Y9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0" s="19"/>
      <c r="AA950" s="29" t="str">
        <f>IFERROR(VLOOKUP(CONCATENATE("B",Tabela1[[#This Row],[BLOCO]],Tabela1[[#This Row],[UO_COD]]),qdd!$AW$2:$AX$1000,2,FALSE),"")</f>
        <v/>
      </c>
      <c r="AB950" s="30" t="str">
        <f>IFERROR(Tabela1[[#This Row],[VALOR]]/100,"")</f>
        <v/>
      </c>
      <c r="AC950" s="7" t="str" cm="1">
        <f t="array" aca="1" ref="AC950" ca="1">IF(Tabela1[[#This Row],[VALOR]]&lt;0,"",IFERROR(SUBSTITUTE(Converter_numero(Tabela1[[#This Row],[VALOR INCISO]]),",",""),""))</f>
        <v/>
      </c>
      <c r="AD950" s="29" t="str">
        <f>IF(Tabela1[[#This Row],[TIPO]]=REGRAS!$W$2,REGRAS!$X$2,IF(Tabela1[[#This Row],[TIPO]]=REGRAS!$W$4,REGRAS!$X$4,""))</f>
        <v/>
      </c>
      <c r="AE950" s="29" t="e">
        <f>VLOOKUP(Tabela1[[#This Row],[FONTE_COD]],REGRAS!$O$2:$P$69,2,FALSE)</f>
        <v>#N/A</v>
      </c>
      <c r="AF9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1" spans="1:32" ht="18.75" customHeight="1">
      <c r="A951" s="2" t="str">
        <f>IFERROR(IF('PREENCHER AQUI'!A951="","",'PREENCHER AQUI'!A951),"")</f>
        <v/>
      </c>
      <c r="B951" s="1" t="str">
        <f>IFERROR(IF('PREENCHER AQUI'!B951="","",PROPER('PREENCHER AQUI'!B951)),"")</f>
        <v/>
      </c>
      <c r="C951" s="1" t="str">
        <f>IFERROR(IF('PREENCHER AQUI'!C951="","",'PREENCHER AQUI'!C951),"")</f>
        <v/>
      </c>
      <c r="D951" s="2" t="str">
        <f>IFERROR(IF('PREENCHER AQUI'!D951="","",'PREENCHER AQUI'!D951),"")</f>
        <v/>
      </c>
      <c r="E951" s="2" t="str">
        <f>IFERROR(VLOOKUP(CONCATENATE(C951,D951),qdd!$C$2:$F$1000,2,FALSE),"")</f>
        <v/>
      </c>
      <c r="F951" s="2" t="str">
        <f>IFERROR(VLOOKUP(CONCATENATE(C951,D951),qdd!$C$2:$F$1000,3,FALSE),"")</f>
        <v/>
      </c>
      <c r="G951" s="2" t="str">
        <f>IFERROR(VLOOKUP(CONCATENATE(C951,D951),qdd!$C$2:$F$1000,4,FALSE),"")</f>
        <v/>
      </c>
      <c r="H951" s="6" t="str">
        <f t="shared" si="30"/>
        <v/>
      </c>
      <c r="I9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1" s="2" t="str">
        <f>IFERROR(IF('PREENCHER AQUI'!E951="","",'PREENCHER AQUI'!E951),"")</f>
        <v/>
      </c>
      <c r="K951" s="2" t="str">
        <f>IFERROR(IF('PREENCHER AQUI'!F951="","",'PREENCHER AQUI'!F951),"")</f>
        <v/>
      </c>
      <c r="L951" s="2" t="str">
        <f>IF(Tabela1[[#This Row],[IPU_COD]]=9,"91",IF(Tabela1[[#This Row],[ACAO_COD]]="","",VLOOKUP(CONCATENATE("G",J951,"M",K951),qdd!$BC$2:$BD$46,2,FALSE)))</f>
        <v/>
      </c>
      <c r="M951" s="2" t="str">
        <f>TEXT(IFERROR(VLOOKUP(CONCATENATE(C951,D951),qdd!$C$2:$G$1000,5,FALSE),""),0)</f>
        <v/>
      </c>
      <c r="N951" s="2" t="str">
        <f>IFERROR(IF('PREENCHER AQUI'!I951="","",'PREENCHER AQUI'!I951),"")</f>
        <v/>
      </c>
      <c r="O951" s="2" t="str">
        <f>IFERROR(IF('PREENCHER AQUI'!J951="","",'PREENCHER AQUI'!J951),"")</f>
        <v/>
      </c>
      <c r="P951" s="7" t="str">
        <f t="shared" si="31"/>
        <v/>
      </c>
      <c r="Q951" s="8" t="str">
        <f>IFERROR(IF(Tabela4[[#This Row],[VALOR]]="","",IF(Tabela1[[#This Row],[ORIENTACAO]]="Anular",'PREENCHER AQUI'!K951*-1*100,'PREENCHER AQUI'!K951*100)),"")</f>
        <v/>
      </c>
      <c r="T951" s="7" t="str">
        <f>IFERROR(IF('PREENCHER AQUI'!L951="","999",LEFT('PREENCHER AQUI'!L951,1)),"")</f>
        <v>999</v>
      </c>
      <c r="V951" s="19"/>
      <c r="W951" s="1" t="str">
        <f>IFERROR(VLOOKUP(Tabela1[[#This Row],[UO_COD]],qdd!$AT$1:$AU$102,2,FALSE),"")</f>
        <v/>
      </c>
      <c r="X951" s="1" t="str">
        <f>CONCATENATE("F",Tabela1[[#This Row],[FONTE_COD]],Tabela1[[#This Row],[IPU_COD]],"G",Tabela1[[#This Row],[GRUPO_COD]],"T",Tabela1[[#This Row],[TIPO]])</f>
        <v>FGT999</v>
      </c>
      <c r="Y9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1" s="19"/>
      <c r="AA951" s="29" t="str">
        <f>IFERROR(VLOOKUP(CONCATENATE("B",Tabela1[[#This Row],[BLOCO]],Tabela1[[#This Row],[UO_COD]]),qdd!$AW$2:$AX$1000,2,FALSE),"")</f>
        <v/>
      </c>
      <c r="AB951" s="30" t="str">
        <f>IFERROR(Tabela1[[#This Row],[VALOR]]/100,"")</f>
        <v/>
      </c>
      <c r="AC951" s="7" t="str" cm="1">
        <f t="array" aca="1" ref="AC951" ca="1">IF(Tabela1[[#This Row],[VALOR]]&lt;0,"",IFERROR(SUBSTITUTE(Converter_numero(Tabela1[[#This Row],[VALOR INCISO]]),",",""),""))</f>
        <v/>
      </c>
      <c r="AD951" s="29" t="str">
        <f>IF(Tabela1[[#This Row],[TIPO]]=REGRAS!$W$2,REGRAS!$X$2,IF(Tabela1[[#This Row],[TIPO]]=REGRAS!$W$4,REGRAS!$X$4,""))</f>
        <v/>
      </c>
      <c r="AE951" s="29" t="e">
        <f>VLOOKUP(Tabela1[[#This Row],[FONTE_COD]],REGRAS!$O$2:$P$69,2,FALSE)</f>
        <v>#N/A</v>
      </c>
      <c r="AF9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2" spans="1:32" ht="18.75" customHeight="1">
      <c r="A952" s="2" t="str">
        <f>IFERROR(IF('PREENCHER AQUI'!A952="","",'PREENCHER AQUI'!A952),"")</f>
        <v/>
      </c>
      <c r="B952" s="1" t="str">
        <f>IFERROR(IF('PREENCHER AQUI'!B952="","",PROPER('PREENCHER AQUI'!B952)),"")</f>
        <v/>
      </c>
      <c r="C952" s="1" t="str">
        <f>IFERROR(IF('PREENCHER AQUI'!C952="","",'PREENCHER AQUI'!C952),"")</f>
        <v/>
      </c>
      <c r="D952" s="2" t="str">
        <f>IFERROR(IF('PREENCHER AQUI'!D952="","",'PREENCHER AQUI'!D952),"")</f>
        <v/>
      </c>
      <c r="E952" s="2" t="str">
        <f>IFERROR(VLOOKUP(CONCATENATE(C952,D952),qdd!$C$2:$F$1000,2,FALSE),"")</f>
        <v/>
      </c>
      <c r="F952" s="2" t="str">
        <f>IFERROR(VLOOKUP(CONCATENATE(C952,D952),qdd!$C$2:$F$1000,3,FALSE),"")</f>
        <v/>
      </c>
      <c r="G952" s="2" t="str">
        <f>IFERROR(VLOOKUP(CONCATENATE(C952,D952),qdd!$C$2:$F$1000,4,FALSE),"")</f>
        <v/>
      </c>
      <c r="H952" s="6" t="str">
        <f t="shared" si="30"/>
        <v/>
      </c>
      <c r="I9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2" s="2" t="str">
        <f>IFERROR(IF('PREENCHER AQUI'!E952="","",'PREENCHER AQUI'!E952),"")</f>
        <v/>
      </c>
      <c r="K952" s="2" t="str">
        <f>IFERROR(IF('PREENCHER AQUI'!F952="","",'PREENCHER AQUI'!F952),"")</f>
        <v/>
      </c>
      <c r="L952" s="2" t="str">
        <f>IF(Tabela1[[#This Row],[IPU_COD]]=9,"91",IF(Tabela1[[#This Row],[ACAO_COD]]="","",VLOOKUP(CONCATENATE("G",J952,"M",K952),qdd!$BC$2:$BD$46,2,FALSE)))</f>
        <v/>
      </c>
      <c r="M952" s="2" t="str">
        <f>TEXT(IFERROR(VLOOKUP(CONCATENATE(C952,D952),qdd!$C$2:$G$1000,5,FALSE),""),0)</f>
        <v/>
      </c>
      <c r="N952" s="2" t="str">
        <f>IFERROR(IF('PREENCHER AQUI'!I952="","",'PREENCHER AQUI'!I952),"")</f>
        <v/>
      </c>
      <c r="O952" s="2" t="str">
        <f>IFERROR(IF('PREENCHER AQUI'!J952="","",'PREENCHER AQUI'!J952),"")</f>
        <v/>
      </c>
      <c r="P952" s="7" t="str">
        <f t="shared" si="31"/>
        <v/>
      </c>
      <c r="Q952" s="8" t="str">
        <f>IFERROR(IF(Tabela4[[#This Row],[VALOR]]="","",IF(Tabela1[[#This Row],[ORIENTACAO]]="Anular",'PREENCHER AQUI'!K952*-1*100,'PREENCHER AQUI'!K952*100)),"")</f>
        <v/>
      </c>
      <c r="T952" s="7" t="str">
        <f>IFERROR(IF('PREENCHER AQUI'!L952="","999",LEFT('PREENCHER AQUI'!L952,1)),"")</f>
        <v>999</v>
      </c>
      <c r="W952" s="1" t="str">
        <f>IFERROR(VLOOKUP(Tabela1[[#This Row],[UO_COD]],qdd!$AT$1:$AU$102,2,FALSE),"")</f>
        <v/>
      </c>
      <c r="X952" s="1" t="str">
        <f>CONCATENATE("F",Tabela1[[#This Row],[FONTE_COD]],Tabela1[[#This Row],[IPU_COD]],"G",Tabela1[[#This Row],[GRUPO_COD]],"T",Tabela1[[#This Row],[TIPO]])</f>
        <v>FGT999</v>
      </c>
      <c r="Y9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2" s="19"/>
      <c r="AA952" s="29" t="str">
        <f>IFERROR(VLOOKUP(CONCATENATE("B",Tabela1[[#This Row],[BLOCO]],Tabela1[[#This Row],[UO_COD]]),qdd!$AW$2:$AX$1000,2,FALSE),"")</f>
        <v/>
      </c>
      <c r="AB952" s="30" t="str">
        <f>IFERROR(Tabela1[[#This Row],[VALOR]]/100,"")</f>
        <v/>
      </c>
      <c r="AC952" s="7" t="str" cm="1">
        <f t="array" aca="1" ref="AC952" ca="1">IF(Tabela1[[#This Row],[VALOR]]&lt;0,"",IFERROR(SUBSTITUTE(Converter_numero(Tabela1[[#This Row],[VALOR INCISO]]),",",""),""))</f>
        <v/>
      </c>
      <c r="AD952" s="7" t="str">
        <f>IF(Tabela1[[#This Row],[TIPO]]=REGRAS!$W$2,REGRAS!$X$2,IF(Tabela1[[#This Row],[TIPO]]=REGRAS!$W$4,REGRAS!$X$4,""))</f>
        <v/>
      </c>
      <c r="AE952" s="29" t="e">
        <f>VLOOKUP(Tabela1[[#This Row],[FONTE_COD]],REGRAS!$O$2:$P$69,2,FALSE)</f>
        <v>#N/A</v>
      </c>
      <c r="AF9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3" spans="1:32" ht="18.75" customHeight="1">
      <c r="A953" s="2" t="str">
        <f>IFERROR(IF('PREENCHER AQUI'!A953="","",'PREENCHER AQUI'!A953),"")</f>
        <v/>
      </c>
      <c r="B953" s="1" t="str">
        <f>IFERROR(IF('PREENCHER AQUI'!B953="","",PROPER('PREENCHER AQUI'!B953)),"")</f>
        <v/>
      </c>
      <c r="C953" s="1" t="str">
        <f>IFERROR(IF('PREENCHER AQUI'!C953="","",'PREENCHER AQUI'!C953),"")</f>
        <v/>
      </c>
      <c r="D953" s="2" t="str">
        <f>IFERROR(IF('PREENCHER AQUI'!D953="","",'PREENCHER AQUI'!D953),"")</f>
        <v/>
      </c>
      <c r="E953" s="2" t="str">
        <f>IFERROR(VLOOKUP(CONCATENATE(C953,D953),qdd!$C$2:$F$1000,2,FALSE),"")</f>
        <v/>
      </c>
      <c r="F953" s="2" t="str">
        <f>IFERROR(VLOOKUP(CONCATENATE(C953,D953),qdd!$C$2:$F$1000,3,FALSE),"")</f>
        <v/>
      </c>
      <c r="G953" s="2" t="str">
        <f>IFERROR(VLOOKUP(CONCATENATE(C953,D953),qdd!$C$2:$F$1000,4,FALSE),"")</f>
        <v/>
      </c>
      <c r="H953" s="6" t="str">
        <f t="shared" si="30"/>
        <v/>
      </c>
      <c r="I9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3" s="2" t="str">
        <f>IFERROR(IF('PREENCHER AQUI'!E953="","",'PREENCHER AQUI'!E953),"")</f>
        <v/>
      </c>
      <c r="K953" s="2" t="str">
        <f>IFERROR(IF('PREENCHER AQUI'!F953="","",'PREENCHER AQUI'!F953),"")</f>
        <v/>
      </c>
      <c r="L953" s="2" t="str">
        <f>IF(Tabela1[[#This Row],[IPU_COD]]=9,"91",IF(Tabela1[[#This Row],[ACAO_COD]]="","",VLOOKUP(CONCATENATE("G",J953,"M",K953),qdd!$BC$2:$BD$46,2,FALSE)))</f>
        <v/>
      </c>
      <c r="M953" s="2" t="str">
        <f>TEXT(IFERROR(VLOOKUP(CONCATENATE(C953,D953),qdd!$C$2:$G$1000,5,FALSE),""),0)</f>
        <v/>
      </c>
      <c r="N953" s="2" t="str">
        <f>IFERROR(IF('PREENCHER AQUI'!I953="","",'PREENCHER AQUI'!I953),"")</f>
        <v/>
      </c>
      <c r="O953" s="2" t="str">
        <f>IFERROR(IF('PREENCHER AQUI'!J953="","",'PREENCHER AQUI'!J953),"")</f>
        <v/>
      </c>
      <c r="P953" s="7" t="str">
        <f t="shared" si="31"/>
        <v/>
      </c>
      <c r="Q953" s="8" t="str">
        <f>IFERROR(IF(Tabela4[[#This Row],[VALOR]]="","",IF(Tabela1[[#This Row],[ORIENTACAO]]="Anular",'PREENCHER AQUI'!K953*-1*100,'PREENCHER AQUI'!K953*100)),"")</f>
        <v/>
      </c>
      <c r="T953" s="7" t="str">
        <f>IFERROR(IF('PREENCHER AQUI'!L953="","999",LEFT('PREENCHER AQUI'!L953,1)),"")</f>
        <v>999</v>
      </c>
      <c r="V953" s="19"/>
      <c r="W953" s="1" t="str">
        <f>IFERROR(VLOOKUP(Tabela1[[#This Row],[UO_COD]],qdd!$AT$1:$AU$102,2,FALSE),"")</f>
        <v/>
      </c>
      <c r="X953" s="1" t="str">
        <f>CONCATENATE("F",Tabela1[[#This Row],[FONTE_COD]],Tabela1[[#This Row],[IPU_COD]],"G",Tabela1[[#This Row],[GRUPO_COD]],"T",Tabela1[[#This Row],[TIPO]])</f>
        <v>FGT999</v>
      </c>
      <c r="Y9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3" s="19"/>
      <c r="AA953" s="29" t="str">
        <f>IFERROR(VLOOKUP(CONCATENATE("B",Tabela1[[#This Row],[BLOCO]],Tabela1[[#This Row],[UO_COD]]),qdd!$AW$2:$AX$1000,2,FALSE),"")</f>
        <v/>
      </c>
      <c r="AB953" s="30" t="str">
        <f>IFERROR(Tabela1[[#This Row],[VALOR]]/100,"")</f>
        <v/>
      </c>
      <c r="AC953" s="7" t="str" cm="1">
        <f t="array" aca="1" ref="AC953" ca="1">IF(Tabela1[[#This Row],[VALOR]]&lt;0,"",IFERROR(SUBSTITUTE(Converter_numero(Tabela1[[#This Row],[VALOR INCISO]]),",",""),""))</f>
        <v/>
      </c>
      <c r="AD953" s="29" t="str">
        <f>IF(Tabela1[[#This Row],[TIPO]]=REGRAS!$W$2,REGRAS!$X$2,IF(Tabela1[[#This Row],[TIPO]]=REGRAS!$W$4,REGRAS!$X$4,""))</f>
        <v/>
      </c>
      <c r="AE953" s="29" t="e">
        <f>VLOOKUP(Tabela1[[#This Row],[FONTE_COD]],REGRAS!$O$2:$P$69,2,FALSE)</f>
        <v>#N/A</v>
      </c>
      <c r="AF9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4" spans="1:32" ht="18.75" customHeight="1">
      <c r="A954" s="2" t="str">
        <f>IFERROR(IF('PREENCHER AQUI'!A954="","",'PREENCHER AQUI'!A954),"")</f>
        <v/>
      </c>
      <c r="B954" s="1" t="str">
        <f>IFERROR(IF('PREENCHER AQUI'!B954="","",PROPER('PREENCHER AQUI'!B954)),"")</f>
        <v/>
      </c>
      <c r="C954" s="1" t="str">
        <f>IFERROR(IF('PREENCHER AQUI'!C954="","",'PREENCHER AQUI'!C954),"")</f>
        <v/>
      </c>
      <c r="D954" s="2" t="str">
        <f>IFERROR(IF('PREENCHER AQUI'!D954="","",'PREENCHER AQUI'!D954),"")</f>
        <v/>
      </c>
      <c r="E954" s="2" t="str">
        <f>IFERROR(VLOOKUP(CONCATENATE(C954,D954),qdd!$C$2:$F$1000,2,FALSE),"")</f>
        <v/>
      </c>
      <c r="F954" s="2" t="str">
        <f>IFERROR(VLOOKUP(CONCATENATE(C954,D954),qdd!$C$2:$F$1000,3,FALSE),"")</f>
        <v/>
      </c>
      <c r="G954" s="2" t="str">
        <f>IFERROR(VLOOKUP(CONCATENATE(C954,D954),qdd!$C$2:$F$1000,4,FALSE),"")</f>
        <v/>
      </c>
      <c r="H954" s="6" t="str">
        <f t="shared" si="30"/>
        <v/>
      </c>
      <c r="I9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4" s="2" t="str">
        <f>IFERROR(IF('PREENCHER AQUI'!E954="","",'PREENCHER AQUI'!E954),"")</f>
        <v/>
      </c>
      <c r="K954" s="2" t="str">
        <f>IFERROR(IF('PREENCHER AQUI'!F954="","",'PREENCHER AQUI'!F954),"")</f>
        <v/>
      </c>
      <c r="L954" s="2" t="str">
        <f>IF(Tabela1[[#This Row],[IPU_COD]]=9,"91",IF(Tabela1[[#This Row],[ACAO_COD]]="","",VLOOKUP(CONCATENATE("G",J954,"M",K954),qdd!$BC$2:$BD$46,2,FALSE)))</f>
        <v/>
      </c>
      <c r="M954" s="2" t="str">
        <f>TEXT(IFERROR(VLOOKUP(CONCATENATE(C954,D954),qdd!$C$2:$G$1000,5,FALSE),""),0)</f>
        <v/>
      </c>
      <c r="N954" s="2" t="str">
        <f>IFERROR(IF('PREENCHER AQUI'!I954="","",'PREENCHER AQUI'!I954),"")</f>
        <v/>
      </c>
      <c r="O954" s="2" t="str">
        <f>IFERROR(IF('PREENCHER AQUI'!J954="","",'PREENCHER AQUI'!J954),"")</f>
        <v/>
      </c>
      <c r="P954" s="7" t="str">
        <f t="shared" si="31"/>
        <v/>
      </c>
      <c r="Q954" s="8" t="str">
        <f>IFERROR(IF(Tabela4[[#This Row],[VALOR]]="","",IF(Tabela1[[#This Row],[ORIENTACAO]]="Anular",'PREENCHER AQUI'!K954*-1*100,'PREENCHER AQUI'!K954*100)),"")</f>
        <v/>
      </c>
      <c r="T954" s="7" t="str">
        <f>IFERROR(IF('PREENCHER AQUI'!L954="","999",LEFT('PREENCHER AQUI'!L954,1)),"")</f>
        <v>999</v>
      </c>
      <c r="V954" s="19"/>
      <c r="W954" s="1" t="str">
        <f>IFERROR(VLOOKUP(Tabela1[[#This Row],[UO_COD]],qdd!$AT$1:$AU$102,2,FALSE),"")</f>
        <v/>
      </c>
      <c r="X954" s="1" t="str">
        <f>CONCATENATE("F",Tabela1[[#This Row],[FONTE_COD]],Tabela1[[#This Row],[IPU_COD]],"G",Tabela1[[#This Row],[GRUPO_COD]],"T",Tabela1[[#This Row],[TIPO]])</f>
        <v>FGT999</v>
      </c>
      <c r="Y9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4" s="19"/>
      <c r="AA954" s="29" t="str">
        <f>IFERROR(VLOOKUP(CONCATENATE("B",Tabela1[[#This Row],[BLOCO]],Tabela1[[#This Row],[UO_COD]]),qdd!$AW$2:$AX$1000,2,FALSE),"")</f>
        <v/>
      </c>
      <c r="AB954" s="30" t="str">
        <f>IFERROR(Tabela1[[#This Row],[VALOR]]/100,"")</f>
        <v/>
      </c>
      <c r="AC954" s="7" t="str" cm="1">
        <f t="array" aca="1" ref="AC954" ca="1">IF(Tabela1[[#This Row],[VALOR]]&lt;0,"",IFERROR(SUBSTITUTE(Converter_numero(Tabela1[[#This Row],[VALOR INCISO]]),",",""),""))</f>
        <v/>
      </c>
      <c r="AD954" s="29" t="str">
        <f>IF(Tabela1[[#This Row],[TIPO]]=REGRAS!$W$2,REGRAS!$X$2,IF(Tabela1[[#This Row],[TIPO]]=REGRAS!$W$4,REGRAS!$X$4,""))</f>
        <v/>
      </c>
      <c r="AE954" s="29" t="e">
        <f>VLOOKUP(Tabela1[[#This Row],[FONTE_COD]],REGRAS!$O$2:$P$69,2,FALSE)</f>
        <v>#N/A</v>
      </c>
      <c r="AF9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5" spans="1:32" ht="18.75" customHeight="1">
      <c r="A955" s="2" t="str">
        <f>IFERROR(IF('PREENCHER AQUI'!A955="","",'PREENCHER AQUI'!A955),"")</f>
        <v/>
      </c>
      <c r="B955" s="1" t="str">
        <f>IFERROR(IF('PREENCHER AQUI'!B955="","",PROPER('PREENCHER AQUI'!B955)),"")</f>
        <v/>
      </c>
      <c r="C955" s="1" t="str">
        <f>IFERROR(IF('PREENCHER AQUI'!C955="","",'PREENCHER AQUI'!C955),"")</f>
        <v/>
      </c>
      <c r="D955" s="2" t="str">
        <f>IFERROR(IF('PREENCHER AQUI'!D955="","",'PREENCHER AQUI'!D955),"")</f>
        <v/>
      </c>
      <c r="E955" s="2" t="str">
        <f>IFERROR(VLOOKUP(CONCATENATE(C955,D955),qdd!$C$2:$F$1000,2,FALSE),"")</f>
        <v/>
      </c>
      <c r="F955" s="2" t="str">
        <f>IFERROR(VLOOKUP(CONCATENATE(C955,D955),qdd!$C$2:$F$1000,3,FALSE),"")</f>
        <v/>
      </c>
      <c r="G955" s="2" t="str">
        <f>IFERROR(VLOOKUP(CONCATENATE(C955,D955),qdd!$C$2:$F$1000,4,FALSE),"")</f>
        <v/>
      </c>
      <c r="H955" s="6" t="str">
        <f t="shared" si="30"/>
        <v/>
      </c>
      <c r="I9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5" s="2" t="str">
        <f>IFERROR(IF('PREENCHER AQUI'!E955="","",'PREENCHER AQUI'!E955),"")</f>
        <v/>
      </c>
      <c r="K955" s="2" t="str">
        <f>IFERROR(IF('PREENCHER AQUI'!F955="","",'PREENCHER AQUI'!F955),"")</f>
        <v/>
      </c>
      <c r="L955" s="2" t="str">
        <f>IF(Tabela1[[#This Row],[IPU_COD]]=9,"91",IF(Tabela1[[#This Row],[ACAO_COD]]="","",VLOOKUP(CONCATENATE("G",J955,"M",K955),qdd!$BC$2:$BD$46,2,FALSE)))</f>
        <v/>
      </c>
      <c r="M955" s="2" t="str">
        <f>TEXT(IFERROR(VLOOKUP(CONCATENATE(C955,D955),qdd!$C$2:$G$1000,5,FALSE),""),0)</f>
        <v/>
      </c>
      <c r="N955" s="2" t="str">
        <f>IFERROR(IF('PREENCHER AQUI'!I955="","",'PREENCHER AQUI'!I955),"")</f>
        <v/>
      </c>
      <c r="O955" s="2" t="str">
        <f>IFERROR(IF('PREENCHER AQUI'!J955="","",'PREENCHER AQUI'!J955),"")</f>
        <v/>
      </c>
      <c r="P955" s="7" t="str">
        <f t="shared" si="31"/>
        <v/>
      </c>
      <c r="Q955" s="8" t="str">
        <f>IFERROR(IF(Tabela4[[#This Row],[VALOR]]="","",IF(Tabela1[[#This Row],[ORIENTACAO]]="Anular",'PREENCHER AQUI'!K955*-1*100,'PREENCHER AQUI'!K955*100)),"")</f>
        <v/>
      </c>
      <c r="T955" s="7" t="str">
        <f>IFERROR(IF('PREENCHER AQUI'!L955="","999",LEFT('PREENCHER AQUI'!L955,1)),"")</f>
        <v>999</v>
      </c>
      <c r="V955" s="19"/>
      <c r="W955" s="20" t="str">
        <f>IFERROR(VLOOKUP(Tabela1[[#This Row],[UO_COD]],qdd!$AT$1:$AU$102,2,FALSE),"")</f>
        <v/>
      </c>
      <c r="X955" s="20" t="str">
        <f>CONCATENATE("F",Tabela1[[#This Row],[FONTE_COD]],Tabela1[[#This Row],[IPU_COD]],"G",Tabela1[[#This Row],[GRUPO_COD]],"T",Tabela1[[#This Row],[TIPO]])</f>
        <v>FGT999</v>
      </c>
      <c r="Y9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5" s="19"/>
      <c r="AA955" s="29" t="str">
        <f>IFERROR(VLOOKUP(CONCATENATE("B",Tabela1[[#This Row],[BLOCO]],Tabela1[[#This Row],[UO_COD]]),qdd!$AW$2:$AX$1000,2,FALSE),"")</f>
        <v/>
      </c>
      <c r="AB955" s="30" t="str">
        <f>IFERROR(Tabela1[[#This Row],[VALOR]]/100,"")</f>
        <v/>
      </c>
      <c r="AC955" s="7" t="str" cm="1">
        <f t="array" aca="1" ref="AC955" ca="1">IF(Tabela1[[#This Row],[VALOR]]&lt;0,"",IFERROR(SUBSTITUTE(Converter_numero(Tabela1[[#This Row],[VALOR INCISO]]),",",""),""))</f>
        <v/>
      </c>
      <c r="AD955" s="29" t="str">
        <f>IF(Tabela1[[#This Row],[TIPO]]=REGRAS!$W$2,REGRAS!$X$2,IF(Tabela1[[#This Row],[TIPO]]=REGRAS!$W$4,REGRAS!$X$4,""))</f>
        <v/>
      </c>
      <c r="AE955" s="29" t="e">
        <f>VLOOKUP(Tabela1[[#This Row],[FONTE_COD]],REGRAS!$O$2:$P$69,2,FALSE)</f>
        <v>#N/A</v>
      </c>
      <c r="AF9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6" spans="1:32" ht="18.75" customHeight="1">
      <c r="A956" s="2" t="str">
        <f>IFERROR(IF('PREENCHER AQUI'!A956="","",'PREENCHER AQUI'!A956),"")</f>
        <v/>
      </c>
      <c r="B956" s="1" t="str">
        <f>IFERROR(IF('PREENCHER AQUI'!B956="","",PROPER('PREENCHER AQUI'!B956)),"")</f>
        <v/>
      </c>
      <c r="C956" s="1" t="str">
        <f>IFERROR(IF('PREENCHER AQUI'!C956="","",'PREENCHER AQUI'!C956),"")</f>
        <v/>
      </c>
      <c r="D956" s="2" t="str">
        <f>IFERROR(IF('PREENCHER AQUI'!D956="","",'PREENCHER AQUI'!D956),"")</f>
        <v/>
      </c>
      <c r="E956" s="2" t="str">
        <f>IFERROR(VLOOKUP(CONCATENATE(C956,D956),qdd!$C$2:$F$1000,2,FALSE),"")</f>
        <v/>
      </c>
      <c r="F956" s="2" t="str">
        <f>IFERROR(VLOOKUP(CONCATENATE(C956,D956),qdd!$C$2:$F$1000,3,FALSE),"")</f>
        <v/>
      </c>
      <c r="G956" s="2" t="str">
        <f>IFERROR(VLOOKUP(CONCATENATE(C956,D956),qdd!$C$2:$F$1000,4,FALSE),"")</f>
        <v/>
      </c>
      <c r="H956" s="6" t="str">
        <f t="shared" si="30"/>
        <v/>
      </c>
      <c r="I9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6" s="2" t="str">
        <f>IFERROR(IF('PREENCHER AQUI'!E956="","",'PREENCHER AQUI'!E956),"")</f>
        <v/>
      </c>
      <c r="K956" s="2" t="str">
        <f>IFERROR(IF('PREENCHER AQUI'!F956="","",'PREENCHER AQUI'!F956),"")</f>
        <v/>
      </c>
      <c r="L956" s="2" t="str">
        <f>IF(Tabela1[[#This Row],[IPU_COD]]=9,"91",IF(Tabela1[[#This Row],[ACAO_COD]]="","",VLOOKUP(CONCATENATE("G",J956,"M",K956),qdd!$BC$2:$BD$46,2,FALSE)))</f>
        <v/>
      </c>
      <c r="M956" s="2" t="str">
        <f>TEXT(IFERROR(VLOOKUP(CONCATENATE(C956,D956),qdd!$C$2:$G$1000,5,FALSE),""),0)</f>
        <v/>
      </c>
      <c r="N956" s="2" t="str">
        <f>IFERROR(IF('PREENCHER AQUI'!I956="","",'PREENCHER AQUI'!I956),"")</f>
        <v/>
      </c>
      <c r="O956" s="2" t="str">
        <f>IFERROR(IF('PREENCHER AQUI'!J956="","",'PREENCHER AQUI'!J956),"")</f>
        <v/>
      </c>
      <c r="P956" s="7" t="str">
        <f t="shared" si="31"/>
        <v/>
      </c>
      <c r="Q956" s="8" t="str">
        <f>IFERROR(IF(Tabela4[[#This Row],[VALOR]]="","",IF(Tabela1[[#This Row],[ORIENTACAO]]="Anular",'PREENCHER AQUI'!K956*-1*100,'PREENCHER AQUI'!K956*100)),"")</f>
        <v/>
      </c>
      <c r="T956" s="7" t="str">
        <f>IFERROR(IF('PREENCHER AQUI'!L956="","999",LEFT('PREENCHER AQUI'!L956,1)),"")</f>
        <v>999</v>
      </c>
      <c r="V956" s="19"/>
      <c r="W956" s="1" t="str">
        <f>IFERROR(VLOOKUP(Tabela1[[#This Row],[UO_COD]],qdd!$AT$1:$AU$102,2,FALSE),"")</f>
        <v/>
      </c>
      <c r="X956" s="1" t="str">
        <f>CONCATENATE("F",Tabela1[[#This Row],[FONTE_COD]],Tabela1[[#This Row],[IPU_COD]],"G",Tabela1[[#This Row],[GRUPO_COD]],"T",Tabela1[[#This Row],[TIPO]])</f>
        <v>FGT999</v>
      </c>
      <c r="Y9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6" s="19"/>
      <c r="AA956" s="29" t="str">
        <f>IFERROR(VLOOKUP(CONCATENATE("B",Tabela1[[#This Row],[BLOCO]],Tabela1[[#This Row],[UO_COD]]),qdd!$AW$2:$AX$1000,2,FALSE),"")</f>
        <v/>
      </c>
      <c r="AB956" s="30" t="str">
        <f>IFERROR(Tabela1[[#This Row],[VALOR]]/100,"")</f>
        <v/>
      </c>
      <c r="AC956" s="7" t="str" cm="1">
        <f t="array" aca="1" ref="AC956" ca="1">IF(Tabela1[[#This Row],[VALOR]]&lt;0,"",IFERROR(SUBSTITUTE(Converter_numero(Tabela1[[#This Row],[VALOR INCISO]]),",",""),""))</f>
        <v/>
      </c>
      <c r="AD956" s="29" t="str">
        <f>IF(Tabela1[[#This Row],[TIPO]]=REGRAS!$W$2,REGRAS!$X$2,IF(Tabela1[[#This Row],[TIPO]]=REGRAS!$W$4,REGRAS!$X$4,""))</f>
        <v/>
      </c>
      <c r="AE956" s="29" t="e">
        <f>VLOOKUP(Tabela1[[#This Row],[FONTE_COD]],REGRAS!$O$2:$P$69,2,FALSE)</f>
        <v>#N/A</v>
      </c>
      <c r="AF9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7" spans="1:32" ht="18.75" customHeight="1">
      <c r="A957" s="2" t="str">
        <f>IFERROR(IF('PREENCHER AQUI'!A957="","",'PREENCHER AQUI'!A957),"")</f>
        <v/>
      </c>
      <c r="B957" s="1" t="str">
        <f>IFERROR(IF('PREENCHER AQUI'!B957="","",PROPER('PREENCHER AQUI'!B957)),"")</f>
        <v/>
      </c>
      <c r="C957" s="1" t="str">
        <f>IFERROR(IF('PREENCHER AQUI'!C957="","",'PREENCHER AQUI'!C957),"")</f>
        <v/>
      </c>
      <c r="D957" s="2" t="str">
        <f>IFERROR(IF('PREENCHER AQUI'!D957="","",'PREENCHER AQUI'!D957),"")</f>
        <v/>
      </c>
      <c r="E957" s="2" t="str">
        <f>IFERROR(VLOOKUP(CONCATENATE(C957,D957),qdd!$C$2:$F$1000,2,FALSE),"")</f>
        <v/>
      </c>
      <c r="F957" s="2" t="str">
        <f>IFERROR(VLOOKUP(CONCATENATE(C957,D957),qdd!$C$2:$F$1000,3,FALSE),"")</f>
        <v/>
      </c>
      <c r="G957" s="2" t="str">
        <f>IFERROR(VLOOKUP(CONCATENATE(C957,D957),qdd!$C$2:$F$1000,4,FALSE),"")</f>
        <v/>
      </c>
      <c r="H957" s="6" t="str">
        <f t="shared" si="30"/>
        <v/>
      </c>
      <c r="I9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7" s="2" t="str">
        <f>IFERROR(IF('PREENCHER AQUI'!E957="","",'PREENCHER AQUI'!E957),"")</f>
        <v/>
      </c>
      <c r="K957" s="2" t="str">
        <f>IFERROR(IF('PREENCHER AQUI'!F957="","",'PREENCHER AQUI'!F957),"")</f>
        <v/>
      </c>
      <c r="L957" s="2" t="str">
        <f>IF(Tabela1[[#This Row],[IPU_COD]]=9,"91",IF(Tabela1[[#This Row],[ACAO_COD]]="","",VLOOKUP(CONCATENATE("G",J957,"M",K957),qdd!$BC$2:$BD$46,2,FALSE)))</f>
        <v/>
      </c>
      <c r="M957" s="2" t="str">
        <f>TEXT(IFERROR(VLOOKUP(CONCATENATE(C957,D957),qdd!$C$2:$G$1000,5,FALSE),""),0)</f>
        <v/>
      </c>
      <c r="N957" s="2" t="str">
        <f>IFERROR(IF('PREENCHER AQUI'!I957="","",'PREENCHER AQUI'!I957),"")</f>
        <v/>
      </c>
      <c r="O957" s="2" t="str">
        <f>IFERROR(IF('PREENCHER AQUI'!J957="","",'PREENCHER AQUI'!J957),"")</f>
        <v/>
      </c>
      <c r="P957" s="7" t="str">
        <f t="shared" si="31"/>
        <v/>
      </c>
      <c r="Q957" s="8" t="str">
        <f>IFERROR(IF(Tabela4[[#This Row],[VALOR]]="","",IF(Tabela1[[#This Row],[ORIENTACAO]]="Anular",'PREENCHER AQUI'!K957*-1*100,'PREENCHER AQUI'!K957*100)),"")</f>
        <v/>
      </c>
      <c r="T957" s="7" t="str">
        <f>IFERROR(IF('PREENCHER AQUI'!L957="","999",LEFT('PREENCHER AQUI'!L957,1)),"")</f>
        <v>999</v>
      </c>
      <c r="W957" s="1" t="str">
        <f>IFERROR(VLOOKUP(Tabela1[[#This Row],[UO_COD]],qdd!$AT$1:$AU$102,2,FALSE),"")</f>
        <v/>
      </c>
      <c r="X957" s="1" t="str">
        <f>CONCATENATE("F",Tabela1[[#This Row],[FONTE_COD]],Tabela1[[#This Row],[IPU_COD]],"G",Tabela1[[#This Row],[GRUPO_COD]],"T",Tabela1[[#This Row],[TIPO]])</f>
        <v>FGT999</v>
      </c>
      <c r="Y9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7" s="19"/>
      <c r="AA957" s="29" t="str">
        <f>IFERROR(VLOOKUP(CONCATENATE("B",Tabela1[[#This Row],[BLOCO]],Tabela1[[#This Row],[UO_COD]]),qdd!$AW$2:$AX$1000,2,FALSE),"")</f>
        <v/>
      </c>
      <c r="AB957" s="30" t="str">
        <f>IFERROR(Tabela1[[#This Row],[VALOR]]/100,"")</f>
        <v/>
      </c>
      <c r="AC957" s="7" t="str" cm="1">
        <f t="array" aca="1" ref="AC957" ca="1">IF(Tabela1[[#This Row],[VALOR]]&lt;0,"",IFERROR(SUBSTITUTE(Converter_numero(Tabela1[[#This Row],[VALOR INCISO]]),",",""),""))</f>
        <v/>
      </c>
      <c r="AD957" s="7" t="str">
        <f>IF(Tabela1[[#This Row],[TIPO]]=REGRAS!$W$2,REGRAS!$X$2,IF(Tabela1[[#This Row],[TIPO]]=REGRAS!$W$4,REGRAS!$X$4,""))</f>
        <v/>
      </c>
      <c r="AE957" s="29" t="e">
        <f>VLOOKUP(Tabela1[[#This Row],[FONTE_COD]],REGRAS!$O$2:$P$69,2,FALSE)</f>
        <v>#N/A</v>
      </c>
      <c r="AF9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8" spans="1:32" ht="18.75" customHeight="1">
      <c r="A958" s="2" t="str">
        <f>IFERROR(IF('PREENCHER AQUI'!A958="","",'PREENCHER AQUI'!A958),"")</f>
        <v/>
      </c>
      <c r="B958" s="1" t="str">
        <f>IFERROR(IF('PREENCHER AQUI'!B958="","",PROPER('PREENCHER AQUI'!B958)),"")</f>
        <v/>
      </c>
      <c r="C958" s="1" t="str">
        <f>IFERROR(IF('PREENCHER AQUI'!C958="","",'PREENCHER AQUI'!C958),"")</f>
        <v/>
      </c>
      <c r="D958" s="2" t="str">
        <f>IFERROR(IF('PREENCHER AQUI'!D958="","",'PREENCHER AQUI'!D958),"")</f>
        <v/>
      </c>
      <c r="E958" s="2" t="str">
        <f>IFERROR(VLOOKUP(CONCATENATE(C958,D958),qdd!$C$2:$F$1000,2,FALSE),"")</f>
        <v/>
      </c>
      <c r="F958" s="2" t="str">
        <f>IFERROR(VLOOKUP(CONCATENATE(C958,D958),qdd!$C$2:$F$1000,3,FALSE),"")</f>
        <v/>
      </c>
      <c r="G958" s="2" t="str">
        <f>IFERROR(VLOOKUP(CONCATENATE(C958,D958),qdd!$C$2:$F$1000,4,FALSE),"")</f>
        <v/>
      </c>
      <c r="H958" s="6" t="str">
        <f t="shared" si="30"/>
        <v/>
      </c>
      <c r="I9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8" s="2" t="str">
        <f>IFERROR(IF('PREENCHER AQUI'!E958="","",'PREENCHER AQUI'!E958),"")</f>
        <v/>
      </c>
      <c r="K958" s="2" t="str">
        <f>IFERROR(IF('PREENCHER AQUI'!F958="","",'PREENCHER AQUI'!F958),"")</f>
        <v/>
      </c>
      <c r="L958" s="2" t="str">
        <f>IF(Tabela1[[#This Row],[IPU_COD]]=9,"91",IF(Tabela1[[#This Row],[ACAO_COD]]="","",VLOOKUP(CONCATENATE("G",J958,"M",K958),qdd!$BC$2:$BD$46,2,FALSE)))</f>
        <v/>
      </c>
      <c r="M958" s="2" t="str">
        <f>TEXT(IFERROR(VLOOKUP(CONCATENATE(C958,D958),qdd!$C$2:$G$1000,5,FALSE),""),0)</f>
        <v/>
      </c>
      <c r="N958" s="2" t="str">
        <f>IFERROR(IF('PREENCHER AQUI'!I958="","",'PREENCHER AQUI'!I958),"")</f>
        <v/>
      </c>
      <c r="O958" s="2" t="str">
        <f>IFERROR(IF('PREENCHER AQUI'!J958="","",'PREENCHER AQUI'!J958),"")</f>
        <v/>
      </c>
      <c r="P958" s="7" t="str">
        <f t="shared" si="31"/>
        <v/>
      </c>
      <c r="Q958" s="8" t="str">
        <f>IFERROR(IF(Tabela4[[#This Row],[VALOR]]="","",IF(Tabela1[[#This Row],[ORIENTACAO]]="Anular",'PREENCHER AQUI'!K958*-1*100,'PREENCHER AQUI'!K958*100)),"")</f>
        <v/>
      </c>
      <c r="T958" s="7" t="str">
        <f>IFERROR(IF('PREENCHER AQUI'!L958="","999",LEFT('PREENCHER AQUI'!L958,1)),"")</f>
        <v>999</v>
      </c>
      <c r="V958" s="19"/>
      <c r="W958" s="1" t="str">
        <f>IFERROR(VLOOKUP(Tabela1[[#This Row],[UO_COD]],qdd!$AT$1:$AU$102,2,FALSE),"")</f>
        <v/>
      </c>
      <c r="X958" s="1" t="str">
        <f>CONCATENATE("F",Tabela1[[#This Row],[FONTE_COD]],Tabela1[[#This Row],[IPU_COD]],"G",Tabela1[[#This Row],[GRUPO_COD]],"T",Tabela1[[#This Row],[TIPO]])</f>
        <v>FGT999</v>
      </c>
      <c r="Y9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8" s="19"/>
      <c r="AA958" s="29" t="str">
        <f>IFERROR(VLOOKUP(CONCATENATE("B",Tabela1[[#This Row],[BLOCO]],Tabela1[[#This Row],[UO_COD]]),qdd!$AW$2:$AX$1000,2,FALSE),"")</f>
        <v/>
      </c>
      <c r="AB958" s="30" t="str">
        <f>IFERROR(Tabela1[[#This Row],[VALOR]]/100,"")</f>
        <v/>
      </c>
      <c r="AC958" s="7" t="str" cm="1">
        <f t="array" aca="1" ref="AC958" ca="1">IF(Tabela1[[#This Row],[VALOR]]&lt;0,"",IFERROR(SUBSTITUTE(Converter_numero(Tabela1[[#This Row],[VALOR INCISO]]),",",""),""))</f>
        <v/>
      </c>
      <c r="AD958" s="29" t="str">
        <f>IF(Tabela1[[#This Row],[TIPO]]=REGRAS!$W$2,REGRAS!$X$2,IF(Tabela1[[#This Row],[TIPO]]=REGRAS!$W$4,REGRAS!$X$4,""))</f>
        <v/>
      </c>
      <c r="AE958" s="29" t="e">
        <f>VLOOKUP(Tabela1[[#This Row],[FONTE_COD]],REGRAS!$O$2:$P$69,2,FALSE)</f>
        <v>#N/A</v>
      </c>
      <c r="AF9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9" spans="1:32" ht="18.75" customHeight="1">
      <c r="A959" s="2" t="str">
        <f>IFERROR(IF('PREENCHER AQUI'!A959="","",'PREENCHER AQUI'!A959),"")</f>
        <v/>
      </c>
      <c r="B959" s="1" t="str">
        <f>IFERROR(IF('PREENCHER AQUI'!B959="","",PROPER('PREENCHER AQUI'!B959)),"")</f>
        <v/>
      </c>
      <c r="C959" s="1" t="str">
        <f>IFERROR(IF('PREENCHER AQUI'!C959="","",'PREENCHER AQUI'!C959),"")</f>
        <v/>
      </c>
      <c r="D959" s="2" t="str">
        <f>IFERROR(IF('PREENCHER AQUI'!D959="","",'PREENCHER AQUI'!D959),"")</f>
        <v/>
      </c>
      <c r="E959" s="2" t="str">
        <f>IFERROR(VLOOKUP(CONCATENATE(C959,D959),qdd!$C$2:$F$1000,2,FALSE),"")</f>
        <v/>
      </c>
      <c r="F959" s="2" t="str">
        <f>IFERROR(VLOOKUP(CONCATENATE(C959,D959),qdd!$C$2:$F$1000,3,FALSE),"")</f>
        <v/>
      </c>
      <c r="G959" s="2" t="str">
        <f>IFERROR(VLOOKUP(CONCATENATE(C959,D959),qdd!$C$2:$F$1000,4,FALSE),"")</f>
        <v/>
      </c>
      <c r="H959" s="6" t="str">
        <f t="shared" si="30"/>
        <v/>
      </c>
      <c r="I9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9" s="2" t="str">
        <f>IFERROR(IF('PREENCHER AQUI'!E959="","",'PREENCHER AQUI'!E959),"")</f>
        <v/>
      </c>
      <c r="K959" s="2" t="str">
        <f>IFERROR(IF('PREENCHER AQUI'!F959="","",'PREENCHER AQUI'!F959),"")</f>
        <v/>
      </c>
      <c r="L959" s="2" t="str">
        <f>IF(Tabela1[[#This Row],[IPU_COD]]=9,"91",IF(Tabela1[[#This Row],[ACAO_COD]]="","",VLOOKUP(CONCATENATE("G",J959,"M",K959),qdd!$BC$2:$BD$46,2,FALSE)))</f>
        <v/>
      </c>
      <c r="M959" s="2" t="str">
        <f>TEXT(IFERROR(VLOOKUP(CONCATENATE(C959,D959),qdd!$C$2:$G$1000,5,FALSE),""),0)</f>
        <v/>
      </c>
      <c r="N959" s="2" t="str">
        <f>IFERROR(IF('PREENCHER AQUI'!I959="","",'PREENCHER AQUI'!I959),"")</f>
        <v/>
      </c>
      <c r="O959" s="2" t="str">
        <f>IFERROR(IF('PREENCHER AQUI'!J959="","",'PREENCHER AQUI'!J959),"")</f>
        <v/>
      </c>
      <c r="P959" s="7" t="str">
        <f t="shared" si="31"/>
        <v/>
      </c>
      <c r="Q959" s="8" t="str">
        <f>IFERROR(IF(Tabela4[[#This Row],[VALOR]]="","",IF(Tabela1[[#This Row],[ORIENTACAO]]="Anular",'PREENCHER AQUI'!K959*-1*100,'PREENCHER AQUI'!K959*100)),"")</f>
        <v/>
      </c>
      <c r="T959" s="7" t="str">
        <f>IFERROR(IF('PREENCHER AQUI'!L959="","999",LEFT('PREENCHER AQUI'!L959,1)),"")</f>
        <v>999</v>
      </c>
      <c r="V959" s="19"/>
      <c r="W959" s="1" t="str">
        <f>IFERROR(VLOOKUP(Tabela1[[#This Row],[UO_COD]],qdd!$AT$1:$AU$102,2,FALSE),"")</f>
        <v/>
      </c>
      <c r="X959" s="1" t="str">
        <f>CONCATENATE("F",Tabela1[[#This Row],[FONTE_COD]],Tabela1[[#This Row],[IPU_COD]],"G",Tabela1[[#This Row],[GRUPO_COD]],"T",Tabela1[[#This Row],[TIPO]])</f>
        <v>FGT999</v>
      </c>
      <c r="Y9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9" s="19"/>
      <c r="AA959" s="29" t="str">
        <f>IFERROR(VLOOKUP(CONCATENATE("B",Tabela1[[#This Row],[BLOCO]],Tabela1[[#This Row],[UO_COD]]),qdd!$AW$2:$AX$1000,2,FALSE),"")</f>
        <v/>
      </c>
      <c r="AB959" s="30" t="str">
        <f>IFERROR(Tabela1[[#This Row],[VALOR]]/100,"")</f>
        <v/>
      </c>
      <c r="AC959" s="7" t="str" cm="1">
        <f t="array" aca="1" ref="AC959" ca="1">IF(Tabela1[[#This Row],[VALOR]]&lt;0,"",IFERROR(SUBSTITUTE(Converter_numero(Tabela1[[#This Row],[VALOR INCISO]]),",",""),""))</f>
        <v/>
      </c>
      <c r="AD959" s="29" t="str">
        <f>IF(Tabela1[[#This Row],[TIPO]]=REGRAS!$W$2,REGRAS!$X$2,IF(Tabela1[[#This Row],[TIPO]]=REGRAS!$W$4,REGRAS!$X$4,""))</f>
        <v/>
      </c>
      <c r="AE959" s="29" t="e">
        <f>VLOOKUP(Tabela1[[#This Row],[FONTE_COD]],REGRAS!$O$2:$P$69,2,FALSE)</f>
        <v>#N/A</v>
      </c>
      <c r="AF9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0" spans="1:32" ht="18.75" customHeight="1">
      <c r="A960" s="2" t="str">
        <f>IFERROR(IF('PREENCHER AQUI'!A960="","",'PREENCHER AQUI'!A960),"")</f>
        <v/>
      </c>
      <c r="B960" s="1" t="str">
        <f>IFERROR(IF('PREENCHER AQUI'!B960="","",PROPER('PREENCHER AQUI'!B960)),"")</f>
        <v/>
      </c>
      <c r="C960" s="1" t="str">
        <f>IFERROR(IF('PREENCHER AQUI'!C960="","",'PREENCHER AQUI'!C960),"")</f>
        <v/>
      </c>
      <c r="D960" s="2" t="str">
        <f>IFERROR(IF('PREENCHER AQUI'!D960="","",'PREENCHER AQUI'!D960),"")</f>
        <v/>
      </c>
      <c r="E960" s="2" t="str">
        <f>IFERROR(VLOOKUP(CONCATENATE(C960,D960),qdd!$C$2:$F$1000,2,FALSE),"")</f>
        <v/>
      </c>
      <c r="F960" s="2" t="str">
        <f>IFERROR(VLOOKUP(CONCATENATE(C960,D960),qdd!$C$2:$F$1000,3,FALSE),"")</f>
        <v/>
      </c>
      <c r="G960" s="2" t="str">
        <f>IFERROR(VLOOKUP(CONCATENATE(C960,D960),qdd!$C$2:$F$1000,4,FALSE),"")</f>
        <v/>
      </c>
      <c r="H960" s="6" t="str">
        <f t="shared" si="30"/>
        <v/>
      </c>
      <c r="I9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0" s="2" t="str">
        <f>IFERROR(IF('PREENCHER AQUI'!E960="","",'PREENCHER AQUI'!E960),"")</f>
        <v/>
      </c>
      <c r="K960" s="2" t="str">
        <f>IFERROR(IF('PREENCHER AQUI'!F960="","",'PREENCHER AQUI'!F960),"")</f>
        <v/>
      </c>
      <c r="L960" s="2" t="str">
        <f>IF(Tabela1[[#This Row],[IPU_COD]]=9,"91",IF(Tabela1[[#This Row],[ACAO_COD]]="","",VLOOKUP(CONCATENATE("G",J960,"M",K960),qdd!$BC$2:$BD$46,2,FALSE)))</f>
        <v/>
      </c>
      <c r="M960" s="2" t="str">
        <f>TEXT(IFERROR(VLOOKUP(CONCATENATE(C960,D960),qdd!$C$2:$G$1000,5,FALSE),""),0)</f>
        <v/>
      </c>
      <c r="N960" s="2" t="str">
        <f>IFERROR(IF('PREENCHER AQUI'!I960="","",'PREENCHER AQUI'!I960),"")</f>
        <v/>
      </c>
      <c r="O960" s="2" t="str">
        <f>IFERROR(IF('PREENCHER AQUI'!J960="","",'PREENCHER AQUI'!J960),"")</f>
        <v/>
      </c>
      <c r="P960" s="7" t="str">
        <f t="shared" si="31"/>
        <v/>
      </c>
      <c r="Q960" s="8" t="str">
        <f>IFERROR(IF(Tabela4[[#This Row],[VALOR]]="","",IF(Tabela1[[#This Row],[ORIENTACAO]]="Anular",'PREENCHER AQUI'!K960*-1*100,'PREENCHER AQUI'!K960*100)),"")</f>
        <v/>
      </c>
      <c r="T960" s="7" t="str">
        <f>IFERROR(IF('PREENCHER AQUI'!L960="","999",LEFT('PREENCHER AQUI'!L960,1)),"")</f>
        <v>999</v>
      </c>
      <c r="V960" s="19"/>
      <c r="W960" s="20" t="str">
        <f>IFERROR(VLOOKUP(Tabela1[[#This Row],[UO_COD]],qdd!$AT$1:$AU$102,2,FALSE),"")</f>
        <v/>
      </c>
      <c r="X960" s="20" t="str">
        <f>CONCATENATE("F",Tabela1[[#This Row],[FONTE_COD]],Tabela1[[#This Row],[IPU_COD]],"G",Tabela1[[#This Row],[GRUPO_COD]],"T",Tabela1[[#This Row],[TIPO]])</f>
        <v>FGT999</v>
      </c>
      <c r="Y9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0" s="19"/>
      <c r="AA960" s="29" t="str">
        <f>IFERROR(VLOOKUP(CONCATENATE("B",Tabela1[[#This Row],[BLOCO]],Tabela1[[#This Row],[UO_COD]]),qdd!$AW$2:$AX$1000,2,FALSE),"")</f>
        <v/>
      </c>
      <c r="AB960" s="30" t="str">
        <f>IFERROR(Tabela1[[#This Row],[VALOR]]/100,"")</f>
        <v/>
      </c>
      <c r="AC960" s="7" t="str" cm="1">
        <f t="array" aca="1" ref="AC960" ca="1">IF(Tabela1[[#This Row],[VALOR]]&lt;0,"",IFERROR(SUBSTITUTE(Converter_numero(Tabela1[[#This Row],[VALOR INCISO]]),",",""),""))</f>
        <v/>
      </c>
      <c r="AD960" s="29" t="str">
        <f>IF(Tabela1[[#This Row],[TIPO]]=REGRAS!$W$2,REGRAS!$X$2,IF(Tabela1[[#This Row],[TIPO]]=REGRAS!$W$4,REGRAS!$X$4,""))</f>
        <v/>
      </c>
      <c r="AE960" s="29" t="e">
        <f>VLOOKUP(Tabela1[[#This Row],[FONTE_COD]],REGRAS!$O$2:$P$69,2,FALSE)</f>
        <v>#N/A</v>
      </c>
      <c r="AF9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1" spans="1:32" ht="18.75" customHeight="1">
      <c r="A961" s="2" t="str">
        <f>IFERROR(IF('PREENCHER AQUI'!A961="","",'PREENCHER AQUI'!A961),"")</f>
        <v/>
      </c>
      <c r="B961" s="1" t="str">
        <f>IFERROR(IF('PREENCHER AQUI'!B961="","",PROPER('PREENCHER AQUI'!B961)),"")</f>
        <v/>
      </c>
      <c r="C961" s="1" t="str">
        <f>IFERROR(IF('PREENCHER AQUI'!C961="","",'PREENCHER AQUI'!C961),"")</f>
        <v/>
      </c>
      <c r="D961" s="2" t="str">
        <f>IFERROR(IF('PREENCHER AQUI'!D961="","",'PREENCHER AQUI'!D961),"")</f>
        <v/>
      </c>
      <c r="E961" s="2" t="str">
        <f>IFERROR(VLOOKUP(CONCATENATE(C961,D961),qdd!$C$2:$F$1000,2,FALSE),"")</f>
        <v/>
      </c>
      <c r="F961" s="2" t="str">
        <f>IFERROR(VLOOKUP(CONCATENATE(C961,D961),qdd!$C$2:$F$1000,3,FALSE),"")</f>
        <v/>
      </c>
      <c r="G961" s="2" t="str">
        <f>IFERROR(VLOOKUP(CONCATENATE(C961,D961),qdd!$C$2:$F$1000,4,FALSE),"")</f>
        <v/>
      </c>
      <c r="H961" s="6" t="str">
        <f t="shared" si="30"/>
        <v/>
      </c>
      <c r="I9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1" s="2" t="str">
        <f>IFERROR(IF('PREENCHER AQUI'!E961="","",'PREENCHER AQUI'!E961),"")</f>
        <v/>
      </c>
      <c r="K961" s="2" t="str">
        <f>IFERROR(IF('PREENCHER AQUI'!F961="","",'PREENCHER AQUI'!F961),"")</f>
        <v/>
      </c>
      <c r="L961" s="2" t="str">
        <f>IF(Tabela1[[#This Row],[IPU_COD]]=9,"91",IF(Tabela1[[#This Row],[ACAO_COD]]="","",VLOOKUP(CONCATENATE("G",J961,"M",K961),qdd!$BC$2:$BD$46,2,FALSE)))</f>
        <v/>
      </c>
      <c r="M961" s="2" t="str">
        <f>TEXT(IFERROR(VLOOKUP(CONCATENATE(C961,D961),qdd!$C$2:$G$1000,5,FALSE),""),0)</f>
        <v/>
      </c>
      <c r="N961" s="2" t="str">
        <f>IFERROR(IF('PREENCHER AQUI'!I961="","",'PREENCHER AQUI'!I961),"")</f>
        <v/>
      </c>
      <c r="O961" s="2" t="str">
        <f>IFERROR(IF('PREENCHER AQUI'!J961="","",'PREENCHER AQUI'!J961),"")</f>
        <v/>
      </c>
      <c r="P961" s="7" t="str">
        <f t="shared" si="31"/>
        <v/>
      </c>
      <c r="Q961" s="8" t="str">
        <f>IFERROR(IF(Tabela4[[#This Row],[VALOR]]="","",IF(Tabela1[[#This Row],[ORIENTACAO]]="Anular",'PREENCHER AQUI'!K961*-1*100,'PREENCHER AQUI'!K961*100)),"")</f>
        <v/>
      </c>
      <c r="T961" s="7" t="str">
        <f>IFERROR(IF('PREENCHER AQUI'!L961="","999",LEFT('PREENCHER AQUI'!L961,1)),"")</f>
        <v>999</v>
      </c>
      <c r="V961" s="19"/>
      <c r="W961" s="1" t="str">
        <f>IFERROR(VLOOKUP(Tabela1[[#This Row],[UO_COD]],qdd!$AT$1:$AU$102,2,FALSE),"")</f>
        <v/>
      </c>
      <c r="X961" s="1" t="str">
        <f>CONCATENATE("F",Tabela1[[#This Row],[FONTE_COD]],Tabela1[[#This Row],[IPU_COD]],"G",Tabela1[[#This Row],[GRUPO_COD]],"T",Tabela1[[#This Row],[TIPO]])</f>
        <v>FGT999</v>
      </c>
      <c r="Y9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1" s="19"/>
      <c r="AA961" s="29" t="str">
        <f>IFERROR(VLOOKUP(CONCATENATE("B",Tabela1[[#This Row],[BLOCO]],Tabela1[[#This Row],[UO_COD]]),qdd!$AW$2:$AX$1000,2,FALSE),"")</f>
        <v/>
      </c>
      <c r="AB961" s="30" t="str">
        <f>IFERROR(Tabela1[[#This Row],[VALOR]]/100,"")</f>
        <v/>
      </c>
      <c r="AC961" s="7" t="str" cm="1">
        <f t="array" aca="1" ref="AC961" ca="1">IF(Tabela1[[#This Row],[VALOR]]&lt;0,"",IFERROR(SUBSTITUTE(Converter_numero(Tabela1[[#This Row],[VALOR INCISO]]),",",""),""))</f>
        <v/>
      </c>
      <c r="AD961" s="29" t="str">
        <f>IF(Tabela1[[#This Row],[TIPO]]=REGRAS!$W$2,REGRAS!$X$2,IF(Tabela1[[#This Row],[TIPO]]=REGRAS!$W$4,REGRAS!$X$4,""))</f>
        <v/>
      </c>
      <c r="AE961" s="29" t="e">
        <f>VLOOKUP(Tabela1[[#This Row],[FONTE_COD]],REGRAS!$O$2:$P$69,2,FALSE)</f>
        <v>#N/A</v>
      </c>
      <c r="AF9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2" spans="1:32" ht="18.75" customHeight="1">
      <c r="A962" s="2" t="str">
        <f>IFERROR(IF('PREENCHER AQUI'!A962="","",'PREENCHER AQUI'!A962),"")</f>
        <v/>
      </c>
      <c r="B962" s="1" t="str">
        <f>IFERROR(IF('PREENCHER AQUI'!B962="","",PROPER('PREENCHER AQUI'!B962)),"")</f>
        <v/>
      </c>
      <c r="C962" s="1" t="str">
        <f>IFERROR(IF('PREENCHER AQUI'!C962="","",'PREENCHER AQUI'!C962),"")</f>
        <v/>
      </c>
      <c r="D962" s="2" t="str">
        <f>IFERROR(IF('PREENCHER AQUI'!D962="","",'PREENCHER AQUI'!D962),"")</f>
        <v/>
      </c>
      <c r="E962" s="2" t="str">
        <f>IFERROR(VLOOKUP(CONCATENATE(C962,D962),qdd!$C$2:$F$1000,2,FALSE),"")</f>
        <v/>
      </c>
      <c r="F962" s="2" t="str">
        <f>IFERROR(VLOOKUP(CONCATENATE(C962,D962),qdd!$C$2:$F$1000,3,FALSE),"")</f>
        <v/>
      </c>
      <c r="G962" s="2" t="str">
        <f>IFERROR(VLOOKUP(CONCATENATE(C962,D962),qdd!$C$2:$F$1000,4,FALSE),"")</f>
        <v/>
      </c>
      <c r="H962" s="6" t="str">
        <f t="shared" si="30"/>
        <v/>
      </c>
      <c r="I9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2" s="2" t="str">
        <f>IFERROR(IF('PREENCHER AQUI'!E962="","",'PREENCHER AQUI'!E962),"")</f>
        <v/>
      </c>
      <c r="K962" s="2" t="str">
        <f>IFERROR(IF('PREENCHER AQUI'!F962="","",'PREENCHER AQUI'!F962),"")</f>
        <v/>
      </c>
      <c r="L962" s="2" t="str">
        <f>IF(Tabela1[[#This Row],[IPU_COD]]=9,"91",IF(Tabela1[[#This Row],[ACAO_COD]]="","",VLOOKUP(CONCATENATE("G",J962,"M",K962),qdd!$BC$2:$BD$46,2,FALSE)))</f>
        <v/>
      </c>
      <c r="M962" s="2" t="str">
        <f>TEXT(IFERROR(VLOOKUP(CONCATENATE(C962,D962),qdd!$C$2:$G$1000,5,FALSE),""),0)</f>
        <v/>
      </c>
      <c r="N962" s="2" t="str">
        <f>IFERROR(IF('PREENCHER AQUI'!I962="","",'PREENCHER AQUI'!I962),"")</f>
        <v/>
      </c>
      <c r="O962" s="2" t="str">
        <f>IFERROR(IF('PREENCHER AQUI'!J962="","",'PREENCHER AQUI'!J962),"")</f>
        <v/>
      </c>
      <c r="P962" s="7" t="str">
        <f t="shared" si="31"/>
        <v/>
      </c>
      <c r="Q962" s="8" t="str">
        <f>IFERROR(IF(Tabela4[[#This Row],[VALOR]]="","",IF(Tabela1[[#This Row],[ORIENTACAO]]="Anular",'PREENCHER AQUI'!K962*-1*100,'PREENCHER AQUI'!K962*100)),"")</f>
        <v/>
      </c>
      <c r="T962" s="7" t="str">
        <f>IFERROR(IF('PREENCHER AQUI'!L962="","999",LEFT('PREENCHER AQUI'!L962,1)),"")</f>
        <v>999</v>
      </c>
      <c r="W962" s="1" t="str">
        <f>IFERROR(VLOOKUP(Tabela1[[#This Row],[UO_COD]],qdd!$AT$1:$AU$102,2,FALSE),"")</f>
        <v/>
      </c>
      <c r="X962" s="1" t="str">
        <f>CONCATENATE("F",Tabela1[[#This Row],[FONTE_COD]],Tabela1[[#This Row],[IPU_COD]],"G",Tabela1[[#This Row],[GRUPO_COD]],"T",Tabela1[[#This Row],[TIPO]])</f>
        <v>FGT999</v>
      </c>
      <c r="Y9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2" s="19"/>
      <c r="AA962" s="29" t="str">
        <f>IFERROR(VLOOKUP(CONCATENATE("B",Tabela1[[#This Row],[BLOCO]],Tabela1[[#This Row],[UO_COD]]),qdd!$AW$2:$AX$1000,2,FALSE),"")</f>
        <v/>
      </c>
      <c r="AB962" s="30" t="str">
        <f>IFERROR(Tabela1[[#This Row],[VALOR]]/100,"")</f>
        <v/>
      </c>
      <c r="AC962" s="7" t="str" cm="1">
        <f t="array" aca="1" ref="AC962" ca="1">IF(Tabela1[[#This Row],[VALOR]]&lt;0,"",IFERROR(SUBSTITUTE(Converter_numero(Tabela1[[#This Row],[VALOR INCISO]]),",",""),""))</f>
        <v/>
      </c>
      <c r="AD962" s="7" t="str">
        <f>IF(Tabela1[[#This Row],[TIPO]]=REGRAS!$W$2,REGRAS!$X$2,IF(Tabela1[[#This Row],[TIPO]]=REGRAS!$W$4,REGRAS!$X$4,""))</f>
        <v/>
      </c>
      <c r="AE962" s="29" t="e">
        <f>VLOOKUP(Tabela1[[#This Row],[FONTE_COD]],REGRAS!$O$2:$P$69,2,FALSE)</f>
        <v>#N/A</v>
      </c>
      <c r="AF9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3" spans="1:32" ht="18.75" customHeight="1">
      <c r="A963" s="2" t="str">
        <f>IFERROR(IF('PREENCHER AQUI'!A963="","",'PREENCHER AQUI'!A963),"")</f>
        <v/>
      </c>
      <c r="B963" s="1" t="str">
        <f>IFERROR(IF('PREENCHER AQUI'!B963="","",PROPER('PREENCHER AQUI'!B963)),"")</f>
        <v/>
      </c>
      <c r="C963" s="1" t="str">
        <f>IFERROR(IF('PREENCHER AQUI'!C963="","",'PREENCHER AQUI'!C963),"")</f>
        <v/>
      </c>
      <c r="D963" s="2" t="str">
        <f>IFERROR(IF('PREENCHER AQUI'!D963="","",'PREENCHER AQUI'!D963),"")</f>
        <v/>
      </c>
      <c r="E963" s="2" t="str">
        <f>IFERROR(VLOOKUP(CONCATENATE(C963,D963),qdd!$C$2:$F$1000,2,FALSE),"")</f>
        <v/>
      </c>
      <c r="F963" s="2" t="str">
        <f>IFERROR(VLOOKUP(CONCATENATE(C963,D963),qdd!$C$2:$F$1000,3,FALSE),"")</f>
        <v/>
      </c>
      <c r="G963" s="2" t="str">
        <f>IFERROR(VLOOKUP(CONCATENATE(C963,D963),qdd!$C$2:$F$1000,4,FALSE),"")</f>
        <v/>
      </c>
      <c r="H963" s="6" t="str">
        <f t="shared" ref="H963:H1000" si="32">IF(E963="","","0001")</f>
        <v/>
      </c>
      <c r="I9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3" s="2" t="str">
        <f>IFERROR(IF('PREENCHER AQUI'!E963="","",'PREENCHER AQUI'!E963),"")</f>
        <v/>
      </c>
      <c r="K963" s="2" t="str">
        <f>IFERROR(IF('PREENCHER AQUI'!F963="","",'PREENCHER AQUI'!F963),"")</f>
        <v/>
      </c>
      <c r="L963" s="2" t="str">
        <f>IF(Tabela1[[#This Row],[IPU_COD]]=9,"91",IF(Tabela1[[#This Row],[ACAO_COD]]="","",VLOOKUP(CONCATENATE("G",J963,"M",K963),qdd!$BC$2:$BD$46,2,FALSE)))</f>
        <v/>
      </c>
      <c r="M963" s="2" t="str">
        <f>TEXT(IFERROR(VLOOKUP(CONCATENATE(C963,D963),qdd!$C$2:$G$1000,5,FALSE),""),0)</f>
        <v/>
      </c>
      <c r="N963" s="2" t="str">
        <f>IFERROR(IF('PREENCHER AQUI'!I963="","",'PREENCHER AQUI'!I963),"")</f>
        <v/>
      </c>
      <c r="O963" s="2" t="str">
        <f>IFERROR(IF('PREENCHER AQUI'!J963="","",'PREENCHER AQUI'!J963),"")</f>
        <v/>
      </c>
      <c r="P963" s="7" t="str">
        <f t="shared" ref="P963:P1000" si="33">IFERROR(CONCATENATE(E963,F963,G963,D963,H963,I963,J963,K963,L963,M963,N963,O963),"")</f>
        <v/>
      </c>
      <c r="Q963" s="8" t="str">
        <f>IFERROR(IF(Tabela4[[#This Row],[VALOR]]="","",IF(Tabela1[[#This Row],[ORIENTACAO]]="Anular",'PREENCHER AQUI'!K963*-1*100,'PREENCHER AQUI'!K963*100)),"")</f>
        <v/>
      </c>
      <c r="T963" s="7" t="str">
        <f>IFERROR(IF('PREENCHER AQUI'!L963="","999",LEFT('PREENCHER AQUI'!L963,1)),"")</f>
        <v>999</v>
      </c>
      <c r="V963" s="19"/>
      <c r="W963" s="1" t="str">
        <f>IFERROR(VLOOKUP(Tabela1[[#This Row],[UO_COD]],qdd!$AT$1:$AU$102,2,FALSE),"")</f>
        <v/>
      </c>
      <c r="X963" s="1" t="str">
        <f>CONCATENATE("F",Tabela1[[#This Row],[FONTE_COD]],Tabela1[[#This Row],[IPU_COD]],"G",Tabela1[[#This Row],[GRUPO_COD]],"T",Tabela1[[#This Row],[TIPO]])</f>
        <v>FGT999</v>
      </c>
      <c r="Y9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3" s="19"/>
      <c r="AA963" s="29" t="str">
        <f>IFERROR(VLOOKUP(CONCATENATE("B",Tabela1[[#This Row],[BLOCO]],Tabela1[[#This Row],[UO_COD]]),qdd!$AW$2:$AX$1000,2,FALSE),"")</f>
        <v/>
      </c>
      <c r="AB963" s="30" t="str">
        <f>IFERROR(Tabela1[[#This Row],[VALOR]]/100,"")</f>
        <v/>
      </c>
      <c r="AC963" s="7" t="str" cm="1">
        <f t="array" aca="1" ref="AC963" ca="1">IF(Tabela1[[#This Row],[VALOR]]&lt;0,"",IFERROR(SUBSTITUTE(Converter_numero(Tabela1[[#This Row],[VALOR INCISO]]),",",""),""))</f>
        <v/>
      </c>
      <c r="AD963" s="29" t="str">
        <f>IF(Tabela1[[#This Row],[TIPO]]=REGRAS!$W$2,REGRAS!$X$2,IF(Tabela1[[#This Row],[TIPO]]=REGRAS!$W$4,REGRAS!$X$4,""))</f>
        <v/>
      </c>
      <c r="AE963" s="29" t="e">
        <f>VLOOKUP(Tabela1[[#This Row],[FONTE_COD]],REGRAS!$O$2:$P$69,2,FALSE)</f>
        <v>#N/A</v>
      </c>
      <c r="AF9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4" spans="1:32" ht="18.75" customHeight="1">
      <c r="A964" s="2" t="str">
        <f>IFERROR(IF('PREENCHER AQUI'!A964="","",'PREENCHER AQUI'!A964),"")</f>
        <v/>
      </c>
      <c r="B964" s="1" t="str">
        <f>IFERROR(IF('PREENCHER AQUI'!B964="","",PROPER('PREENCHER AQUI'!B964)),"")</f>
        <v/>
      </c>
      <c r="C964" s="1" t="str">
        <f>IFERROR(IF('PREENCHER AQUI'!C964="","",'PREENCHER AQUI'!C964),"")</f>
        <v/>
      </c>
      <c r="D964" s="2" t="str">
        <f>IFERROR(IF('PREENCHER AQUI'!D964="","",'PREENCHER AQUI'!D964),"")</f>
        <v/>
      </c>
      <c r="E964" s="2" t="str">
        <f>IFERROR(VLOOKUP(CONCATENATE(C964,D964),qdd!$C$2:$F$1000,2,FALSE),"")</f>
        <v/>
      </c>
      <c r="F964" s="2" t="str">
        <f>IFERROR(VLOOKUP(CONCATENATE(C964,D964),qdd!$C$2:$F$1000,3,FALSE),"")</f>
        <v/>
      </c>
      <c r="G964" s="2" t="str">
        <f>IFERROR(VLOOKUP(CONCATENATE(C964,D964),qdd!$C$2:$F$1000,4,FALSE),"")</f>
        <v/>
      </c>
      <c r="H964" s="6" t="str">
        <f t="shared" si="32"/>
        <v/>
      </c>
      <c r="I9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4" s="2" t="str">
        <f>IFERROR(IF('PREENCHER AQUI'!E964="","",'PREENCHER AQUI'!E964),"")</f>
        <v/>
      </c>
      <c r="K964" s="2" t="str">
        <f>IFERROR(IF('PREENCHER AQUI'!F964="","",'PREENCHER AQUI'!F964),"")</f>
        <v/>
      </c>
      <c r="L964" s="2" t="str">
        <f>IF(Tabela1[[#This Row],[IPU_COD]]=9,"91",IF(Tabela1[[#This Row],[ACAO_COD]]="","",VLOOKUP(CONCATENATE("G",J964,"M",K964),qdd!$BC$2:$BD$46,2,FALSE)))</f>
        <v/>
      </c>
      <c r="M964" s="2" t="str">
        <f>TEXT(IFERROR(VLOOKUP(CONCATENATE(C964,D964),qdd!$C$2:$G$1000,5,FALSE),""),0)</f>
        <v/>
      </c>
      <c r="N964" s="2" t="str">
        <f>IFERROR(IF('PREENCHER AQUI'!I964="","",'PREENCHER AQUI'!I964),"")</f>
        <v/>
      </c>
      <c r="O964" s="2" t="str">
        <f>IFERROR(IF('PREENCHER AQUI'!J964="","",'PREENCHER AQUI'!J964),"")</f>
        <v/>
      </c>
      <c r="P964" s="7" t="str">
        <f t="shared" si="33"/>
        <v/>
      </c>
      <c r="Q964" s="8" t="str">
        <f>IFERROR(IF(Tabela4[[#This Row],[VALOR]]="","",IF(Tabela1[[#This Row],[ORIENTACAO]]="Anular",'PREENCHER AQUI'!K964*-1*100,'PREENCHER AQUI'!K964*100)),"")</f>
        <v/>
      </c>
      <c r="T964" s="7" t="str">
        <f>IFERROR(IF('PREENCHER AQUI'!L964="","999",LEFT('PREENCHER AQUI'!L964,1)),"")</f>
        <v>999</v>
      </c>
      <c r="V964" s="19"/>
      <c r="W964" s="1" t="str">
        <f>IFERROR(VLOOKUP(Tabela1[[#This Row],[UO_COD]],qdd!$AT$1:$AU$102,2,FALSE),"")</f>
        <v/>
      </c>
      <c r="X964" s="1" t="str">
        <f>CONCATENATE("F",Tabela1[[#This Row],[FONTE_COD]],Tabela1[[#This Row],[IPU_COD]],"G",Tabela1[[#This Row],[GRUPO_COD]],"T",Tabela1[[#This Row],[TIPO]])</f>
        <v>FGT999</v>
      </c>
      <c r="Y9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4" s="19"/>
      <c r="AA964" s="29" t="str">
        <f>IFERROR(VLOOKUP(CONCATENATE("B",Tabela1[[#This Row],[BLOCO]],Tabela1[[#This Row],[UO_COD]]),qdd!$AW$2:$AX$1000,2,FALSE),"")</f>
        <v/>
      </c>
      <c r="AB964" s="30" t="str">
        <f>IFERROR(Tabela1[[#This Row],[VALOR]]/100,"")</f>
        <v/>
      </c>
      <c r="AC964" s="7" t="str" cm="1">
        <f t="array" aca="1" ref="AC964" ca="1">IF(Tabela1[[#This Row],[VALOR]]&lt;0,"",IFERROR(SUBSTITUTE(Converter_numero(Tabela1[[#This Row],[VALOR INCISO]]),",",""),""))</f>
        <v/>
      </c>
      <c r="AD964" s="29" t="str">
        <f>IF(Tabela1[[#This Row],[TIPO]]=REGRAS!$W$2,REGRAS!$X$2,IF(Tabela1[[#This Row],[TIPO]]=REGRAS!$W$4,REGRAS!$X$4,""))</f>
        <v/>
      </c>
      <c r="AE964" s="29" t="e">
        <f>VLOOKUP(Tabela1[[#This Row],[FONTE_COD]],REGRAS!$O$2:$P$69,2,FALSE)</f>
        <v>#N/A</v>
      </c>
      <c r="AF9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5" spans="1:32" ht="18.75" customHeight="1">
      <c r="A965" s="2" t="str">
        <f>IFERROR(IF('PREENCHER AQUI'!A965="","",'PREENCHER AQUI'!A965),"")</f>
        <v/>
      </c>
      <c r="B965" s="1" t="str">
        <f>IFERROR(IF('PREENCHER AQUI'!B965="","",PROPER('PREENCHER AQUI'!B965)),"")</f>
        <v/>
      </c>
      <c r="C965" s="1" t="str">
        <f>IFERROR(IF('PREENCHER AQUI'!C965="","",'PREENCHER AQUI'!C965),"")</f>
        <v/>
      </c>
      <c r="D965" s="2" t="str">
        <f>IFERROR(IF('PREENCHER AQUI'!D965="","",'PREENCHER AQUI'!D965),"")</f>
        <v/>
      </c>
      <c r="E965" s="2" t="str">
        <f>IFERROR(VLOOKUP(CONCATENATE(C965,D965),qdd!$C$2:$F$1000,2,FALSE),"")</f>
        <v/>
      </c>
      <c r="F965" s="2" t="str">
        <f>IFERROR(VLOOKUP(CONCATENATE(C965,D965),qdd!$C$2:$F$1000,3,FALSE),"")</f>
        <v/>
      </c>
      <c r="G965" s="2" t="str">
        <f>IFERROR(VLOOKUP(CONCATENATE(C965,D965),qdd!$C$2:$F$1000,4,FALSE),"")</f>
        <v/>
      </c>
      <c r="H965" s="6" t="str">
        <f t="shared" si="32"/>
        <v/>
      </c>
      <c r="I9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5" s="2" t="str">
        <f>IFERROR(IF('PREENCHER AQUI'!E965="","",'PREENCHER AQUI'!E965),"")</f>
        <v/>
      </c>
      <c r="K965" s="2" t="str">
        <f>IFERROR(IF('PREENCHER AQUI'!F965="","",'PREENCHER AQUI'!F965),"")</f>
        <v/>
      </c>
      <c r="L965" s="2" t="str">
        <f>IF(Tabela1[[#This Row],[IPU_COD]]=9,"91",IF(Tabela1[[#This Row],[ACAO_COD]]="","",VLOOKUP(CONCATENATE("G",J965,"M",K965),qdd!$BC$2:$BD$46,2,FALSE)))</f>
        <v/>
      </c>
      <c r="M965" s="2" t="str">
        <f>TEXT(IFERROR(VLOOKUP(CONCATENATE(C965,D965),qdd!$C$2:$G$1000,5,FALSE),""),0)</f>
        <v/>
      </c>
      <c r="N965" s="2" t="str">
        <f>IFERROR(IF('PREENCHER AQUI'!I965="","",'PREENCHER AQUI'!I965),"")</f>
        <v/>
      </c>
      <c r="O965" s="2" t="str">
        <f>IFERROR(IF('PREENCHER AQUI'!J965="","",'PREENCHER AQUI'!J965),"")</f>
        <v/>
      </c>
      <c r="P965" s="7" t="str">
        <f t="shared" si="33"/>
        <v/>
      </c>
      <c r="Q965" s="8" t="str">
        <f>IFERROR(IF(Tabela4[[#This Row],[VALOR]]="","",IF(Tabela1[[#This Row],[ORIENTACAO]]="Anular",'PREENCHER AQUI'!K965*-1*100,'PREENCHER AQUI'!K965*100)),"")</f>
        <v/>
      </c>
      <c r="T965" s="7" t="str">
        <f>IFERROR(IF('PREENCHER AQUI'!L965="","999",LEFT('PREENCHER AQUI'!L965,1)),"")</f>
        <v>999</v>
      </c>
      <c r="V965" s="19"/>
      <c r="W965" s="20" t="str">
        <f>IFERROR(VLOOKUP(Tabela1[[#This Row],[UO_COD]],qdd!$AT$1:$AU$102,2,FALSE),"")</f>
        <v/>
      </c>
      <c r="X965" s="20" t="str">
        <f>CONCATENATE("F",Tabela1[[#This Row],[FONTE_COD]],Tabela1[[#This Row],[IPU_COD]],"G",Tabela1[[#This Row],[GRUPO_COD]],"T",Tabela1[[#This Row],[TIPO]])</f>
        <v>FGT999</v>
      </c>
      <c r="Y9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5" s="19"/>
      <c r="AA965" s="29" t="str">
        <f>IFERROR(VLOOKUP(CONCATENATE("B",Tabela1[[#This Row],[BLOCO]],Tabela1[[#This Row],[UO_COD]]),qdd!$AW$2:$AX$1000,2,FALSE),"")</f>
        <v/>
      </c>
      <c r="AB965" s="30" t="str">
        <f>IFERROR(Tabela1[[#This Row],[VALOR]]/100,"")</f>
        <v/>
      </c>
      <c r="AC965" s="7" t="str" cm="1">
        <f t="array" aca="1" ref="AC965" ca="1">IF(Tabela1[[#This Row],[VALOR]]&lt;0,"",IFERROR(SUBSTITUTE(Converter_numero(Tabela1[[#This Row],[VALOR INCISO]]),",",""),""))</f>
        <v/>
      </c>
      <c r="AD965" s="29" t="str">
        <f>IF(Tabela1[[#This Row],[TIPO]]=REGRAS!$W$2,REGRAS!$X$2,IF(Tabela1[[#This Row],[TIPO]]=REGRAS!$W$4,REGRAS!$X$4,""))</f>
        <v/>
      </c>
      <c r="AE965" s="29" t="e">
        <f>VLOOKUP(Tabela1[[#This Row],[FONTE_COD]],REGRAS!$O$2:$P$69,2,FALSE)</f>
        <v>#N/A</v>
      </c>
      <c r="AF9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6" spans="1:32" ht="18.75" customHeight="1">
      <c r="A966" s="2" t="str">
        <f>IFERROR(IF('PREENCHER AQUI'!A966="","",'PREENCHER AQUI'!A966),"")</f>
        <v/>
      </c>
      <c r="B966" s="1" t="str">
        <f>IFERROR(IF('PREENCHER AQUI'!B966="","",PROPER('PREENCHER AQUI'!B966)),"")</f>
        <v/>
      </c>
      <c r="C966" s="1" t="str">
        <f>IFERROR(IF('PREENCHER AQUI'!C966="","",'PREENCHER AQUI'!C966),"")</f>
        <v/>
      </c>
      <c r="D966" s="2" t="str">
        <f>IFERROR(IF('PREENCHER AQUI'!D966="","",'PREENCHER AQUI'!D966),"")</f>
        <v/>
      </c>
      <c r="E966" s="2" t="str">
        <f>IFERROR(VLOOKUP(CONCATENATE(C966,D966),qdd!$C$2:$F$1000,2,FALSE),"")</f>
        <v/>
      </c>
      <c r="F966" s="2" t="str">
        <f>IFERROR(VLOOKUP(CONCATENATE(C966,D966),qdd!$C$2:$F$1000,3,FALSE),"")</f>
        <v/>
      </c>
      <c r="G966" s="2" t="str">
        <f>IFERROR(VLOOKUP(CONCATENATE(C966,D966),qdd!$C$2:$F$1000,4,FALSE),"")</f>
        <v/>
      </c>
      <c r="H966" s="6" t="str">
        <f t="shared" si="32"/>
        <v/>
      </c>
      <c r="I9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6" s="2" t="str">
        <f>IFERROR(IF('PREENCHER AQUI'!E966="","",'PREENCHER AQUI'!E966),"")</f>
        <v/>
      </c>
      <c r="K966" s="2" t="str">
        <f>IFERROR(IF('PREENCHER AQUI'!F966="","",'PREENCHER AQUI'!F966),"")</f>
        <v/>
      </c>
      <c r="L966" s="2" t="str">
        <f>IF(Tabela1[[#This Row],[IPU_COD]]=9,"91",IF(Tabela1[[#This Row],[ACAO_COD]]="","",VLOOKUP(CONCATENATE("G",J966,"M",K966),qdd!$BC$2:$BD$46,2,FALSE)))</f>
        <v/>
      </c>
      <c r="M966" s="2" t="str">
        <f>TEXT(IFERROR(VLOOKUP(CONCATENATE(C966,D966),qdd!$C$2:$G$1000,5,FALSE),""),0)</f>
        <v/>
      </c>
      <c r="N966" s="2" t="str">
        <f>IFERROR(IF('PREENCHER AQUI'!I966="","",'PREENCHER AQUI'!I966),"")</f>
        <v/>
      </c>
      <c r="O966" s="2" t="str">
        <f>IFERROR(IF('PREENCHER AQUI'!J966="","",'PREENCHER AQUI'!J966),"")</f>
        <v/>
      </c>
      <c r="P966" s="7" t="str">
        <f t="shared" si="33"/>
        <v/>
      </c>
      <c r="Q966" s="8" t="str">
        <f>IFERROR(IF(Tabela4[[#This Row],[VALOR]]="","",IF(Tabela1[[#This Row],[ORIENTACAO]]="Anular",'PREENCHER AQUI'!K966*-1*100,'PREENCHER AQUI'!K966*100)),"")</f>
        <v/>
      </c>
      <c r="T966" s="7" t="str">
        <f>IFERROR(IF('PREENCHER AQUI'!L966="","999",LEFT('PREENCHER AQUI'!L966,1)),"")</f>
        <v>999</v>
      </c>
      <c r="V966" s="19"/>
      <c r="W966" s="1" t="str">
        <f>IFERROR(VLOOKUP(Tabela1[[#This Row],[UO_COD]],qdd!$AT$1:$AU$102,2,FALSE),"")</f>
        <v/>
      </c>
      <c r="X966" s="1" t="str">
        <f>CONCATENATE("F",Tabela1[[#This Row],[FONTE_COD]],Tabela1[[#This Row],[IPU_COD]],"G",Tabela1[[#This Row],[GRUPO_COD]],"T",Tabela1[[#This Row],[TIPO]])</f>
        <v>FGT999</v>
      </c>
      <c r="Y9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6" s="19"/>
      <c r="AA966" s="29" t="str">
        <f>IFERROR(VLOOKUP(CONCATENATE("B",Tabela1[[#This Row],[BLOCO]],Tabela1[[#This Row],[UO_COD]]),qdd!$AW$2:$AX$1000,2,FALSE),"")</f>
        <v/>
      </c>
      <c r="AB966" s="30" t="str">
        <f>IFERROR(Tabela1[[#This Row],[VALOR]]/100,"")</f>
        <v/>
      </c>
      <c r="AC966" s="7" t="str" cm="1">
        <f t="array" aca="1" ref="AC966" ca="1">IF(Tabela1[[#This Row],[VALOR]]&lt;0,"",IFERROR(SUBSTITUTE(Converter_numero(Tabela1[[#This Row],[VALOR INCISO]]),",",""),""))</f>
        <v/>
      </c>
      <c r="AD966" s="29" t="str">
        <f>IF(Tabela1[[#This Row],[TIPO]]=REGRAS!$W$2,REGRAS!$X$2,IF(Tabela1[[#This Row],[TIPO]]=REGRAS!$W$4,REGRAS!$X$4,""))</f>
        <v/>
      </c>
      <c r="AE966" s="29" t="e">
        <f>VLOOKUP(Tabela1[[#This Row],[FONTE_COD]],REGRAS!$O$2:$P$69,2,FALSE)</f>
        <v>#N/A</v>
      </c>
      <c r="AF9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7" spans="1:32" ht="18.75" customHeight="1">
      <c r="A967" s="2" t="str">
        <f>IFERROR(IF('PREENCHER AQUI'!A967="","",'PREENCHER AQUI'!A967),"")</f>
        <v/>
      </c>
      <c r="B967" s="1" t="str">
        <f>IFERROR(IF('PREENCHER AQUI'!B967="","",PROPER('PREENCHER AQUI'!B967)),"")</f>
        <v/>
      </c>
      <c r="C967" s="1" t="str">
        <f>IFERROR(IF('PREENCHER AQUI'!C967="","",'PREENCHER AQUI'!C967),"")</f>
        <v/>
      </c>
      <c r="D967" s="2" t="str">
        <f>IFERROR(IF('PREENCHER AQUI'!D967="","",'PREENCHER AQUI'!D967),"")</f>
        <v/>
      </c>
      <c r="E967" s="2" t="str">
        <f>IFERROR(VLOOKUP(CONCATENATE(C967,D967),qdd!$C$2:$F$1000,2,FALSE),"")</f>
        <v/>
      </c>
      <c r="F967" s="2" t="str">
        <f>IFERROR(VLOOKUP(CONCATENATE(C967,D967),qdd!$C$2:$F$1000,3,FALSE),"")</f>
        <v/>
      </c>
      <c r="G967" s="2" t="str">
        <f>IFERROR(VLOOKUP(CONCATENATE(C967,D967),qdd!$C$2:$F$1000,4,FALSE),"")</f>
        <v/>
      </c>
      <c r="H967" s="6" t="str">
        <f t="shared" si="32"/>
        <v/>
      </c>
      <c r="I9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7" s="2" t="str">
        <f>IFERROR(IF('PREENCHER AQUI'!E967="","",'PREENCHER AQUI'!E967),"")</f>
        <v/>
      </c>
      <c r="K967" s="2" t="str">
        <f>IFERROR(IF('PREENCHER AQUI'!F967="","",'PREENCHER AQUI'!F967),"")</f>
        <v/>
      </c>
      <c r="L967" s="2" t="str">
        <f>IF(Tabela1[[#This Row],[IPU_COD]]=9,"91",IF(Tabela1[[#This Row],[ACAO_COD]]="","",VLOOKUP(CONCATENATE("G",J967,"M",K967),qdd!$BC$2:$BD$46,2,FALSE)))</f>
        <v/>
      </c>
      <c r="M967" s="2" t="str">
        <f>TEXT(IFERROR(VLOOKUP(CONCATENATE(C967,D967),qdd!$C$2:$G$1000,5,FALSE),""),0)</f>
        <v/>
      </c>
      <c r="N967" s="2" t="str">
        <f>IFERROR(IF('PREENCHER AQUI'!I967="","",'PREENCHER AQUI'!I967),"")</f>
        <v/>
      </c>
      <c r="O967" s="2" t="str">
        <f>IFERROR(IF('PREENCHER AQUI'!J967="","",'PREENCHER AQUI'!J967),"")</f>
        <v/>
      </c>
      <c r="P967" s="7" t="str">
        <f t="shared" si="33"/>
        <v/>
      </c>
      <c r="Q967" s="8" t="str">
        <f>IFERROR(IF(Tabela4[[#This Row],[VALOR]]="","",IF(Tabela1[[#This Row],[ORIENTACAO]]="Anular",'PREENCHER AQUI'!K967*-1*100,'PREENCHER AQUI'!K967*100)),"")</f>
        <v/>
      </c>
      <c r="T967" s="7" t="str">
        <f>IFERROR(IF('PREENCHER AQUI'!L967="","999",LEFT('PREENCHER AQUI'!L967,1)),"")</f>
        <v>999</v>
      </c>
      <c r="W967" s="1" t="str">
        <f>IFERROR(VLOOKUP(Tabela1[[#This Row],[UO_COD]],qdd!$AT$1:$AU$102,2,FALSE),"")</f>
        <v/>
      </c>
      <c r="X967" s="1" t="str">
        <f>CONCATENATE("F",Tabela1[[#This Row],[FONTE_COD]],Tabela1[[#This Row],[IPU_COD]],"G",Tabela1[[#This Row],[GRUPO_COD]],"T",Tabela1[[#This Row],[TIPO]])</f>
        <v>FGT999</v>
      </c>
      <c r="Y9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7" s="19"/>
      <c r="AA967" s="29" t="str">
        <f>IFERROR(VLOOKUP(CONCATENATE("B",Tabela1[[#This Row],[BLOCO]],Tabela1[[#This Row],[UO_COD]]),qdd!$AW$2:$AX$1000,2,FALSE),"")</f>
        <v/>
      </c>
      <c r="AB967" s="30" t="str">
        <f>IFERROR(Tabela1[[#This Row],[VALOR]]/100,"")</f>
        <v/>
      </c>
      <c r="AC967" s="7" t="str" cm="1">
        <f t="array" aca="1" ref="AC967" ca="1">IF(Tabela1[[#This Row],[VALOR]]&lt;0,"",IFERROR(SUBSTITUTE(Converter_numero(Tabela1[[#This Row],[VALOR INCISO]]),",",""),""))</f>
        <v/>
      </c>
      <c r="AD967" s="7" t="str">
        <f>IF(Tabela1[[#This Row],[TIPO]]=REGRAS!$W$2,REGRAS!$X$2,IF(Tabela1[[#This Row],[TIPO]]=REGRAS!$W$4,REGRAS!$X$4,""))</f>
        <v/>
      </c>
      <c r="AE967" s="29" t="e">
        <f>VLOOKUP(Tabela1[[#This Row],[FONTE_COD]],REGRAS!$O$2:$P$69,2,FALSE)</f>
        <v>#N/A</v>
      </c>
      <c r="AF9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8" spans="1:32" ht="18.75" customHeight="1">
      <c r="A968" s="2" t="str">
        <f>IFERROR(IF('PREENCHER AQUI'!A968="","",'PREENCHER AQUI'!A968),"")</f>
        <v/>
      </c>
      <c r="B968" s="1" t="str">
        <f>IFERROR(IF('PREENCHER AQUI'!B968="","",PROPER('PREENCHER AQUI'!B968)),"")</f>
        <v/>
      </c>
      <c r="C968" s="1" t="str">
        <f>IFERROR(IF('PREENCHER AQUI'!C968="","",'PREENCHER AQUI'!C968),"")</f>
        <v/>
      </c>
      <c r="D968" s="2" t="str">
        <f>IFERROR(IF('PREENCHER AQUI'!D968="","",'PREENCHER AQUI'!D968),"")</f>
        <v/>
      </c>
      <c r="E968" s="2" t="str">
        <f>IFERROR(VLOOKUP(CONCATENATE(C968,D968),qdd!$C$2:$F$1000,2,FALSE),"")</f>
        <v/>
      </c>
      <c r="F968" s="2" t="str">
        <f>IFERROR(VLOOKUP(CONCATENATE(C968,D968),qdd!$C$2:$F$1000,3,FALSE),"")</f>
        <v/>
      </c>
      <c r="G968" s="2" t="str">
        <f>IFERROR(VLOOKUP(CONCATENATE(C968,D968),qdd!$C$2:$F$1000,4,FALSE),"")</f>
        <v/>
      </c>
      <c r="H968" s="6" t="str">
        <f t="shared" si="32"/>
        <v/>
      </c>
      <c r="I9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8" s="2" t="str">
        <f>IFERROR(IF('PREENCHER AQUI'!E968="","",'PREENCHER AQUI'!E968),"")</f>
        <v/>
      </c>
      <c r="K968" s="2" t="str">
        <f>IFERROR(IF('PREENCHER AQUI'!F968="","",'PREENCHER AQUI'!F968),"")</f>
        <v/>
      </c>
      <c r="L968" s="2" t="str">
        <f>IF(Tabela1[[#This Row],[IPU_COD]]=9,"91",IF(Tabela1[[#This Row],[ACAO_COD]]="","",VLOOKUP(CONCATENATE("G",J968,"M",K968),qdd!$BC$2:$BD$46,2,FALSE)))</f>
        <v/>
      </c>
      <c r="M968" s="2" t="str">
        <f>TEXT(IFERROR(VLOOKUP(CONCATENATE(C968,D968),qdd!$C$2:$G$1000,5,FALSE),""),0)</f>
        <v/>
      </c>
      <c r="N968" s="2" t="str">
        <f>IFERROR(IF('PREENCHER AQUI'!I968="","",'PREENCHER AQUI'!I968),"")</f>
        <v/>
      </c>
      <c r="O968" s="2" t="str">
        <f>IFERROR(IF('PREENCHER AQUI'!J968="","",'PREENCHER AQUI'!J968),"")</f>
        <v/>
      </c>
      <c r="P968" s="7" t="str">
        <f t="shared" si="33"/>
        <v/>
      </c>
      <c r="Q968" s="8" t="str">
        <f>IFERROR(IF(Tabela4[[#This Row],[VALOR]]="","",IF(Tabela1[[#This Row],[ORIENTACAO]]="Anular",'PREENCHER AQUI'!K968*-1*100,'PREENCHER AQUI'!K968*100)),"")</f>
        <v/>
      </c>
      <c r="T968" s="7" t="str">
        <f>IFERROR(IF('PREENCHER AQUI'!L968="","999",LEFT('PREENCHER AQUI'!L968,1)),"")</f>
        <v>999</v>
      </c>
      <c r="V968" s="19"/>
      <c r="W968" s="1" t="str">
        <f>IFERROR(VLOOKUP(Tabela1[[#This Row],[UO_COD]],qdd!$AT$1:$AU$102,2,FALSE),"")</f>
        <v/>
      </c>
      <c r="X968" s="1" t="str">
        <f>CONCATENATE("F",Tabela1[[#This Row],[FONTE_COD]],Tabela1[[#This Row],[IPU_COD]],"G",Tabela1[[#This Row],[GRUPO_COD]],"T",Tabela1[[#This Row],[TIPO]])</f>
        <v>FGT999</v>
      </c>
      <c r="Y9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8" s="19"/>
      <c r="AA968" s="29" t="str">
        <f>IFERROR(VLOOKUP(CONCATENATE("B",Tabela1[[#This Row],[BLOCO]],Tabela1[[#This Row],[UO_COD]]),qdd!$AW$2:$AX$1000,2,FALSE),"")</f>
        <v/>
      </c>
      <c r="AB968" s="30" t="str">
        <f>IFERROR(Tabela1[[#This Row],[VALOR]]/100,"")</f>
        <v/>
      </c>
      <c r="AC968" s="7" t="str" cm="1">
        <f t="array" aca="1" ref="AC968" ca="1">IF(Tabela1[[#This Row],[VALOR]]&lt;0,"",IFERROR(SUBSTITUTE(Converter_numero(Tabela1[[#This Row],[VALOR INCISO]]),",",""),""))</f>
        <v/>
      </c>
      <c r="AD968" s="29" t="str">
        <f>IF(Tabela1[[#This Row],[TIPO]]=REGRAS!$W$2,REGRAS!$X$2,IF(Tabela1[[#This Row],[TIPO]]=REGRAS!$W$4,REGRAS!$X$4,""))</f>
        <v/>
      </c>
      <c r="AE968" s="29" t="e">
        <f>VLOOKUP(Tabela1[[#This Row],[FONTE_COD]],REGRAS!$O$2:$P$69,2,FALSE)</f>
        <v>#N/A</v>
      </c>
      <c r="AF9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9" spans="1:32" ht="18.75" customHeight="1">
      <c r="A969" s="2" t="str">
        <f>IFERROR(IF('PREENCHER AQUI'!A969="","",'PREENCHER AQUI'!A969),"")</f>
        <v/>
      </c>
      <c r="B969" s="1" t="str">
        <f>IFERROR(IF('PREENCHER AQUI'!B969="","",PROPER('PREENCHER AQUI'!B969)),"")</f>
        <v/>
      </c>
      <c r="C969" s="1" t="str">
        <f>IFERROR(IF('PREENCHER AQUI'!C969="","",'PREENCHER AQUI'!C969),"")</f>
        <v/>
      </c>
      <c r="D969" s="2" t="str">
        <f>IFERROR(IF('PREENCHER AQUI'!D969="","",'PREENCHER AQUI'!D969),"")</f>
        <v/>
      </c>
      <c r="E969" s="2" t="str">
        <f>IFERROR(VLOOKUP(CONCATENATE(C969,D969),qdd!$C$2:$F$1000,2,FALSE),"")</f>
        <v/>
      </c>
      <c r="F969" s="2" t="str">
        <f>IFERROR(VLOOKUP(CONCATENATE(C969,D969),qdd!$C$2:$F$1000,3,FALSE),"")</f>
        <v/>
      </c>
      <c r="G969" s="2" t="str">
        <f>IFERROR(VLOOKUP(CONCATENATE(C969,D969),qdd!$C$2:$F$1000,4,FALSE),"")</f>
        <v/>
      </c>
      <c r="H969" s="6" t="str">
        <f t="shared" si="32"/>
        <v/>
      </c>
      <c r="I9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9" s="2" t="str">
        <f>IFERROR(IF('PREENCHER AQUI'!E969="","",'PREENCHER AQUI'!E969),"")</f>
        <v/>
      </c>
      <c r="K969" s="2" t="str">
        <f>IFERROR(IF('PREENCHER AQUI'!F969="","",'PREENCHER AQUI'!F969),"")</f>
        <v/>
      </c>
      <c r="L969" s="2" t="str">
        <f>IF(Tabela1[[#This Row],[IPU_COD]]=9,"91",IF(Tabela1[[#This Row],[ACAO_COD]]="","",VLOOKUP(CONCATENATE("G",J969,"M",K969),qdd!$BC$2:$BD$46,2,FALSE)))</f>
        <v/>
      </c>
      <c r="M969" s="2" t="str">
        <f>TEXT(IFERROR(VLOOKUP(CONCATENATE(C969,D969),qdd!$C$2:$G$1000,5,FALSE),""),0)</f>
        <v/>
      </c>
      <c r="N969" s="2" t="str">
        <f>IFERROR(IF('PREENCHER AQUI'!I969="","",'PREENCHER AQUI'!I969),"")</f>
        <v/>
      </c>
      <c r="O969" s="2" t="str">
        <f>IFERROR(IF('PREENCHER AQUI'!J969="","",'PREENCHER AQUI'!J969),"")</f>
        <v/>
      </c>
      <c r="P969" s="7" t="str">
        <f t="shared" si="33"/>
        <v/>
      </c>
      <c r="Q969" s="8" t="str">
        <f>IFERROR(IF(Tabela4[[#This Row],[VALOR]]="","",IF(Tabela1[[#This Row],[ORIENTACAO]]="Anular",'PREENCHER AQUI'!K969*-1*100,'PREENCHER AQUI'!K969*100)),"")</f>
        <v/>
      </c>
      <c r="T969" s="7" t="str">
        <f>IFERROR(IF('PREENCHER AQUI'!L969="","999",LEFT('PREENCHER AQUI'!L969,1)),"")</f>
        <v>999</v>
      </c>
      <c r="V969" s="19"/>
      <c r="W969" s="1" t="str">
        <f>IFERROR(VLOOKUP(Tabela1[[#This Row],[UO_COD]],qdd!$AT$1:$AU$102,2,FALSE),"")</f>
        <v/>
      </c>
      <c r="X969" s="1" t="str">
        <f>CONCATENATE("F",Tabela1[[#This Row],[FONTE_COD]],Tabela1[[#This Row],[IPU_COD]],"G",Tabela1[[#This Row],[GRUPO_COD]],"T",Tabela1[[#This Row],[TIPO]])</f>
        <v>FGT999</v>
      </c>
      <c r="Y9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9" s="19"/>
      <c r="AA969" s="29" t="str">
        <f>IFERROR(VLOOKUP(CONCATENATE("B",Tabela1[[#This Row],[BLOCO]],Tabela1[[#This Row],[UO_COD]]),qdd!$AW$2:$AX$1000,2,FALSE),"")</f>
        <v/>
      </c>
      <c r="AB969" s="30" t="str">
        <f>IFERROR(Tabela1[[#This Row],[VALOR]]/100,"")</f>
        <v/>
      </c>
      <c r="AC969" s="7" t="str" cm="1">
        <f t="array" aca="1" ref="AC969" ca="1">IF(Tabela1[[#This Row],[VALOR]]&lt;0,"",IFERROR(SUBSTITUTE(Converter_numero(Tabela1[[#This Row],[VALOR INCISO]]),",",""),""))</f>
        <v/>
      </c>
      <c r="AD969" s="29" t="str">
        <f>IF(Tabela1[[#This Row],[TIPO]]=REGRAS!$W$2,REGRAS!$X$2,IF(Tabela1[[#This Row],[TIPO]]=REGRAS!$W$4,REGRAS!$X$4,""))</f>
        <v/>
      </c>
      <c r="AE969" s="29" t="e">
        <f>VLOOKUP(Tabela1[[#This Row],[FONTE_COD]],REGRAS!$O$2:$P$69,2,FALSE)</f>
        <v>#N/A</v>
      </c>
      <c r="AF9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0" spans="1:32" ht="18.75" customHeight="1">
      <c r="A970" s="2" t="str">
        <f>IFERROR(IF('PREENCHER AQUI'!A970="","",'PREENCHER AQUI'!A970),"")</f>
        <v/>
      </c>
      <c r="B970" s="1" t="str">
        <f>IFERROR(IF('PREENCHER AQUI'!B970="","",PROPER('PREENCHER AQUI'!B970)),"")</f>
        <v/>
      </c>
      <c r="C970" s="1" t="str">
        <f>IFERROR(IF('PREENCHER AQUI'!C970="","",'PREENCHER AQUI'!C970),"")</f>
        <v/>
      </c>
      <c r="D970" s="2" t="str">
        <f>IFERROR(IF('PREENCHER AQUI'!D970="","",'PREENCHER AQUI'!D970),"")</f>
        <v/>
      </c>
      <c r="E970" s="2" t="str">
        <f>IFERROR(VLOOKUP(CONCATENATE(C970,D970),qdd!$C$2:$F$1000,2,FALSE),"")</f>
        <v/>
      </c>
      <c r="F970" s="2" t="str">
        <f>IFERROR(VLOOKUP(CONCATENATE(C970,D970),qdd!$C$2:$F$1000,3,FALSE),"")</f>
        <v/>
      </c>
      <c r="G970" s="2" t="str">
        <f>IFERROR(VLOOKUP(CONCATENATE(C970,D970),qdd!$C$2:$F$1000,4,FALSE),"")</f>
        <v/>
      </c>
      <c r="H970" s="6" t="str">
        <f t="shared" si="32"/>
        <v/>
      </c>
      <c r="I9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0" s="2" t="str">
        <f>IFERROR(IF('PREENCHER AQUI'!E970="","",'PREENCHER AQUI'!E970),"")</f>
        <v/>
      </c>
      <c r="K970" s="2" t="str">
        <f>IFERROR(IF('PREENCHER AQUI'!F970="","",'PREENCHER AQUI'!F970),"")</f>
        <v/>
      </c>
      <c r="L970" s="2" t="str">
        <f>IF(Tabela1[[#This Row],[IPU_COD]]=9,"91",IF(Tabela1[[#This Row],[ACAO_COD]]="","",VLOOKUP(CONCATENATE("G",J970,"M",K970),qdd!$BC$2:$BD$46,2,FALSE)))</f>
        <v/>
      </c>
      <c r="M970" s="2" t="str">
        <f>TEXT(IFERROR(VLOOKUP(CONCATENATE(C970,D970),qdd!$C$2:$G$1000,5,FALSE),""),0)</f>
        <v/>
      </c>
      <c r="N970" s="2" t="str">
        <f>IFERROR(IF('PREENCHER AQUI'!I970="","",'PREENCHER AQUI'!I970),"")</f>
        <v/>
      </c>
      <c r="O970" s="2" t="str">
        <f>IFERROR(IF('PREENCHER AQUI'!J970="","",'PREENCHER AQUI'!J970),"")</f>
        <v/>
      </c>
      <c r="P970" s="7" t="str">
        <f t="shared" si="33"/>
        <v/>
      </c>
      <c r="Q970" s="8" t="str">
        <f>IFERROR(IF(Tabela4[[#This Row],[VALOR]]="","",IF(Tabela1[[#This Row],[ORIENTACAO]]="Anular",'PREENCHER AQUI'!K970*-1*100,'PREENCHER AQUI'!K970*100)),"")</f>
        <v/>
      </c>
      <c r="T970" s="7" t="str">
        <f>IFERROR(IF('PREENCHER AQUI'!L970="","999",LEFT('PREENCHER AQUI'!L970,1)),"")</f>
        <v>999</v>
      </c>
      <c r="V970" s="19"/>
      <c r="W970" s="20" t="str">
        <f>IFERROR(VLOOKUP(Tabela1[[#This Row],[UO_COD]],qdd!$AT$1:$AU$102,2,FALSE),"")</f>
        <v/>
      </c>
      <c r="X970" s="20" t="str">
        <f>CONCATENATE("F",Tabela1[[#This Row],[FONTE_COD]],Tabela1[[#This Row],[IPU_COD]],"G",Tabela1[[#This Row],[GRUPO_COD]],"T",Tabela1[[#This Row],[TIPO]])</f>
        <v>FGT999</v>
      </c>
      <c r="Y9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0" s="19"/>
      <c r="AA970" s="29" t="str">
        <f>IFERROR(VLOOKUP(CONCATENATE("B",Tabela1[[#This Row],[BLOCO]],Tabela1[[#This Row],[UO_COD]]),qdd!$AW$2:$AX$1000,2,FALSE),"")</f>
        <v/>
      </c>
      <c r="AB970" s="30" t="str">
        <f>IFERROR(Tabela1[[#This Row],[VALOR]]/100,"")</f>
        <v/>
      </c>
      <c r="AC970" s="7" t="str" cm="1">
        <f t="array" aca="1" ref="AC970" ca="1">IF(Tabela1[[#This Row],[VALOR]]&lt;0,"",IFERROR(SUBSTITUTE(Converter_numero(Tabela1[[#This Row],[VALOR INCISO]]),",",""),""))</f>
        <v/>
      </c>
      <c r="AD970" s="29" t="str">
        <f>IF(Tabela1[[#This Row],[TIPO]]=REGRAS!$W$2,REGRAS!$X$2,IF(Tabela1[[#This Row],[TIPO]]=REGRAS!$W$4,REGRAS!$X$4,""))</f>
        <v/>
      </c>
      <c r="AE970" s="29" t="e">
        <f>VLOOKUP(Tabela1[[#This Row],[FONTE_COD]],REGRAS!$O$2:$P$69,2,FALSE)</f>
        <v>#N/A</v>
      </c>
      <c r="AF9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1" spans="1:32" ht="18.75" customHeight="1">
      <c r="A971" s="2" t="str">
        <f>IFERROR(IF('PREENCHER AQUI'!A971="","",'PREENCHER AQUI'!A971),"")</f>
        <v/>
      </c>
      <c r="B971" s="1" t="str">
        <f>IFERROR(IF('PREENCHER AQUI'!B971="","",PROPER('PREENCHER AQUI'!B971)),"")</f>
        <v/>
      </c>
      <c r="C971" s="1" t="str">
        <f>IFERROR(IF('PREENCHER AQUI'!C971="","",'PREENCHER AQUI'!C971),"")</f>
        <v/>
      </c>
      <c r="D971" s="2" t="str">
        <f>IFERROR(IF('PREENCHER AQUI'!D971="","",'PREENCHER AQUI'!D971),"")</f>
        <v/>
      </c>
      <c r="E971" s="2" t="str">
        <f>IFERROR(VLOOKUP(CONCATENATE(C971,D971),qdd!$C$2:$F$1000,2,FALSE),"")</f>
        <v/>
      </c>
      <c r="F971" s="2" t="str">
        <f>IFERROR(VLOOKUP(CONCATENATE(C971,D971),qdd!$C$2:$F$1000,3,FALSE),"")</f>
        <v/>
      </c>
      <c r="G971" s="2" t="str">
        <f>IFERROR(VLOOKUP(CONCATENATE(C971,D971),qdd!$C$2:$F$1000,4,FALSE),"")</f>
        <v/>
      </c>
      <c r="H971" s="6" t="str">
        <f t="shared" si="32"/>
        <v/>
      </c>
      <c r="I9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1" s="2" t="str">
        <f>IFERROR(IF('PREENCHER AQUI'!E971="","",'PREENCHER AQUI'!E971),"")</f>
        <v/>
      </c>
      <c r="K971" s="2" t="str">
        <f>IFERROR(IF('PREENCHER AQUI'!F971="","",'PREENCHER AQUI'!F971),"")</f>
        <v/>
      </c>
      <c r="L971" s="2" t="str">
        <f>IF(Tabela1[[#This Row],[IPU_COD]]=9,"91",IF(Tabela1[[#This Row],[ACAO_COD]]="","",VLOOKUP(CONCATENATE("G",J971,"M",K971),qdd!$BC$2:$BD$46,2,FALSE)))</f>
        <v/>
      </c>
      <c r="M971" s="2" t="str">
        <f>TEXT(IFERROR(VLOOKUP(CONCATENATE(C971,D971),qdd!$C$2:$G$1000,5,FALSE),""),0)</f>
        <v/>
      </c>
      <c r="N971" s="2" t="str">
        <f>IFERROR(IF('PREENCHER AQUI'!I971="","",'PREENCHER AQUI'!I971),"")</f>
        <v/>
      </c>
      <c r="O971" s="2" t="str">
        <f>IFERROR(IF('PREENCHER AQUI'!J971="","",'PREENCHER AQUI'!J971),"")</f>
        <v/>
      </c>
      <c r="P971" s="7" t="str">
        <f t="shared" si="33"/>
        <v/>
      </c>
      <c r="Q971" s="8" t="str">
        <f>IFERROR(IF(Tabela4[[#This Row],[VALOR]]="","",IF(Tabela1[[#This Row],[ORIENTACAO]]="Anular",'PREENCHER AQUI'!K971*-1*100,'PREENCHER AQUI'!K971*100)),"")</f>
        <v/>
      </c>
      <c r="T971" s="7" t="str">
        <f>IFERROR(IF('PREENCHER AQUI'!L971="","999",LEFT('PREENCHER AQUI'!L971,1)),"")</f>
        <v>999</v>
      </c>
      <c r="V971" s="19"/>
      <c r="W971" s="1" t="str">
        <f>IFERROR(VLOOKUP(Tabela1[[#This Row],[UO_COD]],qdd!$AT$1:$AU$102,2,FALSE),"")</f>
        <v/>
      </c>
      <c r="X971" s="1" t="str">
        <f>CONCATENATE("F",Tabela1[[#This Row],[FONTE_COD]],Tabela1[[#This Row],[IPU_COD]],"G",Tabela1[[#This Row],[GRUPO_COD]],"T",Tabela1[[#This Row],[TIPO]])</f>
        <v>FGT999</v>
      </c>
      <c r="Y9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1" s="19"/>
      <c r="AA971" s="29" t="str">
        <f>IFERROR(VLOOKUP(CONCATENATE("B",Tabela1[[#This Row],[BLOCO]],Tabela1[[#This Row],[UO_COD]]),qdd!$AW$2:$AX$1000,2,FALSE),"")</f>
        <v/>
      </c>
      <c r="AB971" s="30" t="str">
        <f>IFERROR(Tabela1[[#This Row],[VALOR]]/100,"")</f>
        <v/>
      </c>
      <c r="AC971" s="7" t="str" cm="1">
        <f t="array" aca="1" ref="AC971" ca="1">IF(Tabela1[[#This Row],[VALOR]]&lt;0,"",IFERROR(SUBSTITUTE(Converter_numero(Tabela1[[#This Row],[VALOR INCISO]]),",",""),""))</f>
        <v/>
      </c>
      <c r="AD971" s="29" t="str">
        <f>IF(Tabela1[[#This Row],[TIPO]]=REGRAS!$W$2,REGRAS!$X$2,IF(Tabela1[[#This Row],[TIPO]]=REGRAS!$W$4,REGRAS!$X$4,""))</f>
        <v/>
      </c>
      <c r="AE971" s="29" t="e">
        <f>VLOOKUP(Tabela1[[#This Row],[FONTE_COD]],REGRAS!$O$2:$P$69,2,FALSE)</f>
        <v>#N/A</v>
      </c>
      <c r="AF9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2" spans="1:32" ht="18.75" customHeight="1">
      <c r="A972" s="2" t="str">
        <f>IFERROR(IF('PREENCHER AQUI'!A972="","",'PREENCHER AQUI'!A972),"")</f>
        <v/>
      </c>
      <c r="B972" s="1" t="str">
        <f>IFERROR(IF('PREENCHER AQUI'!B972="","",PROPER('PREENCHER AQUI'!B972)),"")</f>
        <v/>
      </c>
      <c r="C972" s="1" t="str">
        <f>IFERROR(IF('PREENCHER AQUI'!C972="","",'PREENCHER AQUI'!C972),"")</f>
        <v/>
      </c>
      <c r="D972" s="2" t="str">
        <f>IFERROR(IF('PREENCHER AQUI'!D972="","",'PREENCHER AQUI'!D972),"")</f>
        <v/>
      </c>
      <c r="E972" s="2" t="str">
        <f>IFERROR(VLOOKUP(CONCATENATE(C972,D972),qdd!$C$2:$F$1000,2,FALSE),"")</f>
        <v/>
      </c>
      <c r="F972" s="2" t="str">
        <f>IFERROR(VLOOKUP(CONCATENATE(C972,D972),qdd!$C$2:$F$1000,3,FALSE),"")</f>
        <v/>
      </c>
      <c r="G972" s="2" t="str">
        <f>IFERROR(VLOOKUP(CONCATENATE(C972,D972),qdd!$C$2:$F$1000,4,FALSE),"")</f>
        <v/>
      </c>
      <c r="H972" s="6" t="str">
        <f t="shared" si="32"/>
        <v/>
      </c>
      <c r="I9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2" s="2" t="str">
        <f>IFERROR(IF('PREENCHER AQUI'!E972="","",'PREENCHER AQUI'!E972),"")</f>
        <v/>
      </c>
      <c r="K972" s="2" t="str">
        <f>IFERROR(IF('PREENCHER AQUI'!F972="","",'PREENCHER AQUI'!F972),"")</f>
        <v/>
      </c>
      <c r="L972" s="2" t="str">
        <f>IF(Tabela1[[#This Row],[IPU_COD]]=9,"91",IF(Tabela1[[#This Row],[ACAO_COD]]="","",VLOOKUP(CONCATENATE("G",J972,"M",K972),qdd!$BC$2:$BD$46,2,FALSE)))</f>
        <v/>
      </c>
      <c r="M972" s="2" t="str">
        <f>TEXT(IFERROR(VLOOKUP(CONCATENATE(C972,D972),qdd!$C$2:$G$1000,5,FALSE),""),0)</f>
        <v/>
      </c>
      <c r="N972" s="2" t="str">
        <f>IFERROR(IF('PREENCHER AQUI'!I972="","",'PREENCHER AQUI'!I972),"")</f>
        <v/>
      </c>
      <c r="O972" s="2" t="str">
        <f>IFERROR(IF('PREENCHER AQUI'!J972="","",'PREENCHER AQUI'!J972),"")</f>
        <v/>
      </c>
      <c r="P972" s="7" t="str">
        <f t="shared" si="33"/>
        <v/>
      </c>
      <c r="Q972" s="8" t="str">
        <f>IFERROR(IF(Tabela4[[#This Row],[VALOR]]="","",IF(Tabela1[[#This Row],[ORIENTACAO]]="Anular",'PREENCHER AQUI'!K972*-1*100,'PREENCHER AQUI'!K972*100)),"")</f>
        <v/>
      </c>
      <c r="T972" s="7" t="str">
        <f>IFERROR(IF('PREENCHER AQUI'!L972="","999",LEFT('PREENCHER AQUI'!L972,1)),"")</f>
        <v>999</v>
      </c>
      <c r="W972" s="1" t="str">
        <f>IFERROR(VLOOKUP(Tabela1[[#This Row],[UO_COD]],qdd!$AT$1:$AU$102,2,FALSE),"")</f>
        <v/>
      </c>
      <c r="X972" s="1" t="str">
        <f>CONCATENATE("F",Tabela1[[#This Row],[FONTE_COD]],Tabela1[[#This Row],[IPU_COD]],"G",Tabela1[[#This Row],[GRUPO_COD]],"T",Tabela1[[#This Row],[TIPO]])</f>
        <v>FGT999</v>
      </c>
      <c r="Y9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2" s="19"/>
      <c r="AA972" s="29" t="str">
        <f>IFERROR(VLOOKUP(CONCATENATE("B",Tabela1[[#This Row],[BLOCO]],Tabela1[[#This Row],[UO_COD]]),qdd!$AW$2:$AX$1000,2,FALSE),"")</f>
        <v/>
      </c>
      <c r="AB972" s="30" t="str">
        <f>IFERROR(Tabela1[[#This Row],[VALOR]]/100,"")</f>
        <v/>
      </c>
      <c r="AC972" s="7" t="str" cm="1">
        <f t="array" aca="1" ref="AC972" ca="1">IF(Tabela1[[#This Row],[VALOR]]&lt;0,"",IFERROR(SUBSTITUTE(Converter_numero(Tabela1[[#This Row],[VALOR INCISO]]),",",""),""))</f>
        <v/>
      </c>
      <c r="AD972" s="7" t="str">
        <f>IF(Tabela1[[#This Row],[TIPO]]=REGRAS!$W$2,REGRAS!$X$2,IF(Tabela1[[#This Row],[TIPO]]=REGRAS!$W$4,REGRAS!$X$4,""))</f>
        <v/>
      </c>
      <c r="AE972" s="29" t="e">
        <f>VLOOKUP(Tabela1[[#This Row],[FONTE_COD]],REGRAS!$O$2:$P$69,2,FALSE)</f>
        <v>#N/A</v>
      </c>
      <c r="AF9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3" spans="1:32" ht="18.75" customHeight="1">
      <c r="A973" s="2" t="str">
        <f>IFERROR(IF('PREENCHER AQUI'!A973="","",'PREENCHER AQUI'!A973),"")</f>
        <v/>
      </c>
      <c r="B973" s="1" t="str">
        <f>IFERROR(IF('PREENCHER AQUI'!B973="","",PROPER('PREENCHER AQUI'!B973)),"")</f>
        <v/>
      </c>
      <c r="C973" s="1" t="str">
        <f>IFERROR(IF('PREENCHER AQUI'!C973="","",'PREENCHER AQUI'!C973),"")</f>
        <v/>
      </c>
      <c r="D973" s="2" t="str">
        <f>IFERROR(IF('PREENCHER AQUI'!D973="","",'PREENCHER AQUI'!D973),"")</f>
        <v/>
      </c>
      <c r="E973" s="2" t="str">
        <f>IFERROR(VLOOKUP(CONCATENATE(C973,D973),qdd!$C$2:$F$1000,2,FALSE),"")</f>
        <v/>
      </c>
      <c r="F973" s="2" t="str">
        <f>IFERROR(VLOOKUP(CONCATENATE(C973,D973),qdd!$C$2:$F$1000,3,FALSE),"")</f>
        <v/>
      </c>
      <c r="G973" s="2" t="str">
        <f>IFERROR(VLOOKUP(CONCATENATE(C973,D973),qdd!$C$2:$F$1000,4,FALSE),"")</f>
        <v/>
      </c>
      <c r="H973" s="6" t="str">
        <f t="shared" si="32"/>
        <v/>
      </c>
      <c r="I9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3" s="2" t="str">
        <f>IFERROR(IF('PREENCHER AQUI'!E973="","",'PREENCHER AQUI'!E973),"")</f>
        <v/>
      </c>
      <c r="K973" s="2" t="str">
        <f>IFERROR(IF('PREENCHER AQUI'!F973="","",'PREENCHER AQUI'!F973),"")</f>
        <v/>
      </c>
      <c r="L973" s="2" t="str">
        <f>IF(Tabela1[[#This Row],[IPU_COD]]=9,"91",IF(Tabela1[[#This Row],[ACAO_COD]]="","",VLOOKUP(CONCATENATE("G",J973,"M",K973),qdd!$BC$2:$BD$46,2,FALSE)))</f>
        <v/>
      </c>
      <c r="M973" s="2" t="str">
        <f>TEXT(IFERROR(VLOOKUP(CONCATENATE(C973,D973),qdd!$C$2:$G$1000,5,FALSE),""),0)</f>
        <v/>
      </c>
      <c r="N973" s="2" t="str">
        <f>IFERROR(IF('PREENCHER AQUI'!I973="","",'PREENCHER AQUI'!I973),"")</f>
        <v/>
      </c>
      <c r="O973" s="2" t="str">
        <f>IFERROR(IF('PREENCHER AQUI'!J973="","",'PREENCHER AQUI'!J973),"")</f>
        <v/>
      </c>
      <c r="P973" s="7" t="str">
        <f t="shared" si="33"/>
        <v/>
      </c>
      <c r="Q973" s="8" t="str">
        <f>IFERROR(IF(Tabela4[[#This Row],[VALOR]]="","",IF(Tabela1[[#This Row],[ORIENTACAO]]="Anular",'PREENCHER AQUI'!K973*-1*100,'PREENCHER AQUI'!K973*100)),"")</f>
        <v/>
      </c>
      <c r="T973" s="7" t="str">
        <f>IFERROR(IF('PREENCHER AQUI'!L973="","999",LEFT('PREENCHER AQUI'!L973,1)),"")</f>
        <v>999</v>
      </c>
      <c r="V973" s="19"/>
      <c r="W973" s="1" t="str">
        <f>IFERROR(VLOOKUP(Tabela1[[#This Row],[UO_COD]],qdd!$AT$1:$AU$102,2,FALSE),"")</f>
        <v/>
      </c>
      <c r="X973" s="1" t="str">
        <f>CONCATENATE("F",Tabela1[[#This Row],[FONTE_COD]],Tabela1[[#This Row],[IPU_COD]],"G",Tabela1[[#This Row],[GRUPO_COD]],"T",Tabela1[[#This Row],[TIPO]])</f>
        <v>FGT999</v>
      </c>
      <c r="Y9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3" s="19"/>
      <c r="AA973" s="29" t="str">
        <f>IFERROR(VLOOKUP(CONCATENATE("B",Tabela1[[#This Row],[BLOCO]],Tabela1[[#This Row],[UO_COD]]),qdd!$AW$2:$AX$1000,2,FALSE),"")</f>
        <v/>
      </c>
      <c r="AB973" s="30" t="str">
        <f>IFERROR(Tabela1[[#This Row],[VALOR]]/100,"")</f>
        <v/>
      </c>
      <c r="AC973" s="7" t="str" cm="1">
        <f t="array" aca="1" ref="AC973" ca="1">IF(Tabela1[[#This Row],[VALOR]]&lt;0,"",IFERROR(SUBSTITUTE(Converter_numero(Tabela1[[#This Row],[VALOR INCISO]]),",",""),""))</f>
        <v/>
      </c>
      <c r="AD973" s="29" t="str">
        <f>IF(Tabela1[[#This Row],[TIPO]]=REGRAS!$W$2,REGRAS!$X$2,IF(Tabela1[[#This Row],[TIPO]]=REGRAS!$W$4,REGRAS!$X$4,""))</f>
        <v/>
      </c>
      <c r="AE973" s="29" t="e">
        <f>VLOOKUP(Tabela1[[#This Row],[FONTE_COD]],REGRAS!$O$2:$P$69,2,FALSE)</f>
        <v>#N/A</v>
      </c>
      <c r="AF9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4" spans="1:32" ht="18.75" customHeight="1">
      <c r="A974" s="2" t="str">
        <f>IFERROR(IF('PREENCHER AQUI'!A974="","",'PREENCHER AQUI'!A974),"")</f>
        <v/>
      </c>
      <c r="B974" s="1" t="str">
        <f>IFERROR(IF('PREENCHER AQUI'!B974="","",PROPER('PREENCHER AQUI'!B974)),"")</f>
        <v/>
      </c>
      <c r="C974" s="1" t="str">
        <f>IFERROR(IF('PREENCHER AQUI'!C974="","",'PREENCHER AQUI'!C974),"")</f>
        <v/>
      </c>
      <c r="D974" s="2" t="str">
        <f>IFERROR(IF('PREENCHER AQUI'!D974="","",'PREENCHER AQUI'!D974),"")</f>
        <v/>
      </c>
      <c r="E974" s="2" t="str">
        <f>IFERROR(VLOOKUP(CONCATENATE(C974,D974),qdd!$C$2:$F$1000,2,FALSE),"")</f>
        <v/>
      </c>
      <c r="F974" s="2" t="str">
        <f>IFERROR(VLOOKUP(CONCATENATE(C974,D974),qdd!$C$2:$F$1000,3,FALSE),"")</f>
        <v/>
      </c>
      <c r="G974" s="2" t="str">
        <f>IFERROR(VLOOKUP(CONCATENATE(C974,D974),qdd!$C$2:$F$1000,4,FALSE),"")</f>
        <v/>
      </c>
      <c r="H974" s="6" t="str">
        <f t="shared" si="32"/>
        <v/>
      </c>
      <c r="I9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4" s="2" t="str">
        <f>IFERROR(IF('PREENCHER AQUI'!E974="","",'PREENCHER AQUI'!E974),"")</f>
        <v/>
      </c>
      <c r="K974" s="2" t="str">
        <f>IFERROR(IF('PREENCHER AQUI'!F974="","",'PREENCHER AQUI'!F974),"")</f>
        <v/>
      </c>
      <c r="L974" s="2" t="str">
        <f>IF(Tabela1[[#This Row],[IPU_COD]]=9,"91",IF(Tabela1[[#This Row],[ACAO_COD]]="","",VLOOKUP(CONCATENATE("G",J974,"M",K974),qdd!$BC$2:$BD$46,2,FALSE)))</f>
        <v/>
      </c>
      <c r="M974" s="2" t="str">
        <f>TEXT(IFERROR(VLOOKUP(CONCATENATE(C974,D974),qdd!$C$2:$G$1000,5,FALSE),""),0)</f>
        <v/>
      </c>
      <c r="N974" s="2" t="str">
        <f>IFERROR(IF('PREENCHER AQUI'!I974="","",'PREENCHER AQUI'!I974),"")</f>
        <v/>
      </c>
      <c r="O974" s="2" t="str">
        <f>IFERROR(IF('PREENCHER AQUI'!J974="","",'PREENCHER AQUI'!J974),"")</f>
        <v/>
      </c>
      <c r="P974" s="7" t="str">
        <f t="shared" si="33"/>
        <v/>
      </c>
      <c r="Q974" s="8" t="str">
        <f>IFERROR(IF(Tabela4[[#This Row],[VALOR]]="","",IF(Tabela1[[#This Row],[ORIENTACAO]]="Anular",'PREENCHER AQUI'!K974*-1*100,'PREENCHER AQUI'!K974*100)),"")</f>
        <v/>
      </c>
      <c r="T974" s="7" t="str">
        <f>IFERROR(IF('PREENCHER AQUI'!L974="","999",LEFT('PREENCHER AQUI'!L974,1)),"")</f>
        <v>999</v>
      </c>
      <c r="V974" s="19"/>
      <c r="W974" s="1" t="str">
        <f>IFERROR(VLOOKUP(Tabela1[[#This Row],[UO_COD]],qdd!$AT$1:$AU$102,2,FALSE),"")</f>
        <v/>
      </c>
      <c r="X974" s="1" t="str">
        <f>CONCATENATE("F",Tabela1[[#This Row],[FONTE_COD]],Tabela1[[#This Row],[IPU_COD]],"G",Tabela1[[#This Row],[GRUPO_COD]],"T",Tabela1[[#This Row],[TIPO]])</f>
        <v>FGT999</v>
      </c>
      <c r="Y9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4" s="19"/>
      <c r="AA974" s="29" t="str">
        <f>IFERROR(VLOOKUP(CONCATENATE("B",Tabela1[[#This Row],[BLOCO]],Tabela1[[#This Row],[UO_COD]]),qdd!$AW$2:$AX$1000,2,FALSE),"")</f>
        <v/>
      </c>
      <c r="AB974" s="30" t="str">
        <f>IFERROR(Tabela1[[#This Row],[VALOR]]/100,"")</f>
        <v/>
      </c>
      <c r="AC974" s="7" t="str" cm="1">
        <f t="array" aca="1" ref="AC974" ca="1">IF(Tabela1[[#This Row],[VALOR]]&lt;0,"",IFERROR(SUBSTITUTE(Converter_numero(Tabela1[[#This Row],[VALOR INCISO]]),",",""),""))</f>
        <v/>
      </c>
      <c r="AD974" s="29" t="str">
        <f>IF(Tabela1[[#This Row],[TIPO]]=REGRAS!$W$2,REGRAS!$X$2,IF(Tabela1[[#This Row],[TIPO]]=REGRAS!$W$4,REGRAS!$X$4,""))</f>
        <v/>
      </c>
      <c r="AE974" s="29" t="e">
        <f>VLOOKUP(Tabela1[[#This Row],[FONTE_COD]],REGRAS!$O$2:$P$69,2,FALSE)</f>
        <v>#N/A</v>
      </c>
      <c r="AF9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5" spans="1:32" ht="18.75" customHeight="1">
      <c r="A975" s="2" t="str">
        <f>IFERROR(IF('PREENCHER AQUI'!A975="","",'PREENCHER AQUI'!A975),"")</f>
        <v/>
      </c>
      <c r="B975" s="1" t="str">
        <f>IFERROR(IF('PREENCHER AQUI'!B975="","",PROPER('PREENCHER AQUI'!B975)),"")</f>
        <v/>
      </c>
      <c r="C975" s="1" t="str">
        <f>IFERROR(IF('PREENCHER AQUI'!C975="","",'PREENCHER AQUI'!C975),"")</f>
        <v/>
      </c>
      <c r="D975" s="2" t="str">
        <f>IFERROR(IF('PREENCHER AQUI'!D975="","",'PREENCHER AQUI'!D975),"")</f>
        <v/>
      </c>
      <c r="E975" s="2" t="str">
        <f>IFERROR(VLOOKUP(CONCATENATE(C975,D975),qdd!$C$2:$F$1000,2,FALSE),"")</f>
        <v/>
      </c>
      <c r="F975" s="2" t="str">
        <f>IFERROR(VLOOKUP(CONCATENATE(C975,D975),qdd!$C$2:$F$1000,3,FALSE),"")</f>
        <v/>
      </c>
      <c r="G975" s="2" t="str">
        <f>IFERROR(VLOOKUP(CONCATENATE(C975,D975),qdd!$C$2:$F$1000,4,FALSE),"")</f>
        <v/>
      </c>
      <c r="H975" s="6" t="str">
        <f t="shared" si="32"/>
        <v/>
      </c>
      <c r="I9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5" s="2" t="str">
        <f>IFERROR(IF('PREENCHER AQUI'!E975="","",'PREENCHER AQUI'!E975),"")</f>
        <v/>
      </c>
      <c r="K975" s="2" t="str">
        <f>IFERROR(IF('PREENCHER AQUI'!F975="","",'PREENCHER AQUI'!F975),"")</f>
        <v/>
      </c>
      <c r="L975" s="2" t="str">
        <f>IF(Tabela1[[#This Row],[IPU_COD]]=9,"91",IF(Tabela1[[#This Row],[ACAO_COD]]="","",VLOOKUP(CONCATENATE("G",J975,"M",K975),qdd!$BC$2:$BD$46,2,FALSE)))</f>
        <v/>
      </c>
      <c r="M975" s="2" t="str">
        <f>TEXT(IFERROR(VLOOKUP(CONCATENATE(C975,D975),qdd!$C$2:$G$1000,5,FALSE),""),0)</f>
        <v/>
      </c>
      <c r="N975" s="2" t="str">
        <f>IFERROR(IF('PREENCHER AQUI'!I975="","",'PREENCHER AQUI'!I975),"")</f>
        <v/>
      </c>
      <c r="O975" s="2" t="str">
        <f>IFERROR(IF('PREENCHER AQUI'!J975="","",'PREENCHER AQUI'!J975),"")</f>
        <v/>
      </c>
      <c r="P975" s="7" t="str">
        <f t="shared" si="33"/>
        <v/>
      </c>
      <c r="Q975" s="8" t="str">
        <f>IFERROR(IF(Tabela4[[#This Row],[VALOR]]="","",IF(Tabela1[[#This Row],[ORIENTACAO]]="Anular",'PREENCHER AQUI'!K975*-1*100,'PREENCHER AQUI'!K975*100)),"")</f>
        <v/>
      </c>
      <c r="T975" s="7" t="str">
        <f>IFERROR(IF('PREENCHER AQUI'!L975="","999",LEFT('PREENCHER AQUI'!L975,1)),"")</f>
        <v>999</v>
      </c>
      <c r="V975" s="19"/>
      <c r="W975" s="20" t="str">
        <f>IFERROR(VLOOKUP(Tabela1[[#This Row],[UO_COD]],qdd!$AT$1:$AU$102,2,FALSE),"")</f>
        <v/>
      </c>
      <c r="X975" s="20" t="str">
        <f>CONCATENATE("F",Tabela1[[#This Row],[FONTE_COD]],Tabela1[[#This Row],[IPU_COD]],"G",Tabela1[[#This Row],[GRUPO_COD]],"T",Tabela1[[#This Row],[TIPO]])</f>
        <v>FGT999</v>
      </c>
      <c r="Y9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5" s="19"/>
      <c r="AA975" s="29" t="str">
        <f>IFERROR(VLOOKUP(CONCATENATE("B",Tabela1[[#This Row],[BLOCO]],Tabela1[[#This Row],[UO_COD]]),qdd!$AW$2:$AX$1000,2,FALSE),"")</f>
        <v/>
      </c>
      <c r="AB975" s="30" t="str">
        <f>IFERROR(Tabela1[[#This Row],[VALOR]]/100,"")</f>
        <v/>
      </c>
      <c r="AC975" s="7" t="str" cm="1">
        <f t="array" aca="1" ref="AC975" ca="1">IF(Tabela1[[#This Row],[VALOR]]&lt;0,"",IFERROR(SUBSTITUTE(Converter_numero(Tabela1[[#This Row],[VALOR INCISO]]),",",""),""))</f>
        <v/>
      </c>
      <c r="AD975" s="29" t="str">
        <f>IF(Tabela1[[#This Row],[TIPO]]=REGRAS!$W$2,REGRAS!$X$2,IF(Tabela1[[#This Row],[TIPO]]=REGRAS!$W$4,REGRAS!$X$4,""))</f>
        <v/>
      </c>
      <c r="AE975" s="29" t="e">
        <f>VLOOKUP(Tabela1[[#This Row],[FONTE_COD]],REGRAS!$O$2:$P$69,2,FALSE)</f>
        <v>#N/A</v>
      </c>
      <c r="AF9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6" spans="1:32" ht="18.75" customHeight="1">
      <c r="A976" s="2" t="str">
        <f>IFERROR(IF('PREENCHER AQUI'!A976="","",'PREENCHER AQUI'!A976),"")</f>
        <v/>
      </c>
      <c r="B976" s="1" t="str">
        <f>IFERROR(IF('PREENCHER AQUI'!B976="","",PROPER('PREENCHER AQUI'!B976)),"")</f>
        <v/>
      </c>
      <c r="C976" s="1" t="str">
        <f>IFERROR(IF('PREENCHER AQUI'!C976="","",'PREENCHER AQUI'!C976),"")</f>
        <v/>
      </c>
      <c r="D976" s="2" t="str">
        <f>IFERROR(IF('PREENCHER AQUI'!D976="","",'PREENCHER AQUI'!D976),"")</f>
        <v/>
      </c>
      <c r="E976" s="2" t="str">
        <f>IFERROR(VLOOKUP(CONCATENATE(C976,D976),qdd!$C$2:$F$1000,2,FALSE),"")</f>
        <v/>
      </c>
      <c r="F976" s="2" t="str">
        <f>IFERROR(VLOOKUP(CONCATENATE(C976,D976),qdd!$C$2:$F$1000,3,FALSE),"")</f>
        <v/>
      </c>
      <c r="G976" s="2" t="str">
        <f>IFERROR(VLOOKUP(CONCATENATE(C976,D976),qdd!$C$2:$F$1000,4,FALSE),"")</f>
        <v/>
      </c>
      <c r="H976" s="6" t="str">
        <f t="shared" si="32"/>
        <v/>
      </c>
      <c r="I9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6" s="2" t="str">
        <f>IFERROR(IF('PREENCHER AQUI'!E976="","",'PREENCHER AQUI'!E976),"")</f>
        <v/>
      </c>
      <c r="K976" s="2" t="str">
        <f>IFERROR(IF('PREENCHER AQUI'!F976="","",'PREENCHER AQUI'!F976),"")</f>
        <v/>
      </c>
      <c r="L976" s="2" t="str">
        <f>IF(Tabela1[[#This Row],[IPU_COD]]=9,"91",IF(Tabela1[[#This Row],[ACAO_COD]]="","",VLOOKUP(CONCATENATE("G",J976,"M",K976),qdd!$BC$2:$BD$46,2,FALSE)))</f>
        <v/>
      </c>
      <c r="M976" s="2" t="str">
        <f>TEXT(IFERROR(VLOOKUP(CONCATENATE(C976,D976),qdd!$C$2:$G$1000,5,FALSE),""),0)</f>
        <v/>
      </c>
      <c r="N976" s="2" t="str">
        <f>IFERROR(IF('PREENCHER AQUI'!I976="","",'PREENCHER AQUI'!I976),"")</f>
        <v/>
      </c>
      <c r="O976" s="2" t="str">
        <f>IFERROR(IF('PREENCHER AQUI'!J976="","",'PREENCHER AQUI'!J976),"")</f>
        <v/>
      </c>
      <c r="P976" s="7" t="str">
        <f t="shared" si="33"/>
        <v/>
      </c>
      <c r="Q976" s="8" t="str">
        <f>IFERROR(IF(Tabela4[[#This Row],[VALOR]]="","",IF(Tabela1[[#This Row],[ORIENTACAO]]="Anular",'PREENCHER AQUI'!K976*-1*100,'PREENCHER AQUI'!K976*100)),"")</f>
        <v/>
      </c>
      <c r="T976" s="7" t="str">
        <f>IFERROR(IF('PREENCHER AQUI'!L976="","999",LEFT('PREENCHER AQUI'!L976,1)),"")</f>
        <v>999</v>
      </c>
      <c r="V976" s="19"/>
      <c r="W976" s="1" t="str">
        <f>IFERROR(VLOOKUP(Tabela1[[#This Row],[UO_COD]],qdd!$AT$1:$AU$102,2,FALSE),"")</f>
        <v/>
      </c>
      <c r="X976" s="1" t="str">
        <f>CONCATENATE("F",Tabela1[[#This Row],[FONTE_COD]],Tabela1[[#This Row],[IPU_COD]],"G",Tabela1[[#This Row],[GRUPO_COD]],"T",Tabela1[[#This Row],[TIPO]])</f>
        <v>FGT999</v>
      </c>
      <c r="Y9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6" s="19"/>
      <c r="AA976" s="29" t="str">
        <f>IFERROR(VLOOKUP(CONCATENATE("B",Tabela1[[#This Row],[BLOCO]],Tabela1[[#This Row],[UO_COD]]),qdd!$AW$2:$AX$1000,2,FALSE),"")</f>
        <v/>
      </c>
      <c r="AB976" s="30" t="str">
        <f>IFERROR(Tabela1[[#This Row],[VALOR]]/100,"")</f>
        <v/>
      </c>
      <c r="AC976" s="7" t="str" cm="1">
        <f t="array" aca="1" ref="AC976" ca="1">IF(Tabela1[[#This Row],[VALOR]]&lt;0,"",IFERROR(SUBSTITUTE(Converter_numero(Tabela1[[#This Row],[VALOR INCISO]]),",",""),""))</f>
        <v/>
      </c>
      <c r="AD976" s="29" t="str">
        <f>IF(Tabela1[[#This Row],[TIPO]]=REGRAS!$W$2,REGRAS!$X$2,IF(Tabela1[[#This Row],[TIPO]]=REGRAS!$W$4,REGRAS!$X$4,""))</f>
        <v/>
      </c>
      <c r="AE976" s="29" t="e">
        <f>VLOOKUP(Tabela1[[#This Row],[FONTE_COD]],REGRAS!$O$2:$P$69,2,FALSE)</f>
        <v>#N/A</v>
      </c>
      <c r="AF9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7" spans="1:32" ht="18.75" customHeight="1">
      <c r="A977" s="2" t="str">
        <f>IFERROR(IF('PREENCHER AQUI'!A977="","",'PREENCHER AQUI'!A977),"")</f>
        <v/>
      </c>
      <c r="B977" s="1" t="str">
        <f>IFERROR(IF('PREENCHER AQUI'!B977="","",PROPER('PREENCHER AQUI'!B977)),"")</f>
        <v/>
      </c>
      <c r="C977" s="1" t="str">
        <f>IFERROR(IF('PREENCHER AQUI'!C977="","",'PREENCHER AQUI'!C977),"")</f>
        <v/>
      </c>
      <c r="D977" s="2" t="str">
        <f>IFERROR(IF('PREENCHER AQUI'!D977="","",'PREENCHER AQUI'!D977),"")</f>
        <v/>
      </c>
      <c r="E977" s="2" t="str">
        <f>IFERROR(VLOOKUP(CONCATENATE(C977,D977),qdd!$C$2:$F$1000,2,FALSE),"")</f>
        <v/>
      </c>
      <c r="F977" s="2" t="str">
        <f>IFERROR(VLOOKUP(CONCATENATE(C977,D977),qdd!$C$2:$F$1000,3,FALSE),"")</f>
        <v/>
      </c>
      <c r="G977" s="2" t="str">
        <f>IFERROR(VLOOKUP(CONCATENATE(C977,D977),qdd!$C$2:$F$1000,4,FALSE),"")</f>
        <v/>
      </c>
      <c r="H977" s="6" t="str">
        <f t="shared" si="32"/>
        <v/>
      </c>
      <c r="I9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7" s="2" t="str">
        <f>IFERROR(IF('PREENCHER AQUI'!E977="","",'PREENCHER AQUI'!E977),"")</f>
        <v/>
      </c>
      <c r="K977" s="2" t="str">
        <f>IFERROR(IF('PREENCHER AQUI'!F977="","",'PREENCHER AQUI'!F977),"")</f>
        <v/>
      </c>
      <c r="L977" s="2" t="str">
        <f>IF(Tabela1[[#This Row],[IPU_COD]]=9,"91",IF(Tabela1[[#This Row],[ACAO_COD]]="","",VLOOKUP(CONCATENATE("G",J977,"M",K977),qdd!$BC$2:$BD$46,2,FALSE)))</f>
        <v/>
      </c>
      <c r="M977" s="2" t="str">
        <f>TEXT(IFERROR(VLOOKUP(CONCATENATE(C977,D977),qdd!$C$2:$G$1000,5,FALSE),""),0)</f>
        <v/>
      </c>
      <c r="N977" s="2" t="str">
        <f>IFERROR(IF('PREENCHER AQUI'!I977="","",'PREENCHER AQUI'!I977),"")</f>
        <v/>
      </c>
      <c r="O977" s="2" t="str">
        <f>IFERROR(IF('PREENCHER AQUI'!J977="","",'PREENCHER AQUI'!J977),"")</f>
        <v/>
      </c>
      <c r="P977" s="7" t="str">
        <f t="shared" si="33"/>
        <v/>
      </c>
      <c r="Q977" s="8" t="str">
        <f>IFERROR(IF(Tabela4[[#This Row],[VALOR]]="","",IF(Tabela1[[#This Row],[ORIENTACAO]]="Anular",'PREENCHER AQUI'!K977*-1*100,'PREENCHER AQUI'!K977*100)),"")</f>
        <v/>
      </c>
      <c r="T977" s="7" t="str">
        <f>IFERROR(IF('PREENCHER AQUI'!L977="","999",LEFT('PREENCHER AQUI'!L977,1)),"")</f>
        <v>999</v>
      </c>
      <c r="W977" s="1" t="str">
        <f>IFERROR(VLOOKUP(Tabela1[[#This Row],[UO_COD]],qdd!$AT$1:$AU$102,2,FALSE),"")</f>
        <v/>
      </c>
      <c r="X977" s="1" t="str">
        <f>CONCATENATE("F",Tabela1[[#This Row],[FONTE_COD]],Tabela1[[#This Row],[IPU_COD]],"G",Tabela1[[#This Row],[GRUPO_COD]],"T",Tabela1[[#This Row],[TIPO]])</f>
        <v>FGT999</v>
      </c>
      <c r="Y9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7" s="19"/>
      <c r="AA977" s="29" t="str">
        <f>IFERROR(VLOOKUP(CONCATENATE("B",Tabela1[[#This Row],[BLOCO]],Tabela1[[#This Row],[UO_COD]]),qdd!$AW$2:$AX$1000,2,FALSE),"")</f>
        <v/>
      </c>
      <c r="AB977" s="30" t="str">
        <f>IFERROR(Tabela1[[#This Row],[VALOR]]/100,"")</f>
        <v/>
      </c>
      <c r="AC977" s="7" t="str" cm="1">
        <f t="array" aca="1" ref="AC977" ca="1">IF(Tabela1[[#This Row],[VALOR]]&lt;0,"",IFERROR(SUBSTITUTE(Converter_numero(Tabela1[[#This Row],[VALOR INCISO]]),",",""),""))</f>
        <v/>
      </c>
      <c r="AD977" s="7" t="str">
        <f>IF(Tabela1[[#This Row],[TIPO]]=REGRAS!$W$2,REGRAS!$X$2,IF(Tabela1[[#This Row],[TIPO]]=REGRAS!$W$4,REGRAS!$X$4,""))</f>
        <v/>
      </c>
      <c r="AE977" s="29" t="e">
        <f>VLOOKUP(Tabela1[[#This Row],[FONTE_COD]],REGRAS!$O$2:$P$69,2,FALSE)</f>
        <v>#N/A</v>
      </c>
      <c r="AF9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8" spans="1:32" ht="18.75" customHeight="1">
      <c r="A978" s="2" t="str">
        <f>IFERROR(IF('PREENCHER AQUI'!A978="","",'PREENCHER AQUI'!A978),"")</f>
        <v/>
      </c>
      <c r="B978" s="1" t="str">
        <f>IFERROR(IF('PREENCHER AQUI'!B978="","",PROPER('PREENCHER AQUI'!B978)),"")</f>
        <v/>
      </c>
      <c r="C978" s="1" t="str">
        <f>IFERROR(IF('PREENCHER AQUI'!C978="","",'PREENCHER AQUI'!C978),"")</f>
        <v/>
      </c>
      <c r="D978" s="2" t="str">
        <f>IFERROR(IF('PREENCHER AQUI'!D978="","",'PREENCHER AQUI'!D978),"")</f>
        <v/>
      </c>
      <c r="E978" s="2" t="str">
        <f>IFERROR(VLOOKUP(CONCATENATE(C978,D978),qdd!$C$2:$F$1000,2,FALSE),"")</f>
        <v/>
      </c>
      <c r="F978" s="2" t="str">
        <f>IFERROR(VLOOKUP(CONCATENATE(C978,D978),qdd!$C$2:$F$1000,3,FALSE),"")</f>
        <v/>
      </c>
      <c r="G978" s="2" t="str">
        <f>IFERROR(VLOOKUP(CONCATENATE(C978,D978),qdd!$C$2:$F$1000,4,FALSE),"")</f>
        <v/>
      </c>
      <c r="H978" s="6" t="str">
        <f t="shared" si="32"/>
        <v/>
      </c>
      <c r="I9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8" s="2" t="str">
        <f>IFERROR(IF('PREENCHER AQUI'!E978="","",'PREENCHER AQUI'!E978),"")</f>
        <v/>
      </c>
      <c r="K978" s="2" t="str">
        <f>IFERROR(IF('PREENCHER AQUI'!F978="","",'PREENCHER AQUI'!F978),"")</f>
        <v/>
      </c>
      <c r="L978" s="2" t="str">
        <f>IF(Tabela1[[#This Row],[IPU_COD]]=9,"91",IF(Tabela1[[#This Row],[ACAO_COD]]="","",VLOOKUP(CONCATENATE("G",J978,"M",K978),qdd!$BC$2:$BD$46,2,FALSE)))</f>
        <v/>
      </c>
      <c r="M978" s="2" t="str">
        <f>TEXT(IFERROR(VLOOKUP(CONCATENATE(C978,D978),qdd!$C$2:$G$1000,5,FALSE),""),0)</f>
        <v/>
      </c>
      <c r="N978" s="2" t="str">
        <f>IFERROR(IF('PREENCHER AQUI'!I978="","",'PREENCHER AQUI'!I978),"")</f>
        <v/>
      </c>
      <c r="O978" s="2" t="str">
        <f>IFERROR(IF('PREENCHER AQUI'!J978="","",'PREENCHER AQUI'!J978),"")</f>
        <v/>
      </c>
      <c r="P978" s="7" t="str">
        <f t="shared" si="33"/>
        <v/>
      </c>
      <c r="Q978" s="8" t="str">
        <f>IFERROR(IF(Tabela4[[#This Row],[VALOR]]="","",IF(Tabela1[[#This Row],[ORIENTACAO]]="Anular",'PREENCHER AQUI'!K978*-1*100,'PREENCHER AQUI'!K978*100)),"")</f>
        <v/>
      </c>
      <c r="T978" s="7" t="str">
        <f>IFERROR(IF('PREENCHER AQUI'!L978="","999",LEFT('PREENCHER AQUI'!L978,1)),"")</f>
        <v>999</v>
      </c>
      <c r="V978" s="19"/>
      <c r="W978" s="1" t="str">
        <f>IFERROR(VLOOKUP(Tabela1[[#This Row],[UO_COD]],qdd!$AT$1:$AU$102,2,FALSE),"")</f>
        <v/>
      </c>
      <c r="X978" s="1" t="str">
        <f>CONCATENATE("F",Tabela1[[#This Row],[FONTE_COD]],Tabela1[[#This Row],[IPU_COD]],"G",Tabela1[[#This Row],[GRUPO_COD]],"T",Tabela1[[#This Row],[TIPO]])</f>
        <v>FGT999</v>
      </c>
      <c r="Y9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8" s="19"/>
      <c r="AA978" s="29" t="str">
        <f>IFERROR(VLOOKUP(CONCATENATE("B",Tabela1[[#This Row],[BLOCO]],Tabela1[[#This Row],[UO_COD]]),qdd!$AW$2:$AX$1000,2,FALSE),"")</f>
        <v/>
      </c>
      <c r="AB978" s="30" t="str">
        <f>IFERROR(Tabela1[[#This Row],[VALOR]]/100,"")</f>
        <v/>
      </c>
      <c r="AC978" s="7" t="str" cm="1">
        <f t="array" aca="1" ref="AC978" ca="1">IF(Tabela1[[#This Row],[VALOR]]&lt;0,"",IFERROR(SUBSTITUTE(Converter_numero(Tabela1[[#This Row],[VALOR INCISO]]),",",""),""))</f>
        <v/>
      </c>
      <c r="AD978" s="29" t="str">
        <f>IF(Tabela1[[#This Row],[TIPO]]=REGRAS!$W$2,REGRAS!$X$2,IF(Tabela1[[#This Row],[TIPO]]=REGRAS!$W$4,REGRAS!$X$4,""))</f>
        <v/>
      </c>
      <c r="AE978" s="29" t="e">
        <f>VLOOKUP(Tabela1[[#This Row],[FONTE_COD]],REGRAS!$O$2:$P$69,2,FALSE)</f>
        <v>#N/A</v>
      </c>
      <c r="AF9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9" spans="1:32" ht="18.75" customHeight="1">
      <c r="A979" s="2" t="str">
        <f>IFERROR(IF('PREENCHER AQUI'!A979="","",'PREENCHER AQUI'!A979),"")</f>
        <v/>
      </c>
      <c r="B979" s="1" t="str">
        <f>IFERROR(IF('PREENCHER AQUI'!B979="","",PROPER('PREENCHER AQUI'!B979)),"")</f>
        <v/>
      </c>
      <c r="C979" s="1" t="str">
        <f>IFERROR(IF('PREENCHER AQUI'!C979="","",'PREENCHER AQUI'!C979),"")</f>
        <v/>
      </c>
      <c r="D979" s="2" t="str">
        <f>IFERROR(IF('PREENCHER AQUI'!D979="","",'PREENCHER AQUI'!D979),"")</f>
        <v/>
      </c>
      <c r="E979" s="2" t="str">
        <f>IFERROR(VLOOKUP(CONCATENATE(C979,D979),qdd!$C$2:$F$1000,2,FALSE),"")</f>
        <v/>
      </c>
      <c r="F979" s="2" t="str">
        <f>IFERROR(VLOOKUP(CONCATENATE(C979,D979),qdd!$C$2:$F$1000,3,FALSE),"")</f>
        <v/>
      </c>
      <c r="G979" s="2" t="str">
        <f>IFERROR(VLOOKUP(CONCATENATE(C979,D979),qdd!$C$2:$F$1000,4,FALSE),"")</f>
        <v/>
      </c>
      <c r="H979" s="6" t="str">
        <f t="shared" si="32"/>
        <v/>
      </c>
      <c r="I9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9" s="2" t="str">
        <f>IFERROR(IF('PREENCHER AQUI'!E979="","",'PREENCHER AQUI'!E979),"")</f>
        <v/>
      </c>
      <c r="K979" s="2" t="str">
        <f>IFERROR(IF('PREENCHER AQUI'!F979="","",'PREENCHER AQUI'!F979),"")</f>
        <v/>
      </c>
      <c r="L979" s="2" t="str">
        <f>IF(Tabela1[[#This Row],[IPU_COD]]=9,"91",IF(Tabela1[[#This Row],[ACAO_COD]]="","",VLOOKUP(CONCATENATE("G",J979,"M",K979),qdd!$BC$2:$BD$46,2,FALSE)))</f>
        <v/>
      </c>
      <c r="M979" s="2" t="str">
        <f>TEXT(IFERROR(VLOOKUP(CONCATENATE(C979,D979),qdd!$C$2:$G$1000,5,FALSE),""),0)</f>
        <v/>
      </c>
      <c r="N979" s="2" t="str">
        <f>IFERROR(IF('PREENCHER AQUI'!I979="","",'PREENCHER AQUI'!I979),"")</f>
        <v/>
      </c>
      <c r="O979" s="2" t="str">
        <f>IFERROR(IF('PREENCHER AQUI'!J979="","",'PREENCHER AQUI'!J979),"")</f>
        <v/>
      </c>
      <c r="P979" s="7" t="str">
        <f t="shared" si="33"/>
        <v/>
      </c>
      <c r="Q979" s="8" t="str">
        <f>IFERROR(IF(Tabela4[[#This Row],[VALOR]]="","",IF(Tabela1[[#This Row],[ORIENTACAO]]="Anular",'PREENCHER AQUI'!K979*-1*100,'PREENCHER AQUI'!K979*100)),"")</f>
        <v/>
      </c>
      <c r="T979" s="7" t="str">
        <f>IFERROR(IF('PREENCHER AQUI'!L979="","999",LEFT('PREENCHER AQUI'!L979,1)),"")</f>
        <v>999</v>
      </c>
      <c r="V979" s="19"/>
      <c r="W979" s="1" t="str">
        <f>IFERROR(VLOOKUP(Tabela1[[#This Row],[UO_COD]],qdd!$AT$1:$AU$102,2,FALSE),"")</f>
        <v/>
      </c>
      <c r="X979" s="1" t="str">
        <f>CONCATENATE("F",Tabela1[[#This Row],[FONTE_COD]],Tabela1[[#This Row],[IPU_COD]],"G",Tabela1[[#This Row],[GRUPO_COD]],"T",Tabela1[[#This Row],[TIPO]])</f>
        <v>FGT999</v>
      </c>
      <c r="Y9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9" s="19"/>
      <c r="AA979" s="29" t="str">
        <f>IFERROR(VLOOKUP(CONCATENATE("B",Tabela1[[#This Row],[BLOCO]],Tabela1[[#This Row],[UO_COD]]),qdd!$AW$2:$AX$1000,2,FALSE),"")</f>
        <v/>
      </c>
      <c r="AB979" s="30" t="str">
        <f>IFERROR(Tabela1[[#This Row],[VALOR]]/100,"")</f>
        <v/>
      </c>
      <c r="AC979" s="7" t="str" cm="1">
        <f t="array" aca="1" ref="AC979" ca="1">IF(Tabela1[[#This Row],[VALOR]]&lt;0,"",IFERROR(SUBSTITUTE(Converter_numero(Tabela1[[#This Row],[VALOR INCISO]]),",",""),""))</f>
        <v/>
      </c>
      <c r="AD979" s="29" t="str">
        <f>IF(Tabela1[[#This Row],[TIPO]]=REGRAS!$W$2,REGRAS!$X$2,IF(Tabela1[[#This Row],[TIPO]]=REGRAS!$W$4,REGRAS!$X$4,""))</f>
        <v/>
      </c>
      <c r="AE979" s="29" t="e">
        <f>VLOOKUP(Tabela1[[#This Row],[FONTE_COD]],REGRAS!$O$2:$P$69,2,FALSE)</f>
        <v>#N/A</v>
      </c>
      <c r="AF9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0" spans="1:32" ht="18.75" customHeight="1">
      <c r="A980" s="2" t="str">
        <f>IFERROR(IF('PREENCHER AQUI'!A980="","",'PREENCHER AQUI'!A980),"")</f>
        <v/>
      </c>
      <c r="B980" s="1" t="str">
        <f>IFERROR(IF('PREENCHER AQUI'!B980="","",PROPER('PREENCHER AQUI'!B980)),"")</f>
        <v/>
      </c>
      <c r="C980" s="1" t="str">
        <f>IFERROR(IF('PREENCHER AQUI'!C980="","",'PREENCHER AQUI'!C980),"")</f>
        <v/>
      </c>
      <c r="D980" s="2" t="str">
        <f>IFERROR(IF('PREENCHER AQUI'!D980="","",'PREENCHER AQUI'!D980),"")</f>
        <v/>
      </c>
      <c r="E980" s="2" t="str">
        <f>IFERROR(VLOOKUP(CONCATENATE(C980,D980),qdd!$C$2:$F$1000,2,FALSE),"")</f>
        <v/>
      </c>
      <c r="F980" s="2" t="str">
        <f>IFERROR(VLOOKUP(CONCATENATE(C980,D980),qdd!$C$2:$F$1000,3,FALSE),"")</f>
        <v/>
      </c>
      <c r="G980" s="2" t="str">
        <f>IFERROR(VLOOKUP(CONCATENATE(C980,D980),qdd!$C$2:$F$1000,4,FALSE),"")</f>
        <v/>
      </c>
      <c r="H980" s="6" t="str">
        <f t="shared" si="32"/>
        <v/>
      </c>
      <c r="I9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0" s="2" t="str">
        <f>IFERROR(IF('PREENCHER AQUI'!E980="","",'PREENCHER AQUI'!E980),"")</f>
        <v/>
      </c>
      <c r="K980" s="2" t="str">
        <f>IFERROR(IF('PREENCHER AQUI'!F980="","",'PREENCHER AQUI'!F980),"")</f>
        <v/>
      </c>
      <c r="L980" s="2" t="str">
        <f>IF(Tabela1[[#This Row],[IPU_COD]]=9,"91",IF(Tabela1[[#This Row],[ACAO_COD]]="","",VLOOKUP(CONCATENATE("G",J980,"M",K980),qdd!$BC$2:$BD$46,2,FALSE)))</f>
        <v/>
      </c>
      <c r="M980" s="2" t="str">
        <f>TEXT(IFERROR(VLOOKUP(CONCATENATE(C980,D980),qdd!$C$2:$G$1000,5,FALSE),""),0)</f>
        <v/>
      </c>
      <c r="N980" s="2" t="str">
        <f>IFERROR(IF('PREENCHER AQUI'!I980="","",'PREENCHER AQUI'!I980),"")</f>
        <v/>
      </c>
      <c r="O980" s="2" t="str">
        <f>IFERROR(IF('PREENCHER AQUI'!J980="","",'PREENCHER AQUI'!J980),"")</f>
        <v/>
      </c>
      <c r="P980" s="7" t="str">
        <f t="shared" si="33"/>
        <v/>
      </c>
      <c r="Q980" s="8" t="str">
        <f>IFERROR(IF(Tabela4[[#This Row],[VALOR]]="","",IF(Tabela1[[#This Row],[ORIENTACAO]]="Anular",'PREENCHER AQUI'!K980*-1*100,'PREENCHER AQUI'!K980*100)),"")</f>
        <v/>
      </c>
      <c r="T980" s="7" t="str">
        <f>IFERROR(IF('PREENCHER AQUI'!L980="","999",LEFT('PREENCHER AQUI'!L980,1)),"")</f>
        <v>999</v>
      </c>
      <c r="V980" s="19"/>
      <c r="W980" s="20" t="str">
        <f>IFERROR(VLOOKUP(Tabela1[[#This Row],[UO_COD]],qdd!$AT$1:$AU$102,2,FALSE),"")</f>
        <v/>
      </c>
      <c r="X980" s="20" t="str">
        <f>CONCATENATE("F",Tabela1[[#This Row],[FONTE_COD]],Tabela1[[#This Row],[IPU_COD]],"G",Tabela1[[#This Row],[GRUPO_COD]],"T",Tabela1[[#This Row],[TIPO]])</f>
        <v>FGT999</v>
      </c>
      <c r="Y9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0" s="19"/>
      <c r="AA980" s="29" t="str">
        <f>IFERROR(VLOOKUP(CONCATENATE("B",Tabela1[[#This Row],[BLOCO]],Tabela1[[#This Row],[UO_COD]]),qdd!$AW$2:$AX$1000,2,FALSE),"")</f>
        <v/>
      </c>
      <c r="AB980" s="30" t="str">
        <f>IFERROR(Tabela1[[#This Row],[VALOR]]/100,"")</f>
        <v/>
      </c>
      <c r="AC980" s="7" t="str" cm="1">
        <f t="array" aca="1" ref="AC980" ca="1">IF(Tabela1[[#This Row],[VALOR]]&lt;0,"",IFERROR(SUBSTITUTE(Converter_numero(Tabela1[[#This Row],[VALOR INCISO]]),",",""),""))</f>
        <v/>
      </c>
      <c r="AD980" s="29" t="str">
        <f>IF(Tabela1[[#This Row],[TIPO]]=REGRAS!$W$2,REGRAS!$X$2,IF(Tabela1[[#This Row],[TIPO]]=REGRAS!$W$4,REGRAS!$X$4,""))</f>
        <v/>
      </c>
      <c r="AE980" s="29" t="e">
        <f>VLOOKUP(Tabela1[[#This Row],[FONTE_COD]],REGRAS!$O$2:$P$69,2,FALSE)</f>
        <v>#N/A</v>
      </c>
      <c r="AF9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1" spans="1:32" ht="18.75" customHeight="1">
      <c r="A981" s="2" t="str">
        <f>IFERROR(IF('PREENCHER AQUI'!A981="","",'PREENCHER AQUI'!A981),"")</f>
        <v/>
      </c>
      <c r="B981" s="1" t="str">
        <f>IFERROR(IF('PREENCHER AQUI'!B981="","",PROPER('PREENCHER AQUI'!B981)),"")</f>
        <v/>
      </c>
      <c r="C981" s="1" t="str">
        <f>IFERROR(IF('PREENCHER AQUI'!C981="","",'PREENCHER AQUI'!C981),"")</f>
        <v/>
      </c>
      <c r="D981" s="2" t="str">
        <f>IFERROR(IF('PREENCHER AQUI'!D981="","",'PREENCHER AQUI'!D981),"")</f>
        <v/>
      </c>
      <c r="E981" s="2" t="str">
        <f>IFERROR(VLOOKUP(CONCATENATE(C981,D981),qdd!$C$2:$F$1000,2,FALSE),"")</f>
        <v/>
      </c>
      <c r="F981" s="2" t="str">
        <f>IFERROR(VLOOKUP(CONCATENATE(C981,D981),qdd!$C$2:$F$1000,3,FALSE),"")</f>
        <v/>
      </c>
      <c r="G981" s="2" t="str">
        <f>IFERROR(VLOOKUP(CONCATENATE(C981,D981),qdd!$C$2:$F$1000,4,FALSE),"")</f>
        <v/>
      </c>
      <c r="H981" s="6" t="str">
        <f t="shared" si="32"/>
        <v/>
      </c>
      <c r="I9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1" s="2" t="str">
        <f>IFERROR(IF('PREENCHER AQUI'!E981="","",'PREENCHER AQUI'!E981),"")</f>
        <v/>
      </c>
      <c r="K981" s="2" t="str">
        <f>IFERROR(IF('PREENCHER AQUI'!F981="","",'PREENCHER AQUI'!F981),"")</f>
        <v/>
      </c>
      <c r="L981" s="2" t="str">
        <f>IF(Tabela1[[#This Row],[IPU_COD]]=9,"91",IF(Tabela1[[#This Row],[ACAO_COD]]="","",VLOOKUP(CONCATENATE("G",J981,"M",K981),qdd!$BC$2:$BD$46,2,FALSE)))</f>
        <v/>
      </c>
      <c r="M981" s="2" t="str">
        <f>TEXT(IFERROR(VLOOKUP(CONCATENATE(C981,D981),qdd!$C$2:$G$1000,5,FALSE),""),0)</f>
        <v/>
      </c>
      <c r="N981" s="2" t="str">
        <f>IFERROR(IF('PREENCHER AQUI'!I981="","",'PREENCHER AQUI'!I981),"")</f>
        <v/>
      </c>
      <c r="O981" s="2" t="str">
        <f>IFERROR(IF('PREENCHER AQUI'!J981="","",'PREENCHER AQUI'!J981),"")</f>
        <v/>
      </c>
      <c r="P981" s="7" t="str">
        <f t="shared" si="33"/>
        <v/>
      </c>
      <c r="Q981" s="8" t="str">
        <f>IFERROR(IF(Tabela4[[#This Row],[VALOR]]="","",IF(Tabela1[[#This Row],[ORIENTACAO]]="Anular",'PREENCHER AQUI'!K981*-1*100,'PREENCHER AQUI'!K981*100)),"")</f>
        <v/>
      </c>
      <c r="T981" s="7" t="str">
        <f>IFERROR(IF('PREENCHER AQUI'!L981="","999",LEFT('PREENCHER AQUI'!L981,1)),"")</f>
        <v>999</v>
      </c>
      <c r="V981" s="19"/>
      <c r="W981" s="1" t="str">
        <f>IFERROR(VLOOKUP(Tabela1[[#This Row],[UO_COD]],qdd!$AT$1:$AU$102,2,FALSE),"")</f>
        <v/>
      </c>
      <c r="X981" s="1" t="str">
        <f>CONCATENATE("F",Tabela1[[#This Row],[FONTE_COD]],Tabela1[[#This Row],[IPU_COD]],"G",Tabela1[[#This Row],[GRUPO_COD]],"T",Tabela1[[#This Row],[TIPO]])</f>
        <v>FGT999</v>
      </c>
      <c r="Y9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1" s="19"/>
      <c r="AA981" s="29" t="str">
        <f>IFERROR(VLOOKUP(CONCATENATE("B",Tabela1[[#This Row],[BLOCO]],Tabela1[[#This Row],[UO_COD]]),qdd!$AW$2:$AX$1000,2,FALSE),"")</f>
        <v/>
      </c>
      <c r="AB981" s="30" t="str">
        <f>IFERROR(Tabela1[[#This Row],[VALOR]]/100,"")</f>
        <v/>
      </c>
      <c r="AC981" s="7" t="str" cm="1">
        <f t="array" aca="1" ref="AC981" ca="1">IF(Tabela1[[#This Row],[VALOR]]&lt;0,"",IFERROR(SUBSTITUTE(Converter_numero(Tabela1[[#This Row],[VALOR INCISO]]),",",""),""))</f>
        <v/>
      </c>
      <c r="AD981" s="29" t="str">
        <f>IF(Tabela1[[#This Row],[TIPO]]=REGRAS!$W$2,REGRAS!$X$2,IF(Tabela1[[#This Row],[TIPO]]=REGRAS!$W$4,REGRAS!$X$4,""))</f>
        <v/>
      </c>
      <c r="AE981" s="29" t="e">
        <f>VLOOKUP(Tabela1[[#This Row],[FONTE_COD]],REGRAS!$O$2:$P$69,2,FALSE)</f>
        <v>#N/A</v>
      </c>
      <c r="AF9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2" spans="1:32" ht="18.75" customHeight="1">
      <c r="A982" s="2" t="str">
        <f>IFERROR(IF('PREENCHER AQUI'!A982="","",'PREENCHER AQUI'!A982),"")</f>
        <v/>
      </c>
      <c r="B982" s="1" t="str">
        <f>IFERROR(IF('PREENCHER AQUI'!B982="","",PROPER('PREENCHER AQUI'!B982)),"")</f>
        <v/>
      </c>
      <c r="C982" s="1" t="str">
        <f>IFERROR(IF('PREENCHER AQUI'!C982="","",'PREENCHER AQUI'!C982),"")</f>
        <v/>
      </c>
      <c r="D982" s="2" t="str">
        <f>IFERROR(IF('PREENCHER AQUI'!D982="","",'PREENCHER AQUI'!D982),"")</f>
        <v/>
      </c>
      <c r="E982" s="2" t="str">
        <f>IFERROR(VLOOKUP(CONCATENATE(C982,D982),qdd!$C$2:$F$1000,2,FALSE),"")</f>
        <v/>
      </c>
      <c r="F982" s="2" t="str">
        <f>IFERROR(VLOOKUP(CONCATENATE(C982,D982),qdd!$C$2:$F$1000,3,FALSE),"")</f>
        <v/>
      </c>
      <c r="G982" s="2" t="str">
        <f>IFERROR(VLOOKUP(CONCATENATE(C982,D982),qdd!$C$2:$F$1000,4,FALSE),"")</f>
        <v/>
      </c>
      <c r="H982" s="6" t="str">
        <f t="shared" si="32"/>
        <v/>
      </c>
      <c r="I9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2" s="2" t="str">
        <f>IFERROR(IF('PREENCHER AQUI'!E982="","",'PREENCHER AQUI'!E982),"")</f>
        <v/>
      </c>
      <c r="K982" s="2" t="str">
        <f>IFERROR(IF('PREENCHER AQUI'!F982="","",'PREENCHER AQUI'!F982),"")</f>
        <v/>
      </c>
      <c r="L982" s="2" t="str">
        <f>IF(Tabela1[[#This Row],[IPU_COD]]=9,"91",IF(Tabela1[[#This Row],[ACAO_COD]]="","",VLOOKUP(CONCATENATE("G",J982,"M",K982),qdd!$BC$2:$BD$46,2,FALSE)))</f>
        <v/>
      </c>
      <c r="M982" s="2" t="str">
        <f>TEXT(IFERROR(VLOOKUP(CONCATENATE(C982,D982),qdd!$C$2:$G$1000,5,FALSE),""),0)</f>
        <v/>
      </c>
      <c r="N982" s="2" t="str">
        <f>IFERROR(IF('PREENCHER AQUI'!I982="","",'PREENCHER AQUI'!I982),"")</f>
        <v/>
      </c>
      <c r="O982" s="2" t="str">
        <f>IFERROR(IF('PREENCHER AQUI'!J982="","",'PREENCHER AQUI'!J982),"")</f>
        <v/>
      </c>
      <c r="P982" s="7" t="str">
        <f t="shared" si="33"/>
        <v/>
      </c>
      <c r="Q982" s="8" t="str">
        <f>IFERROR(IF(Tabela4[[#This Row],[VALOR]]="","",IF(Tabela1[[#This Row],[ORIENTACAO]]="Anular",'PREENCHER AQUI'!K982*-1*100,'PREENCHER AQUI'!K982*100)),"")</f>
        <v/>
      </c>
      <c r="T982" s="7" t="str">
        <f>IFERROR(IF('PREENCHER AQUI'!L982="","999",LEFT('PREENCHER AQUI'!L982,1)),"")</f>
        <v>999</v>
      </c>
      <c r="W982" s="1" t="str">
        <f>IFERROR(VLOOKUP(Tabela1[[#This Row],[UO_COD]],qdd!$AT$1:$AU$102,2,FALSE),"")</f>
        <v/>
      </c>
      <c r="X982" s="1" t="str">
        <f>CONCATENATE("F",Tabela1[[#This Row],[FONTE_COD]],Tabela1[[#This Row],[IPU_COD]],"G",Tabela1[[#This Row],[GRUPO_COD]],"T",Tabela1[[#This Row],[TIPO]])</f>
        <v>FGT999</v>
      </c>
      <c r="Y9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2" s="19"/>
      <c r="AA982" s="29" t="str">
        <f>IFERROR(VLOOKUP(CONCATENATE("B",Tabela1[[#This Row],[BLOCO]],Tabela1[[#This Row],[UO_COD]]),qdd!$AW$2:$AX$1000,2,FALSE),"")</f>
        <v/>
      </c>
      <c r="AB982" s="30" t="str">
        <f>IFERROR(Tabela1[[#This Row],[VALOR]]/100,"")</f>
        <v/>
      </c>
      <c r="AC982" s="7" t="str" cm="1">
        <f t="array" aca="1" ref="AC982" ca="1">IF(Tabela1[[#This Row],[VALOR]]&lt;0,"",IFERROR(SUBSTITUTE(Converter_numero(Tabela1[[#This Row],[VALOR INCISO]]),",",""),""))</f>
        <v/>
      </c>
      <c r="AD982" s="7" t="str">
        <f>IF(Tabela1[[#This Row],[TIPO]]=REGRAS!$W$2,REGRAS!$X$2,IF(Tabela1[[#This Row],[TIPO]]=REGRAS!$W$4,REGRAS!$X$4,""))</f>
        <v/>
      </c>
      <c r="AE982" s="29" t="e">
        <f>VLOOKUP(Tabela1[[#This Row],[FONTE_COD]],REGRAS!$O$2:$P$69,2,FALSE)</f>
        <v>#N/A</v>
      </c>
      <c r="AF9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3" spans="1:32" ht="18.75" customHeight="1">
      <c r="A983" s="2" t="str">
        <f>IFERROR(IF('PREENCHER AQUI'!A983="","",'PREENCHER AQUI'!A983),"")</f>
        <v/>
      </c>
      <c r="B983" s="1" t="str">
        <f>IFERROR(IF('PREENCHER AQUI'!B983="","",PROPER('PREENCHER AQUI'!B983)),"")</f>
        <v/>
      </c>
      <c r="C983" s="1" t="str">
        <f>IFERROR(IF('PREENCHER AQUI'!C983="","",'PREENCHER AQUI'!C983),"")</f>
        <v/>
      </c>
      <c r="D983" s="2" t="str">
        <f>IFERROR(IF('PREENCHER AQUI'!D983="","",'PREENCHER AQUI'!D983),"")</f>
        <v/>
      </c>
      <c r="E983" s="2" t="str">
        <f>IFERROR(VLOOKUP(CONCATENATE(C983,D983),qdd!$C$2:$F$1000,2,FALSE),"")</f>
        <v/>
      </c>
      <c r="F983" s="2" t="str">
        <f>IFERROR(VLOOKUP(CONCATENATE(C983,D983),qdd!$C$2:$F$1000,3,FALSE),"")</f>
        <v/>
      </c>
      <c r="G983" s="2" t="str">
        <f>IFERROR(VLOOKUP(CONCATENATE(C983,D983),qdd!$C$2:$F$1000,4,FALSE),"")</f>
        <v/>
      </c>
      <c r="H983" s="6" t="str">
        <f t="shared" si="32"/>
        <v/>
      </c>
      <c r="I9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3" s="2" t="str">
        <f>IFERROR(IF('PREENCHER AQUI'!E983="","",'PREENCHER AQUI'!E983),"")</f>
        <v/>
      </c>
      <c r="K983" s="2" t="str">
        <f>IFERROR(IF('PREENCHER AQUI'!F983="","",'PREENCHER AQUI'!F983),"")</f>
        <v/>
      </c>
      <c r="L983" s="2" t="str">
        <f>IF(Tabela1[[#This Row],[IPU_COD]]=9,"91",IF(Tabela1[[#This Row],[ACAO_COD]]="","",VLOOKUP(CONCATENATE("G",J983,"M",K983),qdd!$BC$2:$BD$46,2,FALSE)))</f>
        <v/>
      </c>
      <c r="M983" s="2" t="str">
        <f>TEXT(IFERROR(VLOOKUP(CONCATENATE(C983,D983),qdd!$C$2:$G$1000,5,FALSE),""),0)</f>
        <v/>
      </c>
      <c r="N983" s="2" t="str">
        <f>IFERROR(IF('PREENCHER AQUI'!I983="","",'PREENCHER AQUI'!I983),"")</f>
        <v/>
      </c>
      <c r="O983" s="2" t="str">
        <f>IFERROR(IF('PREENCHER AQUI'!J983="","",'PREENCHER AQUI'!J983),"")</f>
        <v/>
      </c>
      <c r="P983" s="7" t="str">
        <f t="shared" si="33"/>
        <v/>
      </c>
      <c r="Q983" s="8" t="str">
        <f>IFERROR(IF(Tabela4[[#This Row],[VALOR]]="","",IF(Tabela1[[#This Row],[ORIENTACAO]]="Anular",'PREENCHER AQUI'!K983*-1*100,'PREENCHER AQUI'!K983*100)),"")</f>
        <v/>
      </c>
      <c r="T983" s="7" t="str">
        <f>IFERROR(IF('PREENCHER AQUI'!L983="","999",LEFT('PREENCHER AQUI'!L983,1)),"")</f>
        <v>999</v>
      </c>
      <c r="V983" s="19"/>
      <c r="W983" s="1" t="str">
        <f>IFERROR(VLOOKUP(Tabela1[[#This Row],[UO_COD]],qdd!$AT$1:$AU$102,2,FALSE),"")</f>
        <v/>
      </c>
      <c r="X983" s="1" t="str">
        <f>CONCATENATE("F",Tabela1[[#This Row],[FONTE_COD]],Tabela1[[#This Row],[IPU_COD]],"G",Tabela1[[#This Row],[GRUPO_COD]],"T",Tabela1[[#This Row],[TIPO]])</f>
        <v>FGT999</v>
      </c>
      <c r="Y9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3" s="19"/>
      <c r="AA983" s="29" t="str">
        <f>IFERROR(VLOOKUP(CONCATENATE("B",Tabela1[[#This Row],[BLOCO]],Tabela1[[#This Row],[UO_COD]]),qdd!$AW$2:$AX$1000,2,FALSE),"")</f>
        <v/>
      </c>
      <c r="AB983" s="30" t="str">
        <f>IFERROR(Tabela1[[#This Row],[VALOR]]/100,"")</f>
        <v/>
      </c>
      <c r="AC983" s="7" t="str" cm="1">
        <f t="array" aca="1" ref="AC983" ca="1">IF(Tabela1[[#This Row],[VALOR]]&lt;0,"",IFERROR(SUBSTITUTE(Converter_numero(Tabela1[[#This Row],[VALOR INCISO]]),",",""),""))</f>
        <v/>
      </c>
      <c r="AD983" s="29" t="str">
        <f>IF(Tabela1[[#This Row],[TIPO]]=REGRAS!$W$2,REGRAS!$X$2,IF(Tabela1[[#This Row],[TIPO]]=REGRAS!$W$4,REGRAS!$X$4,""))</f>
        <v/>
      </c>
      <c r="AE983" s="29" t="e">
        <f>VLOOKUP(Tabela1[[#This Row],[FONTE_COD]],REGRAS!$O$2:$P$69,2,FALSE)</f>
        <v>#N/A</v>
      </c>
      <c r="AF9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4" spans="1:32" ht="18.75" customHeight="1">
      <c r="A984" s="2" t="str">
        <f>IFERROR(IF('PREENCHER AQUI'!A984="","",'PREENCHER AQUI'!A984),"")</f>
        <v/>
      </c>
      <c r="B984" s="1" t="str">
        <f>IFERROR(IF('PREENCHER AQUI'!B984="","",PROPER('PREENCHER AQUI'!B984)),"")</f>
        <v/>
      </c>
      <c r="C984" s="1" t="str">
        <f>IFERROR(IF('PREENCHER AQUI'!C984="","",'PREENCHER AQUI'!C984),"")</f>
        <v/>
      </c>
      <c r="D984" s="2" t="str">
        <f>IFERROR(IF('PREENCHER AQUI'!D984="","",'PREENCHER AQUI'!D984),"")</f>
        <v/>
      </c>
      <c r="E984" s="2" t="str">
        <f>IFERROR(VLOOKUP(CONCATENATE(C984,D984),qdd!$C$2:$F$1000,2,FALSE),"")</f>
        <v/>
      </c>
      <c r="F984" s="2" t="str">
        <f>IFERROR(VLOOKUP(CONCATENATE(C984,D984),qdd!$C$2:$F$1000,3,FALSE),"")</f>
        <v/>
      </c>
      <c r="G984" s="2" t="str">
        <f>IFERROR(VLOOKUP(CONCATENATE(C984,D984),qdd!$C$2:$F$1000,4,FALSE),"")</f>
        <v/>
      </c>
      <c r="H984" s="6" t="str">
        <f t="shared" si="32"/>
        <v/>
      </c>
      <c r="I9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4" s="2" t="str">
        <f>IFERROR(IF('PREENCHER AQUI'!E984="","",'PREENCHER AQUI'!E984),"")</f>
        <v/>
      </c>
      <c r="K984" s="2" t="str">
        <f>IFERROR(IF('PREENCHER AQUI'!F984="","",'PREENCHER AQUI'!F984),"")</f>
        <v/>
      </c>
      <c r="L984" s="2" t="str">
        <f>IF(Tabela1[[#This Row],[IPU_COD]]=9,"91",IF(Tabela1[[#This Row],[ACAO_COD]]="","",VLOOKUP(CONCATENATE("G",J984,"M",K984),qdd!$BC$2:$BD$46,2,FALSE)))</f>
        <v/>
      </c>
      <c r="M984" s="2" t="str">
        <f>TEXT(IFERROR(VLOOKUP(CONCATENATE(C984,D984),qdd!$C$2:$G$1000,5,FALSE),""),0)</f>
        <v/>
      </c>
      <c r="N984" s="2" t="str">
        <f>IFERROR(IF('PREENCHER AQUI'!I984="","",'PREENCHER AQUI'!I984),"")</f>
        <v/>
      </c>
      <c r="O984" s="2" t="str">
        <f>IFERROR(IF('PREENCHER AQUI'!J984="","",'PREENCHER AQUI'!J984),"")</f>
        <v/>
      </c>
      <c r="P984" s="7" t="str">
        <f t="shared" si="33"/>
        <v/>
      </c>
      <c r="Q984" s="8" t="str">
        <f>IFERROR(IF(Tabela4[[#This Row],[VALOR]]="","",IF(Tabela1[[#This Row],[ORIENTACAO]]="Anular",'PREENCHER AQUI'!K984*-1*100,'PREENCHER AQUI'!K984*100)),"")</f>
        <v/>
      </c>
      <c r="T984" s="7" t="str">
        <f>IFERROR(IF('PREENCHER AQUI'!L984="","999",LEFT('PREENCHER AQUI'!L984,1)),"")</f>
        <v>999</v>
      </c>
      <c r="V984" s="19"/>
      <c r="W984" s="1" t="str">
        <f>IFERROR(VLOOKUP(Tabela1[[#This Row],[UO_COD]],qdd!$AT$1:$AU$102,2,FALSE),"")</f>
        <v/>
      </c>
      <c r="X984" s="1" t="str">
        <f>CONCATENATE("F",Tabela1[[#This Row],[FONTE_COD]],Tabela1[[#This Row],[IPU_COD]],"G",Tabela1[[#This Row],[GRUPO_COD]],"T",Tabela1[[#This Row],[TIPO]])</f>
        <v>FGT999</v>
      </c>
      <c r="Y9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4" s="19"/>
      <c r="AA984" s="29" t="str">
        <f>IFERROR(VLOOKUP(CONCATENATE("B",Tabela1[[#This Row],[BLOCO]],Tabela1[[#This Row],[UO_COD]]),qdd!$AW$2:$AX$1000,2,FALSE),"")</f>
        <v/>
      </c>
      <c r="AB984" s="30" t="str">
        <f>IFERROR(Tabela1[[#This Row],[VALOR]]/100,"")</f>
        <v/>
      </c>
      <c r="AC984" s="7" t="str" cm="1">
        <f t="array" aca="1" ref="AC984" ca="1">IF(Tabela1[[#This Row],[VALOR]]&lt;0,"",IFERROR(SUBSTITUTE(Converter_numero(Tabela1[[#This Row],[VALOR INCISO]]),",",""),""))</f>
        <v/>
      </c>
      <c r="AD984" s="29" t="str">
        <f>IF(Tabela1[[#This Row],[TIPO]]=REGRAS!$W$2,REGRAS!$X$2,IF(Tabela1[[#This Row],[TIPO]]=REGRAS!$W$4,REGRAS!$X$4,""))</f>
        <v/>
      </c>
      <c r="AE984" s="29" t="e">
        <f>VLOOKUP(Tabela1[[#This Row],[FONTE_COD]],REGRAS!$O$2:$P$69,2,FALSE)</f>
        <v>#N/A</v>
      </c>
      <c r="AF9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5" spans="1:32" ht="18.75" customHeight="1">
      <c r="A985" s="2" t="str">
        <f>IFERROR(IF('PREENCHER AQUI'!A985="","",'PREENCHER AQUI'!A985),"")</f>
        <v/>
      </c>
      <c r="B985" s="1" t="str">
        <f>IFERROR(IF('PREENCHER AQUI'!B985="","",PROPER('PREENCHER AQUI'!B985)),"")</f>
        <v/>
      </c>
      <c r="C985" s="1" t="str">
        <f>IFERROR(IF('PREENCHER AQUI'!C985="","",'PREENCHER AQUI'!C985),"")</f>
        <v/>
      </c>
      <c r="D985" s="2" t="str">
        <f>IFERROR(IF('PREENCHER AQUI'!D985="","",'PREENCHER AQUI'!D985),"")</f>
        <v/>
      </c>
      <c r="E985" s="2" t="str">
        <f>IFERROR(VLOOKUP(CONCATENATE(C985,D985),qdd!$C$2:$F$1000,2,FALSE),"")</f>
        <v/>
      </c>
      <c r="F985" s="2" t="str">
        <f>IFERROR(VLOOKUP(CONCATENATE(C985,D985),qdd!$C$2:$F$1000,3,FALSE),"")</f>
        <v/>
      </c>
      <c r="G985" s="2" t="str">
        <f>IFERROR(VLOOKUP(CONCATENATE(C985,D985),qdd!$C$2:$F$1000,4,FALSE),"")</f>
        <v/>
      </c>
      <c r="H985" s="6" t="str">
        <f t="shared" si="32"/>
        <v/>
      </c>
      <c r="I9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5" s="2" t="str">
        <f>IFERROR(IF('PREENCHER AQUI'!E985="","",'PREENCHER AQUI'!E985),"")</f>
        <v/>
      </c>
      <c r="K985" s="2" t="str">
        <f>IFERROR(IF('PREENCHER AQUI'!F985="","",'PREENCHER AQUI'!F985),"")</f>
        <v/>
      </c>
      <c r="L985" s="2" t="str">
        <f>IF(Tabela1[[#This Row],[IPU_COD]]=9,"91",IF(Tabela1[[#This Row],[ACAO_COD]]="","",VLOOKUP(CONCATENATE("G",J985,"M",K985),qdd!$BC$2:$BD$46,2,FALSE)))</f>
        <v/>
      </c>
      <c r="M985" s="2" t="str">
        <f>TEXT(IFERROR(VLOOKUP(CONCATENATE(C985,D985),qdd!$C$2:$G$1000,5,FALSE),""),0)</f>
        <v/>
      </c>
      <c r="N985" s="2" t="str">
        <f>IFERROR(IF('PREENCHER AQUI'!I985="","",'PREENCHER AQUI'!I985),"")</f>
        <v/>
      </c>
      <c r="O985" s="2" t="str">
        <f>IFERROR(IF('PREENCHER AQUI'!J985="","",'PREENCHER AQUI'!J985),"")</f>
        <v/>
      </c>
      <c r="P985" s="7" t="str">
        <f t="shared" si="33"/>
        <v/>
      </c>
      <c r="Q985" s="8" t="str">
        <f>IFERROR(IF(Tabela4[[#This Row],[VALOR]]="","",IF(Tabela1[[#This Row],[ORIENTACAO]]="Anular",'PREENCHER AQUI'!K985*-1*100,'PREENCHER AQUI'!K985*100)),"")</f>
        <v/>
      </c>
      <c r="T985" s="7" t="str">
        <f>IFERROR(IF('PREENCHER AQUI'!L985="","999",LEFT('PREENCHER AQUI'!L985,1)),"")</f>
        <v>999</v>
      </c>
      <c r="V985" s="19"/>
      <c r="W985" s="20" t="str">
        <f>IFERROR(VLOOKUP(Tabela1[[#This Row],[UO_COD]],qdd!$AT$1:$AU$102,2,FALSE),"")</f>
        <v/>
      </c>
      <c r="X985" s="20" t="str">
        <f>CONCATENATE("F",Tabela1[[#This Row],[FONTE_COD]],Tabela1[[#This Row],[IPU_COD]],"G",Tabela1[[#This Row],[GRUPO_COD]],"T",Tabela1[[#This Row],[TIPO]])</f>
        <v>FGT999</v>
      </c>
      <c r="Y9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5" s="19"/>
      <c r="AA985" s="29" t="str">
        <f>IFERROR(VLOOKUP(CONCATENATE("B",Tabela1[[#This Row],[BLOCO]],Tabela1[[#This Row],[UO_COD]]),qdd!$AW$2:$AX$1000,2,FALSE),"")</f>
        <v/>
      </c>
      <c r="AB985" s="30" t="str">
        <f>IFERROR(Tabela1[[#This Row],[VALOR]]/100,"")</f>
        <v/>
      </c>
      <c r="AC985" s="7" t="str" cm="1">
        <f t="array" aca="1" ref="AC985" ca="1">IF(Tabela1[[#This Row],[VALOR]]&lt;0,"",IFERROR(SUBSTITUTE(Converter_numero(Tabela1[[#This Row],[VALOR INCISO]]),",",""),""))</f>
        <v/>
      </c>
      <c r="AD985" s="29" t="str">
        <f>IF(Tabela1[[#This Row],[TIPO]]=REGRAS!$W$2,REGRAS!$X$2,IF(Tabela1[[#This Row],[TIPO]]=REGRAS!$W$4,REGRAS!$X$4,""))</f>
        <v/>
      </c>
      <c r="AE985" s="29" t="e">
        <f>VLOOKUP(Tabela1[[#This Row],[FONTE_COD]],REGRAS!$O$2:$P$69,2,FALSE)</f>
        <v>#N/A</v>
      </c>
      <c r="AF9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6" spans="1:32" ht="18.75" customHeight="1">
      <c r="A986" s="2" t="str">
        <f>IFERROR(IF('PREENCHER AQUI'!A986="","",'PREENCHER AQUI'!A986),"")</f>
        <v/>
      </c>
      <c r="B986" s="1" t="str">
        <f>IFERROR(IF('PREENCHER AQUI'!B986="","",PROPER('PREENCHER AQUI'!B986)),"")</f>
        <v/>
      </c>
      <c r="C986" s="1" t="str">
        <f>IFERROR(IF('PREENCHER AQUI'!C986="","",'PREENCHER AQUI'!C986),"")</f>
        <v/>
      </c>
      <c r="D986" s="2" t="str">
        <f>IFERROR(IF('PREENCHER AQUI'!D986="","",'PREENCHER AQUI'!D986),"")</f>
        <v/>
      </c>
      <c r="E986" s="2" t="str">
        <f>IFERROR(VLOOKUP(CONCATENATE(C986,D986),qdd!$C$2:$F$1000,2,FALSE),"")</f>
        <v/>
      </c>
      <c r="F986" s="2" t="str">
        <f>IFERROR(VLOOKUP(CONCATENATE(C986,D986),qdd!$C$2:$F$1000,3,FALSE),"")</f>
        <v/>
      </c>
      <c r="G986" s="2" t="str">
        <f>IFERROR(VLOOKUP(CONCATENATE(C986,D986),qdd!$C$2:$F$1000,4,FALSE),"")</f>
        <v/>
      </c>
      <c r="H986" s="6" t="str">
        <f t="shared" si="32"/>
        <v/>
      </c>
      <c r="I9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6" s="2" t="str">
        <f>IFERROR(IF('PREENCHER AQUI'!E986="","",'PREENCHER AQUI'!E986),"")</f>
        <v/>
      </c>
      <c r="K986" s="2" t="str">
        <f>IFERROR(IF('PREENCHER AQUI'!F986="","",'PREENCHER AQUI'!F986),"")</f>
        <v/>
      </c>
      <c r="L986" s="2" t="str">
        <f>IF(Tabela1[[#This Row],[IPU_COD]]=9,"91",IF(Tabela1[[#This Row],[ACAO_COD]]="","",VLOOKUP(CONCATENATE("G",J986,"M",K986),qdd!$BC$2:$BD$46,2,FALSE)))</f>
        <v/>
      </c>
      <c r="M986" s="2" t="str">
        <f>TEXT(IFERROR(VLOOKUP(CONCATENATE(C986,D986),qdd!$C$2:$G$1000,5,FALSE),""),0)</f>
        <v/>
      </c>
      <c r="N986" s="2" t="str">
        <f>IFERROR(IF('PREENCHER AQUI'!I986="","",'PREENCHER AQUI'!I986),"")</f>
        <v/>
      </c>
      <c r="O986" s="2" t="str">
        <f>IFERROR(IF('PREENCHER AQUI'!J986="","",'PREENCHER AQUI'!J986),"")</f>
        <v/>
      </c>
      <c r="P986" s="7" t="str">
        <f t="shared" si="33"/>
        <v/>
      </c>
      <c r="Q986" s="8" t="str">
        <f>IFERROR(IF(Tabela4[[#This Row],[VALOR]]="","",IF(Tabela1[[#This Row],[ORIENTACAO]]="Anular",'PREENCHER AQUI'!K986*-1*100,'PREENCHER AQUI'!K986*100)),"")</f>
        <v/>
      </c>
      <c r="T986" s="7" t="str">
        <f>IFERROR(IF('PREENCHER AQUI'!L986="","999",LEFT('PREENCHER AQUI'!L986,1)),"")</f>
        <v>999</v>
      </c>
      <c r="V986" s="19"/>
      <c r="W986" s="1" t="str">
        <f>IFERROR(VLOOKUP(Tabela1[[#This Row],[UO_COD]],qdd!$AT$1:$AU$102,2,FALSE),"")</f>
        <v/>
      </c>
      <c r="X986" s="1" t="str">
        <f>CONCATENATE("F",Tabela1[[#This Row],[FONTE_COD]],Tabela1[[#This Row],[IPU_COD]],"G",Tabela1[[#This Row],[GRUPO_COD]],"T",Tabela1[[#This Row],[TIPO]])</f>
        <v>FGT999</v>
      </c>
      <c r="Y9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6" s="19"/>
      <c r="AA986" s="29" t="str">
        <f>IFERROR(VLOOKUP(CONCATENATE("B",Tabela1[[#This Row],[BLOCO]],Tabela1[[#This Row],[UO_COD]]),qdd!$AW$2:$AX$1000,2,FALSE),"")</f>
        <v/>
      </c>
      <c r="AB986" s="30" t="str">
        <f>IFERROR(Tabela1[[#This Row],[VALOR]]/100,"")</f>
        <v/>
      </c>
      <c r="AC986" s="7" t="str" cm="1">
        <f t="array" aca="1" ref="AC986" ca="1">IF(Tabela1[[#This Row],[VALOR]]&lt;0,"",IFERROR(SUBSTITUTE(Converter_numero(Tabela1[[#This Row],[VALOR INCISO]]),",",""),""))</f>
        <v/>
      </c>
      <c r="AD986" s="29" t="str">
        <f>IF(Tabela1[[#This Row],[TIPO]]=REGRAS!$W$2,REGRAS!$X$2,IF(Tabela1[[#This Row],[TIPO]]=REGRAS!$W$4,REGRAS!$X$4,""))</f>
        <v/>
      </c>
      <c r="AE986" s="29" t="e">
        <f>VLOOKUP(Tabela1[[#This Row],[FONTE_COD]],REGRAS!$O$2:$P$69,2,FALSE)</f>
        <v>#N/A</v>
      </c>
      <c r="AF9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7" spans="1:32" ht="18.75" customHeight="1">
      <c r="A987" s="2" t="str">
        <f>IFERROR(IF('PREENCHER AQUI'!A987="","",'PREENCHER AQUI'!A987),"")</f>
        <v/>
      </c>
      <c r="B987" s="1" t="str">
        <f>IFERROR(IF('PREENCHER AQUI'!B987="","",PROPER('PREENCHER AQUI'!B987)),"")</f>
        <v/>
      </c>
      <c r="C987" s="1" t="str">
        <f>IFERROR(IF('PREENCHER AQUI'!C987="","",'PREENCHER AQUI'!C987),"")</f>
        <v/>
      </c>
      <c r="D987" s="2" t="str">
        <f>IFERROR(IF('PREENCHER AQUI'!D987="","",'PREENCHER AQUI'!D987),"")</f>
        <v/>
      </c>
      <c r="E987" s="2" t="str">
        <f>IFERROR(VLOOKUP(CONCATENATE(C987,D987),qdd!$C$2:$F$1000,2,FALSE),"")</f>
        <v/>
      </c>
      <c r="F987" s="2" t="str">
        <f>IFERROR(VLOOKUP(CONCATENATE(C987,D987),qdd!$C$2:$F$1000,3,FALSE),"")</f>
        <v/>
      </c>
      <c r="G987" s="2" t="str">
        <f>IFERROR(VLOOKUP(CONCATENATE(C987,D987),qdd!$C$2:$F$1000,4,FALSE),"")</f>
        <v/>
      </c>
      <c r="H987" s="6" t="str">
        <f t="shared" si="32"/>
        <v/>
      </c>
      <c r="I9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7" s="2" t="str">
        <f>IFERROR(IF('PREENCHER AQUI'!E987="","",'PREENCHER AQUI'!E987),"")</f>
        <v/>
      </c>
      <c r="K987" s="2" t="str">
        <f>IFERROR(IF('PREENCHER AQUI'!F987="","",'PREENCHER AQUI'!F987),"")</f>
        <v/>
      </c>
      <c r="L987" s="2" t="str">
        <f>IF(Tabela1[[#This Row],[IPU_COD]]=9,"91",IF(Tabela1[[#This Row],[ACAO_COD]]="","",VLOOKUP(CONCATENATE("G",J987,"M",K987),qdd!$BC$2:$BD$46,2,FALSE)))</f>
        <v/>
      </c>
      <c r="M987" s="2" t="str">
        <f>TEXT(IFERROR(VLOOKUP(CONCATENATE(C987,D987),qdd!$C$2:$G$1000,5,FALSE),""),0)</f>
        <v/>
      </c>
      <c r="N987" s="2" t="str">
        <f>IFERROR(IF('PREENCHER AQUI'!I987="","",'PREENCHER AQUI'!I987),"")</f>
        <v/>
      </c>
      <c r="O987" s="2" t="str">
        <f>IFERROR(IF('PREENCHER AQUI'!J987="","",'PREENCHER AQUI'!J987),"")</f>
        <v/>
      </c>
      <c r="P987" s="7" t="str">
        <f t="shared" si="33"/>
        <v/>
      </c>
      <c r="Q987" s="8" t="str">
        <f>IFERROR(IF(Tabela4[[#This Row],[VALOR]]="","",IF(Tabela1[[#This Row],[ORIENTACAO]]="Anular",'PREENCHER AQUI'!K987*-1*100,'PREENCHER AQUI'!K987*100)),"")</f>
        <v/>
      </c>
      <c r="T987" s="7" t="str">
        <f>IFERROR(IF('PREENCHER AQUI'!L987="","999",LEFT('PREENCHER AQUI'!L987,1)),"")</f>
        <v>999</v>
      </c>
      <c r="W987" s="1" t="str">
        <f>IFERROR(VLOOKUP(Tabela1[[#This Row],[UO_COD]],qdd!$AT$1:$AU$102,2,FALSE),"")</f>
        <v/>
      </c>
      <c r="X987" s="1" t="str">
        <f>CONCATENATE("F",Tabela1[[#This Row],[FONTE_COD]],Tabela1[[#This Row],[IPU_COD]],"G",Tabela1[[#This Row],[GRUPO_COD]],"T",Tabela1[[#This Row],[TIPO]])</f>
        <v>FGT999</v>
      </c>
      <c r="Y9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7" s="19"/>
      <c r="AA987" s="29" t="str">
        <f>IFERROR(VLOOKUP(CONCATENATE("B",Tabela1[[#This Row],[BLOCO]],Tabela1[[#This Row],[UO_COD]]),qdd!$AW$2:$AX$1000,2,FALSE),"")</f>
        <v/>
      </c>
      <c r="AB987" s="30" t="str">
        <f>IFERROR(Tabela1[[#This Row],[VALOR]]/100,"")</f>
        <v/>
      </c>
      <c r="AC987" s="7" t="str" cm="1">
        <f t="array" aca="1" ref="AC987" ca="1">IF(Tabela1[[#This Row],[VALOR]]&lt;0,"",IFERROR(SUBSTITUTE(Converter_numero(Tabela1[[#This Row],[VALOR INCISO]]),",",""),""))</f>
        <v/>
      </c>
      <c r="AD987" s="7" t="str">
        <f>IF(Tabela1[[#This Row],[TIPO]]=REGRAS!$W$2,REGRAS!$X$2,IF(Tabela1[[#This Row],[TIPO]]=REGRAS!$W$4,REGRAS!$X$4,""))</f>
        <v/>
      </c>
      <c r="AE987" s="29" t="e">
        <f>VLOOKUP(Tabela1[[#This Row],[FONTE_COD]],REGRAS!$O$2:$P$69,2,FALSE)</f>
        <v>#N/A</v>
      </c>
      <c r="AF9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8" spans="1:32" ht="18.75" customHeight="1">
      <c r="A988" s="2" t="str">
        <f>IFERROR(IF('PREENCHER AQUI'!A988="","",'PREENCHER AQUI'!A988),"")</f>
        <v/>
      </c>
      <c r="B988" s="1" t="str">
        <f>IFERROR(IF('PREENCHER AQUI'!B988="","",PROPER('PREENCHER AQUI'!B988)),"")</f>
        <v/>
      </c>
      <c r="C988" s="1" t="str">
        <f>IFERROR(IF('PREENCHER AQUI'!C988="","",'PREENCHER AQUI'!C988),"")</f>
        <v/>
      </c>
      <c r="D988" s="2" t="str">
        <f>IFERROR(IF('PREENCHER AQUI'!D988="","",'PREENCHER AQUI'!D988),"")</f>
        <v/>
      </c>
      <c r="E988" s="2" t="str">
        <f>IFERROR(VLOOKUP(CONCATENATE(C988,D988),qdd!$C$2:$F$1000,2,FALSE),"")</f>
        <v/>
      </c>
      <c r="F988" s="2" t="str">
        <f>IFERROR(VLOOKUP(CONCATENATE(C988,D988),qdd!$C$2:$F$1000,3,FALSE),"")</f>
        <v/>
      </c>
      <c r="G988" s="2" t="str">
        <f>IFERROR(VLOOKUP(CONCATENATE(C988,D988),qdd!$C$2:$F$1000,4,FALSE),"")</f>
        <v/>
      </c>
      <c r="H988" s="6" t="str">
        <f t="shared" si="32"/>
        <v/>
      </c>
      <c r="I9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8" s="2" t="str">
        <f>IFERROR(IF('PREENCHER AQUI'!E988="","",'PREENCHER AQUI'!E988),"")</f>
        <v/>
      </c>
      <c r="K988" s="2" t="str">
        <f>IFERROR(IF('PREENCHER AQUI'!F988="","",'PREENCHER AQUI'!F988),"")</f>
        <v/>
      </c>
      <c r="L988" s="2" t="str">
        <f>IF(Tabela1[[#This Row],[IPU_COD]]=9,"91",IF(Tabela1[[#This Row],[ACAO_COD]]="","",VLOOKUP(CONCATENATE("G",J988,"M",K988),qdd!$BC$2:$BD$46,2,FALSE)))</f>
        <v/>
      </c>
      <c r="M988" s="2" t="str">
        <f>TEXT(IFERROR(VLOOKUP(CONCATENATE(C988,D988),qdd!$C$2:$G$1000,5,FALSE),""),0)</f>
        <v/>
      </c>
      <c r="N988" s="2" t="str">
        <f>IFERROR(IF('PREENCHER AQUI'!I988="","",'PREENCHER AQUI'!I988),"")</f>
        <v/>
      </c>
      <c r="O988" s="2" t="str">
        <f>IFERROR(IF('PREENCHER AQUI'!J988="","",'PREENCHER AQUI'!J988),"")</f>
        <v/>
      </c>
      <c r="P988" s="7" t="str">
        <f t="shared" si="33"/>
        <v/>
      </c>
      <c r="Q988" s="8" t="str">
        <f>IFERROR(IF(Tabela4[[#This Row],[VALOR]]="","",IF(Tabela1[[#This Row],[ORIENTACAO]]="Anular",'PREENCHER AQUI'!K988*-1*100,'PREENCHER AQUI'!K988*100)),"")</f>
        <v/>
      </c>
      <c r="T988" s="7" t="str">
        <f>IFERROR(IF('PREENCHER AQUI'!L988="","999",LEFT('PREENCHER AQUI'!L988,1)),"")</f>
        <v>999</v>
      </c>
      <c r="V988" s="19"/>
      <c r="W988" s="1" t="str">
        <f>IFERROR(VLOOKUP(Tabela1[[#This Row],[UO_COD]],qdd!$AT$1:$AU$102,2,FALSE),"")</f>
        <v/>
      </c>
      <c r="X988" s="1" t="str">
        <f>CONCATENATE("F",Tabela1[[#This Row],[FONTE_COD]],Tabela1[[#This Row],[IPU_COD]],"G",Tabela1[[#This Row],[GRUPO_COD]],"T",Tabela1[[#This Row],[TIPO]])</f>
        <v>FGT999</v>
      </c>
      <c r="Y9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8" s="19"/>
      <c r="AA988" s="29" t="str">
        <f>IFERROR(VLOOKUP(CONCATENATE("B",Tabela1[[#This Row],[BLOCO]],Tabela1[[#This Row],[UO_COD]]),qdd!$AW$2:$AX$1000,2,FALSE),"")</f>
        <v/>
      </c>
      <c r="AB988" s="30" t="str">
        <f>IFERROR(Tabela1[[#This Row],[VALOR]]/100,"")</f>
        <v/>
      </c>
      <c r="AC988" s="7" t="str" cm="1">
        <f t="array" aca="1" ref="AC988" ca="1">IF(Tabela1[[#This Row],[VALOR]]&lt;0,"",IFERROR(SUBSTITUTE(Converter_numero(Tabela1[[#This Row],[VALOR INCISO]]),",",""),""))</f>
        <v/>
      </c>
      <c r="AD988" s="29" t="str">
        <f>IF(Tabela1[[#This Row],[TIPO]]=REGRAS!$W$2,REGRAS!$X$2,IF(Tabela1[[#This Row],[TIPO]]=REGRAS!$W$4,REGRAS!$X$4,""))</f>
        <v/>
      </c>
      <c r="AE988" s="29" t="e">
        <f>VLOOKUP(Tabela1[[#This Row],[FONTE_COD]],REGRAS!$O$2:$P$69,2,FALSE)</f>
        <v>#N/A</v>
      </c>
      <c r="AF9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9" spans="1:32" ht="18.75" customHeight="1">
      <c r="A989" s="2" t="str">
        <f>IFERROR(IF('PREENCHER AQUI'!A989="","",'PREENCHER AQUI'!A989),"")</f>
        <v/>
      </c>
      <c r="B989" s="1" t="str">
        <f>IFERROR(IF('PREENCHER AQUI'!B989="","",PROPER('PREENCHER AQUI'!B989)),"")</f>
        <v/>
      </c>
      <c r="C989" s="1" t="str">
        <f>IFERROR(IF('PREENCHER AQUI'!C989="","",'PREENCHER AQUI'!C989),"")</f>
        <v/>
      </c>
      <c r="D989" s="2" t="str">
        <f>IFERROR(IF('PREENCHER AQUI'!D989="","",'PREENCHER AQUI'!D989),"")</f>
        <v/>
      </c>
      <c r="E989" s="2" t="str">
        <f>IFERROR(VLOOKUP(CONCATENATE(C989,D989),qdd!$C$2:$F$1000,2,FALSE),"")</f>
        <v/>
      </c>
      <c r="F989" s="2" t="str">
        <f>IFERROR(VLOOKUP(CONCATENATE(C989,D989),qdd!$C$2:$F$1000,3,FALSE),"")</f>
        <v/>
      </c>
      <c r="G989" s="2" t="str">
        <f>IFERROR(VLOOKUP(CONCATENATE(C989,D989),qdd!$C$2:$F$1000,4,FALSE),"")</f>
        <v/>
      </c>
      <c r="H989" s="6" t="str">
        <f t="shared" si="32"/>
        <v/>
      </c>
      <c r="I9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9" s="2" t="str">
        <f>IFERROR(IF('PREENCHER AQUI'!E989="","",'PREENCHER AQUI'!E989),"")</f>
        <v/>
      </c>
      <c r="K989" s="2" t="str">
        <f>IFERROR(IF('PREENCHER AQUI'!F989="","",'PREENCHER AQUI'!F989),"")</f>
        <v/>
      </c>
      <c r="L989" s="2" t="str">
        <f>IF(Tabela1[[#This Row],[IPU_COD]]=9,"91",IF(Tabela1[[#This Row],[ACAO_COD]]="","",VLOOKUP(CONCATENATE("G",J989,"M",K989),qdd!$BC$2:$BD$46,2,FALSE)))</f>
        <v/>
      </c>
      <c r="M989" s="2" t="str">
        <f>TEXT(IFERROR(VLOOKUP(CONCATENATE(C989,D989),qdd!$C$2:$G$1000,5,FALSE),""),0)</f>
        <v/>
      </c>
      <c r="N989" s="2" t="str">
        <f>IFERROR(IF('PREENCHER AQUI'!I989="","",'PREENCHER AQUI'!I989),"")</f>
        <v/>
      </c>
      <c r="O989" s="2" t="str">
        <f>IFERROR(IF('PREENCHER AQUI'!J989="","",'PREENCHER AQUI'!J989),"")</f>
        <v/>
      </c>
      <c r="P989" s="7" t="str">
        <f t="shared" si="33"/>
        <v/>
      </c>
      <c r="Q989" s="8" t="str">
        <f>IFERROR(IF(Tabela4[[#This Row],[VALOR]]="","",IF(Tabela1[[#This Row],[ORIENTACAO]]="Anular",'PREENCHER AQUI'!K989*-1*100,'PREENCHER AQUI'!K989*100)),"")</f>
        <v/>
      </c>
      <c r="T989" s="7" t="str">
        <f>IFERROR(IF('PREENCHER AQUI'!L989="","999",LEFT('PREENCHER AQUI'!L989,1)),"")</f>
        <v>999</v>
      </c>
      <c r="V989" s="19"/>
      <c r="W989" s="1" t="str">
        <f>IFERROR(VLOOKUP(Tabela1[[#This Row],[UO_COD]],qdd!$AT$1:$AU$102,2,FALSE),"")</f>
        <v/>
      </c>
      <c r="X989" s="1" t="str">
        <f>CONCATENATE("F",Tabela1[[#This Row],[FONTE_COD]],Tabela1[[#This Row],[IPU_COD]],"G",Tabela1[[#This Row],[GRUPO_COD]],"T",Tabela1[[#This Row],[TIPO]])</f>
        <v>FGT999</v>
      </c>
      <c r="Y9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9" s="19"/>
      <c r="AA989" s="29" t="str">
        <f>IFERROR(VLOOKUP(CONCATENATE("B",Tabela1[[#This Row],[BLOCO]],Tabela1[[#This Row],[UO_COD]]),qdd!$AW$2:$AX$1000,2,FALSE),"")</f>
        <v/>
      </c>
      <c r="AB989" s="30" t="str">
        <f>IFERROR(Tabela1[[#This Row],[VALOR]]/100,"")</f>
        <v/>
      </c>
      <c r="AC989" s="7" t="str" cm="1">
        <f t="array" aca="1" ref="AC989" ca="1">IF(Tabela1[[#This Row],[VALOR]]&lt;0,"",IFERROR(SUBSTITUTE(Converter_numero(Tabela1[[#This Row],[VALOR INCISO]]),",",""),""))</f>
        <v/>
      </c>
      <c r="AD989" s="29" t="str">
        <f>IF(Tabela1[[#This Row],[TIPO]]=REGRAS!$W$2,REGRAS!$X$2,IF(Tabela1[[#This Row],[TIPO]]=REGRAS!$W$4,REGRAS!$X$4,""))</f>
        <v/>
      </c>
      <c r="AE989" s="29" t="e">
        <f>VLOOKUP(Tabela1[[#This Row],[FONTE_COD]],REGRAS!$O$2:$P$69,2,FALSE)</f>
        <v>#N/A</v>
      </c>
      <c r="AF9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0" spans="1:32" ht="18.75" customHeight="1">
      <c r="A990" s="2" t="str">
        <f>IFERROR(IF('PREENCHER AQUI'!A990="","",'PREENCHER AQUI'!A990),"")</f>
        <v/>
      </c>
      <c r="B990" s="1" t="str">
        <f>IFERROR(IF('PREENCHER AQUI'!B990="","",PROPER('PREENCHER AQUI'!B990)),"")</f>
        <v/>
      </c>
      <c r="C990" s="1" t="str">
        <f>IFERROR(IF('PREENCHER AQUI'!C990="","",'PREENCHER AQUI'!C990),"")</f>
        <v/>
      </c>
      <c r="D990" s="2" t="str">
        <f>IFERROR(IF('PREENCHER AQUI'!D990="","",'PREENCHER AQUI'!D990),"")</f>
        <v/>
      </c>
      <c r="E990" s="2" t="str">
        <f>IFERROR(VLOOKUP(CONCATENATE(C990,D990),qdd!$C$2:$F$1000,2,FALSE),"")</f>
        <v/>
      </c>
      <c r="F990" s="2" t="str">
        <f>IFERROR(VLOOKUP(CONCATENATE(C990,D990),qdd!$C$2:$F$1000,3,FALSE),"")</f>
        <v/>
      </c>
      <c r="G990" s="2" t="str">
        <f>IFERROR(VLOOKUP(CONCATENATE(C990,D990),qdd!$C$2:$F$1000,4,FALSE),"")</f>
        <v/>
      </c>
      <c r="H990" s="6" t="str">
        <f t="shared" si="32"/>
        <v/>
      </c>
      <c r="I9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0" s="2" t="str">
        <f>IFERROR(IF('PREENCHER AQUI'!E990="","",'PREENCHER AQUI'!E990),"")</f>
        <v/>
      </c>
      <c r="K990" s="2" t="str">
        <f>IFERROR(IF('PREENCHER AQUI'!F990="","",'PREENCHER AQUI'!F990),"")</f>
        <v/>
      </c>
      <c r="L990" s="2" t="str">
        <f>IF(Tabela1[[#This Row],[IPU_COD]]=9,"91",IF(Tabela1[[#This Row],[ACAO_COD]]="","",VLOOKUP(CONCATENATE("G",J990,"M",K990),qdd!$BC$2:$BD$46,2,FALSE)))</f>
        <v/>
      </c>
      <c r="M990" s="2" t="str">
        <f>TEXT(IFERROR(VLOOKUP(CONCATENATE(C990,D990),qdd!$C$2:$G$1000,5,FALSE),""),0)</f>
        <v/>
      </c>
      <c r="N990" s="2" t="str">
        <f>IFERROR(IF('PREENCHER AQUI'!I990="","",'PREENCHER AQUI'!I990),"")</f>
        <v/>
      </c>
      <c r="O990" s="2" t="str">
        <f>IFERROR(IF('PREENCHER AQUI'!J990="","",'PREENCHER AQUI'!J990),"")</f>
        <v/>
      </c>
      <c r="P990" s="7" t="str">
        <f t="shared" si="33"/>
        <v/>
      </c>
      <c r="Q990" s="8" t="str">
        <f>IFERROR(IF(Tabela4[[#This Row],[VALOR]]="","",IF(Tabela1[[#This Row],[ORIENTACAO]]="Anular",'PREENCHER AQUI'!K990*-1*100,'PREENCHER AQUI'!K990*100)),"")</f>
        <v/>
      </c>
      <c r="T990" s="7" t="str">
        <f>IFERROR(IF('PREENCHER AQUI'!L990="","999",LEFT('PREENCHER AQUI'!L990,1)),"")</f>
        <v>999</v>
      </c>
      <c r="V990" s="19"/>
      <c r="W990" s="20" t="str">
        <f>IFERROR(VLOOKUP(Tabela1[[#This Row],[UO_COD]],qdd!$AT$1:$AU$102,2,FALSE),"")</f>
        <v/>
      </c>
      <c r="X990" s="20" t="str">
        <f>CONCATENATE("F",Tabela1[[#This Row],[FONTE_COD]],Tabela1[[#This Row],[IPU_COD]],"G",Tabela1[[#This Row],[GRUPO_COD]],"T",Tabela1[[#This Row],[TIPO]])</f>
        <v>FGT999</v>
      </c>
      <c r="Y9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0" s="19"/>
      <c r="AA990" s="29" t="str">
        <f>IFERROR(VLOOKUP(CONCATENATE("B",Tabela1[[#This Row],[BLOCO]],Tabela1[[#This Row],[UO_COD]]),qdd!$AW$2:$AX$1000,2,FALSE),"")</f>
        <v/>
      </c>
      <c r="AB990" s="30" t="str">
        <f>IFERROR(Tabela1[[#This Row],[VALOR]]/100,"")</f>
        <v/>
      </c>
      <c r="AC990" s="7" t="str" cm="1">
        <f t="array" aca="1" ref="AC990" ca="1">IF(Tabela1[[#This Row],[VALOR]]&lt;0,"",IFERROR(SUBSTITUTE(Converter_numero(Tabela1[[#This Row],[VALOR INCISO]]),",",""),""))</f>
        <v/>
      </c>
      <c r="AD990" s="29" t="str">
        <f>IF(Tabela1[[#This Row],[TIPO]]=REGRAS!$W$2,REGRAS!$X$2,IF(Tabela1[[#This Row],[TIPO]]=REGRAS!$W$4,REGRAS!$X$4,""))</f>
        <v/>
      </c>
      <c r="AE990" s="29" t="e">
        <f>VLOOKUP(Tabela1[[#This Row],[FONTE_COD]],REGRAS!$O$2:$P$69,2,FALSE)</f>
        <v>#N/A</v>
      </c>
      <c r="AF9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1" spans="1:32" ht="18.75" customHeight="1">
      <c r="A991" s="2" t="str">
        <f>IFERROR(IF('PREENCHER AQUI'!A991="","",'PREENCHER AQUI'!A991),"")</f>
        <v/>
      </c>
      <c r="B991" s="1" t="str">
        <f>IFERROR(IF('PREENCHER AQUI'!B991="","",PROPER('PREENCHER AQUI'!B991)),"")</f>
        <v/>
      </c>
      <c r="C991" s="1" t="str">
        <f>IFERROR(IF('PREENCHER AQUI'!C991="","",'PREENCHER AQUI'!C991),"")</f>
        <v/>
      </c>
      <c r="D991" s="2" t="str">
        <f>IFERROR(IF('PREENCHER AQUI'!D991="","",'PREENCHER AQUI'!D991),"")</f>
        <v/>
      </c>
      <c r="E991" s="2" t="str">
        <f>IFERROR(VLOOKUP(CONCATENATE(C991,D991),qdd!$C$2:$F$1000,2,FALSE),"")</f>
        <v/>
      </c>
      <c r="F991" s="2" t="str">
        <f>IFERROR(VLOOKUP(CONCATENATE(C991,D991),qdd!$C$2:$F$1000,3,FALSE),"")</f>
        <v/>
      </c>
      <c r="G991" s="2" t="str">
        <f>IFERROR(VLOOKUP(CONCATENATE(C991,D991),qdd!$C$2:$F$1000,4,FALSE),"")</f>
        <v/>
      </c>
      <c r="H991" s="6" t="str">
        <f t="shared" si="32"/>
        <v/>
      </c>
      <c r="I9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1" s="2" t="str">
        <f>IFERROR(IF('PREENCHER AQUI'!E991="","",'PREENCHER AQUI'!E991),"")</f>
        <v/>
      </c>
      <c r="K991" s="2" t="str">
        <f>IFERROR(IF('PREENCHER AQUI'!F991="","",'PREENCHER AQUI'!F991),"")</f>
        <v/>
      </c>
      <c r="L991" s="2" t="str">
        <f>IF(Tabela1[[#This Row],[IPU_COD]]=9,"91",IF(Tabela1[[#This Row],[ACAO_COD]]="","",VLOOKUP(CONCATENATE("G",J991,"M",K991),qdd!$BC$2:$BD$46,2,FALSE)))</f>
        <v/>
      </c>
      <c r="M991" s="2" t="str">
        <f>TEXT(IFERROR(VLOOKUP(CONCATENATE(C991,D991),qdd!$C$2:$G$1000,5,FALSE),""),0)</f>
        <v/>
      </c>
      <c r="N991" s="2" t="str">
        <f>IFERROR(IF('PREENCHER AQUI'!I991="","",'PREENCHER AQUI'!I991),"")</f>
        <v/>
      </c>
      <c r="O991" s="2" t="str">
        <f>IFERROR(IF('PREENCHER AQUI'!J991="","",'PREENCHER AQUI'!J991),"")</f>
        <v/>
      </c>
      <c r="P991" s="7" t="str">
        <f t="shared" si="33"/>
        <v/>
      </c>
      <c r="Q991" s="8" t="str">
        <f>IFERROR(IF(Tabela4[[#This Row],[VALOR]]="","",IF(Tabela1[[#This Row],[ORIENTACAO]]="Anular",'PREENCHER AQUI'!K991*-1*100,'PREENCHER AQUI'!K991*100)),"")</f>
        <v/>
      </c>
      <c r="T991" s="7" t="str">
        <f>IFERROR(IF('PREENCHER AQUI'!L991="","999",LEFT('PREENCHER AQUI'!L991,1)),"")</f>
        <v>999</v>
      </c>
      <c r="V991" s="19"/>
      <c r="W991" s="1" t="str">
        <f>IFERROR(VLOOKUP(Tabela1[[#This Row],[UO_COD]],qdd!$AT$1:$AU$102,2,FALSE),"")</f>
        <v/>
      </c>
      <c r="X991" s="1" t="str">
        <f>CONCATENATE("F",Tabela1[[#This Row],[FONTE_COD]],Tabela1[[#This Row],[IPU_COD]],"G",Tabela1[[#This Row],[GRUPO_COD]],"T",Tabela1[[#This Row],[TIPO]])</f>
        <v>FGT999</v>
      </c>
      <c r="Y9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1" s="19"/>
      <c r="AA991" s="29" t="str">
        <f>IFERROR(VLOOKUP(CONCATENATE("B",Tabela1[[#This Row],[BLOCO]],Tabela1[[#This Row],[UO_COD]]),qdd!$AW$2:$AX$1000,2,FALSE),"")</f>
        <v/>
      </c>
      <c r="AB991" s="30" t="str">
        <f>IFERROR(Tabela1[[#This Row],[VALOR]]/100,"")</f>
        <v/>
      </c>
      <c r="AC991" s="7" t="str" cm="1">
        <f t="array" aca="1" ref="AC991" ca="1">IF(Tabela1[[#This Row],[VALOR]]&lt;0,"",IFERROR(SUBSTITUTE(Converter_numero(Tabela1[[#This Row],[VALOR INCISO]]),",",""),""))</f>
        <v/>
      </c>
      <c r="AD991" s="29" t="str">
        <f>IF(Tabela1[[#This Row],[TIPO]]=REGRAS!$W$2,REGRAS!$X$2,IF(Tabela1[[#This Row],[TIPO]]=REGRAS!$W$4,REGRAS!$X$4,""))</f>
        <v/>
      </c>
      <c r="AE991" s="29" t="e">
        <f>VLOOKUP(Tabela1[[#This Row],[FONTE_COD]],REGRAS!$O$2:$P$69,2,FALSE)</f>
        <v>#N/A</v>
      </c>
      <c r="AF9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2" spans="1:32" ht="18.75" customHeight="1">
      <c r="A992" s="2" t="str">
        <f>IFERROR(IF('PREENCHER AQUI'!A992="","",'PREENCHER AQUI'!A992),"")</f>
        <v/>
      </c>
      <c r="B992" s="1" t="str">
        <f>IFERROR(IF('PREENCHER AQUI'!B992="","",PROPER('PREENCHER AQUI'!B992)),"")</f>
        <v/>
      </c>
      <c r="C992" s="1" t="str">
        <f>IFERROR(IF('PREENCHER AQUI'!C992="","",'PREENCHER AQUI'!C992),"")</f>
        <v/>
      </c>
      <c r="D992" s="2" t="str">
        <f>IFERROR(IF('PREENCHER AQUI'!D992="","",'PREENCHER AQUI'!D992),"")</f>
        <v/>
      </c>
      <c r="E992" s="2" t="str">
        <f>IFERROR(VLOOKUP(CONCATENATE(C992,D992),qdd!$C$2:$F$1000,2,FALSE),"")</f>
        <v/>
      </c>
      <c r="F992" s="2" t="str">
        <f>IFERROR(VLOOKUP(CONCATENATE(C992,D992),qdd!$C$2:$F$1000,3,FALSE),"")</f>
        <v/>
      </c>
      <c r="G992" s="2" t="str">
        <f>IFERROR(VLOOKUP(CONCATENATE(C992,D992),qdd!$C$2:$F$1000,4,FALSE),"")</f>
        <v/>
      </c>
      <c r="H992" s="6" t="str">
        <f t="shared" si="32"/>
        <v/>
      </c>
      <c r="I9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2" s="2" t="str">
        <f>IFERROR(IF('PREENCHER AQUI'!E992="","",'PREENCHER AQUI'!E992),"")</f>
        <v/>
      </c>
      <c r="K992" s="2" t="str">
        <f>IFERROR(IF('PREENCHER AQUI'!F992="","",'PREENCHER AQUI'!F992),"")</f>
        <v/>
      </c>
      <c r="L992" s="2" t="str">
        <f>IF(Tabela1[[#This Row],[IPU_COD]]=9,"91",IF(Tabela1[[#This Row],[ACAO_COD]]="","",VLOOKUP(CONCATENATE("G",J992,"M",K992),qdd!$BC$2:$BD$46,2,FALSE)))</f>
        <v/>
      </c>
      <c r="M992" s="2" t="str">
        <f>TEXT(IFERROR(VLOOKUP(CONCATENATE(C992,D992),qdd!$C$2:$G$1000,5,FALSE),""),0)</f>
        <v/>
      </c>
      <c r="N992" s="2" t="str">
        <f>IFERROR(IF('PREENCHER AQUI'!I992="","",'PREENCHER AQUI'!I992),"")</f>
        <v/>
      </c>
      <c r="O992" s="2" t="str">
        <f>IFERROR(IF('PREENCHER AQUI'!J992="","",'PREENCHER AQUI'!J992),"")</f>
        <v/>
      </c>
      <c r="P992" s="7" t="str">
        <f t="shared" si="33"/>
        <v/>
      </c>
      <c r="Q992" s="8" t="str">
        <f>IFERROR(IF(Tabela4[[#This Row],[VALOR]]="","",IF(Tabela1[[#This Row],[ORIENTACAO]]="Anular",'PREENCHER AQUI'!K992*-1*100,'PREENCHER AQUI'!K992*100)),"")</f>
        <v/>
      </c>
      <c r="T992" s="7" t="str">
        <f>IFERROR(IF('PREENCHER AQUI'!L992="","999",LEFT('PREENCHER AQUI'!L992,1)),"")</f>
        <v>999</v>
      </c>
      <c r="W992" s="1" t="str">
        <f>IFERROR(VLOOKUP(Tabela1[[#This Row],[UO_COD]],qdd!$AT$1:$AU$102,2,FALSE),"")</f>
        <v/>
      </c>
      <c r="X992" s="1" t="str">
        <f>CONCATENATE("F",Tabela1[[#This Row],[FONTE_COD]],Tabela1[[#This Row],[IPU_COD]],"G",Tabela1[[#This Row],[GRUPO_COD]],"T",Tabela1[[#This Row],[TIPO]])</f>
        <v>FGT999</v>
      </c>
      <c r="Y9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2" s="19"/>
      <c r="AA992" s="29" t="str">
        <f>IFERROR(VLOOKUP(CONCATENATE("B",Tabela1[[#This Row],[BLOCO]],Tabela1[[#This Row],[UO_COD]]),qdd!$AW$2:$AX$1000,2,FALSE),"")</f>
        <v/>
      </c>
      <c r="AB992" s="30" t="str">
        <f>IFERROR(Tabela1[[#This Row],[VALOR]]/100,"")</f>
        <v/>
      </c>
      <c r="AC992" s="7" t="str" cm="1">
        <f t="array" aca="1" ref="AC992" ca="1">IF(Tabela1[[#This Row],[VALOR]]&lt;0,"",IFERROR(SUBSTITUTE(Converter_numero(Tabela1[[#This Row],[VALOR INCISO]]),",",""),""))</f>
        <v/>
      </c>
      <c r="AD992" s="7" t="str">
        <f>IF(Tabela1[[#This Row],[TIPO]]=REGRAS!$W$2,REGRAS!$X$2,IF(Tabela1[[#This Row],[TIPO]]=REGRAS!$W$4,REGRAS!$X$4,""))</f>
        <v/>
      </c>
      <c r="AE992" s="29" t="e">
        <f>VLOOKUP(Tabela1[[#This Row],[FONTE_COD]],REGRAS!$O$2:$P$69,2,FALSE)</f>
        <v>#N/A</v>
      </c>
      <c r="AF9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3" spans="1:32" ht="18.75" customHeight="1">
      <c r="A993" s="2" t="str">
        <f>IFERROR(IF('PREENCHER AQUI'!A993="","",'PREENCHER AQUI'!A993),"")</f>
        <v/>
      </c>
      <c r="B993" s="1" t="str">
        <f>IFERROR(IF('PREENCHER AQUI'!B993="","",PROPER('PREENCHER AQUI'!B993)),"")</f>
        <v/>
      </c>
      <c r="C993" s="1" t="str">
        <f>IFERROR(IF('PREENCHER AQUI'!C993="","",'PREENCHER AQUI'!C993),"")</f>
        <v/>
      </c>
      <c r="D993" s="2" t="str">
        <f>IFERROR(IF('PREENCHER AQUI'!D993="","",'PREENCHER AQUI'!D993),"")</f>
        <v/>
      </c>
      <c r="E993" s="2" t="str">
        <f>IFERROR(VLOOKUP(CONCATENATE(C993,D993),qdd!$C$2:$F$1000,2,FALSE),"")</f>
        <v/>
      </c>
      <c r="F993" s="2" t="str">
        <f>IFERROR(VLOOKUP(CONCATENATE(C993,D993),qdd!$C$2:$F$1000,3,FALSE),"")</f>
        <v/>
      </c>
      <c r="G993" s="2" t="str">
        <f>IFERROR(VLOOKUP(CONCATENATE(C993,D993),qdd!$C$2:$F$1000,4,FALSE),"")</f>
        <v/>
      </c>
      <c r="H993" s="6" t="str">
        <f t="shared" si="32"/>
        <v/>
      </c>
      <c r="I9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3" s="2" t="str">
        <f>IFERROR(IF('PREENCHER AQUI'!E993="","",'PREENCHER AQUI'!E993),"")</f>
        <v/>
      </c>
      <c r="K993" s="2" t="str">
        <f>IFERROR(IF('PREENCHER AQUI'!F993="","",'PREENCHER AQUI'!F993),"")</f>
        <v/>
      </c>
      <c r="L993" s="2" t="str">
        <f>IF(Tabela1[[#This Row],[IPU_COD]]=9,"91",IF(Tabela1[[#This Row],[ACAO_COD]]="","",VLOOKUP(CONCATENATE("G",J993,"M",K993),qdd!$BC$2:$BD$46,2,FALSE)))</f>
        <v/>
      </c>
      <c r="M993" s="2" t="str">
        <f>TEXT(IFERROR(VLOOKUP(CONCATENATE(C993,D993),qdd!$C$2:$G$1000,5,FALSE),""),0)</f>
        <v/>
      </c>
      <c r="N993" s="2" t="str">
        <f>IFERROR(IF('PREENCHER AQUI'!I993="","",'PREENCHER AQUI'!I993),"")</f>
        <v/>
      </c>
      <c r="O993" s="2" t="str">
        <f>IFERROR(IF('PREENCHER AQUI'!J993="","",'PREENCHER AQUI'!J993),"")</f>
        <v/>
      </c>
      <c r="P993" s="7" t="str">
        <f t="shared" si="33"/>
        <v/>
      </c>
      <c r="Q993" s="8" t="str">
        <f>IFERROR(IF(Tabela4[[#This Row],[VALOR]]="","",IF(Tabela1[[#This Row],[ORIENTACAO]]="Anular",'PREENCHER AQUI'!K993*-1*100,'PREENCHER AQUI'!K993*100)),"")</f>
        <v/>
      </c>
      <c r="T993" s="7" t="str">
        <f>IFERROR(IF('PREENCHER AQUI'!L993="","999",LEFT('PREENCHER AQUI'!L993,1)),"")</f>
        <v>999</v>
      </c>
      <c r="V993" s="19"/>
      <c r="W993" s="1" t="str">
        <f>IFERROR(VLOOKUP(Tabela1[[#This Row],[UO_COD]],qdd!$AT$1:$AU$102,2,FALSE),"")</f>
        <v/>
      </c>
      <c r="X993" s="1" t="str">
        <f>CONCATENATE("F",Tabela1[[#This Row],[FONTE_COD]],Tabela1[[#This Row],[IPU_COD]],"G",Tabela1[[#This Row],[GRUPO_COD]],"T",Tabela1[[#This Row],[TIPO]])</f>
        <v>FGT999</v>
      </c>
      <c r="Y9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3" s="19"/>
      <c r="AA993" s="29" t="str">
        <f>IFERROR(VLOOKUP(CONCATENATE("B",Tabela1[[#This Row],[BLOCO]],Tabela1[[#This Row],[UO_COD]]),qdd!$AW$2:$AX$1000,2,FALSE),"")</f>
        <v/>
      </c>
      <c r="AB993" s="30" t="str">
        <f>IFERROR(Tabela1[[#This Row],[VALOR]]/100,"")</f>
        <v/>
      </c>
      <c r="AC993" s="7" t="str" cm="1">
        <f t="array" aca="1" ref="AC993" ca="1">IF(Tabela1[[#This Row],[VALOR]]&lt;0,"",IFERROR(SUBSTITUTE(Converter_numero(Tabela1[[#This Row],[VALOR INCISO]]),",",""),""))</f>
        <v/>
      </c>
      <c r="AD993" s="29" t="str">
        <f>IF(Tabela1[[#This Row],[TIPO]]=REGRAS!$W$2,REGRAS!$X$2,IF(Tabela1[[#This Row],[TIPO]]=REGRAS!$W$4,REGRAS!$X$4,""))</f>
        <v/>
      </c>
      <c r="AE993" s="29" t="e">
        <f>VLOOKUP(Tabela1[[#This Row],[FONTE_COD]],REGRAS!$O$2:$P$69,2,FALSE)</f>
        <v>#N/A</v>
      </c>
      <c r="AF9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4" spans="1:32" ht="18.75" customHeight="1">
      <c r="A994" s="2" t="str">
        <f>IFERROR(IF('PREENCHER AQUI'!A994="","",'PREENCHER AQUI'!A994),"")</f>
        <v/>
      </c>
      <c r="B994" s="1" t="str">
        <f>IFERROR(IF('PREENCHER AQUI'!B994="","",PROPER('PREENCHER AQUI'!B994)),"")</f>
        <v/>
      </c>
      <c r="C994" s="1" t="str">
        <f>IFERROR(IF('PREENCHER AQUI'!C994="","",'PREENCHER AQUI'!C994),"")</f>
        <v/>
      </c>
      <c r="D994" s="2" t="str">
        <f>IFERROR(IF('PREENCHER AQUI'!D994="","",'PREENCHER AQUI'!D994),"")</f>
        <v/>
      </c>
      <c r="E994" s="2" t="str">
        <f>IFERROR(VLOOKUP(CONCATENATE(C994,D994),qdd!$C$2:$F$1000,2,FALSE),"")</f>
        <v/>
      </c>
      <c r="F994" s="2" t="str">
        <f>IFERROR(VLOOKUP(CONCATENATE(C994,D994),qdd!$C$2:$F$1000,3,FALSE),"")</f>
        <v/>
      </c>
      <c r="G994" s="2" t="str">
        <f>IFERROR(VLOOKUP(CONCATENATE(C994,D994),qdd!$C$2:$F$1000,4,FALSE),"")</f>
        <v/>
      </c>
      <c r="H994" s="6" t="str">
        <f t="shared" si="32"/>
        <v/>
      </c>
      <c r="I9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4" s="2" t="str">
        <f>IFERROR(IF('PREENCHER AQUI'!E994="","",'PREENCHER AQUI'!E994),"")</f>
        <v/>
      </c>
      <c r="K994" s="2" t="str">
        <f>IFERROR(IF('PREENCHER AQUI'!F994="","",'PREENCHER AQUI'!F994),"")</f>
        <v/>
      </c>
      <c r="L994" s="2" t="str">
        <f>IF(Tabela1[[#This Row],[IPU_COD]]=9,"91",IF(Tabela1[[#This Row],[ACAO_COD]]="","",VLOOKUP(CONCATENATE("G",J994,"M",K994),qdd!$BC$2:$BD$46,2,FALSE)))</f>
        <v/>
      </c>
      <c r="M994" s="2" t="str">
        <f>TEXT(IFERROR(VLOOKUP(CONCATENATE(C994,D994),qdd!$C$2:$G$1000,5,FALSE),""),0)</f>
        <v/>
      </c>
      <c r="N994" s="2" t="str">
        <f>IFERROR(IF('PREENCHER AQUI'!I994="","",'PREENCHER AQUI'!I994),"")</f>
        <v/>
      </c>
      <c r="O994" s="2" t="str">
        <f>IFERROR(IF('PREENCHER AQUI'!J994="","",'PREENCHER AQUI'!J994),"")</f>
        <v/>
      </c>
      <c r="P994" s="7" t="str">
        <f t="shared" si="33"/>
        <v/>
      </c>
      <c r="Q994" s="8" t="str">
        <f>IFERROR(IF(Tabela4[[#This Row],[VALOR]]="","",IF(Tabela1[[#This Row],[ORIENTACAO]]="Anular",'PREENCHER AQUI'!K994*-1*100,'PREENCHER AQUI'!K994*100)),"")</f>
        <v/>
      </c>
      <c r="T994" s="7" t="str">
        <f>IFERROR(IF('PREENCHER AQUI'!L994="","999",LEFT('PREENCHER AQUI'!L994,1)),"")</f>
        <v>999</v>
      </c>
      <c r="V994" s="19"/>
      <c r="W994" s="1" t="str">
        <f>IFERROR(VLOOKUP(Tabela1[[#This Row],[UO_COD]],qdd!$AT$1:$AU$102,2,FALSE),"")</f>
        <v/>
      </c>
      <c r="X994" s="1" t="str">
        <f>CONCATENATE("F",Tabela1[[#This Row],[FONTE_COD]],Tabela1[[#This Row],[IPU_COD]],"G",Tabela1[[#This Row],[GRUPO_COD]],"T",Tabela1[[#This Row],[TIPO]])</f>
        <v>FGT999</v>
      </c>
      <c r="Y9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4" s="19"/>
      <c r="AA994" s="29" t="str">
        <f>IFERROR(VLOOKUP(CONCATENATE("B",Tabela1[[#This Row],[BLOCO]],Tabela1[[#This Row],[UO_COD]]),qdd!$AW$2:$AX$1000,2,FALSE),"")</f>
        <v/>
      </c>
      <c r="AB994" s="30" t="str">
        <f>IFERROR(Tabela1[[#This Row],[VALOR]]/100,"")</f>
        <v/>
      </c>
      <c r="AC994" s="7" t="str" cm="1">
        <f t="array" aca="1" ref="AC994" ca="1">IF(Tabela1[[#This Row],[VALOR]]&lt;0,"",IFERROR(SUBSTITUTE(Converter_numero(Tabela1[[#This Row],[VALOR INCISO]]),",",""),""))</f>
        <v/>
      </c>
      <c r="AD994" s="29" t="str">
        <f>IF(Tabela1[[#This Row],[TIPO]]=REGRAS!$W$2,REGRAS!$X$2,IF(Tabela1[[#This Row],[TIPO]]=REGRAS!$W$4,REGRAS!$X$4,""))</f>
        <v/>
      </c>
      <c r="AE994" s="29" t="e">
        <f>VLOOKUP(Tabela1[[#This Row],[FONTE_COD]],REGRAS!$O$2:$P$69,2,FALSE)</f>
        <v>#N/A</v>
      </c>
      <c r="AF9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5" spans="1:32" ht="18.75" customHeight="1">
      <c r="A995" s="2" t="str">
        <f>IFERROR(IF('PREENCHER AQUI'!A995="","",'PREENCHER AQUI'!A995),"")</f>
        <v/>
      </c>
      <c r="B995" s="1" t="str">
        <f>IFERROR(IF('PREENCHER AQUI'!B995="","",PROPER('PREENCHER AQUI'!B995)),"")</f>
        <v/>
      </c>
      <c r="C995" s="1" t="str">
        <f>IFERROR(IF('PREENCHER AQUI'!C995="","",'PREENCHER AQUI'!C995),"")</f>
        <v/>
      </c>
      <c r="D995" s="2" t="str">
        <f>IFERROR(IF('PREENCHER AQUI'!D995="","",'PREENCHER AQUI'!D995),"")</f>
        <v/>
      </c>
      <c r="E995" s="2" t="str">
        <f>IFERROR(VLOOKUP(CONCATENATE(C995,D995),qdd!$C$2:$F$1000,2,FALSE),"")</f>
        <v/>
      </c>
      <c r="F995" s="2" t="str">
        <f>IFERROR(VLOOKUP(CONCATENATE(C995,D995),qdd!$C$2:$F$1000,3,FALSE),"")</f>
        <v/>
      </c>
      <c r="G995" s="2" t="str">
        <f>IFERROR(VLOOKUP(CONCATENATE(C995,D995),qdd!$C$2:$F$1000,4,FALSE),"")</f>
        <v/>
      </c>
      <c r="H995" s="6" t="str">
        <f t="shared" si="32"/>
        <v/>
      </c>
      <c r="I9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5" s="2" t="str">
        <f>IFERROR(IF('PREENCHER AQUI'!E995="","",'PREENCHER AQUI'!E995),"")</f>
        <v/>
      </c>
      <c r="K995" s="2" t="str">
        <f>IFERROR(IF('PREENCHER AQUI'!F995="","",'PREENCHER AQUI'!F995),"")</f>
        <v/>
      </c>
      <c r="L995" s="2" t="str">
        <f>IF(Tabela1[[#This Row],[IPU_COD]]=9,"91",IF(Tabela1[[#This Row],[ACAO_COD]]="","",VLOOKUP(CONCATENATE("G",J995,"M",K995),qdd!$BC$2:$BD$46,2,FALSE)))</f>
        <v/>
      </c>
      <c r="M995" s="2" t="str">
        <f>TEXT(IFERROR(VLOOKUP(CONCATENATE(C995,D995),qdd!$C$2:$G$1000,5,FALSE),""),0)</f>
        <v/>
      </c>
      <c r="N995" s="2" t="str">
        <f>IFERROR(IF('PREENCHER AQUI'!I995="","",'PREENCHER AQUI'!I995),"")</f>
        <v/>
      </c>
      <c r="O995" s="2" t="str">
        <f>IFERROR(IF('PREENCHER AQUI'!J995="","",'PREENCHER AQUI'!J995),"")</f>
        <v/>
      </c>
      <c r="P995" s="7" t="str">
        <f t="shared" si="33"/>
        <v/>
      </c>
      <c r="Q995" s="8" t="str">
        <f>IFERROR(IF(Tabela4[[#This Row],[VALOR]]="","",IF(Tabela1[[#This Row],[ORIENTACAO]]="Anular",'PREENCHER AQUI'!K995*-1*100,'PREENCHER AQUI'!K995*100)),"")</f>
        <v/>
      </c>
      <c r="T995" s="7" t="str">
        <f>IFERROR(IF('PREENCHER AQUI'!L995="","999",LEFT('PREENCHER AQUI'!L995,1)),"")</f>
        <v>999</v>
      </c>
      <c r="V995" s="19"/>
      <c r="W995" s="20" t="str">
        <f>IFERROR(VLOOKUP(Tabela1[[#This Row],[UO_COD]],qdd!$AT$1:$AU$102,2,FALSE),"")</f>
        <v/>
      </c>
      <c r="X995" s="20" t="str">
        <f>CONCATENATE("F",Tabela1[[#This Row],[FONTE_COD]],Tabela1[[#This Row],[IPU_COD]],"G",Tabela1[[#This Row],[GRUPO_COD]],"T",Tabela1[[#This Row],[TIPO]])</f>
        <v>FGT999</v>
      </c>
      <c r="Y9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5" s="19"/>
      <c r="AA995" s="29" t="str">
        <f>IFERROR(VLOOKUP(CONCATENATE("B",Tabela1[[#This Row],[BLOCO]],Tabela1[[#This Row],[UO_COD]]),qdd!$AW$2:$AX$1000,2,FALSE),"")</f>
        <v/>
      </c>
      <c r="AB995" s="30" t="str">
        <f>IFERROR(Tabela1[[#This Row],[VALOR]]/100,"")</f>
        <v/>
      </c>
      <c r="AC995" s="7" t="str" cm="1">
        <f t="array" aca="1" ref="AC995" ca="1">IF(Tabela1[[#This Row],[VALOR]]&lt;0,"",IFERROR(SUBSTITUTE(Converter_numero(Tabela1[[#This Row],[VALOR INCISO]]),",",""),""))</f>
        <v/>
      </c>
      <c r="AD995" s="29" t="str">
        <f>IF(Tabela1[[#This Row],[TIPO]]=REGRAS!$W$2,REGRAS!$X$2,IF(Tabela1[[#This Row],[TIPO]]=REGRAS!$W$4,REGRAS!$X$4,""))</f>
        <v/>
      </c>
      <c r="AE995" s="29" t="e">
        <f>VLOOKUP(Tabela1[[#This Row],[FONTE_COD]],REGRAS!$O$2:$P$69,2,FALSE)</f>
        <v>#N/A</v>
      </c>
      <c r="AF9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6" spans="1:32" ht="18.75" customHeight="1">
      <c r="A996" s="2" t="str">
        <f>IFERROR(IF('PREENCHER AQUI'!A996="","",'PREENCHER AQUI'!A996),"")</f>
        <v/>
      </c>
      <c r="B996" s="1" t="str">
        <f>IFERROR(IF('PREENCHER AQUI'!B996="","",PROPER('PREENCHER AQUI'!B996)),"")</f>
        <v/>
      </c>
      <c r="C996" s="1" t="str">
        <f>IFERROR(IF('PREENCHER AQUI'!C996="","",'PREENCHER AQUI'!C996),"")</f>
        <v/>
      </c>
      <c r="D996" s="2" t="str">
        <f>IFERROR(IF('PREENCHER AQUI'!D996="","",'PREENCHER AQUI'!D996),"")</f>
        <v/>
      </c>
      <c r="E996" s="2" t="str">
        <f>IFERROR(VLOOKUP(CONCATENATE(C996,D996),qdd!$C$2:$F$1000,2,FALSE),"")</f>
        <v/>
      </c>
      <c r="F996" s="2" t="str">
        <f>IFERROR(VLOOKUP(CONCATENATE(C996,D996),qdd!$C$2:$F$1000,3,FALSE),"")</f>
        <v/>
      </c>
      <c r="G996" s="2" t="str">
        <f>IFERROR(VLOOKUP(CONCATENATE(C996,D996),qdd!$C$2:$F$1000,4,FALSE),"")</f>
        <v/>
      </c>
      <c r="H996" s="6" t="str">
        <f t="shared" si="32"/>
        <v/>
      </c>
      <c r="I9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6" s="2" t="str">
        <f>IFERROR(IF('PREENCHER AQUI'!E996="","",'PREENCHER AQUI'!E996),"")</f>
        <v/>
      </c>
      <c r="K996" s="2" t="str">
        <f>IFERROR(IF('PREENCHER AQUI'!F996="","",'PREENCHER AQUI'!F996),"")</f>
        <v/>
      </c>
      <c r="L996" s="2" t="str">
        <f>IF(Tabela1[[#This Row],[IPU_COD]]=9,"91",IF(Tabela1[[#This Row],[ACAO_COD]]="","",VLOOKUP(CONCATENATE("G",J996,"M",K996),qdd!$BC$2:$BD$46,2,FALSE)))</f>
        <v/>
      </c>
      <c r="M996" s="2" t="str">
        <f>TEXT(IFERROR(VLOOKUP(CONCATENATE(C996,D996),qdd!$C$2:$G$1000,5,FALSE),""),0)</f>
        <v/>
      </c>
      <c r="N996" s="2" t="str">
        <f>IFERROR(IF('PREENCHER AQUI'!I996="","",'PREENCHER AQUI'!I996),"")</f>
        <v/>
      </c>
      <c r="O996" s="2" t="str">
        <f>IFERROR(IF('PREENCHER AQUI'!J996="","",'PREENCHER AQUI'!J996),"")</f>
        <v/>
      </c>
      <c r="P996" s="7" t="str">
        <f t="shared" si="33"/>
        <v/>
      </c>
      <c r="Q996" s="8" t="str">
        <f>IFERROR(IF(Tabela4[[#This Row],[VALOR]]="","",IF(Tabela1[[#This Row],[ORIENTACAO]]="Anular",'PREENCHER AQUI'!K996*-1*100,'PREENCHER AQUI'!K996*100)),"")</f>
        <v/>
      </c>
      <c r="T996" s="7" t="str">
        <f>IFERROR(IF('PREENCHER AQUI'!L996="","999",LEFT('PREENCHER AQUI'!L996,1)),"")</f>
        <v>999</v>
      </c>
      <c r="V996" s="19"/>
      <c r="W996" s="1" t="str">
        <f>IFERROR(VLOOKUP(Tabela1[[#This Row],[UO_COD]],qdd!$AT$1:$AU$102,2,FALSE),"")</f>
        <v/>
      </c>
      <c r="X996" s="1" t="str">
        <f>CONCATENATE("F",Tabela1[[#This Row],[FONTE_COD]],Tabela1[[#This Row],[IPU_COD]],"G",Tabela1[[#This Row],[GRUPO_COD]],"T",Tabela1[[#This Row],[TIPO]])</f>
        <v>FGT999</v>
      </c>
      <c r="Y9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6" s="19"/>
      <c r="AA996" s="29" t="str">
        <f>IFERROR(VLOOKUP(CONCATENATE("B",Tabela1[[#This Row],[BLOCO]],Tabela1[[#This Row],[UO_COD]]),qdd!$AW$2:$AX$1000,2,FALSE),"")</f>
        <v/>
      </c>
      <c r="AB996" s="30" t="str">
        <f>IFERROR(Tabela1[[#This Row],[VALOR]]/100,"")</f>
        <v/>
      </c>
      <c r="AC996" s="7" t="str" cm="1">
        <f t="array" aca="1" ref="AC996" ca="1">IF(Tabela1[[#This Row],[VALOR]]&lt;0,"",IFERROR(SUBSTITUTE(Converter_numero(Tabela1[[#This Row],[VALOR INCISO]]),",",""),""))</f>
        <v/>
      </c>
      <c r="AD996" s="29" t="str">
        <f>IF(Tabela1[[#This Row],[TIPO]]=REGRAS!$W$2,REGRAS!$X$2,IF(Tabela1[[#This Row],[TIPO]]=REGRAS!$W$4,REGRAS!$X$4,""))</f>
        <v/>
      </c>
      <c r="AE996" s="29" t="e">
        <f>VLOOKUP(Tabela1[[#This Row],[FONTE_COD]],REGRAS!$O$2:$P$69,2,FALSE)</f>
        <v>#N/A</v>
      </c>
      <c r="AF9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7" spans="1:32" ht="18.75" customHeight="1">
      <c r="A997" s="2" t="str">
        <f>IFERROR(IF('PREENCHER AQUI'!A997="","",'PREENCHER AQUI'!A997),"")</f>
        <v/>
      </c>
      <c r="B997" s="1" t="str">
        <f>IFERROR(IF('PREENCHER AQUI'!B997="","",PROPER('PREENCHER AQUI'!B997)),"")</f>
        <v/>
      </c>
      <c r="C997" s="1" t="str">
        <f>IFERROR(IF('PREENCHER AQUI'!C997="","",'PREENCHER AQUI'!C997),"")</f>
        <v/>
      </c>
      <c r="D997" s="2" t="str">
        <f>IFERROR(IF('PREENCHER AQUI'!D997="","",'PREENCHER AQUI'!D997),"")</f>
        <v/>
      </c>
      <c r="E997" s="2" t="str">
        <f>IFERROR(VLOOKUP(CONCATENATE(C997,D997),qdd!$C$2:$F$1000,2,FALSE),"")</f>
        <v/>
      </c>
      <c r="F997" s="2" t="str">
        <f>IFERROR(VLOOKUP(CONCATENATE(C997,D997),qdd!$C$2:$F$1000,3,FALSE),"")</f>
        <v/>
      </c>
      <c r="G997" s="2" t="str">
        <f>IFERROR(VLOOKUP(CONCATENATE(C997,D997),qdd!$C$2:$F$1000,4,FALSE),"")</f>
        <v/>
      </c>
      <c r="H997" s="6" t="str">
        <f t="shared" si="32"/>
        <v/>
      </c>
      <c r="I9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7" s="2" t="str">
        <f>IFERROR(IF('PREENCHER AQUI'!E997="","",'PREENCHER AQUI'!E997),"")</f>
        <v/>
      </c>
      <c r="K997" s="2" t="str">
        <f>IFERROR(IF('PREENCHER AQUI'!F997="","",'PREENCHER AQUI'!F997),"")</f>
        <v/>
      </c>
      <c r="L997" s="2" t="str">
        <f>IF(Tabela1[[#This Row],[IPU_COD]]=9,"91",IF(Tabela1[[#This Row],[ACAO_COD]]="","",VLOOKUP(CONCATENATE("G",J997,"M",K997),qdd!$BC$2:$BD$46,2,FALSE)))</f>
        <v/>
      </c>
      <c r="M997" s="2" t="str">
        <f>TEXT(IFERROR(VLOOKUP(CONCATENATE(C997,D997),qdd!$C$2:$G$1000,5,FALSE),""),0)</f>
        <v/>
      </c>
      <c r="N997" s="2" t="str">
        <f>IFERROR(IF('PREENCHER AQUI'!I997="","",'PREENCHER AQUI'!I997),"")</f>
        <v/>
      </c>
      <c r="O997" s="2" t="str">
        <f>IFERROR(IF('PREENCHER AQUI'!J997="","",'PREENCHER AQUI'!J997),"")</f>
        <v/>
      </c>
      <c r="P997" s="7" t="str">
        <f t="shared" si="33"/>
        <v/>
      </c>
      <c r="Q997" s="8" t="str">
        <f>IFERROR(IF(Tabela4[[#This Row],[VALOR]]="","",IF(Tabela1[[#This Row],[ORIENTACAO]]="Anular",'PREENCHER AQUI'!K997*-1*100,'PREENCHER AQUI'!K997*100)),"")</f>
        <v/>
      </c>
      <c r="T997" s="7" t="str">
        <f>IFERROR(IF('PREENCHER AQUI'!L997="","999",LEFT('PREENCHER AQUI'!L997,1)),"")</f>
        <v>999</v>
      </c>
      <c r="W997" s="1" t="str">
        <f>IFERROR(VLOOKUP(Tabela1[[#This Row],[UO_COD]],qdd!$AT$1:$AU$102,2,FALSE),"")</f>
        <v/>
      </c>
      <c r="X997" s="1" t="str">
        <f>CONCATENATE("F",Tabela1[[#This Row],[FONTE_COD]],Tabela1[[#This Row],[IPU_COD]],"G",Tabela1[[#This Row],[GRUPO_COD]],"T",Tabela1[[#This Row],[TIPO]])</f>
        <v>FGT999</v>
      </c>
      <c r="Y9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7" s="19"/>
      <c r="AA997" s="29" t="str">
        <f>IFERROR(VLOOKUP(CONCATENATE("B",Tabela1[[#This Row],[BLOCO]],Tabela1[[#This Row],[UO_COD]]),qdd!$AW$2:$AX$1000,2,FALSE),"")</f>
        <v/>
      </c>
      <c r="AB997" s="30" t="str">
        <f>IFERROR(Tabela1[[#This Row],[VALOR]]/100,"")</f>
        <v/>
      </c>
      <c r="AC997" s="7" t="str" cm="1">
        <f t="array" aca="1" ref="AC997" ca="1">IF(Tabela1[[#This Row],[VALOR]]&lt;0,"",IFERROR(SUBSTITUTE(Converter_numero(Tabela1[[#This Row],[VALOR INCISO]]),",",""),""))</f>
        <v/>
      </c>
      <c r="AD997" s="7" t="str">
        <f>IF(Tabela1[[#This Row],[TIPO]]=REGRAS!$W$2,REGRAS!$X$2,IF(Tabela1[[#This Row],[TIPO]]=REGRAS!$W$4,REGRAS!$X$4,""))</f>
        <v/>
      </c>
      <c r="AE997" s="29" t="e">
        <f>VLOOKUP(Tabela1[[#This Row],[FONTE_COD]],REGRAS!$O$2:$P$69,2,FALSE)</f>
        <v>#N/A</v>
      </c>
      <c r="AF9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8" spans="1:32" ht="18.75" customHeight="1">
      <c r="A998" s="2" t="str">
        <f>IFERROR(IF('PREENCHER AQUI'!A998="","",'PREENCHER AQUI'!A998),"")</f>
        <v/>
      </c>
      <c r="B998" s="1" t="str">
        <f>IFERROR(IF('PREENCHER AQUI'!B998="","",PROPER('PREENCHER AQUI'!B998)),"")</f>
        <v/>
      </c>
      <c r="C998" s="1" t="str">
        <f>IFERROR(IF('PREENCHER AQUI'!C998="","",'PREENCHER AQUI'!C998),"")</f>
        <v/>
      </c>
      <c r="D998" s="2" t="str">
        <f>IFERROR(IF('PREENCHER AQUI'!D998="","",'PREENCHER AQUI'!D998),"")</f>
        <v/>
      </c>
      <c r="E998" s="2" t="str">
        <f>IFERROR(VLOOKUP(CONCATENATE(C998,D998),qdd!$C$2:$F$1000,2,FALSE),"")</f>
        <v/>
      </c>
      <c r="F998" s="2" t="str">
        <f>IFERROR(VLOOKUP(CONCATENATE(C998,D998),qdd!$C$2:$F$1000,3,FALSE),"")</f>
        <v/>
      </c>
      <c r="G998" s="2" t="str">
        <f>IFERROR(VLOOKUP(CONCATENATE(C998,D998),qdd!$C$2:$F$1000,4,FALSE),"")</f>
        <v/>
      </c>
      <c r="H998" s="6" t="str">
        <f t="shared" si="32"/>
        <v/>
      </c>
      <c r="I9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8" s="2" t="str">
        <f>IFERROR(IF('PREENCHER AQUI'!E998="","",'PREENCHER AQUI'!E998),"")</f>
        <v/>
      </c>
      <c r="K998" s="2" t="str">
        <f>IFERROR(IF('PREENCHER AQUI'!F998="","",'PREENCHER AQUI'!F998),"")</f>
        <v/>
      </c>
      <c r="L998" s="2" t="str">
        <f>IF(Tabela1[[#This Row],[IPU_COD]]=9,"91",IF(Tabela1[[#This Row],[ACAO_COD]]="","",VLOOKUP(CONCATENATE("G",J998,"M",K998),qdd!$BC$2:$BD$46,2,FALSE)))</f>
        <v/>
      </c>
      <c r="M998" s="2" t="str">
        <f>TEXT(IFERROR(VLOOKUP(CONCATENATE(C998,D998),qdd!$C$2:$G$1000,5,FALSE),""),0)</f>
        <v/>
      </c>
      <c r="N998" s="2" t="str">
        <f>IFERROR(IF('PREENCHER AQUI'!I998="","",'PREENCHER AQUI'!I998),"")</f>
        <v/>
      </c>
      <c r="O998" s="2" t="str">
        <f>IFERROR(IF('PREENCHER AQUI'!J998="","",'PREENCHER AQUI'!J998),"")</f>
        <v/>
      </c>
      <c r="P998" s="7" t="str">
        <f t="shared" si="33"/>
        <v/>
      </c>
      <c r="Q998" s="8" t="str">
        <f>IFERROR(IF(Tabela4[[#This Row],[VALOR]]="","",IF(Tabela1[[#This Row],[ORIENTACAO]]="Anular",'PREENCHER AQUI'!K998*-1*100,'PREENCHER AQUI'!K998*100)),"")</f>
        <v/>
      </c>
      <c r="T998" s="7" t="str">
        <f>IFERROR(IF('PREENCHER AQUI'!L998="","999",LEFT('PREENCHER AQUI'!L998,1)),"")</f>
        <v>999</v>
      </c>
      <c r="V998" s="19"/>
      <c r="W998" s="1" t="str">
        <f>IFERROR(VLOOKUP(Tabela1[[#This Row],[UO_COD]],qdd!$AT$1:$AU$102,2,FALSE),"")</f>
        <v/>
      </c>
      <c r="X998" s="1" t="str">
        <f>CONCATENATE("F",Tabela1[[#This Row],[FONTE_COD]],Tabela1[[#This Row],[IPU_COD]],"G",Tabela1[[#This Row],[GRUPO_COD]],"T",Tabela1[[#This Row],[TIPO]])</f>
        <v>FGT999</v>
      </c>
      <c r="Y9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8" s="19"/>
      <c r="AA998" s="29" t="str">
        <f>IFERROR(VLOOKUP(CONCATENATE("B",Tabela1[[#This Row],[BLOCO]],Tabela1[[#This Row],[UO_COD]]),qdd!$AW$2:$AX$1000,2,FALSE),"")</f>
        <v/>
      </c>
      <c r="AB998" s="30" t="str">
        <f>IFERROR(Tabela1[[#This Row],[VALOR]]/100,"")</f>
        <v/>
      </c>
      <c r="AC998" s="7" t="str" cm="1">
        <f t="array" aca="1" ref="AC998" ca="1">IF(Tabela1[[#This Row],[VALOR]]&lt;0,"",IFERROR(SUBSTITUTE(Converter_numero(Tabela1[[#This Row],[VALOR INCISO]]),",",""),""))</f>
        <v/>
      </c>
      <c r="AD998" s="29" t="str">
        <f>IF(Tabela1[[#This Row],[TIPO]]=REGRAS!$W$2,REGRAS!$X$2,IF(Tabela1[[#This Row],[TIPO]]=REGRAS!$W$4,REGRAS!$X$4,""))</f>
        <v/>
      </c>
      <c r="AE998" s="29" t="e">
        <f>VLOOKUP(Tabela1[[#This Row],[FONTE_COD]],REGRAS!$O$2:$P$69,2,FALSE)</f>
        <v>#N/A</v>
      </c>
      <c r="AF9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9" spans="1:32" ht="18.75" customHeight="1">
      <c r="A999" s="2" t="str">
        <f>IFERROR(IF('PREENCHER AQUI'!A999="","",'PREENCHER AQUI'!A999),"")</f>
        <v/>
      </c>
      <c r="B999" s="1" t="str">
        <f>IFERROR(IF('PREENCHER AQUI'!B999="","",PROPER('PREENCHER AQUI'!B999)),"")</f>
        <v/>
      </c>
      <c r="C999" s="1" t="str">
        <f>IFERROR(IF('PREENCHER AQUI'!C999="","",'PREENCHER AQUI'!C999),"")</f>
        <v/>
      </c>
      <c r="D999" s="2" t="str">
        <f>IFERROR(IF('PREENCHER AQUI'!D999="","",'PREENCHER AQUI'!D999),"")</f>
        <v/>
      </c>
      <c r="E999" s="2" t="str">
        <f>IFERROR(VLOOKUP(CONCATENATE(C999,D999),qdd!$C$2:$F$1000,2,FALSE),"")</f>
        <v/>
      </c>
      <c r="F999" s="2" t="str">
        <f>IFERROR(VLOOKUP(CONCATENATE(C999,D999),qdd!$C$2:$F$1000,3,FALSE),"")</f>
        <v/>
      </c>
      <c r="G999" s="2" t="str">
        <f>IFERROR(VLOOKUP(CONCATENATE(C999,D999),qdd!$C$2:$F$1000,4,FALSE),"")</f>
        <v/>
      </c>
      <c r="H999" s="6" t="str">
        <f t="shared" si="32"/>
        <v/>
      </c>
      <c r="I9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9" s="2" t="str">
        <f>IFERROR(IF('PREENCHER AQUI'!E999="","",'PREENCHER AQUI'!E999),"")</f>
        <v/>
      </c>
      <c r="K999" s="2" t="str">
        <f>IFERROR(IF('PREENCHER AQUI'!F999="","",'PREENCHER AQUI'!F999),"")</f>
        <v/>
      </c>
      <c r="L999" s="2" t="str">
        <f>IF(Tabela1[[#This Row],[IPU_COD]]=9,"91",IF(Tabela1[[#This Row],[ACAO_COD]]="","",VLOOKUP(CONCATENATE("G",J999,"M",K999),qdd!$BC$2:$BD$46,2,FALSE)))</f>
        <v/>
      </c>
      <c r="M999" s="2" t="str">
        <f>TEXT(IFERROR(VLOOKUP(CONCATENATE(C999,D999),qdd!$C$2:$G$1000,5,FALSE),""),0)</f>
        <v/>
      </c>
      <c r="N999" s="2" t="str">
        <f>IFERROR(IF('PREENCHER AQUI'!I999="","",'PREENCHER AQUI'!I999),"")</f>
        <v/>
      </c>
      <c r="O999" s="2" t="str">
        <f>IFERROR(IF('PREENCHER AQUI'!J999="","",'PREENCHER AQUI'!J999),"")</f>
        <v/>
      </c>
      <c r="P999" s="7" t="str">
        <f t="shared" si="33"/>
        <v/>
      </c>
      <c r="Q999" s="8" t="str">
        <f>IFERROR(IF(Tabela4[[#This Row],[VALOR]]="","",IF(Tabela1[[#This Row],[ORIENTACAO]]="Anular",'PREENCHER AQUI'!K999*-1*100,'PREENCHER AQUI'!K999*100)),"")</f>
        <v/>
      </c>
      <c r="T999" s="7" t="str">
        <f>IFERROR(IF('PREENCHER AQUI'!L999="","999",LEFT('PREENCHER AQUI'!L999,1)),"")</f>
        <v>999</v>
      </c>
      <c r="V999" s="19"/>
      <c r="W999" s="1" t="str">
        <f>IFERROR(VLOOKUP(Tabela1[[#This Row],[UO_COD]],qdd!$AT$1:$AU$102,2,FALSE),"")</f>
        <v/>
      </c>
      <c r="X999" s="1" t="str">
        <f>CONCATENATE("F",Tabela1[[#This Row],[FONTE_COD]],Tabela1[[#This Row],[IPU_COD]],"G",Tabela1[[#This Row],[GRUPO_COD]],"T",Tabela1[[#This Row],[TIPO]])</f>
        <v>FGT999</v>
      </c>
      <c r="Y9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9" s="19"/>
      <c r="AA999" s="29" t="str">
        <f>IFERROR(VLOOKUP(CONCATENATE("B",Tabela1[[#This Row],[BLOCO]],Tabela1[[#This Row],[UO_COD]]),qdd!$AW$2:$AX$1000,2,FALSE),"")</f>
        <v/>
      </c>
      <c r="AB999" s="30" t="str">
        <f>IFERROR(Tabela1[[#This Row],[VALOR]]/100,"")</f>
        <v/>
      </c>
      <c r="AC999" s="7" t="str" cm="1">
        <f t="array" aca="1" ref="AC999" ca="1">IF(Tabela1[[#This Row],[VALOR]]&lt;0,"",IFERROR(SUBSTITUTE(Converter_numero(Tabela1[[#This Row],[VALOR INCISO]]),",",""),""))</f>
        <v/>
      </c>
      <c r="AD999" s="29" t="str">
        <f>IF(Tabela1[[#This Row],[TIPO]]=REGRAS!$W$2,REGRAS!$X$2,IF(Tabela1[[#This Row],[TIPO]]=REGRAS!$W$4,REGRAS!$X$4,""))</f>
        <v/>
      </c>
      <c r="AE999" s="29" t="e">
        <f>VLOOKUP(Tabela1[[#This Row],[FONTE_COD]],REGRAS!$O$2:$P$69,2,FALSE)</f>
        <v>#N/A</v>
      </c>
      <c r="AF9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0" spans="1:32" ht="18.75" customHeight="1">
      <c r="A1000" s="2" t="str">
        <f>IFERROR(IF('PREENCHER AQUI'!A1000="","",'PREENCHER AQUI'!A1000),"")</f>
        <v/>
      </c>
      <c r="B1000" s="1" t="str">
        <f>IFERROR(IF('PREENCHER AQUI'!B1000="","",PROPER('PREENCHER AQUI'!B1000)),"")</f>
        <v/>
      </c>
      <c r="C1000" s="1" t="str">
        <f>IFERROR(IF('PREENCHER AQUI'!C1000="","",'PREENCHER AQUI'!C1000),"")</f>
        <v/>
      </c>
      <c r="D1000" s="2" t="str">
        <f>IFERROR(IF('PREENCHER AQUI'!D1000="","",'PREENCHER AQUI'!D1000),"")</f>
        <v/>
      </c>
      <c r="E1000" s="2" t="str">
        <f>IFERROR(VLOOKUP(CONCATENATE(C1000,D1000),qdd!$C$2:$F$1000,2,FALSE),"")</f>
        <v/>
      </c>
      <c r="F1000" s="2" t="str">
        <f>IFERROR(VLOOKUP(CONCATENATE(C1000,D1000),qdd!$C$2:$F$1000,3,FALSE),"")</f>
        <v/>
      </c>
      <c r="G1000" s="2" t="str">
        <f>IFERROR(VLOOKUP(CONCATENATE(C1000,D1000),qdd!$C$2:$F$1000,4,FALSE),"")</f>
        <v/>
      </c>
      <c r="H1000" s="6" t="str">
        <f t="shared" si="32"/>
        <v/>
      </c>
      <c r="I10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0" s="2" t="str">
        <f>IFERROR(IF('PREENCHER AQUI'!E1000="","",'PREENCHER AQUI'!E1000),"")</f>
        <v/>
      </c>
      <c r="K1000" s="2" t="str">
        <f>IFERROR(IF('PREENCHER AQUI'!F1000="","",'PREENCHER AQUI'!F1000),"")</f>
        <v/>
      </c>
      <c r="L1000" s="2" t="str">
        <f>IF(Tabela1[[#This Row],[IPU_COD]]=9,"91",IF(Tabela1[[#This Row],[ACAO_COD]]="","",VLOOKUP(CONCATENATE("G",J1000,"M",K1000),qdd!$BC$2:$BD$46,2,FALSE)))</f>
        <v/>
      </c>
      <c r="M1000" s="2" t="str">
        <f>TEXT(IFERROR(VLOOKUP(CONCATENATE(C1000,D1000),qdd!$C$2:$G$1000,5,FALSE),""),0)</f>
        <v/>
      </c>
      <c r="N1000" s="2" t="str">
        <f>IFERROR(IF('PREENCHER AQUI'!I1000="","",'PREENCHER AQUI'!I1000),"")</f>
        <v/>
      </c>
      <c r="O1000" s="2" t="str">
        <f>IFERROR(IF('PREENCHER AQUI'!J1000="","",'PREENCHER AQUI'!J1000),"")</f>
        <v/>
      </c>
      <c r="P1000" s="7" t="str">
        <f t="shared" si="33"/>
        <v/>
      </c>
      <c r="Q1000" s="8" t="str">
        <f>IFERROR(IF(Tabela4[[#This Row],[VALOR]]="","",IF(Tabela1[[#This Row],[ORIENTACAO]]="Anular",'PREENCHER AQUI'!K1000*-1*100,'PREENCHER AQUI'!K1000*100)),"")</f>
        <v/>
      </c>
      <c r="T1000" s="7" t="str">
        <f>IFERROR(IF('PREENCHER AQUI'!L1000="","999",LEFT('PREENCHER AQUI'!L1000,1)),"")</f>
        <v>999</v>
      </c>
      <c r="V1000" s="19"/>
      <c r="W1000" s="20" t="str">
        <f>IFERROR(VLOOKUP(Tabela1[[#This Row],[UO_COD]],qdd!$AT$1:$AU$102,2,FALSE),"")</f>
        <v/>
      </c>
      <c r="X1000" s="20" t="str">
        <f>CONCATENATE("F",Tabela1[[#This Row],[FONTE_COD]],Tabela1[[#This Row],[IPU_COD]],"G",Tabela1[[#This Row],[GRUPO_COD]],"T",Tabela1[[#This Row],[TIPO]])</f>
        <v>FGT999</v>
      </c>
      <c r="Y10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0" s="19"/>
      <c r="AA1000" s="29" t="str">
        <f>IFERROR(VLOOKUP(CONCATENATE("B",Tabela1[[#This Row],[BLOCO]],Tabela1[[#This Row],[UO_COD]]),qdd!$AW$2:$AX$1000,2,FALSE),"")</f>
        <v/>
      </c>
      <c r="AB1000" s="30" t="str">
        <f>IFERROR(Tabela1[[#This Row],[VALOR]]/100,"")</f>
        <v/>
      </c>
      <c r="AC1000" s="7" t="str" cm="1">
        <f t="array" aca="1" ref="AC1000" ca="1">IF(Tabela1[[#This Row],[VALOR]]&lt;0,"",IFERROR(SUBSTITUTE(Converter_numero(Tabela1[[#This Row],[VALOR INCISO]]),",",""),""))</f>
        <v/>
      </c>
      <c r="AD1000" s="29" t="str">
        <f>IF(Tabela1[[#This Row],[TIPO]]=REGRAS!$W$2,REGRAS!$X$2,IF(Tabela1[[#This Row],[TIPO]]=REGRAS!$W$4,REGRAS!$X$4,""))</f>
        <v/>
      </c>
      <c r="AE1000" s="29" t="e">
        <f>VLOOKUP(Tabela1[[#This Row],[FONTE_COD]],REGRAS!$O$2:$P$69,2,FALSE)</f>
        <v>#N/A</v>
      </c>
      <c r="AF10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</sheetData>
  <conditionalFormatting sqref="Q2:T2 R3:S3 R7:S8 R12:S13 R17:S18 R22:S23 R27:S28 R32:S33 R37:S38 R42:S43 R47:S48 R52:S53 R57:S58 R62:S63 R67:S68 R72:S73 R77:S78 R82:S83 R87:S88 R92:S93 R97:S98 R102:S103 R107:S108 R112:S113 R117:S118 R122:S123 R127:S128 R132:S133 R137:S138 R142:S143 R147:S148 R152:S153 R157:S158 R162:S163 R167:S168 R172:S173 R177:S178 R182:S183 R187:S188 R192:S193 R197:S198 R202:S203 R207:S208 R212:S213 R217:S218 R222:S223 R227:S228 R232:S233 R237:S238 R242:S243 R247:S248 R252:S253 R257:S258 R262:S263 R267:S268 R272:S273 R277:S278 R282:S283 R287:S288 R292:S293 R297:S298 R302:S303 R307:S308 R312:S313 R317:S318 R322:S323 R327:S328 R332:S333 R337:S338 R342:S343 R347:S348 R352:S353 R357:S358 R362:S363 R367:S368 R372:S373 R377:S378 R382:S383 R387:S388 R392:S393 R397:S398 R402:S403 R407:S408 R412:S413 R417:S418 R422:S423 R427:S428 R432:S433 R437:S438 R442:S443 R447:S448 R452:S453 R457:S458 R462:S463 R467:S468 R472:S473 R477:S478 R482:S483 R487:S488 R492:S493 R497:S498 R502:S503 R507:S508 R512:S513 R517:S518 R522:S523 R527:S528 R532:S533 R537:S538 R542:S543 R547:S548 R552:S553 R557:S558 R562:S563 R567:S568 R572:S573 R577:S578 R582:S583 R587:S588 R592:S593 R597:S598 R602:S603 R607:S608 R612:S613 R617:S618 R622:S623 R627:S628 R632:S633 R637:S638 R642:S643 R647:S648 R652:S653 R657:S658 R662:S663 R667:S668 R672:S673 R677:S678 R682:S683 R687:S688 R692:S693 R697:S698 R702:S703 R707:S708 R712:S713 R717:S718 R722:S723 R727:S728 R732:S733 R737:S738 R742:S743 R747:S748 R752:S753 R757:S758 R762:S763 R767:S768 R772:S773 R777:S778 R782:S783 R787:S788 R792:S793 R797:S798 R802:S803 R807:S808 R812:S813 R817:S818 R822:S823 R827:S828 R832:S833 R837:S838 R842:S843 R847:S848 R852:S853 R857:S858 R862:S863 R867:S868 R872:S873 R877:S878 R882:S883 R887:S888 R892:S893 R897:S898 R902:S903 R907:S908 R912:S913 R917:S918 R922:S923 R927:S928 R932:S933 R937:S938 R942:S943 R947:S948 R952:S953 R957:S958 R962:S963 R967:S968 R972:S973 R977:S978 R982:S983 R987:S988 R992:S993 R997:S998 T3:T1000 A2:B1000 E2:O1000 Q3:Q1000">
    <cfRule type="expression" dxfId="64" priority="17">
      <formula>#REF!&lt;&gt;$A2</formula>
    </cfRule>
  </conditionalFormatting>
  <conditionalFormatting sqref="R4:S5 R9:S10 R14:S15 R19:S20 R24:S25 R29:S30 R34:S35 R39:S40 R44:S45 R49:S50 R54:S55 R59:S60 R64:S65 R69:S70 R74:S75 R79:S80 R84:S85 R89:S90 R94:S95 R99:S100 R104:S105 R109:S110 R114:S115 R119:S120 R124:S125 R129:S130 R134:S135 R139:S140 R144:S145 R149:S150 R154:S155 R159:S160 R164:S165 R169:S170 R174:S175 R179:S180 R184:S185 R189:S190 R194:S195 R199:S200 R204:S205 R209:S210 R214:S215 R219:S220 R224:S225 R229:S230 R234:S235 R239:S240 R244:S245 R249:S250 R254:S255 R259:S260 R264:S265 R269:S270 R274:S275 R279:S280 R284:S285 R289:S290 R294:S295 R299:S300 R304:S305 R309:S310 R314:S315 R319:S320 R324:S325 R329:S330 R334:S335 R339:S340 R344:S345 R349:S350 R354:S355 R359:S360 R364:S365 R369:S370 R374:S375 R379:S380 R384:S385 R389:S390 R394:S395 R399:S400 R404:S405 R409:S410 R414:S415 R419:S420 R424:S425 R429:S430 R434:S435 R439:S440 R444:S445 R449:S450 R454:S455 R459:S460 R464:S465 R469:S470 R474:S475 R479:S480 R484:S485 R489:S490 R494:S495 R499:S500 R504:S505 R509:S510 R514:S515 R519:S520 R524:S525 R529:S530 R534:S535 R539:S540 R544:S545 R549:S550 R554:S555 R559:S560 R564:S565 R569:S570 R574:S575 R579:S580 R584:S585 R589:S590 R594:S595 R599:S600 R604:S605 R609:S610 R614:S615 R619:S620 R624:S625 R629:S630 R634:S635 R639:S640 R644:S645 R649:S650 R654:S655 R659:S660 R664:S665 R669:S670 R674:S675 R679:S680 R684:S685 R689:S690 R694:S695 R699:S700 R704:S705 R709:S710 R714:S715 R719:S720 R724:S725 R729:S730 R734:S735 R739:S740 R744:S745 R749:S750 R754:S755 R759:S760 R764:S765 R769:S770 R774:S775 R779:S780 R784:S785 R789:S790 R794:S795 R799:S800 R804:S805 R809:S810 R814:S815 R819:S820 R824:S825 R829:S830 R834:S835 R839:S840 R844:S845 R849:S850 R854:S855 R859:S860 R864:S865 R869:S870 R874:S875 R879:S880 R884:S885 R889:S890 R894:S895 R899:S900 R904:S905 R909:S910 R914:S915 R919:S920 R924:S925 R929:S930 R934:S935 R939:S940 R944:S945 R949:S950 R954:S955 R959:S960 R964:S965 R969:S970 R974:S975 R979:S980 R984:S985 R989:S990 R994:S995 R999:S1000">
    <cfRule type="expression" dxfId="63" priority="3">
      <formula>$A5&lt;&gt;$A4</formula>
    </cfRule>
  </conditionalFormatting>
  <conditionalFormatting sqref="R6:S6 R11:S11 R16:S16 R21:S21 R26:S26 R31:S31 R36:S36 R41:S41 R46:S46 R51:S51 R56:S56 R61:S61 R66:S66 R71:S71 R76:S76 R81:S81 R86:S86 R91:S91 R96:S96 R101:S101 R106:S106 R111:S111 R116:S116 R121:S121 R126:S126 R131:S131 R136:S136 R141:S141 R146:S146 R151:S151 R156:S156 R161:S161 R166:S166 R171:S171 R176:S176 R181:S181 R186:S186 R191:S191 R196:S196 R201:S201 R206:S206 R211:S211 R216:S216 R221:S221 R226:S226 R231:S231 R236:S236 R241:S241 R246:S246 R251:S251 R256:S256 R261:S261 R266:S266 R271:S271 R276:S276 R281:S281 R286:S286 R291:S291 R296:S296 R301:S301 R306:S306 R311:S311 R316:S316 R321:S321 R326:S326 R331:S331 R336:S336 R341:S341 R346:S346 R351:S351 R356:S356 R361:S361 R366:S366 R371:S371 R376:S376 R381:S381 R386:S386 R391:S391 R396:S396 R401:S401 R406:S406 R411:S411 R416:S416 R421:S421 R426:S426 R431:S431 R436:S436 R441:S441 R446:S446 R451:S451 R456:S456 R461:S461 R466:S466 R471:S471 R476:S476 R481:S481 R486:S486 R491:S491 R496:S496 R501:S501 R506:S506 R511:S511 R516:S516 R521:S521 R526:S526 R531:S531 R536:S536 R541:S541 R546:S546 R551:S551 R556:S556 R561:S561 R566:S566 R571:S571 R576:S576 R581:S581 R586:S586 R591:S591 R596:S596 R601:S601 R606:S606 R611:S611 R616:S616 R621:S621 R626:S626 R631:S631 R636:S636 R641:S641 R646:S646 R651:S651 R656:S656 R661:S661 R666:S666 R671:S671 R676:S676 R681:S681 R686:S686 R691:S691 R696:S696 R701:S701 R706:S706 R711:S711 R716:S716 R721:S721 R726:S726 R731:S731 R736:S736 R741:S741 R746:S746 R751:S751 R756:S756 R761:S761 R766:S766 R771:S771 R776:S776 R781:S781 R786:S786 R791:S791 R796:S796 R801:S801 R806:S806 R811:S811 R816:S816 R821:S821 R826:S826 R831:S831 R836:S836 R841:S841 R846:S846 R851:S851 R856:S856 R861:S861 R866:S866 R871:S871 R876:S876 R881:S881 R886:S886 R891:S891 R896:S896 R901:S901 R906:S906 R911:S911 R916:S916 R921:S921 R926:S926 R931:S931 R936:S936 R941:S941 R946:S946 R951:S951 R956:S956 R961:S961 R966:S966 R971:S971 R976:S976 R981:S981 R986:S986 R991:S991 R996:S996">
    <cfRule type="expression" dxfId="62" priority="35">
      <formula>#REF!&lt;&gt;$A6</formula>
    </cfRule>
  </conditionalFormatting>
  <conditionalFormatting sqref="C2:D1000 P2:P1000">
    <cfRule type="expression" dxfId="61" priority="18">
      <formula>#REF!&lt;&gt;$A2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C4625"/>
  <sheetViews>
    <sheetView topLeftCell="P1" zoomScale="90" zoomScaleNormal="90" workbookViewId="0">
      <pane ySplit="1" topLeftCell="A20" activePane="bottomLeft" state="frozen"/>
      <selection pane="bottomLeft" activeCell="AC25" sqref="AC25"/>
    </sheetView>
  </sheetViews>
  <sheetFormatPr defaultRowHeight="15"/>
  <cols>
    <col min="6" max="6" width="15.42578125" bestFit="1" customWidth="1"/>
    <col min="10" max="10" width="12.140625" bestFit="1" customWidth="1"/>
    <col min="14" max="14" width="16.42578125" customWidth="1"/>
    <col min="16" max="16" width="33.140625" customWidth="1"/>
    <col min="21" max="21" width="79.7109375" customWidth="1"/>
    <col min="23" max="23" width="9.140625" hidden="1" customWidth="1"/>
    <col min="24" max="24" width="37.28515625" hidden="1" customWidth="1"/>
    <col min="25" max="25" width="14.140625" hidden="1" customWidth="1"/>
    <col min="26" max="27" width="9.140625" hidden="1" customWidth="1"/>
    <col min="29" max="29" width="107" bestFit="1" customWidth="1"/>
  </cols>
  <sheetData>
    <row r="1" spans="1:29">
      <c r="A1" t="s">
        <v>32</v>
      </c>
      <c r="B1" t="s">
        <v>33</v>
      </c>
      <c r="C1" t="s">
        <v>34</v>
      </c>
      <c r="D1" t="s">
        <v>35</v>
      </c>
      <c r="E1" t="s">
        <v>19</v>
      </c>
      <c r="F1" t="s">
        <v>36</v>
      </c>
      <c r="G1" s="14" t="s">
        <v>24</v>
      </c>
      <c r="J1" t="s">
        <v>37</v>
      </c>
      <c r="O1" t="s">
        <v>32</v>
      </c>
      <c r="P1" t="s">
        <v>38</v>
      </c>
      <c r="AB1" t="s">
        <v>39</v>
      </c>
      <c r="AC1" t="s">
        <v>40</v>
      </c>
    </row>
    <row r="2" spans="1:29">
      <c r="A2">
        <v>10</v>
      </c>
      <c r="B2">
        <v>1</v>
      </c>
      <c r="C2">
        <v>3</v>
      </c>
      <c r="E2">
        <v>3</v>
      </c>
      <c r="F2" t="str">
        <f>CONCATENATE("F",A2,B2,"G",C2,"T",E2)</f>
        <v>F101G3T3</v>
      </c>
      <c r="G2" s="14" t="s">
        <v>41</v>
      </c>
      <c r="I2" t="s">
        <v>42</v>
      </c>
      <c r="J2">
        <v>10</v>
      </c>
      <c r="N2" t="s">
        <v>43</v>
      </c>
      <c r="O2" s="14" t="s">
        <v>41</v>
      </c>
      <c r="P2" t="s">
        <v>44</v>
      </c>
      <c r="U2" s="24"/>
      <c r="W2" t="s">
        <v>45</v>
      </c>
      <c r="X2" t="s">
        <v>46</v>
      </c>
      <c r="Y2" t="s">
        <v>47</v>
      </c>
      <c r="Z2" t="s">
        <v>48</v>
      </c>
      <c r="AA2" t="s">
        <v>49</v>
      </c>
      <c r="AB2" s="26" t="s">
        <v>50</v>
      </c>
      <c r="AC2" s="27" t="s">
        <v>51</v>
      </c>
    </row>
    <row r="3" spans="1:29">
      <c r="A3">
        <v>10</v>
      </c>
      <c r="B3">
        <v>2</v>
      </c>
      <c r="C3">
        <v>3</v>
      </c>
      <c r="E3">
        <v>3</v>
      </c>
      <c r="F3" t="str">
        <f t="shared" ref="F3:F66" si="0">CONCATENATE("F",A3,B3,"G",C3,"T",E3)</f>
        <v>F102G3T3</v>
      </c>
      <c r="G3" s="14" t="s">
        <v>41</v>
      </c>
      <c r="J3">
        <v>13</v>
      </c>
      <c r="N3" t="s">
        <v>43</v>
      </c>
      <c r="O3" s="14" t="s">
        <v>52</v>
      </c>
      <c r="P3" t="s">
        <v>53</v>
      </c>
      <c r="U3" s="24"/>
      <c r="W3" t="s">
        <v>45</v>
      </c>
      <c r="X3" t="s">
        <v>46</v>
      </c>
      <c r="Y3" t="s">
        <v>47</v>
      </c>
      <c r="Z3" t="s">
        <v>49</v>
      </c>
      <c r="AB3" s="26" t="s">
        <v>54</v>
      </c>
      <c r="AC3" s="27" t="s">
        <v>55</v>
      </c>
    </row>
    <row r="4" spans="1:29">
      <c r="A4">
        <v>10</v>
      </c>
      <c r="B4">
        <v>4</v>
      </c>
      <c r="C4">
        <v>3</v>
      </c>
      <c r="E4">
        <v>3</v>
      </c>
      <c r="F4" t="str">
        <f t="shared" si="0"/>
        <v>F104G3T3</v>
      </c>
      <c r="G4" s="14" t="s">
        <v>41</v>
      </c>
      <c r="J4">
        <v>15</v>
      </c>
      <c r="N4" t="s">
        <v>43</v>
      </c>
      <c r="O4" s="14" t="s">
        <v>56</v>
      </c>
      <c r="P4" t="s">
        <v>57</v>
      </c>
      <c r="U4" s="24"/>
      <c r="W4" t="s">
        <v>58</v>
      </c>
      <c r="X4" t="s">
        <v>59</v>
      </c>
      <c r="Y4" t="s">
        <v>47</v>
      </c>
      <c r="Z4" t="s">
        <v>48</v>
      </c>
      <c r="AA4" t="s">
        <v>49</v>
      </c>
      <c r="AB4" s="26" t="s">
        <v>60</v>
      </c>
      <c r="AC4" s="27" t="s">
        <v>61</v>
      </c>
    </row>
    <row r="5" spans="1:29">
      <c r="A5">
        <v>10</v>
      </c>
      <c r="B5">
        <v>5</v>
      </c>
      <c r="C5">
        <v>3</v>
      </c>
      <c r="E5">
        <v>3</v>
      </c>
      <c r="F5" t="str">
        <f t="shared" si="0"/>
        <v>F105G3T3</v>
      </c>
      <c r="G5" s="14" t="s">
        <v>41</v>
      </c>
      <c r="J5">
        <v>26</v>
      </c>
      <c r="N5" t="s">
        <v>43</v>
      </c>
      <c r="O5" s="14" t="s">
        <v>62</v>
      </c>
      <c r="P5" t="s">
        <v>63</v>
      </c>
      <c r="U5" s="25"/>
      <c r="W5" t="s">
        <v>58</v>
      </c>
      <c r="X5" t="s">
        <v>59</v>
      </c>
      <c r="Y5" t="s">
        <v>47</v>
      </c>
      <c r="Z5" t="s">
        <v>49</v>
      </c>
      <c r="AB5" s="26" t="s">
        <v>64</v>
      </c>
      <c r="AC5" s="27" t="s">
        <v>65</v>
      </c>
    </row>
    <row r="6" spans="1:29">
      <c r="A6">
        <v>10</v>
      </c>
      <c r="B6">
        <v>6</v>
      </c>
      <c r="C6">
        <v>3</v>
      </c>
      <c r="E6">
        <v>3</v>
      </c>
      <c r="F6" t="str">
        <f t="shared" si="0"/>
        <v>F106G3T3</v>
      </c>
      <c r="G6" s="14" t="s">
        <v>41</v>
      </c>
      <c r="J6">
        <v>27</v>
      </c>
      <c r="N6" t="s">
        <v>43</v>
      </c>
      <c r="O6" s="14" t="s">
        <v>66</v>
      </c>
      <c r="P6" t="s">
        <v>67</v>
      </c>
      <c r="AB6" s="26" t="s">
        <v>68</v>
      </c>
      <c r="AC6" s="27" t="s">
        <v>69</v>
      </c>
    </row>
    <row r="7" spans="1:29">
      <c r="A7">
        <v>10</v>
      </c>
      <c r="B7">
        <v>7</v>
      </c>
      <c r="C7">
        <v>3</v>
      </c>
      <c r="E7">
        <v>3</v>
      </c>
      <c r="F7" t="str">
        <f t="shared" si="0"/>
        <v>F107G3T3</v>
      </c>
      <c r="G7" s="14" t="s">
        <v>41</v>
      </c>
      <c r="J7">
        <v>29</v>
      </c>
      <c r="N7" t="s">
        <v>43</v>
      </c>
      <c r="O7" s="14" t="s">
        <v>70</v>
      </c>
      <c r="P7" t="s">
        <v>71</v>
      </c>
      <c r="AB7" s="26" t="s">
        <v>72</v>
      </c>
      <c r="AC7" s="27" t="s">
        <v>73</v>
      </c>
    </row>
    <row r="8" spans="1:29">
      <c r="A8">
        <v>10</v>
      </c>
      <c r="B8">
        <v>1</v>
      </c>
      <c r="C8">
        <v>4</v>
      </c>
      <c r="E8">
        <v>3</v>
      </c>
      <c r="F8" t="str">
        <f t="shared" si="0"/>
        <v>F101G4T3</v>
      </c>
      <c r="G8" s="14" t="s">
        <v>41</v>
      </c>
      <c r="J8">
        <v>31</v>
      </c>
      <c r="N8" t="s">
        <v>74</v>
      </c>
      <c r="O8">
        <v>10</v>
      </c>
      <c r="P8" t="s">
        <v>75</v>
      </c>
      <c r="AB8" s="26" t="s">
        <v>76</v>
      </c>
      <c r="AC8" s="27" t="s">
        <v>77</v>
      </c>
    </row>
    <row r="9" spans="1:29">
      <c r="A9">
        <v>10</v>
      </c>
      <c r="B9">
        <v>2</v>
      </c>
      <c r="C9">
        <v>4</v>
      </c>
      <c r="E9">
        <v>3</v>
      </c>
      <c r="F9" t="str">
        <f t="shared" si="0"/>
        <v>F102G4T3</v>
      </c>
      <c r="G9" s="14" t="s">
        <v>41</v>
      </c>
      <c r="J9">
        <v>32</v>
      </c>
      <c r="N9" t="s">
        <v>74</v>
      </c>
      <c r="O9">
        <v>11</v>
      </c>
      <c r="P9" t="s">
        <v>78</v>
      </c>
      <c r="AB9" s="26" t="s">
        <v>79</v>
      </c>
      <c r="AC9" s="27" t="s">
        <v>80</v>
      </c>
    </row>
    <row r="10" spans="1:29">
      <c r="A10">
        <v>10</v>
      </c>
      <c r="B10">
        <v>4</v>
      </c>
      <c r="C10">
        <v>4</v>
      </c>
      <c r="E10">
        <v>3</v>
      </c>
      <c r="F10" t="str">
        <f t="shared" si="0"/>
        <v>F104G4T3</v>
      </c>
      <c r="G10" s="14" t="s">
        <v>41</v>
      </c>
      <c r="J10">
        <v>33</v>
      </c>
      <c r="N10" t="s">
        <v>74</v>
      </c>
      <c r="O10">
        <v>13</v>
      </c>
      <c r="P10" t="s">
        <v>81</v>
      </c>
      <c r="AB10" s="26" t="s">
        <v>82</v>
      </c>
      <c r="AC10" s="27" t="s">
        <v>83</v>
      </c>
    </row>
    <row r="11" spans="1:29">
      <c r="A11">
        <v>10</v>
      </c>
      <c r="B11">
        <v>5</v>
      </c>
      <c r="C11">
        <v>4</v>
      </c>
      <c r="E11">
        <v>3</v>
      </c>
      <c r="F11" t="str">
        <f t="shared" si="0"/>
        <v>F105G4T3</v>
      </c>
      <c r="G11" s="14" t="s">
        <v>41</v>
      </c>
      <c r="J11">
        <v>39</v>
      </c>
      <c r="N11" t="s">
        <v>74</v>
      </c>
      <c r="O11">
        <v>15</v>
      </c>
      <c r="P11" t="s">
        <v>84</v>
      </c>
      <c r="AB11" s="26" t="s">
        <v>85</v>
      </c>
      <c r="AC11" s="27" t="s">
        <v>86</v>
      </c>
    </row>
    <row r="12" spans="1:29">
      <c r="A12">
        <v>10</v>
      </c>
      <c r="B12">
        <v>6</v>
      </c>
      <c r="C12">
        <v>4</v>
      </c>
      <c r="E12">
        <v>3</v>
      </c>
      <c r="F12" t="str">
        <f t="shared" si="0"/>
        <v>F106G4T3</v>
      </c>
      <c r="G12" s="14" t="s">
        <v>41</v>
      </c>
      <c r="J12">
        <v>45</v>
      </c>
      <c r="N12" t="s">
        <v>43</v>
      </c>
      <c r="O12">
        <v>16</v>
      </c>
      <c r="P12" t="s">
        <v>87</v>
      </c>
      <c r="AB12" s="26" t="s">
        <v>88</v>
      </c>
      <c r="AC12" s="27" t="s">
        <v>89</v>
      </c>
    </row>
    <row r="13" spans="1:29">
      <c r="A13">
        <v>10</v>
      </c>
      <c r="B13">
        <v>7</v>
      </c>
      <c r="C13">
        <v>4</v>
      </c>
      <c r="E13">
        <v>3</v>
      </c>
      <c r="F13" t="str">
        <f t="shared" si="0"/>
        <v>F107G4T3</v>
      </c>
      <c r="G13" s="14" t="s">
        <v>41</v>
      </c>
      <c r="J13">
        <v>47</v>
      </c>
      <c r="N13" t="s">
        <v>43</v>
      </c>
      <c r="O13">
        <v>21</v>
      </c>
      <c r="P13" t="s">
        <v>90</v>
      </c>
      <c r="AB13" s="26" t="s">
        <v>91</v>
      </c>
      <c r="AC13" s="27" t="s">
        <v>92</v>
      </c>
    </row>
    <row r="14" spans="1:29">
      <c r="A14">
        <v>10</v>
      </c>
      <c r="B14">
        <v>1</v>
      </c>
      <c r="C14">
        <v>5</v>
      </c>
      <c r="E14">
        <v>3</v>
      </c>
      <c r="F14" t="str">
        <f t="shared" si="0"/>
        <v>F101G5T3</v>
      </c>
      <c r="G14" s="14" t="s">
        <v>41</v>
      </c>
      <c r="J14">
        <v>48</v>
      </c>
      <c r="N14" t="s">
        <v>43</v>
      </c>
      <c r="O14">
        <v>23</v>
      </c>
      <c r="P14" t="s">
        <v>93</v>
      </c>
      <c r="AB14" s="26" t="s">
        <v>94</v>
      </c>
      <c r="AC14" s="27" t="s">
        <v>95</v>
      </c>
    </row>
    <row r="15" spans="1:29">
      <c r="A15">
        <v>10</v>
      </c>
      <c r="B15">
        <v>2</v>
      </c>
      <c r="C15">
        <v>5</v>
      </c>
      <c r="E15">
        <v>3</v>
      </c>
      <c r="F15" t="str">
        <f t="shared" si="0"/>
        <v>F102G5T3</v>
      </c>
      <c r="G15" s="14" t="s">
        <v>41</v>
      </c>
      <c r="J15">
        <v>49</v>
      </c>
      <c r="N15" t="s">
        <v>43</v>
      </c>
      <c r="O15">
        <v>24</v>
      </c>
      <c r="P15" t="s">
        <v>96</v>
      </c>
      <c r="AB15" s="26" t="s">
        <v>97</v>
      </c>
      <c r="AC15" s="27" t="s">
        <v>98</v>
      </c>
    </row>
    <row r="16" spans="1:29">
      <c r="A16">
        <v>10</v>
      </c>
      <c r="B16">
        <v>4</v>
      </c>
      <c r="C16">
        <v>5</v>
      </c>
      <c r="E16">
        <v>3</v>
      </c>
      <c r="F16" t="str">
        <f t="shared" si="0"/>
        <v>F104G5T3</v>
      </c>
      <c r="G16" s="14" t="s">
        <v>41</v>
      </c>
      <c r="J16">
        <v>50</v>
      </c>
      <c r="N16" t="s">
        <v>43</v>
      </c>
      <c r="O16">
        <v>25</v>
      </c>
      <c r="P16" t="s">
        <v>99</v>
      </c>
      <c r="AB16" s="26" t="s">
        <v>100</v>
      </c>
      <c r="AC16" s="27" t="s">
        <v>101</v>
      </c>
    </row>
    <row r="17" spans="1:29">
      <c r="A17">
        <v>10</v>
      </c>
      <c r="B17">
        <v>5</v>
      </c>
      <c r="C17">
        <v>5</v>
      </c>
      <c r="E17">
        <v>3</v>
      </c>
      <c r="F17" t="str">
        <f t="shared" si="0"/>
        <v>F105G5T3</v>
      </c>
      <c r="G17" s="14" t="s">
        <v>41</v>
      </c>
      <c r="J17">
        <v>52</v>
      </c>
      <c r="N17" t="s">
        <v>43</v>
      </c>
      <c r="O17">
        <v>26</v>
      </c>
      <c r="P17" t="s">
        <v>102</v>
      </c>
      <c r="AB17" s="26" t="s">
        <v>103</v>
      </c>
      <c r="AC17" s="27" t="s">
        <v>104</v>
      </c>
    </row>
    <row r="18" spans="1:29">
      <c r="A18">
        <v>10</v>
      </c>
      <c r="B18">
        <v>6</v>
      </c>
      <c r="C18">
        <v>5</v>
      </c>
      <c r="E18">
        <v>3</v>
      </c>
      <c r="F18" t="str">
        <f t="shared" si="0"/>
        <v>F106G5T3</v>
      </c>
      <c r="G18" s="14" t="s">
        <v>41</v>
      </c>
      <c r="J18">
        <v>54</v>
      </c>
      <c r="N18" t="s">
        <v>43</v>
      </c>
      <c r="O18">
        <v>27</v>
      </c>
      <c r="P18" t="s">
        <v>105</v>
      </c>
      <c r="AB18" s="26" t="s">
        <v>106</v>
      </c>
      <c r="AC18" s="27" t="s">
        <v>107</v>
      </c>
    </row>
    <row r="19" spans="1:29">
      <c r="A19">
        <v>10</v>
      </c>
      <c r="B19">
        <v>7</v>
      </c>
      <c r="C19">
        <v>5</v>
      </c>
      <c r="E19">
        <v>3</v>
      </c>
      <c r="F19" t="str">
        <f t="shared" si="0"/>
        <v>F107G5T3</v>
      </c>
      <c r="G19" s="14" t="s">
        <v>41</v>
      </c>
      <c r="J19">
        <v>59</v>
      </c>
      <c r="N19" t="s">
        <v>43</v>
      </c>
      <c r="O19">
        <v>29</v>
      </c>
      <c r="P19" t="s">
        <v>108</v>
      </c>
      <c r="AB19" s="26" t="s">
        <v>109</v>
      </c>
      <c r="AC19" s="27" t="s">
        <v>110</v>
      </c>
    </row>
    <row r="20" spans="1:29">
      <c r="A20">
        <v>13</v>
      </c>
      <c r="B20">
        <v>1</v>
      </c>
      <c r="C20">
        <v>3</v>
      </c>
      <c r="E20">
        <v>3</v>
      </c>
      <c r="F20" t="str">
        <f t="shared" si="0"/>
        <v>F131G3T3</v>
      </c>
      <c r="G20" s="14" t="s">
        <v>41</v>
      </c>
      <c r="J20">
        <v>60</v>
      </c>
      <c r="N20" t="s">
        <v>43</v>
      </c>
      <c r="O20">
        <v>30</v>
      </c>
      <c r="P20" t="s">
        <v>111</v>
      </c>
      <c r="AB20" s="26" t="s">
        <v>112</v>
      </c>
      <c r="AC20" s="27" t="s">
        <v>113</v>
      </c>
    </row>
    <row r="21" spans="1:29">
      <c r="A21">
        <v>13</v>
      </c>
      <c r="B21">
        <v>2</v>
      </c>
      <c r="C21">
        <v>3</v>
      </c>
      <c r="E21">
        <v>3</v>
      </c>
      <c r="F21" t="str">
        <f t="shared" si="0"/>
        <v>F132G3T3</v>
      </c>
      <c r="G21" s="14" t="s">
        <v>41</v>
      </c>
      <c r="J21">
        <v>61</v>
      </c>
      <c r="N21" t="s">
        <v>43</v>
      </c>
      <c r="O21">
        <v>31</v>
      </c>
      <c r="P21" t="s">
        <v>114</v>
      </c>
      <c r="AB21" s="26" t="s">
        <v>115</v>
      </c>
      <c r="AC21" s="27" t="s">
        <v>116</v>
      </c>
    </row>
    <row r="22" spans="1:29">
      <c r="A22">
        <v>13</v>
      </c>
      <c r="B22">
        <v>5</v>
      </c>
      <c r="C22">
        <v>3</v>
      </c>
      <c r="E22">
        <v>3</v>
      </c>
      <c r="F22" t="str">
        <f t="shared" si="0"/>
        <v>F135G3T3</v>
      </c>
      <c r="G22" s="14" t="s">
        <v>41</v>
      </c>
      <c r="J22">
        <v>71</v>
      </c>
      <c r="N22" t="s">
        <v>43</v>
      </c>
      <c r="O22">
        <v>32</v>
      </c>
      <c r="P22" t="s">
        <v>117</v>
      </c>
      <c r="AB22" s="26" t="s">
        <v>118</v>
      </c>
      <c r="AC22" s="27" t="s">
        <v>119</v>
      </c>
    </row>
    <row r="23" spans="1:29">
      <c r="A23">
        <v>13</v>
      </c>
      <c r="B23">
        <v>6</v>
      </c>
      <c r="C23">
        <v>3</v>
      </c>
      <c r="E23">
        <v>3</v>
      </c>
      <c r="F23" t="str">
        <f t="shared" si="0"/>
        <v>F136G3T3</v>
      </c>
      <c r="G23" s="14" t="s">
        <v>41</v>
      </c>
      <c r="J23">
        <v>72</v>
      </c>
      <c r="N23" t="s">
        <v>43</v>
      </c>
      <c r="O23">
        <v>33</v>
      </c>
      <c r="P23" t="s">
        <v>120</v>
      </c>
      <c r="AB23" s="26" t="s">
        <v>121</v>
      </c>
      <c r="AC23" s="27" t="s">
        <v>122</v>
      </c>
    </row>
    <row r="24" spans="1:29">
      <c r="A24">
        <v>13</v>
      </c>
      <c r="B24">
        <v>7</v>
      </c>
      <c r="C24">
        <v>3</v>
      </c>
      <c r="E24">
        <v>3</v>
      </c>
      <c r="F24" t="str">
        <f t="shared" si="0"/>
        <v>F137G3T3</v>
      </c>
      <c r="G24" s="14" t="s">
        <v>41</v>
      </c>
      <c r="J24">
        <v>82</v>
      </c>
      <c r="N24" t="s">
        <v>43</v>
      </c>
      <c r="O24">
        <v>36</v>
      </c>
      <c r="P24" t="s">
        <v>123</v>
      </c>
      <c r="AB24" s="26" t="s">
        <v>124</v>
      </c>
      <c r="AC24" s="27" t="s">
        <v>125</v>
      </c>
    </row>
    <row r="25" spans="1:29">
      <c r="A25">
        <v>13</v>
      </c>
      <c r="B25">
        <v>1</v>
      </c>
      <c r="C25">
        <v>4</v>
      </c>
      <c r="E25">
        <v>3</v>
      </c>
      <c r="F25" t="str">
        <f t="shared" si="0"/>
        <v>F131G4T3</v>
      </c>
      <c r="G25" s="14" t="s">
        <v>41</v>
      </c>
      <c r="J25">
        <v>83</v>
      </c>
      <c r="N25" t="s">
        <v>43</v>
      </c>
      <c r="O25">
        <v>37</v>
      </c>
      <c r="P25" t="s">
        <v>126</v>
      </c>
      <c r="AB25" s="26" t="s">
        <v>127</v>
      </c>
      <c r="AC25" s="27" t="s">
        <v>128</v>
      </c>
    </row>
    <row r="26" spans="1:29">
      <c r="A26">
        <v>13</v>
      </c>
      <c r="B26">
        <v>2</v>
      </c>
      <c r="C26">
        <v>4</v>
      </c>
      <c r="E26">
        <v>3</v>
      </c>
      <c r="F26" t="str">
        <f t="shared" si="0"/>
        <v>F132G4T3</v>
      </c>
      <c r="G26" s="14" t="s">
        <v>41</v>
      </c>
      <c r="J26">
        <v>91</v>
      </c>
      <c r="N26" t="s">
        <v>43</v>
      </c>
      <c r="O26">
        <v>38</v>
      </c>
      <c r="P26" t="s">
        <v>129</v>
      </c>
      <c r="AB26" s="26" t="s">
        <v>130</v>
      </c>
      <c r="AC26" s="27" t="s">
        <v>131</v>
      </c>
    </row>
    <row r="27" spans="1:29">
      <c r="A27">
        <v>13</v>
      </c>
      <c r="B27">
        <v>5</v>
      </c>
      <c r="C27">
        <v>4</v>
      </c>
      <c r="E27">
        <v>3</v>
      </c>
      <c r="F27" t="str">
        <f t="shared" si="0"/>
        <v>F135G4T3</v>
      </c>
      <c r="G27" s="14" t="s">
        <v>41</v>
      </c>
      <c r="J27">
        <v>94</v>
      </c>
      <c r="N27" t="s">
        <v>43</v>
      </c>
      <c r="O27">
        <v>39</v>
      </c>
      <c r="P27" t="s">
        <v>132</v>
      </c>
      <c r="AB27" s="26" t="s">
        <v>133</v>
      </c>
      <c r="AC27" s="27" t="s">
        <v>134</v>
      </c>
    </row>
    <row r="28" spans="1:29">
      <c r="A28">
        <v>13</v>
      </c>
      <c r="B28">
        <v>6</v>
      </c>
      <c r="C28">
        <v>4</v>
      </c>
      <c r="E28">
        <v>3</v>
      </c>
      <c r="F28" t="str">
        <f t="shared" si="0"/>
        <v>F136G4T3</v>
      </c>
      <c r="G28" s="14" t="s">
        <v>41</v>
      </c>
      <c r="J28">
        <v>95</v>
      </c>
      <c r="N28" t="s">
        <v>43</v>
      </c>
      <c r="O28">
        <v>42</v>
      </c>
      <c r="P28" t="s">
        <v>135</v>
      </c>
      <c r="AB28" s="26" t="s">
        <v>136</v>
      </c>
      <c r="AC28" s="27" t="s">
        <v>137</v>
      </c>
    </row>
    <row r="29" spans="1:29">
      <c r="A29">
        <v>13</v>
      </c>
      <c r="B29">
        <v>7</v>
      </c>
      <c r="C29">
        <v>4</v>
      </c>
      <c r="E29">
        <v>3</v>
      </c>
      <c r="F29" t="str">
        <f t="shared" si="0"/>
        <v>F137G4T3</v>
      </c>
      <c r="G29" s="14" t="s">
        <v>41</v>
      </c>
      <c r="N29" t="s">
        <v>43</v>
      </c>
      <c r="O29">
        <v>43</v>
      </c>
      <c r="P29" t="s">
        <v>138</v>
      </c>
      <c r="AB29" s="26" t="s">
        <v>139</v>
      </c>
      <c r="AC29" s="27" t="s">
        <v>140</v>
      </c>
    </row>
    <row r="30" spans="1:29">
      <c r="A30">
        <v>13</v>
      </c>
      <c r="B30">
        <v>1</v>
      </c>
      <c r="C30">
        <v>5</v>
      </c>
      <c r="E30">
        <v>3</v>
      </c>
      <c r="F30" t="str">
        <f t="shared" si="0"/>
        <v>F131G5T3</v>
      </c>
      <c r="G30" s="14" t="s">
        <v>41</v>
      </c>
      <c r="N30" t="s">
        <v>43</v>
      </c>
      <c r="O30">
        <v>44</v>
      </c>
      <c r="P30" t="s">
        <v>141</v>
      </c>
      <c r="AB30" s="26" t="s">
        <v>142</v>
      </c>
      <c r="AC30" s="27" t="s">
        <v>143</v>
      </c>
    </row>
    <row r="31" spans="1:29">
      <c r="A31">
        <v>13</v>
      </c>
      <c r="B31">
        <v>2</v>
      </c>
      <c r="C31">
        <v>5</v>
      </c>
      <c r="E31">
        <v>3</v>
      </c>
      <c r="F31" t="str">
        <f t="shared" si="0"/>
        <v>F132G5T3</v>
      </c>
      <c r="G31" s="14" t="s">
        <v>41</v>
      </c>
      <c r="N31" t="s">
        <v>43</v>
      </c>
      <c r="O31">
        <v>45</v>
      </c>
      <c r="P31" t="s">
        <v>144</v>
      </c>
      <c r="AB31" s="26" t="s">
        <v>145</v>
      </c>
      <c r="AC31" s="27"/>
    </row>
    <row r="32" spans="1:29">
      <c r="A32">
        <v>13</v>
      </c>
      <c r="B32">
        <v>5</v>
      </c>
      <c r="C32">
        <v>5</v>
      </c>
      <c r="E32">
        <v>3</v>
      </c>
      <c r="F32" t="str">
        <f t="shared" si="0"/>
        <v>F135G5T3</v>
      </c>
      <c r="G32" s="14" t="s">
        <v>41</v>
      </c>
      <c r="N32" t="s">
        <v>43</v>
      </c>
      <c r="O32">
        <v>47</v>
      </c>
      <c r="P32" t="s">
        <v>146</v>
      </c>
      <c r="AB32" s="26" t="s">
        <v>147</v>
      </c>
      <c r="AC32" s="27" t="s">
        <v>148</v>
      </c>
    </row>
    <row r="33" spans="1:29">
      <c r="A33">
        <v>13</v>
      </c>
      <c r="B33">
        <v>6</v>
      </c>
      <c r="C33">
        <v>5</v>
      </c>
      <c r="E33">
        <v>3</v>
      </c>
      <c r="F33" t="str">
        <f t="shared" si="0"/>
        <v>F136G5T3</v>
      </c>
      <c r="G33" s="14" t="s">
        <v>41</v>
      </c>
      <c r="N33" t="s">
        <v>43</v>
      </c>
      <c r="O33">
        <v>48</v>
      </c>
      <c r="P33" t="s">
        <v>149</v>
      </c>
      <c r="AB33" s="26" t="s">
        <v>150</v>
      </c>
      <c r="AC33" s="27" t="s">
        <v>151</v>
      </c>
    </row>
    <row r="34" spans="1:29">
      <c r="A34">
        <v>13</v>
      </c>
      <c r="B34">
        <v>7</v>
      </c>
      <c r="C34">
        <v>5</v>
      </c>
      <c r="E34">
        <v>3</v>
      </c>
      <c r="F34" t="str">
        <f t="shared" si="0"/>
        <v>F137G5T3</v>
      </c>
      <c r="G34" s="14" t="s">
        <v>41</v>
      </c>
      <c r="N34" t="s">
        <v>43</v>
      </c>
      <c r="O34">
        <v>49</v>
      </c>
      <c r="P34" t="s">
        <v>152</v>
      </c>
      <c r="AB34" s="26" t="s">
        <v>153</v>
      </c>
      <c r="AC34" s="27" t="s">
        <v>154</v>
      </c>
    </row>
    <row r="35" spans="1:29">
      <c r="A35">
        <v>15</v>
      </c>
      <c r="B35">
        <v>1</v>
      </c>
      <c r="C35">
        <v>3</v>
      </c>
      <c r="E35">
        <v>3</v>
      </c>
      <c r="F35" t="str">
        <f t="shared" si="0"/>
        <v>F151G3T3</v>
      </c>
      <c r="G35" s="14" t="s">
        <v>41</v>
      </c>
      <c r="N35" t="s">
        <v>43</v>
      </c>
      <c r="O35">
        <v>50</v>
      </c>
      <c r="P35" t="s">
        <v>155</v>
      </c>
      <c r="AB35" s="26" t="s">
        <v>156</v>
      </c>
      <c r="AC35" s="27" t="s">
        <v>157</v>
      </c>
    </row>
    <row r="36" spans="1:29">
      <c r="A36">
        <v>15</v>
      </c>
      <c r="B36">
        <v>2</v>
      </c>
      <c r="C36">
        <v>3</v>
      </c>
      <c r="E36">
        <v>3</v>
      </c>
      <c r="F36" t="str">
        <f t="shared" si="0"/>
        <v>F152G3T3</v>
      </c>
      <c r="G36" s="14" t="s">
        <v>41</v>
      </c>
      <c r="N36" t="s">
        <v>43</v>
      </c>
      <c r="O36">
        <v>51</v>
      </c>
      <c r="P36" t="s">
        <v>158</v>
      </c>
      <c r="AB36" s="26" t="s">
        <v>159</v>
      </c>
      <c r="AC36" s="27" t="s">
        <v>160</v>
      </c>
    </row>
    <row r="37" spans="1:29">
      <c r="A37">
        <v>15</v>
      </c>
      <c r="B37">
        <v>5</v>
      </c>
      <c r="C37">
        <v>3</v>
      </c>
      <c r="E37">
        <v>3</v>
      </c>
      <c r="F37" t="str">
        <f t="shared" si="0"/>
        <v>F155G3T3</v>
      </c>
      <c r="G37" s="14" t="s">
        <v>41</v>
      </c>
      <c r="N37" t="s">
        <v>43</v>
      </c>
      <c r="O37">
        <v>52</v>
      </c>
      <c r="P37" t="s">
        <v>161</v>
      </c>
      <c r="AB37" s="26" t="s">
        <v>162</v>
      </c>
      <c r="AC37" s="27" t="s">
        <v>163</v>
      </c>
    </row>
    <row r="38" spans="1:29">
      <c r="A38">
        <v>15</v>
      </c>
      <c r="B38">
        <v>6</v>
      </c>
      <c r="C38">
        <v>3</v>
      </c>
      <c r="E38">
        <v>3</v>
      </c>
      <c r="F38" t="str">
        <f t="shared" si="0"/>
        <v>F156G3T3</v>
      </c>
      <c r="G38" s="14" t="s">
        <v>41</v>
      </c>
      <c r="N38" t="s">
        <v>43</v>
      </c>
      <c r="O38">
        <v>54</v>
      </c>
      <c r="P38" t="s">
        <v>164</v>
      </c>
      <c r="AB38" s="26" t="s">
        <v>165</v>
      </c>
      <c r="AC38" s="27" t="s">
        <v>166</v>
      </c>
    </row>
    <row r="39" spans="1:29">
      <c r="A39">
        <v>15</v>
      </c>
      <c r="B39">
        <v>7</v>
      </c>
      <c r="C39">
        <v>3</v>
      </c>
      <c r="E39">
        <v>3</v>
      </c>
      <c r="F39" t="str">
        <f t="shared" si="0"/>
        <v>F157G3T3</v>
      </c>
      <c r="G39" s="14" t="s">
        <v>41</v>
      </c>
      <c r="N39" t="s">
        <v>43</v>
      </c>
      <c r="O39">
        <v>56</v>
      </c>
      <c r="P39" t="s">
        <v>167</v>
      </c>
      <c r="AB39" s="26" t="s">
        <v>168</v>
      </c>
      <c r="AC39" s="27" t="s">
        <v>169</v>
      </c>
    </row>
    <row r="40" spans="1:29">
      <c r="A40">
        <v>15</v>
      </c>
      <c r="B40">
        <v>1</v>
      </c>
      <c r="C40">
        <v>4</v>
      </c>
      <c r="E40">
        <v>3</v>
      </c>
      <c r="F40" t="str">
        <f t="shared" si="0"/>
        <v>F151G4T3</v>
      </c>
      <c r="G40" s="14" t="s">
        <v>41</v>
      </c>
      <c r="N40" t="s">
        <v>43</v>
      </c>
      <c r="O40">
        <v>57</v>
      </c>
      <c r="P40" t="s">
        <v>170</v>
      </c>
      <c r="AB40" s="26" t="s">
        <v>171</v>
      </c>
      <c r="AC40" s="27" t="s">
        <v>172</v>
      </c>
    </row>
    <row r="41" spans="1:29">
      <c r="A41">
        <v>15</v>
      </c>
      <c r="B41">
        <v>2</v>
      </c>
      <c r="C41">
        <v>4</v>
      </c>
      <c r="E41">
        <v>3</v>
      </c>
      <c r="F41" t="str">
        <f t="shared" si="0"/>
        <v>F152G4T3</v>
      </c>
      <c r="G41" s="14" t="s">
        <v>41</v>
      </c>
      <c r="N41" t="s">
        <v>43</v>
      </c>
      <c r="O41">
        <v>59</v>
      </c>
      <c r="P41" t="s">
        <v>173</v>
      </c>
      <c r="AB41" s="26" t="s">
        <v>174</v>
      </c>
      <c r="AC41" s="27" t="s">
        <v>175</v>
      </c>
    </row>
    <row r="42" spans="1:29">
      <c r="A42">
        <v>15</v>
      </c>
      <c r="B42">
        <v>5</v>
      </c>
      <c r="C42">
        <v>4</v>
      </c>
      <c r="E42">
        <v>3</v>
      </c>
      <c r="F42" t="str">
        <f t="shared" si="0"/>
        <v>F155G4T3</v>
      </c>
      <c r="G42" s="14" t="s">
        <v>41</v>
      </c>
      <c r="N42" t="s">
        <v>176</v>
      </c>
      <c r="O42">
        <v>60</v>
      </c>
      <c r="P42" t="s">
        <v>177</v>
      </c>
      <c r="AB42" s="26" t="s">
        <v>178</v>
      </c>
      <c r="AC42" s="27" t="s">
        <v>179</v>
      </c>
    </row>
    <row r="43" spans="1:29">
      <c r="A43">
        <v>15</v>
      </c>
      <c r="B43">
        <v>6</v>
      </c>
      <c r="C43">
        <v>4</v>
      </c>
      <c r="E43">
        <v>3</v>
      </c>
      <c r="F43" t="str">
        <f t="shared" si="0"/>
        <v>F156G4T3</v>
      </c>
      <c r="G43" s="14" t="s">
        <v>41</v>
      </c>
      <c r="N43" t="s">
        <v>176</v>
      </c>
      <c r="O43">
        <v>61</v>
      </c>
      <c r="P43" t="s">
        <v>180</v>
      </c>
      <c r="AB43" s="26" t="s">
        <v>181</v>
      </c>
      <c r="AC43" s="27" t="s">
        <v>182</v>
      </c>
    </row>
    <row r="44" spans="1:29">
      <c r="A44">
        <v>15</v>
      </c>
      <c r="B44">
        <v>7</v>
      </c>
      <c r="C44">
        <v>4</v>
      </c>
      <c r="E44">
        <v>3</v>
      </c>
      <c r="F44" t="str">
        <f t="shared" si="0"/>
        <v>F157G4T3</v>
      </c>
      <c r="G44" s="14" t="s">
        <v>41</v>
      </c>
      <c r="N44" t="s">
        <v>43</v>
      </c>
      <c r="O44">
        <v>62</v>
      </c>
      <c r="P44" t="s">
        <v>183</v>
      </c>
      <c r="AB44" s="26" t="s">
        <v>184</v>
      </c>
      <c r="AC44" s="27" t="s">
        <v>185</v>
      </c>
    </row>
    <row r="45" spans="1:29">
      <c r="A45">
        <v>15</v>
      </c>
      <c r="B45">
        <v>1</v>
      </c>
      <c r="C45">
        <v>5</v>
      </c>
      <c r="E45">
        <v>3</v>
      </c>
      <c r="F45" t="str">
        <f t="shared" si="0"/>
        <v>F151G5T3</v>
      </c>
      <c r="G45" s="14" t="s">
        <v>41</v>
      </c>
      <c r="N45" t="s">
        <v>43</v>
      </c>
      <c r="O45">
        <v>63</v>
      </c>
      <c r="P45" t="s">
        <v>186</v>
      </c>
      <c r="AB45" s="26" t="s">
        <v>187</v>
      </c>
      <c r="AC45" s="27" t="s">
        <v>188</v>
      </c>
    </row>
    <row r="46" spans="1:29">
      <c r="A46">
        <v>15</v>
      </c>
      <c r="B46">
        <v>2</v>
      </c>
      <c r="C46">
        <v>5</v>
      </c>
      <c r="E46">
        <v>3</v>
      </c>
      <c r="F46" t="str">
        <f t="shared" si="0"/>
        <v>F152G5T3</v>
      </c>
      <c r="G46" s="14" t="s">
        <v>41</v>
      </c>
      <c r="N46" t="s">
        <v>43</v>
      </c>
      <c r="O46">
        <v>64</v>
      </c>
      <c r="P46" t="s">
        <v>189</v>
      </c>
      <c r="AB46" s="26" t="s">
        <v>190</v>
      </c>
      <c r="AC46" s="27" t="s">
        <v>191</v>
      </c>
    </row>
    <row r="47" spans="1:29">
      <c r="A47">
        <v>15</v>
      </c>
      <c r="B47">
        <v>5</v>
      </c>
      <c r="C47">
        <v>5</v>
      </c>
      <c r="E47">
        <v>3</v>
      </c>
      <c r="F47" t="str">
        <f t="shared" si="0"/>
        <v>F155G5T3</v>
      </c>
      <c r="G47" s="14" t="s">
        <v>41</v>
      </c>
      <c r="N47" t="s">
        <v>43</v>
      </c>
      <c r="O47">
        <v>65</v>
      </c>
      <c r="P47" t="s">
        <v>192</v>
      </c>
      <c r="AB47" s="26" t="s">
        <v>193</v>
      </c>
      <c r="AC47" s="27" t="s">
        <v>194</v>
      </c>
    </row>
    <row r="48" spans="1:29">
      <c r="A48">
        <v>15</v>
      </c>
      <c r="B48">
        <v>6</v>
      </c>
      <c r="C48">
        <v>5</v>
      </c>
      <c r="E48">
        <v>3</v>
      </c>
      <c r="F48" t="str">
        <f t="shared" si="0"/>
        <v>F156G5T3</v>
      </c>
      <c r="G48" s="14" t="s">
        <v>41</v>
      </c>
      <c r="N48" t="s">
        <v>43</v>
      </c>
      <c r="O48">
        <v>66</v>
      </c>
      <c r="P48" t="s">
        <v>195</v>
      </c>
      <c r="AB48" s="26" t="s">
        <v>196</v>
      </c>
      <c r="AC48" s="27" t="s">
        <v>197</v>
      </c>
    </row>
    <row r="49" spans="1:29">
      <c r="A49">
        <v>15</v>
      </c>
      <c r="B49">
        <v>7</v>
      </c>
      <c r="C49">
        <v>5</v>
      </c>
      <c r="E49">
        <v>3</v>
      </c>
      <c r="F49" t="str">
        <f t="shared" si="0"/>
        <v>F157G5T3</v>
      </c>
      <c r="G49" s="14" t="s">
        <v>41</v>
      </c>
      <c r="N49" t="s">
        <v>43</v>
      </c>
      <c r="O49">
        <v>67</v>
      </c>
      <c r="P49" t="s">
        <v>198</v>
      </c>
      <c r="AB49" s="26" t="s">
        <v>199</v>
      </c>
      <c r="AC49" s="27" t="s">
        <v>200</v>
      </c>
    </row>
    <row r="50" spans="1:29">
      <c r="A50">
        <v>10</v>
      </c>
      <c r="B50">
        <v>1</v>
      </c>
      <c r="C50">
        <v>3</v>
      </c>
      <c r="E50">
        <v>1</v>
      </c>
      <c r="F50" t="str">
        <f t="shared" si="0"/>
        <v>F101G3T1</v>
      </c>
      <c r="G50" s="14" t="s">
        <v>52</v>
      </c>
      <c r="N50" t="s">
        <v>43</v>
      </c>
      <c r="O50">
        <v>68</v>
      </c>
      <c r="P50" t="s">
        <v>201</v>
      </c>
      <c r="AB50" s="26" t="s">
        <v>202</v>
      </c>
      <c r="AC50" s="27" t="s">
        <v>203</v>
      </c>
    </row>
    <row r="51" spans="1:29">
      <c r="A51">
        <v>10</v>
      </c>
      <c r="B51">
        <v>2</v>
      </c>
      <c r="C51">
        <v>3</v>
      </c>
      <c r="E51">
        <v>1</v>
      </c>
      <c r="F51" t="str">
        <f t="shared" si="0"/>
        <v>F102G3T1</v>
      </c>
      <c r="G51" s="14" t="s">
        <v>52</v>
      </c>
      <c r="N51" t="s">
        <v>43</v>
      </c>
      <c r="O51">
        <v>69</v>
      </c>
      <c r="P51" t="s">
        <v>204</v>
      </c>
      <c r="AB51" s="26" t="s">
        <v>205</v>
      </c>
      <c r="AC51" s="27" t="s">
        <v>206</v>
      </c>
    </row>
    <row r="52" spans="1:29">
      <c r="A52">
        <v>10</v>
      </c>
      <c r="B52">
        <v>4</v>
      </c>
      <c r="C52">
        <v>3</v>
      </c>
      <c r="E52">
        <v>1</v>
      </c>
      <c r="F52" t="str">
        <f t="shared" si="0"/>
        <v>F104G3T1</v>
      </c>
      <c r="G52" s="14" t="s">
        <v>52</v>
      </c>
      <c r="N52" t="s">
        <v>43</v>
      </c>
      <c r="O52">
        <v>70</v>
      </c>
      <c r="P52" t="s">
        <v>207</v>
      </c>
      <c r="AB52" s="26" t="s">
        <v>208</v>
      </c>
      <c r="AC52" s="27" t="s">
        <v>209</v>
      </c>
    </row>
    <row r="53" spans="1:29">
      <c r="A53">
        <v>10</v>
      </c>
      <c r="B53">
        <v>5</v>
      </c>
      <c r="C53">
        <v>3</v>
      </c>
      <c r="E53">
        <v>1</v>
      </c>
      <c r="F53" t="str">
        <f t="shared" si="0"/>
        <v>F105G3T1</v>
      </c>
      <c r="G53" s="14" t="s">
        <v>52</v>
      </c>
      <c r="N53" t="s">
        <v>43</v>
      </c>
      <c r="O53">
        <v>71</v>
      </c>
      <c r="P53" t="s">
        <v>210</v>
      </c>
      <c r="AB53" s="26" t="s">
        <v>211</v>
      </c>
      <c r="AC53" s="27" t="s">
        <v>212</v>
      </c>
    </row>
    <row r="54" spans="1:29">
      <c r="A54">
        <v>10</v>
      </c>
      <c r="B54">
        <v>6</v>
      </c>
      <c r="C54">
        <v>3</v>
      </c>
      <c r="E54">
        <v>1</v>
      </c>
      <c r="F54" t="str">
        <f t="shared" si="0"/>
        <v>F106G3T1</v>
      </c>
      <c r="G54" s="14" t="s">
        <v>52</v>
      </c>
      <c r="N54" t="s">
        <v>43</v>
      </c>
      <c r="O54">
        <v>72</v>
      </c>
      <c r="P54" t="s">
        <v>213</v>
      </c>
      <c r="AB54" s="26" t="s">
        <v>214</v>
      </c>
      <c r="AC54" s="27" t="s">
        <v>215</v>
      </c>
    </row>
    <row r="55" spans="1:29">
      <c r="A55">
        <v>10</v>
      </c>
      <c r="B55">
        <v>7</v>
      </c>
      <c r="C55">
        <v>3</v>
      </c>
      <c r="E55">
        <v>1</v>
      </c>
      <c r="F55" t="str">
        <f t="shared" si="0"/>
        <v>F107G3T1</v>
      </c>
      <c r="G55" s="14" t="s">
        <v>52</v>
      </c>
      <c r="N55" t="s">
        <v>43</v>
      </c>
      <c r="O55">
        <v>73</v>
      </c>
      <c r="P55" t="s">
        <v>216</v>
      </c>
      <c r="AB55" s="26" t="s">
        <v>217</v>
      </c>
      <c r="AC55" s="27"/>
    </row>
    <row r="56" spans="1:29">
      <c r="A56">
        <v>10</v>
      </c>
      <c r="B56">
        <v>1</v>
      </c>
      <c r="C56">
        <v>4</v>
      </c>
      <c r="E56">
        <v>1</v>
      </c>
      <c r="F56" t="str">
        <f t="shared" si="0"/>
        <v>F101G4T1</v>
      </c>
      <c r="G56" s="14" t="s">
        <v>52</v>
      </c>
      <c r="N56" t="s">
        <v>43</v>
      </c>
      <c r="O56">
        <v>74</v>
      </c>
      <c r="P56" t="s">
        <v>218</v>
      </c>
      <c r="AB56" s="26" t="s">
        <v>219</v>
      </c>
      <c r="AC56" s="27"/>
    </row>
    <row r="57" spans="1:29">
      <c r="A57">
        <v>10</v>
      </c>
      <c r="B57">
        <v>2</v>
      </c>
      <c r="C57">
        <v>4</v>
      </c>
      <c r="E57">
        <v>1</v>
      </c>
      <c r="F57" t="str">
        <f t="shared" si="0"/>
        <v>F102G4T1</v>
      </c>
      <c r="G57" s="14" t="s">
        <v>52</v>
      </c>
      <c r="N57" t="s">
        <v>43</v>
      </c>
      <c r="O57">
        <v>75</v>
      </c>
      <c r="P57" t="s">
        <v>220</v>
      </c>
      <c r="AB57" s="26" t="s">
        <v>221</v>
      </c>
      <c r="AC57" s="27" t="s">
        <v>222</v>
      </c>
    </row>
    <row r="58" spans="1:29">
      <c r="A58">
        <v>10</v>
      </c>
      <c r="B58">
        <v>4</v>
      </c>
      <c r="C58">
        <v>4</v>
      </c>
      <c r="E58">
        <v>1</v>
      </c>
      <c r="F58" t="str">
        <f t="shared" si="0"/>
        <v>F104G4T1</v>
      </c>
      <c r="G58" s="14" t="s">
        <v>52</v>
      </c>
      <c r="N58" t="s">
        <v>43</v>
      </c>
      <c r="O58">
        <v>77</v>
      </c>
      <c r="P58" t="s">
        <v>223</v>
      </c>
      <c r="AB58" s="26" t="s">
        <v>224</v>
      </c>
      <c r="AC58" s="27" t="s">
        <v>225</v>
      </c>
    </row>
    <row r="59" spans="1:29">
      <c r="A59">
        <v>10</v>
      </c>
      <c r="B59">
        <v>5</v>
      </c>
      <c r="C59">
        <v>4</v>
      </c>
      <c r="E59">
        <v>1</v>
      </c>
      <c r="F59" t="str">
        <f t="shared" si="0"/>
        <v>F105G4T1</v>
      </c>
      <c r="G59" s="14" t="s">
        <v>52</v>
      </c>
      <c r="N59" t="s">
        <v>43</v>
      </c>
      <c r="O59">
        <v>79</v>
      </c>
      <c r="P59" t="s">
        <v>226</v>
      </c>
      <c r="AB59" s="26" t="s">
        <v>227</v>
      </c>
      <c r="AC59" s="27" t="s">
        <v>228</v>
      </c>
    </row>
    <row r="60" spans="1:29">
      <c r="A60">
        <v>10</v>
      </c>
      <c r="B60">
        <v>6</v>
      </c>
      <c r="C60">
        <v>4</v>
      </c>
      <c r="E60">
        <v>1</v>
      </c>
      <c r="F60" t="str">
        <f t="shared" si="0"/>
        <v>F106G4T1</v>
      </c>
      <c r="G60" s="14" t="s">
        <v>52</v>
      </c>
      <c r="N60" t="s">
        <v>43</v>
      </c>
      <c r="O60">
        <v>80</v>
      </c>
      <c r="P60" t="s">
        <v>229</v>
      </c>
      <c r="AB60" s="26" t="s">
        <v>230</v>
      </c>
      <c r="AC60" s="27" t="s">
        <v>231</v>
      </c>
    </row>
    <row r="61" spans="1:29">
      <c r="A61">
        <v>10</v>
      </c>
      <c r="B61">
        <v>7</v>
      </c>
      <c r="C61">
        <v>4</v>
      </c>
      <c r="E61">
        <v>1</v>
      </c>
      <c r="F61" t="str">
        <f t="shared" si="0"/>
        <v>F107G4T1</v>
      </c>
      <c r="G61" s="14" t="s">
        <v>52</v>
      </c>
      <c r="N61" t="s">
        <v>43</v>
      </c>
      <c r="O61">
        <v>82</v>
      </c>
      <c r="P61" t="s">
        <v>232</v>
      </c>
      <c r="AB61" s="26" t="s">
        <v>233</v>
      </c>
      <c r="AC61" s="27" t="s">
        <v>234</v>
      </c>
    </row>
    <row r="62" spans="1:29">
      <c r="A62">
        <v>10</v>
      </c>
      <c r="B62">
        <v>1</v>
      </c>
      <c r="C62">
        <v>5</v>
      </c>
      <c r="E62">
        <v>1</v>
      </c>
      <c r="F62" t="str">
        <f t="shared" si="0"/>
        <v>F101G5T1</v>
      </c>
      <c r="G62" s="14" t="s">
        <v>52</v>
      </c>
      <c r="N62" t="s">
        <v>43</v>
      </c>
      <c r="O62">
        <v>83</v>
      </c>
      <c r="P62" t="s">
        <v>235</v>
      </c>
      <c r="AB62" s="26" t="s">
        <v>236</v>
      </c>
      <c r="AC62" s="27"/>
    </row>
    <row r="63" spans="1:29">
      <c r="A63">
        <v>10</v>
      </c>
      <c r="B63">
        <v>2</v>
      </c>
      <c r="C63">
        <v>5</v>
      </c>
      <c r="E63">
        <v>1</v>
      </c>
      <c r="F63" t="str">
        <f t="shared" si="0"/>
        <v>F102G5T1</v>
      </c>
      <c r="G63" s="14" t="s">
        <v>52</v>
      </c>
      <c r="N63" t="s">
        <v>43</v>
      </c>
      <c r="O63">
        <v>89</v>
      </c>
      <c r="P63" t="s">
        <v>237</v>
      </c>
      <c r="AB63" s="26" t="s">
        <v>238</v>
      </c>
      <c r="AC63" s="27" t="s">
        <v>239</v>
      </c>
    </row>
    <row r="64" spans="1:29">
      <c r="A64">
        <v>10</v>
      </c>
      <c r="B64">
        <v>4</v>
      </c>
      <c r="C64">
        <v>5</v>
      </c>
      <c r="E64">
        <v>1</v>
      </c>
      <c r="F64" t="str">
        <f t="shared" si="0"/>
        <v>F104G5T1</v>
      </c>
      <c r="G64" s="14" t="s">
        <v>52</v>
      </c>
      <c r="N64" t="s">
        <v>43</v>
      </c>
      <c r="O64">
        <v>91</v>
      </c>
      <c r="P64" t="s">
        <v>240</v>
      </c>
      <c r="AB64" s="26" t="s">
        <v>241</v>
      </c>
      <c r="AC64" s="27" t="s">
        <v>242</v>
      </c>
    </row>
    <row r="65" spans="1:29">
      <c r="A65">
        <v>10</v>
      </c>
      <c r="B65">
        <v>5</v>
      </c>
      <c r="C65">
        <v>5</v>
      </c>
      <c r="E65">
        <v>1</v>
      </c>
      <c r="F65" t="str">
        <f t="shared" si="0"/>
        <v>F105G5T1</v>
      </c>
      <c r="G65" s="14" t="s">
        <v>52</v>
      </c>
      <c r="N65" t="s">
        <v>43</v>
      </c>
      <c r="O65">
        <v>92</v>
      </c>
      <c r="P65" t="s">
        <v>243</v>
      </c>
      <c r="AB65" s="26" t="s">
        <v>244</v>
      </c>
      <c r="AC65" s="27" t="s">
        <v>245</v>
      </c>
    </row>
    <row r="66" spans="1:29">
      <c r="A66">
        <v>10</v>
      </c>
      <c r="B66">
        <v>6</v>
      </c>
      <c r="C66">
        <v>5</v>
      </c>
      <c r="E66">
        <v>1</v>
      </c>
      <c r="F66" t="str">
        <f t="shared" si="0"/>
        <v>F106G5T1</v>
      </c>
      <c r="G66" s="14" t="s">
        <v>52</v>
      </c>
      <c r="N66" t="s">
        <v>43</v>
      </c>
      <c r="O66">
        <v>93</v>
      </c>
      <c r="P66" t="s">
        <v>246</v>
      </c>
      <c r="AB66" s="26" t="s">
        <v>247</v>
      </c>
      <c r="AC66" s="27"/>
    </row>
    <row r="67" spans="1:29">
      <c r="A67">
        <v>10</v>
      </c>
      <c r="B67">
        <v>7</v>
      </c>
      <c r="C67">
        <v>5</v>
      </c>
      <c r="E67">
        <v>1</v>
      </c>
      <c r="F67" t="str">
        <f t="shared" ref="F67:F130" si="1">CONCATENATE("F",A67,B67,"G",C67,"T",E67)</f>
        <v>F107G5T1</v>
      </c>
      <c r="G67" s="14" t="s">
        <v>52</v>
      </c>
      <c r="N67" t="s">
        <v>43</v>
      </c>
      <c r="O67">
        <v>94</v>
      </c>
      <c r="P67" t="s">
        <v>248</v>
      </c>
      <c r="AB67" s="26" t="s">
        <v>249</v>
      </c>
      <c r="AC67" s="27" t="s">
        <v>250</v>
      </c>
    </row>
    <row r="68" spans="1:29">
      <c r="A68">
        <v>13</v>
      </c>
      <c r="B68">
        <v>1</v>
      </c>
      <c r="C68">
        <v>3</v>
      </c>
      <c r="E68">
        <v>1</v>
      </c>
      <c r="F68" t="str">
        <f t="shared" si="1"/>
        <v>F131G3T1</v>
      </c>
      <c r="G68" s="14" t="s">
        <v>52</v>
      </c>
      <c r="N68" t="s">
        <v>43</v>
      </c>
      <c r="O68">
        <v>95</v>
      </c>
      <c r="P68" t="s">
        <v>251</v>
      </c>
      <c r="AB68" s="26" t="s">
        <v>252</v>
      </c>
      <c r="AC68" s="27" t="s">
        <v>253</v>
      </c>
    </row>
    <row r="69" spans="1:29">
      <c r="A69">
        <v>13</v>
      </c>
      <c r="B69">
        <v>2</v>
      </c>
      <c r="C69">
        <v>3</v>
      </c>
      <c r="E69">
        <v>1</v>
      </c>
      <c r="F69" t="str">
        <f t="shared" si="1"/>
        <v>F132G3T1</v>
      </c>
      <c r="G69" s="14" t="s">
        <v>52</v>
      </c>
      <c r="N69" t="s">
        <v>43</v>
      </c>
      <c r="O69">
        <v>98</v>
      </c>
      <c r="P69" t="s">
        <v>254</v>
      </c>
      <c r="AB69" s="26" t="s">
        <v>255</v>
      </c>
      <c r="AC69" s="27" t="s">
        <v>256</v>
      </c>
    </row>
    <row r="70" spans="1:29">
      <c r="A70">
        <v>13</v>
      </c>
      <c r="B70">
        <v>4</v>
      </c>
      <c r="C70">
        <v>3</v>
      </c>
      <c r="E70">
        <v>1</v>
      </c>
      <c r="F70" t="str">
        <f t="shared" si="1"/>
        <v>F134G3T1</v>
      </c>
      <c r="G70" s="14" t="s">
        <v>52</v>
      </c>
      <c r="AB70" s="26" t="s">
        <v>257</v>
      </c>
      <c r="AC70" s="27" t="s">
        <v>258</v>
      </c>
    </row>
    <row r="71" spans="1:29">
      <c r="A71">
        <v>13</v>
      </c>
      <c r="B71">
        <v>5</v>
      </c>
      <c r="C71">
        <v>3</v>
      </c>
      <c r="E71">
        <v>1</v>
      </c>
      <c r="F71" t="str">
        <f t="shared" si="1"/>
        <v>F135G3T1</v>
      </c>
      <c r="G71" s="14" t="s">
        <v>52</v>
      </c>
      <c r="AB71" s="26" t="s">
        <v>259</v>
      </c>
      <c r="AC71" s="27" t="s">
        <v>260</v>
      </c>
    </row>
    <row r="72" spans="1:29">
      <c r="A72">
        <v>13</v>
      </c>
      <c r="B72">
        <v>6</v>
      </c>
      <c r="C72">
        <v>3</v>
      </c>
      <c r="E72">
        <v>1</v>
      </c>
      <c r="F72" t="str">
        <f t="shared" si="1"/>
        <v>F136G3T1</v>
      </c>
      <c r="G72" s="14" t="s">
        <v>52</v>
      </c>
      <c r="AB72" s="26" t="s">
        <v>261</v>
      </c>
      <c r="AC72" s="27" t="s">
        <v>262</v>
      </c>
    </row>
    <row r="73" spans="1:29">
      <c r="A73">
        <v>13</v>
      </c>
      <c r="B73">
        <v>7</v>
      </c>
      <c r="C73">
        <v>3</v>
      </c>
      <c r="E73">
        <v>1</v>
      </c>
      <c r="F73" t="str">
        <f t="shared" si="1"/>
        <v>F137G3T1</v>
      </c>
      <c r="G73" s="14" t="s">
        <v>52</v>
      </c>
      <c r="AB73" s="26" t="s">
        <v>263</v>
      </c>
      <c r="AC73" s="27" t="s">
        <v>264</v>
      </c>
    </row>
    <row r="74" spans="1:29">
      <c r="A74">
        <v>13</v>
      </c>
      <c r="B74">
        <v>1</v>
      </c>
      <c r="C74">
        <v>4</v>
      </c>
      <c r="E74">
        <v>1</v>
      </c>
      <c r="F74" t="str">
        <f t="shared" si="1"/>
        <v>F131G4T1</v>
      </c>
      <c r="G74" s="14" t="s">
        <v>52</v>
      </c>
      <c r="AB74" s="26" t="s">
        <v>265</v>
      </c>
      <c r="AC74" s="27"/>
    </row>
    <row r="75" spans="1:29">
      <c r="A75">
        <v>13</v>
      </c>
      <c r="B75">
        <v>2</v>
      </c>
      <c r="C75">
        <v>4</v>
      </c>
      <c r="E75">
        <v>1</v>
      </c>
      <c r="F75" t="str">
        <f t="shared" si="1"/>
        <v>F132G4T1</v>
      </c>
      <c r="G75" s="14" t="s">
        <v>52</v>
      </c>
      <c r="AB75" s="26" t="s">
        <v>266</v>
      </c>
      <c r="AC75" s="27" t="s">
        <v>267</v>
      </c>
    </row>
    <row r="76" spans="1:29">
      <c r="A76">
        <v>13</v>
      </c>
      <c r="B76">
        <v>4</v>
      </c>
      <c r="C76">
        <v>4</v>
      </c>
      <c r="E76">
        <v>1</v>
      </c>
      <c r="F76" t="str">
        <f t="shared" si="1"/>
        <v>F134G4T1</v>
      </c>
      <c r="G76" s="14" t="s">
        <v>52</v>
      </c>
      <c r="AB76" s="26" t="s">
        <v>268</v>
      </c>
      <c r="AC76" s="27" t="s">
        <v>269</v>
      </c>
    </row>
    <row r="77" spans="1:29">
      <c r="A77">
        <v>13</v>
      </c>
      <c r="B77">
        <v>5</v>
      </c>
      <c r="C77">
        <v>4</v>
      </c>
      <c r="E77">
        <v>1</v>
      </c>
      <c r="F77" t="str">
        <f t="shared" si="1"/>
        <v>F135G4T1</v>
      </c>
      <c r="G77" s="14" t="s">
        <v>52</v>
      </c>
      <c r="AB77" s="26" t="s">
        <v>270</v>
      </c>
      <c r="AC77" s="27" t="s">
        <v>271</v>
      </c>
    </row>
    <row r="78" spans="1:29">
      <c r="A78">
        <v>13</v>
      </c>
      <c r="B78">
        <v>6</v>
      </c>
      <c r="C78">
        <v>4</v>
      </c>
      <c r="E78">
        <v>1</v>
      </c>
      <c r="F78" t="str">
        <f t="shared" si="1"/>
        <v>F136G4T1</v>
      </c>
      <c r="G78" s="14" t="s">
        <v>52</v>
      </c>
      <c r="AB78" s="26" t="s">
        <v>272</v>
      </c>
      <c r="AC78" s="27" t="s">
        <v>273</v>
      </c>
    </row>
    <row r="79" spans="1:29">
      <c r="A79">
        <v>13</v>
      </c>
      <c r="B79">
        <v>7</v>
      </c>
      <c r="C79">
        <v>4</v>
      </c>
      <c r="E79">
        <v>1</v>
      </c>
      <c r="F79" t="str">
        <f t="shared" si="1"/>
        <v>F137G4T1</v>
      </c>
      <c r="G79" s="14" t="s">
        <v>52</v>
      </c>
      <c r="AB79" s="26" t="s">
        <v>274</v>
      </c>
      <c r="AC79" s="27" t="s">
        <v>275</v>
      </c>
    </row>
    <row r="80" spans="1:29">
      <c r="A80">
        <v>13</v>
      </c>
      <c r="B80">
        <v>1</v>
      </c>
      <c r="C80">
        <v>5</v>
      </c>
      <c r="E80">
        <v>1</v>
      </c>
      <c r="F80" t="str">
        <f t="shared" si="1"/>
        <v>F131G5T1</v>
      </c>
      <c r="G80" s="14" t="s">
        <v>52</v>
      </c>
      <c r="AB80" s="26" t="s">
        <v>276</v>
      </c>
      <c r="AC80" s="27" t="s">
        <v>277</v>
      </c>
    </row>
    <row r="81" spans="1:29">
      <c r="A81">
        <v>13</v>
      </c>
      <c r="B81">
        <v>2</v>
      </c>
      <c r="C81">
        <v>5</v>
      </c>
      <c r="E81">
        <v>1</v>
      </c>
      <c r="F81" t="str">
        <f t="shared" si="1"/>
        <v>F132G5T1</v>
      </c>
      <c r="G81" s="14" t="s">
        <v>52</v>
      </c>
      <c r="AB81" s="26" t="s">
        <v>278</v>
      </c>
      <c r="AC81" s="27" t="s">
        <v>279</v>
      </c>
    </row>
    <row r="82" spans="1:29">
      <c r="A82">
        <v>13</v>
      </c>
      <c r="B82">
        <v>4</v>
      </c>
      <c r="C82">
        <v>5</v>
      </c>
      <c r="E82">
        <v>1</v>
      </c>
      <c r="F82" t="str">
        <f t="shared" si="1"/>
        <v>F134G5T1</v>
      </c>
      <c r="G82" s="14" t="s">
        <v>52</v>
      </c>
      <c r="AB82" s="26" t="s">
        <v>280</v>
      </c>
      <c r="AC82" s="27" t="s">
        <v>281</v>
      </c>
    </row>
    <row r="83" spans="1:29">
      <c r="A83">
        <v>13</v>
      </c>
      <c r="B83">
        <v>5</v>
      </c>
      <c r="C83">
        <v>5</v>
      </c>
      <c r="E83">
        <v>1</v>
      </c>
      <c r="F83" t="str">
        <f t="shared" si="1"/>
        <v>F135G5T1</v>
      </c>
      <c r="G83" s="14" t="s">
        <v>52</v>
      </c>
      <c r="AB83" s="26" t="s">
        <v>282</v>
      </c>
      <c r="AC83" s="26" t="s">
        <v>283</v>
      </c>
    </row>
    <row r="84" spans="1:29">
      <c r="A84">
        <v>13</v>
      </c>
      <c r="B84">
        <v>6</v>
      </c>
      <c r="C84">
        <v>5</v>
      </c>
      <c r="E84">
        <v>1</v>
      </c>
      <c r="F84" t="str">
        <f t="shared" si="1"/>
        <v>F136G5T1</v>
      </c>
      <c r="G84" s="14" t="s">
        <v>52</v>
      </c>
      <c r="AB84" s="26" t="s">
        <v>284</v>
      </c>
      <c r="AC84" s="27" t="s">
        <v>285</v>
      </c>
    </row>
    <row r="85" spans="1:29">
      <c r="A85">
        <v>13</v>
      </c>
      <c r="B85">
        <v>7</v>
      </c>
      <c r="C85">
        <v>5</v>
      </c>
      <c r="E85">
        <v>1</v>
      </c>
      <c r="F85" t="str">
        <f t="shared" si="1"/>
        <v>F137G5T1</v>
      </c>
      <c r="G85" s="14" t="s">
        <v>52</v>
      </c>
      <c r="AB85" s="26" t="s">
        <v>286</v>
      </c>
      <c r="AC85" s="27" t="s">
        <v>287</v>
      </c>
    </row>
    <row r="86" spans="1:29">
      <c r="A86">
        <v>15</v>
      </c>
      <c r="B86">
        <v>1</v>
      </c>
      <c r="C86">
        <v>3</v>
      </c>
      <c r="E86">
        <v>1</v>
      </c>
      <c r="F86" t="str">
        <f t="shared" si="1"/>
        <v>F151G3T1</v>
      </c>
      <c r="G86" s="14" t="s">
        <v>52</v>
      </c>
      <c r="AB86" s="26" t="s">
        <v>288</v>
      </c>
      <c r="AC86" s="27" t="s">
        <v>289</v>
      </c>
    </row>
    <row r="87" spans="1:29">
      <c r="A87">
        <v>15</v>
      </c>
      <c r="B87">
        <v>2</v>
      </c>
      <c r="C87">
        <v>3</v>
      </c>
      <c r="E87">
        <v>1</v>
      </c>
      <c r="F87" t="str">
        <f t="shared" si="1"/>
        <v>F152G3T1</v>
      </c>
      <c r="G87" s="14" t="s">
        <v>52</v>
      </c>
      <c r="AB87" s="26" t="s">
        <v>290</v>
      </c>
      <c r="AC87" s="27" t="s">
        <v>291</v>
      </c>
    </row>
    <row r="88" spans="1:29">
      <c r="A88">
        <v>15</v>
      </c>
      <c r="B88">
        <v>4</v>
      </c>
      <c r="C88">
        <v>3</v>
      </c>
      <c r="E88">
        <v>1</v>
      </c>
      <c r="F88" t="str">
        <f t="shared" si="1"/>
        <v>F154G3T1</v>
      </c>
      <c r="G88" s="14" t="s">
        <v>52</v>
      </c>
      <c r="AB88" s="26" t="s">
        <v>292</v>
      </c>
      <c r="AC88" s="27" t="s">
        <v>293</v>
      </c>
    </row>
    <row r="89" spans="1:29">
      <c r="A89">
        <v>15</v>
      </c>
      <c r="B89">
        <v>5</v>
      </c>
      <c r="C89">
        <v>3</v>
      </c>
      <c r="E89">
        <v>1</v>
      </c>
      <c r="F89" t="str">
        <f t="shared" si="1"/>
        <v>F155G3T1</v>
      </c>
      <c r="G89" s="14" t="s">
        <v>52</v>
      </c>
      <c r="AB89" s="26" t="s">
        <v>294</v>
      </c>
      <c r="AC89" s="27" t="s">
        <v>295</v>
      </c>
    </row>
    <row r="90" spans="1:29">
      <c r="A90">
        <v>15</v>
      </c>
      <c r="B90">
        <v>6</v>
      </c>
      <c r="C90">
        <v>3</v>
      </c>
      <c r="E90">
        <v>1</v>
      </c>
      <c r="F90" t="str">
        <f t="shared" si="1"/>
        <v>F156G3T1</v>
      </c>
      <c r="G90" s="14" t="s">
        <v>52</v>
      </c>
      <c r="AB90" s="26" t="s">
        <v>296</v>
      </c>
      <c r="AC90" s="27"/>
    </row>
    <row r="91" spans="1:29">
      <c r="A91">
        <v>15</v>
      </c>
      <c r="B91">
        <v>7</v>
      </c>
      <c r="C91">
        <v>3</v>
      </c>
      <c r="E91">
        <v>1</v>
      </c>
      <c r="F91" t="str">
        <f t="shared" si="1"/>
        <v>F157G3T1</v>
      </c>
      <c r="G91" s="14" t="s">
        <v>52</v>
      </c>
      <c r="AB91" s="26" t="s">
        <v>297</v>
      </c>
      <c r="AC91" s="27"/>
    </row>
    <row r="92" spans="1:29">
      <c r="A92">
        <v>15</v>
      </c>
      <c r="B92">
        <v>1</v>
      </c>
      <c r="C92">
        <v>4</v>
      </c>
      <c r="E92">
        <v>1</v>
      </c>
      <c r="F92" t="str">
        <f t="shared" si="1"/>
        <v>F151G4T1</v>
      </c>
      <c r="G92" s="14" t="s">
        <v>52</v>
      </c>
      <c r="AB92" s="26" t="s">
        <v>298</v>
      </c>
      <c r="AC92" s="27" t="s">
        <v>299</v>
      </c>
    </row>
    <row r="93" spans="1:29">
      <c r="A93">
        <v>15</v>
      </c>
      <c r="B93">
        <v>2</v>
      </c>
      <c r="C93">
        <v>4</v>
      </c>
      <c r="E93">
        <v>1</v>
      </c>
      <c r="F93" t="str">
        <f t="shared" si="1"/>
        <v>F152G4T1</v>
      </c>
      <c r="G93" s="14" t="s">
        <v>52</v>
      </c>
      <c r="AB93" s="26" t="s">
        <v>300</v>
      </c>
      <c r="AC93" s="27" t="s">
        <v>301</v>
      </c>
    </row>
    <row r="94" spans="1:29">
      <c r="A94">
        <v>15</v>
      </c>
      <c r="B94">
        <v>4</v>
      </c>
      <c r="C94">
        <v>4</v>
      </c>
      <c r="E94">
        <v>1</v>
      </c>
      <c r="F94" t="str">
        <f t="shared" si="1"/>
        <v>F154G4T1</v>
      </c>
      <c r="G94" s="14" t="s">
        <v>52</v>
      </c>
      <c r="AB94" s="26" t="s">
        <v>302</v>
      </c>
      <c r="AC94" s="27" t="s">
        <v>303</v>
      </c>
    </row>
    <row r="95" spans="1:29">
      <c r="A95">
        <v>15</v>
      </c>
      <c r="B95">
        <v>5</v>
      </c>
      <c r="C95">
        <v>4</v>
      </c>
      <c r="E95">
        <v>1</v>
      </c>
      <c r="F95" t="str">
        <f t="shared" si="1"/>
        <v>F155G4T1</v>
      </c>
      <c r="G95" s="14" t="s">
        <v>52</v>
      </c>
      <c r="AB95" s="26" t="s">
        <v>304</v>
      </c>
      <c r="AC95" s="27" t="s">
        <v>305</v>
      </c>
    </row>
    <row r="96" spans="1:29">
      <c r="A96">
        <v>15</v>
      </c>
      <c r="B96">
        <v>6</v>
      </c>
      <c r="C96">
        <v>4</v>
      </c>
      <c r="E96">
        <v>1</v>
      </c>
      <c r="F96" t="str">
        <f t="shared" si="1"/>
        <v>F156G4T1</v>
      </c>
      <c r="G96" s="14" t="s">
        <v>52</v>
      </c>
      <c r="AB96" s="26" t="s">
        <v>306</v>
      </c>
      <c r="AC96" s="27" t="s">
        <v>307</v>
      </c>
    </row>
    <row r="97" spans="1:29">
      <c r="A97">
        <v>15</v>
      </c>
      <c r="B97">
        <v>7</v>
      </c>
      <c r="C97">
        <v>4</v>
      </c>
      <c r="E97">
        <v>1</v>
      </c>
      <c r="F97" t="str">
        <f t="shared" si="1"/>
        <v>F157G4T1</v>
      </c>
      <c r="G97" s="14" t="s">
        <v>52</v>
      </c>
      <c r="AB97" s="26" t="s">
        <v>308</v>
      </c>
      <c r="AC97" s="27" t="s">
        <v>309</v>
      </c>
    </row>
    <row r="98" spans="1:29">
      <c r="A98">
        <v>15</v>
      </c>
      <c r="B98">
        <v>1</v>
      </c>
      <c r="C98">
        <v>5</v>
      </c>
      <c r="E98">
        <v>1</v>
      </c>
      <c r="F98" t="str">
        <f t="shared" si="1"/>
        <v>F151G5T1</v>
      </c>
      <c r="G98" s="14" t="s">
        <v>52</v>
      </c>
      <c r="AB98" s="26" t="s">
        <v>310</v>
      </c>
      <c r="AC98" s="27" t="s">
        <v>311</v>
      </c>
    </row>
    <row r="99" spans="1:29">
      <c r="A99">
        <v>15</v>
      </c>
      <c r="B99">
        <v>2</v>
      </c>
      <c r="C99">
        <v>5</v>
      </c>
      <c r="E99">
        <v>1</v>
      </c>
      <c r="F99" t="str">
        <f t="shared" si="1"/>
        <v>F152G5T1</v>
      </c>
      <c r="G99" s="14" t="s">
        <v>52</v>
      </c>
      <c r="AB99" s="26" t="s">
        <v>312</v>
      </c>
      <c r="AC99" s="27" t="s">
        <v>313</v>
      </c>
    </row>
    <row r="100" spans="1:29">
      <c r="A100">
        <v>15</v>
      </c>
      <c r="B100">
        <v>4</v>
      </c>
      <c r="C100">
        <v>5</v>
      </c>
      <c r="E100">
        <v>1</v>
      </c>
      <c r="F100" t="str">
        <f t="shared" si="1"/>
        <v>F154G5T1</v>
      </c>
      <c r="G100" s="14" t="s">
        <v>52</v>
      </c>
      <c r="AB100" s="26" t="s">
        <v>314</v>
      </c>
      <c r="AC100" s="27" t="s">
        <v>315</v>
      </c>
    </row>
    <row r="101" spans="1:29">
      <c r="A101">
        <v>15</v>
      </c>
      <c r="B101">
        <v>5</v>
      </c>
      <c r="C101">
        <v>5</v>
      </c>
      <c r="E101">
        <v>1</v>
      </c>
      <c r="F101" t="str">
        <f t="shared" si="1"/>
        <v>F155G5T1</v>
      </c>
      <c r="G101" s="14" t="s">
        <v>52</v>
      </c>
      <c r="AB101" s="26" t="s">
        <v>316</v>
      </c>
      <c r="AC101" s="27" t="s">
        <v>317</v>
      </c>
    </row>
    <row r="102" spans="1:29">
      <c r="A102">
        <v>15</v>
      </c>
      <c r="B102">
        <v>6</v>
      </c>
      <c r="C102">
        <v>5</v>
      </c>
      <c r="E102">
        <v>1</v>
      </c>
      <c r="F102" t="str">
        <f t="shared" si="1"/>
        <v>F156G5T1</v>
      </c>
      <c r="G102" s="14" t="s">
        <v>52</v>
      </c>
      <c r="AB102" s="26" t="s">
        <v>318</v>
      </c>
      <c r="AC102" s="27" t="s">
        <v>319</v>
      </c>
    </row>
    <row r="103" spans="1:29">
      <c r="A103">
        <v>15</v>
      </c>
      <c r="B103">
        <v>7</v>
      </c>
      <c r="C103">
        <v>5</v>
      </c>
      <c r="E103">
        <v>1</v>
      </c>
      <c r="F103" t="str">
        <f t="shared" si="1"/>
        <v>F157G5T1</v>
      </c>
      <c r="G103" s="14" t="s">
        <v>52</v>
      </c>
      <c r="AB103" s="26" t="s">
        <v>320</v>
      </c>
      <c r="AC103" s="27" t="s">
        <v>321</v>
      </c>
    </row>
    <row r="104" spans="1:29">
      <c r="A104">
        <v>10</v>
      </c>
      <c r="B104">
        <v>1</v>
      </c>
      <c r="C104">
        <v>3</v>
      </c>
      <c r="E104">
        <v>4</v>
      </c>
      <c r="F104" t="str">
        <f t="shared" si="1"/>
        <v>F101G3T4</v>
      </c>
      <c r="G104" s="14" t="s">
        <v>52</v>
      </c>
      <c r="AB104" s="26"/>
      <c r="AC104" s="27"/>
    </row>
    <row r="105" spans="1:29">
      <c r="A105">
        <v>10</v>
      </c>
      <c r="B105">
        <v>2</v>
      </c>
      <c r="C105">
        <v>3</v>
      </c>
      <c r="E105">
        <v>4</v>
      </c>
      <c r="F105" t="str">
        <f t="shared" si="1"/>
        <v>F102G3T4</v>
      </c>
      <c r="G105" s="14" t="s">
        <v>52</v>
      </c>
      <c r="AB105" s="26"/>
      <c r="AC105" s="27"/>
    </row>
    <row r="106" spans="1:29">
      <c r="A106">
        <v>10</v>
      </c>
      <c r="B106">
        <v>4</v>
      </c>
      <c r="C106">
        <v>3</v>
      </c>
      <c r="E106">
        <v>4</v>
      </c>
      <c r="F106" t="str">
        <f t="shared" si="1"/>
        <v>F104G3T4</v>
      </c>
      <c r="G106" s="14" t="s">
        <v>52</v>
      </c>
      <c r="AB106" s="26"/>
      <c r="AC106" s="27"/>
    </row>
    <row r="107" spans="1:29">
      <c r="A107">
        <v>10</v>
      </c>
      <c r="B107">
        <v>5</v>
      </c>
      <c r="C107">
        <v>3</v>
      </c>
      <c r="E107">
        <v>4</v>
      </c>
      <c r="F107" t="str">
        <f t="shared" si="1"/>
        <v>F105G3T4</v>
      </c>
      <c r="G107" s="14" t="s">
        <v>52</v>
      </c>
      <c r="AB107" s="26"/>
      <c r="AC107" s="27"/>
    </row>
    <row r="108" spans="1:29">
      <c r="A108">
        <v>10</v>
      </c>
      <c r="B108">
        <v>6</v>
      </c>
      <c r="C108">
        <v>3</v>
      </c>
      <c r="E108">
        <v>4</v>
      </c>
      <c r="F108" t="str">
        <f t="shared" si="1"/>
        <v>F106G3T4</v>
      </c>
      <c r="G108" s="14" t="s">
        <v>52</v>
      </c>
      <c r="AB108" s="26"/>
      <c r="AC108" s="27"/>
    </row>
    <row r="109" spans="1:29">
      <c r="A109">
        <v>10</v>
      </c>
      <c r="B109">
        <v>7</v>
      </c>
      <c r="C109">
        <v>3</v>
      </c>
      <c r="E109">
        <v>4</v>
      </c>
      <c r="F109" t="str">
        <f t="shared" si="1"/>
        <v>F107G3T4</v>
      </c>
      <c r="G109" s="14" t="s">
        <v>52</v>
      </c>
    </row>
    <row r="110" spans="1:29">
      <c r="A110">
        <v>10</v>
      </c>
      <c r="B110">
        <v>1</v>
      </c>
      <c r="C110">
        <v>4</v>
      </c>
      <c r="E110">
        <v>4</v>
      </c>
      <c r="F110" t="str">
        <f t="shared" si="1"/>
        <v>F101G4T4</v>
      </c>
      <c r="G110" s="14" t="s">
        <v>52</v>
      </c>
    </row>
    <row r="111" spans="1:29">
      <c r="A111">
        <v>10</v>
      </c>
      <c r="B111">
        <v>2</v>
      </c>
      <c r="C111">
        <v>4</v>
      </c>
      <c r="E111">
        <v>4</v>
      </c>
      <c r="F111" t="str">
        <f t="shared" si="1"/>
        <v>F102G4T4</v>
      </c>
      <c r="G111" s="14" t="s">
        <v>52</v>
      </c>
    </row>
    <row r="112" spans="1:29">
      <c r="A112">
        <v>10</v>
      </c>
      <c r="B112">
        <v>4</v>
      </c>
      <c r="C112">
        <v>4</v>
      </c>
      <c r="E112">
        <v>4</v>
      </c>
      <c r="F112" t="str">
        <f t="shared" si="1"/>
        <v>F104G4T4</v>
      </c>
      <c r="G112" s="14" t="s">
        <v>52</v>
      </c>
    </row>
    <row r="113" spans="1:7">
      <c r="A113">
        <v>10</v>
      </c>
      <c r="B113">
        <v>5</v>
      </c>
      <c r="C113">
        <v>4</v>
      </c>
      <c r="E113">
        <v>4</v>
      </c>
      <c r="F113" t="str">
        <f t="shared" si="1"/>
        <v>F105G4T4</v>
      </c>
      <c r="G113" s="14" t="s">
        <v>52</v>
      </c>
    </row>
    <row r="114" spans="1:7">
      <c r="A114">
        <v>10</v>
      </c>
      <c r="B114">
        <v>6</v>
      </c>
      <c r="C114">
        <v>4</v>
      </c>
      <c r="E114">
        <v>4</v>
      </c>
      <c r="F114" t="str">
        <f t="shared" si="1"/>
        <v>F106G4T4</v>
      </c>
      <c r="G114" s="14" t="s">
        <v>52</v>
      </c>
    </row>
    <row r="115" spans="1:7">
      <c r="A115">
        <v>10</v>
      </c>
      <c r="B115">
        <v>7</v>
      </c>
      <c r="C115">
        <v>4</v>
      </c>
      <c r="E115">
        <v>4</v>
      </c>
      <c r="F115" t="str">
        <f t="shared" si="1"/>
        <v>F107G4T4</v>
      </c>
      <c r="G115" s="14" t="s">
        <v>52</v>
      </c>
    </row>
    <row r="116" spans="1:7">
      <c r="A116">
        <v>10</v>
      </c>
      <c r="B116">
        <v>1</v>
      </c>
      <c r="C116">
        <v>5</v>
      </c>
      <c r="E116">
        <v>4</v>
      </c>
      <c r="F116" t="str">
        <f t="shared" si="1"/>
        <v>F101G5T4</v>
      </c>
      <c r="G116" s="14" t="s">
        <v>52</v>
      </c>
    </row>
    <row r="117" spans="1:7">
      <c r="A117">
        <v>10</v>
      </c>
      <c r="B117">
        <v>2</v>
      </c>
      <c r="C117">
        <v>5</v>
      </c>
      <c r="E117">
        <v>4</v>
      </c>
      <c r="F117" t="str">
        <f t="shared" si="1"/>
        <v>F102G5T4</v>
      </c>
      <c r="G117" s="14" t="s">
        <v>52</v>
      </c>
    </row>
    <row r="118" spans="1:7">
      <c r="A118">
        <v>10</v>
      </c>
      <c r="B118">
        <v>4</v>
      </c>
      <c r="C118">
        <v>5</v>
      </c>
      <c r="E118">
        <v>4</v>
      </c>
      <c r="F118" t="str">
        <f t="shared" si="1"/>
        <v>F104G5T4</v>
      </c>
      <c r="G118" s="14" t="s">
        <v>52</v>
      </c>
    </row>
    <row r="119" spans="1:7">
      <c r="A119">
        <v>10</v>
      </c>
      <c r="B119">
        <v>5</v>
      </c>
      <c r="C119">
        <v>5</v>
      </c>
      <c r="E119">
        <v>4</v>
      </c>
      <c r="F119" t="str">
        <f t="shared" si="1"/>
        <v>F105G5T4</v>
      </c>
      <c r="G119" s="14" t="s">
        <v>52</v>
      </c>
    </row>
    <row r="120" spans="1:7">
      <c r="A120">
        <v>10</v>
      </c>
      <c r="B120">
        <v>6</v>
      </c>
      <c r="C120">
        <v>5</v>
      </c>
      <c r="E120">
        <v>4</v>
      </c>
      <c r="F120" t="str">
        <f t="shared" si="1"/>
        <v>F106G5T4</v>
      </c>
      <c r="G120" s="14" t="s">
        <v>52</v>
      </c>
    </row>
    <row r="121" spans="1:7">
      <c r="A121">
        <v>10</v>
      </c>
      <c r="B121">
        <v>7</v>
      </c>
      <c r="C121">
        <v>5</v>
      </c>
      <c r="E121">
        <v>4</v>
      </c>
      <c r="F121" t="str">
        <f t="shared" si="1"/>
        <v>F107G5T4</v>
      </c>
      <c r="G121" s="14" t="s">
        <v>52</v>
      </c>
    </row>
    <row r="122" spans="1:7">
      <c r="A122">
        <v>13</v>
      </c>
      <c r="B122">
        <v>1</v>
      </c>
      <c r="C122">
        <v>3</v>
      </c>
      <c r="E122">
        <v>4</v>
      </c>
      <c r="F122" t="str">
        <f t="shared" si="1"/>
        <v>F131G3T4</v>
      </c>
      <c r="G122" s="14" t="s">
        <v>52</v>
      </c>
    </row>
    <row r="123" spans="1:7">
      <c r="A123">
        <v>13</v>
      </c>
      <c r="B123">
        <v>2</v>
      </c>
      <c r="C123">
        <v>3</v>
      </c>
      <c r="E123">
        <v>4</v>
      </c>
      <c r="F123" t="str">
        <f t="shared" si="1"/>
        <v>F132G3T4</v>
      </c>
      <c r="G123" s="14" t="s">
        <v>52</v>
      </c>
    </row>
    <row r="124" spans="1:7">
      <c r="A124">
        <v>13</v>
      </c>
      <c r="B124">
        <v>4</v>
      </c>
      <c r="C124">
        <v>3</v>
      </c>
      <c r="E124">
        <v>4</v>
      </c>
      <c r="F124" t="str">
        <f t="shared" si="1"/>
        <v>F134G3T4</v>
      </c>
      <c r="G124" s="14" t="s">
        <v>52</v>
      </c>
    </row>
    <row r="125" spans="1:7">
      <c r="A125">
        <v>13</v>
      </c>
      <c r="B125">
        <v>5</v>
      </c>
      <c r="C125">
        <v>3</v>
      </c>
      <c r="E125">
        <v>4</v>
      </c>
      <c r="F125" t="str">
        <f t="shared" si="1"/>
        <v>F135G3T4</v>
      </c>
      <c r="G125" s="14" t="s">
        <v>52</v>
      </c>
    </row>
    <row r="126" spans="1:7">
      <c r="A126">
        <v>13</v>
      </c>
      <c r="B126">
        <v>6</v>
      </c>
      <c r="C126">
        <v>3</v>
      </c>
      <c r="E126">
        <v>4</v>
      </c>
      <c r="F126" t="str">
        <f t="shared" si="1"/>
        <v>F136G3T4</v>
      </c>
      <c r="G126" s="14" t="s">
        <v>52</v>
      </c>
    </row>
    <row r="127" spans="1:7">
      <c r="A127">
        <v>13</v>
      </c>
      <c r="B127">
        <v>7</v>
      </c>
      <c r="C127">
        <v>3</v>
      </c>
      <c r="E127">
        <v>4</v>
      </c>
      <c r="F127" t="str">
        <f t="shared" si="1"/>
        <v>F137G3T4</v>
      </c>
      <c r="G127" s="14" t="s">
        <v>52</v>
      </c>
    </row>
    <row r="128" spans="1:7">
      <c r="A128">
        <v>13</v>
      </c>
      <c r="B128">
        <v>1</v>
      </c>
      <c r="C128">
        <v>4</v>
      </c>
      <c r="E128">
        <v>4</v>
      </c>
      <c r="F128" t="str">
        <f t="shared" si="1"/>
        <v>F131G4T4</v>
      </c>
      <c r="G128" s="14" t="s">
        <v>52</v>
      </c>
    </row>
    <row r="129" spans="1:7">
      <c r="A129">
        <v>13</v>
      </c>
      <c r="B129">
        <v>2</v>
      </c>
      <c r="C129">
        <v>4</v>
      </c>
      <c r="E129">
        <v>4</v>
      </c>
      <c r="F129" t="str">
        <f t="shared" si="1"/>
        <v>F132G4T4</v>
      </c>
      <c r="G129" s="14" t="s">
        <v>52</v>
      </c>
    </row>
    <row r="130" spans="1:7">
      <c r="A130">
        <v>13</v>
      </c>
      <c r="B130">
        <v>4</v>
      </c>
      <c r="C130">
        <v>4</v>
      </c>
      <c r="E130">
        <v>4</v>
      </c>
      <c r="F130" t="str">
        <f t="shared" si="1"/>
        <v>F134G4T4</v>
      </c>
      <c r="G130" s="14" t="s">
        <v>52</v>
      </c>
    </row>
    <row r="131" spans="1:7">
      <c r="A131">
        <v>13</v>
      </c>
      <c r="B131">
        <v>5</v>
      </c>
      <c r="C131">
        <v>4</v>
      </c>
      <c r="E131">
        <v>4</v>
      </c>
      <c r="F131" t="str">
        <f t="shared" ref="F131:F194" si="2">CONCATENATE("F",A131,B131,"G",C131,"T",E131)</f>
        <v>F135G4T4</v>
      </c>
      <c r="G131" s="14" t="s">
        <v>52</v>
      </c>
    </row>
    <row r="132" spans="1:7">
      <c r="A132">
        <v>13</v>
      </c>
      <c r="B132">
        <v>6</v>
      </c>
      <c r="C132">
        <v>4</v>
      </c>
      <c r="E132">
        <v>4</v>
      </c>
      <c r="F132" t="str">
        <f t="shared" si="2"/>
        <v>F136G4T4</v>
      </c>
      <c r="G132" s="14" t="s">
        <v>52</v>
      </c>
    </row>
    <row r="133" spans="1:7">
      <c r="A133">
        <v>13</v>
      </c>
      <c r="B133">
        <v>7</v>
      </c>
      <c r="C133">
        <v>4</v>
      </c>
      <c r="E133">
        <v>4</v>
      </c>
      <c r="F133" t="str">
        <f t="shared" si="2"/>
        <v>F137G4T4</v>
      </c>
      <c r="G133" s="14" t="s">
        <v>52</v>
      </c>
    </row>
    <row r="134" spans="1:7">
      <c r="A134">
        <v>13</v>
      </c>
      <c r="B134">
        <v>1</v>
      </c>
      <c r="C134">
        <v>5</v>
      </c>
      <c r="E134">
        <v>4</v>
      </c>
      <c r="F134" t="str">
        <f t="shared" si="2"/>
        <v>F131G5T4</v>
      </c>
      <c r="G134" s="14" t="s">
        <v>52</v>
      </c>
    </row>
    <row r="135" spans="1:7">
      <c r="A135">
        <v>13</v>
      </c>
      <c r="B135">
        <v>2</v>
      </c>
      <c r="C135">
        <v>5</v>
      </c>
      <c r="E135">
        <v>4</v>
      </c>
      <c r="F135" t="str">
        <f t="shared" si="2"/>
        <v>F132G5T4</v>
      </c>
      <c r="G135" s="14" t="s">
        <v>52</v>
      </c>
    </row>
    <row r="136" spans="1:7">
      <c r="A136">
        <v>13</v>
      </c>
      <c r="B136">
        <v>4</v>
      </c>
      <c r="C136">
        <v>5</v>
      </c>
      <c r="E136">
        <v>4</v>
      </c>
      <c r="F136" t="str">
        <f t="shared" si="2"/>
        <v>F134G5T4</v>
      </c>
      <c r="G136" s="14" t="s">
        <v>52</v>
      </c>
    </row>
    <row r="137" spans="1:7">
      <c r="A137">
        <v>13</v>
      </c>
      <c r="B137">
        <v>5</v>
      </c>
      <c r="C137">
        <v>5</v>
      </c>
      <c r="E137">
        <v>4</v>
      </c>
      <c r="F137" t="str">
        <f t="shared" si="2"/>
        <v>F135G5T4</v>
      </c>
      <c r="G137" s="14" t="s">
        <v>52</v>
      </c>
    </row>
    <row r="138" spans="1:7">
      <c r="A138">
        <v>13</v>
      </c>
      <c r="B138">
        <v>6</v>
      </c>
      <c r="C138">
        <v>5</v>
      </c>
      <c r="E138">
        <v>4</v>
      </c>
      <c r="F138" t="str">
        <f t="shared" si="2"/>
        <v>F136G5T4</v>
      </c>
      <c r="G138" s="14" t="s">
        <v>52</v>
      </c>
    </row>
    <row r="139" spans="1:7">
      <c r="A139">
        <v>13</v>
      </c>
      <c r="B139">
        <v>7</v>
      </c>
      <c r="C139">
        <v>5</v>
      </c>
      <c r="E139">
        <v>4</v>
      </c>
      <c r="F139" t="str">
        <f t="shared" si="2"/>
        <v>F137G5T4</v>
      </c>
      <c r="G139" s="14" t="s">
        <v>52</v>
      </c>
    </row>
    <row r="140" spans="1:7">
      <c r="A140">
        <v>15</v>
      </c>
      <c r="B140">
        <v>1</v>
      </c>
      <c r="C140">
        <v>3</v>
      </c>
      <c r="E140">
        <v>4</v>
      </c>
      <c r="F140" t="str">
        <f t="shared" si="2"/>
        <v>F151G3T4</v>
      </c>
      <c r="G140" s="14" t="s">
        <v>52</v>
      </c>
    </row>
    <row r="141" spans="1:7">
      <c r="A141">
        <v>15</v>
      </c>
      <c r="B141">
        <v>2</v>
      </c>
      <c r="C141">
        <v>3</v>
      </c>
      <c r="E141">
        <v>4</v>
      </c>
      <c r="F141" t="str">
        <f t="shared" si="2"/>
        <v>F152G3T4</v>
      </c>
      <c r="G141" s="14" t="s">
        <v>52</v>
      </c>
    </row>
    <row r="142" spans="1:7">
      <c r="A142">
        <v>15</v>
      </c>
      <c r="B142">
        <v>4</v>
      </c>
      <c r="C142">
        <v>3</v>
      </c>
      <c r="E142">
        <v>4</v>
      </c>
      <c r="F142" t="str">
        <f t="shared" si="2"/>
        <v>F154G3T4</v>
      </c>
      <c r="G142" s="14" t="s">
        <v>52</v>
      </c>
    </row>
    <row r="143" spans="1:7">
      <c r="A143">
        <v>15</v>
      </c>
      <c r="B143">
        <v>5</v>
      </c>
      <c r="C143">
        <v>3</v>
      </c>
      <c r="E143">
        <v>4</v>
      </c>
      <c r="F143" t="str">
        <f t="shared" si="2"/>
        <v>F155G3T4</v>
      </c>
      <c r="G143" s="14" t="s">
        <v>52</v>
      </c>
    </row>
    <row r="144" spans="1:7">
      <c r="A144">
        <v>15</v>
      </c>
      <c r="B144">
        <v>6</v>
      </c>
      <c r="C144">
        <v>3</v>
      </c>
      <c r="E144">
        <v>4</v>
      </c>
      <c r="F144" t="str">
        <f t="shared" si="2"/>
        <v>F156G3T4</v>
      </c>
      <c r="G144" s="14" t="s">
        <v>52</v>
      </c>
    </row>
    <row r="145" spans="1:7">
      <c r="A145">
        <v>15</v>
      </c>
      <c r="B145">
        <v>7</v>
      </c>
      <c r="C145">
        <v>3</v>
      </c>
      <c r="E145">
        <v>4</v>
      </c>
      <c r="F145" t="str">
        <f t="shared" si="2"/>
        <v>F157G3T4</v>
      </c>
      <c r="G145" s="14" t="s">
        <v>52</v>
      </c>
    </row>
    <row r="146" spans="1:7">
      <c r="A146">
        <v>15</v>
      </c>
      <c r="B146">
        <v>1</v>
      </c>
      <c r="C146">
        <v>4</v>
      </c>
      <c r="E146">
        <v>4</v>
      </c>
      <c r="F146" t="str">
        <f t="shared" si="2"/>
        <v>F151G4T4</v>
      </c>
      <c r="G146" s="14" t="s">
        <v>52</v>
      </c>
    </row>
    <row r="147" spans="1:7">
      <c r="A147">
        <v>15</v>
      </c>
      <c r="B147">
        <v>2</v>
      </c>
      <c r="C147">
        <v>4</v>
      </c>
      <c r="E147">
        <v>4</v>
      </c>
      <c r="F147" t="str">
        <f t="shared" si="2"/>
        <v>F152G4T4</v>
      </c>
      <c r="G147" s="14" t="s">
        <v>52</v>
      </c>
    </row>
    <row r="148" spans="1:7">
      <c r="A148">
        <v>15</v>
      </c>
      <c r="B148">
        <v>4</v>
      </c>
      <c r="C148">
        <v>4</v>
      </c>
      <c r="E148">
        <v>4</v>
      </c>
      <c r="F148" t="str">
        <f t="shared" si="2"/>
        <v>F154G4T4</v>
      </c>
      <c r="G148" s="14" t="s">
        <v>52</v>
      </c>
    </row>
    <row r="149" spans="1:7">
      <c r="A149">
        <v>15</v>
      </c>
      <c r="B149">
        <v>5</v>
      </c>
      <c r="C149">
        <v>4</v>
      </c>
      <c r="E149">
        <v>4</v>
      </c>
      <c r="F149" t="str">
        <f t="shared" si="2"/>
        <v>F155G4T4</v>
      </c>
      <c r="G149" s="14" t="s">
        <v>52</v>
      </c>
    </row>
    <row r="150" spans="1:7">
      <c r="A150">
        <v>15</v>
      </c>
      <c r="B150">
        <v>6</v>
      </c>
      <c r="C150">
        <v>4</v>
      </c>
      <c r="E150">
        <v>4</v>
      </c>
      <c r="F150" t="str">
        <f t="shared" si="2"/>
        <v>F156G4T4</v>
      </c>
      <c r="G150" s="14" t="s">
        <v>52</v>
      </c>
    </row>
    <row r="151" spans="1:7">
      <c r="A151">
        <v>15</v>
      </c>
      <c r="B151">
        <v>7</v>
      </c>
      <c r="C151">
        <v>4</v>
      </c>
      <c r="E151">
        <v>4</v>
      </c>
      <c r="F151" t="str">
        <f t="shared" si="2"/>
        <v>F157G4T4</v>
      </c>
      <c r="G151" s="14" t="s">
        <v>52</v>
      </c>
    </row>
    <row r="152" spans="1:7">
      <c r="A152">
        <v>15</v>
      </c>
      <c r="B152">
        <v>1</v>
      </c>
      <c r="C152">
        <v>5</v>
      </c>
      <c r="E152">
        <v>4</v>
      </c>
      <c r="F152" t="str">
        <f t="shared" si="2"/>
        <v>F151G5T4</v>
      </c>
      <c r="G152" s="14" t="s">
        <v>52</v>
      </c>
    </row>
    <row r="153" spans="1:7">
      <c r="A153">
        <v>15</v>
      </c>
      <c r="B153">
        <v>2</v>
      </c>
      <c r="C153">
        <v>5</v>
      </c>
      <c r="E153">
        <v>4</v>
      </c>
      <c r="F153" t="str">
        <f t="shared" si="2"/>
        <v>F152G5T4</v>
      </c>
      <c r="G153" s="14" t="s">
        <v>52</v>
      </c>
    </row>
    <row r="154" spans="1:7">
      <c r="A154">
        <v>15</v>
      </c>
      <c r="B154">
        <v>4</v>
      </c>
      <c r="C154">
        <v>5</v>
      </c>
      <c r="E154">
        <v>4</v>
      </c>
      <c r="F154" t="str">
        <f t="shared" si="2"/>
        <v>F154G5T4</v>
      </c>
      <c r="G154" s="14" t="s">
        <v>52</v>
      </c>
    </row>
    <row r="155" spans="1:7">
      <c r="A155">
        <v>15</v>
      </c>
      <c r="B155">
        <v>5</v>
      </c>
      <c r="C155">
        <v>5</v>
      </c>
      <c r="E155">
        <v>4</v>
      </c>
      <c r="F155" t="str">
        <f t="shared" si="2"/>
        <v>F155G5T4</v>
      </c>
      <c r="G155" s="14" t="s">
        <v>52</v>
      </c>
    </row>
    <row r="156" spans="1:7">
      <c r="A156">
        <v>15</v>
      </c>
      <c r="B156">
        <v>6</v>
      </c>
      <c r="C156">
        <v>5</v>
      </c>
      <c r="E156">
        <v>4</v>
      </c>
      <c r="F156" t="str">
        <f t="shared" si="2"/>
        <v>F156G5T4</v>
      </c>
      <c r="G156" s="14" t="s">
        <v>52</v>
      </c>
    </row>
    <row r="157" spans="1:7">
      <c r="A157">
        <v>15</v>
      </c>
      <c r="B157">
        <v>7</v>
      </c>
      <c r="C157">
        <v>5</v>
      </c>
      <c r="E157">
        <v>4</v>
      </c>
      <c r="F157" t="str">
        <f t="shared" si="2"/>
        <v>F157G5T4</v>
      </c>
      <c r="G157" s="14" t="s">
        <v>52</v>
      </c>
    </row>
    <row r="158" spans="1:7">
      <c r="A158">
        <v>10</v>
      </c>
      <c r="B158">
        <v>1</v>
      </c>
      <c r="C158">
        <v>1</v>
      </c>
      <c r="E158">
        <v>1</v>
      </c>
      <c r="F158" t="str">
        <f t="shared" si="2"/>
        <v>F101G1T1</v>
      </c>
      <c r="G158" s="14" t="s">
        <v>56</v>
      </c>
    </row>
    <row r="159" spans="1:7">
      <c r="A159">
        <v>10</v>
      </c>
      <c r="B159">
        <v>2</v>
      </c>
      <c r="C159">
        <v>1</v>
      </c>
      <c r="E159">
        <v>1</v>
      </c>
      <c r="F159" t="str">
        <f t="shared" si="2"/>
        <v>F102G1T1</v>
      </c>
      <c r="G159" s="14" t="s">
        <v>56</v>
      </c>
    </row>
    <row r="160" spans="1:7">
      <c r="A160">
        <v>10</v>
      </c>
      <c r="B160">
        <v>4</v>
      </c>
      <c r="C160">
        <v>1</v>
      </c>
      <c r="E160">
        <v>1</v>
      </c>
      <c r="F160" t="str">
        <f t="shared" si="2"/>
        <v>F104G1T1</v>
      </c>
      <c r="G160" s="14" t="s">
        <v>56</v>
      </c>
    </row>
    <row r="161" spans="1:7">
      <c r="A161">
        <v>10</v>
      </c>
      <c r="B161">
        <v>5</v>
      </c>
      <c r="C161">
        <v>1</v>
      </c>
      <c r="E161">
        <v>1</v>
      </c>
      <c r="F161" t="str">
        <f t="shared" si="2"/>
        <v>F105G1T1</v>
      </c>
      <c r="G161" s="14" t="s">
        <v>56</v>
      </c>
    </row>
    <row r="162" spans="1:7">
      <c r="A162">
        <v>10</v>
      </c>
      <c r="B162">
        <v>6</v>
      </c>
      <c r="C162">
        <v>1</v>
      </c>
      <c r="E162">
        <v>1</v>
      </c>
      <c r="F162" t="str">
        <f t="shared" si="2"/>
        <v>F106G1T1</v>
      </c>
      <c r="G162" s="14" t="s">
        <v>56</v>
      </c>
    </row>
    <row r="163" spans="1:7">
      <c r="A163">
        <v>10</v>
      </c>
      <c r="B163">
        <v>7</v>
      </c>
      <c r="C163">
        <v>1</v>
      </c>
      <c r="E163">
        <v>1</v>
      </c>
      <c r="F163" t="str">
        <f t="shared" si="2"/>
        <v>F107G1T1</v>
      </c>
      <c r="G163" s="14" t="s">
        <v>56</v>
      </c>
    </row>
    <row r="164" spans="1:7">
      <c r="A164">
        <v>10</v>
      </c>
      <c r="B164">
        <v>8</v>
      </c>
      <c r="C164">
        <v>1</v>
      </c>
      <c r="E164">
        <v>1</v>
      </c>
      <c r="F164" t="str">
        <f t="shared" si="2"/>
        <v>F108G1T1</v>
      </c>
      <c r="G164" s="14" t="s">
        <v>56</v>
      </c>
    </row>
    <row r="165" spans="1:7">
      <c r="A165">
        <v>10</v>
      </c>
      <c r="B165">
        <v>1</v>
      </c>
      <c r="C165">
        <v>1</v>
      </c>
      <c r="E165">
        <v>4</v>
      </c>
      <c r="F165" t="str">
        <f t="shared" si="2"/>
        <v>F101G1T4</v>
      </c>
      <c r="G165" s="14" t="s">
        <v>56</v>
      </c>
    </row>
    <row r="166" spans="1:7">
      <c r="A166">
        <v>10</v>
      </c>
      <c r="B166">
        <v>2</v>
      </c>
      <c r="C166">
        <v>1</v>
      </c>
      <c r="E166">
        <v>4</v>
      </c>
      <c r="F166" t="str">
        <f t="shared" si="2"/>
        <v>F102G1T4</v>
      </c>
      <c r="G166" s="14" t="s">
        <v>56</v>
      </c>
    </row>
    <row r="167" spans="1:7">
      <c r="A167">
        <v>10</v>
      </c>
      <c r="B167">
        <v>4</v>
      </c>
      <c r="C167">
        <v>1</v>
      </c>
      <c r="E167">
        <v>4</v>
      </c>
      <c r="F167" t="str">
        <f t="shared" si="2"/>
        <v>F104G1T4</v>
      </c>
      <c r="G167" s="14" t="s">
        <v>56</v>
      </c>
    </row>
    <row r="168" spans="1:7">
      <c r="A168">
        <v>10</v>
      </c>
      <c r="B168">
        <v>5</v>
      </c>
      <c r="C168">
        <v>1</v>
      </c>
      <c r="E168">
        <v>4</v>
      </c>
      <c r="F168" t="str">
        <f t="shared" si="2"/>
        <v>F105G1T4</v>
      </c>
      <c r="G168" s="14" t="s">
        <v>56</v>
      </c>
    </row>
    <row r="169" spans="1:7">
      <c r="A169">
        <v>10</v>
      </c>
      <c r="B169">
        <v>6</v>
      </c>
      <c r="C169">
        <v>1</v>
      </c>
      <c r="E169">
        <v>4</v>
      </c>
      <c r="F169" t="str">
        <f t="shared" si="2"/>
        <v>F106G1T4</v>
      </c>
      <c r="G169" s="14" t="s">
        <v>56</v>
      </c>
    </row>
    <row r="170" spans="1:7">
      <c r="A170">
        <v>10</v>
      </c>
      <c r="B170">
        <v>7</v>
      </c>
      <c r="C170">
        <v>1</v>
      </c>
      <c r="E170">
        <v>4</v>
      </c>
      <c r="F170" t="str">
        <f t="shared" si="2"/>
        <v>F107G1T4</v>
      </c>
      <c r="G170" s="14" t="s">
        <v>56</v>
      </c>
    </row>
    <row r="171" spans="1:7">
      <c r="A171">
        <v>10</v>
      </c>
      <c r="B171">
        <v>8</v>
      </c>
      <c r="C171">
        <v>1</v>
      </c>
      <c r="E171">
        <v>4</v>
      </c>
      <c r="F171" t="str">
        <f t="shared" si="2"/>
        <v>F108G1T4</v>
      </c>
      <c r="G171" s="14" t="s">
        <v>56</v>
      </c>
    </row>
    <row r="172" spans="1:7">
      <c r="A172">
        <v>13</v>
      </c>
      <c r="B172">
        <v>1</v>
      </c>
      <c r="C172">
        <v>1</v>
      </c>
      <c r="E172">
        <v>1</v>
      </c>
      <c r="F172" t="str">
        <f t="shared" si="2"/>
        <v>F131G1T1</v>
      </c>
      <c r="G172" s="14" t="s">
        <v>56</v>
      </c>
    </row>
    <row r="173" spans="1:7">
      <c r="A173">
        <v>13</v>
      </c>
      <c r="B173">
        <v>2</v>
      </c>
      <c r="C173">
        <v>1</v>
      </c>
      <c r="E173">
        <v>1</v>
      </c>
      <c r="F173" t="str">
        <f t="shared" si="2"/>
        <v>F132G1T1</v>
      </c>
      <c r="G173" s="14" t="s">
        <v>56</v>
      </c>
    </row>
    <row r="174" spans="1:7">
      <c r="A174">
        <v>13</v>
      </c>
      <c r="B174">
        <v>4</v>
      </c>
      <c r="C174">
        <v>1</v>
      </c>
      <c r="E174">
        <v>1</v>
      </c>
      <c r="F174" t="str">
        <f t="shared" si="2"/>
        <v>F134G1T1</v>
      </c>
      <c r="G174" s="14" t="s">
        <v>56</v>
      </c>
    </row>
    <row r="175" spans="1:7">
      <c r="A175">
        <v>13</v>
      </c>
      <c r="B175">
        <v>5</v>
      </c>
      <c r="C175">
        <v>1</v>
      </c>
      <c r="E175">
        <v>1</v>
      </c>
      <c r="F175" t="str">
        <f t="shared" si="2"/>
        <v>F135G1T1</v>
      </c>
      <c r="G175" s="14" t="s">
        <v>56</v>
      </c>
    </row>
    <row r="176" spans="1:7">
      <c r="A176">
        <v>13</v>
      </c>
      <c r="B176">
        <v>6</v>
      </c>
      <c r="C176">
        <v>1</v>
      </c>
      <c r="E176">
        <v>1</v>
      </c>
      <c r="F176" t="str">
        <f t="shared" si="2"/>
        <v>F136G1T1</v>
      </c>
      <c r="G176" s="14" t="s">
        <v>56</v>
      </c>
    </row>
    <row r="177" spans="1:7">
      <c r="A177">
        <v>13</v>
      </c>
      <c r="B177">
        <v>7</v>
      </c>
      <c r="C177">
        <v>1</v>
      </c>
      <c r="E177">
        <v>1</v>
      </c>
      <c r="F177" t="str">
        <f t="shared" si="2"/>
        <v>F137G1T1</v>
      </c>
      <c r="G177" s="14" t="s">
        <v>56</v>
      </c>
    </row>
    <row r="178" spans="1:7">
      <c r="A178">
        <v>13</v>
      </c>
      <c r="B178">
        <v>8</v>
      </c>
      <c r="C178">
        <v>1</v>
      </c>
      <c r="E178">
        <v>1</v>
      </c>
      <c r="F178" t="str">
        <f t="shared" si="2"/>
        <v>F138G1T1</v>
      </c>
      <c r="G178" s="14" t="s">
        <v>56</v>
      </c>
    </row>
    <row r="179" spans="1:7">
      <c r="A179">
        <v>13</v>
      </c>
      <c r="B179">
        <v>1</v>
      </c>
      <c r="C179">
        <v>1</v>
      </c>
      <c r="E179">
        <v>4</v>
      </c>
      <c r="F179" t="str">
        <f t="shared" si="2"/>
        <v>F131G1T4</v>
      </c>
      <c r="G179" s="14" t="s">
        <v>56</v>
      </c>
    </row>
    <row r="180" spans="1:7">
      <c r="A180">
        <v>13</v>
      </c>
      <c r="B180">
        <v>2</v>
      </c>
      <c r="C180">
        <v>1</v>
      </c>
      <c r="E180">
        <v>4</v>
      </c>
      <c r="F180" t="str">
        <f t="shared" si="2"/>
        <v>F132G1T4</v>
      </c>
      <c r="G180" s="14" t="s">
        <v>56</v>
      </c>
    </row>
    <row r="181" spans="1:7">
      <c r="A181">
        <v>13</v>
      </c>
      <c r="B181">
        <v>4</v>
      </c>
      <c r="C181">
        <v>1</v>
      </c>
      <c r="E181">
        <v>4</v>
      </c>
      <c r="F181" t="str">
        <f t="shared" si="2"/>
        <v>F134G1T4</v>
      </c>
      <c r="G181" s="14" t="s">
        <v>56</v>
      </c>
    </row>
    <row r="182" spans="1:7">
      <c r="A182">
        <v>13</v>
      </c>
      <c r="B182">
        <v>5</v>
      </c>
      <c r="C182">
        <v>1</v>
      </c>
      <c r="E182">
        <v>4</v>
      </c>
      <c r="F182" t="str">
        <f t="shared" si="2"/>
        <v>F135G1T4</v>
      </c>
      <c r="G182" s="14" t="s">
        <v>56</v>
      </c>
    </row>
    <row r="183" spans="1:7">
      <c r="A183">
        <v>13</v>
      </c>
      <c r="B183">
        <v>6</v>
      </c>
      <c r="C183">
        <v>1</v>
      </c>
      <c r="E183">
        <v>4</v>
      </c>
      <c r="F183" t="str">
        <f t="shared" si="2"/>
        <v>F136G1T4</v>
      </c>
      <c r="G183" s="14" t="s">
        <v>56</v>
      </c>
    </row>
    <row r="184" spans="1:7">
      <c r="A184">
        <v>13</v>
      </c>
      <c r="B184">
        <v>7</v>
      </c>
      <c r="C184">
        <v>1</v>
      </c>
      <c r="E184">
        <v>4</v>
      </c>
      <c r="F184" t="str">
        <f t="shared" si="2"/>
        <v>F137G1T4</v>
      </c>
      <c r="G184" s="14" t="s">
        <v>56</v>
      </c>
    </row>
    <row r="185" spans="1:7">
      <c r="A185">
        <v>13</v>
      </c>
      <c r="B185">
        <v>8</v>
      </c>
      <c r="C185">
        <v>1</v>
      </c>
      <c r="E185">
        <v>4</v>
      </c>
      <c r="F185" t="str">
        <f t="shared" si="2"/>
        <v>F138G1T4</v>
      </c>
      <c r="G185" s="14" t="s">
        <v>56</v>
      </c>
    </row>
    <row r="186" spans="1:7">
      <c r="A186">
        <v>15</v>
      </c>
      <c r="B186">
        <v>1</v>
      </c>
      <c r="C186">
        <v>1</v>
      </c>
      <c r="E186">
        <v>1</v>
      </c>
      <c r="F186" t="str">
        <f t="shared" si="2"/>
        <v>F151G1T1</v>
      </c>
      <c r="G186" s="14" t="s">
        <v>56</v>
      </c>
    </row>
    <row r="187" spans="1:7">
      <c r="A187">
        <v>15</v>
      </c>
      <c r="B187">
        <v>2</v>
      </c>
      <c r="C187">
        <v>1</v>
      </c>
      <c r="E187">
        <v>1</v>
      </c>
      <c r="F187" t="str">
        <f t="shared" si="2"/>
        <v>F152G1T1</v>
      </c>
      <c r="G187" s="14" t="s">
        <v>56</v>
      </c>
    </row>
    <row r="188" spans="1:7">
      <c r="A188">
        <v>15</v>
      </c>
      <c r="B188">
        <v>4</v>
      </c>
      <c r="C188">
        <v>1</v>
      </c>
      <c r="E188">
        <v>1</v>
      </c>
      <c r="F188" t="str">
        <f t="shared" si="2"/>
        <v>F154G1T1</v>
      </c>
      <c r="G188" s="14" t="s">
        <v>56</v>
      </c>
    </row>
    <row r="189" spans="1:7">
      <c r="A189">
        <v>15</v>
      </c>
      <c r="B189">
        <v>5</v>
      </c>
      <c r="C189">
        <v>1</v>
      </c>
      <c r="E189">
        <v>1</v>
      </c>
      <c r="F189" t="str">
        <f t="shared" si="2"/>
        <v>F155G1T1</v>
      </c>
      <c r="G189" s="14" t="s">
        <v>56</v>
      </c>
    </row>
    <row r="190" spans="1:7">
      <c r="A190">
        <v>15</v>
      </c>
      <c r="B190">
        <v>6</v>
      </c>
      <c r="C190">
        <v>1</v>
      </c>
      <c r="E190">
        <v>1</v>
      </c>
      <c r="F190" t="str">
        <f t="shared" si="2"/>
        <v>F156G1T1</v>
      </c>
      <c r="G190" s="14" t="s">
        <v>56</v>
      </c>
    </row>
    <row r="191" spans="1:7">
      <c r="A191">
        <v>15</v>
      </c>
      <c r="B191">
        <v>7</v>
      </c>
      <c r="C191">
        <v>1</v>
      </c>
      <c r="E191">
        <v>1</v>
      </c>
      <c r="F191" t="str">
        <f t="shared" si="2"/>
        <v>F157G1T1</v>
      </c>
      <c r="G191" s="14" t="s">
        <v>56</v>
      </c>
    </row>
    <row r="192" spans="1:7">
      <c r="A192">
        <v>15</v>
      </c>
      <c r="B192">
        <v>8</v>
      </c>
      <c r="C192">
        <v>1</v>
      </c>
      <c r="E192">
        <v>1</v>
      </c>
      <c r="F192" t="str">
        <f t="shared" si="2"/>
        <v>F158G1T1</v>
      </c>
      <c r="G192" s="14" t="s">
        <v>56</v>
      </c>
    </row>
    <row r="193" spans="1:7">
      <c r="A193">
        <v>15</v>
      </c>
      <c r="B193">
        <v>1</v>
      </c>
      <c r="C193">
        <v>1</v>
      </c>
      <c r="E193">
        <v>4</v>
      </c>
      <c r="F193" t="str">
        <f t="shared" si="2"/>
        <v>F151G1T4</v>
      </c>
      <c r="G193" s="14" t="s">
        <v>56</v>
      </c>
    </row>
    <row r="194" spans="1:7">
      <c r="A194">
        <v>15</v>
      </c>
      <c r="B194">
        <v>2</v>
      </c>
      <c r="C194">
        <v>1</v>
      </c>
      <c r="E194">
        <v>4</v>
      </c>
      <c r="F194" t="str">
        <f t="shared" si="2"/>
        <v>F152G1T4</v>
      </c>
      <c r="G194" s="14" t="s">
        <v>56</v>
      </c>
    </row>
    <row r="195" spans="1:7">
      <c r="A195">
        <v>15</v>
      </c>
      <c r="B195">
        <v>4</v>
      </c>
      <c r="C195">
        <v>1</v>
      </c>
      <c r="E195">
        <v>4</v>
      </c>
      <c r="F195" t="str">
        <f t="shared" ref="F195:F258" si="3">CONCATENATE("F",A195,B195,"G",C195,"T",E195)</f>
        <v>F154G1T4</v>
      </c>
      <c r="G195" s="14" t="s">
        <v>56</v>
      </c>
    </row>
    <row r="196" spans="1:7">
      <c r="A196">
        <v>15</v>
      </c>
      <c r="B196">
        <v>5</v>
      </c>
      <c r="C196">
        <v>1</v>
      </c>
      <c r="E196">
        <v>4</v>
      </c>
      <c r="F196" t="str">
        <f t="shared" si="3"/>
        <v>F155G1T4</v>
      </c>
      <c r="G196" s="14" t="s">
        <v>56</v>
      </c>
    </row>
    <row r="197" spans="1:7">
      <c r="A197">
        <v>15</v>
      </c>
      <c r="B197">
        <v>6</v>
      </c>
      <c r="C197">
        <v>1</v>
      </c>
      <c r="E197">
        <v>4</v>
      </c>
      <c r="F197" t="str">
        <f t="shared" si="3"/>
        <v>F156G1T4</v>
      </c>
      <c r="G197" s="14" t="s">
        <v>56</v>
      </c>
    </row>
    <row r="198" spans="1:7">
      <c r="A198">
        <v>15</v>
      </c>
      <c r="B198">
        <v>7</v>
      </c>
      <c r="C198">
        <v>1</v>
      </c>
      <c r="E198">
        <v>4</v>
      </c>
      <c r="F198" t="str">
        <f t="shared" si="3"/>
        <v>F157G1T4</v>
      </c>
      <c r="G198" s="14" t="s">
        <v>56</v>
      </c>
    </row>
    <row r="199" spans="1:7">
      <c r="A199">
        <v>15</v>
      </c>
      <c r="B199">
        <v>8</v>
      </c>
      <c r="C199">
        <v>1</v>
      </c>
      <c r="E199">
        <v>4</v>
      </c>
      <c r="F199" t="str">
        <f t="shared" si="3"/>
        <v>F158G1T4</v>
      </c>
      <c r="G199" s="14" t="s">
        <v>56</v>
      </c>
    </row>
    <row r="200" spans="1:7">
      <c r="A200">
        <v>26</v>
      </c>
      <c r="B200">
        <v>1</v>
      </c>
      <c r="C200">
        <v>1</v>
      </c>
      <c r="E200">
        <v>1</v>
      </c>
      <c r="F200" t="str">
        <f t="shared" si="3"/>
        <v>F261G1T1</v>
      </c>
      <c r="G200" s="14" t="s">
        <v>56</v>
      </c>
    </row>
    <row r="201" spans="1:7">
      <c r="A201">
        <v>26</v>
      </c>
      <c r="B201">
        <v>2</v>
      </c>
      <c r="C201">
        <v>1</v>
      </c>
      <c r="E201">
        <v>1</v>
      </c>
      <c r="F201" t="str">
        <f t="shared" si="3"/>
        <v>F262G1T1</v>
      </c>
      <c r="G201" s="14" t="s">
        <v>56</v>
      </c>
    </row>
    <row r="202" spans="1:7">
      <c r="A202">
        <v>26</v>
      </c>
      <c r="B202">
        <v>4</v>
      </c>
      <c r="C202">
        <v>1</v>
      </c>
      <c r="E202">
        <v>1</v>
      </c>
      <c r="F202" t="str">
        <f t="shared" si="3"/>
        <v>F264G1T1</v>
      </c>
      <c r="G202" s="14" t="s">
        <v>56</v>
      </c>
    </row>
    <row r="203" spans="1:7">
      <c r="A203">
        <v>26</v>
      </c>
      <c r="B203">
        <v>5</v>
      </c>
      <c r="C203">
        <v>1</v>
      </c>
      <c r="E203">
        <v>1</v>
      </c>
      <c r="F203" t="str">
        <f t="shared" si="3"/>
        <v>F265G1T1</v>
      </c>
      <c r="G203" s="14" t="s">
        <v>56</v>
      </c>
    </row>
    <row r="204" spans="1:7">
      <c r="A204">
        <v>26</v>
      </c>
      <c r="B204">
        <v>6</v>
      </c>
      <c r="C204">
        <v>1</v>
      </c>
      <c r="E204">
        <v>1</v>
      </c>
      <c r="F204" t="str">
        <f t="shared" si="3"/>
        <v>F266G1T1</v>
      </c>
      <c r="G204" s="14" t="s">
        <v>56</v>
      </c>
    </row>
    <row r="205" spans="1:7">
      <c r="A205">
        <v>26</v>
      </c>
      <c r="B205">
        <v>7</v>
      </c>
      <c r="C205">
        <v>1</v>
      </c>
      <c r="E205">
        <v>1</v>
      </c>
      <c r="F205" t="str">
        <f t="shared" si="3"/>
        <v>F267G1T1</v>
      </c>
      <c r="G205" s="14" t="s">
        <v>56</v>
      </c>
    </row>
    <row r="206" spans="1:7">
      <c r="A206">
        <v>26</v>
      </c>
      <c r="B206">
        <v>8</v>
      </c>
      <c r="C206">
        <v>1</v>
      </c>
      <c r="E206">
        <v>1</v>
      </c>
      <c r="F206" t="str">
        <f t="shared" si="3"/>
        <v>F268G1T1</v>
      </c>
      <c r="G206" s="14" t="s">
        <v>56</v>
      </c>
    </row>
    <row r="207" spans="1:7">
      <c r="A207">
        <v>26</v>
      </c>
      <c r="B207">
        <v>1</v>
      </c>
      <c r="C207">
        <v>1</v>
      </c>
      <c r="E207">
        <v>4</v>
      </c>
      <c r="F207" t="str">
        <f t="shared" si="3"/>
        <v>F261G1T4</v>
      </c>
      <c r="G207" s="14" t="s">
        <v>56</v>
      </c>
    </row>
    <row r="208" spans="1:7">
      <c r="A208">
        <v>26</v>
      </c>
      <c r="B208">
        <v>2</v>
      </c>
      <c r="C208">
        <v>1</v>
      </c>
      <c r="E208">
        <v>4</v>
      </c>
      <c r="F208" t="str">
        <f t="shared" si="3"/>
        <v>F262G1T4</v>
      </c>
      <c r="G208" s="14" t="s">
        <v>56</v>
      </c>
    </row>
    <row r="209" spans="1:7">
      <c r="A209">
        <v>26</v>
      </c>
      <c r="B209">
        <v>4</v>
      </c>
      <c r="C209">
        <v>1</v>
      </c>
      <c r="E209">
        <v>4</v>
      </c>
      <c r="F209" t="str">
        <f t="shared" si="3"/>
        <v>F264G1T4</v>
      </c>
      <c r="G209" s="14" t="s">
        <v>56</v>
      </c>
    </row>
    <row r="210" spans="1:7">
      <c r="A210">
        <v>26</v>
      </c>
      <c r="B210">
        <v>5</v>
      </c>
      <c r="C210">
        <v>1</v>
      </c>
      <c r="E210">
        <v>4</v>
      </c>
      <c r="F210" t="str">
        <f t="shared" si="3"/>
        <v>F265G1T4</v>
      </c>
      <c r="G210" s="14" t="s">
        <v>56</v>
      </c>
    </row>
    <row r="211" spans="1:7">
      <c r="A211">
        <v>26</v>
      </c>
      <c r="B211">
        <v>6</v>
      </c>
      <c r="C211">
        <v>1</v>
      </c>
      <c r="E211">
        <v>4</v>
      </c>
      <c r="F211" t="str">
        <f t="shared" si="3"/>
        <v>F266G1T4</v>
      </c>
      <c r="G211" s="14" t="s">
        <v>56</v>
      </c>
    </row>
    <row r="212" spans="1:7">
      <c r="A212">
        <v>26</v>
      </c>
      <c r="B212">
        <v>7</v>
      </c>
      <c r="C212">
        <v>1</v>
      </c>
      <c r="E212">
        <v>4</v>
      </c>
      <c r="F212" t="str">
        <f t="shared" si="3"/>
        <v>F267G1T4</v>
      </c>
      <c r="G212" s="14" t="s">
        <v>56</v>
      </c>
    </row>
    <row r="213" spans="1:7">
      <c r="A213">
        <v>26</v>
      </c>
      <c r="B213">
        <v>8</v>
      </c>
      <c r="C213">
        <v>1</v>
      </c>
      <c r="E213">
        <v>4</v>
      </c>
      <c r="F213" t="str">
        <f t="shared" si="3"/>
        <v>F268G1T4</v>
      </c>
      <c r="G213" s="14" t="s">
        <v>56</v>
      </c>
    </row>
    <row r="214" spans="1:7">
      <c r="A214">
        <v>27</v>
      </c>
      <c r="B214">
        <v>1</v>
      </c>
      <c r="C214">
        <v>1</v>
      </c>
      <c r="E214">
        <v>1</v>
      </c>
      <c r="F214" t="str">
        <f t="shared" si="3"/>
        <v>F271G1T1</v>
      </c>
      <c r="G214" s="14" t="s">
        <v>56</v>
      </c>
    </row>
    <row r="215" spans="1:7">
      <c r="A215">
        <v>27</v>
      </c>
      <c r="B215">
        <v>2</v>
      </c>
      <c r="C215">
        <v>1</v>
      </c>
      <c r="E215">
        <v>1</v>
      </c>
      <c r="F215" t="str">
        <f t="shared" si="3"/>
        <v>F272G1T1</v>
      </c>
      <c r="G215" s="14" t="s">
        <v>56</v>
      </c>
    </row>
    <row r="216" spans="1:7">
      <c r="A216">
        <v>27</v>
      </c>
      <c r="B216">
        <v>4</v>
      </c>
      <c r="C216">
        <v>1</v>
      </c>
      <c r="E216">
        <v>1</v>
      </c>
      <c r="F216" t="str">
        <f t="shared" si="3"/>
        <v>F274G1T1</v>
      </c>
      <c r="G216" s="14" t="s">
        <v>56</v>
      </c>
    </row>
    <row r="217" spans="1:7">
      <c r="A217">
        <v>27</v>
      </c>
      <c r="B217">
        <v>5</v>
      </c>
      <c r="C217">
        <v>1</v>
      </c>
      <c r="E217">
        <v>1</v>
      </c>
      <c r="F217" t="str">
        <f t="shared" si="3"/>
        <v>F275G1T1</v>
      </c>
      <c r="G217" s="14" t="s">
        <v>56</v>
      </c>
    </row>
    <row r="218" spans="1:7">
      <c r="A218">
        <v>27</v>
      </c>
      <c r="B218">
        <v>6</v>
      </c>
      <c r="C218">
        <v>1</v>
      </c>
      <c r="E218">
        <v>1</v>
      </c>
      <c r="F218" t="str">
        <f t="shared" si="3"/>
        <v>F276G1T1</v>
      </c>
      <c r="G218" s="14" t="s">
        <v>56</v>
      </c>
    </row>
    <row r="219" spans="1:7">
      <c r="A219">
        <v>27</v>
      </c>
      <c r="B219">
        <v>7</v>
      </c>
      <c r="C219">
        <v>1</v>
      </c>
      <c r="E219">
        <v>1</v>
      </c>
      <c r="F219" t="str">
        <f t="shared" si="3"/>
        <v>F277G1T1</v>
      </c>
      <c r="G219" s="14" t="s">
        <v>56</v>
      </c>
    </row>
    <row r="220" spans="1:7">
      <c r="A220">
        <v>27</v>
      </c>
      <c r="B220">
        <v>8</v>
      </c>
      <c r="C220">
        <v>1</v>
      </c>
      <c r="E220">
        <v>1</v>
      </c>
      <c r="F220" t="str">
        <f t="shared" si="3"/>
        <v>F278G1T1</v>
      </c>
      <c r="G220" s="14" t="s">
        <v>56</v>
      </c>
    </row>
    <row r="221" spans="1:7">
      <c r="A221">
        <v>27</v>
      </c>
      <c r="B221">
        <v>1</v>
      </c>
      <c r="C221">
        <v>1</v>
      </c>
      <c r="E221">
        <v>4</v>
      </c>
      <c r="F221" t="str">
        <f t="shared" si="3"/>
        <v>F271G1T4</v>
      </c>
      <c r="G221" s="14" t="s">
        <v>56</v>
      </c>
    </row>
    <row r="222" spans="1:7">
      <c r="A222">
        <v>27</v>
      </c>
      <c r="B222">
        <v>2</v>
      </c>
      <c r="C222">
        <v>1</v>
      </c>
      <c r="E222">
        <v>4</v>
      </c>
      <c r="F222" t="str">
        <f t="shared" si="3"/>
        <v>F272G1T4</v>
      </c>
      <c r="G222" s="14" t="s">
        <v>56</v>
      </c>
    </row>
    <row r="223" spans="1:7">
      <c r="A223">
        <v>27</v>
      </c>
      <c r="B223">
        <v>4</v>
      </c>
      <c r="C223">
        <v>1</v>
      </c>
      <c r="E223">
        <v>4</v>
      </c>
      <c r="F223" t="str">
        <f t="shared" si="3"/>
        <v>F274G1T4</v>
      </c>
      <c r="G223" s="14" t="s">
        <v>56</v>
      </c>
    </row>
    <row r="224" spans="1:7">
      <c r="A224">
        <v>27</v>
      </c>
      <c r="B224">
        <v>5</v>
      </c>
      <c r="C224">
        <v>1</v>
      </c>
      <c r="E224">
        <v>4</v>
      </c>
      <c r="F224" t="str">
        <f t="shared" si="3"/>
        <v>F275G1T4</v>
      </c>
      <c r="G224" s="14" t="s">
        <v>56</v>
      </c>
    </row>
    <row r="225" spans="1:7">
      <c r="A225">
        <v>27</v>
      </c>
      <c r="B225">
        <v>6</v>
      </c>
      <c r="C225">
        <v>1</v>
      </c>
      <c r="E225">
        <v>4</v>
      </c>
      <c r="F225" t="str">
        <f t="shared" si="3"/>
        <v>F276G1T4</v>
      </c>
      <c r="G225" s="14" t="s">
        <v>56</v>
      </c>
    </row>
    <row r="226" spans="1:7">
      <c r="A226">
        <v>27</v>
      </c>
      <c r="B226">
        <v>7</v>
      </c>
      <c r="C226">
        <v>1</v>
      </c>
      <c r="E226">
        <v>4</v>
      </c>
      <c r="F226" t="str">
        <f t="shared" si="3"/>
        <v>F277G1T4</v>
      </c>
      <c r="G226" s="14" t="s">
        <v>56</v>
      </c>
    </row>
    <row r="227" spans="1:7">
      <c r="A227">
        <v>27</v>
      </c>
      <c r="B227">
        <v>8</v>
      </c>
      <c r="C227">
        <v>1</v>
      </c>
      <c r="E227">
        <v>4</v>
      </c>
      <c r="F227" t="str">
        <f t="shared" si="3"/>
        <v>F278G1T4</v>
      </c>
      <c r="G227" s="14" t="s">
        <v>56</v>
      </c>
    </row>
    <row r="228" spans="1:7">
      <c r="A228">
        <v>29</v>
      </c>
      <c r="B228">
        <v>1</v>
      </c>
      <c r="C228">
        <v>1</v>
      </c>
      <c r="E228">
        <v>1</v>
      </c>
      <c r="F228" t="str">
        <f t="shared" si="3"/>
        <v>F291G1T1</v>
      </c>
      <c r="G228" s="14" t="s">
        <v>56</v>
      </c>
    </row>
    <row r="229" spans="1:7">
      <c r="A229">
        <v>29</v>
      </c>
      <c r="B229">
        <v>2</v>
      </c>
      <c r="C229">
        <v>1</v>
      </c>
      <c r="E229">
        <v>1</v>
      </c>
      <c r="F229" t="str">
        <f t="shared" si="3"/>
        <v>F292G1T1</v>
      </c>
      <c r="G229" s="14" t="s">
        <v>56</v>
      </c>
    </row>
    <row r="230" spans="1:7">
      <c r="A230">
        <v>29</v>
      </c>
      <c r="B230">
        <v>4</v>
      </c>
      <c r="C230">
        <v>1</v>
      </c>
      <c r="E230">
        <v>1</v>
      </c>
      <c r="F230" t="str">
        <f t="shared" si="3"/>
        <v>F294G1T1</v>
      </c>
      <c r="G230" s="14" t="s">
        <v>56</v>
      </c>
    </row>
    <row r="231" spans="1:7">
      <c r="A231">
        <v>29</v>
      </c>
      <c r="B231">
        <v>5</v>
      </c>
      <c r="C231">
        <v>1</v>
      </c>
      <c r="E231">
        <v>1</v>
      </c>
      <c r="F231" t="str">
        <f t="shared" si="3"/>
        <v>F295G1T1</v>
      </c>
      <c r="G231" s="14" t="s">
        <v>56</v>
      </c>
    </row>
    <row r="232" spans="1:7">
      <c r="A232">
        <v>29</v>
      </c>
      <c r="B232">
        <v>6</v>
      </c>
      <c r="C232">
        <v>1</v>
      </c>
      <c r="E232">
        <v>1</v>
      </c>
      <c r="F232" t="str">
        <f t="shared" si="3"/>
        <v>F296G1T1</v>
      </c>
      <c r="G232" s="14" t="s">
        <v>56</v>
      </c>
    </row>
    <row r="233" spans="1:7">
      <c r="A233">
        <v>29</v>
      </c>
      <c r="B233">
        <v>7</v>
      </c>
      <c r="C233">
        <v>1</v>
      </c>
      <c r="E233">
        <v>1</v>
      </c>
      <c r="F233" t="str">
        <f t="shared" si="3"/>
        <v>F297G1T1</v>
      </c>
      <c r="G233" s="14" t="s">
        <v>56</v>
      </c>
    </row>
    <row r="234" spans="1:7">
      <c r="A234">
        <v>29</v>
      </c>
      <c r="B234">
        <v>8</v>
      </c>
      <c r="C234">
        <v>1</v>
      </c>
      <c r="E234">
        <v>1</v>
      </c>
      <c r="F234" t="str">
        <f t="shared" si="3"/>
        <v>F298G1T1</v>
      </c>
      <c r="G234" s="14" t="s">
        <v>56</v>
      </c>
    </row>
    <row r="235" spans="1:7">
      <c r="A235">
        <v>29</v>
      </c>
      <c r="B235">
        <v>1</v>
      </c>
      <c r="C235">
        <v>1</v>
      </c>
      <c r="E235">
        <v>4</v>
      </c>
      <c r="F235" t="str">
        <f t="shared" si="3"/>
        <v>F291G1T4</v>
      </c>
      <c r="G235" s="14" t="s">
        <v>56</v>
      </c>
    </row>
    <row r="236" spans="1:7">
      <c r="A236">
        <v>29</v>
      </c>
      <c r="B236">
        <v>2</v>
      </c>
      <c r="C236">
        <v>1</v>
      </c>
      <c r="E236">
        <v>4</v>
      </c>
      <c r="F236" t="str">
        <f t="shared" si="3"/>
        <v>F292G1T4</v>
      </c>
      <c r="G236" s="14" t="s">
        <v>56</v>
      </c>
    </row>
    <row r="237" spans="1:7">
      <c r="A237">
        <v>29</v>
      </c>
      <c r="B237">
        <v>4</v>
      </c>
      <c r="C237">
        <v>1</v>
      </c>
      <c r="E237">
        <v>4</v>
      </c>
      <c r="F237" t="str">
        <f t="shared" si="3"/>
        <v>F294G1T4</v>
      </c>
      <c r="G237" s="14" t="s">
        <v>56</v>
      </c>
    </row>
    <row r="238" spans="1:7">
      <c r="A238">
        <v>29</v>
      </c>
      <c r="B238">
        <v>5</v>
      </c>
      <c r="C238">
        <v>1</v>
      </c>
      <c r="E238">
        <v>4</v>
      </c>
      <c r="F238" t="str">
        <f t="shared" si="3"/>
        <v>F295G1T4</v>
      </c>
      <c r="G238" s="14" t="s">
        <v>56</v>
      </c>
    </row>
    <row r="239" spans="1:7">
      <c r="A239">
        <v>29</v>
      </c>
      <c r="B239">
        <v>6</v>
      </c>
      <c r="C239">
        <v>1</v>
      </c>
      <c r="E239">
        <v>4</v>
      </c>
      <c r="F239" t="str">
        <f t="shared" si="3"/>
        <v>F296G1T4</v>
      </c>
      <c r="G239" s="14" t="s">
        <v>56</v>
      </c>
    </row>
    <row r="240" spans="1:7">
      <c r="A240">
        <v>29</v>
      </c>
      <c r="B240">
        <v>7</v>
      </c>
      <c r="C240">
        <v>1</v>
      </c>
      <c r="E240">
        <v>4</v>
      </c>
      <c r="F240" t="str">
        <f t="shared" si="3"/>
        <v>F297G1T4</v>
      </c>
      <c r="G240" s="14" t="s">
        <v>56</v>
      </c>
    </row>
    <row r="241" spans="1:7">
      <c r="A241">
        <v>29</v>
      </c>
      <c r="B241">
        <v>8</v>
      </c>
      <c r="C241">
        <v>1</v>
      </c>
      <c r="E241">
        <v>4</v>
      </c>
      <c r="F241" t="str">
        <f t="shared" si="3"/>
        <v>F298G1T4</v>
      </c>
      <c r="G241" s="14" t="s">
        <v>56</v>
      </c>
    </row>
    <row r="242" spans="1:7">
      <c r="A242">
        <v>31</v>
      </c>
      <c r="B242">
        <v>1</v>
      </c>
      <c r="C242">
        <v>1</v>
      </c>
      <c r="E242">
        <v>1</v>
      </c>
      <c r="F242" t="str">
        <f t="shared" si="3"/>
        <v>F311G1T1</v>
      </c>
      <c r="G242" s="14" t="s">
        <v>56</v>
      </c>
    </row>
    <row r="243" spans="1:7">
      <c r="A243">
        <v>31</v>
      </c>
      <c r="B243">
        <v>2</v>
      </c>
      <c r="C243">
        <v>1</v>
      </c>
      <c r="E243">
        <v>1</v>
      </c>
      <c r="F243" t="str">
        <f t="shared" si="3"/>
        <v>F312G1T1</v>
      </c>
      <c r="G243" s="14" t="s">
        <v>56</v>
      </c>
    </row>
    <row r="244" spans="1:7">
      <c r="A244">
        <v>31</v>
      </c>
      <c r="B244">
        <v>4</v>
      </c>
      <c r="C244">
        <v>1</v>
      </c>
      <c r="E244">
        <v>1</v>
      </c>
      <c r="F244" t="str">
        <f t="shared" si="3"/>
        <v>F314G1T1</v>
      </c>
      <c r="G244" s="14" t="s">
        <v>56</v>
      </c>
    </row>
    <row r="245" spans="1:7">
      <c r="A245">
        <v>31</v>
      </c>
      <c r="B245">
        <v>5</v>
      </c>
      <c r="C245">
        <v>1</v>
      </c>
      <c r="E245">
        <v>1</v>
      </c>
      <c r="F245" t="str">
        <f t="shared" si="3"/>
        <v>F315G1T1</v>
      </c>
      <c r="G245" s="14" t="s">
        <v>56</v>
      </c>
    </row>
    <row r="246" spans="1:7">
      <c r="A246">
        <v>31</v>
      </c>
      <c r="B246">
        <v>6</v>
      </c>
      <c r="C246">
        <v>1</v>
      </c>
      <c r="E246">
        <v>1</v>
      </c>
      <c r="F246" t="str">
        <f t="shared" si="3"/>
        <v>F316G1T1</v>
      </c>
      <c r="G246" s="14" t="s">
        <v>56</v>
      </c>
    </row>
    <row r="247" spans="1:7">
      <c r="A247">
        <v>31</v>
      </c>
      <c r="B247">
        <v>7</v>
      </c>
      <c r="C247">
        <v>1</v>
      </c>
      <c r="E247">
        <v>1</v>
      </c>
      <c r="F247" t="str">
        <f t="shared" si="3"/>
        <v>F317G1T1</v>
      </c>
      <c r="G247" s="14" t="s">
        <v>56</v>
      </c>
    </row>
    <row r="248" spans="1:7">
      <c r="A248">
        <v>31</v>
      </c>
      <c r="B248">
        <v>8</v>
      </c>
      <c r="C248">
        <v>1</v>
      </c>
      <c r="E248">
        <v>1</v>
      </c>
      <c r="F248" t="str">
        <f t="shared" si="3"/>
        <v>F318G1T1</v>
      </c>
      <c r="G248" s="14" t="s">
        <v>56</v>
      </c>
    </row>
    <row r="249" spans="1:7">
      <c r="A249">
        <v>31</v>
      </c>
      <c r="B249">
        <v>1</v>
      </c>
      <c r="C249">
        <v>1</v>
      </c>
      <c r="E249">
        <v>4</v>
      </c>
      <c r="F249" t="str">
        <f t="shared" si="3"/>
        <v>F311G1T4</v>
      </c>
      <c r="G249" s="14" t="s">
        <v>56</v>
      </c>
    </row>
    <row r="250" spans="1:7">
      <c r="A250">
        <v>31</v>
      </c>
      <c r="B250">
        <v>2</v>
      </c>
      <c r="C250">
        <v>1</v>
      </c>
      <c r="E250">
        <v>4</v>
      </c>
      <c r="F250" t="str">
        <f t="shared" si="3"/>
        <v>F312G1T4</v>
      </c>
      <c r="G250" s="14" t="s">
        <v>56</v>
      </c>
    </row>
    <row r="251" spans="1:7">
      <c r="A251">
        <v>31</v>
      </c>
      <c r="B251">
        <v>4</v>
      </c>
      <c r="C251">
        <v>1</v>
      </c>
      <c r="E251">
        <v>4</v>
      </c>
      <c r="F251" t="str">
        <f t="shared" si="3"/>
        <v>F314G1T4</v>
      </c>
      <c r="G251" s="14" t="s">
        <v>56</v>
      </c>
    </row>
    <row r="252" spans="1:7">
      <c r="A252">
        <v>31</v>
      </c>
      <c r="B252">
        <v>5</v>
      </c>
      <c r="C252">
        <v>1</v>
      </c>
      <c r="E252">
        <v>4</v>
      </c>
      <c r="F252" t="str">
        <f t="shared" si="3"/>
        <v>F315G1T4</v>
      </c>
      <c r="G252" s="14" t="s">
        <v>56</v>
      </c>
    </row>
    <row r="253" spans="1:7">
      <c r="A253">
        <v>31</v>
      </c>
      <c r="B253">
        <v>6</v>
      </c>
      <c r="C253">
        <v>1</v>
      </c>
      <c r="E253">
        <v>4</v>
      </c>
      <c r="F253" t="str">
        <f t="shared" si="3"/>
        <v>F316G1T4</v>
      </c>
      <c r="G253" s="14" t="s">
        <v>56</v>
      </c>
    </row>
    <row r="254" spans="1:7">
      <c r="A254">
        <v>31</v>
      </c>
      <c r="B254">
        <v>7</v>
      </c>
      <c r="C254">
        <v>1</v>
      </c>
      <c r="E254">
        <v>4</v>
      </c>
      <c r="F254" t="str">
        <f t="shared" si="3"/>
        <v>F317G1T4</v>
      </c>
      <c r="G254" s="14" t="s">
        <v>56</v>
      </c>
    </row>
    <row r="255" spans="1:7">
      <c r="A255">
        <v>31</v>
      </c>
      <c r="B255">
        <v>8</v>
      </c>
      <c r="C255">
        <v>1</v>
      </c>
      <c r="E255">
        <v>4</v>
      </c>
      <c r="F255" t="str">
        <f t="shared" si="3"/>
        <v>F318G1T4</v>
      </c>
      <c r="G255" s="14" t="s">
        <v>56</v>
      </c>
    </row>
    <row r="256" spans="1:7">
      <c r="A256">
        <v>32</v>
      </c>
      <c r="B256">
        <v>1</v>
      </c>
      <c r="C256">
        <v>1</v>
      </c>
      <c r="E256">
        <v>1</v>
      </c>
      <c r="F256" t="str">
        <f t="shared" si="3"/>
        <v>F321G1T1</v>
      </c>
      <c r="G256" s="14" t="s">
        <v>56</v>
      </c>
    </row>
    <row r="257" spans="1:7">
      <c r="A257">
        <v>32</v>
      </c>
      <c r="B257">
        <v>2</v>
      </c>
      <c r="C257">
        <v>1</v>
      </c>
      <c r="E257">
        <v>1</v>
      </c>
      <c r="F257" t="str">
        <f t="shared" si="3"/>
        <v>F322G1T1</v>
      </c>
      <c r="G257" s="14" t="s">
        <v>56</v>
      </c>
    </row>
    <row r="258" spans="1:7">
      <c r="A258">
        <v>32</v>
      </c>
      <c r="B258">
        <v>4</v>
      </c>
      <c r="C258">
        <v>1</v>
      </c>
      <c r="E258">
        <v>1</v>
      </c>
      <c r="F258" t="str">
        <f t="shared" si="3"/>
        <v>F324G1T1</v>
      </c>
      <c r="G258" s="14" t="s">
        <v>56</v>
      </c>
    </row>
    <row r="259" spans="1:7">
      <c r="A259">
        <v>32</v>
      </c>
      <c r="B259">
        <v>5</v>
      </c>
      <c r="C259">
        <v>1</v>
      </c>
      <c r="E259">
        <v>1</v>
      </c>
      <c r="F259" t="str">
        <f t="shared" ref="F259:F322" si="4">CONCATENATE("F",A259,B259,"G",C259,"T",E259)</f>
        <v>F325G1T1</v>
      </c>
      <c r="G259" s="14" t="s">
        <v>56</v>
      </c>
    </row>
    <row r="260" spans="1:7">
      <c r="A260">
        <v>32</v>
      </c>
      <c r="B260">
        <v>6</v>
      </c>
      <c r="C260">
        <v>1</v>
      </c>
      <c r="E260">
        <v>1</v>
      </c>
      <c r="F260" t="str">
        <f t="shared" si="4"/>
        <v>F326G1T1</v>
      </c>
      <c r="G260" s="14" t="s">
        <v>56</v>
      </c>
    </row>
    <row r="261" spans="1:7">
      <c r="A261">
        <v>32</v>
      </c>
      <c r="B261">
        <v>7</v>
      </c>
      <c r="C261">
        <v>1</v>
      </c>
      <c r="E261">
        <v>1</v>
      </c>
      <c r="F261" t="str">
        <f t="shared" si="4"/>
        <v>F327G1T1</v>
      </c>
      <c r="G261" s="14" t="s">
        <v>56</v>
      </c>
    </row>
    <row r="262" spans="1:7">
      <c r="A262">
        <v>32</v>
      </c>
      <c r="B262">
        <v>8</v>
      </c>
      <c r="C262">
        <v>1</v>
      </c>
      <c r="E262">
        <v>1</v>
      </c>
      <c r="F262" t="str">
        <f t="shared" si="4"/>
        <v>F328G1T1</v>
      </c>
      <c r="G262" s="14" t="s">
        <v>56</v>
      </c>
    </row>
    <row r="263" spans="1:7">
      <c r="A263">
        <v>32</v>
      </c>
      <c r="B263">
        <v>1</v>
      </c>
      <c r="C263">
        <v>1</v>
      </c>
      <c r="E263">
        <v>4</v>
      </c>
      <c r="F263" t="str">
        <f t="shared" si="4"/>
        <v>F321G1T4</v>
      </c>
      <c r="G263" s="14" t="s">
        <v>56</v>
      </c>
    </row>
    <row r="264" spans="1:7">
      <c r="A264">
        <v>32</v>
      </c>
      <c r="B264">
        <v>2</v>
      </c>
      <c r="C264">
        <v>1</v>
      </c>
      <c r="E264">
        <v>4</v>
      </c>
      <c r="F264" t="str">
        <f t="shared" si="4"/>
        <v>F322G1T4</v>
      </c>
      <c r="G264" s="14" t="s">
        <v>56</v>
      </c>
    </row>
    <row r="265" spans="1:7">
      <c r="A265">
        <v>32</v>
      </c>
      <c r="B265">
        <v>4</v>
      </c>
      <c r="C265">
        <v>1</v>
      </c>
      <c r="E265">
        <v>4</v>
      </c>
      <c r="F265" t="str">
        <f t="shared" si="4"/>
        <v>F324G1T4</v>
      </c>
      <c r="G265" s="14" t="s">
        <v>56</v>
      </c>
    </row>
    <row r="266" spans="1:7">
      <c r="A266">
        <v>32</v>
      </c>
      <c r="B266">
        <v>5</v>
      </c>
      <c r="C266">
        <v>1</v>
      </c>
      <c r="E266">
        <v>4</v>
      </c>
      <c r="F266" t="str">
        <f t="shared" si="4"/>
        <v>F325G1T4</v>
      </c>
      <c r="G266" s="14" t="s">
        <v>56</v>
      </c>
    </row>
    <row r="267" spans="1:7">
      <c r="A267">
        <v>32</v>
      </c>
      <c r="B267">
        <v>6</v>
      </c>
      <c r="C267">
        <v>1</v>
      </c>
      <c r="E267">
        <v>4</v>
      </c>
      <c r="F267" t="str">
        <f t="shared" si="4"/>
        <v>F326G1T4</v>
      </c>
      <c r="G267" s="14" t="s">
        <v>56</v>
      </c>
    </row>
    <row r="268" spans="1:7">
      <c r="A268">
        <v>32</v>
      </c>
      <c r="B268">
        <v>7</v>
      </c>
      <c r="C268">
        <v>1</v>
      </c>
      <c r="E268">
        <v>4</v>
      </c>
      <c r="F268" t="str">
        <f t="shared" si="4"/>
        <v>F327G1T4</v>
      </c>
      <c r="G268" s="14" t="s">
        <v>56</v>
      </c>
    </row>
    <row r="269" spans="1:7">
      <c r="A269">
        <v>32</v>
      </c>
      <c r="B269">
        <v>8</v>
      </c>
      <c r="C269">
        <v>1</v>
      </c>
      <c r="E269">
        <v>4</v>
      </c>
      <c r="F269" t="str">
        <f t="shared" si="4"/>
        <v>F328G1T4</v>
      </c>
      <c r="G269" s="14" t="s">
        <v>56</v>
      </c>
    </row>
    <row r="270" spans="1:7">
      <c r="A270">
        <v>33</v>
      </c>
      <c r="B270">
        <v>1</v>
      </c>
      <c r="C270">
        <v>1</v>
      </c>
      <c r="E270">
        <v>1</v>
      </c>
      <c r="F270" t="str">
        <f t="shared" si="4"/>
        <v>F331G1T1</v>
      </c>
      <c r="G270" s="14" t="s">
        <v>56</v>
      </c>
    </row>
    <row r="271" spans="1:7">
      <c r="A271">
        <v>33</v>
      </c>
      <c r="B271">
        <v>2</v>
      </c>
      <c r="C271">
        <v>1</v>
      </c>
      <c r="E271">
        <v>1</v>
      </c>
      <c r="F271" t="str">
        <f t="shared" si="4"/>
        <v>F332G1T1</v>
      </c>
      <c r="G271" s="14" t="s">
        <v>56</v>
      </c>
    </row>
    <row r="272" spans="1:7">
      <c r="A272">
        <v>33</v>
      </c>
      <c r="B272">
        <v>4</v>
      </c>
      <c r="C272">
        <v>1</v>
      </c>
      <c r="E272">
        <v>1</v>
      </c>
      <c r="F272" t="str">
        <f t="shared" si="4"/>
        <v>F334G1T1</v>
      </c>
      <c r="G272" s="14" t="s">
        <v>56</v>
      </c>
    </row>
    <row r="273" spans="1:7">
      <c r="A273">
        <v>33</v>
      </c>
      <c r="B273">
        <v>5</v>
      </c>
      <c r="C273">
        <v>1</v>
      </c>
      <c r="E273">
        <v>1</v>
      </c>
      <c r="F273" t="str">
        <f t="shared" si="4"/>
        <v>F335G1T1</v>
      </c>
      <c r="G273" s="14" t="s">
        <v>56</v>
      </c>
    </row>
    <row r="274" spans="1:7">
      <c r="A274">
        <v>33</v>
      </c>
      <c r="B274">
        <v>6</v>
      </c>
      <c r="C274">
        <v>1</v>
      </c>
      <c r="E274">
        <v>1</v>
      </c>
      <c r="F274" t="str">
        <f t="shared" si="4"/>
        <v>F336G1T1</v>
      </c>
      <c r="G274" s="14" t="s">
        <v>56</v>
      </c>
    </row>
    <row r="275" spans="1:7">
      <c r="A275">
        <v>33</v>
      </c>
      <c r="B275">
        <v>7</v>
      </c>
      <c r="C275">
        <v>1</v>
      </c>
      <c r="E275">
        <v>1</v>
      </c>
      <c r="F275" t="str">
        <f t="shared" si="4"/>
        <v>F337G1T1</v>
      </c>
      <c r="G275" s="14" t="s">
        <v>56</v>
      </c>
    </row>
    <row r="276" spans="1:7">
      <c r="A276">
        <v>33</v>
      </c>
      <c r="B276">
        <v>8</v>
      </c>
      <c r="C276">
        <v>1</v>
      </c>
      <c r="E276">
        <v>1</v>
      </c>
      <c r="F276" t="str">
        <f t="shared" si="4"/>
        <v>F338G1T1</v>
      </c>
      <c r="G276" s="14" t="s">
        <v>56</v>
      </c>
    </row>
    <row r="277" spans="1:7">
      <c r="A277">
        <v>33</v>
      </c>
      <c r="B277">
        <v>1</v>
      </c>
      <c r="C277">
        <v>1</v>
      </c>
      <c r="E277">
        <v>4</v>
      </c>
      <c r="F277" t="str">
        <f t="shared" si="4"/>
        <v>F331G1T4</v>
      </c>
      <c r="G277" s="14" t="s">
        <v>56</v>
      </c>
    </row>
    <row r="278" spans="1:7">
      <c r="A278">
        <v>33</v>
      </c>
      <c r="B278">
        <v>2</v>
      </c>
      <c r="C278">
        <v>1</v>
      </c>
      <c r="E278">
        <v>4</v>
      </c>
      <c r="F278" t="str">
        <f t="shared" si="4"/>
        <v>F332G1T4</v>
      </c>
      <c r="G278" s="14" t="s">
        <v>56</v>
      </c>
    </row>
    <row r="279" spans="1:7">
      <c r="A279">
        <v>33</v>
      </c>
      <c r="B279">
        <v>4</v>
      </c>
      <c r="C279">
        <v>1</v>
      </c>
      <c r="E279">
        <v>4</v>
      </c>
      <c r="F279" t="str">
        <f t="shared" si="4"/>
        <v>F334G1T4</v>
      </c>
      <c r="G279" s="14" t="s">
        <v>56</v>
      </c>
    </row>
    <row r="280" spans="1:7">
      <c r="A280">
        <v>33</v>
      </c>
      <c r="B280">
        <v>5</v>
      </c>
      <c r="C280">
        <v>1</v>
      </c>
      <c r="E280">
        <v>4</v>
      </c>
      <c r="F280" t="str">
        <f t="shared" si="4"/>
        <v>F335G1T4</v>
      </c>
      <c r="G280" s="14" t="s">
        <v>56</v>
      </c>
    </row>
    <row r="281" spans="1:7">
      <c r="A281">
        <v>33</v>
      </c>
      <c r="B281">
        <v>6</v>
      </c>
      <c r="C281">
        <v>1</v>
      </c>
      <c r="E281">
        <v>4</v>
      </c>
      <c r="F281" t="str">
        <f t="shared" si="4"/>
        <v>F336G1T4</v>
      </c>
      <c r="G281" s="14" t="s">
        <v>56</v>
      </c>
    </row>
    <row r="282" spans="1:7">
      <c r="A282">
        <v>33</v>
      </c>
      <c r="B282">
        <v>7</v>
      </c>
      <c r="C282">
        <v>1</v>
      </c>
      <c r="E282">
        <v>4</v>
      </c>
      <c r="F282" t="str">
        <f t="shared" si="4"/>
        <v>F337G1T4</v>
      </c>
      <c r="G282" s="14" t="s">
        <v>56</v>
      </c>
    </row>
    <row r="283" spans="1:7">
      <c r="A283">
        <v>33</v>
      </c>
      <c r="B283">
        <v>8</v>
      </c>
      <c r="C283">
        <v>1</v>
      </c>
      <c r="E283">
        <v>4</v>
      </c>
      <c r="F283" t="str">
        <f t="shared" si="4"/>
        <v>F338G1T4</v>
      </c>
      <c r="G283" s="14" t="s">
        <v>56</v>
      </c>
    </row>
    <row r="284" spans="1:7">
      <c r="A284">
        <v>39</v>
      </c>
      <c r="B284">
        <v>1</v>
      </c>
      <c r="C284">
        <v>1</v>
      </c>
      <c r="E284">
        <v>1</v>
      </c>
      <c r="F284" t="str">
        <f t="shared" si="4"/>
        <v>F391G1T1</v>
      </c>
      <c r="G284" s="14" t="s">
        <v>56</v>
      </c>
    </row>
    <row r="285" spans="1:7">
      <c r="A285">
        <v>39</v>
      </c>
      <c r="B285">
        <v>2</v>
      </c>
      <c r="C285">
        <v>1</v>
      </c>
      <c r="E285">
        <v>1</v>
      </c>
      <c r="F285" t="str">
        <f t="shared" si="4"/>
        <v>F392G1T1</v>
      </c>
      <c r="G285" s="14" t="s">
        <v>56</v>
      </c>
    </row>
    <row r="286" spans="1:7">
      <c r="A286">
        <v>39</v>
      </c>
      <c r="B286">
        <v>4</v>
      </c>
      <c r="C286">
        <v>1</v>
      </c>
      <c r="E286">
        <v>1</v>
      </c>
      <c r="F286" t="str">
        <f t="shared" si="4"/>
        <v>F394G1T1</v>
      </c>
      <c r="G286" s="14" t="s">
        <v>56</v>
      </c>
    </row>
    <row r="287" spans="1:7">
      <c r="A287">
        <v>39</v>
      </c>
      <c r="B287">
        <v>5</v>
      </c>
      <c r="C287">
        <v>1</v>
      </c>
      <c r="E287">
        <v>1</v>
      </c>
      <c r="F287" t="str">
        <f t="shared" si="4"/>
        <v>F395G1T1</v>
      </c>
      <c r="G287" s="14" t="s">
        <v>56</v>
      </c>
    </row>
    <row r="288" spans="1:7">
      <c r="A288">
        <v>39</v>
      </c>
      <c r="B288">
        <v>6</v>
      </c>
      <c r="C288">
        <v>1</v>
      </c>
      <c r="E288">
        <v>1</v>
      </c>
      <c r="F288" t="str">
        <f t="shared" si="4"/>
        <v>F396G1T1</v>
      </c>
      <c r="G288" s="14" t="s">
        <v>56</v>
      </c>
    </row>
    <row r="289" spans="1:7">
      <c r="A289">
        <v>39</v>
      </c>
      <c r="B289">
        <v>7</v>
      </c>
      <c r="C289">
        <v>1</v>
      </c>
      <c r="E289">
        <v>1</v>
      </c>
      <c r="F289" t="str">
        <f t="shared" si="4"/>
        <v>F397G1T1</v>
      </c>
      <c r="G289" s="14" t="s">
        <v>56</v>
      </c>
    </row>
    <row r="290" spans="1:7">
      <c r="A290">
        <v>39</v>
      </c>
      <c r="B290">
        <v>8</v>
      </c>
      <c r="C290">
        <v>1</v>
      </c>
      <c r="E290">
        <v>1</v>
      </c>
      <c r="F290" t="str">
        <f t="shared" si="4"/>
        <v>F398G1T1</v>
      </c>
      <c r="G290" s="14" t="s">
        <v>56</v>
      </c>
    </row>
    <row r="291" spans="1:7">
      <c r="A291">
        <v>39</v>
      </c>
      <c r="B291">
        <v>1</v>
      </c>
      <c r="C291">
        <v>1</v>
      </c>
      <c r="E291">
        <v>4</v>
      </c>
      <c r="F291" t="str">
        <f t="shared" si="4"/>
        <v>F391G1T4</v>
      </c>
      <c r="G291" s="14" t="s">
        <v>56</v>
      </c>
    </row>
    <row r="292" spans="1:7">
      <c r="A292">
        <v>39</v>
      </c>
      <c r="B292">
        <v>2</v>
      </c>
      <c r="C292">
        <v>1</v>
      </c>
      <c r="E292">
        <v>4</v>
      </c>
      <c r="F292" t="str">
        <f t="shared" si="4"/>
        <v>F392G1T4</v>
      </c>
      <c r="G292" s="14" t="s">
        <v>56</v>
      </c>
    </row>
    <row r="293" spans="1:7">
      <c r="A293">
        <v>39</v>
      </c>
      <c r="B293">
        <v>4</v>
      </c>
      <c r="C293">
        <v>1</v>
      </c>
      <c r="E293">
        <v>4</v>
      </c>
      <c r="F293" t="str">
        <f t="shared" si="4"/>
        <v>F394G1T4</v>
      </c>
      <c r="G293" s="14" t="s">
        <v>56</v>
      </c>
    </row>
    <row r="294" spans="1:7">
      <c r="A294">
        <v>39</v>
      </c>
      <c r="B294">
        <v>5</v>
      </c>
      <c r="C294">
        <v>1</v>
      </c>
      <c r="E294">
        <v>4</v>
      </c>
      <c r="F294" t="str">
        <f t="shared" si="4"/>
        <v>F395G1T4</v>
      </c>
      <c r="G294" s="14" t="s">
        <v>56</v>
      </c>
    </row>
    <row r="295" spans="1:7">
      <c r="A295">
        <v>39</v>
      </c>
      <c r="B295">
        <v>6</v>
      </c>
      <c r="C295">
        <v>1</v>
      </c>
      <c r="E295">
        <v>4</v>
      </c>
      <c r="F295" t="str">
        <f t="shared" si="4"/>
        <v>F396G1T4</v>
      </c>
      <c r="G295" s="14" t="s">
        <v>56</v>
      </c>
    </row>
    <row r="296" spans="1:7">
      <c r="A296">
        <v>39</v>
      </c>
      <c r="B296">
        <v>7</v>
      </c>
      <c r="C296">
        <v>1</v>
      </c>
      <c r="E296">
        <v>4</v>
      </c>
      <c r="F296" t="str">
        <f t="shared" si="4"/>
        <v>F397G1T4</v>
      </c>
      <c r="G296" s="14" t="s">
        <v>56</v>
      </c>
    </row>
    <row r="297" spans="1:7">
      <c r="A297">
        <v>39</v>
      </c>
      <c r="B297">
        <v>8</v>
      </c>
      <c r="C297">
        <v>1</v>
      </c>
      <c r="E297">
        <v>4</v>
      </c>
      <c r="F297" t="str">
        <f t="shared" si="4"/>
        <v>F398G1T4</v>
      </c>
      <c r="G297" s="14" t="s">
        <v>56</v>
      </c>
    </row>
    <row r="298" spans="1:7">
      <c r="A298">
        <v>45</v>
      </c>
      <c r="B298">
        <v>1</v>
      </c>
      <c r="C298">
        <v>1</v>
      </c>
      <c r="E298">
        <v>1</v>
      </c>
      <c r="F298" t="str">
        <f t="shared" si="4"/>
        <v>F451G1T1</v>
      </c>
      <c r="G298" s="14" t="s">
        <v>56</v>
      </c>
    </row>
    <row r="299" spans="1:7">
      <c r="A299">
        <v>45</v>
      </c>
      <c r="B299">
        <v>2</v>
      </c>
      <c r="C299">
        <v>1</v>
      </c>
      <c r="E299">
        <v>1</v>
      </c>
      <c r="F299" t="str">
        <f t="shared" si="4"/>
        <v>F452G1T1</v>
      </c>
      <c r="G299" s="14" t="s">
        <v>56</v>
      </c>
    </row>
    <row r="300" spans="1:7">
      <c r="A300">
        <v>45</v>
      </c>
      <c r="B300">
        <v>4</v>
      </c>
      <c r="C300">
        <v>1</v>
      </c>
      <c r="E300">
        <v>1</v>
      </c>
      <c r="F300" t="str">
        <f t="shared" si="4"/>
        <v>F454G1T1</v>
      </c>
      <c r="G300" s="14" t="s">
        <v>56</v>
      </c>
    </row>
    <row r="301" spans="1:7">
      <c r="A301">
        <v>45</v>
      </c>
      <c r="B301">
        <v>5</v>
      </c>
      <c r="C301">
        <v>1</v>
      </c>
      <c r="E301">
        <v>1</v>
      </c>
      <c r="F301" t="str">
        <f t="shared" si="4"/>
        <v>F455G1T1</v>
      </c>
      <c r="G301" s="14" t="s">
        <v>56</v>
      </c>
    </row>
    <row r="302" spans="1:7">
      <c r="A302">
        <v>45</v>
      </c>
      <c r="B302">
        <v>6</v>
      </c>
      <c r="C302">
        <v>1</v>
      </c>
      <c r="E302">
        <v>1</v>
      </c>
      <c r="F302" t="str">
        <f t="shared" si="4"/>
        <v>F456G1T1</v>
      </c>
      <c r="G302" s="14" t="s">
        <v>56</v>
      </c>
    </row>
    <row r="303" spans="1:7">
      <c r="A303">
        <v>45</v>
      </c>
      <c r="B303">
        <v>7</v>
      </c>
      <c r="C303">
        <v>1</v>
      </c>
      <c r="E303">
        <v>1</v>
      </c>
      <c r="F303" t="str">
        <f t="shared" si="4"/>
        <v>F457G1T1</v>
      </c>
      <c r="G303" s="14" t="s">
        <v>56</v>
      </c>
    </row>
    <row r="304" spans="1:7">
      <c r="A304">
        <v>45</v>
      </c>
      <c r="B304">
        <v>8</v>
      </c>
      <c r="C304">
        <v>1</v>
      </c>
      <c r="E304">
        <v>1</v>
      </c>
      <c r="F304" t="str">
        <f t="shared" si="4"/>
        <v>F458G1T1</v>
      </c>
      <c r="G304" s="14" t="s">
        <v>56</v>
      </c>
    </row>
    <row r="305" spans="1:7">
      <c r="A305">
        <v>45</v>
      </c>
      <c r="B305">
        <v>1</v>
      </c>
      <c r="C305">
        <v>1</v>
      </c>
      <c r="E305">
        <v>4</v>
      </c>
      <c r="F305" t="str">
        <f t="shared" si="4"/>
        <v>F451G1T4</v>
      </c>
      <c r="G305" s="14" t="s">
        <v>56</v>
      </c>
    </row>
    <row r="306" spans="1:7">
      <c r="A306">
        <v>45</v>
      </c>
      <c r="B306">
        <v>2</v>
      </c>
      <c r="C306">
        <v>1</v>
      </c>
      <c r="E306">
        <v>4</v>
      </c>
      <c r="F306" t="str">
        <f t="shared" si="4"/>
        <v>F452G1T4</v>
      </c>
      <c r="G306" s="14" t="s">
        <v>56</v>
      </c>
    </row>
    <row r="307" spans="1:7">
      <c r="A307">
        <v>45</v>
      </c>
      <c r="B307">
        <v>4</v>
      </c>
      <c r="C307">
        <v>1</v>
      </c>
      <c r="E307">
        <v>4</v>
      </c>
      <c r="F307" t="str">
        <f t="shared" si="4"/>
        <v>F454G1T4</v>
      </c>
      <c r="G307" s="14" t="s">
        <v>56</v>
      </c>
    </row>
    <row r="308" spans="1:7">
      <c r="A308">
        <v>45</v>
      </c>
      <c r="B308">
        <v>5</v>
      </c>
      <c r="C308">
        <v>1</v>
      </c>
      <c r="E308">
        <v>4</v>
      </c>
      <c r="F308" t="str">
        <f t="shared" si="4"/>
        <v>F455G1T4</v>
      </c>
      <c r="G308" s="14" t="s">
        <v>56</v>
      </c>
    </row>
    <row r="309" spans="1:7">
      <c r="A309">
        <v>45</v>
      </c>
      <c r="B309">
        <v>6</v>
      </c>
      <c r="C309">
        <v>1</v>
      </c>
      <c r="E309">
        <v>4</v>
      </c>
      <c r="F309" t="str">
        <f t="shared" si="4"/>
        <v>F456G1T4</v>
      </c>
      <c r="G309" s="14" t="s">
        <v>56</v>
      </c>
    </row>
    <row r="310" spans="1:7">
      <c r="A310">
        <v>45</v>
      </c>
      <c r="B310">
        <v>7</v>
      </c>
      <c r="C310">
        <v>1</v>
      </c>
      <c r="E310">
        <v>4</v>
      </c>
      <c r="F310" t="str">
        <f t="shared" si="4"/>
        <v>F457G1T4</v>
      </c>
      <c r="G310" s="14" t="s">
        <v>56</v>
      </c>
    </row>
    <row r="311" spans="1:7">
      <c r="A311">
        <v>45</v>
      </c>
      <c r="B311">
        <v>8</v>
      </c>
      <c r="C311">
        <v>1</v>
      </c>
      <c r="E311">
        <v>4</v>
      </c>
      <c r="F311" t="str">
        <f t="shared" si="4"/>
        <v>F458G1T4</v>
      </c>
      <c r="G311" s="14" t="s">
        <v>56</v>
      </c>
    </row>
    <row r="312" spans="1:7">
      <c r="A312">
        <v>47</v>
      </c>
      <c r="B312">
        <v>1</v>
      </c>
      <c r="C312">
        <v>1</v>
      </c>
      <c r="E312">
        <v>1</v>
      </c>
      <c r="F312" t="str">
        <f t="shared" si="4"/>
        <v>F471G1T1</v>
      </c>
      <c r="G312" s="14" t="s">
        <v>56</v>
      </c>
    </row>
    <row r="313" spans="1:7">
      <c r="A313">
        <v>47</v>
      </c>
      <c r="B313">
        <v>2</v>
      </c>
      <c r="C313">
        <v>1</v>
      </c>
      <c r="E313">
        <v>1</v>
      </c>
      <c r="F313" t="str">
        <f t="shared" si="4"/>
        <v>F472G1T1</v>
      </c>
      <c r="G313" s="14" t="s">
        <v>56</v>
      </c>
    </row>
    <row r="314" spans="1:7">
      <c r="A314">
        <v>47</v>
      </c>
      <c r="B314">
        <v>4</v>
      </c>
      <c r="C314">
        <v>1</v>
      </c>
      <c r="E314">
        <v>1</v>
      </c>
      <c r="F314" t="str">
        <f t="shared" si="4"/>
        <v>F474G1T1</v>
      </c>
      <c r="G314" s="14" t="s">
        <v>56</v>
      </c>
    </row>
    <row r="315" spans="1:7">
      <c r="A315">
        <v>47</v>
      </c>
      <c r="B315">
        <v>5</v>
      </c>
      <c r="C315">
        <v>1</v>
      </c>
      <c r="E315">
        <v>1</v>
      </c>
      <c r="F315" t="str">
        <f t="shared" si="4"/>
        <v>F475G1T1</v>
      </c>
      <c r="G315" s="14" t="s">
        <v>56</v>
      </c>
    </row>
    <row r="316" spans="1:7">
      <c r="A316">
        <v>47</v>
      </c>
      <c r="B316">
        <v>6</v>
      </c>
      <c r="C316">
        <v>1</v>
      </c>
      <c r="E316">
        <v>1</v>
      </c>
      <c r="F316" t="str">
        <f t="shared" si="4"/>
        <v>F476G1T1</v>
      </c>
      <c r="G316" s="14" t="s">
        <v>56</v>
      </c>
    </row>
    <row r="317" spans="1:7">
      <c r="A317">
        <v>47</v>
      </c>
      <c r="B317">
        <v>7</v>
      </c>
      <c r="C317">
        <v>1</v>
      </c>
      <c r="E317">
        <v>1</v>
      </c>
      <c r="F317" t="str">
        <f t="shared" si="4"/>
        <v>F477G1T1</v>
      </c>
      <c r="G317" s="14" t="s">
        <v>56</v>
      </c>
    </row>
    <row r="318" spans="1:7">
      <c r="A318">
        <v>47</v>
      </c>
      <c r="B318">
        <v>8</v>
      </c>
      <c r="C318">
        <v>1</v>
      </c>
      <c r="E318">
        <v>1</v>
      </c>
      <c r="F318" t="str">
        <f t="shared" si="4"/>
        <v>F478G1T1</v>
      </c>
      <c r="G318" s="14" t="s">
        <v>56</v>
      </c>
    </row>
    <row r="319" spans="1:7">
      <c r="A319">
        <v>47</v>
      </c>
      <c r="B319">
        <v>1</v>
      </c>
      <c r="C319">
        <v>1</v>
      </c>
      <c r="E319">
        <v>4</v>
      </c>
      <c r="F319" t="str">
        <f t="shared" si="4"/>
        <v>F471G1T4</v>
      </c>
      <c r="G319" s="14" t="s">
        <v>56</v>
      </c>
    </row>
    <row r="320" spans="1:7">
      <c r="A320">
        <v>47</v>
      </c>
      <c r="B320">
        <v>2</v>
      </c>
      <c r="C320">
        <v>1</v>
      </c>
      <c r="E320">
        <v>4</v>
      </c>
      <c r="F320" t="str">
        <f t="shared" si="4"/>
        <v>F472G1T4</v>
      </c>
      <c r="G320" s="14" t="s">
        <v>56</v>
      </c>
    </row>
    <row r="321" spans="1:7">
      <c r="A321">
        <v>47</v>
      </c>
      <c r="B321">
        <v>4</v>
      </c>
      <c r="C321">
        <v>1</v>
      </c>
      <c r="E321">
        <v>4</v>
      </c>
      <c r="F321" t="str">
        <f t="shared" si="4"/>
        <v>F474G1T4</v>
      </c>
      <c r="G321" s="14" t="s">
        <v>56</v>
      </c>
    </row>
    <row r="322" spans="1:7">
      <c r="A322">
        <v>47</v>
      </c>
      <c r="B322">
        <v>5</v>
      </c>
      <c r="C322">
        <v>1</v>
      </c>
      <c r="E322">
        <v>4</v>
      </c>
      <c r="F322" t="str">
        <f t="shared" si="4"/>
        <v>F475G1T4</v>
      </c>
      <c r="G322" s="14" t="s">
        <v>56</v>
      </c>
    </row>
    <row r="323" spans="1:7">
      <c r="A323">
        <v>47</v>
      </c>
      <c r="B323">
        <v>6</v>
      </c>
      <c r="C323">
        <v>1</v>
      </c>
      <c r="E323">
        <v>4</v>
      </c>
      <c r="F323" t="str">
        <f t="shared" ref="F323:F386" si="5">CONCATENATE("F",A323,B323,"G",C323,"T",E323)</f>
        <v>F476G1T4</v>
      </c>
      <c r="G323" s="14" t="s">
        <v>56</v>
      </c>
    </row>
    <row r="324" spans="1:7">
      <c r="A324">
        <v>47</v>
      </c>
      <c r="B324">
        <v>7</v>
      </c>
      <c r="C324">
        <v>1</v>
      </c>
      <c r="E324">
        <v>4</v>
      </c>
      <c r="F324" t="str">
        <f t="shared" si="5"/>
        <v>F477G1T4</v>
      </c>
      <c r="G324" s="14" t="s">
        <v>56</v>
      </c>
    </row>
    <row r="325" spans="1:7">
      <c r="A325">
        <v>47</v>
      </c>
      <c r="B325">
        <v>8</v>
      </c>
      <c r="C325">
        <v>1</v>
      </c>
      <c r="E325">
        <v>4</v>
      </c>
      <c r="F325" t="str">
        <f t="shared" si="5"/>
        <v>F478G1T4</v>
      </c>
      <c r="G325" s="14" t="s">
        <v>56</v>
      </c>
    </row>
    <row r="326" spans="1:7">
      <c r="A326">
        <v>49</v>
      </c>
      <c r="B326">
        <v>1</v>
      </c>
      <c r="C326">
        <v>1</v>
      </c>
      <c r="E326">
        <v>1</v>
      </c>
      <c r="F326" t="str">
        <f t="shared" si="5"/>
        <v>F491G1T1</v>
      </c>
      <c r="G326" s="14" t="s">
        <v>56</v>
      </c>
    </row>
    <row r="327" spans="1:7">
      <c r="A327">
        <v>49</v>
      </c>
      <c r="B327">
        <v>2</v>
      </c>
      <c r="C327">
        <v>1</v>
      </c>
      <c r="E327">
        <v>1</v>
      </c>
      <c r="F327" t="str">
        <f t="shared" si="5"/>
        <v>F492G1T1</v>
      </c>
      <c r="G327" s="14" t="s">
        <v>56</v>
      </c>
    </row>
    <row r="328" spans="1:7">
      <c r="A328">
        <v>49</v>
      </c>
      <c r="B328">
        <v>4</v>
      </c>
      <c r="C328">
        <v>1</v>
      </c>
      <c r="E328">
        <v>1</v>
      </c>
      <c r="F328" t="str">
        <f t="shared" si="5"/>
        <v>F494G1T1</v>
      </c>
      <c r="G328" s="14" t="s">
        <v>56</v>
      </c>
    </row>
    <row r="329" spans="1:7">
      <c r="A329">
        <v>49</v>
      </c>
      <c r="B329">
        <v>5</v>
      </c>
      <c r="C329">
        <v>1</v>
      </c>
      <c r="E329">
        <v>1</v>
      </c>
      <c r="F329" t="str">
        <f t="shared" si="5"/>
        <v>F495G1T1</v>
      </c>
      <c r="G329" s="14" t="s">
        <v>56</v>
      </c>
    </row>
    <row r="330" spans="1:7">
      <c r="A330">
        <v>49</v>
      </c>
      <c r="B330">
        <v>6</v>
      </c>
      <c r="C330">
        <v>1</v>
      </c>
      <c r="E330">
        <v>1</v>
      </c>
      <c r="F330" t="str">
        <f t="shared" si="5"/>
        <v>F496G1T1</v>
      </c>
      <c r="G330" s="14" t="s">
        <v>56</v>
      </c>
    </row>
    <row r="331" spans="1:7">
      <c r="A331">
        <v>49</v>
      </c>
      <c r="B331">
        <v>7</v>
      </c>
      <c r="C331">
        <v>1</v>
      </c>
      <c r="E331">
        <v>1</v>
      </c>
      <c r="F331" t="str">
        <f t="shared" si="5"/>
        <v>F497G1T1</v>
      </c>
      <c r="G331" s="14" t="s">
        <v>56</v>
      </c>
    </row>
    <row r="332" spans="1:7">
      <c r="A332">
        <v>49</v>
      </c>
      <c r="B332">
        <v>8</v>
      </c>
      <c r="C332">
        <v>1</v>
      </c>
      <c r="E332">
        <v>1</v>
      </c>
      <c r="F332" t="str">
        <f t="shared" si="5"/>
        <v>F498G1T1</v>
      </c>
      <c r="G332" s="14" t="s">
        <v>56</v>
      </c>
    </row>
    <row r="333" spans="1:7">
      <c r="A333">
        <v>49</v>
      </c>
      <c r="B333">
        <v>1</v>
      </c>
      <c r="C333">
        <v>1</v>
      </c>
      <c r="E333">
        <v>4</v>
      </c>
      <c r="F333" t="str">
        <f t="shared" si="5"/>
        <v>F491G1T4</v>
      </c>
      <c r="G333" s="14" t="s">
        <v>56</v>
      </c>
    </row>
    <row r="334" spans="1:7">
      <c r="A334">
        <v>49</v>
      </c>
      <c r="B334">
        <v>2</v>
      </c>
      <c r="C334">
        <v>1</v>
      </c>
      <c r="E334">
        <v>4</v>
      </c>
      <c r="F334" t="str">
        <f t="shared" si="5"/>
        <v>F492G1T4</v>
      </c>
      <c r="G334" s="14" t="s">
        <v>56</v>
      </c>
    </row>
    <row r="335" spans="1:7">
      <c r="A335">
        <v>49</v>
      </c>
      <c r="B335">
        <v>4</v>
      </c>
      <c r="C335">
        <v>1</v>
      </c>
      <c r="E335">
        <v>4</v>
      </c>
      <c r="F335" t="str">
        <f t="shared" si="5"/>
        <v>F494G1T4</v>
      </c>
      <c r="G335" s="14" t="s">
        <v>56</v>
      </c>
    </row>
    <row r="336" spans="1:7">
      <c r="A336">
        <v>49</v>
      </c>
      <c r="B336">
        <v>5</v>
      </c>
      <c r="C336">
        <v>1</v>
      </c>
      <c r="E336">
        <v>4</v>
      </c>
      <c r="F336" t="str">
        <f t="shared" si="5"/>
        <v>F495G1T4</v>
      </c>
      <c r="G336" s="14" t="s">
        <v>56</v>
      </c>
    </row>
    <row r="337" spans="1:7">
      <c r="A337">
        <v>49</v>
      </c>
      <c r="B337">
        <v>6</v>
      </c>
      <c r="C337">
        <v>1</v>
      </c>
      <c r="E337">
        <v>4</v>
      </c>
      <c r="F337" t="str">
        <f t="shared" si="5"/>
        <v>F496G1T4</v>
      </c>
      <c r="G337" s="14" t="s">
        <v>56</v>
      </c>
    </row>
    <row r="338" spans="1:7">
      <c r="A338">
        <v>49</v>
      </c>
      <c r="B338">
        <v>7</v>
      </c>
      <c r="C338">
        <v>1</v>
      </c>
      <c r="E338">
        <v>4</v>
      </c>
      <c r="F338" t="str">
        <f t="shared" si="5"/>
        <v>F497G1T4</v>
      </c>
      <c r="G338" s="14" t="s">
        <v>56</v>
      </c>
    </row>
    <row r="339" spans="1:7">
      <c r="A339">
        <v>49</v>
      </c>
      <c r="B339">
        <v>8</v>
      </c>
      <c r="C339">
        <v>1</v>
      </c>
      <c r="E339">
        <v>4</v>
      </c>
      <c r="F339" t="str">
        <f t="shared" si="5"/>
        <v>F498G1T4</v>
      </c>
      <c r="G339" s="14" t="s">
        <v>56</v>
      </c>
    </row>
    <row r="340" spans="1:7">
      <c r="A340">
        <v>50</v>
      </c>
      <c r="B340">
        <v>1</v>
      </c>
      <c r="C340">
        <v>1</v>
      </c>
      <c r="E340">
        <v>1</v>
      </c>
      <c r="F340" t="str">
        <f t="shared" si="5"/>
        <v>F501G1T1</v>
      </c>
      <c r="G340" s="14" t="s">
        <v>56</v>
      </c>
    </row>
    <row r="341" spans="1:7">
      <c r="A341">
        <v>50</v>
      </c>
      <c r="B341">
        <v>2</v>
      </c>
      <c r="C341">
        <v>1</v>
      </c>
      <c r="E341">
        <v>1</v>
      </c>
      <c r="F341" t="str">
        <f t="shared" si="5"/>
        <v>F502G1T1</v>
      </c>
      <c r="G341" s="14" t="s">
        <v>56</v>
      </c>
    </row>
    <row r="342" spans="1:7">
      <c r="A342">
        <v>50</v>
      </c>
      <c r="B342">
        <v>4</v>
      </c>
      <c r="C342">
        <v>1</v>
      </c>
      <c r="E342">
        <v>1</v>
      </c>
      <c r="F342" t="str">
        <f t="shared" si="5"/>
        <v>F504G1T1</v>
      </c>
      <c r="G342" s="14" t="s">
        <v>56</v>
      </c>
    </row>
    <row r="343" spans="1:7">
      <c r="A343">
        <v>50</v>
      </c>
      <c r="B343">
        <v>5</v>
      </c>
      <c r="C343">
        <v>1</v>
      </c>
      <c r="E343">
        <v>1</v>
      </c>
      <c r="F343" t="str">
        <f t="shared" si="5"/>
        <v>F505G1T1</v>
      </c>
      <c r="G343" s="14" t="s">
        <v>56</v>
      </c>
    </row>
    <row r="344" spans="1:7">
      <c r="A344">
        <v>50</v>
      </c>
      <c r="B344">
        <v>6</v>
      </c>
      <c r="C344">
        <v>1</v>
      </c>
      <c r="E344">
        <v>1</v>
      </c>
      <c r="F344" t="str">
        <f t="shared" si="5"/>
        <v>F506G1T1</v>
      </c>
      <c r="G344" s="14" t="s">
        <v>56</v>
      </c>
    </row>
    <row r="345" spans="1:7">
      <c r="A345">
        <v>50</v>
      </c>
      <c r="B345">
        <v>7</v>
      </c>
      <c r="C345">
        <v>1</v>
      </c>
      <c r="E345">
        <v>1</v>
      </c>
      <c r="F345" t="str">
        <f t="shared" si="5"/>
        <v>F507G1T1</v>
      </c>
      <c r="G345" s="14" t="s">
        <v>56</v>
      </c>
    </row>
    <row r="346" spans="1:7">
      <c r="A346">
        <v>50</v>
      </c>
      <c r="B346">
        <v>8</v>
      </c>
      <c r="C346">
        <v>1</v>
      </c>
      <c r="E346">
        <v>1</v>
      </c>
      <c r="F346" t="str">
        <f t="shared" si="5"/>
        <v>F508G1T1</v>
      </c>
      <c r="G346" s="14" t="s">
        <v>56</v>
      </c>
    </row>
    <row r="347" spans="1:7">
      <c r="A347">
        <v>50</v>
      </c>
      <c r="B347">
        <v>1</v>
      </c>
      <c r="C347">
        <v>1</v>
      </c>
      <c r="E347">
        <v>4</v>
      </c>
      <c r="F347" t="str">
        <f t="shared" si="5"/>
        <v>F501G1T4</v>
      </c>
      <c r="G347" s="14" t="s">
        <v>56</v>
      </c>
    </row>
    <row r="348" spans="1:7">
      <c r="A348">
        <v>50</v>
      </c>
      <c r="B348">
        <v>2</v>
      </c>
      <c r="C348">
        <v>1</v>
      </c>
      <c r="E348">
        <v>4</v>
      </c>
      <c r="F348" t="str">
        <f t="shared" si="5"/>
        <v>F502G1T4</v>
      </c>
      <c r="G348" s="14" t="s">
        <v>56</v>
      </c>
    </row>
    <row r="349" spans="1:7">
      <c r="A349">
        <v>50</v>
      </c>
      <c r="B349">
        <v>4</v>
      </c>
      <c r="C349">
        <v>1</v>
      </c>
      <c r="E349">
        <v>4</v>
      </c>
      <c r="F349" t="str">
        <f t="shared" si="5"/>
        <v>F504G1T4</v>
      </c>
      <c r="G349" s="14" t="s">
        <v>56</v>
      </c>
    </row>
    <row r="350" spans="1:7">
      <c r="A350">
        <v>50</v>
      </c>
      <c r="B350">
        <v>5</v>
      </c>
      <c r="C350">
        <v>1</v>
      </c>
      <c r="E350">
        <v>4</v>
      </c>
      <c r="F350" t="str">
        <f t="shared" si="5"/>
        <v>F505G1T4</v>
      </c>
      <c r="G350" s="14" t="s">
        <v>56</v>
      </c>
    </row>
    <row r="351" spans="1:7">
      <c r="A351">
        <v>50</v>
      </c>
      <c r="B351">
        <v>6</v>
      </c>
      <c r="C351">
        <v>1</v>
      </c>
      <c r="E351">
        <v>4</v>
      </c>
      <c r="F351" t="str">
        <f t="shared" si="5"/>
        <v>F506G1T4</v>
      </c>
      <c r="G351" s="14" t="s">
        <v>56</v>
      </c>
    </row>
    <row r="352" spans="1:7">
      <c r="A352">
        <v>50</v>
      </c>
      <c r="B352">
        <v>7</v>
      </c>
      <c r="C352">
        <v>1</v>
      </c>
      <c r="E352">
        <v>4</v>
      </c>
      <c r="F352" t="str">
        <f t="shared" si="5"/>
        <v>F507G1T4</v>
      </c>
      <c r="G352" s="14" t="s">
        <v>56</v>
      </c>
    </row>
    <row r="353" spans="1:7">
      <c r="A353">
        <v>50</v>
      </c>
      <c r="B353">
        <v>8</v>
      </c>
      <c r="C353">
        <v>1</v>
      </c>
      <c r="E353">
        <v>4</v>
      </c>
      <c r="F353" t="str">
        <f t="shared" si="5"/>
        <v>F508G1T4</v>
      </c>
      <c r="G353" s="14" t="s">
        <v>56</v>
      </c>
    </row>
    <row r="354" spans="1:7">
      <c r="A354">
        <v>52</v>
      </c>
      <c r="B354">
        <v>1</v>
      </c>
      <c r="C354">
        <v>1</v>
      </c>
      <c r="E354">
        <v>1</v>
      </c>
      <c r="F354" t="str">
        <f t="shared" si="5"/>
        <v>F521G1T1</v>
      </c>
      <c r="G354" s="14" t="s">
        <v>56</v>
      </c>
    </row>
    <row r="355" spans="1:7">
      <c r="A355">
        <v>52</v>
      </c>
      <c r="B355">
        <v>2</v>
      </c>
      <c r="C355">
        <v>1</v>
      </c>
      <c r="E355">
        <v>1</v>
      </c>
      <c r="F355" t="str">
        <f t="shared" si="5"/>
        <v>F522G1T1</v>
      </c>
      <c r="G355" s="14" t="s">
        <v>56</v>
      </c>
    </row>
    <row r="356" spans="1:7">
      <c r="A356">
        <v>52</v>
      </c>
      <c r="B356">
        <v>4</v>
      </c>
      <c r="C356">
        <v>1</v>
      </c>
      <c r="E356">
        <v>1</v>
      </c>
      <c r="F356" t="str">
        <f t="shared" si="5"/>
        <v>F524G1T1</v>
      </c>
      <c r="G356" s="14" t="s">
        <v>56</v>
      </c>
    </row>
    <row r="357" spans="1:7">
      <c r="A357">
        <v>52</v>
      </c>
      <c r="B357">
        <v>5</v>
      </c>
      <c r="C357">
        <v>1</v>
      </c>
      <c r="E357">
        <v>1</v>
      </c>
      <c r="F357" t="str">
        <f t="shared" si="5"/>
        <v>F525G1T1</v>
      </c>
      <c r="G357" s="14" t="s">
        <v>56</v>
      </c>
    </row>
    <row r="358" spans="1:7">
      <c r="A358">
        <v>52</v>
      </c>
      <c r="B358">
        <v>6</v>
      </c>
      <c r="C358">
        <v>1</v>
      </c>
      <c r="E358">
        <v>1</v>
      </c>
      <c r="F358" t="str">
        <f t="shared" si="5"/>
        <v>F526G1T1</v>
      </c>
      <c r="G358" s="14" t="s">
        <v>56</v>
      </c>
    </row>
    <row r="359" spans="1:7">
      <c r="A359">
        <v>52</v>
      </c>
      <c r="B359">
        <v>7</v>
      </c>
      <c r="C359">
        <v>1</v>
      </c>
      <c r="E359">
        <v>1</v>
      </c>
      <c r="F359" t="str">
        <f t="shared" si="5"/>
        <v>F527G1T1</v>
      </c>
      <c r="G359" s="14" t="s">
        <v>56</v>
      </c>
    </row>
    <row r="360" spans="1:7">
      <c r="A360">
        <v>52</v>
      </c>
      <c r="B360">
        <v>8</v>
      </c>
      <c r="C360">
        <v>1</v>
      </c>
      <c r="E360">
        <v>1</v>
      </c>
      <c r="F360" t="str">
        <f t="shared" si="5"/>
        <v>F528G1T1</v>
      </c>
      <c r="G360" s="14" t="s">
        <v>56</v>
      </c>
    </row>
    <row r="361" spans="1:7">
      <c r="A361">
        <v>52</v>
      </c>
      <c r="B361">
        <v>1</v>
      </c>
      <c r="C361">
        <v>1</v>
      </c>
      <c r="E361">
        <v>4</v>
      </c>
      <c r="F361" t="str">
        <f t="shared" si="5"/>
        <v>F521G1T4</v>
      </c>
      <c r="G361" s="14" t="s">
        <v>56</v>
      </c>
    </row>
    <row r="362" spans="1:7">
      <c r="A362">
        <v>52</v>
      </c>
      <c r="B362">
        <v>2</v>
      </c>
      <c r="C362">
        <v>1</v>
      </c>
      <c r="E362">
        <v>4</v>
      </c>
      <c r="F362" t="str">
        <f t="shared" si="5"/>
        <v>F522G1T4</v>
      </c>
      <c r="G362" s="14" t="s">
        <v>56</v>
      </c>
    </row>
    <row r="363" spans="1:7">
      <c r="A363">
        <v>52</v>
      </c>
      <c r="B363">
        <v>4</v>
      </c>
      <c r="C363">
        <v>1</v>
      </c>
      <c r="E363">
        <v>4</v>
      </c>
      <c r="F363" t="str">
        <f t="shared" si="5"/>
        <v>F524G1T4</v>
      </c>
      <c r="G363" s="14" t="s">
        <v>56</v>
      </c>
    </row>
    <row r="364" spans="1:7">
      <c r="A364">
        <v>52</v>
      </c>
      <c r="B364">
        <v>5</v>
      </c>
      <c r="C364">
        <v>1</v>
      </c>
      <c r="E364">
        <v>4</v>
      </c>
      <c r="F364" t="str">
        <f t="shared" si="5"/>
        <v>F525G1T4</v>
      </c>
      <c r="G364" s="14" t="s">
        <v>56</v>
      </c>
    </row>
    <row r="365" spans="1:7">
      <c r="A365">
        <v>52</v>
      </c>
      <c r="B365">
        <v>6</v>
      </c>
      <c r="C365">
        <v>1</v>
      </c>
      <c r="E365">
        <v>4</v>
      </c>
      <c r="F365" t="str">
        <f t="shared" si="5"/>
        <v>F526G1T4</v>
      </c>
      <c r="G365" s="14" t="s">
        <v>56</v>
      </c>
    </row>
    <row r="366" spans="1:7">
      <c r="A366">
        <v>52</v>
      </c>
      <c r="B366">
        <v>7</v>
      </c>
      <c r="C366">
        <v>1</v>
      </c>
      <c r="E366">
        <v>4</v>
      </c>
      <c r="F366" t="str">
        <f t="shared" si="5"/>
        <v>F527G1T4</v>
      </c>
      <c r="G366" s="14" t="s">
        <v>56</v>
      </c>
    </row>
    <row r="367" spans="1:7">
      <c r="A367">
        <v>52</v>
      </c>
      <c r="B367">
        <v>8</v>
      </c>
      <c r="C367">
        <v>1</v>
      </c>
      <c r="E367">
        <v>4</v>
      </c>
      <c r="F367" t="str">
        <f t="shared" si="5"/>
        <v>F528G1T4</v>
      </c>
      <c r="G367" s="14" t="s">
        <v>56</v>
      </c>
    </row>
    <row r="368" spans="1:7">
      <c r="A368">
        <v>54</v>
      </c>
      <c r="B368">
        <v>1</v>
      </c>
      <c r="C368">
        <v>1</v>
      </c>
      <c r="E368">
        <v>1</v>
      </c>
      <c r="F368" t="str">
        <f t="shared" si="5"/>
        <v>F541G1T1</v>
      </c>
      <c r="G368" s="14" t="s">
        <v>56</v>
      </c>
    </row>
    <row r="369" spans="1:7">
      <c r="A369">
        <v>54</v>
      </c>
      <c r="B369">
        <v>2</v>
      </c>
      <c r="C369">
        <v>1</v>
      </c>
      <c r="E369">
        <v>1</v>
      </c>
      <c r="F369" t="str">
        <f t="shared" si="5"/>
        <v>F542G1T1</v>
      </c>
      <c r="G369" s="14" t="s">
        <v>56</v>
      </c>
    </row>
    <row r="370" spans="1:7">
      <c r="A370">
        <v>54</v>
      </c>
      <c r="B370">
        <v>4</v>
      </c>
      <c r="C370">
        <v>1</v>
      </c>
      <c r="E370">
        <v>1</v>
      </c>
      <c r="F370" t="str">
        <f t="shared" si="5"/>
        <v>F544G1T1</v>
      </c>
      <c r="G370" s="14" t="s">
        <v>56</v>
      </c>
    </row>
    <row r="371" spans="1:7">
      <c r="A371">
        <v>54</v>
      </c>
      <c r="B371">
        <v>5</v>
      </c>
      <c r="C371">
        <v>1</v>
      </c>
      <c r="E371">
        <v>1</v>
      </c>
      <c r="F371" t="str">
        <f t="shared" si="5"/>
        <v>F545G1T1</v>
      </c>
      <c r="G371" s="14" t="s">
        <v>56</v>
      </c>
    </row>
    <row r="372" spans="1:7">
      <c r="A372">
        <v>54</v>
      </c>
      <c r="B372">
        <v>6</v>
      </c>
      <c r="C372">
        <v>1</v>
      </c>
      <c r="E372">
        <v>1</v>
      </c>
      <c r="F372" t="str">
        <f t="shared" si="5"/>
        <v>F546G1T1</v>
      </c>
      <c r="G372" s="14" t="s">
        <v>56</v>
      </c>
    </row>
    <row r="373" spans="1:7">
      <c r="A373">
        <v>54</v>
      </c>
      <c r="B373">
        <v>7</v>
      </c>
      <c r="C373">
        <v>1</v>
      </c>
      <c r="E373">
        <v>1</v>
      </c>
      <c r="F373" t="str">
        <f t="shared" si="5"/>
        <v>F547G1T1</v>
      </c>
      <c r="G373" s="14" t="s">
        <v>56</v>
      </c>
    </row>
    <row r="374" spans="1:7">
      <c r="A374">
        <v>54</v>
      </c>
      <c r="B374">
        <v>8</v>
      </c>
      <c r="C374">
        <v>1</v>
      </c>
      <c r="E374">
        <v>1</v>
      </c>
      <c r="F374" t="str">
        <f t="shared" si="5"/>
        <v>F548G1T1</v>
      </c>
      <c r="G374" s="14" t="s">
        <v>56</v>
      </c>
    </row>
    <row r="375" spans="1:7">
      <c r="A375">
        <v>54</v>
      </c>
      <c r="B375">
        <v>1</v>
      </c>
      <c r="C375">
        <v>1</v>
      </c>
      <c r="E375">
        <v>4</v>
      </c>
      <c r="F375" t="str">
        <f t="shared" si="5"/>
        <v>F541G1T4</v>
      </c>
      <c r="G375" s="14" t="s">
        <v>56</v>
      </c>
    </row>
    <row r="376" spans="1:7">
      <c r="A376">
        <v>54</v>
      </c>
      <c r="B376">
        <v>2</v>
      </c>
      <c r="C376">
        <v>1</v>
      </c>
      <c r="E376">
        <v>4</v>
      </c>
      <c r="F376" t="str">
        <f t="shared" si="5"/>
        <v>F542G1T4</v>
      </c>
      <c r="G376" s="14" t="s">
        <v>56</v>
      </c>
    </row>
    <row r="377" spans="1:7">
      <c r="A377">
        <v>54</v>
      </c>
      <c r="B377">
        <v>4</v>
      </c>
      <c r="C377">
        <v>1</v>
      </c>
      <c r="E377">
        <v>4</v>
      </c>
      <c r="F377" t="str">
        <f t="shared" si="5"/>
        <v>F544G1T4</v>
      </c>
      <c r="G377" s="14" t="s">
        <v>56</v>
      </c>
    </row>
    <row r="378" spans="1:7">
      <c r="A378">
        <v>54</v>
      </c>
      <c r="B378">
        <v>5</v>
      </c>
      <c r="C378">
        <v>1</v>
      </c>
      <c r="E378">
        <v>4</v>
      </c>
      <c r="F378" t="str">
        <f t="shared" si="5"/>
        <v>F545G1T4</v>
      </c>
      <c r="G378" s="14" t="s">
        <v>56</v>
      </c>
    </row>
    <row r="379" spans="1:7">
      <c r="A379">
        <v>54</v>
      </c>
      <c r="B379">
        <v>6</v>
      </c>
      <c r="C379">
        <v>1</v>
      </c>
      <c r="E379">
        <v>4</v>
      </c>
      <c r="F379" t="str">
        <f t="shared" si="5"/>
        <v>F546G1T4</v>
      </c>
      <c r="G379" s="14" t="s">
        <v>56</v>
      </c>
    </row>
    <row r="380" spans="1:7">
      <c r="A380">
        <v>54</v>
      </c>
      <c r="B380">
        <v>7</v>
      </c>
      <c r="C380">
        <v>1</v>
      </c>
      <c r="E380">
        <v>4</v>
      </c>
      <c r="F380" t="str">
        <f t="shared" si="5"/>
        <v>F547G1T4</v>
      </c>
      <c r="G380" s="14" t="s">
        <v>56</v>
      </c>
    </row>
    <row r="381" spans="1:7">
      <c r="A381">
        <v>54</v>
      </c>
      <c r="B381">
        <v>8</v>
      </c>
      <c r="C381">
        <v>1</v>
      </c>
      <c r="E381">
        <v>4</v>
      </c>
      <c r="F381" t="str">
        <f t="shared" si="5"/>
        <v>F548G1T4</v>
      </c>
      <c r="G381" s="14" t="s">
        <v>56</v>
      </c>
    </row>
    <row r="382" spans="1:7">
      <c r="A382">
        <v>59</v>
      </c>
      <c r="B382">
        <v>1</v>
      </c>
      <c r="C382">
        <v>1</v>
      </c>
      <c r="E382">
        <v>1</v>
      </c>
      <c r="F382" t="str">
        <f t="shared" si="5"/>
        <v>F591G1T1</v>
      </c>
      <c r="G382" s="14" t="s">
        <v>56</v>
      </c>
    </row>
    <row r="383" spans="1:7">
      <c r="A383">
        <v>59</v>
      </c>
      <c r="B383">
        <v>2</v>
      </c>
      <c r="C383">
        <v>1</v>
      </c>
      <c r="E383">
        <v>1</v>
      </c>
      <c r="F383" t="str">
        <f t="shared" si="5"/>
        <v>F592G1T1</v>
      </c>
      <c r="G383" s="14" t="s">
        <v>56</v>
      </c>
    </row>
    <row r="384" spans="1:7">
      <c r="A384">
        <v>59</v>
      </c>
      <c r="B384">
        <v>4</v>
      </c>
      <c r="C384">
        <v>1</v>
      </c>
      <c r="E384">
        <v>1</v>
      </c>
      <c r="F384" t="str">
        <f t="shared" si="5"/>
        <v>F594G1T1</v>
      </c>
      <c r="G384" s="14" t="s">
        <v>56</v>
      </c>
    </row>
    <row r="385" spans="1:7">
      <c r="A385">
        <v>59</v>
      </c>
      <c r="B385">
        <v>5</v>
      </c>
      <c r="C385">
        <v>1</v>
      </c>
      <c r="E385">
        <v>1</v>
      </c>
      <c r="F385" t="str">
        <f t="shared" si="5"/>
        <v>F595G1T1</v>
      </c>
      <c r="G385" s="14" t="s">
        <v>56</v>
      </c>
    </row>
    <row r="386" spans="1:7">
      <c r="A386">
        <v>59</v>
      </c>
      <c r="B386">
        <v>6</v>
      </c>
      <c r="C386">
        <v>1</v>
      </c>
      <c r="E386">
        <v>1</v>
      </c>
      <c r="F386" t="str">
        <f t="shared" si="5"/>
        <v>F596G1T1</v>
      </c>
      <c r="G386" s="14" t="s">
        <v>56</v>
      </c>
    </row>
    <row r="387" spans="1:7">
      <c r="A387">
        <v>59</v>
      </c>
      <c r="B387">
        <v>7</v>
      </c>
      <c r="C387">
        <v>1</v>
      </c>
      <c r="E387">
        <v>1</v>
      </c>
      <c r="F387" t="str">
        <f t="shared" ref="F387:F450" si="6">CONCATENATE("F",A387,B387,"G",C387,"T",E387)</f>
        <v>F597G1T1</v>
      </c>
      <c r="G387" s="14" t="s">
        <v>56</v>
      </c>
    </row>
    <row r="388" spans="1:7">
      <c r="A388">
        <v>59</v>
      </c>
      <c r="B388">
        <v>8</v>
      </c>
      <c r="C388">
        <v>1</v>
      </c>
      <c r="E388">
        <v>1</v>
      </c>
      <c r="F388" t="str">
        <f t="shared" si="6"/>
        <v>F598G1T1</v>
      </c>
      <c r="G388" s="14" t="s">
        <v>56</v>
      </c>
    </row>
    <row r="389" spans="1:7">
      <c r="A389">
        <v>59</v>
      </c>
      <c r="B389">
        <v>1</v>
      </c>
      <c r="C389">
        <v>1</v>
      </c>
      <c r="E389">
        <v>4</v>
      </c>
      <c r="F389" t="str">
        <f t="shared" si="6"/>
        <v>F591G1T4</v>
      </c>
      <c r="G389" s="14" t="s">
        <v>56</v>
      </c>
    </row>
    <row r="390" spans="1:7">
      <c r="A390">
        <v>59</v>
      </c>
      <c r="B390">
        <v>2</v>
      </c>
      <c r="C390">
        <v>1</v>
      </c>
      <c r="E390">
        <v>4</v>
      </c>
      <c r="F390" t="str">
        <f t="shared" si="6"/>
        <v>F592G1T4</v>
      </c>
      <c r="G390" s="14" t="s">
        <v>56</v>
      </c>
    </row>
    <row r="391" spans="1:7">
      <c r="A391">
        <v>59</v>
      </c>
      <c r="B391">
        <v>4</v>
      </c>
      <c r="C391">
        <v>1</v>
      </c>
      <c r="E391">
        <v>4</v>
      </c>
      <c r="F391" t="str">
        <f t="shared" si="6"/>
        <v>F594G1T4</v>
      </c>
      <c r="G391" s="14" t="s">
        <v>56</v>
      </c>
    </row>
    <row r="392" spans="1:7">
      <c r="A392">
        <v>59</v>
      </c>
      <c r="B392">
        <v>5</v>
      </c>
      <c r="C392">
        <v>1</v>
      </c>
      <c r="E392">
        <v>4</v>
      </c>
      <c r="F392" t="str">
        <f t="shared" si="6"/>
        <v>F595G1T4</v>
      </c>
      <c r="G392" s="14" t="s">
        <v>56</v>
      </c>
    </row>
    <row r="393" spans="1:7">
      <c r="A393">
        <v>59</v>
      </c>
      <c r="B393">
        <v>6</v>
      </c>
      <c r="C393">
        <v>1</v>
      </c>
      <c r="E393">
        <v>4</v>
      </c>
      <c r="F393" t="str">
        <f t="shared" si="6"/>
        <v>F596G1T4</v>
      </c>
      <c r="G393" s="14" t="s">
        <v>56</v>
      </c>
    </row>
    <row r="394" spans="1:7">
      <c r="A394">
        <v>59</v>
      </c>
      <c r="B394">
        <v>7</v>
      </c>
      <c r="C394">
        <v>1</v>
      </c>
      <c r="E394">
        <v>4</v>
      </c>
      <c r="F394" t="str">
        <f t="shared" si="6"/>
        <v>F597G1T4</v>
      </c>
      <c r="G394" s="14" t="s">
        <v>56</v>
      </c>
    </row>
    <row r="395" spans="1:7">
      <c r="A395">
        <v>59</v>
      </c>
      <c r="B395">
        <v>8</v>
      </c>
      <c r="C395">
        <v>1</v>
      </c>
      <c r="E395">
        <v>4</v>
      </c>
      <c r="F395" t="str">
        <f t="shared" si="6"/>
        <v>F598G1T4</v>
      </c>
      <c r="G395" s="14" t="s">
        <v>56</v>
      </c>
    </row>
    <row r="396" spans="1:7">
      <c r="A396">
        <v>60</v>
      </c>
      <c r="B396">
        <v>1</v>
      </c>
      <c r="C396">
        <v>1</v>
      </c>
      <c r="E396">
        <v>1</v>
      </c>
      <c r="F396" t="str">
        <f t="shared" si="6"/>
        <v>F601G1T1</v>
      </c>
      <c r="G396" s="14" t="s">
        <v>56</v>
      </c>
    </row>
    <row r="397" spans="1:7">
      <c r="A397">
        <v>60</v>
      </c>
      <c r="B397">
        <v>2</v>
      </c>
      <c r="C397">
        <v>1</v>
      </c>
      <c r="E397">
        <v>1</v>
      </c>
      <c r="F397" t="str">
        <f t="shared" si="6"/>
        <v>F602G1T1</v>
      </c>
      <c r="G397" s="14" t="s">
        <v>56</v>
      </c>
    </row>
    <row r="398" spans="1:7">
      <c r="A398">
        <v>60</v>
      </c>
      <c r="B398">
        <v>4</v>
      </c>
      <c r="C398">
        <v>1</v>
      </c>
      <c r="E398">
        <v>1</v>
      </c>
      <c r="F398" t="str">
        <f t="shared" si="6"/>
        <v>F604G1T1</v>
      </c>
      <c r="G398" s="14" t="s">
        <v>56</v>
      </c>
    </row>
    <row r="399" spans="1:7">
      <c r="A399">
        <v>60</v>
      </c>
      <c r="B399">
        <v>5</v>
      </c>
      <c r="C399">
        <v>1</v>
      </c>
      <c r="E399">
        <v>1</v>
      </c>
      <c r="F399" t="str">
        <f t="shared" si="6"/>
        <v>F605G1T1</v>
      </c>
      <c r="G399" s="14" t="s">
        <v>56</v>
      </c>
    </row>
    <row r="400" spans="1:7">
      <c r="A400">
        <v>60</v>
      </c>
      <c r="B400">
        <v>6</v>
      </c>
      <c r="C400">
        <v>1</v>
      </c>
      <c r="E400">
        <v>1</v>
      </c>
      <c r="F400" t="str">
        <f t="shared" si="6"/>
        <v>F606G1T1</v>
      </c>
      <c r="G400" s="14" t="s">
        <v>56</v>
      </c>
    </row>
    <row r="401" spans="1:7">
      <c r="A401">
        <v>60</v>
      </c>
      <c r="B401">
        <v>7</v>
      </c>
      <c r="C401">
        <v>1</v>
      </c>
      <c r="E401">
        <v>1</v>
      </c>
      <c r="F401" t="str">
        <f t="shared" si="6"/>
        <v>F607G1T1</v>
      </c>
      <c r="G401" s="14" t="s">
        <v>56</v>
      </c>
    </row>
    <row r="402" spans="1:7">
      <c r="A402">
        <v>60</v>
      </c>
      <c r="B402">
        <v>8</v>
      </c>
      <c r="C402">
        <v>1</v>
      </c>
      <c r="E402">
        <v>1</v>
      </c>
      <c r="F402" t="str">
        <f t="shared" si="6"/>
        <v>F608G1T1</v>
      </c>
      <c r="G402" s="14" t="s">
        <v>56</v>
      </c>
    </row>
    <row r="403" spans="1:7">
      <c r="A403">
        <v>60</v>
      </c>
      <c r="B403">
        <v>1</v>
      </c>
      <c r="C403">
        <v>1</v>
      </c>
      <c r="E403">
        <v>4</v>
      </c>
      <c r="F403" t="str">
        <f t="shared" si="6"/>
        <v>F601G1T4</v>
      </c>
      <c r="G403" s="14" t="s">
        <v>56</v>
      </c>
    </row>
    <row r="404" spans="1:7">
      <c r="A404">
        <v>60</v>
      </c>
      <c r="B404">
        <v>2</v>
      </c>
      <c r="C404">
        <v>1</v>
      </c>
      <c r="E404">
        <v>4</v>
      </c>
      <c r="F404" t="str">
        <f t="shared" si="6"/>
        <v>F602G1T4</v>
      </c>
      <c r="G404" s="14" t="s">
        <v>56</v>
      </c>
    </row>
    <row r="405" spans="1:7">
      <c r="A405">
        <v>60</v>
      </c>
      <c r="B405">
        <v>4</v>
      </c>
      <c r="C405">
        <v>1</v>
      </c>
      <c r="E405">
        <v>4</v>
      </c>
      <c r="F405" t="str">
        <f t="shared" si="6"/>
        <v>F604G1T4</v>
      </c>
      <c r="G405" s="14" t="s">
        <v>56</v>
      </c>
    </row>
    <row r="406" spans="1:7">
      <c r="A406">
        <v>60</v>
      </c>
      <c r="B406">
        <v>5</v>
      </c>
      <c r="C406">
        <v>1</v>
      </c>
      <c r="E406">
        <v>4</v>
      </c>
      <c r="F406" t="str">
        <f t="shared" si="6"/>
        <v>F605G1T4</v>
      </c>
      <c r="G406" s="14" t="s">
        <v>56</v>
      </c>
    </row>
    <row r="407" spans="1:7">
      <c r="A407">
        <v>60</v>
      </c>
      <c r="B407">
        <v>6</v>
      </c>
      <c r="C407">
        <v>1</v>
      </c>
      <c r="E407">
        <v>4</v>
      </c>
      <c r="F407" t="str">
        <f t="shared" si="6"/>
        <v>F606G1T4</v>
      </c>
      <c r="G407" s="14" t="s">
        <v>56</v>
      </c>
    </row>
    <row r="408" spans="1:7">
      <c r="A408">
        <v>60</v>
      </c>
      <c r="B408">
        <v>7</v>
      </c>
      <c r="C408">
        <v>1</v>
      </c>
      <c r="E408">
        <v>4</v>
      </c>
      <c r="F408" t="str">
        <f t="shared" si="6"/>
        <v>F607G1T4</v>
      </c>
      <c r="G408" s="14" t="s">
        <v>56</v>
      </c>
    </row>
    <row r="409" spans="1:7">
      <c r="A409">
        <v>60</v>
      </c>
      <c r="B409">
        <v>8</v>
      </c>
      <c r="C409">
        <v>1</v>
      </c>
      <c r="E409">
        <v>4</v>
      </c>
      <c r="F409" t="str">
        <f t="shared" si="6"/>
        <v>F608G1T4</v>
      </c>
      <c r="G409" s="14" t="s">
        <v>56</v>
      </c>
    </row>
    <row r="410" spans="1:7">
      <c r="A410">
        <v>61</v>
      </c>
      <c r="B410">
        <v>1</v>
      </c>
      <c r="C410">
        <v>1</v>
      </c>
      <c r="E410">
        <v>1</v>
      </c>
      <c r="F410" t="str">
        <f t="shared" si="6"/>
        <v>F611G1T1</v>
      </c>
      <c r="G410" s="14" t="s">
        <v>56</v>
      </c>
    </row>
    <row r="411" spans="1:7">
      <c r="A411">
        <v>61</v>
      </c>
      <c r="B411">
        <v>2</v>
      </c>
      <c r="C411">
        <v>1</v>
      </c>
      <c r="E411">
        <v>1</v>
      </c>
      <c r="F411" t="str">
        <f t="shared" si="6"/>
        <v>F612G1T1</v>
      </c>
      <c r="G411" s="14" t="s">
        <v>56</v>
      </c>
    </row>
    <row r="412" spans="1:7">
      <c r="A412">
        <v>61</v>
      </c>
      <c r="B412">
        <v>4</v>
      </c>
      <c r="C412">
        <v>1</v>
      </c>
      <c r="E412">
        <v>1</v>
      </c>
      <c r="F412" t="str">
        <f t="shared" si="6"/>
        <v>F614G1T1</v>
      </c>
      <c r="G412" s="14" t="s">
        <v>56</v>
      </c>
    </row>
    <row r="413" spans="1:7">
      <c r="A413">
        <v>61</v>
      </c>
      <c r="B413">
        <v>5</v>
      </c>
      <c r="C413">
        <v>1</v>
      </c>
      <c r="E413">
        <v>1</v>
      </c>
      <c r="F413" t="str">
        <f t="shared" si="6"/>
        <v>F615G1T1</v>
      </c>
      <c r="G413" s="14" t="s">
        <v>56</v>
      </c>
    </row>
    <row r="414" spans="1:7">
      <c r="A414">
        <v>61</v>
      </c>
      <c r="B414">
        <v>6</v>
      </c>
      <c r="C414">
        <v>1</v>
      </c>
      <c r="E414">
        <v>1</v>
      </c>
      <c r="F414" t="str">
        <f t="shared" si="6"/>
        <v>F616G1T1</v>
      </c>
      <c r="G414" s="14" t="s">
        <v>56</v>
      </c>
    </row>
    <row r="415" spans="1:7">
      <c r="A415">
        <v>61</v>
      </c>
      <c r="B415">
        <v>7</v>
      </c>
      <c r="C415">
        <v>1</v>
      </c>
      <c r="E415">
        <v>1</v>
      </c>
      <c r="F415" t="str">
        <f t="shared" si="6"/>
        <v>F617G1T1</v>
      </c>
      <c r="G415" s="14" t="s">
        <v>56</v>
      </c>
    </row>
    <row r="416" spans="1:7">
      <c r="A416">
        <v>61</v>
      </c>
      <c r="B416">
        <v>8</v>
      </c>
      <c r="C416">
        <v>1</v>
      </c>
      <c r="E416">
        <v>1</v>
      </c>
      <c r="F416" t="str">
        <f t="shared" si="6"/>
        <v>F618G1T1</v>
      </c>
      <c r="G416" s="14" t="s">
        <v>56</v>
      </c>
    </row>
    <row r="417" spans="1:7">
      <c r="A417">
        <v>61</v>
      </c>
      <c r="B417">
        <v>1</v>
      </c>
      <c r="C417">
        <v>1</v>
      </c>
      <c r="E417">
        <v>4</v>
      </c>
      <c r="F417" t="str">
        <f t="shared" si="6"/>
        <v>F611G1T4</v>
      </c>
      <c r="G417" s="14" t="s">
        <v>56</v>
      </c>
    </row>
    <row r="418" spans="1:7">
      <c r="A418">
        <v>61</v>
      </c>
      <c r="B418">
        <v>2</v>
      </c>
      <c r="C418">
        <v>1</v>
      </c>
      <c r="E418">
        <v>4</v>
      </c>
      <c r="F418" t="str">
        <f t="shared" si="6"/>
        <v>F612G1T4</v>
      </c>
      <c r="G418" s="14" t="s">
        <v>56</v>
      </c>
    </row>
    <row r="419" spans="1:7">
      <c r="A419">
        <v>61</v>
      </c>
      <c r="B419">
        <v>4</v>
      </c>
      <c r="C419">
        <v>1</v>
      </c>
      <c r="E419">
        <v>4</v>
      </c>
      <c r="F419" t="str">
        <f t="shared" si="6"/>
        <v>F614G1T4</v>
      </c>
      <c r="G419" s="14" t="s">
        <v>56</v>
      </c>
    </row>
    <row r="420" spans="1:7">
      <c r="A420">
        <v>61</v>
      </c>
      <c r="B420">
        <v>5</v>
      </c>
      <c r="C420">
        <v>1</v>
      </c>
      <c r="E420">
        <v>4</v>
      </c>
      <c r="F420" t="str">
        <f t="shared" si="6"/>
        <v>F615G1T4</v>
      </c>
      <c r="G420" s="14" t="s">
        <v>56</v>
      </c>
    </row>
    <row r="421" spans="1:7">
      <c r="A421">
        <v>61</v>
      </c>
      <c r="B421">
        <v>6</v>
      </c>
      <c r="C421">
        <v>1</v>
      </c>
      <c r="E421">
        <v>4</v>
      </c>
      <c r="F421" t="str">
        <f t="shared" si="6"/>
        <v>F616G1T4</v>
      </c>
      <c r="G421" s="14" t="s">
        <v>56</v>
      </c>
    </row>
    <row r="422" spans="1:7">
      <c r="A422">
        <v>61</v>
      </c>
      <c r="B422">
        <v>7</v>
      </c>
      <c r="C422">
        <v>1</v>
      </c>
      <c r="E422">
        <v>4</v>
      </c>
      <c r="F422" t="str">
        <f t="shared" si="6"/>
        <v>F617G1T4</v>
      </c>
      <c r="G422" s="14" t="s">
        <v>56</v>
      </c>
    </row>
    <row r="423" spans="1:7">
      <c r="A423">
        <v>61</v>
      </c>
      <c r="B423">
        <v>8</v>
      </c>
      <c r="C423">
        <v>1</v>
      </c>
      <c r="E423">
        <v>4</v>
      </c>
      <c r="F423" t="str">
        <f t="shared" si="6"/>
        <v>F618G1T4</v>
      </c>
      <c r="G423" s="14" t="s">
        <v>56</v>
      </c>
    </row>
    <row r="424" spans="1:7">
      <c r="A424">
        <v>71</v>
      </c>
      <c r="B424">
        <v>1</v>
      </c>
      <c r="C424">
        <v>1</v>
      </c>
      <c r="E424">
        <v>1</v>
      </c>
      <c r="F424" t="str">
        <f t="shared" si="6"/>
        <v>F711G1T1</v>
      </c>
      <c r="G424" s="14" t="s">
        <v>56</v>
      </c>
    </row>
    <row r="425" spans="1:7">
      <c r="A425">
        <v>71</v>
      </c>
      <c r="B425">
        <v>2</v>
      </c>
      <c r="C425">
        <v>1</v>
      </c>
      <c r="E425">
        <v>1</v>
      </c>
      <c r="F425" t="str">
        <f t="shared" si="6"/>
        <v>F712G1T1</v>
      </c>
      <c r="G425" s="14" t="s">
        <v>56</v>
      </c>
    </row>
    <row r="426" spans="1:7">
      <c r="A426">
        <v>71</v>
      </c>
      <c r="B426">
        <v>4</v>
      </c>
      <c r="C426">
        <v>1</v>
      </c>
      <c r="E426">
        <v>1</v>
      </c>
      <c r="F426" t="str">
        <f t="shared" si="6"/>
        <v>F714G1T1</v>
      </c>
      <c r="G426" s="14" t="s">
        <v>56</v>
      </c>
    </row>
    <row r="427" spans="1:7">
      <c r="A427">
        <v>71</v>
      </c>
      <c r="B427">
        <v>5</v>
      </c>
      <c r="C427">
        <v>1</v>
      </c>
      <c r="E427">
        <v>1</v>
      </c>
      <c r="F427" t="str">
        <f t="shared" si="6"/>
        <v>F715G1T1</v>
      </c>
      <c r="G427" s="14" t="s">
        <v>56</v>
      </c>
    </row>
    <row r="428" spans="1:7">
      <c r="A428">
        <v>71</v>
      </c>
      <c r="B428">
        <v>6</v>
      </c>
      <c r="C428">
        <v>1</v>
      </c>
      <c r="E428">
        <v>1</v>
      </c>
      <c r="F428" t="str">
        <f t="shared" si="6"/>
        <v>F716G1T1</v>
      </c>
      <c r="G428" s="14" t="s">
        <v>56</v>
      </c>
    </row>
    <row r="429" spans="1:7">
      <c r="A429">
        <v>71</v>
      </c>
      <c r="B429">
        <v>7</v>
      </c>
      <c r="C429">
        <v>1</v>
      </c>
      <c r="E429">
        <v>1</v>
      </c>
      <c r="F429" t="str">
        <f t="shared" si="6"/>
        <v>F717G1T1</v>
      </c>
      <c r="G429" s="14" t="s">
        <v>56</v>
      </c>
    </row>
    <row r="430" spans="1:7">
      <c r="A430">
        <v>71</v>
      </c>
      <c r="B430">
        <v>8</v>
      </c>
      <c r="C430">
        <v>1</v>
      </c>
      <c r="E430">
        <v>1</v>
      </c>
      <c r="F430" t="str">
        <f t="shared" si="6"/>
        <v>F718G1T1</v>
      </c>
      <c r="G430" s="14" t="s">
        <v>56</v>
      </c>
    </row>
    <row r="431" spans="1:7">
      <c r="A431">
        <v>71</v>
      </c>
      <c r="B431">
        <v>1</v>
      </c>
      <c r="C431">
        <v>1</v>
      </c>
      <c r="E431">
        <v>4</v>
      </c>
      <c r="F431" t="str">
        <f t="shared" si="6"/>
        <v>F711G1T4</v>
      </c>
      <c r="G431" s="14" t="s">
        <v>56</v>
      </c>
    </row>
    <row r="432" spans="1:7">
      <c r="A432">
        <v>71</v>
      </c>
      <c r="B432">
        <v>2</v>
      </c>
      <c r="C432">
        <v>1</v>
      </c>
      <c r="E432">
        <v>4</v>
      </c>
      <c r="F432" t="str">
        <f t="shared" si="6"/>
        <v>F712G1T4</v>
      </c>
      <c r="G432" s="14" t="s">
        <v>56</v>
      </c>
    </row>
    <row r="433" spans="1:7">
      <c r="A433">
        <v>71</v>
      </c>
      <c r="B433">
        <v>4</v>
      </c>
      <c r="C433">
        <v>1</v>
      </c>
      <c r="E433">
        <v>4</v>
      </c>
      <c r="F433" t="str">
        <f t="shared" si="6"/>
        <v>F714G1T4</v>
      </c>
      <c r="G433" s="14" t="s">
        <v>56</v>
      </c>
    </row>
    <row r="434" spans="1:7">
      <c r="A434">
        <v>71</v>
      </c>
      <c r="B434">
        <v>5</v>
      </c>
      <c r="C434">
        <v>1</v>
      </c>
      <c r="E434">
        <v>4</v>
      </c>
      <c r="F434" t="str">
        <f t="shared" si="6"/>
        <v>F715G1T4</v>
      </c>
      <c r="G434" s="14" t="s">
        <v>56</v>
      </c>
    </row>
    <row r="435" spans="1:7">
      <c r="A435">
        <v>71</v>
      </c>
      <c r="B435">
        <v>6</v>
      </c>
      <c r="C435">
        <v>1</v>
      </c>
      <c r="E435">
        <v>4</v>
      </c>
      <c r="F435" t="str">
        <f t="shared" si="6"/>
        <v>F716G1T4</v>
      </c>
      <c r="G435" s="14" t="s">
        <v>56</v>
      </c>
    </row>
    <row r="436" spans="1:7">
      <c r="A436">
        <v>71</v>
      </c>
      <c r="B436">
        <v>7</v>
      </c>
      <c r="C436">
        <v>1</v>
      </c>
      <c r="E436">
        <v>4</v>
      </c>
      <c r="F436" t="str">
        <f t="shared" si="6"/>
        <v>F717G1T4</v>
      </c>
      <c r="G436" s="14" t="s">
        <v>56</v>
      </c>
    </row>
    <row r="437" spans="1:7">
      <c r="A437">
        <v>71</v>
      </c>
      <c r="B437">
        <v>8</v>
      </c>
      <c r="C437">
        <v>1</v>
      </c>
      <c r="E437">
        <v>4</v>
      </c>
      <c r="F437" t="str">
        <f t="shared" si="6"/>
        <v>F718G1T4</v>
      </c>
      <c r="G437" s="14" t="s">
        <v>56</v>
      </c>
    </row>
    <row r="438" spans="1:7">
      <c r="A438">
        <v>72</v>
      </c>
      <c r="B438">
        <v>1</v>
      </c>
      <c r="C438">
        <v>1</v>
      </c>
      <c r="E438">
        <v>1</v>
      </c>
      <c r="F438" t="str">
        <f t="shared" si="6"/>
        <v>F721G1T1</v>
      </c>
      <c r="G438" s="14" t="s">
        <v>56</v>
      </c>
    </row>
    <row r="439" spans="1:7">
      <c r="A439">
        <v>72</v>
      </c>
      <c r="B439">
        <v>2</v>
      </c>
      <c r="C439">
        <v>1</v>
      </c>
      <c r="E439">
        <v>1</v>
      </c>
      <c r="F439" t="str">
        <f t="shared" si="6"/>
        <v>F722G1T1</v>
      </c>
      <c r="G439" s="14" t="s">
        <v>56</v>
      </c>
    </row>
    <row r="440" spans="1:7">
      <c r="A440">
        <v>72</v>
      </c>
      <c r="B440">
        <v>4</v>
      </c>
      <c r="C440">
        <v>1</v>
      </c>
      <c r="E440">
        <v>1</v>
      </c>
      <c r="F440" t="str">
        <f t="shared" si="6"/>
        <v>F724G1T1</v>
      </c>
      <c r="G440" s="14" t="s">
        <v>56</v>
      </c>
    </row>
    <row r="441" spans="1:7">
      <c r="A441">
        <v>72</v>
      </c>
      <c r="B441">
        <v>5</v>
      </c>
      <c r="C441">
        <v>1</v>
      </c>
      <c r="E441">
        <v>1</v>
      </c>
      <c r="F441" t="str">
        <f t="shared" si="6"/>
        <v>F725G1T1</v>
      </c>
      <c r="G441" s="14" t="s">
        <v>56</v>
      </c>
    </row>
    <row r="442" spans="1:7">
      <c r="A442">
        <v>72</v>
      </c>
      <c r="B442">
        <v>6</v>
      </c>
      <c r="C442">
        <v>1</v>
      </c>
      <c r="E442">
        <v>1</v>
      </c>
      <c r="F442" t="str">
        <f t="shared" si="6"/>
        <v>F726G1T1</v>
      </c>
      <c r="G442" s="14" t="s">
        <v>56</v>
      </c>
    </row>
    <row r="443" spans="1:7">
      <c r="A443">
        <v>72</v>
      </c>
      <c r="B443">
        <v>7</v>
      </c>
      <c r="C443">
        <v>1</v>
      </c>
      <c r="E443">
        <v>1</v>
      </c>
      <c r="F443" t="str">
        <f t="shared" si="6"/>
        <v>F727G1T1</v>
      </c>
      <c r="G443" s="14" t="s">
        <v>56</v>
      </c>
    </row>
    <row r="444" spans="1:7">
      <c r="A444">
        <v>72</v>
      </c>
      <c r="B444">
        <v>8</v>
      </c>
      <c r="C444">
        <v>1</v>
      </c>
      <c r="E444">
        <v>1</v>
      </c>
      <c r="F444" t="str">
        <f t="shared" si="6"/>
        <v>F728G1T1</v>
      </c>
      <c r="G444" s="14" t="s">
        <v>56</v>
      </c>
    </row>
    <row r="445" spans="1:7">
      <c r="A445">
        <v>72</v>
      </c>
      <c r="B445">
        <v>1</v>
      </c>
      <c r="C445">
        <v>1</v>
      </c>
      <c r="E445">
        <v>4</v>
      </c>
      <c r="F445" t="str">
        <f t="shared" si="6"/>
        <v>F721G1T4</v>
      </c>
      <c r="G445" s="14" t="s">
        <v>56</v>
      </c>
    </row>
    <row r="446" spans="1:7">
      <c r="A446">
        <v>72</v>
      </c>
      <c r="B446">
        <v>2</v>
      </c>
      <c r="C446">
        <v>1</v>
      </c>
      <c r="E446">
        <v>4</v>
      </c>
      <c r="F446" t="str">
        <f t="shared" si="6"/>
        <v>F722G1T4</v>
      </c>
      <c r="G446" s="14" t="s">
        <v>56</v>
      </c>
    </row>
    <row r="447" spans="1:7">
      <c r="A447">
        <v>72</v>
      </c>
      <c r="B447">
        <v>4</v>
      </c>
      <c r="C447">
        <v>1</v>
      </c>
      <c r="E447">
        <v>4</v>
      </c>
      <c r="F447" t="str">
        <f t="shared" si="6"/>
        <v>F724G1T4</v>
      </c>
      <c r="G447" s="14" t="s">
        <v>56</v>
      </c>
    </row>
    <row r="448" spans="1:7">
      <c r="A448">
        <v>72</v>
      </c>
      <c r="B448">
        <v>5</v>
      </c>
      <c r="C448">
        <v>1</v>
      </c>
      <c r="E448">
        <v>4</v>
      </c>
      <c r="F448" t="str">
        <f t="shared" si="6"/>
        <v>F725G1T4</v>
      </c>
      <c r="G448" s="14" t="s">
        <v>56</v>
      </c>
    </row>
    <row r="449" spans="1:7">
      <c r="A449">
        <v>72</v>
      </c>
      <c r="B449">
        <v>6</v>
      </c>
      <c r="C449">
        <v>1</v>
      </c>
      <c r="E449">
        <v>4</v>
      </c>
      <c r="F449" t="str">
        <f t="shared" si="6"/>
        <v>F726G1T4</v>
      </c>
      <c r="G449" s="14" t="s">
        <v>56</v>
      </c>
    </row>
    <row r="450" spans="1:7">
      <c r="A450">
        <v>72</v>
      </c>
      <c r="B450">
        <v>7</v>
      </c>
      <c r="C450">
        <v>1</v>
      </c>
      <c r="E450">
        <v>4</v>
      </c>
      <c r="F450" t="str">
        <f t="shared" si="6"/>
        <v>F727G1T4</v>
      </c>
      <c r="G450" s="14" t="s">
        <v>56</v>
      </c>
    </row>
    <row r="451" spans="1:7">
      <c r="A451">
        <v>72</v>
      </c>
      <c r="B451">
        <v>8</v>
      </c>
      <c r="C451">
        <v>1</v>
      </c>
      <c r="E451">
        <v>4</v>
      </c>
      <c r="F451" t="str">
        <f t="shared" ref="F451:F514" si="7">CONCATENATE("F",A451,B451,"G",C451,"T",E451)</f>
        <v>F728G1T4</v>
      </c>
      <c r="G451" s="14" t="s">
        <v>56</v>
      </c>
    </row>
    <row r="452" spans="1:7">
      <c r="A452">
        <v>82</v>
      </c>
      <c r="B452">
        <v>1</v>
      </c>
      <c r="C452">
        <v>1</v>
      </c>
      <c r="E452">
        <v>1</v>
      </c>
      <c r="F452" t="str">
        <f t="shared" si="7"/>
        <v>F821G1T1</v>
      </c>
      <c r="G452" s="14" t="s">
        <v>56</v>
      </c>
    </row>
    <row r="453" spans="1:7">
      <c r="A453">
        <v>82</v>
      </c>
      <c r="B453">
        <v>2</v>
      </c>
      <c r="C453">
        <v>1</v>
      </c>
      <c r="E453">
        <v>1</v>
      </c>
      <c r="F453" t="str">
        <f t="shared" si="7"/>
        <v>F822G1T1</v>
      </c>
      <c r="G453" s="14" t="s">
        <v>56</v>
      </c>
    </row>
    <row r="454" spans="1:7">
      <c r="A454">
        <v>82</v>
      </c>
      <c r="B454">
        <v>4</v>
      </c>
      <c r="C454">
        <v>1</v>
      </c>
      <c r="E454">
        <v>1</v>
      </c>
      <c r="F454" t="str">
        <f t="shared" si="7"/>
        <v>F824G1T1</v>
      </c>
      <c r="G454" s="14" t="s">
        <v>56</v>
      </c>
    </row>
    <row r="455" spans="1:7">
      <c r="A455">
        <v>82</v>
      </c>
      <c r="B455">
        <v>5</v>
      </c>
      <c r="C455">
        <v>1</v>
      </c>
      <c r="E455">
        <v>1</v>
      </c>
      <c r="F455" t="str">
        <f t="shared" si="7"/>
        <v>F825G1T1</v>
      </c>
      <c r="G455" s="14" t="s">
        <v>56</v>
      </c>
    </row>
    <row r="456" spans="1:7">
      <c r="A456">
        <v>82</v>
      </c>
      <c r="B456">
        <v>6</v>
      </c>
      <c r="C456">
        <v>1</v>
      </c>
      <c r="E456">
        <v>1</v>
      </c>
      <c r="F456" t="str">
        <f t="shared" si="7"/>
        <v>F826G1T1</v>
      </c>
      <c r="G456" s="14" t="s">
        <v>56</v>
      </c>
    </row>
    <row r="457" spans="1:7">
      <c r="A457">
        <v>82</v>
      </c>
      <c r="B457">
        <v>7</v>
      </c>
      <c r="C457">
        <v>1</v>
      </c>
      <c r="E457">
        <v>1</v>
      </c>
      <c r="F457" t="str">
        <f t="shared" si="7"/>
        <v>F827G1T1</v>
      </c>
      <c r="G457" s="14" t="s">
        <v>56</v>
      </c>
    </row>
    <row r="458" spans="1:7">
      <c r="A458">
        <v>82</v>
      </c>
      <c r="B458">
        <v>8</v>
      </c>
      <c r="C458">
        <v>1</v>
      </c>
      <c r="E458">
        <v>1</v>
      </c>
      <c r="F458" t="str">
        <f t="shared" si="7"/>
        <v>F828G1T1</v>
      </c>
      <c r="G458" s="14" t="s">
        <v>56</v>
      </c>
    </row>
    <row r="459" spans="1:7">
      <c r="A459">
        <v>82</v>
      </c>
      <c r="B459">
        <v>1</v>
      </c>
      <c r="C459">
        <v>1</v>
      </c>
      <c r="E459">
        <v>4</v>
      </c>
      <c r="F459" t="str">
        <f t="shared" si="7"/>
        <v>F821G1T4</v>
      </c>
      <c r="G459" s="14" t="s">
        <v>56</v>
      </c>
    </row>
    <row r="460" spans="1:7">
      <c r="A460">
        <v>82</v>
      </c>
      <c r="B460">
        <v>2</v>
      </c>
      <c r="C460">
        <v>1</v>
      </c>
      <c r="E460">
        <v>4</v>
      </c>
      <c r="F460" t="str">
        <f t="shared" si="7"/>
        <v>F822G1T4</v>
      </c>
      <c r="G460" s="14" t="s">
        <v>56</v>
      </c>
    </row>
    <row r="461" spans="1:7">
      <c r="A461">
        <v>82</v>
      </c>
      <c r="B461">
        <v>4</v>
      </c>
      <c r="C461">
        <v>1</v>
      </c>
      <c r="E461">
        <v>4</v>
      </c>
      <c r="F461" t="str">
        <f t="shared" si="7"/>
        <v>F824G1T4</v>
      </c>
      <c r="G461" s="14" t="s">
        <v>56</v>
      </c>
    </row>
    <row r="462" spans="1:7">
      <c r="A462">
        <v>82</v>
      </c>
      <c r="B462">
        <v>5</v>
      </c>
      <c r="C462">
        <v>1</v>
      </c>
      <c r="E462">
        <v>4</v>
      </c>
      <c r="F462" t="str">
        <f t="shared" si="7"/>
        <v>F825G1T4</v>
      </c>
      <c r="G462" s="14" t="s">
        <v>56</v>
      </c>
    </row>
    <row r="463" spans="1:7">
      <c r="A463">
        <v>82</v>
      </c>
      <c r="B463">
        <v>6</v>
      </c>
      <c r="C463">
        <v>1</v>
      </c>
      <c r="E463">
        <v>4</v>
      </c>
      <c r="F463" t="str">
        <f t="shared" si="7"/>
        <v>F826G1T4</v>
      </c>
      <c r="G463" s="14" t="s">
        <v>56</v>
      </c>
    </row>
    <row r="464" spans="1:7">
      <c r="A464">
        <v>82</v>
      </c>
      <c r="B464">
        <v>7</v>
      </c>
      <c r="C464">
        <v>1</v>
      </c>
      <c r="E464">
        <v>4</v>
      </c>
      <c r="F464" t="str">
        <f t="shared" si="7"/>
        <v>F827G1T4</v>
      </c>
      <c r="G464" s="14" t="s">
        <v>56</v>
      </c>
    </row>
    <row r="465" spans="1:7">
      <c r="A465">
        <v>82</v>
      </c>
      <c r="B465">
        <v>8</v>
      </c>
      <c r="C465">
        <v>1</v>
      </c>
      <c r="E465">
        <v>4</v>
      </c>
      <c r="F465" t="str">
        <f t="shared" si="7"/>
        <v>F828G1T4</v>
      </c>
      <c r="G465" s="14" t="s">
        <v>56</v>
      </c>
    </row>
    <row r="466" spans="1:7">
      <c r="A466">
        <v>83</v>
      </c>
      <c r="B466">
        <v>1</v>
      </c>
      <c r="C466">
        <v>1</v>
      </c>
      <c r="E466">
        <v>1</v>
      </c>
      <c r="F466" t="str">
        <f t="shared" si="7"/>
        <v>F831G1T1</v>
      </c>
      <c r="G466" s="14" t="s">
        <v>56</v>
      </c>
    </row>
    <row r="467" spans="1:7">
      <c r="A467">
        <v>83</v>
      </c>
      <c r="B467">
        <v>2</v>
      </c>
      <c r="C467">
        <v>1</v>
      </c>
      <c r="E467">
        <v>1</v>
      </c>
      <c r="F467" t="str">
        <f t="shared" si="7"/>
        <v>F832G1T1</v>
      </c>
      <c r="G467" s="14" t="s">
        <v>56</v>
      </c>
    </row>
    <row r="468" spans="1:7">
      <c r="A468">
        <v>83</v>
      </c>
      <c r="B468">
        <v>4</v>
      </c>
      <c r="C468">
        <v>1</v>
      </c>
      <c r="E468">
        <v>1</v>
      </c>
      <c r="F468" t="str">
        <f t="shared" si="7"/>
        <v>F834G1T1</v>
      </c>
      <c r="G468" s="14" t="s">
        <v>56</v>
      </c>
    </row>
    <row r="469" spans="1:7">
      <c r="A469">
        <v>83</v>
      </c>
      <c r="B469">
        <v>5</v>
      </c>
      <c r="C469">
        <v>1</v>
      </c>
      <c r="E469">
        <v>1</v>
      </c>
      <c r="F469" t="str">
        <f t="shared" si="7"/>
        <v>F835G1T1</v>
      </c>
      <c r="G469" s="14" t="s">
        <v>56</v>
      </c>
    </row>
    <row r="470" spans="1:7">
      <c r="A470">
        <v>83</v>
      </c>
      <c r="B470">
        <v>6</v>
      </c>
      <c r="C470">
        <v>1</v>
      </c>
      <c r="E470">
        <v>1</v>
      </c>
      <c r="F470" t="str">
        <f t="shared" si="7"/>
        <v>F836G1T1</v>
      </c>
      <c r="G470" s="14" t="s">
        <v>56</v>
      </c>
    </row>
    <row r="471" spans="1:7">
      <c r="A471">
        <v>83</v>
      </c>
      <c r="B471">
        <v>7</v>
      </c>
      <c r="C471">
        <v>1</v>
      </c>
      <c r="E471">
        <v>1</v>
      </c>
      <c r="F471" t="str">
        <f t="shared" si="7"/>
        <v>F837G1T1</v>
      </c>
      <c r="G471" s="14" t="s">
        <v>56</v>
      </c>
    </row>
    <row r="472" spans="1:7">
      <c r="A472">
        <v>83</v>
      </c>
      <c r="B472">
        <v>8</v>
      </c>
      <c r="C472">
        <v>1</v>
      </c>
      <c r="E472">
        <v>1</v>
      </c>
      <c r="F472" t="str">
        <f t="shared" si="7"/>
        <v>F838G1T1</v>
      </c>
      <c r="G472" s="14" t="s">
        <v>56</v>
      </c>
    </row>
    <row r="473" spans="1:7">
      <c r="A473">
        <v>83</v>
      </c>
      <c r="B473">
        <v>1</v>
      </c>
      <c r="C473">
        <v>1</v>
      </c>
      <c r="E473">
        <v>4</v>
      </c>
      <c r="F473" t="str">
        <f t="shared" si="7"/>
        <v>F831G1T4</v>
      </c>
      <c r="G473" s="14" t="s">
        <v>56</v>
      </c>
    </row>
    <row r="474" spans="1:7">
      <c r="A474">
        <v>83</v>
      </c>
      <c r="B474">
        <v>2</v>
      </c>
      <c r="C474">
        <v>1</v>
      </c>
      <c r="E474">
        <v>4</v>
      </c>
      <c r="F474" t="str">
        <f t="shared" si="7"/>
        <v>F832G1T4</v>
      </c>
      <c r="G474" s="14" t="s">
        <v>56</v>
      </c>
    </row>
    <row r="475" spans="1:7">
      <c r="A475">
        <v>83</v>
      </c>
      <c r="B475">
        <v>4</v>
      </c>
      <c r="C475">
        <v>1</v>
      </c>
      <c r="E475">
        <v>4</v>
      </c>
      <c r="F475" t="str">
        <f t="shared" si="7"/>
        <v>F834G1T4</v>
      </c>
      <c r="G475" s="14" t="s">
        <v>56</v>
      </c>
    </row>
    <row r="476" spans="1:7">
      <c r="A476">
        <v>83</v>
      </c>
      <c r="B476">
        <v>5</v>
      </c>
      <c r="C476">
        <v>1</v>
      </c>
      <c r="E476">
        <v>4</v>
      </c>
      <c r="F476" t="str">
        <f t="shared" si="7"/>
        <v>F835G1T4</v>
      </c>
      <c r="G476" s="14" t="s">
        <v>56</v>
      </c>
    </row>
    <row r="477" spans="1:7">
      <c r="A477">
        <v>83</v>
      </c>
      <c r="B477">
        <v>6</v>
      </c>
      <c r="C477">
        <v>1</v>
      </c>
      <c r="E477">
        <v>4</v>
      </c>
      <c r="F477" t="str">
        <f t="shared" si="7"/>
        <v>F836G1T4</v>
      </c>
      <c r="G477" s="14" t="s">
        <v>56</v>
      </c>
    </row>
    <row r="478" spans="1:7">
      <c r="A478">
        <v>83</v>
      </c>
      <c r="B478">
        <v>7</v>
      </c>
      <c r="C478">
        <v>1</v>
      </c>
      <c r="E478">
        <v>4</v>
      </c>
      <c r="F478" t="str">
        <f t="shared" si="7"/>
        <v>F837G1T4</v>
      </c>
      <c r="G478" s="14" t="s">
        <v>56</v>
      </c>
    </row>
    <row r="479" spans="1:7">
      <c r="A479">
        <v>83</v>
      </c>
      <c r="B479">
        <v>8</v>
      </c>
      <c r="C479">
        <v>1</v>
      </c>
      <c r="E479">
        <v>4</v>
      </c>
      <c r="F479" t="str">
        <f t="shared" si="7"/>
        <v>F838G1T4</v>
      </c>
      <c r="G479" s="14" t="s">
        <v>56</v>
      </c>
    </row>
    <row r="480" spans="1:7">
      <c r="A480">
        <v>91</v>
      </c>
      <c r="B480">
        <v>1</v>
      </c>
      <c r="C480">
        <v>1</v>
      </c>
      <c r="E480">
        <v>1</v>
      </c>
      <c r="F480" t="str">
        <f t="shared" si="7"/>
        <v>F911G1T1</v>
      </c>
      <c r="G480" s="14" t="s">
        <v>56</v>
      </c>
    </row>
    <row r="481" spans="1:7">
      <c r="A481">
        <v>91</v>
      </c>
      <c r="B481">
        <v>2</v>
      </c>
      <c r="C481">
        <v>1</v>
      </c>
      <c r="E481">
        <v>1</v>
      </c>
      <c r="F481" t="str">
        <f t="shared" si="7"/>
        <v>F912G1T1</v>
      </c>
      <c r="G481" s="14" t="s">
        <v>56</v>
      </c>
    </row>
    <row r="482" spans="1:7">
      <c r="A482">
        <v>91</v>
      </c>
      <c r="B482">
        <v>4</v>
      </c>
      <c r="C482">
        <v>1</v>
      </c>
      <c r="E482">
        <v>1</v>
      </c>
      <c r="F482" t="str">
        <f t="shared" si="7"/>
        <v>F914G1T1</v>
      </c>
      <c r="G482" s="14" t="s">
        <v>56</v>
      </c>
    </row>
    <row r="483" spans="1:7">
      <c r="A483">
        <v>91</v>
      </c>
      <c r="B483">
        <v>5</v>
      </c>
      <c r="C483">
        <v>1</v>
      </c>
      <c r="E483">
        <v>1</v>
      </c>
      <c r="F483" t="str">
        <f t="shared" si="7"/>
        <v>F915G1T1</v>
      </c>
      <c r="G483" s="14" t="s">
        <v>56</v>
      </c>
    </row>
    <row r="484" spans="1:7">
      <c r="A484">
        <v>91</v>
      </c>
      <c r="B484">
        <v>6</v>
      </c>
      <c r="C484">
        <v>1</v>
      </c>
      <c r="E484">
        <v>1</v>
      </c>
      <c r="F484" t="str">
        <f t="shared" si="7"/>
        <v>F916G1T1</v>
      </c>
      <c r="G484" s="14" t="s">
        <v>56</v>
      </c>
    </row>
    <row r="485" spans="1:7">
      <c r="A485">
        <v>91</v>
      </c>
      <c r="B485">
        <v>7</v>
      </c>
      <c r="C485">
        <v>1</v>
      </c>
      <c r="E485">
        <v>1</v>
      </c>
      <c r="F485" t="str">
        <f t="shared" si="7"/>
        <v>F917G1T1</v>
      </c>
      <c r="G485" s="14" t="s">
        <v>56</v>
      </c>
    </row>
    <row r="486" spans="1:7">
      <c r="A486">
        <v>91</v>
      </c>
      <c r="B486">
        <v>8</v>
      </c>
      <c r="C486">
        <v>1</v>
      </c>
      <c r="E486">
        <v>1</v>
      </c>
      <c r="F486" t="str">
        <f t="shared" si="7"/>
        <v>F918G1T1</v>
      </c>
      <c r="G486" s="14" t="s">
        <v>56</v>
      </c>
    </row>
    <row r="487" spans="1:7">
      <c r="A487">
        <v>91</v>
      </c>
      <c r="B487">
        <v>1</v>
      </c>
      <c r="C487">
        <v>1</v>
      </c>
      <c r="E487">
        <v>4</v>
      </c>
      <c r="F487" t="str">
        <f t="shared" si="7"/>
        <v>F911G1T4</v>
      </c>
      <c r="G487" s="14" t="s">
        <v>56</v>
      </c>
    </row>
    <row r="488" spans="1:7">
      <c r="A488">
        <v>91</v>
      </c>
      <c r="B488">
        <v>2</v>
      </c>
      <c r="C488">
        <v>1</v>
      </c>
      <c r="E488">
        <v>4</v>
      </c>
      <c r="F488" t="str">
        <f t="shared" si="7"/>
        <v>F912G1T4</v>
      </c>
      <c r="G488" s="14" t="s">
        <v>56</v>
      </c>
    </row>
    <row r="489" spans="1:7">
      <c r="A489">
        <v>91</v>
      </c>
      <c r="B489">
        <v>4</v>
      </c>
      <c r="C489">
        <v>1</v>
      </c>
      <c r="E489">
        <v>4</v>
      </c>
      <c r="F489" t="str">
        <f t="shared" si="7"/>
        <v>F914G1T4</v>
      </c>
      <c r="G489" s="14" t="s">
        <v>56</v>
      </c>
    </row>
    <row r="490" spans="1:7">
      <c r="A490">
        <v>91</v>
      </c>
      <c r="B490">
        <v>5</v>
      </c>
      <c r="C490">
        <v>1</v>
      </c>
      <c r="E490">
        <v>4</v>
      </c>
      <c r="F490" t="str">
        <f t="shared" si="7"/>
        <v>F915G1T4</v>
      </c>
      <c r="G490" s="14" t="s">
        <v>56</v>
      </c>
    </row>
    <row r="491" spans="1:7">
      <c r="A491">
        <v>91</v>
      </c>
      <c r="B491">
        <v>6</v>
      </c>
      <c r="C491">
        <v>1</v>
      </c>
      <c r="E491">
        <v>4</v>
      </c>
      <c r="F491" t="str">
        <f t="shared" si="7"/>
        <v>F916G1T4</v>
      </c>
      <c r="G491" s="14" t="s">
        <v>56</v>
      </c>
    </row>
    <row r="492" spans="1:7">
      <c r="A492">
        <v>91</v>
      </c>
      <c r="B492">
        <v>7</v>
      </c>
      <c r="C492">
        <v>1</v>
      </c>
      <c r="E492">
        <v>4</v>
      </c>
      <c r="F492" t="str">
        <f t="shared" si="7"/>
        <v>F917G1T4</v>
      </c>
      <c r="G492" s="14" t="s">
        <v>56</v>
      </c>
    </row>
    <row r="493" spans="1:7">
      <c r="A493">
        <v>91</v>
      </c>
      <c r="B493">
        <v>8</v>
      </c>
      <c r="C493">
        <v>1</v>
      </c>
      <c r="E493">
        <v>4</v>
      </c>
      <c r="F493" t="str">
        <f t="shared" si="7"/>
        <v>F918G1T4</v>
      </c>
      <c r="G493" s="14" t="s">
        <v>56</v>
      </c>
    </row>
    <row r="494" spans="1:7">
      <c r="A494">
        <v>94</v>
      </c>
      <c r="B494">
        <v>1</v>
      </c>
      <c r="C494">
        <v>1</v>
      </c>
      <c r="E494">
        <v>1</v>
      </c>
      <c r="F494" t="str">
        <f t="shared" si="7"/>
        <v>F941G1T1</v>
      </c>
      <c r="G494" s="14" t="s">
        <v>56</v>
      </c>
    </row>
    <row r="495" spans="1:7">
      <c r="A495">
        <v>94</v>
      </c>
      <c r="B495">
        <v>2</v>
      </c>
      <c r="C495">
        <v>1</v>
      </c>
      <c r="E495">
        <v>1</v>
      </c>
      <c r="F495" t="str">
        <f t="shared" si="7"/>
        <v>F942G1T1</v>
      </c>
      <c r="G495" s="14" t="s">
        <v>56</v>
      </c>
    </row>
    <row r="496" spans="1:7">
      <c r="A496">
        <v>94</v>
      </c>
      <c r="B496">
        <v>4</v>
      </c>
      <c r="C496">
        <v>1</v>
      </c>
      <c r="E496">
        <v>1</v>
      </c>
      <c r="F496" t="str">
        <f t="shared" si="7"/>
        <v>F944G1T1</v>
      </c>
      <c r="G496" s="14" t="s">
        <v>56</v>
      </c>
    </row>
    <row r="497" spans="1:7">
      <c r="A497">
        <v>94</v>
      </c>
      <c r="B497">
        <v>5</v>
      </c>
      <c r="C497">
        <v>1</v>
      </c>
      <c r="E497">
        <v>1</v>
      </c>
      <c r="F497" t="str">
        <f t="shared" si="7"/>
        <v>F945G1T1</v>
      </c>
      <c r="G497" s="14" t="s">
        <v>56</v>
      </c>
    </row>
    <row r="498" spans="1:7">
      <c r="A498">
        <v>94</v>
      </c>
      <c r="B498">
        <v>6</v>
      </c>
      <c r="C498">
        <v>1</v>
      </c>
      <c r="E498">
        <v>1</v>
      </c>
      <c r="F498" t="str">
        <f t="shared" si="7"/>
        <v>F946G1T1</v>
      </c>
      <c r="G498" s="14" t="s">
        <v>56</v>
      </c>
    </row>
    <row r="499" spans="1:7">
      <c r="A499">
        <v>94</v>
      </c>
      <c r="B499">
        <v>7</v>
      </c>
      <c r="C499">
        <v>1</v>
      </c>
      <c r="E499">
        <v>1</v>
      </c>
      <c r="F499" t="str">
        <f t="shared" si="7"/>
        <v>F947G1T1</v>
      </c>
      <c r="G499" s="14" t="s">
        <v>56</v>
      </c>
    </row>
    <row r="500" spans="1:7">
      <c r="A500">
        <v>94</v>
      </c>
      <c r="B500">
        <v>8</v>
      </c>
      <c r="C500">
        <v>1</v>
      </c>
      <c r="E500">
        <v>1</v>
      </c>
      <c r="F500" t="str">
        <f t="shared" si="7"/>
        <v>F948G1T1</v>
      </c>
      <c r="G500" s="14" t="s">
        <v>56</v>
      </c>
    </row>
    <row r="501" spans="1:7">
      <c r="A501">
        <v>94</v>
      </c>
      <c r="B501">
        <v>1</v>
      </c>
      <c r="C501">
        <v>1</v>
      </c>
      <c r="E501">
        <v>4</v>
      </c>
      <c r="F501" t="str">
        <f t="shared" si="7"/>
        <v>F941G1T4</v>
      </c>
      <c r="G501" s="14" t="s">
        <v>56</v>
      </c>
    </row>
    <row r="502" spans="1:7">
      <c r="A502">
        <v>94</v>
      </c>
      <c r="B502">
        <v>2</v>
      </c>
      <c r="C502">
        <v>1</v>
      </c>
      <c r="E502">
        <v>4</v>
      </c>
      <c r="F502" t="str">
        <f t="shared" si="7"/>
        <v>F942G1T4</v>
      </c>
      <c r="G502" s="14" t="s">
        <v>56</v>
      </c>
    </row>
    <row r="503" spans="1:7">
      <c r="A503">
        <v>94</v>
      </c>
      <c r="B503">
        <v>4</v>
      </c>
      <c r="C503">
        <v>1</v>
      </c>
      <c r="E503">
        <v>4</v>
      </c>
      <c r="F503" t="str">
        <f t="shared" si="7"/>
        <v>F944G1T4</v>
      </c>
      <c r="G503" s="14" t="s">
        <v>56</v>
      </c>
    </row>
    <row r="504" spans="1:7">
      <c r="A504">
        <v>94</v>
      </c>
      <c r="B504">
        <v>5</v>
      </c>
      <c r="C504">
        <v>1</v>
      </c>
      <c r="E504">
        <v>4</v>
      </c>
      <c r="F504" t="str">
        <f t="shared" si="7"/>
        <v>F945G1T4</v>
      </c>
      <c r="G504" s="14" t="s">
        <v>56</v>
      </c>
    </row>
    <row r="505" spans="1:7">
      <c r="A505">
        <v>94</v>
      </c>
      <c r="B505">
        <v>6</v>
      </c>
      <c r="C505">
        <v>1</v>
      </c>
      <c r="E505">
        <v>4</v>
      </c>
      <c r="F505" t="str">
        <f t="shared" si="7"/>
        <v>F946G1T4</v>
      </c>
      <c r="G505" s="14" t="s">
        <v>56</v>
      </c>
    </row>
    <row r="506" spans="1:7">
      <c r="A506">
        <v>94</v>
      </c>
      <c r="B506">
        <v>7</v>
      </c>
      <c r="C506">
        <v>1</v>
      </c>
      <c r="E506">
        <v>4</v>
      </c>
      <c r="F506" t="str">
        <f t="shared" si="7"/>
        <v>F947G1T4</v>
      </c>
      <c r="G506" s="14" t="s">
        <v>56</v>
      </c>
    </row>
    <row r="507" spans="1:7">
      <c r="A507">
        <v>94</v>
      </c>
      <c r="B507">
        <v>8</v>
      </c>
      <c r="C507">
        <v>1</v>
      </c>
      <c r="E507">
        <v>4</v>
      </c>
      <c r="F507" t="str">
        <f t="shared" si="7"/>
        <v>F948G1T4</v>
      </c>
      <c r="G507" s="14" t="s">
        <v>56</v>
      </c>
    </row>
    <row r="508" spans="1:7">
      <c r="A508">
        <v>10</v>
      </c>
      <c r="B508">
        <v>1</v>
      </c>
      <c r="C508">
        <v>1</v>
      </c>
      <c r="E508">
        <v>3</v>
      </c>
      <c r="F508" t="str">
        <f t="shared" si="7"/>
        <v>F101G1T3</v>
      </c>
      <c r="G508" s="14" t="s">
        <v>322</v>
      </c>
    </row>
    <row r="509" spans="1:7">
      <c r="A509">
        <v>10</v>
      </c>
      <c r="B509">
        <v>2</v>
      </c>
      <c r="C509">
        <v>1</v>
      </c>
      <c r="E509">
        <v>3</v>
      </c>
      <c r="F509" t="str">
        <f t="shared" si="7"/>
        <v>F102G1T3</v>
      </c>
      <c r="G509" s="14" t="s">
        <v>322</v>
      </c>
    </row>
    <row r="510" spans="1:7">
      <c r="A510">
        <v>10</v>
      </c>
      <c r="B510">
        <v>4</v>
      </c>
      <c r="C510">
        <v>1</v>
      </c>
      <c r="E510">
        <v>3</v>
      </c>
      <c r="F510" t="str">
        <f t="shared" si="7"/>
        <v>F104G1T3</v>
      </c>
      <c r="G510" s="14" t="s">
        <v>322</v>
      </c>
    </row>
    <row r="511" spans="1:7">
      <c r="A511">
        <v>10</v>
      </c>
      <c r="B511">
        <v>5</v>
      </c>
      <c r="C511">
        <v>1</v>
      </c>
      <c r="E511">
        <v>3</v>
      </c>
      <c r="F511" t="str">
        <f t="shared" si="7"/>
        <v>F105G1T3</v>
      </c>
      <c r="G511" s="14" t="s">
        <v>322</v>
      </c>
    </row>
    <row r="512" spans="1:7">
      <c r="A512">
        <v>10</v>
      </c>
      <c r="B512">
        <v>6</v>
      </c>
      <c r="C512">
        <v>1</v>
      </c>
      <c r="E512">
        <v>3</v>
      </c>
      <c r="F512" t="str">
        <f t="shared" si="7"/>
        <v>F106G1T3</v>
      </c>
      <c r="G512" s="14" t="s">
        <v>322</v>
      </c>
    </row>
    <row r="513" spans="1:7">
      <c r="A513">
        <v>10</v>
      </c>
      <c r="B513">
        <v>7</v>
      </c>
      <c r="C513">
        <v>1</v>
      </c>
      <c r="E513">
        <v>3</v>
      </c>
      <c r="F513" t="str">
        <f t="shared" si="7"/>
        <v>F107G1T3</v>
      </c>
      <c r="G513" s="14" t="s">
        <v>322</v>
      </c>
    </row>
    <row r="514" spans="1:7">
      <c r="A514">
        <v>10</v>
      </c>
      <c r="B514">
        <v>8</v>
      </c>
      <c r="C514">
        <v>1</v>
      </c>
      <c r="E514">
        <v>3</v>
      </c>
      <c r="F514" t="str">
        <f t="shared" si="7"/>
        <v>F108G1T3</v>
      </c>
      <c r="G514" s="14" t="s">
        <v>322</v>
      </c>
    </row>
    <row r="515" spans="1:7">
      <c r="A515">
        <v>10</v>
      </c>
      <c r="B515">
        <v>1</v>
      </c>
      <c r="C515">
        <v>1</v>
      </c>
      <c r="E515">
        <v>2</v>
      </c>
      <c r="F515" t="str">
        <f t="shared" ref="F515:F578" si="8">CONCATENATE("F",A515,B515,"G",C515,"T",E515)</f>
        <v>F101G1T2</v>
      </c>
      <c r="G515" s="14" t="s">
        <v>62</v>
      </c>
    </row>
    <row r="516" spans="1:7">
      <c r="A516">
        <v>10</v>
      </c>
      <c r="B516">
        <v>2</v>
      </c>
      <c r="C516">
        <v>1</v>
      </c>
      <c r="E516">
        <v>2</v>
      </c>
      <c r="F516" t="str">
        <f t="shared" si="8"/>
        <v>F102G1T2</v>
      </c>
      <c r="G516" s="14" t="s">
        <v>62</v>
      </c>
    </row>
    <row r="517" spans="1:7">
      <c r="A517">
        <v>10</v>
      </c>
      <c r="B517">
        <v>4</v>
      </c>
      <c r="C517">
        <v>1</v>
      </c>
      <c r="E517">
        <v>2</v>
      </c>
      <c r="F517" t="str">
        <f t="shared" si="8"/>
        <v>F104G1T2</v>
      </c>
      <c r="G517" s="14" t="s">
        <v>62</v>
      </c>
    </row>
    <row r="518" spans="1:7">
      <c r="A518">
        <v>10</v>
      </c>
      <c r="B518">
        <v>5</v>
      </c>
      <c r="C518">
        <v>1</v>
      </c>
      <c r="E518">
        <v>2</v>
      </c>
      <c r="F518" t="str">
        <f t="shared" si="8"/>
        <v>F105G1T2</v>
      </c>
      <c r="G518" s="14" t="s">
        <v>62</v>
      </c>
    </row>
    <row r="519" spans="1:7">
      <c r="A519">
        <v>10</v>
      </c>
      <c r="B519">
        <v>6</v>
      </c>
      <c r="C519">
        <v>1</v>
      </c>
      <c r="E519">
        <v>2</v>
      </c>
      <c r="F519" t="str">
        <f t="shared" si="8"/>
        <v>F106G1T2</v>
      </c>
      <c r="G519" s="14" t="s">
        <v>62</v>
      </c>
    </row>
    <row r="520" spans="1:7">
      <c r="A520">
        <v>10</v>
      </c>
      <c r="B520">
        <v>7</v>
      </c>
      <c r="C520">
        <v>1</v>
      </c>
      <c r="E520">
        <v>2</v>
      </c>
      <c r="F520" t="str">
        <f t="shared" si="8"/>
        <v>F107G1T2</v>
      </c>
      <c r="G520" s="14" t="s">
        <v>62</v>
      </c>
    </row>
    <row r="521" spans="1:7">
      <c r="A521">
        <v>10</v>
      </c>
      <c r="B521">
        <v>8</v>
      </c>
      <c r="C521">
        <v>1</v>
      </c>
      <c r="E521">
        <v>2</v>
      </c>
      <c r="F521" t="str">
        <f t="shared" si="8"/>
        <v>F108G1T2</v>
      </c>
      <c r="G521" s="14" t="s">
        <v>62</v>
      </c>
    </row>
    <row r="522" spans="1:7">
      <c r="A522">
        <v>13</v>
      </c>
      <c r="B522">
        <v>1</v>
      </c>
      <c r="C522">
        <v>1</v>
      </c>
      <c r="E522">
        <v>3</v>
      </c>
      <c r="F522" t="str">
        <f t="shared" si="8"/>
        <v>F131G1T3</v>
      </c>
      <c r="G522" s="14" t="s">
        <v>322</v>
      </c>
    </row>
    <row r="523" spans="1:7">
      <c r="A523">
        <v>13</v>
      </c>
      <c r="B523">
        <v>2</v>
      </c>
      <c r="C523">
        <v>1</v>
      </c>
      <c r="E523">
        <v>3</v>
      </c>
      <c r="F523" t="str">
        <f t="shared" si="8"/>
        <v>F132G1T3</v>
      </c>
      <c r="G523" s="14" t="s">
        <v>322</v>
      </c>
    </row>
    <row r="524" spans="1:7">
      <c r="A524">
        <v>13</v>
      </c>
      <c r="B524">
        <v>5</v>
      </c>
      <c r="C524">
        <v>1</v>
      </c>
      <c r="E524">
        <v>3</v>
      </c>
      <c r="F524" t="str">
        <f t="shared" si="8"/>
        <v>F135G1T3</v>
      </c>
      <c r="G524" s="14" t="s">
        <v>322</v>
      </c>
    </row>
    <row r="525" spans="1:7">
      <c r="A525">
        <v>13</v>
      </c>
      <c r="B525">
        <v>6</v>
      </c>
      <c r="C525">
        <v>1</v>
      </c>
      <c r="E525">
        <v>3</v>
      </c>
      <c r="F525" t="str">
        <f t="shared" si="8"/>
        <v>F136G1T3</v>
      </c>
      <c r="G525" s="14" t="s">
        <v>322</v>
      </c>
    </row>
    <row r="526" spans="1:7">
      <c r="A526">
        <v>13</v>
      </c>
      <c r="B526">
        <v>7</v>
      </c>
      <c r="C526">
        <v>1</v>
      </c>
      <c r="E526">
        <v>3</v>
      </c>
      <c r="F526" t="str">
        <f t="shared" si="8"/>
        <v>F137G1T3</v>
      </c>
      <c r="G526" s="14" t="s">
        <v>322</v>
      </c>
    </row>
    <row r="527" spans="1:7">
      <c r="A527">
        <v>13</v>
      </c>
      <c r="B527">
        <v>8</v>
      </c>
      <c r="C527">
        <v>1</v>
      </c>
      <c r="E527">
        <v>3</v>
      </c>
      <c r="F527" t="str">
        <f t="shared" si="8"/>
        <v>F138G1T3</v>
      </c>
      <c r="G527" s="14" t="s">
        <v>322</v>
      </c>
    </row>
    <row r="528" spans="1:7">
      <c r="A528">
        <v>13</v>
      </c>
      <c r="B528">
        <v>1</v>
      </c>
      <c r="C528">
        <v>1</v>
      </c>
      <c r="E528">
        <v>2</v>
      </c>
      <c r="F528" t="str">
        <f t="shared" si="8"/>
        <v>F131G1T2</v>
      </c>
      <c r="G528" s="14" t="s">
        <v>62</v>
      </c>
    </row>
    <row r="529" spans="1:7">
      <c r="A529">
        <v>13</v>
      </c>
      <c r="B529">
        <v>2</v>
      </c>
      <c r="C529">
        <v>1</v>
      </c>
      <c r="E529">
        <v>2</v>
      </c>
      <c r="F529" t="str">
        <f t="shared" si="8"/>
        <v>F132G1T2</v>
      </c>
      <c r="G529" s="14" t="s">
        <v>62</v>
      </c>
    </row>
    <row r="530" spans="1:7">
      <c r="A530">
        <v>13</v>
      </c>
      <c r="B530">
        <v>5</v>
      </c>
      <c r="C530">
        <v>1</v>
      </c>
      <c r="E530">
        <v>2</v>
      </c>
      <c r="F530" t="str">
        <f t="shared" si="8"/>
        <v>F135G1T2</v>
      </c>
      <c r="G530" s="14" t="s">
        <v>62</v>
      </c>
    </row>
    <row r="531" spans="1:7">
      <c r="A531">
        <v>13</v>
      </c>
      <c r="B531">
        <v>6</v>
      </c>
      <c r="C531">
        <v>1</v>
      </c>
      <c r="E531">
        <v>2</v>
      </c>
      <c r="F531" t="str">
        <f t="shared" si="8"/>
        <v>F136G1T2</v>
      </c>
      <c r="G531" s="14" t="s">
        <v>62</v>
      </c>
    </row>
    <row r="532" spans="1:7">
      <c r="A532">
        <v>13</v>
      </c>
      <c r="B532">
        <v>7</v>
      </c>
      <c r="C532">
        <v>1</v>
      </c>
      <c r="E532">
        <v>2</v>
      </c>
      <c r="F532" t="str">
        <f t="shared" si="8"/>
        <v>F137G1T2</v>
      </c>
      <c r="G532" s="14" t="s">
        <v>62</v>
      </c>
    </row>
    <row r="533" spans="1:7">
      <c r="A533">
        <v>13</v>
      </c>
      <c r="B533">
        <v>8</v>
      </c>
      <c r="C533">
        <v>1</v>
      </c>
      <c r="E533">
        <v>2</v>
      </c>
      <c r="F533" t="str">
        <f t="shared" si="8"/>
        <v>F138G1T2</v>
      </c>
      <c r="G533" s="14" t="s">
        <v>62</v>
      </c>
    </row>
    <row r="534" spans="1:7">
      <c r="A534">
        <v>15</v>
      </c>
      <c r="B534">
        <v>1</v>
      </c>
      <c r="C534">
        <v>1</v>
      </c>
      <c r="E534">
        <v>3</v>
      </c>
      <c r="F534" t="str">
        <f t="shared" si="8"/>
        <v>F151G1T3</v>
      </c>
      <c r="G534" s="14" t="s">
        <v>322</v>
      </c>
    </row>
    <row r="535" spans="1:7">
      <c r="A535">
        <v>15</v>
      </c>
      <c r="B535">
        <v>2</v>
      </c>
      <c r="C535">
        <v>1</v>
      </c>
      <c r="E535">
        <v>3</v>
      </c>
      <c r="F535" t="str">
        <f t="shared" si="8"/>
        <v>F152G1T3</v>
      </c>
      <c r="G535" s="14" t="s">
        <v>322</v>
      </c>
    </row>
    <row r="536" spans="1:7">
      <c r="A536">
        <v>15</v>
      </c>
      <c r="B536">
        <v>5</v>
      </c>
      <c r="C536">
        <v>1</v>
      </c>
      <c r="E536">
        <v>3</v>
      </c>
      <c r="F536" t="str">
        <f t="shared" si="8"/>
        <v>F155G1T3</v>
      </c>
      <c r="G536" s="14" t="s">
        <v>322</v>
      </c>
    </row>
    <row r="537" spans="1:7">
      <c r="A537">
        <v>15</v>
      </c>
      <c r="B537">
        <v>6</v>
      </c>
      <c r="C537">
        <v>1</v>
      </c>
      <c r="E537">
        <v>3</v>
      </c>
      <c r="F537" t="str">
        <f t="shared" si="8"/>
        <v>F156G1T3</v>
      </c>
      <c r="G537" s="14" t="s">
        <v>322</v>
      </c>
    </row>
    <row r="538" spans="1:7">
      <c r="A538">
        <v>15</v>
      </c>
      <c r="B538">
        <v>7</v>
      </c>
      <c r="C538">
        <v>1</v>
      </c>
      <c r="E538">
        <v>3</v>
      </c>
      <c r="F538" t="str">
        <f t="shared" si="8"/>
        <v>F157G1T3</v>
      </c>
      <c r="G538" s="14" t="s">
        <v>322</v>
      </c>
    </row>
    <row r="539" spans="1:7">
      <c r="A539">
        <v>15</v>
      </c>
      <c r="B539">
        <v>8</v>
      </c>
      <c r="C539">
        <v>1</v>
      </c>
      <c r="E539">
        <v>3</v>
      </c>
      <c r="F539" t="str">
        <f t="shared" si="8"/>
        <v>F158G1T3</v>
      </c>
      <c r="G539" s="14" t="s">
        <v>322</v>
      </c>
    </row>
    <row r="540" spans="1:7">
      <c r="A540">
        <v>15</v>
      </c>
      <c r="B540">
        <v>1</v>
      </c>
      <c r="C540">
        <v>1</v>
      </c>
      <c r="E540">
        <v>2</v>
      </c>
      <c r="F540" t="str">
        <f t="shared" si="8"/>
        <v>F151G1T2</v>
      </c>
      <c r="G540" s="14" t="s">
        <v>62</v>
      </c>
    </row>
    <row r="541" spans="1:7">
      <c r="A541">
        <v>15</v>
      </c>
      <c r="B541">
        <v>2</v>
      </c>
      <c r="C541">
        <v>1</v>
      </c>
      <c r="E541">
        <v>2</v>
      </c>
      <c r="F541" t="str">
        <f t="shared" si="8"/>
        <v>F152G1T2</v>
      </c>
      <c r="G541" s="14" t="s">
        <v>62</v>
      </c>
    </row>
    <row r="542" spans="1:7">
      <c r="A542">
        <v>15</v>
      </c>
      <c r="B542">
        <v>5</v>
      </c>
      <c r="C542">
        <v>1</v>
      </c>
      <c r="E542">
        <v>2</v>
      </c>
      <c r="F542" t="str">
        <f t="shared" si="8"/>
        <v>F155G1T2</v>
      </c>
      <c r="G542" s="14" t="s">
        <v>62</v>
      </c>
    </row>
    <row r="543" spans="1:7">
      <c r="A543">
        <v>15</v>
      </c>
      <c r="B543">
        <v>6</v>
      </c>
      <c r="C543">
        <v>1</v>
      </c>
      <c r="E543">
        <v>2</v>
      </c>
      <c r="F543" t="str">
        <f t="shared" si="8"/>
        <v>F156G1T2</v>
      </c>
      <c r="G543" s="14" t="s">
        <v>62</v>
      </c>
    </row>
    <row r="544" spans="1:7">
      <c r="A544">
        <v>15</v>
      </c>
      <c r="B544">
        <v>7</v>
      </c>
      <c r="C544">
        <v>1</v>
      </c>
      <c r="E544">
        <v>2</v>
      </c>
      <c r="F544" t="str">
        <f t="shared" si="8"/>
        <v>F157G1T2</v>
      </c>
      <c r="G544" s="14" t="s">
        <v>62</v>
      </c>
    </row>
    <row r="545" spans="1:7">
      <c r="A545">
        <v>15</v>
      </c>
      <c r="B545">
        <v>8</v>
      </c>
      <c r="C545">
        <v>1</v>
      </c>
      <c r="E545">
        <v>2</v>
      </c>
      <c r="F545" t="str">
        <f t="shared" si="8"/>
        <v>F158G1T2</v>
      </c>
      <c r="G545" s="14" t="s">
        <v>62</v>
      </c>
    </row>
    <row r="546" spans="1:7">
      <c r="A546">
        <v>26</v>
      </c>
      <c r="B546">
        <v>1</v>
      </c>
      <c r="C546">
        <v>1</v>
      </c>
      <c r="E546">
        <v>3</v>
      </c>
      <c r="F546" t="str">
        <f t="shared" si="8"/>
        <v>F261G1T3</v>
      </c>
      <c r="G546" s="14" t="s">
        <v>322</v>
      </c>
    </row>
    <row r="547" spans="1:7">
      <c r="A547">
        <v>26</v>
      </c>
      <c r="B547">
        <v>2</v>
      </c>
      <c r="C547">
        <v>1</v>
      </c>
      <c r="E547">
        <v>3</v>
      </c>
      <c r="F547" t="str">
        <f t="shared" si="8"/>
        <v>F262G1T3</v>
      </c>
      <c r="G547" s="14" t="s">
        <v>322</v>
      </c>
    </row>
    <row r="548" spans="1:7">
      <c r="A548">
        <v>26</v>
      </c>
      <c r="B548">
        <v>5</v>
      </c>
      <c r="C548">
        <v>1</v>
      </c>
      <c r="E548">
        <v>3</v>
      </c>
      <c r="F548" t="str">
        <f t="shared" si="8"/>
        <v>F265G1T3</v>
      </c>
      <c r="G548" s="14" t="s">
        <v>322</v>
      </c>
    </row>
    <row r="549" spans="1:7">
      <c r="A549">
        <v>26</v>
      </c>
      <c r="B549">
        <v>6</v>
      </c>
      <c r="C549">
        <v>1</v>
      </c>
      <c r="E549">
        <v>3</v>
      </c>
      <c r="F549" t="str">
        <f t="shared" si="8"/>
        <v>F266G1T3</v>
      </c>
      <c r="G549" s="14" t="s">
        <v>322</v>
      </c>
    </row>
    <row r="550" spans="1:7">
      <c r="A550">
        <v>26</v>
      </c>
      <c r="B550">
        <v>7</v>
      </c>
      <c r="C550">
        <v>1</v>
      </c>
      <c r="E550">
        <v>3</v>
      </c>
      <c r="F550" t="str">
        <f t="shared" si="8"/>
        <v>F267G1T3</v>
      </c>
      <c r="G550" s="14" t="s">
        <v>322</v>
      </c>
    </row>
    <row r="551" spans="1:7">
      <c r="A551">
        <v>26</v>
      </c>
      <c r="B551">
        <v>8</v>
      </c>
      <c r="C551">
        <v>1</v>
      </c>
      <c r="E551">
        <v>3</v>
      </c>
      <c r="F551" t="str">
        <f t="shared" si="8"/>
        <v>F268G1T3</v>
      </c>
      <c r="G551" s="14" t="s">
        <v>322</v>
      </c>
    </row>
    <row r="552" spans="1:7">
      <c r="A552">
        <v>26</v>
      </c>
      <c r="B552">
        <v>1</v>
      </c>
      <c r="C552">
        <v>1</v>
      </c>
      <c r="E552">
        <v>2</v>
      </c>
      <c r="F552" t="str">
        <f t="shared" si="8"/>
        <v>F261G1T2</v>
      </c>
      <c r="G552" s="14" t="s">
        <v>62</v>
      </c>
    </row>
    <row r="553" spans="1:7">
      <c r="A553">
        <v>26</v>
      </c>
      <c r="B553">
        <v>2</v>
      </c>
      <c r="C553">
        <v>1</v>
      </c>
      <c r="E553">
        <v>2</v>
      </c>
      <c r="F553" t="str">
        <f t="shared" si="8"/>
        <v>F262G1T2</v>
      </c>
      <c r="G553" s="14" t="s">
        <v>62</v>
      </c>
    </row>
    <row r="554" spans="1:7">
      <c r="A554">
        <v>26</v>
      </c>
      <c r="B554">
        <v>5</v>
      </c>
      <c r="C554">
        <v>1</v>
      </c>
      <c r="E554">
        <v>2</v>
      </c>
      <c r="F554" t="str">
        <f t="shared" si="8"/>
        <v>F265G1T2</v>
      </c>
      <c r="G554" s="14" t="s">
        <v>62</v>
      </c>
    </row>
    <row r="555" spans="1:7">
      <c r="A555">
        <v>26</v>
      </c>
      <c r="B555">
        <v>6</v>
      </c>
      <c r="C555">
        <v>1</v>
      </c>
      <c r="E555">
        <v>2</v>
      </c>
      <c r="F555" t="str">
        <f t="shared" si="8"/>
        <v>F266G1T2</v>
      </c>
      <c r="G555" s="14" t="s">
        <v>62</v>
      </c>
    </row>
    <row r="556" spans="1:7">
      <c r="A556">
        <v>26</v>
      </c>
      <c r="B556">
        <v>7</v>
      </c>
      <c r="C556">
        <v>1</v>
      </c>
      <c r="E556">
        <v>2</v>
      </c>
      <c r="F556" t="str">
        <f t="shared" si="8"/>
        <v>F267G1T2</v>
      </c>
      <c r="G556" s="14" t="s">
        <v>62</v>
      </c>
    </row>
    <row r="557" spans="1:7">
      <c r="A557">
        <v>26</v>
      </c>
      <c r="B557">
        <v>8</v>
      </c>
      <c r="C557">
        <v>1</v>
      </c>
      <c r="E557">
        <v>2</v>
      </c>
      <c r="F557" t="str">
        <f t="shared" si="8"/>
        <v>F268G1T2</v>
      </c>
      <c r="G557" s="14" t="s">
        <v>62</v>
      </c>
    </row>
    <row r="558" spans="1:7">
      <c r="A558">
        <v>27</v>
      </c>
      <c r="B558">
        <v>1</v>
      </c>
      <c r="C558">
        <v>1</v>
      </c>
      <c r="E558">
        <v>3</v>
      </c>
      <c r="F558" t="str">
        <f t="shared" si="8"/>
        <v>F271G1T3</v>
      </c>
      <c r="G558" s="14" t="s">
        <v>322</v>
      </c>
    </row>
    <row r="559" spans="1:7">
      <c r="A559">
        <v>27</v>
      </c>
      <c r="B559">
        <v>2</v>
      </c>
      <c r="C559">
        <v>1</v>
      </c>
      <c r="E559">
        <v>3</v>
      </c>
      <c r="F559" t="str">
        <f t="shared" si="8"/>
        <v>F272G1T3</v>
      </c>
      <c r="G559" s="14" t="s">
        <v>322</v>
      </c>
    </row>
    <row r="560" spans="1:7">
      <c r="A560">
        <v>27</v>
      </c>
      <c r="B560">
        <v>5</v>
      </c>
      <c r="C560">
        <v>1</v>
      </c>
      <c r="E560">
        <v>3</v>
      </c>
      <c r="F560" t="str">
        <f t="shared" si="8"/>
        <v>F275G1T3</v>
      </c>
      <c r="G560" s="14" t="s">
        <v>322</v>
      </c>
    </row>
    <row r="561" spans="1:7">
      <c r="A561">
        <v>27</v>
      </c>
      <c r="B561">
        <v>6</v>
      </c>
      <c r="C561">
        <v>1</v>
      </c>
      <c r="E561">
        <v>3</v>
      </c>
      <c r="F561" t="str">
        <f t="shared" si="8"/>
        <v>F276G1T3</v>
      </c>
      <c r="G561" s="14" t="s">
        <v>322</v>
      </c>
    </row>
    <row r="562" spans="1:7">
      <c r="A562">
        <v>27</v>
      </c>
      <c r="B562">
        <v>7</v>
      </c>
      <c r="C562">
        <v>1</v>
      </c>
      <c r="E562">
        <v>3</v>
      </c>
      <c r="F562" t="str">
        <f t="shared" si="8"/>
        <v>F277G1T3</v>
      </c>
      <c r="G562" s="14" t="s">
        <v>322</v>
      </c>
    </row>
    <row r="563" spans="1:7">
      <c r="A563">
        <v>27</v>
      </c>
      <c r="B563">
        <v>8</v>
      </c>
      <c r="C563">
        <v>1</v>
      </c>
      <c r="E563">
        <v>3</v>
      </c>
      <c r="F563" t="str">
        <f t="shared" si="8"/>
        <v>F278G1T3</v>
      </c>
      <c r="G563" s="14" t="s">
        <v>322</v>
      </c>
    </row>
    <row r="564" spans="1:7">
      <c r="A564">
        <v>27</v>
      </c>
      <c r="B564">
        <v>1</v>
      </c>
      <c r="C564">
        <v>1</v>
      </c>
      <c r="E564">
        <v>2</v>
      </c>
      <c r="F564" t="str">
        <f t="shared" si="8"/>
        <v>F271G1T2</v>
      </c>
      <c r="G564" s="14" t="s">
        <v>62</v>
      </c>
    </row>
    <row r="565" spans="1:7">
      <c r="A565">
        <v>27</v>
      </c>
      <c r="B565">
        <v>2</v>
      </c>
      <c r="C565">
        <v>1</v>
      </c>
      <c r="E565">
        <v>2</v>
      </c>
      <c r="F565" t="str">
        <f t="shared" si="8"/>
        <v>F272G1T2</v>
      </c>
      <c r="G565" s="14" t="s">
        <v>62</v>
      </c>
    </row>
    <row r="566" spans="1:7">
      <c r="A566">
        <v>27</v>
      </c>
      <c r="B566">
        <v>5</v>
      </c>
      <c r="C566">
        <v>1</v>
      </c>
      <c r="E566">
        <v>2</v>
      </c>
      <c r="F566" t="str">
        <f t="shared" si="8"/>
        <v>F275G1T2</v>
      </c>
      <c r="G566" s="14" t="s">
        <v>62</v>
      </c>
    </row>
    <row r="567" spans="1:7">
      <c r="A567">
        <v>27</v>
      </c>
      <c r="B567">
        <v>6</v>
      </c>
      <c r="C567">
        <v>1</v>
      </c>
      <c r="E567">
        <v>2</v>
      </c>
      <c r="F567" t="str">
        <f t="shared" si="8"/>
        <v>F276G1T2</v>
      </c>
      <c r="G567" s="14" t="s">
        <v>62</v>
      </c>
    </row>
    <row r="568" spans="1:7">
      <c r="A568">
        <v>27</v>
      </c>
      <c r="B568">
        <v>7</v>
      </c>
      <c r="C568">
        <v>1</v>
      </c>
      <c r="E568">
        <v>2</v>
      </c>
      <c r="F568" t="str">
        <f t="shared" si="8"/>
        <v>F277G1T2</v>
      </c>
      <c r="G568" s="14" t="s">
        <v>62</v>
      </c>
    </row>
    <row r="569" spans="1:7">
      <c r="A569">
        <v>27</v>
      </c>
      <c r="B569">
        <v>8</v>
      </c>
      <c r="C569">
        <v>1</v>
      </c>
      <c r="E569">
        <v>2</v>
      </c>
      <c r="F569" t="str">
        <f t="shared" si="8"/>
        <v>F278G1T2</v>
      </c>
      <c r="G569" s="14" t="s">
        <v>62</v>
      </c>
    </row>
    <row r="570" spans="1:7">
      <c r="A570">
        <v>29</v>
      </c>
      <c r="B570">
        <v>1</v>
      </c>
      <c r="C570">
        <v>1</v>
      </c>
      <c r="E570">
        <v>3</v>
      </c>
      <c r="F570" t="str">
        <f t="shared" si="8"/>
        <v>F291G1T3</v>
      </c>
      <c r="G570" s="14" t="s">
        <v>322</v>
      </c>
    </row>
    <row r="571" spans="1:7">
      <c r="A571">
        <v>29</v>
      </c>
      <c r="B571">
        <v>2</v>
      </c>
      <c r="C571">
        <v>1</v>
      </c>
      <c r="E571">
        <v>3</v>
      </c>
      <c r="F571" t="str">
        <f t="shared" si="8"/>
        <v>F292G1T3</v>
      </c>
      <c r="G571" s="14" t="s">
        <v>322</v>
      </c>
    </row>
    <row r="572" spans="1:7">
      <c r="A572">
        <v>29</v>
      </c>
      <c r="B572">
        <v>5</v>
      </c>
      <c r="C572">
        <v>1</v>
      </c>
      <c r="E572">
        <v>3</v>
      </c>
      <c r="F572" t="str">
        <f t="shared" si="8"/>
        <v>F295G1T3</v>
      </c>
      <c r="G572" s="14" t="s">
        <v>322</v>
      </c>
    </row>
    <row r="573" spans="1:7">
      <c r="A573">
        <v>29</v>
      </c>
      <c r="B573">
        <v>6</v>
      </c>
      <c r="C573">
        <v>1</v>
      </c>
      <c r="E573">
        <v>3</v>
      </c>
      <c r="F573" t="str">
        <f t="shared" si="8"/>
        <v>F296G1T3</v>
      </c>
      <c r="G573" s="14" t="s">
        <v>322</v>
      </c>
    </row>
    <row r="574" spans="1:7">
      <c r="A574">
        <v>29</v>
      </c>
      <c r="B574">
        <v>7</v>
      </c>
      <c r="C574">
        <v>1</v>
      </c>
      <c r="E574">
        <v>3</v>
      </c>
      <c r="F574" t="str">
        <f t="shared" si="8"/>
        <v>F297G1T3</v>
      </c>
      <c r="G574" s="14" t="s">
        <v>322</v>
      </c>
    </row>
    <row r="575" spans="1:7">
      <c r="A575">
        <v>29</v>
      </c>
      <c r="B575">
        <v>8</v>
      </c>
      <c r="C575">
        <v>1</v>
      </c>
      <c r="E575">
        <v>3</v>
      </c>
      <c r="F575" t="str">
        <f t="shared" si="8"/>
        <v>F298G1T3</v>
      </c>
      <c r="G575" s="14" t="s">
        <v>322</v>
      </c>
    </row>
    <row r="576" spans="1:7">
      <c r="A576">
        <v>29</v>
      </c>
      <c r="B576">
        <v>1</v>
      </c>
      <c r="C576">
        <v>1</v>
      </c>
      <c r="E576">
        <v>2</v>
      </c>
      <c r="F576" t="str">
        <f t="shared" si="8"/>
        <v>F291G1T2</v>
      </c>
      <c r="G576" s="14" t="s">
        <v>62</v>
      </c>
    </row>
    <row r="577" spans="1:7">
      <c r="A577">
        <v>29</v>
      </c>
      <c r="B577">
        <v>2</v>
      </c>
      <c r="C577">
        <v>1</v>
      </c>
      <c r="E577">
        <v>2</v>
      </c>
      <c r="F577" t="str">
        <f t="shared" si="8"/>
        <v>F292G1T2</v>
      </c>
      <c r="G577" s="14" t="s">
        <v>62</v>
      </c>
    </row>
    <row r="578" spans="1:7">
      <c r="A578">
        <v>29</v>
      </c>
      <c r="B578">
        <v>5</v>
      </c>
      <c r="C578">
        <v>1</v>
      </c>
      <c r="E578">
        <v>2</v>
      </c>
      <c r="F578" t="str">
        <f t="shared" si="8"/>
        <v>F295G1T2</v>
      </c>
      <c r="G578" s="14" t="s">
        <v>62</v>
      </c>
    </row>
    <row r="579" spans="1:7">
      <c r="A579">
        <v>29</v>
      </c>
      <c r="B579">
        <v>6</v>
      </c>
      <c r="C579">
        <v>1</v>
      </c>
      <c r="E579">
        <v>2</v>
      </c>
      <c r="F579" t="str">
        <f t="shared" ref="F579:F642" si="9">CONCATENATE("F",A579,B579,"G",C579,"T",E579)</f>
        <v>F296G1T2</v>
      </c>
      <c r="G579" s="14" t="s">
        <v>62</v>
      </c>
    </row>
    <row r="580" spans="1:7">
      <c r="A580">
        <v>29</v>
      </c>
      <c r="B580">
        <v>7</v>
      </c>
      <c r="C580">
        <v>1</v>
      </c>
      <c r="E580">
        <v>2</v>
      </c>
      <c r="F580" t="str">
        <f t="shared" si="9"/>
        <v>F297G1T2</v>
      </c>
      <c r="G580" s="14" t="s">
        <v>62</v>
      </c>
    </row>
    <row r="581" spans="1:7">
      <c r="A581">
        <v>29</v>
      </c>
      <c r="B581">
        <v>8</v>
      </c>
      <c r="C581">
        <v>1</v>
      </c>
      <c r="E581">
        <v>2</v>
      </c>
      <c r="F581" t="str">
        <f t="shared" si="9"/>
        <v>F298G1T2</v>
      </c>
      <c r="G581" s="14" t="s">
        <v>62</v>
      </c>
    </row>
    <row r="582" spans="1:7">
      <c r="A582">
        <v>31</v>
      </c>
      <c r="B582">
        <v>1</v>
      </c>
      <c r="C582">
        <v>1</v>
      </c>
      <c r="E582">
        <v>3</v>
      </c>
      <c r="F582" t="str">
        <f t="shared" si="9"/>
        <v>F311G1T3</v>
      </c>
      <c r="G582" s="14" t="s">
        <v>322</v>
      </c>
    </row>
    <row r="583" spans="1:7">
      <c r="A583">
        <v>31</v>
      </c>
      <c r="B583">
        <v>2</v>
      </c>
      <c r="C583">
        <v>1</v>
      </c>
      <c r="E583">
        <v>3</v>
      </c>
      <c r="F583" t="str">
        <f t="shared" si="9"/>
        <v>F312G1T3</v>
      </c>
      <c r="G583" s="14" t="s">
        <v>322</v>
      </c>
    </row>
    <row r="584" spans="1:7">
      <c r="A584">
        <v>31</v>
      </c>
      <c r="B584">
        <v>5</v>
      </c>
      <c r="C584">
        <v>1</v>
      </c>
      <c r="E584">
        <v>3</v>
      </c>
      <c r="F584" t="str">
        <f t="shared" si="9"/>
        <v>F315G1T3</v>
      </c>
      <c r="G584" s="14" t="s">
        <v>322</v>
      </c>
    </row>
    <row r="585" spans="1:7">
      <c r="A585">
        <v>31</v>
      </c>
      <c r="B585">
        <v>6</v>
      </c>
      <c r="C585">
        <v>1</v>
      </c>
      <c r="E585">
        <v>3</v>
      </c>
      <c r="F585" t="str">
        <f t="shared" si="9"/>
        <v>F316G1T3</v>
      </c>
      <c r="G585" s="14" t="s">
        <v>322</v>
      </c>
    </row>
    <row r="586" spans="1:7">
      <c r="A586">
        <v>31</v>
      </c>
      <c r="B586">
        <v>7</v>
      </c>
      <c r="C586">
        <v>1</v>
      </c>
      <c r="E586">
        <v>3</v>
      </c>
      <c r="F586" t="str">
        <f t="shared" si="9"/>
        <v>F317G1T3</v>
      </c>
      <c r="G586" s="14" t="s">
        <v>322</v>
      </c>
    </row>
    <row r="587" spans="1:7">
      <c r="A587">
        <v>31</v>
      </c>
      <c r="B587">
        <v>8</v>
      </c>
      <c r="C587">
        <v>1</v>
      </c>
      <c r="E587">
        <v>3</v>
      </c>
      <c r="F587" t="str">
        <f t="shared" si="9"/>
        <v>F318G1T3</v>
      </c>
      <c r="G587" s="14" t="s">
        <v>322</v>
      </c>
    </row>
    <row r="588" spans="1:7">
      <c r="A588">
        <v>31</v>
      </c>
      <c r="B588">
        <v>1</v>
      </c>
      <c r="C588">
        <v>1</v>
      </c>
      <c r="E588">
        <v>2</v>
      </c>
      <c r="F588" t="str">
        <f t="shared" si="9"/>
        <v>F311G1T2</v>
      </c>
      <c r="G588" s="14" t="s">
        <v>62</v>
      </c>
    </row>
    <row r="589" spans="1:7">
      <c r="A589">
        <v>31</v>
      </c>
      <c r="B589">
        <v>2</v>
      </c>
      <c r="C589">
        <v>1</v>
      </c>
      <c r="E589">
        <v>2</v>
      </c>
      <c r="F589" t="str">
        <f t="shared" si="9"/>
        <v>F312G1T2</v>
      </c>
      <c r="G589" s="14" t="s">
        <v>62</v>
      </c>
    </row>
    <row r="590" spans="1:7">
      <c r="A590">
        <v>31</v>
      </c>
      <c r="B590">
        <v>5</v>
      </c>
      <c r="C590">
        <v>1</v>
      </c>
      <c r="E590">
        <v>2</v>
      </c>
      <c r="F590" t="str">
        <f t="shared" si="9"/>
        <v>F315G1T2</v>
      </c>
      <c r="G590" s="14" t="s">
        <v>62</v>
      </c>
    </row>
    <row r="591" spans="1:7">
      <c r="A591">
        <v>31</v>
      </c>
      <c r="B591">
        <v>6</v>
      </c>
      <c r="C591">
        <v>1</v>
      </c>
      <c r="E591">
        <v>2</v>
      </c>
      <c r="F591" t="str">
        <f t="shared" si="9"/>
        <v>F316G1T2</v>
      </c>
      <c r="G591" s="14" t="s">
        <v>62</v>
      </c>
    </row>
    <row r="592" spans="1:7">
      <c r="A592">
        <v>31</v>
      </c>
      <c r="B592">
        <v>7</v>
      </c>
      <c r="C592">
        <v>1</v>
      </c>
      <c r="E592">
        <v>2</v>
      </c>
      <c r="F592" t="str">
        <f t="shared" si="9"/>
        <v>F317G1T2</v>
      </c>
      <c r="G592" s="14" t="s">
        <v>62</v>
      </c>
    </row>
    <row r="593" spans="1:7">
      <c r="A593">
        <v>31</v>
      </c>
      <c r="B593">
        <v>8</v>
      </c>
      <c r="C593">
        <v>1</v>
      </c>
      <c r="E593">
        <v>2</v>
      </c>
      <c r="F593" t="str">
        <f t="shared" si="9"/>
        <v>F318G1T2</v>
      </c>
      <c r="G593" s="14" t="s">
        <v>62</v>
      </c>
    </row>
    <row r="594" spans="1:7">
      <c r="A594">
        <v>32</v>
      </c>
      <c r="B594">
        <v>1</v>
      </c>
      <c r="C594">
        <v>1</v>
      </c>
      <c r="E594">
        <v>3</v>
      </c>
      <c r="F594" t="str">
        <f t="shared" si="9"/>
        <v>F321G1T3</v>
      </c>
      <c r="G594" s="14" t="s">
        <v>322</v>
      </c>
    </row>
    <row r="595" spans="1:7">
      <c r="A595">
        <v>32</v>
      </c>
      <c r="B595">
        <v>2</v>
      </c>
      <c r="C595">
        <v>1</v>
      </c>
      <c r="E595">
        <v>3</v>
      </c>
      <c r="F595" t="str">
        <f t="shared" si="9"/>
        <v>F322G1T3</v>
      </c>
      <c r="G595" s="14" t="s">
        <v>322</v>
      </c>
    </row>
    <row r="596" spans="1:7">
      <c r="A596">
        <v>32</v>
      </c>
      <c r="B596">
        <v>5</v>
      </c>
      <c r="C596">
        <v>1</v>
      </c>
      <c r="E596">
        <v>3</v>
      </c>
      <c r="F596" t="str">
        <f t="shared" si="9"/>
        <v>F325G1T3</v>
      </c>
      <c r="G596" s="14" t="s">
        <v>322</v>
      </c>
    </row>
    <row r="597" spans="1:7">
      <c r="A597">
        <v>32</v>
      </c>
      <c r="B597">
        <v>6</v>
      </c>
      <c r="C597">
        <v>1</v>
      </c>
      <c r="E597">
        <v>3</v>
      </c>
      <c r="F597" t="str">
        <f t="shared" si="9"/>
        <v>F326G1T3</v>
      </c>
      <c r="G597" s="14" t="s">
        <v>322</v>
      </c>
    </row>
    <row r="598" spans="1:7">
      <c r="A598">
        <v>32</v>
      </c>
      <c r="B598">
        <v>7</v>
      </c>
      <c r="C598">
        <v>1</v>
      </c>
      <c r="E598">
        <v>3</v>
      </c>
      <c r="F598" t="str">
        <f t="shared" si="9"/>
        <v>F327G1T3</v>
      </c>
      <c r="G598" s="14" t="s">
        <v>322</v>
      </c>
    </row>
    <row r="599" spans="1:7">
      <c r="A599">
        <v>32</v>
      </c>
      <c r="B599">
        <v>8</v>
      </c>
      <c r="C599">
        <v>1</v>
      </c>
      <c r="E599">
        <v>3</v>
      </c>
      <c r="F599" t="str">
        <f t="shared" si="9"/>
        <v>F328G1T3</v>
      </c>
      <c r="G599" s="14" t="s">
        <v>322</v>
      </c>
    </row>
    <row r="600" spans="1:7">
      <c r="A600">
        <v>32</v>
      </c>
      <c r="B600">
        <v>1</v>
      </c>
      <c r="C600">
        <v>1</v>
      </c>
      <c r="E600">
        <v>2</v>
      </c>
      <c r="F600" t="str">
        <f t="shared" si="9"/>
        <v>F321G1T2</v>
      </c>
      <c r="G600" s="14" t="s">
        <v>62</v>
      </c>
    </row>
    <row r="601" spans="1:7">
      <c r="A601">
        <v>32</v>
      </c>
      <c r="B601">
        <v>2</v>
      </c>
      <c r="C601">
        <v>1</v>
      </c>
      <c r="E601">
        <v>2</v>
      </c>
      <c r="F601" t="str">
        <f t="shared" si="9"/>
        <v>F322G1T2</v>
      </c>
      <c r="G601" s="14" t="s">
        <v>62</v>
      </c>
    </row>
    <row r="602" spans="1:7">
      <c r="A602">
        <v>32</v>
      </c>
      <c r="B602">
        <v>5</v>
      </c>
      <c r="C602">
        <v>1</v>
      </c>
      <c r="E602">
        <v>2</v>
      </c>
      <c r="F602" t="str">
        <f t="shared" si="9"/>
        <v>F325G1T2</v>
      </c>
      <c r="G602" s="14" t="s">
        <v>62</v>
      </c>
    </row>
    <row r="603" spans="1:7">
      <c r="A603">
        <v>32</v>
      </c>
      <c r="B603">
        <v>6</v>
      </c>
      <c r="C603">
        <v>1</v>
      </c>
      <c r="E603">
        <v>2</v>
      </c>
      <c r="F603" t="str">
        <f t="shared" si="9"/>
        <v>F326G1T2</v>
      </c>
      <c r="G603" s="14" t="s">
        <v>62</v>
      </c>
    </row>
    <row r="604" spans="1:7">
      <c r="A604">
        <v>32</v>
      </c>
      <c r="B604">
        <v>7</v>
      </c>
      <c r="C604">
        <v>1</v>
      </c>
      <c r="E604">
        <v>2</v>
      </c>
      <c r="F604" t="str">
        <f t="shared" si="9"/>
        <v>F327G1T2</v>
      </c>
      <c r="G604" s="14" t="s">
        <v>62</v>
      </c>
    </row>
    <row r="605" spans="1:7">
      <c r="A605">
        <v>32</v>
      </c>
      <c r="B605">
        <v>8</v>
      </c>
      <c r="C605">
        <v>1</v>
      </c>
      <c r="E605">
        <v>2</v>
      </c>
      <c r="F605" t="str">
        <f t="shared" si="9"/>
        <v>F328G1T2</v>
      </c>
      <c r="G605" s="14" t="s">
        <v>62</v>
      </c>
    </row>
    <row r="606" spans="1:7">
      <c r="A606">
        <v>33</v>
      </c>
      <c r="B606">
        <v>1</v>
      </c>
      <c r="C606">
        <v>1</v>
      </c>
      <c r="E606">
        <v>3</v>
      </c>
      <c r="F606" t="str">
        <f t="shared" si="9"/>
        <v>F331G1T3</v>
      </c>
      <c r="G606" s="14" t="s">
        <v>322</v>
      </c>
    </row>
    <row r="607" spans="1:7">
      <c r="A607">
        <v>33</v>
      </c>
      <c r="B607">
        <v>2</v>
      </c>
      <c r="C607">
        <v>1</v>
      </c>
      <c r="E607">
        <v>3</v>
      </c>
      <c r="F607" t="str">
        <f t="shared" si="9"/>
        <v>F332G1T3</v>
      </c>
      <c r="G607" s="14" t="s">
        <v>322</v>
      </c>
    </row>
    <row r="608" spans="1:7">
      <c r="A608">
        <v>33</v>
      </c>
      <c r="B608">
        <v>5</v>
      </c>
      <c r="C608">
        <v>1</v>
      </c>
      <c r="E608">
        <v>3</v>
      </c>
      <c r="F608" t="str">
        <f t="shared" si="9"/>
        <v>F335G1T3</v>
      </c>
      <c r="G608" s="14" t="s">
        <v>322</v>
      </c>
    </row>
    <row r="609" spans="1:7">
      <c r="A609">
        <v>33</v>
      </c>
      <c r="B609">
        <v>6</v>
      </c>
      <c r="C609">
        <v>1</v>
      </c>
      <c r="E609">
        <v>3</v>
      </c>
      <c r="F609" t="str">
        <f t="shared" si="9"/>
        <v>F336G1T3</v>
      </c>
      <c r="G609" s="14" t="s">
        <v>322</v>
      </c>
    </row>
    <row r="610" spans="1:7">
      <c r="A610">
        <v>33</v>
      </c>
      <c r="B610">
        <v>7</v>
      </c>
      <c r="C610">
        <v>1</v>
      </c>
      <c r="E610">
        <v>3</v>
      </c>
      <c r="F610" t="str">
        <f t="shared" si="9"/>
        <v>F337G1T3</v>
      </c>
      <c r="G610" s="14" t="s">
        <v>322</v>
      </c>
    </row>
    <row r="611" spans="1:7">
      <c r="A611">
        <v>33</v>
      </c>
      <c r="B611">
        <v>8</v>
      </c>
      <c r="C611">
        <v>1</v>
      </c>
      <c r="E611">
        <v>3</v>
      </c>
      <c r="F611" t="str">
        <f t="shared" si="9"/>
        <v>F338G1T3</v>
      </c>
      <c r="G611" s="14" t="s">
        <v>322</v>
      </c>
    </row>
    <row r="612" spans="1:7">
      <c r="A612">
        <v>33</v>
      </c>
      <c r="B612">
        <v>1</v>
      </c>
      <c r="C612">
        <v>1</v>
      </c>
      <c r="E612">
        <v>2</v>
      </c>
      <c r="F612" t="str">
        <f t="shared" si="9"/>
        <v>F331G1T2</v>
      </c>
      <c r="G612" s="14" t="s">
        <v>62</v>
      </c>
    </row>
    <row r="613" spans="1:7">
      <c r="A613">
        <v>33</v>
      </c>
      <c r="B613">
        <v>2</v>
      </c>
      <c r="C613">
        <v>1</v>
      </c>
      <c r="E613">
        <v>2</v>
      </c>
      <c r="F613" t="str">
        <f t="shared" si="9"/>
        <v>F332G1T2</v>
      </c>
      <c r="G613" s="14" t="s">
        <v>62</v>
      </c>
    </row>
    <row r="614" spans="1:7">
      <c r="A614">
        <v>33</v>
      </c>
      <c r="B614">
        <v>5</v>
      </c>
      <c r="C614">
        <v>1</v>
      </c>
      <c r="E614">
        <v>2</v>
      </c>
      <c r="F614" t="str">
        <f t="shared" si="9"/>
        <v>F335G1T2</v>
      </c>
      <c r="G614" s="14" t="s">
        <v>62</v>
      </c>
    </row>
    <row r="615" spans="1:7">
      <c r="A615">
        <v>33</v>
      </c>
      <c r="B615">
        <v>6</v>
      </c>
      <c r="C615">
        <v>1</v>
      </c>
      <c r="E615">
        <v>2</v>
      </c>
      <c r="F615" t="str">
        <f t="shared" si="9"/>
        <v>F336G1T2</v>
      </c>
      <c r="G615" s="14" t="s">
        <v>62</v>
      </c>
    </row>
    <row r="616" spans="1:7">
      <c r="A616">
        <v>33</v>
      </c>
      <c r="B616">
        <v>7</v>
      </c>
      <c r="C616">
        <v>1</v>
      </c>
      <c r="E616">
        <v>2</v>
      </c>
      <c r="F616" t="str">
        <f t="shared" si="9"/>
        <v>F337G1T2</v>
      </c>
      <c r="G616" s="14" t="s">
        <v>62</v>
      </c>
    </row>
    <row r="617" spans="1:7">
      <c r="A617">
        <v>33</v>
      </c>
      <c r="B617">
        <v>8</v>
      </c>
      <c r="C617">
        <v>1</v>
      </c>
      <c r="E617">
        <v>2</v>
      </c>
      <c r="F617" t="str">
        <f t="shared" si="9"/>
        <v>F338G1T2</v>
      </c>
      <c r="G617" s="14" t="s">
        <v>62</v>
      </c>
    </row>
    <row r="618" spans="1:7">
      <c r="A618">
        <v>39</v>
      </c>
      <c r="B618">
        <v>1</v>
      </c>
      <c r="C618">
        <v>1</v>
      </c>
      <c r="E618">
        <v>3</v>
      </c>
      <c r="F618" t="str">
        <f t="shared" si="9"/>
        <v>F391G1T3</v>
      </c>
      <c r="G618" s="14" t="s">
        <v>322</v>
      </c>
    </row>
    <row r="619" spans="1:7">
      <c r="A619">
        <v>39</v>
      </c>
      <c r="B619">
        <v>2</v>
      </c>
      <c r="C619">
        <v>1</v>
      </c>
      <c r="E619">
        <v>3</v>
      </c>
      <c r="F619" t="str">
        <f t="shared" si="9"/>
        <v>F392G1T3</v>
      </c>
      <c r="G619" s="14" t="s">
        <v>322</v>
      </c>
    </row>
    <row r="620" spans="1:7">
      <c r="A620">
        <v>39</v>
      </c>
      <c r="B620">
        <v>5</v>
      </c>
      <c r="C620">
        <v>1</v>
      </c>
      <c r="E620">
        <v>3</v>
      </c>
      <c r="F620" t="str">
        <f t="shared" si="9"/>
        <v>F395G1T3</v>
      </c>
      <c r="G620" s="14" t="s">
        <v>322</v>
      </c>
    </row>
    <row r="621" spans="1:7">
      <c r="A621">
        <v>39</v>
      </c>
      <c r="B621">
        <v>6</v>
      </c>
      <c r="C621">
        <v>1</v>
      </c>
      <c r="E621">
        <v>3</v>
      </c>
      <c r="F621" t="str">
        <f t="shared" si="9"/>
        <v>F396G1T3</v>
      </c>
      <c r="G621" s="14" t="s">
        <v>322</v>
      </c>
    </row>
    <row r="622" spans="1:7">
      <c r="A622">
        <v>39</v>
      </c>
      <c r="B622">
        <v>7</v>
      </c>
      <c r="C622">
        <v>1</v>
      </c>
      <c r="E622">
        <v>3</v>
      </c>
      <c r="F622" t="str">
        <f t="shared" si="9"/>
        <v>F397G1T3</v>
      </c>
      <c r="G622" s="14" t="s">
        <v>322</v>
      </c>
    </row>
    <row r="623" spans="1:7">
      <c r="A623">
        <v>39</v>
      </c>
      <c r="B623">
        <v>8</v>
      </c>
      <c r="C623">
        <v>1</v>
      </c>
      <c r="E623">
        <v>3</v>
      </c>
      <c r="F623" t="str">
        <f t="shared" si="9"/>
        <v>F398G1T3</v>
      </c>
      <c r="G623" s="14" t="s">
        <v>322</v>
      </c>
    </row>
    <row r="624" spans="1:7">
      <c r="A624">
        <v>39</v>
      </c>
      <c r="B624">
        <v>1</v>
      </c>
      <c r="C624">
        <v>1</v>
      </c>
      <c r="E624">
        <v>2</v>
      </c>
      <c r="F624" t="str">
        <f t="shared" si="9"/>
        <v>F391G1T2</v>
      </c>
      <c r="G624" s="14" t="s">
        <v>62</v>
      </c>
    </row>
    <row r="625" spans="1:7">
      <c r="A625">
        <v>39</v>
      </c>
      <c r="B625">
        <v>2</v>
      </c>
      <c r="C625">
        <v>1</v>
      </c>
      <c r="E625">
        <v>2</v>
      </c>
      <c r="F625" t="str">
        <f t="shared" si="9"/>
        <v>F392G1T2</v>
      </c>
      <c r="G625" s="14" t="s">
        <v>62</v>
      </c>
    </row>
    <row r="626" spans="1:7">
      <c r="A626">
        <v>39</v>
      </c>
      <c r="B626">
        <v>5</v>
      </c>
      <c r="C626">
        <v>1</v>
      </c>
      <c r="E626">
        <v>2</v>
      </c>
      <c r="F626" t="str">
        <f t="shared" si="9"/>
        <v>F395G1T2</v>
      </c>
      <c r="G626" s="14" t="s">
        <v>62</v>
      </c>
    </row>
    <row r="627" spans="1:7">
      <c r="A627">
        <v>39</v>
      </c>
      <c r="B627">
        <v>6</v>
      </c>
      <c r="C627">
        <v>1</v>
      </c>
      <c r="E627">
        <v>2</v>
      </c>
      <c r="F627" t="str">
        <f t="shared" si="9"/>
        <v>F396G1T2</v>
      </c>
      <c r="G627" s="14" t="s">
        <v>62</v>
      </c>
    </row>
    <row r="628" spans="1:7">
      <c r="A628">
        <v>39</v>
      </c>
      <c r="B628">
        <v>7</v>
      </c>
      <c r="C628">
        <v>1</v>
      </c>
      <c r="E628">
        <v>2</v>
      </c>
      <c r="F628" t="str">
        <f t="shared" si="9"/>
        <v>F397G1T2</v>
      </c>
      <c r="G628" s="14" t="s">
        <v>62</v>
      </c>
    </row>
    <row r="629" spans="1:7">
      <c r="A629">
        <v>39</v>
      </c>
      <c r="B629">
        <v>8</v>
      </c>
      <c r="C629">
        <v>1</v>
      </c>
      <c r="E629">
        <v>2</v>
      </c>
      <c r="F629" t="str">
        <f t="shared" si="9"/>
        <v>F398G1T2</v>
      </c>
      <c r="G629" s="14" t="s">
        <v>62</v>
      </c>
    </row>
    <row r="630" spans="1:7">
      <c r="A630">
        <v>45</v>
      </c>
      <c r="B630">
        <v>1</v>
      </c>
      <c r="C630">
        <v>1</v>
      </c>
      <c r="E630">
        <v>3</v>
      </c>
      <c r="F630" t="str">
        <f t="shared" si="9"/>
        <v>F451G1T3</v>
      </c>
      <c r="G630" s="14" t="s">
        <v>322</v>
      </c>
    </row>
    <row r="631" spans="1:7">
      <c r="A631">
        <v>45</v>
      </c>
      <c r="B631">
        <v>2</v>
      </c>
      <c r="C631">
        <v>1</v>
      </c>
      <c r="E631">
        <v>3</v>
      </c>
      <c r="F631" t="str">
        <f t="shared" si="9"/>
        <v>F452G1T3</v>
      </c>
      <c r="G631" s="14" t="s">
        <v>322</v>
      </c>
    </row>
    <row r="632" spans="1:7">
      <c r="A632">
        <v>45</v>
      </c>
      <c r="B632">
        <v>5</v>
      </c>
      <c r="C632">
        <v>1</v>
      </c>
      <c r="E632">
        <v>3</v>
      </c>
      <c r="F632" t="str">
        <f t="shared" si="9"/>
        <v>F455G1T3</v>
      </c>
      <c r="G632" s="14" t="s">
        <v>322</v>
      </c>
    </row>
    <row r="633" spans="1:7">
      <c r="A633">
        <v>45</v>
      </c>
      <c r="B633">
        <v>6</v>
      </c>
      <c r="C633">
        <v>1</v>
      </c>
      <c r="E633">
        <v>3</v>
      </c>
      <c r="F633" t="str">
        <f t="shared" si="9"/>
        <v>F456G1T3</v>
      </c>
      <c r="G633" s="14" t="s">
        <v>322</v>
      </c>
    </row>
    <row r="634" spans="1:7">
      <c r="A634">
        <v>45</v>
      </c>
      <c r="B634">
        <v>7</v>
      </c>
      <c r="C634">
        <v>1</v>
      </c>
      <c r="E634">
        <v>3</v>
      </c>
      <c r="F634" t="str">
        <f t="shared" si="9"/>
        <v>F457G1T3</v>
      </c>
      <c r="G634" s="14" t="s">
        <v>322</v>
      </c>
    </row>
    <row r="635" spans="1:7">
      <c r="A635">
        <v>45</v>
      </c>
      <c r="B635">
        <v>8</v>
      </c>
      <c r="C635">
        <v>1</v>
      </c>
      <c r="E635">
        <v>3</v>
      </c>
      <c r="F635" t="str">
        <f t="shared" si="9"/>
        <v>F458G1T3</v>
      </c>
      <c r="G635" s="14" t="s">
        <v>322</v>
      </c>
    </row>
    <row r="636" spans="1:7">
      <c r="A636">
        <v>45</v>
      </c>
      <c r="B636">
        <v>1</v>
      </c>
      <c r="C636">
        <v>1</v>
      </c>
      <c r="E636">
        <v>2</v>
      </c>
      <c r="F636" t="str">
        <f t="shared" si="9"/>
        <v>F451G1T2</v>
      </c>
      <c r="G636" s="14" t="s">
        <v>62</v>
      </c>
    </row>
    <row r="637" spans="1:7">
      <c r="A637">
        <v>45</v>
      </c>
      <c r="B637">
        <v>2</v>
      </c>
      <c r="C637">
        <v>1</v>
      </c>
      <c r="E637">
        <v>2</v>
      </c>
      <c r="F637" t="str">
        <f t="shared" si="9"/>
        <v>F452G1T2</v>
      </c>
      <c r="G637" s="14" t="s">
        <v>62</v>
      </c>
    </row>
    <row r="638" spans="1:7">
      <c r="A638">
        <v>45</v>
      </c>
      <c r="B638">
        <v>5</v>
      </c>
      <c r="C638">
        <v>1</v>
      </c>
      <c r="E638">
        <v>2</v>
      </c>
      <c r="F638" t="str">
        <f t="shared" si="9"/>
        <v>F455G1T2</v>
      </c>
      <c r="G638" s="14" t="s">
        <v>62</v>
      </c>
    </row>
    <row r="639" spans="1:7">
      <c r="A639">
        <v>45</v>
      </c>
      <c r="B639">
        <v>6</v>
      </c>
      <c r="C639">
        <v>1</v>
      </c>
      <c r="E639">
        <v>2</v>
      </c>
      <c r="F639" t="str">
        <f t="shared" si="9"/>
        <v>F456G1T2</v>
      </c>
      <c r="G639" s="14" t="s">
        <v>62</v>
      </c>
    </row>
    <row r="640" spans="1:7">
      <c r="A640">
        <v>45</v>
      </c>
      <c r="B640">
        <v>7</v>
      </c>
      <c r="C640">
        <v>1</v>
      </c>
      <c r="E640">
        <v>2</v>
      </c>
      <c r="F640" t="str">
        <f t="shared" si="9"/>
        <v>F457G1T2</v>
      </c>
      <c r="G640" s="14" t="s">
        <v>62</v>
      </c>
    </row>
    <row r="641" spans="1:7">
      <c r="A641">
        <v>45</v>
      </c>
      <c r="B641">
        <v>8</v>
      </c>
      <c r="C641">
        <v>1</v>
      </c>
      <c r="E641">
        <v>2</v>
      </c>
      <c r="F641" t="str">
        <f t="shared" si="9"/>
        <v>F458G1T2</v>
      </c>
      <c r="G641" s="14" t="s">
        <v>62</v>
      </c>
    </row>
    <row r="642" spans="1:7">
      <c r="A642">
        <v>47</v>
      </c>
      <c r="B642">
        <v>1</v>
      </c>
      <c r="C642">
        <v>1</v>
      </c>
      <c r="E642">
        <v>3</v>
      </c>
      <c r="F642" t="str">
        <f t="shared" si="9"/>
        <v>F471G1T3</v>
      </c>
      <c r="G642" s="14" t="s">
        <v>322</v>
      </c>
    </row>
    <row r="643" spans="1:7">
      <c r="A643">
        <v>47</v>
      </c>
      <c r="B643">
        <v>2</v>
      </c>
      <c r="C643">
        <v>1</v>
      </c>
      <c r="E643">
        <v>3</v>
      </c>
      <c r="F643" t="str">
        <f t="shared" ref="F643:F706" si="10">CONCATENATE("F",A643,B643,"G",C643,"T",E643)</f>
        <v>F472G1T3</v>
      </c>
      <c r="G643" s="14" t="s">
        <v>322</v>
      </c>
    </row>
    <row r="644" spans="1:7">
      <c r="A644">
        <v>47</v>
      </c>
      <c r="B644">
        <v>5</v>
      </c>
      <c r="C644">
        <v>1</v>
      </c>
      <c r="E644">
        <v>3</v>
      </c>
      <c r="F644" t="str">
        <f t="shared" si="10"/>
        <v>F475G1T3</v>
      </c>
      <c r="G644" s="14" t="s">
        <v>322</v>
      </c>
    </row>
    <row r="645" spans="1:7">
      <c r="A645">
        <v>47</v>
      </c>
      <c r="B645">
        <v>6</v>
      </c>
      <c r="C645">
        <v>1</v>
      </c>
      <c r="E645">
        <v>3</v>
      </c>
      <c r="F645" t="str">
        <f t="shared" si="10"/>
        <v>F476G1T3</v>
      </c>
      <c r="G645" s="14" t="s">
        <v>322</v>
      </c>
    </row>
    <row r="646" spans="1:7">
      <c r="A646">
        <v>47</v>
      </c>
      <c r="B646">
        <v>7</v>
      </c>
      <c r="C646">
        <v>1</v>
      </c>
      <c r="E646">
        <v>3</v>
      </c>
      <c r="F646" t="str">
        <f t="shared" si="10"/>
        <v>F477G1T3</v>
      </c>
      <c r="G646" s="14" t="s">
        <v>322</v>
      </c>
    </row>
    <row r="647" spans="1:7">
      <c r="A647">
        <v>47</v>
      </c>
      <c r="B647">
        <v>8</v>
      </c>
      <c r="C647">
        <v>1</v>
      </c>
      <c r="E647">
        <v>3</v>
      </c>
      <c r="F647" t="str">
        <f t="shared" si="10"/>
        <v>F478G1T3</v>
      </c>
      <c r="G647" s="14" t="s">
        <v>322</v>
      </c>
    </row>
    <row r="648" spans="1:7">
      <c r="A648">
        <v>47</v>
      </c>
      <c r="B648">
        <v>1</v>
      </c>
      <c r="C648">
        <v>1</v>
      </c>
      <c r="E648">
        <v>2</v>
      </c>
      <c r="F648" t="str">
        <f t="shared" si="10"/>
        <v>F471G1T2</v>
      </c>
      <c r="G648" s="14" t="s">
        <v>62</v>
      </c>
    </row>
    <row r="649" spans="1:7">
      <c r="A649">
        <v>47</v>
      </c>
      <c r="B649">
        <v>2</v>
      </c>
      <c r="C649">
        <v>1</v>
      </c>
      <c r="E649">
        <v>2</v>
      </c>
      <c r="F649" t="str">
        <f t="shared" si="10"/>
        <v>F472G1T2</v>
      </c>
      <c r="G649" s="14" t="s">
        <v>62</v>
      </c>
    </row>
    <row r="650" spans="1:7">
      <c r="A650">
        <v>47</v>
      </c>
      <c r="B650">
        <v>5</v>
      </c>
      <c r="C650">
        <v>1</v>
      </c>
      <c r="E650">
        <v>2</v>
      </c>
      <c r="F650" t="str">
        <f t="shared" si="10"/>
        <v>F475G1T2</v>
      </c>
      <c r="G650" s="14" t="s">
        <v>62</v>
      </c>
    </row>
    <row r="651" spans="1:7">
      <c r="A651">
        <v>47</v>
      </c>
      <c r="B651">
        <v>6</v>
      </c>
      <c r="C651">
        <v>1</v>
      </c>
      <c r="E651">
        <v>2</v>
      </c>
      <c r="F651" t="str">
        <f t="shared" si="10"/>
        <v>F476G1T2</v>
      </c>
      <c r="G651" s="14" t="s">
        <v>62</v>
      </c>
    </row>
    <row r="652" spans="1:7">
      <c r="A652">
        <v>47</v>
      </c>
      <c r="B652">
        <v>7</v>
      </c>
      <c r="C652">
        <v>1</v>
      </c>
      <c r="E652">
        <v>2</v>
      </c>
      <c r="F652" t="str">
        <f t="shared" si="10"/>
        <v>F477G1T2</v>
      </c>
      <c r="G652" s="14" t="s">
        <v>62</v>
      </c>
    </row>
    <row r="653" spans="1:7">
      <c r="A653">
        <v>47</v>
      </c>
      <c r="B653">
        <v>8</v>
      </c>
      <c r="C653">
        <v>1</v>
      </c>
      <c r="E653">
        <v>2</v>
      </c>
      <c r="F653" t="str">
        <f t="shared" si="10"/>
        <v>F478G1T2</v>
      </c>
      <c r="G653" s="14" t="s">
        <v>62</v>
      </c>
    </row>
    <row r="654" spans="1:7">
      <c r="A654">
        <v>49</v>
      </c>
      <c r="B654">
        <v>1</v>
      </c>
      <c r="C654">
        <v>1</v>
      </c>
      <c r="E654">
        <v>3</v>
      </c>
      <c r="F654" t="str">
        <f t="shared" si="10"/>
        <v>F491G1T3</v>
      </c>
      <c r="G654" s="14" t="s">
        <v>322</v>
      </c>
    </row>
    <row r="655" spans="1:7">
      <c r="A655">
        <v>49</v>
      </c>
      <c r="B655">
        <v>2</v>
      </c>
      <c r="C655">
        <v>1</v>
      </c>
      <c r="E655">
        <v>3</v>
      </c>
      <c r="F655" t="str">
        <f t="shared" si="10"/>
        <v>F492G1T3</v>
      </c>
      <c r="G655" s="14" t="s">
        <v>322</v>
      </c>
    </row>
    <row r="656" spans="1:7">
      <c r="A656">
        <v>49</v>
      </c>
      <c r="B656">
        <v>5</v>
      </c>
      <c r="C656">
        <v>1</v>
      </c>
      <c r="E656">
        <v>3</v>
      </c>
      <c r="F656" t="str">
        <f t="shared" si="10"/>
        <v>F495G1T3</v>
      </c>
      <c r="G656" s="14" t="s">
        <v>322</v>
      </c>
    </row>
    <row r="657" spans="1:7">
      <c r="A657">
        <v>49</v>
      </c>
      <c r="B657">
        <v>6</v>
      </c>
      <c r="C657">
        <v>1</v>
      </c>
      <c r="E657">
        <v>3</v>
      </c>
      <c r="F657" t="str">
        <f t="shared" si="10"/>
        <v>F496G1T3</v>
      </c>
      <c r="G657" s="14" t="s">
        <v>322</v>
      </c>
    </row>
    <row r="658" spans="1:7">
      <c r="A658">
        <v>49</v>
      </c>
      <c r="B658">
        <v>7</v>
      </c>
      <c r="C658">
        <v>1</v>
      </c>
      <c r="E658">
        <v>3</v>
      </c>
      <c r="F658" t="str">
        <f t="shared" si="10"/>
        <v>F497G1T3</v>
      </c>
      <c r="G658" s="14" t="s">
        <v>322</v>
      </c>
    </row>
    <row r="659" spans="1:7">
      <c r="A659">
        <v>49</v>
      </c>
      <c r="B659">
        <v>8</v>
      </c>
      <c r="C659">
        <v>1</v>
      </c>
      <c r="E659">
        <v>3</v>
      </c>
      <c r="F659" t="str">
        <f t="shared" si="10"/>
        <v>F498G1T3</v>
      </c>
      <c r="G659" s="14" t="s">
        <v>322</v>
      </c>
    </row>
    <row r="660" spans="1:7">
      <c r="A660">
        <v>49</v>
      </c>
      <c r="B660">
        <v>1</v>
      </c>
      <c r="C660">
        <v>1</v>
      </c>
      <c r="E660">
        <v>2</v>
      </c>
      <c r="F660" t="str">
        <f t="shared" si="10"/>
        <v>F491G1T2</v>
      </c>
      <c r="G660" s="14" t="s">
        <v>62</v>
      </c>
    </row>
    <row r="661" spans="1:7">
      <c r="A661">
        <v>49</v>
      </c>
      <c r="B661">
        <v>2</v>
      </c>
      <c r="C661">
        <v>1</v>
      </c>
      <c r="E661">
        <v>2</v>
      </c>
      <c r="F661" t="str">
        <f t="shared" si="10"/>
        <v>F492G1T2</v>
      </c>
      <c r="G661" s="14" t="s">
        <v>62</v>
      </c>
    </row>
    <row r="662" spans="1:7">
      <c r="A662">
        <v>49</v>
      </c>
      <c r="B662">
        <v>5</v>
      </c>
      <c r="C662">
        <v>1</v>
      </c>
      <c r="E662">
        <v>2</v>
      </c>
      <c r="F662" t="str">
        <f t="shared" si="10"/>
        <v>F495G1T2</v>
      </c>
      <c r="G662" s="14" t="s">
        <v>62</v>
      </c>
    </row>
    <row r="663" spans="1:7">
      <c r="A663">
        <v>49</v>
      </c>
      <c r="B663">
        <v>6</v>
      </c>
      <c r="C663">
        <v>1</v>
      </c>
      <c r="E663">
        <v>2</v>
      </c>
      <c r="F663" t="str">
        <f t="shared" si="10"/>
        <v>F496G1T2</v>
      </c>
      <c r="G663" s="14" t="s">
        <v>62</v>
      </c>
    </row>
    <row r="664" spans="1:7">
      <c r="A664">
        <v>49</v>
      </c>
      <c r="B664">
        <v>7</v>
      </c>
      <c r="C664">
        <v>1</v>
      </c>
      <c r="E664">
        <v>2</v>
      </c>
      <c r="F664" t="str">
        <f t="shared" si="10"/>
        <v>F497G1T2</v>
      </c>
      <c r="G664" s="14" t="s">
        <v>62</v>
      </c>
    </row>
    <row r="665" spans="1:7">
      <c r="A665">
        <v>49</v>
      </c>
      <c r="B665">
        <v>8</v>
      </c>
      <c r="C665">
        <v>1</v>
      </c>
      <c r="E665">
        <v>2</v>
      </c>
      <c r="F665" t="str">
        <f t="shared" si="10"/>
        <v>F498G1T2</v>
      </c>
      <c r="G665" s="14" t="s">
        <v>62</v>
      </c>
    </row>
    <row r="666" spans="1:7">
      <c r="A666">
        <v>50</v>
      </c>
      <c r="B666">
        <v>1</v>
      </c>
      <c r="C666">
        <v>1</v>
      </c>
      <c r="E666">
        <v>3</v>
      </c>
      <c r="F666" t="str">
        <f t="shared" si="10"/>
        <v>F501G1T3</v>
      </c>
      <c r="G666" s="14" t="s">
        <v>322</v>
      </c>
    </row>
    <row r="667" spans="1:7">
      <c r="A667">
        <v>50</v>
      </c>
      <c r="B667">
        <v>2</v>
      </c>
      <c r="C667">
        <v>1</v>
      </c>
      <c r="E667">
        <v>3</v>
      </c>
      <c r="F667" t="str">
        <f t="shared" si="10"/>
        <v>F502G1T3</v>
      </c>
      <c r="G667" s="14" t="s">
        <v>322</v>
      </c>
    </row>
    <row r="668" spans="1:7">
      <c r="A668">
        <v>50</v>
      </c>
      <c r="B668">
        <v>5</v>
      </c>
      <c r="C668">
        <v>1</v>
      </c>
      <c r="E668">
        <v>3</v>
      </c>
      <c r="F668" t="str">
        <f t="shared" si="10"/>
        <v>F505G1T3</v>
      </c>
      <c r="G668" s="14" t="s">
        <v>322</v>
      </c>
    </row>
    <row r="669" spans="1:7">
      <c r="A669">
        <v>50</v>
      </c>
      <c r="B669">
        <v>6</v>
      </c>
      <c r="C669">
        <v>1</v>
      </c>
      <c r="E669">
        <v>3</v>
      </c>
      <c r="F669" t="str">
        <f t="shared" si="10"/>
        <v>F506G1T3</v>
      </c>
      <c r="G669" s="14" t="s">
        <v>322</v>
      </c>
    </row>
    <row r="670" spans="1:7">
      <c r="A670">
        <v>50</v>
      </c>
      <c r="B670">
        <v>7</v>
      </c>
      <c r="C670">
        <v>1</v>
      </c>
      <c r="E670">
        <v>3</v>
      </c>
      <c r="F670" t="str">
        <f t="shared" si="10"/>
        <v>F507G1T3</v>
      </c>
      <c r="G670" s="14" t="s">
        <v>322</v>
      </c>
    </row>
    <row r="671" spans="1:7">
      <c r="A671">
        <v>50</v>
      </c>
      <c r="B671">
        <v>8</v>
      </c>
      <c r="C671">
        <v>1</v>
      </c>
      <c r="E671">
        <v>3</v>
      </c>
      <c r="F671" t="str">
        <f t="shared" si="10"/>
        <v>F508G1T3</v>
      </c>
      <c r="G671" s="14" t="s">
        <v>322</v>
      </c>
    </row>
    <row r="672" spans="1:7">
      <c r="A672">
        <v>50</v>
      </c>
      <c r="B672">
        <v>1</v>
      </c>
      <c r="C672">
        <v>1</v>
      </c>
      <c r="E672">
        <v>2</v>
      </c>
      <c r="F672" t="str">
        <f t="shared" si="10"/>
        <v>F501G1T2</v>
      </c>
      <c r="G672" s="14" t="s">
        <v>62</v>
      </c>
    </row>
    <row r="673" spans="1:7">
      <c r="A673">
        <v>50</v>
      </c>
      <c r="B673">
        <v>2</v>
      </c>
      <c r="C673">
        <v>1</v>
      </c>
      <c r="E673">
        <v>2</v>
      </c>
      <c r="F673" t="str">
        <f t="shared" si="10"/>
        <v>F502G1T2</v>
      </c>
      <c r="G673" s="14" t="s">
        <v>62</v>
      </c>
    </row>
    <row r="674" spans="1:7">
      <c r="A674">
        <v>50</v>
      </c>
      <c r="B674">
        <v>5</v>
      </c>
      <c r="C674">
        <v>1</v>
      </c>
      <c r="E674">
        <v>2</v>
      </c>
      <c r="F674" t="str">
        <f t="shared" si="10"/>
        <v>F505G1T2</v>
      </c>
      <c r="G674" s="14" t="s">
        <v>62</v>
      </c>
    </row>
    <row r="675" spans="1:7">
      <c r="A675">
        <v>50</v>
      </c>
      <c r="B675">
        <v>6</v>
      </c>
      <c r="C675">
        <v>1</v>
      </c>
      <c r="E675">
        <v>2</v>
      </c>
      <c r="F675" t="str">
        <f t="shared" si="10"/>
        <v>F506G1T2</v>
      </c>
      <c r="G675" s="14" t="s">
        <v>62</v>
      </c>
    </row>
    <row r="676" spans="1:7">
      <c r="A676">
        <v>50</v>
      </c>
      <c r="B676">
        <v>7</v>
      </c>
      <c r="C676">
        <v>1</v>
      </c>
      <c r="E676">
        <v>2</v>
      </c>
      <c r="F676" t="str">
        <f t="shared" si="10"/>
        <v>F507G1T2</v>
      </c>
      <c r="G676" s="14" t="s">
        <v>62</v>
      </c>
    </row>
    <row r="677" spans="1:7">
      <c r="A677">
        <v>50</v>
      </c>
      <c r="B677">
        <v>8</v>
      </c>
      <c r="C677">
        <v>1</v>
      </c>
      <c r="E677">
        <v>2</v>
      </c>
      <c r="F677" t="str">
        <f t="shared" si="10"/>
        <v>F508G1T2</v>
      </c>
      <c r="G677" s="14" t="s">
        <v>62</v>
      </c>
    </row>
    <row r="678" spans="1:7">
      <c r="A678">
        <v>52</v>
      </c>
      <c r="B678">
        <v>1</v>
      </c>
      <c r="C678">
        <v>1</v>
      </c>
      <c r="E678">
        <v>3</v>
      </c>
      <c r="F678" t="str">
        <f t="shared" si="10"/>
        <v>F521G1T3</v>
      </c>
      <c r="G678" s="14" t="s">
        <v>322</v>
      </c>
    </row>
    <row r="679" spans="1:7">
      <c r="A679">
        <v>52</v>
      </c>
      <c r="B679">
        <v>2</v>
      </c>
      <c r="C679">
        <v>1</v>
      </c>
      <c r="E679">
        <v>3</v>
      </c>
      <c r="F679" t="str">
        <f t="shared" si="10"/>
        <v>F522G1T3</v>
      </c>
      <c r="G679" s="14" t="s">
        <v>322</v>
      </c>
    </row>
    <row r="680" spans="1:7">
      <c r="A680">
        <v>52</v>
      </c>
      <c r="B680">
        <v>5</v>
      </c>
      <c r="C680">
        <v>1</v>
      </c>
      <c r="E680">
        <v>3</v>
      </c>
      <c r="F680" t="str">
        <f t="shared" si="10"/>
        <v>F525G1T3</v>
      </c>
      <c r="G680" s="14" t="s">
        <v>322</v>
      </c>
    </row>
    <row r="681" spans="1:7">
      <c r="A681">
        <v>52</v>
      </c>
      <c r="B681">
        <v>6</v>
      </c>
      <c r="C681">
        <v>1</v>
      </c>
      <c r="E681">
        <v>3</v>
      </c>
      <c r="F681" t="str">
        <f t="shared" si="10"/>
        <v>F526G1T3</v>
      </c>
      <c r="G681" s="14" t="s">
        <v>322</v>
      </c>
    </row>
    <row r="682" spans="1:7">
      <c r="A682">
        <v>52</v>
      </c>
      <c r="B682">
        <v>7</v>
      </c>
      <c r="C682">
        <v>1</v>
      </c>
      <c r="E682">
        <v>3</v>
      </c>
      <c r="F682" t="str">
        <f t="shared" si="10"/>
        <v>F527G1T3</v>
      </c>
      <c r="G682" s="14" t="s">
        <v>322</v>
      </c>
    </row>
    <row r="683" spans="1:7">
      <c r="A683">
        <v>52</v>
      </c>
      <c r="B683">
        <v>8</v>
      </c>
      <c r="C683">
        <v>1</v>
      </c>
      <c r="E683">
        <v>3</v>
      </c>
      <c r="F683" t="str">
        <f t="shared" si="10"/>
        <v>F528G1T3</v>
      </c>
      <c r="G683" s="14" t="s">
        <v>322</v>
      </c>
    </row>
    <row r="684" spans="1:7">
      <c r="A684">
        <v>52</v>
      </c>
      <c r="B684">
        <v>1</v>
      </c>
      <c r="C684">
        <v>1</v>
      </c>
      <c r="E684">
        <v>2</v>
      </c>
      <c r="F684" t="str">
        <f t="shared" si="10"/>
        <v>F521G1T2</v>
      </c>
      <c r="G684" s="14" t="s">
        <v>62</v>
      </c>
    </row>
    <row r="685" spans="1:7">
      <c r="A685">
        <v>52</v>
      </c>
      <c r="B685">
        <v>2</v>
      </c>
      <c r="C685">
        <v>1</v>
      </c>
      <c r="E685">
        <v>2</v>
      </c>
      <c r="F685" t="str">
        <f t="shared" si="10"/>
        <v>F522G1T2</v>
      </c>
      <c r="G685" s="14" t="s">
        <v>62</v>
      </c>
    </row>
    <row r="686" spans="1:7">
      <c r="A686">
        <v>52</v>
      </c>
      <c r="B686">
        <v>5</v>
      </c>
      <c r="C686">
        <v>1</v>
      </c>
      <c r="E686">
        <v>2</v>
      </c>
      <c r="F686" t="str">
        <f t="shared" si="10"/>
        <v>F525G1T2</v>
      </c>
      <c r="G686" s="14" t="s">
        <v>62</v>
      </c>
    </row>
    <row r="687" spans="1:7">
      <c r="A687">
        <v>52</v>
      </c>
      <c r="B687">
        <v>6</v>
      </c>
      <c r="C687">
        <v>1</v>
      </c>
      <c r="E687">
        <v>2</v>
      </c>
      <c r="F687" t="str">
        <f t="shared" si="10"/>
        <v>F526G1T2</v>
      </c>
      <c r="G687" s="14" t="s">
        <v>62</v>
      </c>
    </row>
    <row r="688" spans="1:7">
      <c r="A688">
        <v>52</v>
      </c>
      <c r="B688">
        <v>7</v>
      </c>
      <c r="C688">
        <v>1</v>
      </c>
      <c r="E688">
        <v>2</v>
      </c>
      <c r="F688" t="str">
        <f t="shared" si="10"/>
        <v>F527G1T2</v>
      </c>
      <c r="G688" s="14" t="s">
        <v>62</v>
      </c>
    </row>
    <row r="689" spans="1:7">
      <c r="A689">
        <v>52</v>
      </c>
      <c r="B689">
        <v>8</v>
      </c>
      <c r="C689">
        <v>1</v>
      </c>
      <c r="E689">
        <v>2</v>
      </c>
      <c r="F689" t="str">
        <f t="shared" si="10"/>
        <v>F528G1T2</v>
      </c>
      <c r="G689" s="14" t="s">
        <v>62</v>
      </c>
    </row>
    <row r="690" spans="1:7">
      <c r="A690">
        <v>54</v>
      </c>
      <c r="B690">
        <v>1</v>
      </c>
      <c r="C690">
        <v>1</v>
      </c>
      <c r="E690">
        <v>3</v>
      </c>
      <c r="F690" t="str">
        <f t="shared" si="10"/>
        <v>F541G1T3</v>
      </c>
      <c r="G690" s="14" t="s">
        <v>322</v>
      </c>
    </row>
    <row r="691" spans="1:7">
      <c r="A691">
        <v>54</v>
      </c>
      <c r="B691">
        <v>2</v>
      </c>
      <c r="C691">
        <v>1</v>
      </c>
      <c r="E691">
        <v>3</v>
      </c>
      <c r="F691" t="str">
        <f t="shared" si="10"/>
        <v>F542G1T3</v>
      </c>
      <c r="G691" s="14" t="s">
        <v>322</v>
      </c>
    </row>
    <row r="692" spans="1:7">
      <c r="A692">
        <v>54</v>
      </c>
      <c r="B692">
        <v>5</v>
      </c>
      <c r="C692">
        <v>1</v>
      </c>
      <c r="E692">
        <v>3</v>
      </c>
      <c r="F692" t="str">
        <f t="shared" si="10"/>
        <v>F545G1T3</v>
      </c>
      <c r="G692" s="14" t="s">
        <v>322</v>
      </c>
    </row>
    <row r="693" spans="1:7">
      <c r="A693">
        <v>54</v>
      </c>
      <c r="B693">
        <v>6</v>
      </c>
      <c r="C693">
        <v>1</v>
      </c>
      <c r="E693">
        <v>3</v>
      </c>
      <c r="F693" t="str">
        <f t="shared" si="10"/>
        <v>F546G1T3</v>
      </c>
      <c r="G693" s="14" t="s">
        <v>322</v>
      </c>
    </row>
    <row r="694" spans="1:7">
      <c r="A694">
        <v>54</v>
      </c>
      <c r="B694">
        <v>7</v>
      </c>
      <c r="C694">
        <v>1</v>
      </c>
      <c r="E694">
        <v>3</v>
      </c>
      <c r="F694" t="str">
        <f t="shared" si="10"/>
        <v>F547G1T3</v>
      </c>
      <c r="G694" s="14" t="s">
        <v>322</v>
      </c>
    </row>
    <row r="695" spans="1:7">
      <c r="A695">
        <v>54</v>
      </c>
      <c r="B695">
        <v>8</v>
      </c>
      <c r="C695">
        <v>1</v>
      </c>
      <c r="E695">
        <v>3</v>
      </c>
      <c r="F695" t="str">
        <f t="shared" si="10"/>
        <v>F548G1T3</v>
      </c>
      <c r="G695" s="14" t="s">
        <v>322</v>
      </c>
    </row>
    <row r="696" spans="1:7">
      <c r="A696">
        <v>54</v>
      </c>
      <c r="B696">
        <v>1</v>
      </c>
      <c r="C696">
        <v>1</v>
      </c>
      <c r="E696">
        <v>2</v>
      </c>
      <c r="F696" t="str">
        <f t="shared" si="10"/>
        <v>F541G1T2</v>
      </c>
      <c r="G696" s="14" t="s">
        <v>62</v>
      </c>
    </row>
    <row r="697" spans="1:7">
      <c r="A697">
        <v>54</v>
      </c>
      <c r="B697">
        <v>2</v>
      </c>
      <c r="C697">
        <v>1</v>
      </c>
      <c r="E697">
        <v>2</v>
      </c>
      <c r="F697" t="str">
        <f t="shared" si="10"/>
        <v>F542G1T2</v>
      </c>
      <c r="G697" s="14" t="s">
        <v>62</v>
      </c>
    </row>
    <row r="698" spans="1:7">
      <c r="A698">
        <v>54</v>
      </c>
      <c r="B698">
        <v>5</v>
      </c>
      <c r="C698">
        <v>1</v>
      </c>
      <c r="E698">
        <v>2</v>
      </c>
      <c r="F698" t="str">
        <f t="shared" si="10"/>
        <v>F545G1T2</v>
      </c>
      <c r="G698" s="14" t="s">
        <v>62</v>
      </c>
    </row>
    <row r="699" spans="1:7">
      <c r="A699">
        <v>54</v>
      </c>
      <c r="B699">
        <v>6</v>
      </c>
      <c r="C699">
        <v>1</v>
      </c>
      <c r="E699">
        <v>2</v>
      </c>
      <c r="F699" t="str">
        <f t="shared" si="10"/>
        <v>F546G1T2</v>
      </c>
      <c r="G699" s="14" t="s">
        <v>62</v>
      </c>
    </row>
    <row r="700" spans="1:7">
      <c r="A700">
        <v>54</v>
      </c>
      <c r="B700">
        <v>7</v>
      </c>
      <c r="C700">
        <v>1</v>
      </c>
      <c r="E700">
        <v>2</v>
      </c>
      <c r="F700" t="str">
        <f t="shared" si="10"/>
        <v>F547G1T2</v>
      </c>
      <c r="G700" s="14" t="s">
        <v>62</v>
      </c>
    </row>
    <row r="701" spans="1:7">
      <c r="A701">
        <v>54</v>
      </c>
      <c r="B701">
        <v>8</v>
      </c>
      <c r="C701">
        <v>1</v>
      </c>
      <c r="E701">
        <v>2</v>
      </c>
      <c r="F701" t="str">
        <f t="shared" si="10"/>
        <v>F548G1T2</v>
      </c>
      <c r="G701" s="14" t="s">
        <v>62</v>
      </c>
    </row>
    <row r="702" spans="1:7">
      <c r="A702">
        <v>59</v>
      </c>
      <c r="B702">
        <v>1</v>
      </c>
      <c r="C702">
        <v>1</v>
      </c>
      <c r="E702">
        <v>3</v>
      </c>
      <c r="F702" t="str">
        <f t="shared" si="10"/>
        <v>F591G1T3</v>
      </c>
      <c r="G702" s="14" t="s">
        <v>322</v>
      </c>
    </row>
    <row r="703" spans="1:7">
      <c r="A703">
        <v>59</v>
      </c>
      <c r="B703">
        <v>2</v>
      </c>
      <c r="C703">
        <v>1</v>
      </c>
      <c r="E703">
        <v>3</v>
      </c>
      <c r="F703" t="str">
        <f t="shared" si="10"/>
        <v>F592G1T3</v>
      </c>
      <c r="G703" s="14" t="s">
        <v>322</v>
      </c>
    </row>
    <row r="704" spans="1:7">
      <c r="A704">
        <v>59</v>
      </c>
      <c r="B704">
        <v>5</v>
      </c>
      <c r="C704">
        <v>1</v>
      </c>
      <c r="E704">
        <v>3</v>
      </c>
      <c r="F704" t="str">
        <f t="shared" si="10"/>
        <v>F595G1T3</v>
      </c>
      <c r="G704" s="14" t="s">
        <v>322</v>
      </c>
    </row>
    <row r="705" spans="1:7">
      <c r="A705">
        <v>59</v>
      </c>
      <c r="B705">
        <v>6</v>
      </c>
      <c r="C705">
        <v>1</v>
      </c>
      <c r="E705">
        <v>3</v>
      </c>
      <c r="F705" t="str">
        <f t="shared" si="10"/>
        <v>F596G1T3</v>
      </c>
      <c r="G705" s="14" t="s">
        <v>322</v>
      </c>
    </row>
    <row r="706" spans="1:7">
      <c r="A706">
        <v>59</v>
      </c>
      <c r="B706">
        <v>7</v>
      </c>
      <c r="C706">
        <v>1</v>
      </c>
      <c r="E706">
        <v>3</v>
      </c>
      <c r="F706" t="str">
        <f t="shared" si="10"/>
        <v>F597G1T3</v>
      </c>
      <c r="G706" s="14" t="s">
        <v>322</v>
      </c>
    </row>
    <row r="707" spans="1:7">
      <c r="A707">
        <v>59</v>
      </c>
      <c r="B707">
        <v>8</v>
      </c>
      <c r="C707">
        <v>1</v>
      </c>
      <c r="E707">
        <v>3</v>
      </c>
      <c r="F707" t="str">
        <f t="shared" ref="F707:F770" si="11">CONCATENATE("F",A707,B707,"G",C707,"T",E707)</f>
        <v>F598G1T3</v>
      </c>
      <c r="G707" s="14" t="s">
        <v>322</v>
      </c>
    </row>
    <row r="708" spans="1:7">
      <c r="A708">
        <v>59</v>
      </c>
      <c r="B708">
        <v>1</v>
      </c>
      <c r="C708">
        <v>1</v>
      </c>
      <c r="E708">
        <v>2</v>
      </c>
      <c r="F708" t="str">
        <f t="shared" si="11"/>
        <v>F591G1T2</v>
      </c>
      <c r="G708" s="14" t="s">
        <v>62</v>
      </c>
    </row>
    <row r="709" spans="1:7">
      <c r="A709">
        <v>59</v>
      </c>
      <c r="B709">
        <v>2</v>
      </c>
      <c r="C709">
        <v>1</v>
      </c>
      <c r="E709">
        <v>2</v>
      </c>
      <c r="F709" t="str">
        <f t="shared" si="11"/>
        <v>F592G1T2</v>
      </c>
      <c r="G709" s="14" t="s">
        <v>62</v>
      </c>
    </row>
    <row r="710" spans="1:7">
      <c r="A710">
        <v>59</v>
      </c>
      <c r="B710">
        <v>5</v>
      </c>
      <c r="C710">
        <v>1</v>
      </c>
      <c r="E710">
        <v>2</v>
      </c>
      <c r="F710" t="str">
        <f t="shared" si="11"/>
        <v>F595G1T2</v>
      </c>
      <c r="G710" s="14" t="s">
        <v>62</v>
      </c>
    </row>
    <row r="711" spans="1:7">
      <c r="A711">
        <v>59</v>
      </c>
      <c r="B711">
        <v>6</v>
      </c>
      <c r="C711">
        <v>1</v>
      </c>
      <c r="E711">
        <v>2</v>
      </c>
      <c r="F711" t="str">
        <f t="shared" si="11"/>
        <v>F596G1T2</v>
      </c>
      <c r="G711" s="14" t="s">
        <v>62</v>
      </c>
    </row>
    <row r="712" spans="1:7">
      <c r="A712">
        <v>59</v>
      </c>
      <c r="B712">
        <v>7</v>
      </c>
      <c r="C712">
        <v>1</v>
      </c>
      <c r="E712">
        <v>2</v>
      </c>
      <c r="F712" t="str">
        <f t="shared" si="11"/>
        <v>F597G1T2</v>
      </c>
      <c r="G712" s="14" t="s">
        <v>62</v>
      </c>
    </row>
    <row r="713" spans="1:7">
      <c r="A713">
        <v>59</v>
      </c>
      <c r="B713">
        <v>8</v>
      </c>
      <c r="C713">
        <v>1</v>
      </c>
      <c r="E713">
        <v>2</v>
      </c>
      <c r="F713" t="str">
        <f t="shared" si="11"/>
        <v>F598G1T2</v>
      </c>
      <c r="G713" s="14" t="s">
        <v>62</v>
      </c>
    </row>
    <row r="714" spans="1:7">
      <c r="A714">
        <v>60</v>
      </c>
      <c r="B714">
        <v>1</v>
      </c>
      <c r="C714">
        <v>1</v>
      </c>
      <c r="E714">
        <v>3</v>
      </c>
      <c r="F714" t="str">
        <f t="shared" si="11"/>
        <v>F601G1T3</v>
      </c>
      <c r="G714" s="14" t="s">
        <v>322</v>
      </c>
    </row>
    <row r="715" spans="1:7">
      <c r="A715">
        <v>60</v>
      </c>
      <c r="B715">
        <v>2</v>
      </c>
      <c r="C715">
        <v>1</v>
      </c>
      <c r="E715">
        <v>3</v>
      </c>
      <c r="F715" t="str">
        <f t="shared" si="11"/>
        <v>F602G1T3</v>
      </c>
      <c r="G715" s="14" t="s">
        <v>322</v>
      </c>
    </row>
    <row r="716" spans="1:7">
      <c r="A716">
        <v>60</v>
      </c>
      <c r="B716">
        <v>5</v>
      </c>
      <c r="C716">
        <v>1</v>
      </c>
      <c r="E716">
        <v>3</v>
      </c>
      <c r="F716" t="str">
        <f t="shared" si="11"/>
        <v>F605G1T3</v>
      </c>
      <c r="G716" s="14" t="s">
        <v>322</v>
      </c>
    </row>
    <row r="717" spans="1:7">
      <c r="A717">
        <v>60</v>
      </c>
      <c r="B717">
        <v>6</v>
      </c>
      <c r="C717">
        <v>1</v>
      </c>
      <c r="E717">
        <v>3</v>
      </c>
      <c r="F717" t="str">
        <f t="shared" si="11"/>
        <v>F606G1T3</v>
      </c>
      <c r="G717" s="14" t="s">
        <v>322</v>
      </c>
    </row>
    <row r="718" spans="1:7">
      <c r="A718">
        <v>60</v>
      </c>
      <c r="B718">
        <v>7</v>
      </c>
      <c r="C718">
        <v>1</v>
      </c>
      <c r="E718">
        <v>3</v>
      </c>
      <c r="F718" t="str">
        <f t="shared" si="11"/>
        <v>F607G1T3</v>
      </c>
      <c r="G718" s="14" t="s">
        <v>322</v>
      </c>
    </row>
    <row r="719" spans="1:7">
      <c r="A719">
        <v>60</v>
      </c>
      <c r="B719">
        <v>8</v>
      </c>
      <c r="C719">
        <v>1</v>
      </c>
      <c r="E719">
        <v>3</v>
      </c>
      <c r="F719" t="str">
        <f t="shared" si="11"/>
        <v>F608G1T3</v>
      </c>
      <c r="G719" s="14" t="s">
        <v>322</v>
      </c>
    </row>
    <row r="720" spans="1:7">
      <c r="A720">
        <v>60</v>
      </c>
      <c r="B720">
        <v>1</v>
      </c>
      <c r="C720">
        <v>1</v>
      </c>
      <c r="E720">
        <v>2</v>
      </c>
      <c r="F720" t="str">
        <f t="shared" si="11"/>
        <v>F601G1T2</v>
      </c>
      <c r="G720" s="14" t="s">
        <v>62</v>
      </c>
    </row>
    <row r="721" spans="1:7">
      <c r="A721">
        <v>60</v>
      </c>
      <c r="B721">
        <v>2</v>
      </c>
      <c r="C721">
        <v>1</v>
      </c>
      <c r="E721">
        <v>2</v>
      </c>
      <c r="F721" t="str">
        <f t="shared" si="11"/>
        <v>F602G1T2</v>
      </c>
      <c r="G721" s="14" t="s">
        <v>62</v>
      </c>
    </row>
    <row r="722" spans="1:7">
      <c r="A722">
        <v>60</v>
      </c>
      <c r="B722">
        <v>5</v>
      </c>
      <c r="C722">
        <v>1</v>
      </c>
      <c r="E722">
        <v>2</v>
      </c>
      <c r="F722" t="str">
        <f t="shared" si="11"/>
        <v>F605G1T2</v>
      </c>
      <c r="G722" s="14" t="s">
        <v>62</v>
      </c>
    </row>
    <row r="723" spans="1:7">
      <c r="A723">
        <v>60</v>
      </c>
      <c r="B723">
        <v>6</v>
      </c>
      <c r="C723">
        <v>1</v>
      </c>
      <c r="E723">
        <v>2</v>
      </c>
      <c r="F723" t="str">
        <f t="shared" si="11"/>
        <v>F606G1T2</v>
      </c>
      <c r="G723" s="14" t="s">
        <v>62</v>
      </c>
    </row>
    <row r="724" spans="1:7">
      <c r="A724">
        <v>60</v>
      </c>
      <c r="B724">
        <v>7</v>
      </c>
      <c r="C724">
        <v>1</v>
      </c>
      <c r="E724">
        <v>2</v>
      </c>
      <c r="F724" t="str">
        <f t="shared" si="11"/>
        <v>F607G1T2</v>
      </c>
      <c r="G724" s="14" t="s">
        <v>62</v>
      </c>
    </row>
    <row r="725" spans="1:7">
      <c r="A725">
        <v>60</v>
      </c>
      <c r="B725">
        <v>8</v>
      </c>
      <c r="C725">
        <v>1</v>
      </c>
      <c r="E725">
        <v>2</v>
      </c>
      <c r="F725" t="str">
        <f t="shared" si="11"/>
        <v>F608G1T2</v>
      </c>
      <c r="G725" s="14" t="s">
        <v>62</v>
      </c>
    </row>
    <row r="726" spans="1:7">
      <c r="A726">
        <v>61</v>
      </c>
      <c r="B726">
        <v>1</v>
      </c>
      <c r="C726">
        <v>1</v>
      </c>
      <c r="E726">
        <v>3</v>
      </c>
      <c r="F726" t="str">
        <f t="shared" si="11"/>
        <v>F611G1T3</v>
      </c>
      <c r="G726" s="14" t="s">
        <v>322</v>
      </c>
    </row>
    <row r="727" spans="1:7">
      <c r="A727">
        <v>61</v>
      </c>
      <c r="B727">
        <v>2</v>
      </c>
      <c r="C727">
        <v>1</v>
      </c>
      <c r="E727">
        <v>3</v>
      </c>
      <c r="F727" t="str">
        <f t="shared" si="11"/>
        <v>F612G1T3</v>
      </c>
      <c r="G727" s="14" t="s">
        <v>322</v>
      </c>
    </row>
    <row r="728" spans="1:7">
      <c r="A728">
        <v>61</v>
      </c>
      <c r="B728">
        <v>5</v>
      </c>
      <c r="C728">
        <v>1</v>
      </c>
      <c r="E728">
        <v>3</v>
      </c>
      <c r="F728" t="str">
        <f t="shared" si="11"/>
        <v>F615G1T3</v>
      </c>
      <c r="G728" s="14" t="s">
        <v>322</v>
      </c>
    </row>
    <row r="729" spans="1:7">
      <c r="A729">
        <v>61</v>
      </c>
      <c r="B729">
        <v>6</v>
      </c>
      <c r="C729">
        <v>1</v>
      </c>
      <c r="E729">
        <v>3</v>
      </c>
      <c r="F729" t="str">
        <f t="shared" si="11"/>
        <v>F616G1T3</v>
      </c>
      <c r="G729" s="14" t="s">
        <v>322</v>
      </c>
    </row>
    <row r="730" spans="1:7">
      <c r="A730">
        <v>61</v>
      </c>
      <c r="B730">
        <v>7</v>
      </c>
      <c r="C730">
        <v>1</v>
      </c>
      <c r="E730">
        <v>3</v>
      </c>
      <c r="F730" t="str">
        <f t="shared" si="11"/>
        <v>F617G1T3</v>
      </c>
      <c r="G730" s="14" t="s">
        <v>322</v>
      </c>
    </row>
    <row r="731" spans="1:7">
      <c r="A731">
        <v>61</v>
      </c>
      <c r="B731">
        <v>8</v>
      </c>
      <c r="C731">
        <v>1</v>
      </c>
      <c r="E731">
        <v>3</v>
      </c>
      <c r="F731" t="str">
        <f t="shared" si="11"/>
        <v>F618G1T3</v>
      </c>
      <c r="G731" s="14" t="s">
        <v>322</v>
      </c>
    </row>
    <row r="732" spans="1:7">
      <c r="A732">
        <v>61</v>
      </c>
      <c r="B732">
        <v>1</v>
      </c>
      <c r="C732">
        <v>1</v>
      </c>
      <c r="E732">
        <v>2</v>
      </c>
      <c r="F732" t="str">
        <f t="shared" si="11"/>
        <v>F611G1T2</v>
      </c>
      <c r="G732" s="14" t="s">
        <v>62</v>
      </c>
    </row>
    <row r="733" spans="1:7">
      <c r="A733">
        <v>61</v>
      </c>
      <c r="B733">
        <v>2</v>
      </c>
      <c r="C733">
        <v>1</v>
      </c>
      <c r="E733">
        <v>2</v>
      </c>
      <c r="F733" t="str">
        <f t="shared" si="11"/>
        <v>F612G1T2</v>
      </c>
      <c r="G733" s="14" t="s">
        <v>62</v>
      </c>
    </row>
    <row r="734" spans="1:7">
      <c r="A734">
        <v>61</v>
      </c>
      <c r="B734">
        <v>5</v>
      </c>
      <c r="C734">
        <v>1</v>
      </c>
      <c r="E734">
        <v>2</v>
      </c>
      <c r="F734" t="str">
        <f t="shared" si="11"/>
        <v>F615G1T2</v>
      </c>
      <c r="G734" s="14" t="s">
        <v>62</v>
      </c>
    </row>
    <row r="735" spans="1:7">
      <c r="A735">
        <v>61</v>
      </c>
      <c r="B735">
        <v>6</v>
      </c>
      <c r="C735">
        <v>1</v>
      </c>
      <c r="E735">
        <v>2</v>
      </c>
      <c r="F735" t="str">
        <f t="shared" si="11"/>
        <v>F616G1T2</v>
      </c>
      <c r="G735" s="14" t="s">
        <v>62</v>
      </c>
    </row>
    <row r="736" spans="1:7">
      <c r="A736">
        <v>61</v>
      </c>
      <c r="B736">
        <v>7</v>
      </c>
      <c r="C736">
        <v>1</v>
      </c>
      <c r="E736">
        <v>2</v>
      </c>
      <c r="F736" t="str">
        <f t="shared" si="11"/>
        <v>F617G1T2</v>
      </c>
      <c r="G736" s="14" t="s">
        <v>62</v>
      </c>
    </row>
    <row r="737" spans="1:7">
      <c r="A737">
        <v>61</v>
      </c>
      <c r="B737">
        <v>8</v>
      </c>
      <c r="C737">
        <v>1</v>
      </c>
      <c r="E737">
        <v>2</v>
      </c>
      <c r="F737" t="str">
        <f t="shared" si="11"/>
        <v>F618G1T2</v>
      </c>
      <c r="G737" s="14" t="s">
        <v>62</v>
      </c>
    </row>
    <row r="738" spans="1:7">
      <c r="A738">
        <v>71</v>
      </c>
      <c r="B738">
        <v>1</v>
      </c>
      <c r="C738">
        <v>1</v>
      </c>
      <c r="E738">
        <v>3</v>
      </c>
      <c r="F738" t="str">
        <f t="shared" si="11"/>
        <v>F711G1T3</v>
      </c>
      <c r="G738" s="14" t="s">
        <v>322</v>
      </c>
    </row>
    <row r="739" spans="1:7">
      <c r="A739">
        <v>71</v>
      </c>
      <c r="B739">
        <v>2</v>
      </c>
      <c r="C739">
        <v>1</v>
      </c>
      <c r="E739">
        <v>3</v>
      </c>
      <c r="F739" t="str">
        <f t="shared" si="11"/>
        <v>F712G1T3</v>
      </c>
      <c r="G739" s="14" t="s">
        <v>322</v>
      </c>
    </row>
    <row r="740" spans="1:7">
      <c r="A740">
        <v>71</v>
      </c>
      <c r="B740">
        <v>5</v>
      </c>
      <c r="C740">
        <v>1</v>
      </c>
      <c r="E740">
        <v>3</v>
      </c>
      <c r="F740" t="str">
        <f t="shared" si="11"/>
        <v>F715G1T3</v>
      </c>
      <c r="G740" s="14" t="s">
        <v>322</v>
      </c>
    </row>
    <row r="741" spans="1:7">
      <c r="A741">
        <v>71</v>
      </c>
      <c r="B741">
        <v>6</v>
      </c>
      <c r="C741">
        <v>1</v>
      </c>
      <c r="E741">
        <v>3</v>
      </c>
      <c r="F741" t="str">
        <f t="shared" si="11"/>
        <v>F716G1T3</v>
      </c>
      <c r="G741" s="14" t="s">
        <v>322</v>
      </c>
    </row>
    <row r="742" spans="1:7">
      <c r="A742">
        <v>71</v>
      </c>
      <c r="B742">
        <v>7</v>
      </c>
      <c r="C742">
        <v>1</v>
      </c>
      <c r="E742">
        <v>3</v>
      </c>
      <c r="F742" t="str">
        <f t="shared" si="11"/>
        <v>F717G1T3</v>
      </c>
      <c r="G742" s="14" t="s">
        <v>322</v>
      </c>
    </row>
    <row r="743" spans="1:7">
      <c r="A743">
        <v>71</v>
      </c>
      <c r="B743">
        <v>8</v>
      </c>
      <c r="C743">
        <v>1</v>
      </c>
      <c r="E743">
        <v>3</v>
      </c>
      <c r="F743" t="str">
        <f t="shared" si="11"/>
        <v>F718G1T3</v>
      </c>
      <c r="G743" s="14" t="s">
        <v>322</v>
      </c>
    </row>
    <row r="744" spans="1:7">
      <c r="A744">
        <v>71</v>
      </c>
      <c r="B744">
        <v>1</v>
      </c>
      <c r="C744">
        <v>1</v>
      </c>
      <c r="E744">
        <v>2</v>
      </c>
      <c r="F744" t="str">
        <f t="shared" si="11"/>
        <v>F711G1T2</v>
      </c>
      <c r="G744" s="14" t="s">
        <v>62</v>
      </c>
    </row>
    <row r="745" spans="1:7">
      <c r="A745">
        <v>71</v>
      </c>
      <c r="B745">
        <v>2</v>
      </c>
      <c r="C745">
        <v>1</v>
      </c>
      <c r="E745">
        <v>2</v>
      </c>
      <c r="F745" t="str">
        <f t="shared" si="11"/>
        <v>F712G1T2</v>
      </c>
      <c r="G745" s="14" t="s">
        <v>62</v>
      </c>
    </row>
    <row r="746" spans="1:7">
      <c r="A746">
        <v>71</v>
      </c>
      <c r="B746">
        <v>5</v>
      </c>
      <c r="C746">
        <v>1</v>
      </c>
      <c r="E746">
        <v>2</v>
      </c>
      <c r="F746" t="str">
        <f t="shared" si="11"/>
        <v>F715G1T2</v>
      </c>
      <c r="G746" s="14" t="s">
        <v>62</v>
      </c>
    </row>
    <row r="747" spans="1:7">
      <c r="A747">
        <v>71</v>
      </c>
      <c r="B747">
        <v>6</v>
      </c>
      <c r="C747">
        <v>1</v>
      </c>
      <c r="E747">
        <v>2</v>
      </c>
      <c r="F747" t="str">
        <f t="shared" si="11"/>
        <v>F716G1T2</v>
      </c>
      <c r="G747" s="14" t="s">
        <v>62</v>
      </c>
    </row>
    <row r="748" spans="1:7">
      <c r="A748">
        <v>71</v>
      </c>
      <c r="B748">
        <v>7</v>
      </c>
      <c r="C748">
        <v>1</v>
      </c>
      <c r="E748">
        <v>2</v>
      </c>
      <c r="F748" t="str">
        <f t="shared" si="11"/>
        <v>F717G1T2</v>
      </c>
      <c r="G748" s="14" t="s">
        <v>62</v>
      </c>
    </row>
    <row r="749" spans="1:7">
      <c r="A749">
        <v>71</v>
      </c>
      <c r="B749">
        <v>8</v>
      </c>
      <c r="C749">
        <v>1</v>
      </c>
      <c r="E749">
        <v>2</v>
      </c>
      <c r="F749" t="str">
        <f t="shared" si="11"/>
        <v>F718G1T2</v>
      </c>
      <c r="G749" s="14" t="s">
        <v>62</v>
      </c>
    </row>
    <row r="750" spans="1:7">
      <c r="A750">
        <v>72</v>
      </c>
      <c r="B750">
        <v>1</v>
      </c>
      <c r="C750">
        <v>1</v>
      </c>
      <c r="E750">
        <v>3</v>
      </c>
      <c r="F750" t="str">
        <f t="shared" si="11"/>
        <v>F721G1T3</v>
      </c>
      <c r="G750" s="14" t="s">
        <v>322</v>
      </c>
    </row>
    <row r="751" spans="1:7">
      <c r="A751">
        <v>72</v>
      </c>
      <c r="B751">
        <v>2</v>
      </c>
      <c r="C751">
        <v>1</v>
      </c>
      <c r="E751">
        <v>3</v>
      </c>
      <c r="F751" t="str">
        <f t="shared" si="11"/>
        <v>F722G1T3</v>
      </c>
      <c r="G751" s="14" t="s">
        <v>322</v>
      </c>
    </row>
    <row r="752" spans="1:7">
      <c r="A752">
        <v>72</v>
      </c>
      <c r="B752">
        <v>5</v>
      </c>
      <c r="C752">
        <v>1</v>
      </c>
      <c r="E752">
        <v>3</v>
      </c>
      <c r="F752" t="str">
        <f t="shared" si="11"/>
        <v>F725G1T3</v>
      </c>
      <c r="G752" s="14" t="s">
        <v>322</v>
      </c>
    </row>
    <row r="753" spans="1:7">
      <c r="A753">
        <v>72</v>
      </c>
      <c r="B753">
        <v>6</v>
      </c>
      <c r="C753">
        <v>1</v>
      </c>
      <c r="E753">
        <v>3</v>
      </c>
      <c r="F753" t="str">
        <f t="shared" si="11"/>
        <v>F726G1T3</v>
      </c>
      <c r="G753" s="14" t="s">
        <v>322</v>
      </c>
    </row>
    <row r="754" spans="1:7">
      <c r="A754">
        <v>72</v>
      </c>
      <c r="B754">
        <v>7</v>
      </c>
      <c r="C754">
        <v>1</v>
      </c>
      <c r="E754">
        <v>3</v>
      </c>
      <c r="F754" t="str">
        <f t="shared" si="11"/>
        <v>F727G1T3</v>
      </c>
      <c r="G754" s="14" t="s">
        <v>322</v>
      </c>
    </row>
    <row r="755" spans="1:7">
      <c r="A755">
        <v>72</v>
      </c>
      <c r="B755">
        <v>8</v>
      </c>
      <c r="C755">
        <v>1</v>
      </c>
      <c r="E755">
        <v>3</v>
      </c>
      <c r="F755" t="str">
        <f t="shared" si="11"/>
        <v>F728G1T3</v>
      </c>
      <c r="G755" s="14" t="s">
        <v>322</v>
      </c>
    </row>
    <row r="756" spans="1:7">
      <c r="A756">
        <v>72</v>
      </c>
      <c r="B756">
        <v>1</v>
      </c>
      <c r="C756">
        <v>1</v>
      </c>
      <c r="E756">
        <v>2</v>
      </c>
      <c r="F756" t="str">
        <f t="shared" si="11"/>
        <v>F721G1T2</v>
      </c>
      <c r="G756" s="14" t="s">
        <v>62</v>
      </c>
    </row>
    <row r="757" spans="1:7">
      <c r="A757">
        <v>72</v>
      </c>
      <c r="B757">
        <v>2</v>
      </c>
      <c r="C757">
        <v>1</v>
      </c>
      <c r="E757">
        <v>2</v>
      </c>
      <c r="F757" t="str">
        <f t="shared" si="11"/>
        <v>F722G1T2</v>
      </c>
      <c r="G757" s="14" t="s">
        <v>62</v>
      </c>
    </row>
    <row r="758" spans="1:7">
      <c r="A758">
        <v>72</v>
      </c>
      <c r="B758">
        <v>5</v>
      </c>
      <c r="C758">
        <v>1</v>
      </c>
      <c r="E758">
        <v>2</v>
      </c>
      <c r="F758" t="str">
        <f t="shared" si="11"/>
        <v>F725G1T2</v>
      </c>
      <c r="G758" s="14" t="s">
        <v>62</v>
      </c>
    </row>
    <row r="759" spans="1:7">
      <c r="A759">
        <v>72</v>
      </c>
      <c r="B759">
        <v>6</v>
      </c>
      <c r="C759">
        <v>1</v>
      </c>
      <c r="E759">
        <v>2</v>
      </c>
      <c r="F759" t="str">
        <f t="shared" si="11"/>
        <v>F726G1T2</v>
      </c>
      <c r="G759" s="14" t="s">
        <v>62</v>
      </c>
    </row>
    <row r="760" spans="1:7">
      <c r="A760">
        <v>72</v>
      </c>
      <c r="B760">
        <v>7</v>
      </c>
      <c r="C760">
        <v>1</v>
      </c>
      <c r="E760">
        <v>2</v>
      </c>
      <c r="F760" t="str">
        <f t="shared" si="11"/>
        <v>F727G1T2</v>
      </c>
      <c r="G760" s="14" t="s">
        <v>62</v>
      </c>
    </row>
    <row r="761" spans="1:7">
      <c r="A761">
        <v>72</v>
      </c>
      <c r="B761">
        <v>8</v>
      </c>
      <c r="C761">
        <v>1</v>
      </c>
      <c r="E761">
        <v>2</v>
      </c>
      <c r="F761" t="str">
        <f t="shared" si="11"/>
        <v>F728G1T2</v>
      </c>
      <c r="G761" s="14" t="s">
        <v>62</v>
      </c>
    </row>
    <row r="762" spans="1:7">
      <c r="A762">
        <v>82</v>
      </c>
      <c r="B762">
        <v>1</v>
      </c>
      <c r="C762">
        <v>1</v>
      </c>
      <c r="E762">
        <v>3</v>
      </c>
      <c r="F762" t="str">
        <f t="shared" si="11"/>
        <v>F821G1T3</v>
      </c>
      <c r="G762" s="14" t="s">
        <v>322</v>
      </c>
    </row>
    <row r="763" spans="1:7">
      <c r="A763">
        <v>82</v>
      </c>
      <c r="B763">
        <v>2</v>
      </c>
      <c r="C763">
        <v>1</v>
      </c>
      <c r="E763">
        <v>3</v>
      </c>
      <c r="F763" t="str">
        <f t="shared" si="11"/>
        <v>F822G1T3</v>
      </c>
      <c r="G763" s="14" t="s">
        <v>322</v>
      </c>
    </row>
    <row r="764" spans="1:7">
      <c r="A764">
        <v>82</v>
      </c>
      <c r="B764">
        <v>5</v>
      </c>
      <c r="C764">
        <v>1</v>
      </c>
      <c r="E764">
        <v>3</v>
      </c>
      <c r="F764" t="str">
        <f t="shared" si="11"/>
        <v>F825G1T3</v>
      </c>
      <c r="G764" s="14" t="s">
        <v>322</v>
      </c>
    </row>
    <row r="765" spans="1:7">
      <c r="A765">
        <v>82</v>
      </c>
      <c r="B765">
        <v>6</v>
      </c>
      <c r="C765">
        <v>1</v>
      </c>
      <c r="E765">
        <v>3</v>
      </c>
      <c r="F765" t="str">
        <f t="shared" si="11"/>
        <v>F826G1T3</v>
      </c>
      <c r="G765" s="14" t="s">
        <v>322</v>
      </c>
    </row>
    <row r="766" spans="1:7">
      <c r="A766">
        <v>82</v>
      </c>
      <c r="B766">
        <v>7</v>
      </c>
      <c r="C766">
        <v>1</v>
      </c>
      <c r="E766">
        <v>3</v>
      </c>
      <c r="F766" t="str">
        <f t="shared" si="11"/>
        <v>F827G1T3</v>
      </c>
      <c r="G766" s="14" t="s">
        <v>322</v>
      </c>
    </row>
    <row r="767" spans="1:7">
      <c r="A767">
        <v>82</v>
      </c>
      <c r="B767">
        <v>8</v>
      </c>
      <c r="C767">
        <v>1</v>
      </c>
      <c r="E767">
        <v>3</v>
      </c>
      <c r="F767" t="str">
        <f t="shared" si="11"/>
        <v>F828G1T3</v>
      </c>
      <c r="G767" s="14" t="s">
        <v>322</v>
      </c>
    </row>
    <row r="768" spans="1:7">
      <c r="A768">
        <v>82</v>
      </c>
      <c r="B768">
        <v>1</v>
      </c>
      <c r="C768">
        <v>1</v>
      </c>
      <c r="E768">
        <v>2</v>
      </c>
      <c r="F768" t="str">
        <f t="shared" si="11"/>
        <v>F821G1T2</v>
      </c>
      <c r="G768" s="14" t="s">
        <v>62</v>
      </c>
    </row>
    <row r="769" spans="1:7">
      <c r="A769">
        <v>82</v>
      </c>
      <c r="B769">
        <v>2</v>
      </c>
      <c r="C769">
        <v>1</v>
      </c>
      <c r="E769">
        <v>2</v>
      </c>
      <c r="F769" t="str">
        <f t="shared" si="11"/>
        <v>F822G1T2</v>
      </c>
      <c r="G769" s="14" t="s">
        <v>62</v>
      </c>
    </row>
    <row r="770" spans="1:7">
      <c r="A770">
        <v>82</v>
      </c>
      <c r="B770">
        <v>5</v>
      </c>
      <c r="C770">
        <v>1</v>
      </c>
      <c r="E770">
        <v>2</v>
      </c>
      <c r="F770" t="str">
        <f t="shared" si="11"/>
        <v>F825G1T2</v>
      </c>
      <c r="G770" s="14" t="s">
        <v>62</v>
      </c>
    </row>
    <row r="771" spans="1:7">
      <c r="A771">
        <v>82</v>
      </c>
      <c r="B771">
        <v>6</v>
      </c>
      <c r="C771">
        <v>1</v>
      </c>
      <c r="E771">
        <v>2</v>
      </c>
      <c r="F771" t="str">
        <f t="shared" ref="F771:F834" si="12">CONCATENATE("F",A771,B771,"G",C771,"T",E771)</f>
        <v>F826G1T2</v>
      </c>
      <c r="G771" s="14" t="s">
        <v>62</v>
      </c>
    </row>
    <row r="772" spans="1:7">
      <c r="A772">
        <v>82</v>
      </c>
      <c r="B772">
        <v>7</v>
      </c>
      <c r="C772">
        <v>1</v>
      </c>
      <c r="E772">
        <v>2</v>
      </c>
      <c r="F772" t="str">
        <f t="shared" si="12"/>
        <v>F827G1T2</v>
      </c>
      <c r="G772" s="14" t="s">
        <v>62</v>
      </c>
    </row>
    <row r="773" spans="1:7">
      <c r="A773">
        <v>82</v>
      </c>
      <c r="B773">
        <v>8</v>
      </c>
      <c r="C773">
        <v>1</v>
      </c>
      <c r="E773">
        <v>2</v>
      </c>
      <c r="F773" t="str">
        <f t="shared" si="12"/>
        <v>F828G1T2</v>
      </c>
      <c r="G773" s="14" t="s">
        <v>62</v>
      </c>
    </row>
    <row r="774" spans="1:7">
      <c r="A774">
        <v>83</v>
      </c>
      <c r="B774">
        <v>1</v>
      </c>
      <c r="C774">
        <v>1</v>
      </c>
      <c r="E774">
        <v>3</v>
      </c>
      <c r="F774" t="str">
        <f t="shared" si="12"/>
        <v>F831G1T3</v>
      </c>
      <c r="G774" s="14" t="s">
        <v>322</v>
      </c>
    </row>
    <row r="775" spans="1:7">
      <c r="A775">
        <v>83</v>
      </c>
      <c r="B775">
        <v>2</v>
      </c>
      <c r="C775">
        <v>1</v>
      </c>
      <c r="E775">
        <v>3</v>
      </c>
      <c r="F775" t="str">
        <f t="shared" si="12"/>
        <v>F832G1T3</v>
      </c>
      <c r="G775" s="14" t="s">
        <v>322</v>
      </c>
    </row>
    <row r="776" spans="1:7">
      <c r="A776">
        <v>83</v>
      </c>
      <c r="B776">
        <v>5</v>
      </c>
      <c r="C776">
        <v>1</v>
      </c>
      <c r="E776">
        <v>3</v>
      </c>
      <c r="F776" t="str">
        <f t="shared" si="12"/>
        <v>F835G1T3</v>
      </c>
      <c r="G776" s="14" t="s">
        <v>322</v>
      </c>
    </row>
    <row r="777" spans="1:7">
      <c r="A777">
        <v>83</v>
      </c>
      <c r="B777">
        <v>6</v>
      </c>
      <c r="C777">
        <v>1</v>
      </c>
      <c r="E777">
        <v>3</v>
      </c>
      <c r="F777" t="str">
        <f t="shared" si="12"/>
        <v>F836G1T3</v>
      </c>
      <c r="G777" s="14" t="s">
        <v>322</v>
      </c>
    </row>
    <row r="778" spans="1:7">
      <c r="A778">
        <v>83</v>
      </c>
      <c r="B778">
        <v>7</v>
      </c>
      <c r="C778">
        <v>1</v>
      </c>
      <c r="E778">
        <v>3</v>
      </c>
      <c r="F778" t="str">
        <f t="shared" si="12"/>
        <v>F837G1T3</v>
      </c>
      <c r="G778" s="14" t="s">
        <v>322</v>
      </c>
    </row>
    <row r="779" spans="1:7">
      <c r="A779">
        <v>83</v>
      </c>
      <c r="B779">
        <v>8</v>
      </c>
      <c r="C779">
        <v>1</v>
      </c>
      <c r="E779">
        <v>3</v>
      </c>
      <c r="F779" t="str">
        <f t="shared" si="12"/>
        <v>F838G1T3</v>
      </c>
      <c r="G779" s="14" t="s">
        <v>322</v>
      </c>
    </row>
    <row r="780" spans="1:7">
      <c r="A780">
        <v>83</v>
      </c>
      <c r="B780">
        <v>1</v>
      </c>
      <c r="C780">
        <v>1</v>
      </c>
      <c r="E780">
        <v>2</v>
      </c>
      <c r="F780" t="str">
        <f t="shared" si="12"/>
        <v>F831G1T2</v>
      </c>
      <c r="G780" s="14" t="s">
        <v>62</v>
      </c>
    </row>
    <row r="781" spans="1:7">
      <c r="A781">
        <v>83</v>
      </c>
      <c r="B781">
        <v>2</v>
      </c>
      <c r="C781">
        <v>1</v>
      </c>
      <c r="E781">
        <v>2</v>
      </c>
      <c r="F781" t="str">
        <f t="shared" si="12"/>
        <v>F832G1T2</v>
      </c>
      <c r="G781" s="14" t="s">
        <v>62</v>
      </c>
    </row>
    <row r="782" spans="1:7">
      <c r="A782">
        <v>83</v>
      </c>
      <c r="B782">
        <v>5</v>
      </c>
      <c r="C782">
        <v>1</v>
      </c>
      <c r="E782">
        <v>2</v>
      </c>
      <c r="F782" t="str">
        <f t="shared" si="12"/>
        <v>F835G1T2</v>
      </c>
      <c r="G782" s="14" t="s">
        <v>62</v>
      </c>
    </row>
    <row r="783" spans="1:7">
      <c r="A783">
        <v>83</v>
      </c>
      <c r="B783">
        <v>6</v>
      </c>
      <c r="C783">
        <v>1</v>
      </c>
      <c r="E783">
        <v>2</v>
      </c>
      <c r="F783" t="str">
        <f t="shared" si="12"/>
        <v>F836G1T2</v>
      </c>
      <c r="G783" s="14" t="s">
        <v>62</v>
      </c>
    </row>
    <row r="784" spans="1:7">
      <c r="A784">
        <v>83</v>
      </c>
      <c r="B784">
        <v>7</v>
      </c>
      <c r="C784">
        <v>1</v>
      </c>
      <c r="E784">
        <v>2</v>
      </c>
      <c r="F784" t="str">
        <f t="shared" si="12"/>
        <v>F837G1T2</v>
      </c>
      <c r="G784" s="14" t="s">
        <v>62</v>
      </c>
    </row>
    <row r="785" spans="1:7">
      <c r="A785">
        <v>83</v>
      </c>
      <c r="B785">
        <v>8</v>
      </c>
      <c r="C785">
        <v>1</v>
      </c>
      <c r="E785">
        <v>2</v>
      </c>
      <c r="F785" t="str">
        <f t="shared" si="12"/>
        <v>F838G1T2</v>
      </c>
      <c r="G785" s="14" t="s">
        <v>62</v>
      </c>
    </row>
    <row r="786" spans="1:7">
      <c r="A786">
        <v>91</v>
      </c>
      <c r="B786">
        <v>1</v>
      </c>
      <c r="C786">
        <v>1</v>
      </c>
      <c r="E786">
        <v>3</v>
      </c>
      <c r="F786" t="str">
        <f t="shared" si="12"/>
        <v>F911G1T3</v>
      </c>
      <c r="G786" s="14" t="s">
        <v>322</v>
      </c>
    </row>
    <row r="787" spans="1:7">
      <c r="A787">
        <v>91</v>
      </c>
      <c r="B787">
        <v>2</v>
      </c>
      <c r="C787">
        <v>1</v>
      </c>
      <c r="E787">
        <v>3</v>
      </c>
      <c r="F787" t="str">
        <f t="shared" si="12"/>
        <v>F912G1T3</v>
      </c>
      <c r="G787" s="14" t="s">
        <v>322</v>
      </c>
    </row>
    <row r="788" spans="1:7">
      <c r="A788">
        <v>91</v>
      </c>
      <c r="B788">
        <v>5</v>
      </c>
      <c r="C788">
        <v>1</v>
      </c>
      <c r="E788">
        <v>3</v>
      </c>
      <c r="F788" t="str">
        <f t="shared" si="12"/>
        <v>F915G1T3</v>
      </c>
      <c r="G788" s="14" t="s">
        <v>322</v>
      </c>
    </row>
    <row r="789" spans="1:7">
      <c r="A789">
        <v>91</v>
      </c>
      <c r="B789">
        <v>6</v>
      </c>
      <c r="C789">
        <v>1</v>
      </c>
      <c r="E789">
        <v>3</v>
      </c>
      <c r="F789" t="str">
        <f t="shared" si="12"/>
        <v>F916G1T3</v>
      </c>
      <c r="G789" s="14" t="s">
        <v>322</v>
      </c>
    </row>
    <row r="790" spans="1:7">
      <c r="A790">
        <v>91</v>
      </c>
      <c r="B790">
        <v>7</v>
      </c>
      <c r="C790">
        <v>1</v>
      </c>
      <c r="E790">
        <v>3</v>
      </c>
      <c r="F790" t="str">
        <f t="shared" si="12"/>
        <v>F917G1T3</v>
      </c>
      <c r="G790" s="14" t="s">
        <v>322</v>
      </c>
    </row>
    <row r="791" spans="1:7">
      <c r="A791">
        <v>91</v>
      </c>
      <c r="B791">
        <v>8</v>
      </c>
      <c r="C791">
        <v>1</v>
      </c>
      <c r="E791">
        <v>3</v>
      </c>
      <c r="F791" t="str">
        <f t="shared" si="12"/>
        <v>F918G1T3</v>
      </c>
      <c r="G791" s="14" t="s">
        <v>322</v>
      </c>
    </row>
    <row r="792" spans="1:7">
      <c r="A792">
        <v>91</v>
      </c>
      <c r="B792">
        <v>1</v>
      </c>
      <c r="C792">
        <v>1</v>
      </c>
      <c r="E792">
        <v>2</v>
      </c>
      <c r="F792" t="str">
        <f t="shared" si="12"/>
        <v>F911G1T2</v>
      </c>
      <c r="G792" s="14" t="s">
        <v>62</v>
      </c>
    </row>
    <row r="793" spans="1:7">
      <c r="A793">
        <v>91</v>
      </c>
      <c r="B793">
        <v>2</v>
      </c>
      <c r="C793">
        <v>1</v>
      </c>
      <c r="E793">
        <v>2</v>
      </c>
      <c r="F793" t="str">
        <f t="shared" si="12"/>
        <v>F912G1T2</v>
      </c>
      <c r="G793" s="14" t="s">
        <v>62</v>
      </c>
    </row>
    <row r="794" spans="1:7">
      <c r="A794">
        <v>91</v>
      </c>
      <c r="B794">
        <v>5</v>
      </c>
      <c r="C794">
        <v>1</v>
      </c>
      <c r="E794">
        <v>2</v>
      </c>
      <c r="F794" t="str">
        <f t="shared" si="12"/>
        <v>F915G1T2</v>
      </c>
      <c r="G794" s="14" t="s">
        <v>62</v>
      </c>
    </row>
    <row r="795" spans="1:7">
      <c r="A795">
        <v>91</v>
      </c>
      <c r="B795">
        <v>6</v>
      </c>
      <c r="C795">
        <v>1</v>
      </c>
      <c r="E795">
        <v>2</v>
      </c>
      <c r="F795" t="str">
        <f t="shared" si="12"/>
        <v>F916G1T2</v>
      </c>
      <c r="G795" s="14" t="s">
        <v>62</v>
      </c>
    </row>
    <row r="796" spans="1:7">
      <c r="A796">
        <v>91</v>
      </c>
      <c r="B796">
        <v>7</v>
      </c>
      <c r="C796">
        <v>1</v>
      </c>
      <c r="E796">
        <v>2</v>
      </c>
      <c r="F796" t="str">
        <f t="shared" si="12"/>
        <v>F917G1T2</v>
      </c>
      <c r="G796" s="14" t="s">
        <v>62</v>
      </c>
    </row>
    <row r="797" spans="1:7">
      <c r="A797">
        <v>91</v>
      </c>
      <c r="B797">
        <v>8</v>
      </c>
      <c r="C797">
        <v>1</v>
      </c>
      <c r="E797">
        <v>2</v>
      </c>
      <c r="F797" t="str">
        <f t="shared" si="12"/>
        <v>F918G1T2</v>
      </c>
      <c r="G797" s="14" t="s">
        <v>62</v>
      </c>
    </row>
    <row r="798" spans="1:7">
      <c r="A798">
        <v>94</v>
      </c>
      <c r="B798">
        <v>1</v>
      </c>
      <c r="C798">
        <v>1</v>
      </c>
      <c r="E798">
        <v>3</v>
      </c>
      <c r="F798" t="str">
        <f t="shared" si="12"/>
        <v>F941G1T3</v>
      </c>
      <c r="G798" s="14" t="s">
        <v>322</v>
      </c>
    </row>
    <row r="799" spans="1:7">
      <c r="A799">
        <v>94</v>
      </c>
      <c r="B799">
        <v>2</v>
      </c>
      <c r="C799">
        <v>1</v>
      </c>
      <c r="E799">
        <v>3</v>
      </c>
      <c r="F799" t="str">
        <f t="shared" si="12"/>
        <v>F942G1T3</v>
      </c>
      <c r="G799" s="14" t="s">
        <v>322</v>
      </c>
    </row>
    <row r="800" spans="1:7">
      <c r="A800">
        <v>94</v>
      </c>
      <c r="B800">
        <v>5</v>
      </c>
      <c r="C800">
        <v>1</v>
      </c>
      <c r="E800">
        <v>3</v>
      </c>
      <c r="F800" t="str">
        <f t="shared" si="12"/>
        <v>F945G1T3</v>
      </c>
      <c r="G800" s="14" t="s">
        <v>322</v>
      </c>
    </row>
    <row r="801" spans="1:7">
      <c r="A801">
        <v>94</v>
      </c>
      <c r="B801">
        <v>6</v>
      </c>
      <c r="C801">
        <v>1</v>
      </c>
      <c r="E801">
        <v>3</v>
      </c>
      <c r="F801" t="str">
        <f t="shared" si="12"/>
        <v>F946G1T3</v>
      </c>
      <c r="G801" s="14" t="s">
        <v>322</v>
      </c>
    </row>
    <row r="802" spans="1:7">
      <c r="A802">
        <v>94</v>
      </c>
      <c r="B802">
        <v>7</v>
      </c>
      <c r="C802">
        <v>1</v>
      </c>
      <c r="E802">
        <v>3</v>
      </c>
      <c r="F802" t="str">
        <f t="shared" si="12"/>
        <v>F947G1T3</v>
      </c>
      <c r="G802" s="14" t="s">
        <v>322</v>
      </c>
    </row>
    <row r="803" spans="1:7">
      <c r="A803">
        <v>94</v>
      </c>
      <c r="B803">
        <v>8</v>
      </c>
      <c r="C803">
        <v>1</v>
      </c>
      <c r="E803">
        <v>3</v>
      </c>
      <c r="F803" t="str">
        <f t="shared" si="12"/>
        <v>F948G1T3</v>
      </c>
      <c r="G803" s="14" t="s">
        <v>322</v>
      </c>
    </row>
    <row r="804" spans="1:7">
      <c r="A804">
        <v>94</v>
      </c>
      <c r="B804">
        <v>1</v>
      </c>
      <c r="C804">
        <v>1</v>
      </c>
      <c r="E804">
        <v>2</v>
      </c>
      <c r="F804" t="str">
        <f t="shared" si="12"/>
        <v>F941G1T2</v>
      </c>
      <c r="G804" s="14" t="s">
        <v>62</v>
      </c>
    </row>
    <row r="805" spans="1:7">
      <c r="A805">
        <v>94</v>
      </c>
      <c r="B805">
        <v>2</v>
      </c>
      <c r="C805">
        <v>1</v>
      </c>
      <c r="E805">
        <v>2</v>
      </c>
      <c r="F805" t="str">
        <f t="shared" si="12"/>
        <v>F942G1T2</v>
      </c>
      <c r="G805" s="14" t="s">
        <v>62</v>
      </c>
    </row>
    <row r="806" spans="1:7">
      <c r="A806">
        <v>94</v>
      </c>
      <c r="B806">
        <v>5</v>
      </c>
      <c r="C806">
        <v>1</v>
      </c>
      <c r="E806">
        <v>2</v>
      </c>
      <c r="F806" t="str">
        <f t="shared" si="12"/>
        <v>F945G1T2</v>
      </c>
      <c r="G806" s="14" t="s">
        <v>62</v>
      </c>
    </row>
    <row r="807" spans="1:7">
      <c r="A807">
        <v>94</v>
      </c>
      <c r="B807">
        <v>6</v>
      </c>
      <c r="C807">
        <v>1</v>
      </c>
      <c r="E807">
        <v>2</v>
      </c>
      <c r="F807" t="str">
        <f t="shared" si="12"/>
        <v>F946G1T2</v>
      </c>
      <c r="G807" s="14" t="s">
        <v>62</v>
      </c>
    </row>
    <row r="808" spans="1:7">
      <c r="A808">
        <v>94</v>
      </c>
      <c r="B808">
        <v>7</v>
      </c>
      <c r="C808">
        <v>1</v>
      </c>
      <c r="E808">
        <v>2</v>
      </c>
      <c r="F808" t="str">
        <f t="shared" si="12"/>
        <v>F947G1T2</v>
      </c>
      <c r="G808" s="14" t="s">
        <v>62</v>
      </c>
    </row>
    <row r="809" spans="1:7">
      <c r="A809">
        <v>94</v>
      </c>
      <c r="B809">
        <v>8</v>
      </c>
      <c r="C809">
        <v>1</v>
      </c>
      <c r="E809">
        <v>2</v>
      </c>
      <c r="F809" t="str">
        <f t="shared" si="12"/>
        <v>F948G1T2</v>
      </c>
      <c r="G809" s="14" t="s">
        <v>62</v>
      </c>
    </row>
    <row r="810" spans="1:7">
      <c r="A810">
        <v>26</v>
      </c>
      <c r="B810">
        <v>1</v>
      </c>
      <c r="C810">
        <v>3</v>
      </c>
      <c r="E810">
        <v>1</v>
      </c>
      <c r="F810" t="str">
        <f t="shared" si="12"/>
        <v>F261G3T1</v>
      </c>
      <c r="G810" s="14" t="s">
        <v>323</v>
      </c>
    </row>
    <row r="811" spans="1:7">
      <c r="A811">
        <v>26</v>
      </c>
      <c r="B811">
        <v>2</v>
      </c>
      <c r="C811">
        <v>3</v>
      </c>
      <c r="E811">
        <v>1</v>
      </c>
      <c r="F811" t="str">
        <f t="shared" si="12"/>
        <v>F262G3T1</v>
      </c>
      <c r="G811" s="14" t="s">
        <v>323</v>
      </c>
    </row>
    <row r="812" spans="1:7">
      <c r="A812">
        <v>26</v>
      </c>
      <c r="B812">
        <v>4</v>
      </c>
      <c r="C812">
        <v>3</v>
      </c>
      <c r="E812">
        <v>1</v>
      </c>
      <c r="F812" t="str">
        <f t="shared" si="12"/>
        <v>F264G3T1</v>
      </c>
      <c r="G812" s="14" t="s">
        <v>323</v>
      </c>
    </row>
    <row r="813" spans="1:7">
      <c r="A813">
        <v>26</v>
      </c>
      <c r="B813">
        <v>5</v>
      </c>
      <c r="C813">
        <v>3</v>
      </c>
      <c r="E813">
        <v>1</v>
      </c>
      <c r="F813" t="str">
        <f t="shared" si="12"/>
        <v>F265G3T1</v>
      </c>
      <c r="G813" s="14" t="s">
        <v>323</v>
      </c>
    </row>
    <row r="814" spans="1:7">
      <c r="A814">
        <v>26</v>
      </c>
      <c r="B814">
        <v>6</v>
      </c>
      <c r="C814">
        <v>3</v>
      </c>
      <c r="E814">
        <v>1</v>
      </c>
      <c r="F814" t="str">
        <f t="shared" si="12"/>
        <v>F266G3T1</v>
      </c>
      <c r="G814" s="14" t="s">
        <v>323</v>
      </c>
    </row>
    <row r="815" spans="1:7">
      <c r="A815">
        <v>26</v>
      </c>
      <c r="B815">
        <v>7</v>
      </c>
      <c r="C815">
        <v>3</v>
      </c>
      <c r="E815">
        <v>1</v>
      </c>
      <c r="F815" t="str">
        <f t="shared" si="12"/>
        <v>F267G3T1</v>
      </c>
      <c r="G815" s="14" t="s">
        <v>323</v>
      </c>
    </row>
    <row r="816" spans="1:7">
      <c r="A816">
        <v>26</v>
      </c>
      <c r="B816">
        <v>1</v>
      </c>
      <c r="C816">
        <v>4</v>
      </c>
      <c r="E816">
        <v>1</v>
      </c>
      <c r="F816" t="str">
        <f t="shared" si="12"/>
        <v>F261G4T1</v>
      </c>
      <c r="G816" s="14" t="s">
        <v>323</v>
      </c>
    </row>
    <row r="817" spans="1:7">
      <c r="A817">
        <v>26</v>
      </c>
      <c r="B817">
        <v>2</v>
      </c>
      <c r="C817">
        <v>4</v>
      </c>
      <c r="E817">
        <v>1</v>
      </c>
      <c r="F817" t="str">
        <f t="shared" si="12"/>
        <v>F262G4T1</v>
      </c>
      <c r="G817" s="14" t="s">
        <v>323</v>
      </c>
    </row>
    <row r="818" spans="1:7">
      <c r="A818">
        <v>26</v>
      </c>
      <c r="B818">
        <v>4</v>
      </c>
      <c r="C818">
        <v>4</v>
      </c>
      <c r="E818">
        <v>1</v>
      </c>
      <c r="F818" t="str">
        <f t="shared" si="12"/>
        <v>F264G4T1</v>
      </c>
      <c r="G818" s="14" t="s">
        <v>323</v>
      </c>
    </row>
    <row r="819" spans="1:7">
      <c r="A819">
        <v>26</v>
      </c>
      <c r="B819">
        <v>5</v>
      </c>
      <c r="C819">
        <v>4</v>
      </c>
      <c r="E819">
        <v>1</v>
      </c>
      <c r="F819" t="str">
        <f t="shared" si="12"/>
        <v>F265G4T1</v>
      </c>
      <c r="G819" s="14" t="s">
        <v>323</v>
      </c>
    </row>
    <row r="820" spans="1:7">
      <c r="A820">
        <v>26</v>
      </c>
      <c r="B820">
        <v>6</v>
      </c>
      <c r="C820">
        <v>4</v>
      </c>
      <c r="E820">
        <v>1</v>
      </c>
      <c r="F820" t="str">
        <f t="shared" si="12"/>
        <v>F266G4T1</v>
      </c>
      <c r="G820" s="14" t="s">
        <v>323</v>
      </c>
    </row>
    <row r="821" spans="1:7">
      <c r="A821">
        <v>26</v>
      </c>
      <c r="B821">
        <v>7</v>
      </c>
      <c r="C821">
        <v>4</v>
      </c>
      <c r="E821">
        <v>1</v>
      </c>
      <c r="F821" t="str">
        <f t="shared" si="12"/>
        <v>F267G4T1</v>
      </c>
      <c r="G821" s="14" t="s">
        <v>323</v>
      </c>
    </row>
    <row r="822" spans="1:7">
      <c r="A822">
        <v>26</v>
      </c>
      <c r="B822">
        <v>1</v>
      </c>
      <c r="C822">
        <v>5</v>
      </c>
      <c r="E822">
        <v>1</v>
      </c>
      <c r="F822" t="str">
        <f t="shared" si="12"/>
        <v>F261G5T1</v>
      </c>
      <c r="G822" s="14" t="s">
        <v>323</v>
      </c>
    </row>
    <row r="823" spans="1:7">
      <c r="A823">
        <v>26</v>
      </c>
      <c r="B823">
        <v>2</v>
      </c>
      <c r="C823">
        <v>5</v>
      </c>
      <c r="E823">
        <v>1</v>
      </c>
      <c r="F823" t="str">
        <f t="shared" si="12"/>
        <v>F262G5T1</v>
      </c>
      <c r="G823" s="14" t="s">
        <v>323</v>
      </c>
    </row>
    <row r="824" spans="1:7">
      <c r="A824">
        <v>26</v>
      </c>
      <c r="B824">
        <v>4</v>
      </c>
      <c r="C824">
        <v>5</v>
      </c>
      <c r="E824">
        <v>1</v>
      </c>
      <c r="F824" t="str">
        <f t="shared" si="12"/>
        <v>F264G5T1</v>
      </c>
      <c r="G824" s="14" t="s">
        <v>323</v>
      </c>
    </row>
    <row r="825" spans="1:7">
      <c r="A825">
        <v>26</v>
      </c>
      <c r="B825">
        <v>5</v>
      </c>
      <c r="C825">
        <v>5</v>
      </c>
      <c r="E825">
        <v>1</v>
      </c>
      <c r="F825" t="str">
        <f t="shared" si="12"/>
        <v>F265G5T1</v>
      </c>
      <c r="G825" s="14" t="s">
        <v>323</v>
      </c>
    </row>
    <row r="826" spans="1:7">
      <c r="A826">
        <v>26</v>
      </c>
      <c r="B826">
        <v>6</v>
      </c>
      <c r="C826">
        <v>5</v>
      </c>
      <c r="E826">
        <v>1</v>
      </c>
      <c r="F826" t="str">
        <f t="shared" si="12"/>
        <v>F266G5T1</v>
      </c>
      <c r="G826" s="14" t="s">
        <v>323</v>
      </c>
    </row>
    <row r="827" spans="1:7">
      <c r="A827">
        <v>26</v>
      </c>
      <c r="B827">
        <v>7</v>
      </c>
      <c r="C827">
        <v>5</v>
      </c>
      <c r="E827">
        <v>1</v>
      </c>
      <c r="F827" t="str">
        <f t="shared" si="12"/>
        <v>F267G5T1</v>
      </c>
      <c r="G827" s="14" t="s">
        <v>323</v>
      </c>
    </row>
    <row r="828" spans="1:7">
      <c r="A828">
        <v>26</v>
      </c>
      <c r="B828">
        <v>1</v>
      </c>
      <c r="C828">
        <v>3</v>
      </c>
      <c r="E828">
        <v>4</v>
      </c>
      <c r="F828" t="str">
        <f t="shared" si="12"/>
        <v>F261G3T4</v>
      </c>
      <c r="G828" s="14" t="s">
        <v>323</v>
      </c>
    </row>
    <row r="829" spans="1:7">
      <c r="A829">
        <v>26</v>
      </c>
      <c r="B829">
        <v>2</v>
      </c>
      <c r="C829">
        <v>3</v>
      </c>
      <c r="E829">
        <v>4</v>
      </c>
      <c r="F829" t="str">
        <f t="shared" si="12"/>
        <v>F262G3T4</v>
      </c>
      <c r="G829" s="14" t="s">
        <v>323</v>
      </c>
    </row>
    <row r="830" spans="1:7">
      <c r="A830">
        <v>26</v>
      </c>
      <c r="B830">
        <v>4</v>
      </c>
      <c r="C830">
        <v>3</v>
      </c>
      <c r="E830">
        <v>4</v>
      </c>
      <c r="F830" t="str">
        <f t="shared" si="12"/>
        <v>F264G3T4</v>
      </c>
      <c r="G830" s="14" t="s">
        <v>323</v>
      </c>
    </row>
    <row r="831" spans="1:7">
      <c r="A831">
        <v>26</v>
      </c>
      <c r="B831">
        <v>5</v>
      </c>
      <c r="C831">
        <v>3</v>
      </c>
      <c r="E831">
        <v>4</v>
      </c>
      <c r="F831" t="str">
        <f t="shared" si="12"/>
        <v>F265G3T4</v>
      </c>
      <c r="G831" s="14" t="s">
        <v>323</v>
      </c>
    </row>
    <row r="832" spans="1:7">
      <c r="A832">
        <v>26</v>
      </c>
      <c r="B832">
        <v>6</v>
      </c>
      <c r="C832">
        <v>3</v>
      </c>
      <c r="E832">
        <v>4</v>
      </c>
      <c r="F832" t="str">
        <f t="shared" si="12"/>
        <v>F266G3T4</v>
      </c>
      <c r="G832" s="14" t="s">
        <v>323</v>
      </c>
    </row>
    <row r="833" spans="1:7">
      <c r="A833">
        <v>26</v>
      </c>
      <c r="B833">
        <v>7</v>
      </c>
      <c r="C833">
        <v>3</v>
      </c>
      <c r="E833">
        <v>4</v>
      </c>
      <c r="F833" t="str">
        <f t="shared" si="12"/>
        <v>F267G3T4</v>
      </c>
      <c r="G833" s="14" t="s">
        <v>323</v>
      </c>
    </row>
    <row r="834" spans="1:7">
      <c r="A834">
        <v>26</v>
      </c>
      <c r="B834">
        <v>1</v>
      </c>
      <c r="C834">
        <v>4</v>
      </c>
      <c r="E834">
        <v>4</v>
      </c>
      <c r="F834" t="str">
        <f t="shared" si="12"/>
        <v>F261G4T4</v>
      </c>
      <c r="G834" s="14" t="s">
        <v>323</v>
      </c>
    </row>
    <row r="835" spans="1:7">
      <c r="A835">
        <v>26</v>
      </c>
      <c r="B835">
        <v>2</v>
      </c>
      <c r="C835">
        <v>4</v>
      </c>
      <c r="E835">
        <v>4</v>
      </c>
      <c r="F835" t="str">
        <f t="shared" ref="F835:F898" si="13">CONCATENATE("F",A835,B835,"G",C835,"T",E835)</f>
        <v>F262G4T4</v>
      </c>
      <c r="G835" s="14" t="s">
        <v>323</v>
      </c>
    </row>
    <row r="836" spans="1:7">
      <c r="A836">
        <v>26</v>
      </c>
      <c r="B836">
        <v>4</v>
      </c>
      <c r="C836">
        <v>4</v>
      </c>
      <c r="E836">
        <v>4</v>
      </c>
      <c r="F836" t="str">
        <f t="shared" si="13"/>
        <v>F264G4T4</v>
      </c>
      <c r="G836" s="14" t="s">
        <v>323</v>
      </c>
    </row>
    <row r="837" spans="1:7">
      <c r="A837">
        <v>26</v>
      </c>
      <c r="B837">
        <v>5</v>
      </c>
      <c r="C837">
        <v>4</v>
      </c>
      <c r="E837">
        <v>4</v>
      </c>
      <c r="F837" t="str">
        <f t="shared" si="13"/>
        <v>F265G4T4</v>
      </c>
      <c r="G837" s="14" t="s">
        <v>323</v>
      </c>
    </row>
    <row r="838" spans="1:7">
      <c r="A838">
        <v>26</v>
      </c>
      <c r="B838">
        <v>6</v>
      </c>
      <c r="C838">
        <v>4</v>
      </c>
      <c r="E838">
        <v>4</v>
      </c>
      <c r="F838" t="str">
        <f t="shared" si="13"/>
        <v>F266G4T4</v>
      </c>
      <c r="G838" s="14" t="s">
        <v>323</v>
      </c>
    </row>
    <row r="839" spans="1:7">
      <c r="A839">
        <v>26</v>
      </c>
      <c r="B839">
        <v>7</v>
      </c>
      <c r="C839">
        <v>4</v>
      </c>
      <c r="E839">
        <v>4</v>
      </c>
      <c r="F839" t="str">
        <f t="shared" si="13"/>
        <v>F267G4T4</v>
      </c>
      <c r="G839" s="14" t="s">
        <v>323</v>
      </c>
    </row>
    <row r="840" spans="1:7">
      <c r="A840">
        <v>26</v>
      </c>
      <c r="B840">
        <v>1</v>
      </c>
      <c r="C840">
        <v>5</v>
      </c>
      <c r="E840">
        <v>4</v>
      </c>
      <c r="F840" t="str">
        <f t="shared" si="13"/>
        <v>F261G5T4</v>
      </c>
      <c r="G840" s="14" t="s">
        <v>323</v>
      </c>
    </row>
    <row r="841" spans="1:7">
      <c r="A841">
        <v>26</v>
      </c>
      <c r="B841">
        <v>2</v>
      </c>
      <c r="C841">
        <v>5</v>
      </c>
      <c r="E841">
        <v>4</v>
      </c>
      <c r="F841" t="str">
        <f t="shared" si="13"/>
        <v>F262G5T4</v>
      </c>
      <c r="G841" s="14" t="s">
        <v>323</v>
      </c>
    </row>
    <row r="842" spans="1:7">
      <c r="A842">
        <v>26</v>
      </c>
      <c r="B842">
        <v>4</v>
      </c>
      <c r="C842">
        <v>5</v>
      </c>
      <c r="E842">
        <v>4</v>
      </c>
      <c r="F842" t="str">
        <f t="shared" si="13"/>
        <v>F264G5T4</v>
      </c>
      <c r="G842" s="14" t="s">
        <v>323</v>
      </c>
    </row>
    <row r="843" spans="1:7">
      <c r="A843">
        <v>26</v>
      </c>
      <c r="B843">
        <v>5</v>
      </c>
      <c r="C843">
        <v>5</v>
      </c>
      <c r="E843">
        <v>4</v>
      </c>
      <c r="F843" t="str">
        <f t="shared" si="13"/>
        <v>F265G5T4</v>
      </c>
      <c r="G843" s="14" t="s">
        <v>323</v>
      </c>
    </row>
    <row r="844" spans="1:7">
      <c r="A844">
        <v>26</v>
      </c>
      <c r="B844">
        <v>6</v>
      </c>
      <c r="C844">
        <v>5</v>
      </c>
      <c r="E844">
        <v>4</v>
      </c>
      <c r="F844" t="str">
        <f t="shared" si="13"/>
        <v>F266G5T4</v>
      </c>
      <c r="G844" s="14" t="s">
        <v>323</v>
      </c>
    </row>
    <row r="845" spans="1:7">
      <c r="A845">
        <v>26</v>
      </c>
      <c r="B845">
        <v>7</v>
      </c>
      <c r="C845">
        <v>5</v>
      </c>
      <c r="E845">
        <v>4</v>
      </c>
      <c r="F845" t="str">
        <f t="shared" si="13"/>
        <v>F267G5T4</v>
      </c>
      <c r="G845" s="14" t="s">
        <v>323</v>
      </c>
    </row>
    <row r="846" spans="1:7">
      <c r="A846">
        <v>27</v>
      </c>
      <c r="B846">
        <v>1</v>
      </c>
      <c r="C846">
        <v>3</v>
      </c>
      <c r="E846">
        <v>1</v>
      </c>
      <c r="F846" t="str">
        <f t="shared" si="13"/>
        <v>F271G3T1</v>
      </c>
      <c r="G846" s="14" t="s">
        <v>323</v>
      </c>
    </row>
    <row r="847" spans="1:7">
      <c r="A847">
        <v>27</v>
      </c>
      <c r="B847">
        <v>2</v>
      </c>
      <c r="C847">
        <v>3</v>
      </c>
      <c r="E847">
        <v>1</v>
      </c>
      <c r="F847" t="str">
        <f t="shared" si="13"/>
        <v>F272G3T1</v>
      </c>
      <c r="G847" s="14" t="s">
        <v>323</v>
      </c>
    </row>
    <row r="848" spans="1:7">
      <c r="A848">
        <v>27</v>
      </c>
      <c r="B848">
        <v>4</v>
      </c>
      <c r="C848">
        <v>3</v>
      </c>
      <c r="E848">
        <v>1</v>
      </c>
      <c r="F848" t="str">
        <f t="shared" si="13"/>
        <v>F274G3T1</v>
      </c>
      <c r="G848" s="14" t="s">
        <v>323</v>
      </c>
    </row>
    <row r="849" spans="1:7">
      <c r="A849">
        <v>27</v>
      </c>
      <c r="B849">
        <v>5</v>
      </c>
      <c r="C849">
        <v>3</v>
      </c>
      <c r="E849">
        <v>1</v>
      </c>
      <c r="F849" t="str">
        <f t="shared" si="13"/>
        <v>F275G3T1</v>
      </c>
      <c r="G849" s="14" t="s">
        <v>323</v>
      </c>
    </row>
    <row r="850" spans="1:7">
      <c r="A850">
        <v>27</v>
      </c>
      <c r="B850">
        <v>6</v>
      </c>
      <c r="C850">
        <v>3</v>
      </c>
      <c r="E850">
        <v>1</v>
      </c>
      <c r="F850" t="str">
        <f t="shared" si="13"/>
        <v>F276G3T1</v>
      </c>
      <c r="G850" s="14" t="s">
        <v>323</v>
      </c>
    </row>
    <row r="851" spans="1:7">
      <c r="A851">
        <v>27</v>
      </c>
      <c r="B851">
        <v>7</v>
      </c>
      <c r="C851">
        <v>3</v>
      </c>
      <c r="E851">
        <v>1</v>
      </c>
      <c r="F851" t="str">
        <f t="shared" si="13"/>
        <v>F277G3T1</v>
      </c>
      <c r="G851" s="14" t="s">
        <v>323</v>
      </c>
    </row>
    <row r="852" spans="1:7">
      <c r="A852">
        <v>27</v>
      </c>
      <c r="B852">
        <v>1</v>
      </c>
      <c r="C852">
        <v>4</v>
      </c>
      <c r="E852">
        <v>1</v>
      </c>
      <c r="F852" t="str">
        <f t="shared" si="13"/>
        <v>F271G4T1</v>
      </c>
      <c r="G852" s="14" t="s">
        <v>323</v>
      </c>
    </row>
    <row r="853" spans="1:7">
      <c r="A853">
        <v>27</v>
      </c>
      <c r="B853">
        <v>2</v>
      </c>
      <c r="C853">
        <v>4</v>
      </c>
      <c r="E853">
        <v>1</v>
      </c>
      <c r="F853" t="str">
        <f t="shared" si="13"/>
        <v>F272G4T1</v>
      </c>
      <c r="G853" s="14" t="s">
        <v>323</v>
      </c>
    </row>
    <row r="854" spans="1:7">
      <c r="A854">
        <v>27</v>
      </c>
      <c r="B854">
        <v>4</v>
      </c>
      <c r="C854">
        <v>4</v>
      </c>
      <c r="E854">
        <v>1</v>
      </c>
      <c r="F854" t="str">
        <f t="shared" si="13"/>
        <v>F274G4T1</v>
      </c>
      <c r="G854" s="14" t="s">
        <v>323</v>
      </c>
    </row>
    <row r="855" spans="1:7">
      <c r="A855">
        <v>27</v>
      </c>
      <c r="B855">
        <v>5</v>
      </c>
      <c r="C855">
        <v>4</v>
      </c>
      <c r="E855">
        <v>1</v>
      </c>
      <c r="F855" t="str">
        <f t="shared" si="13"/>
        <v>F275G4T1</v>
      </c>
      <c r="G855" s="14" t="s">
        <v>323</v>
      </c>
    </row>
    <row r="856" spans="1:7">
      <c r="A856">
        <v>27</v>
      </c>
      <c r="B856">
        <v>6</v>
      </c>
      <c r="C856">
        <v>4</v>
      </c>
      <c r="E856">
        <v>1</v>
      </c>
      <c r="F856" t="str">
        <f t="shared" si="13"/>
        <v>F276G4T1</v>
      </c>
      <c r="G856" s="14" t="s">
        <v>323</v>
      </c>
    </row>
    <row r="857" spans="1:7">
      <c r="A857">
        <v>27</v>
      </c>
      <c r="B857">
        <v>7</v>
      </c>
      <c r="C857">
        <v>4</v>
      </c>
      <c r="E857">
        <v>1</v>
      </c>
      <c r="F857" t="str">
        <f t="shared" si="13"/>
        <v>F277G4T1</v>
      </c>
      <c r="G857" s="14" t="s">
        <v>323</v>
      </c>
    </row>
    <row r="858" spans="1:7">
      <c r="A858">
        <v>27</v>
      </c>
      <c r="B858">
        <v>1</v>
      </c>
      <c r="C858">
        <v>5</v>
      </c>
      <c r="E858">
        <v>1</v>
      </c>
      <c r="F858" t="str">
        <f t="shared" si="13"/>
        <v>F271G5T1</v>
      </c>
      <c r="G858" s="14" t="s">
        <v>323</v>
      </c>
    </row>
    <row r="859" spans="1:7">
      <c r="A859">
        <v>27</v>
      </c>
      <c r="B859">
        <v>2</v>
      </c>
      <c r="C859">
        <v>5</v>
      </c>
      <c r="E859">
        <v>1</v>
      </c>
      <c r="F859" t="str">
        <f t="shared" si="13"/>
        <v>F272G5T1</v>
      </c>
      <c r="G859" s="14" t="s">
        <v>323</v>
      </c>
    </row>
    <row r="860" spans="1:7">
      <c r="A860">
        <v>27</v>
      </c>
      <c r="B860">
        <v>4</v>
      </c>
      <c r="C860">
        <v>5</v>
      </c>
      <c r="E860">
        <v>1</v>
      </c>
      <c r="F860" t="str">
        <f t="shared" si="13"/>
        <v>F274G5T1</v>
      </c>
      <c r="G860" s="14" t="s">
        <v>323</v>
      </c>
    </row>
    <row r="861" spans="1:7">
      <c r="A861">
        <v>27</v>
      </c>
      <c r="B861">
        <v>5</v>
      </c>
      <c r="C861">
        <v>5</v>
      </c>
      <c r="E861">
        <v>1</v>
      </c>
      <c r="F861" t="str">
        <f t="shared" si="13"/>
        <v>F275G5T1</v>
      </c>
      <c r="G861" s="14" t="s">
        <v>323</v>
      </c>
    </row>
    <row r="862" spans="1:7">
      <c r="A862">
        <v>27</v>
      </c>
      <c r="B862">
        <v>6</v>
      </c>
      <c r="C862">
        <v>5</v>
      </c>
      <c r="E862">
        <v>1</v>
      </c>
      <c r="F862" t="str">
        <f t="shared" si="13"/>
        <v>F276G5T1</v>
      </c>
      <c r="G862" s="14" t="s">
        <v>323</v>
      </c>
    </row>
    <row r="863" spans="1:7">
      <c r="A863">
        <v>27</v>
      </c>
      <c r="B863">
        <v>7</v>
      </c>
      <c r="C863">
        <v>5</v>
      </c>
      <c r="E863">
        <v>1</v>
      </c>
      <c r="F863" t="str">
        <f t="shared" si="13"/>
        <v>F277G5T1</v>
      </c>
      <c r="G863" s="14" t="s">
        <v>323</v>
      </c>
    </row>
    <row r="864" spans="1:7">
      <c r="A864">
        <v>27</v>
      </c>
      <c r="B864">
        <v>1</v>
      </c>
      <c r="C864">
        <v>3</v>
      </c>
      <c r="E864">
        <v>4</v>
      </c>
      <c r="F864" t="str">
        <f t="shared" si="13"/>
        <v>F271G3T4</v>
      </c>
      <c r="G864" s="14" t="s">
        <v>323</v>
      </c>
    </row>
    <row r="865" spans="1:7">
      <c r="A865">
        <v>27</v>
      </c>
      <c r="B865">
        <v>2</v>
      </c>
      <c r="C865">
        <v>3</v>
      </c>
      <c r="E865">
        <v>4</v>
      </c>
      <c r="F865" t="str">
        <f t="shared" si="13"/>
        <v>F272G3T4</v>
      </c>
      <c r="G865" s="14" t="s">
        <v>323</v>
      </c>
    </row>
    <row r="866" spans="1:7">
      <c r="A866">
        <v>27</v>
      </c>
      <c r="B866">
        <v>4</v>
      </c>
      <c r="C866">
        <v>3</v>
      </c>
      <c r="E866">
        <v>4</v>
      </c>
      <c r="F866" t="str">
        <f t="shared" si="13"/>
        <v>F274G3T4</v>
      </c>
      <c r="G866" s="14" t="s">
        <v>323</v>
      </c>
    </row>
    <row r="867" spans="1:7">
      <c r="A867">
        <v>27</v>
      </c>
      <c r="B867">
        <v>5</v>
      </c>
      <c r="C867">
        <v>3</v>
      </c>
      <c r="E867">
        <v>4</v>
      </c>
      <c r="F867" t="str">
        <f t="shared" si="13"/>
        <v>F275G3T4</v>
      </c>
      <c r="G867" s="14" t="s">
        <v>323</v>
      </c>
    </row>
    <row r="868" spans="1:7">
      <c r="A868">
        <v>27</v>
      </c>
      <c r="B868">
        <v>6</v>
      </c>
      <c r="C868">
        <v>3</v>
      </c>
      <c r="E868">
        <v>4</v>
      </c>
      <c r="F868" t="str">
        <f t="shared" si="13"/>
        <v>F276G3T4</v>
      </c>
      <c r="G868" s="14" t="s">
        <v>323</v>
      </c>
    </row>
    <row r="869" spans="1:7">
      <c r="A869">
        <v>27</v>
      </c>
      <c r="B869">
        <v>7</v>
      </c>
      <c r="C869">
        <v>3</v>
      </c>
      <c r="E869">
        <v>4</v>
      </c>
      <c r="F869" t="str">
        <f t="shared" si="13"/>
        <v>F277G3T4</v>
      </c>
      <c r="G869" s="14" t="s">
        <v>323</v>
      </c>
    </row>
    <row r="870" spans="1:7">
      <c r="A870">
        <v>27</v>
      </c>
      <c r="B870">
        <v>1</v>
      </c>
      <c r="C870">
        <v>4</v>
      </c>
      <c r="E870">
        <v>4</v>
      </c>
      <c r="F870" t="str">
        <f t="shared" si="13"/>
        <v>F271G4T4</v>
      </c>
      <c r="G870" s="14" t="s">
        <v>323</v>
      </c>
    </row>
    <row r="871" spans="1:7">
      <c r="A871">
        <v>27</v>
      </c>
      <c r="B871">
        <v>2</v>
      </c>
      <c r="C871">
        <v>4</v>
      </c>
      <c r="E871">
        <v>4</v>
      </c>
      <c r="F871" t="str">
        <f t="shared" si="13"/>
        <v>F272G4T4</v>
      </c>
      <c r="G871" s="14" t="s">
        <v>323</v>
      </c>
    </row>
    <row r="872" spans="1:7">
      <c r="A872">
        <v>27</v>
      </c>
      <c r="B872">
        <v>4</v>
      </c>
      <c r="C872">
        <v>4</v>
      </c>
      <c r="E872">
        <v>4</v>
      </c>
      <c r="F872" t="str">
        <f t="shared" si="13"/>
        <v>F274G4T4</v>
      </c>
      <c r="G872" s="14" t="s">
        <v>323</v>
      </c>
    </row>
    <row r="873" spans="1:7">
      <c r="A873">
        <v>27</v>
      </c>
      <c r="B873">
        <v>5</v>
      </c>
      <c r="C873">
        <v>4</v>
      </c>
      <c r="E873">
        <v>4</v>
      </c>
      <c r="F873" t="str">
        <f t="shared" si="13"/>
        <v>F275G4T4</v>
      </c>
      <c r="G873" s="14" t="s">
        <v>323</v>
      </c>
    </row>
    <row r="874" spans="1:7">
      <c r="A874">
        <v>27</v>
      </c>
      <c r="B874">
        <v>6</v>
      </c>
      <c r="C874">
        <v>4</v>
      </c>
      <c r="E874">
        <v>4</v>
      </c>
      <c r="F874" t="str">
        <f t="shared" si="13"/>
        <v>F276G4T4</v>
      </c>
      <c r="G874" s="14" t="s">
        <v>323</v>
      </c>
    </row>
    <row r="875" spans="1:7">
      <c r="A875">
        <v>27</v>
      </c>
      <c r="B875">
        <v>7</v>
      </c>
      <c r="C875">
        <v>4</v>
      </c>
      <c r="E875">
        <v>4</v>
      </c>
      <c r="F875" t="str">
        <f t="shared" si="13"/>
        <v>F277G4T4</v>
      </c>
      <c r="G875" s="14" t="s">
        <v>323</v>
      </c>
    </row>
    <row r="876" spans="1:7">
      <c r="A876">
        <v>27</v>
      </c>
      <c r="B876">
        <v>1</v>
      </c>
      <c r="C876">
        <v>5</v>
      </c>
      <c r="E876">
        <v>4</v>
      </c>
      <c r="F876" t="str">
        <f t="shared" si="13"/>
        <v>F271G5T4</v>
      </c>
      <c r="G876" s="14" t="s">
        <v>323</v>
      </c>
    </row>
    <row r="877" spans="1:7">
      <c r="A877">
        <v>27</v>
      </c>
      <c r="B877">
        <v>2</v>
      </c>
      <c r="C877">
        <v>5</v>
      </c>
      <c r="E877">
        <v>4</v>
      </c>
      <c r="F877" t="str">
        <f t="shared" si="13"/>
        <v>F272G5T4</v>
      </c>
      <c r="G877" s="14" t="s">
        <v>323</v>
      </c>
    </row>
    <row r="878" spans="1:7">
      <c r="A878">
        <v>27</v>
      </c>
      <c r="B878">
        <v>4</v>
      </c>
      <c r="C878">
        <v>5</v>
      </c>
      <c r="E878">
        <v>4</v>
      </c>
      <c r="F878" t="str">
        <f t="shared" si="13"/>
        <v>F274G5T4</v>
      </c>
      <c r="G878" s="14" t="s">
        <v>323</v>
      </c>
    </row>
    <row r="879" spans="1:7">
      <c r="A879">
        <v>27</v>
      </c>
      <c r="B879">
        <v>5</v>
      </c>
      <c r="C879">
        <v>5</v>
      </c>
      <c r="E879">
        <v>4</v>
      </c>
      <c r="F879" t="str">
        <f t="shared" si="13"/>
        <v>F275G5T4</v>
      </c>
      <c r="G879" s="14" t="s">
        <v>323</v>
      </c>
    </row>
    <row r="880" spans="1:7">
      <c r="A880">
        <v>27</v>
      </c>
      <c r="B880">
        <v>6</v>
      </c>
      <c r="C880">
        <v>5</v>
      </c>
      <c r="E880">
        <v>4</v>
      </c>
      <c r="F880" t="str">
        <f t="shared" si="13"/>
        <v>F276G5T4</v>
      </c>
      <c r="G880" s="14" t="s">
        <v>323</v>
      </c>
    </row>
    <row r="881" spans="1:7">
      <c r="A881">
        <v>27</v>
      </c>
      <c r="B881">
        <v>7</v>
      </c>
      <c r="C881">
        <v>5</v>
      </c>
      <c r="E881">
        <v>4</v>
      </c>
      <c r="F881" t="str">
        <f t="shared" si="13"/>
        <v>F277G5T4</v>
      </c>
      <c r="G881" s="14" t="s">
        <v>323</v>
      </c>
    </row>
    <row r="882" spans="1:7">
      <c r="A882">
        <v>29</v>
      </c>
      <c r="B882">
        <v>1</v>
      </c>
      <c r="C882">
        <v>3</v>
      </c>
      <c r="E882">
        <v>1</v>
      </c>
      <c r="F882" t="str">
        <f t="shared" si="13"/>
        <v>F291G3T1</v>
      </c>
      <c r="G882" s="14" t="s">
        <v>323</v>
      </c>
    </row>
    <row r="883" spans="1:7">
      <c r="A883">
        <v>29</v>
      </c>
      <c r="B883">
        <v>2</v>
      </c>
      <c r="C883">
        <v>3</v>
      </c>
      <c r="E883">
        <v>1</v>
      </c>
      <c r="F883" t="str">
        <f t="shared" si="13"/>
        <v>F292G3T1</v>
      </c>
      <c r="G883" s="14" t="s">
        <v>323</v>
      </c>
    </row>
    <row r="884" spans="1:7">
      <c r="A884">
        <v>29</v>
      </c>
      <c r="B884">
        <v>4</v>
      </c>
      <c r="C884">
        <v>3</v>
      </c>
      <c r="E884">
        <v>1</v>
      </c>
      <c r="F884" t="str">
        <f t="shared" si="13"/>
        <v>F294G3T1</v>
      </c>
      <c r="G884" s="14" t="s">
        <v>323</v>
      </c>
    </row>
    <row r="885" spans="1:7">
      <c r="A885">
        <v>29</v>
      </c>
      <c r="B885">
        <v>5</v>
      </c>
      <c r="C885">
        <v>3</v>
      </c>
      <c r="E885">
        <v>1</v>
      </c>
      <c r="F885" t="str">
        <f t="shared" si="13"/>
        <v>F295G3T1</v>
      </c>
      <c r="G885" s="14" t="s">
        <v>323</v>
      </c>
    </row>
    <row r="886" spans="1:7">
      <c r="A886">
        <v>29</v>
      </c>
      <c r="B886">
        <v>6</v>
      </c>
      <c r="C886">
        <v>3</v>
      </c>
      <c r="E886">
        <v>1</v>
      </c>
      <c r="F886" t="str">
        <f t="shared" si="13"/>
        <v>F296G3T1</v>
      </c>
      <c r="G886" s="14" t="s">
        <v>323</v>
      </c>
    </row>
    <row r="887" spans="1:7">
      <c r="A887">
        <v>29</v>
      </c>
      <c r="B887">
        <v>7</v>
      </c>
      <c r="C887">
        <v>3</v>
      </c>
      <c r="E887">
        <v>1</v>
      </c>
      <c r="F887" t="str">
        <f t="shared" si="13"/>
        <v>F297G3T1</v>
      </c>
      <c r="G887" s="14" t="s">
        <v>323</v>
      </c>
    </row>
    <row r="888" spans="1:7">
      <c r="A888">
        <v>29</v>
      </c>
      <c r="B888">
        <v>1</v>
      </c>
      <c r="C888">
        <v>4</v>
      </c>
      <c r="E888">
        <v>1</v>
      </c>
      <c r="F888" t="str">
        <f t="shared" si="13"/>
        <v>F291G4T1</v>
      </c>
      <c r="G888" s="14" t="s">
        <v>323</v>
      </c>
    </row>
    <row r="889" spans="1:7">
      <c r="A889">
        <v>29</v>
      </c>
      <c r="B889">
        <v>2</v>
      </c>
      <c r="C889">
        <v>4</v>
      </c>
      <c r="E889">
        <v>1</v>
      </c>
      <c r="F889" t="str">
        <f t="shared" si="13"/>
        <v>F292G4T1</v>
      </c>
      <c r="G889" s="14" t="s">
        <v>323</v>
      </c>
    </row>
    <row r="890" spans="1:7">
      <c r="A890">
        <v>29</v>
      </c>
      <c r="B890">
        <v>4</v>
      </c>
      <c r="C890">
        <v>4</v>
      </c>
      <c r="E890">
        <v>1</v>
      </c>
      <c r="F890" t="str">
        <f t="shared" si="13"/>
        <v>F294G4T1</v>
      </c>
      <c r="G890" s="14" t="s">
        <v>323</v>
      </c>
    </row>
    <row r="891" spans="1:7">
      <c r="A891">
        <v>29</v>
      </c>
      <c r="B891">
        <v>5</v>
      </c>
      <c r="C891">
        <v>4</v>
      </c>
      <c r="E891">
        <v>1</v>
      </c>
      <c r="F891" t="str">
        <f t="shared" si="13"/>
        <v>F295G4T1</v>
      </c>
      <c r="G891" s="14" t="s">
        <v>323</v>
      </c>
    </row>
    <row r="892" spans="1:7">
      <c r="A892">
        <v>29</v>
      </c>
      <c r="B892">
        <v>6</v>
      </c>
      <c r="C892">
        <v>4</v>
      </c>
      <c r="E892">
        <v>1</v>
      </c>
      <c r="F892" t="str">
        <f t="shared" si="13"/>
        <v>F296G4T1</v>
      </c>
      <c r="G892" s="14" t="s">
        <v>323</v>
      </c>
    </row>
    <row r="893" spans="1:7">
      <c r="A893">
        <v>29</v>
      </c>
      <c r="B893">
        <v>7</v>
      </c>
      <c r="C893">
        <v>4</v>
      </c>
      <c r="E893">
        <v>1</v>
      </c>
      <c r="F893" t="str">
        <f t="shared" si="13"/>
        <v>F297G4T1</v>
      </c>
      <c r="G893" s="14" t="s">
        <v>323</v>
      </c>
    </row>
    <row r="894" spans="1:7">
      <c r="A894">
        <v>29</v>
      </c>
      <c r="B894">
        <v>1</v>
      </c>
      <c r="C894">
        <v>5</v>
      </c>
      <c r="E894">
        <v>1</v>
      </c>
      <c r="F894" t="str">
        <f t="shared" si="13"/>
        <v>F291G5T1</v>
      </c>
      <c r="G894" s="14" t="s">
        <v>323</v>
      </c>
    </row>
    <row r="895" spans="1:7">
      <c r="A895">
        <v>29</v>
      </c>
      <c r="B895">
        <v>2</v>
      </c>
      <c r="C895">
        <v>5</v>
      </c>
      <c r="E895">
        <v>1</v>
      </c>
      <c r="F895" t="str">
        <f t="shared" si="13"/>
        <v>F292G5T1</v>
      </c>
      <c r="G895" s="14" t="s">
        <v>323</v>
      </c>
    </row>
    <row r="896" spans="1:7">
      <c r="A896">
        <v>29</v>
      </c>
      <c r="B896">
        <v>4</v>
      </c>
      <c r="C896">
        <v>5</v>
      </c>
      <c r="E896">
        <v>1</v>
      </c>
      <c r="F896" t="str">
        <f t="shared" si="13"/>
        <v>F294G5T1</v>
      </c>
      <c r="G896" s="14" t="s">
        <v>323</v>
      </c>
    </row>
    <row r="897" spans="1:7">
      <c r="A897">
        <v>29</v>
      </c>
      <c r="B897">
        <v>5</v>
      </c>
      <c r="C897">
        <v>5</v>
      </c>
      <c r="E897">
        <v>1</v>
      </c>
      <c r="F897" t="str">
        <f t="shared" si="13"/>
        <v>F295G5T1</v>
      </c>
      <c r="G897" s="14" t="s">
        <v>323</v>
      </c>
    </row>
    <row r="898" spans="1:7">
      <c r="A898">
        <v>29</v>
      </c>
      <c r="B898">
        <v>6</v>
      </c>
      <c r="C898">
        <v>5</v>
      </c>
      <c r="E898">
        <v>1</v>
      </c>
      <c r="F898" t="str">
        <f t="shared" si="13"/>
        <v>F296G5T1</v>
      </c>
      <c r="G898" s="14" t="s">
        <v>323</v>
      </c>
    </row>
    <row r="899" spans="1:7">
      <c r="A899">
        <v>29</v>
      </c>
      <c r="B899">
        <v>7</v>
      </c>
      <c r="C899">
        <v>5</v>
      </c>
      <c r="E899">
        <v>1</v>
      </c>
      <c r="F899" t="str">
        <f t="shared" ref="F899:F962" si="14">CONCATENATE("F",A899,B899,"G",C899,"T",E899)</f>
        <v>F297G5T1</v>
      </c>
      <c r="G899" s="14" t="s">
        <v>323</v>
      </c>
    </row>
    <row r="900" spans="1:7">
      <c r="A900">
        <v>29</v>
      </c>
      <c r="B900">
        <v>1</v>
      </c>
      <c r="C900">
        <v>3</v>
      </c>
      <c r="E900">
        <v>4</v>
      </c>
      <c r="F900" t="str">
        <f t="shared" si="14"/>
        <v>F291G3T4</v>
      </c>
      <c r="G900" s="14" t="s">
        <v>323</v>
      </c>
    </row>
    <row r="901" spans="1:7">
      <c r="A901">
        <v>29</v>
      </c>
      <c r="B901">
        <v>2</v>
      </c>
      <c r="C901">
        <v>3</v>
      </c>
      <c r="E901">
        <v>4</v>
      </c>
      <c r="F901" t="str">
        <f t="shared" si="14"/>
        <v>F292G3T4</v>
      </c>
      <c r="G901" s="14" t="s">
        <v>323</v>
      </c>
    </row>
    <row r="902" spans="1:7">
      <c r="A902">
        <v>29</v>
      </c>
      <c r="B902">
        <v>4</v>
      </c>
      <c r="C902">
        <v>3</v>
      </c>
      <c r="E902">
        <v>4</v>
      </c>
      <c r="F902" t="str">
        <f t="shared" si="14"/>
        <v>F294G3T4</v>
      </c>
      <c r="G902" s="14" t="s">
        <v>323</v>
      </c>
    </row>
    <row r="903" spans="1:7">
      <c r="A903">
        <v>29</v>
      </c>
      <c r="B903">
        <v>5</v>
      </c>
      <c r="C903">
        <v>3</v>
      </c>
      <c r="E903">
        <v>4</v>
      </c>
      <c r="F903" t="str">
        <f t="shared" si="14"/>
        <v>F295G3T4</v>
      </c>
      <c r="G903" s="14" t="s">
        <v>323</v>
      </c>
    </row>
    <row r="904" spans="1:7">
      <c r="A904">
        <v>29</v>
      </c>
      <c r="B904">
        <v>6</v>
      </c>
      <c r="C904">
        <v>3</v>
      </c>
      <c r="E904">
        <v>4</v>
      </c>
      <c r="F904" t="str">
        <f t="shared" si="14"/>
        <v>F296G3T4</v>
      </c>
      <c r="G904" s="14" t="s">
        <v>323</v>
      </c>
    </row>
    <row r="905" spans="1:7">
      <c r="A905">
        <v>29</v>
      </c>
      <c r="B905">
        <v>7</v>
      </c>
      <c r="C905">
        <v>3</v>
      </c>
      <c r="E905">
        <v>4</v>
      </c>
      <c r="F905" t="str">
        <f t="shared" si="14"/>
        <v>F297G3T4</v>
      </c>
      <c r="G905" s="14" t="s">
        <v>323</v>
      </c>
    </row>
    <row r="906" spans="1:7">
      <c r="A906">
        <v>29</v>
      </c>
      <c r="B906">
        <v>1</v>
      </c>
      <c r="C906">
        <v>4</v>
      </c>
      <c r="E906">
        <v>4</v>
      </c>
      <c r="F906" t="str">
        <f t="shared" si="14"/>
        <v>F291G4T4</v>
      </c>
      <c r="G906" s="14" t="s">
        <v>323</v>
      </c>
    </row>
    <row r="907" spans="1:7">
      <c r="A907">
        <v>29</v>
      </c>
      <c r="B907">
        <v>2</v>
      </c>
      <c r="C907">
        <v>4</v>
      </c>
      <c r="E907">
        <v>4</v>
      </c>
      <c r="F907" t="str">
        <f t="shared" si="14"/>
        <v>F292G4T4</v>
      </c>
      <c r="G907" s="14" t="s">
        <v>323</v>
      </c>
    </row>
    <row r="908" spans="1:7">
      <c r="A908">
        <v>29</v>
      </c>
      <c r="B908">
        <v>4</v>
      </c>
      <c r="C908">
        <v>4</v>
      </c>
      <c r="E908">
        <v>4</v>
      </c>
      <c r="F908" t="str">
        <f t="shared" si="14"/>
        <v>F294G4T4</v>
      </c>
      <c r="G908" s="14" t="s">
        <v>323</v>
      </c>
    </row>
    <row r="909" spans="1:7">
      <c r="A909">
        <v>29</v>
      </c>
      <c r="B909">
        <v>5</v>
      </c>
      <c r="C909">
        <v>4</v>
      </c>
      <c r="E909">
        <v>4</v>
      </c>
      <c r="F909" t="str">
        <f t="shared" si="14"/>
        <v>F295G4T4</v>
      </c>
      <c r="G909" s="14" t="s">
        <v>323</v>
      </c>
    </row>
    <row r="910" spans="1:7">
      <c r="A910">
        <v>29</v>
      </c>
      <c r="B910">
        <v>6</v>
      </c>
      <c r="C910">
        <v>4</v>
      </c>
      <c r="E910">
        <v>4</v>
      </c>
      <c r="F910" t="str">
        <f t="shared" si="14"/>
        <v>F296G4T4</v>
      </c>
      <c r="G910" s="14" t="s">
        <v>323</v>
      </c>
    </row>
    <row r="911" spans="1:7">
      <c r="A911">
        <v>29</v>
      </c>
      <c r="B911">
        <v>7</v>
      </c>
      <c r="C911">
        <v>4</v>
      </c>
      <c r="E911">
        <v>4</v>
      </c>
      <c r="F911" t="str">
        <f t="shared" si="14"/>
        <v>F297G4T4</v>
      </c>
      <c r="G911" s="14" t="s">
        <v>323</v>
      </c>
    </row>
    <row r="912" spans="1:7">
      <c r="A912">
        <v>29</v>
      </c>
      <c r="B912">
        <v>1</v>
      </c>
      <c r="C912">
        <v>5</v>
      </c>
      <c r="E912">
        <v>4</v>
      </c>
      <c r="F912" t="str">
        <f t="shared" si="14"/>
        <v>F291G5T4</v>
      </c>
      <c r="G912" s="14" t="s">
        <v>323</v>
      </c>
    </row>
    <row r="913" spans="1:7">
      <c r="A913">
        <v>29</v>
      </c>
      <c r="B913">
        <v>2</v>
      </c>
      <c r="C913">
        <v>5</v>
      </c>
      <c r="E913">
        <v>4</v>
      </c>
      <c r="F913" t="str">
        <f t="shared" si="14"/>
        <v>F292G5T4</v>
      </c>
      <c r="G913" s="14" t="s">
        <v>323</v>
      </c>
    </row>
    <row r="914" spans="1:7">
      <c r="A914">
        <v>29</v>
      </c>
      <c r="B914">
        <v>4</v>
      </c>
      <c r="C914">
        <v>5</v>
      </c>
      <c r="E914">
        <v>4</v>
      </c>
      <c r="F914" t="str">
        <f t="shared" si="14"/>
        <v>F294G5T4</v>
      </c>
      <c r="G914" s="14" t="s">
        <v>323</v>
      </c>
    </row>
    <row r="915" spans="1:7">
      <c r="A915">
        <v>29</v>
      </c>
      <c r="B915">
        <v>5</v>
      </c>
      <c r="C915">
        <v>5</v>
      </c>
      <c r="E915">
        <v>4</v>
      </c>
      <c r="F915" t="str">
        <f t="shared" si="14"/>
        <v>F295G5T4</v>
      </c>
      <c r="G915" s="14" t="s">
        <v>323</v>
      </c>
    </row>
    <row r="916" spans="1:7">
      <c r="A916">
        <v>29</v>
      </c>
      <c r="B916">
        <v>6</v>
      </c>
      <c r="C916">
        <v>5</v>
      </c>
      <c r="E916">
        <v>4</v>
      </c>
      <c r="F916" t="str">
        <f t="shared" si="14"/>
        <v>F296G5T4</v>
      </c>
      <c r="G916" s="14" t="s">
        <v>323</v>
      </c>
    </row>
    <row r="917" spans="1:7">
      <c r="A917">
        <v>29</v>
      </c>
      <c r="B917">
        <v>7</v>
      </c>
      <c r="C917">
        <v>5</v>
      </c>
      <c r="E917">
        <v>4</v>
      </c>
      <c r="F917" t="str">
        <f t="shared" si="14"/>
        <v>F297G5T4</v>
      </c>
      <c r="G917" s="14" t="s">
        <v>323</v>
      </c>
    </row>
    <row r="918" spans="1:7">
      <c r="A918">
        <v>31</v>
      </c>
      <c r="B918">
        <v>1</v>
      </c>
      <c r="C918">
        <v>3</v>
      </c>
      <c r="E918">
        <v>1</v>
      </c>
      <c r="F918" t="str">
        <f t="shared" si="14"/>
        <v>F311G3T1</v>
      </c>
      <c r="G918" s="14" t="s">
        <v>323</v>
      </c>
    </row>
    <row r="919" spans="1:7">
      <c r="A919">
        <v>31</v>
      </c>
      <c r="B919">
        <v>2</v>
      </c>
      <c r="C919">
        <v>3</v>
      </c>
      <c r="E919">
        <v>1</v>
      </c>
      <c r="F919" t="str">
        <f t="shared" si="14"/>
        <v>F312G3T1</v>
      </c>
      <c r="G919" s="14" t="s">
        <v>323</v>
      </c>
    </row>
    <row r="920" spans="1:7">
      <c r="A920">
        <v>31</v>
      </c>
      <c r="B920">
        <v>4</v>
      </c>
      <c r="C920">
        <v>3</v>
      </c>
      <c r="E920">
        <v>1</v>
      </c>
      <c r="F920" t="str">
        <f t="shared" si="14"/>
        <v>F314G3T1</v>
      </c>
      <c r="G920" s="14" t="s">
        <v>323</v>
      </c>
    </row>
    <row r="921" spans="1:7">
      <c r="A921">
        <v>31</v>
      </c>
      <c r="B921">
        <v>5</v>
      </c>
      <c r="C921">
        <v>3</v>
      </c>
      <c r="E921">
        <v>1</v>
      </c>
      <c r="F921" t="str">
        <f t="shared" si="14"/>
        <v>F315G3T1</v>
      </c>
      <c r="G921" s="14" t="s">
        <v>323</v>
      </c>
    </row>
    <row r="922" spans="1:7">
      <c r="A922">
        <v>31</v>
      </c>
      <c r="B922">
        <v>6</v>
      </c>
      <c r="C922">
        <v>3</v>
      </c>
      <c r="E922">
        <v>1</v>
      </c>
      <c r="F922" t="str">
        <f t="shared" si="14"/>
        <v>F316G3T1</v>
      </c>
      <c r="G922" s="14" t="s">
        <v>323</v>
      </c>
    </row>
    <row r="923" spans="1:7">
      <c r="A923">
        <v>31</v>
      </c>
      <c r="B923">
        <v>7</v>
      </c>
      <c r="C923">
        <v>3</v>
      </c>
      <c r="E923">
        <v>1</v>
      </c>
      <c r="F923" t="str">
        <f t="shared" si="14"/>
        <v>F317G3T1</v>
      </c>
      <c r="G923" s="14" t="s">
        <v>323</v>
      </c>
    </row>
    <row r="924" spans="1:7">
      <c r="A924">
        <v>31</v>
      </c>
      <c r="B924">
        <v>1</v>
      </c>
      <c r="C924">
        <v>4</v>
      </c>
      <c r="E924">
        <v>1</v>
      </c>
      <c r="F924" t="str">
        <f t="shared" si="14"/>
        <v>F311G4T1</v>
      </c>
      <c r="G924" s="14" t="s">
        <v>323</v>
      </c>
    </row>
    <row r="925" spans="1:7">
      <c r="A925">
        <v>31</v>
      </c>
      <c r="B925">
        <v>2</v>
      </c>
      <c r="C925">
        <v>4</v>
      </c>
      <c r="E925">
        <v>1</v>
      </c>
      <c r="F925" t="str">
        <f t="shared" si="14"/>
        <v>F312G4T1</v>
      </c>
      <c r="G925" s="14" t="s">
        <v>323</v>
      </c>
    </row>
    <row r="926" spans="1:7">
      <c r="A926">
        <v>31</v>
      </c>
      <c r="B926">
        <v>4</v>
      </c>
      <c r="C926">
        <v>4</v>
      </c>
      <c r="E926">
        <v>1</v>
      </c>
      <c r="F926" t="str">
        <f t="shared" si="14"/>
        <v>F314G4T1</v>
      </c>
      <c r="G926" s="14" t="s">
        <v>323</v>
      </c>
    </row>
    <row r="927" spans="1:7">
      <c r="A927">
        <v>31</v>
      </c>
      <c r="B927">
        <v>5</v>
      </c>
      <c r="C927">
        <v>4</v>
      </c>
      <c r="E927">
        <v>1</v>
      </c>
      <c r="F927" t="str">
        <f t="shared" si="14"/>
        <v>F315G4T1</v>
      </c>
      <c r="G927" s="14" t="s">
        <v>323</v>
      </c>
    </row>
    <row r="928" spans="1:7">
      <c r="A928">
        <v>31</v>
      </c>
      <c r="B928">
        <v>6</v>
      </c>
      <c r="C928">
        <v>4</v>
      </c>
      <c r="E928">
        <v>1</v>
      </c>
      <c r="F928" t="str">
        <f t="shared" si="14"/>
        <v>F316G4T1</v>
      </c>
      <c r="G928" s="14" t="s">
        <v>323</v>
      </c>
    </row>
    <row r="929" spans="1:7">
      <c r="A929">
        <v>31</v>
      </c>
      <c r="B929">
        <v>7</v>
      </c>
      <c r="C929">
        <v>4</v>
      </c>
      <c r="E929">
        <v>1</v>
      </c>
      <c r="F929" t="str">
        <f t="shared" si="14"/>
        <v>F317G4T1</v>
      </c>
      <c r="G929" s="14" t="s">
        <v>323</v>
      </c>
    </row>
    <row r="930" spans="1:7">
      <c r="A930">
        <v>31</v>
      </c>
      <c r="B930">
        <v>1</v>
      </c>
      <c r="C930">
        <v>5</v>
      </c>
      <c r="E930">
        <v>1</v>
      </c>
      <c r="F930" t="str">
        <f t="shared" si="14"/>
        <v>F311G5T1</v>
      </c>
      <c r="G930" s="14" t="s">
        <v>323</v>
      </c>
    </row>
    <row r="931" spans="1:7">
      <c r="A931">
        <v>31</v>
      </c>
      <c r="B931">
        <v>2</v>
      </c>
      <c r="C931">
        <v>5</v>
      </c>
      <c r="E931">
        <v>1</v>
      </c>
      <c r="F931" t="str">
        <f t="shared" si="14"/>
        <v>F312G5T1</v>
      </c>
      <c r="G931" s="14" t="s">
        <v>323</v>
      </c>
    </row>
    <row r="932" spans="1:7">
      <c r="A932">
        <v>31</v>
      </c>
      <c r="B932">
        <v>4</v>
      </c>
      <c r="C932">
        <v>5</v>
      </c>
      <c r="E932">
        <v>1</v>
      </c>
      <c r="F932" t="str">
        <f t="shared" si="14"/>
        <v>F314G5T1</v>
      </c>
      <c r="G932" s="14" t="s">
        <v>323</v>
      </c>
    </row>
    <row r="933" spans="1:7">
      <c r="A933">
        <v>31</v>
      </c>
      <c r="B933">
        <v>5</v>
      </c>
      <c r="C933">
        <v>5</v>
      </c>
      <c r="E933">
        <v>1</v>
      </c>
      <c r="F933" t="str">
        <f t="shared" si="14"/>
        <v>F315G5T1</v>
      </c>
      <c r="G933" s="14" t="s">
        <v>323</v>
      </c>
    </row>
    <row r="934" spans="1:7">
      <c r="A934">
        <v>31</v>
      </c>
      <c r="B934">
        <v>6</v>
      </c>
      <c r="C934">
        <v>5</v>
      </c>
      <c r="E934">
        <v>1</v>
      </c>
      <c r="F934" t="str">
        <f t="shared" si="14"/>
        <v>F316G5T1</v>
      </c>
      <c r="G934" s="14" t="s">
        <v>323</v>
      </c>
    </row>
    <row r="935" spans="1:7">
      <c r="A935">
        <v>31</v>
      </c>
      <c r="B935">
        <v>7</v>
      </c>
      <c r="C935">
        <v>5</v>
      </c>
      <c r="E935">
        <v>1</v>
      </c>
      <c r="F935" t="str">
        <f t="shared" si="14"/>
        <v>F317G5T1</v>
      </c>
      <c r="G935" s="14" t="s">
        <v>323</v>
      </c>
    </row>
    <row r="936" spans="1:7">
      <c r="A936">
        <v>31</v>
      </c>
      <c r="B936">
        <v>1</v>
      </c>
      <c r="C936">
        <v>3</v>
      </c>
      <c r="E936">
        <v>4</v>
      </c>
      <c r="F936" t="str">
        <f t="shared" si="14"/>
        <v>F311G3T4</v>
      </c>
      <c r="G936" s="14" t="s">
        <v>323</v>
      </c>
    </row>
    <row r="937" spans="1:7">
      <c r="A937">
        <v>31</v>
      </c>
      <c r="B937">
        <v>2</v>
      </c>
      <c r="C937">
        <v>3</v>
      </c>
      <c r="E937">
        <v>4</v>
      </c>
      <c r="F937" t="str">
        <f t="shared" si="14"/>
        <v>F312G3T4</v>
      </c>
      <c r="G937" s="14" t="s">
        <v>323</v>
      </c>
    </row>
    <row r="938" spans="1:7">
      <c r="A938">
        <v>31</v>
      </c>
      <c r="B938">
        <v>4</v>
      </c>
      <c r="C938">
        <v>3</v>
      </c>
      <c r="E938">
        <v>4</v>
      </c>
      <c r="F938" t="str">
        <f t="shared" si="14"/>
        <v>F314G3T4</v>
      </c>
      <c r="G938" s="14" t="s">
        <v>323</v>
      </c>
    </row>
    <row r="939" spans="1:7">
      <c r="A939">
        <v>31</v>
      </c>
      <c r="B939">
        <v>5</v>
      </c>
      <c r="C939">
        <v>3</v>
      </c>
      <c r="E939">
        <v>4</v>
      </c>
      <c r="F939" t="str">
        <f t="shared" si="14"/>
        <v>F315G3T4</v>
      </c>
      <c r="G939" s="14" t="s">
        <v>323</v>
      </c>
    </row>
    <row r="940" spans="1:7">
      <c r="A940">
        <v>31</v>
      </c>
      <c r="B940">
        <v>6</v>
      </c>
      <c r="C940">
        <v>3</v>
      </c>
      <c r="E940">
        <v>4</v>
      </c>
      <c r="F940" t="str">
        <f t="shared" si="14"/>
        <v>F316G3T4</v>
      </c>
      <c r="G940" s="14" t="s">
        <v>323</v>
      </c>
    </row>
    <row r="941" spans="1:7">
      <c r="A941">
        <v>31</v>
      </c>
      <c r="B941">
        <v>7</v>
      </c>
      <c r="C941">
        <v>3</v>
      </c>
      <c r="E941">
        <v>4</v>
      </c>
      <c r="F941" t="str">
        <f t="shared" si="14"/>
        <v>F317G3T4</v>
      </c>
      <c r="G941" s="14" t="s">
        <v>323</v>
      </c>
    </row>
    <row r="942" spans="1:7">
      <c r="A942">
        <v>31</v>
      </c>
      <c r="B942">
        <v>1</v>
      </c>
      <c r="C942">
        <v>4</v>
      </c>
      <c r="E942">
        <v>4</v>
      </c>
      <c r="F942" t="str">
        <f t="shared" si="14"/>
        <v>F311G4T4</v>
      </c>
      <c r="G942" s="14" t="s">
        <v>323</v>
      </c>
    </row>
    <row r="943" spans="1:7">
      <c r="A943">
        <v>31</v>
      </c>
      <c r="B943">
        <v>2</v>
      </c>
      <c r="C943">
        <v>4</v>
      </c>
      <c r="E943">
        <v>4</v>
      </c>
      <c r="F943" t="str">
        <f t="shared" si="14"/>
        <v>F312G4T4</v>
      </c>
      <c r="G943" s="14" t="s">
        <v>323</v>
      </c>
    </row>
    <row r="944" spans="1:7">
      <c r="A944">
        <v>31</v>
      </c>
      <c r="B944">
        <v>4</v>
      </c>
      <c r="C944">
        <v>4</v>
      </c>
      <c r="E944">
        <v>4</v>
      </c>
      <c r="F944" t="str">
        <f t="shared" si="14"/>
        <v>F314G4T4</v>
      </c>
      <c r="G944" s="14" t="s">
        <v>323</v>
      </c>
    </row>
    <row r="945" spans="1:7">
      <c r="A945">
        <v>31</v>
      </c>
      <c r="B945">
        <v>5</v>
      </c>
      <c r="C945">
        <v>4</v>
      </c>
      <c r="E945">
        <v>4</v>
      </c>
      <c r="F945" t="str">
        <f t="shared" si="14"/>
        <v>F315G4T4</v>
      </c>
      <c r="G945" s="14" t="s">
        <v>323</v>
      </c>
    </row>
    <row r="946" spans="1:7">
      <c r="A946">
        <v>31</v>
      </c>
      <c r="B946">
        <v>6</v>
      </c>
      <c r="C946">
        <v>4</v>
      </c>
      <c r="E946">
        <v>4</v>
      </c>
      <c r="F946" t="str">
        <f t="shared" si="14"/>
        <v>F316G4T4</v>
      </c>
      <c r="G946" s="14" t="s">
        <v>323</v>
      </c>
    </row>
    <row r="947" spans="1:7">
      <c r="A947">
        <v>31</v>
      </c>
      <c r="B947">
        <v>7</v>
      </c>
      <c r="C947">
        <v>4</v>
      </c>
      <c r="E947">
        <v>4</v>
      </c>
      <c r="F947" t="str">
        <f t="shared" si="14"/>
        <v>F317G4T4</v>
      </c>
      <c r="G947" s="14" t="s">
        <v>323</v>
      </c>
    </row>
    <row r="948" spans="1:7">
      <c r="A948">
        <v>31</v>
      </c>
      <c r="B948">
        <v>1</v>
      </c>
      <c r="C948">
        <v>5</v>
      </c>
      <c r="E948">
        <v>4</v>
      </c>
      <c r="F948" t="str">
        <f t="shared" si="14"/>
        <v>F311G5T4</v>
      </c>
      <c r="G948" s="14" t="s">
        <v>323</v>
      </c>
    </row>
    <row r="949" spans="1:7">
      <c r="A949">
        <v>31</v>
      </c>
      <c r="B949">
        <v>2</v>
      </c>
      <c r="C949">
        <v>5</v>
      </c>
      <c r="E949">
        <v>4</v>
      </c>
      <c r="F949" t="str">
        <f t="shared" si="14"/>
        <v>F312G5T4</v>
      </c>
      <c r="G949" s="14" t="s">
        <v>323</v>
      </c>
    </row>
    <row r="950" spans="1:7">
      <c r="A950">
        <v>31</v>
      </c>
      <c r="B950">
        <v>4</v>
      </c>
      <c r="C950">
        <v>5</v>
      </c>
      <c r="E950">
        <v>4</v>
      </c>
      <c r="F950" t="str">
        <f t="shared" si="14"/>
        <v>F314G5T4</v>
      </c>
      <c r="G950" s="14" t="s">
        <v>323</v>
      </c>
    </row>
    <row r="951" spans="1:7">
      <c r="A951">
        <v>31</v>
      </c>
      <c r="B951">
        <v>5</v>
      </c>
      <c r="C951">
        <v>5</v>
      </c>
      <c r="E951">
        <v>4</v>
      </c>
      <c r="F951" t="str">
        <f t="shared" si="14"/>
        <v>F315G5T4</v>
      </c>
      <c r="G951" s="14" t="s">
        <v>323</v>
      </c>
    </row>
    <row r="952" spans="1:7">
      <c r="A952">
        <v>31</v>
      </c>
      <c r="B952">
        <v>6</v>
      </c>
      <c r="C952">
        <v>5</v>
      </c>
      <c r="E952">
        <v>4</v>
      </c>
      <c r="F952" t="str">
        <f t="shared" si="14"/>
        <v>F316G5T4</v>
      </c>
      <c r="G952" s="14" t="s">
        <v>323</v>
      </c>
    </row>
    <row r="953" spans="1:7">
      <c r="A953">
        <v>31</v>
      </c>
      <c r="B953">
        <v>7</v>
      </c>
      <c r="C953">
        <v>5</v>
      </c>
      <c r="E953">
        <v>4</v>
      </c>
      <c r="F953" t="str">
        <f t="shared" si="14"/>
        <v>F317G5T4</v>
      </c>
      <c r="G953" s="14" t="s">
        <v>323</v>
      </c>
    </row>
    <row r="954" spans="1:7">
      <c r="A954">
        <v>32</v>
      </c>
      <c r="B954">
        <v>1</v>
      </c>
      <c r="C954">
        <v>3</v>
      </c>
      <c r="E954">
        <v>1</v>
      </c>
      <c r="F954" t="str">
        <f t="shared" si="14"/>
        <v>F321G3T1</v>
      </c>
      <c r="G954" s="14" t="s">
        <v>323</v>
      </c>
    </row>
    <row r="955" spans="1:7">
      <c r="A955">
        <v>32</v>
      </c>
      <c r="B955">
        <v>2</v>
      </c>
      <c r="C955">
        <v>3</v>
      </c>
      <c r="E955">
        <v>1</v>
      </c>
      <c r="F955" t="str">
        <f t="shared" si="14"/>
        <v>F322G3T1</v>
      </c>
      <c r="G955" s="14" t="s">
        <v>323</v>
      </c>
    </row>
    <row r="956" spans="1:7">
      <c r="A956">
        <v>32</v>
      </c>
      <c r="B956">
        <v>4</v>
      </c>
      <c r="C956">
        <v>3</v>
      </c>
      <c r="E956">
        <v>1</v>
      </c>
      <c r="F956" t="str">
        <f t="shared" si="14"/>
        <v>F324G3T1</v>
      </c>
      <c r="G956" s="14" t="s">
        <v>323</v>
      </c>
    </row>
    <row r="957" spans="1:7">
      <c r="A957">
        <v>32</v>
      </c>
      <c r="B957">
        <v>5</v>
      </c>
      <c r="C957">
        <v>3</v>
      </c>
      <c r="E957">
        <v>1</v>
      </c>
      <c r="F957" t="str">
        <f t="shared" si="14"/>
        <v>F325G3T1</v>
      </c>
      <c r="G957" s="14" t="s">
        <v>323</v>
      </c>
    </row>
    <row r="958" spans="1:7">
      <c r="A958">
        <v>32</v>
      </c>
      <c r="B958">
        <v>6</v>
      </c>
      <c r="C958">
        <v>3</v>
      </c>
      <c r="E958">
        <v>1</v>
      </c>
      <c r="F958" t="str">
        <f t="shared" si="14"/>
        <v>F326G3T1</v>
      </c>
      <c r="G958" s="14" t="s">
        <v>323</v>
      </c>
    </row>
    <row r="959" spans="1:7">
      <c r="A959">
        <v>32</v>
      </c>
      <c r="B959">
        <v>7</v>
      </c>
      <c r="C959">
        <v>3</v>
      </c>
      <c r="E959">
        <v>1</v>
      </c>
      <c r="F959" t="str">
        <f t="shared" si="14"/>
        <v>F327G3T1</v>
      </c>
      <c r="G959" s="14" t="s">
        <v>323</v>
      </c>
    </row>
    <row r="960" spans="1:7">
      <c r="A960">
        <v>32</v>
      </c>
      <c r="B960">
        <v>1</v>
      </c>
      <c r="C960">
        <v>4</v>
      </c>
      <c r="E960">
        <v>1</v>
      </c>
      <c r="F960" t="str">
        <f t="shared" si="14"/>
        <v>F321G4T1</v>
      </c>
      <c r="G960" s="14" t="s">
        <v>323</v>
      </c>
    </row>
    <row r="961" spans="1:7">
      <c r="A961">
        <v>32</v>
      </c>
      <c r="B961">
        <v>2</v>
      </c>
      <c r="C961">
        <v>4</v>
      </c>
      <c r="E961">
        <v>1</v>
      </c>
      <c r="F961" t="str">
        <f t="shared" si="14"/>
        <v>F322G4T1</v>
      </c>
      <c r="G961" s="14" t="s">
        <v>323</v>
      </c>
    </row>
    <row r="962" spans="1:7">
      <c r="A962">
        <v>32</v>
      </c>
      <c r="B962">
        <v>4</v>
      </c>
      <c r="C962">
        <v>4</v>
      </c>
      <c r="E962">
        <v>1</v>
      </c>
      <c r="F962" t="str">
        <f t="shared" si="14"/>
        <v>F324G4T1</v>
      </c>
      <c r="G962" s="14" t="s">
        <v>323</v>
      </c>
    </row>
    <row r="963" spans="1:7">
      <c r="A963">
        <v>32</v>
      </c>
      <c r="B963">
        <v>5</v>
      </c>
      <c r="C963">
        <v>4</v>
      </c>
      <c r="E963">
        <v>1</v>
      </c>
      <c r="F963" t="str">
        <f t="shared" ref="F963:F1026" si="15">CONCATENATE("F",A963,B963,"G",C963,"T",E963)</f>
        <v>F325G4T1</v>
      </c>
      <c r="G963" s="14" t="s">
        <v>323</v>
      </c>
    </row>
    <row r="964" spans="1:7">
      <c r="A964">
        <v>32</v>
      </c>
      <c r="B964">
        <v>6</v>
      </c>
      <c r="C964">
        <v>4</v>
      </c>
      <c r="E964">
        <v>1</v>
      </c>
      <c r="F964" t="str">
        <f t="shared" si="15"/>
        <v>F326G4T1</v>
      </c>
      <c r="G964" s="14" t="s">
        <v>323</v>
      </c>
    </row>
    <row r="965" spans="1:7">
      <c r="A965">
        <v>32</v>
      </c>
      <c r="B965">
        <v>7</v>
      </c>
      <c r="C965">
        <v>4</v>
      </c>
      <c r="E965">
        <v>1</v>
      </c>
      <c r="F965" t="str">
        <f t="shared" si="15"/>
        <v>F327G4T1</v>
      </c>
      <c r="G965" s="14" t="s">
        <v>323</v>
      </c>
    </row>
    <row r="966" spans="1:7">
      <c r="A966">
        <v>32</v>
      </c>
      <c r="B966">
        <v>1</v>
      </c>
      <c r="C966">
        <v>5</v>
      </c>
      <c r="E966">
        <v>1</v>
      </c>
      <c r="F966" t="str">
        <f t="shared" si="15"/>
        <v>F321G5T1</v>
      </c>
      <c r="G966" s="14" t="s">
        <v>323</v>
      </c>
    </row>
    <row r="967" spans="1:7">
      <c r="A967">
        <v>32</v>
      </c>
      <c r="B967">
        <v>2</v>
      </c>
      <c r="C967">
        <v>5</v>
      </c>
      <c r="E967">
        <v>1</v>
      </c>
      <c r="F967" t="str">
        <f t="shared" si="15"/>
        <v>F322G5T1</v>
      </c>
      <c r="G967" s="14" t="s">
        <v>323</v>
      </c>
    </row>
    <row r="968" spans="1:7">
      <c r="A968">
        <v>32</v>
      </c>
      <c r="B968">
        <v>4</v>
      </c>
      <c r="C968">
        <v>5</v>
      </c>
      <c r="E968">
        <v>1</v>
      </c>
      <c r="F968" t="str">
        <f t="shared" si="15"/>
        <v>F324G5T1</v>
      </c>
      <c r="G968" s="14" t="s">
        <v>323</v>
      </c>
    </row>
    <row r="969" spans="1:7">
      <c r="A969">
        <v>32</v>
      </c>
      <c r="B969">
        <v>5</v>
      </c>
      <c r="C969">
        <v>5</v>
      </c>
      <c r="E969">
        <v>1</v>
      </c>
      <c r="F969" t="str">
        <f t="shared" si="15"/>
        <v>F325G5T1</v>
      </c>
      <c r="G969" s="14" t="s">
        <v>323</v>
      </c>
    </row>
    <row r="970" spans="1:7">
      <c r="A970">
        <v>32</v>
      </c>
      <c r="B970">
        <v>6</v>
      </c>
      <c r="C970">
        <v>5</v>
      </c>
      <c r="E970">
        <v>1</v>
      </c>
      <c r="F970" t="str">
        <f t="shared" si="15"/>
        <v>F326G5T1</v>
      </c>
      <c r="G970" s="14" t="s">
        <v>323</v>
      </c>
    </row>
    <row r="971" spans="1:7">
      <c r="A971">
        <v>32</v>
      </c>
      <c r="B971">
        <v>7</v>
      </c>
      <c r="C971">
        <v>5</v>
      </c>
      <c r="E971">
        <v>1</v>
      </c>
      <c r="F971" t="str">
        <f t="shared" si="15"/>
        <v>F327G5T1</v>
      </c>
      <c r="G971" s="14" t="s">
        <v>323</v>
      </c>
    </row>
    <row r="972" spans="1:7">
      <c r="A972">
        <v>32</v>
      </c>
      <c r="B972">
        <v>1</v>
      </c>
      <c r="C972">
        <v>3</v>
      </c>
      <c r="E972">
        <v>4</v>
      </c>
      <c r="F972" t="str">
        <f t="shared" si="15"/>
        <v>F321G3T4</v>
      </c>
      <c r="G972" s="14" t="s">
        <v>323</v>
      </c>
    </row>
    <row r="973" spans="1:7">
      <c r="A973">
        <v>32</v>
      </c>
      <c r="B973">
        <v>2</v>
      </c>
      <c r="C973">
        <v>3</v>
      </c>
      <c r="E973">
        <v>4</v>
      </c>
      <c r="F973" t="str">
        <f t="shared" si="15"/>
        <v>F322G3T4</v>
      </c>
      <c r="G973" s="14" t="s">
        <v>323</v>
      </c>
    </row>
    <row r="974" spans="1:7">
      <c r="A974">
        <v>32</v>
      </c>
      <c r="B974">
        <v>4</v>
      </c>
      <c r="C974">
        <v>3</v>
      </c>
      <c r="E974">
        <v>4</v>
      </c>
      <c r="F974" t="str">
        <f t="shared" si="15"/>
        <v>F324G3T4</v>
      </c>
      <c r="G974" s="14" t="s">
        <v>323</v>
      </c>
    </row>
    <row r="975" spans="1:7">
      <c r="A975">
        <v>32</v>
      </c>
      <c r="B975">
        <v>5</v>
      </c>
      <c r="C975">
        <v>3</v>
      </c>
      <c r="E975">
        <v>4</v>
      </c>
      <c r="F975" t="str">
        <f t="shared" si="15"/>
        <v>F325G3T4</v>
      </c>
      <c r="G975" s="14" t="s">
        <v>323</v>
      </c>
    </row>
    <row r="976" spans="1:7">
      <c r="A976">
        <v>32</v>
      </c>
      <c r="B976">
        <v>6</v>
      </c>
      <c r="C976">
        <v>3</v>
      </c>
      <c r="E976">
        <v>4</v>
      </c>
      <c r="F976" t="str">
        <f t="shared" si="15"/>
        <v>F326G3T4</v>
      </c>
      <c r="G976" s="14" t="s">
        <v>323</v>
      </c>
    </row>
    <row r="977" spans="1:7">
      <c r="A977">
        <v>32</v>
      </c>
      <c r="B977">
        <v>7</v>
      </c>
      <c r="C977">
        <v>3</v>
      </c>
      <c r="E977">
        <v>4</v>
      </c>
      <c r="F977" t="str">
        <f t="shared" si="15"/>
        <v>F327G3T4</v>
      </c>
      <c r="G977" s="14" t="s">
        <v>323</v>
      </c>
    </row>
    <row r="978" spans="1:7">
      <c r="A978">
        <v>32</v>
      </c>
      <c r="B978">
        <v>1</v>
      </c>
      <c r="C978">
        <v>4</v>
      </c>
      <c r="E978">
        <v>4</v>
      </c>
      <c r="F978" t="str">
        <f t="shared" si="15"/>
        <v>F321G4T4</v>
      </c>
      <c r="G978" s="14" t="s">
        <v>323</v>
      </c>
    </row>
    <row r="979" spans="1:7">
      <c r="A979">
        <v>32</v>
      </c>
      <c r="B979">
        <v>2</v>
      </c>
      <c r="C979">
        <v>4</v>
      </c>
      <c r="E979">
        <v>4</v>
      </c>
      <c r="F979" t="str">
        <f t="shared" si="15"/>
        <v>F322G4T4</v>
      </c>
      <c r="G979" s="14" t="s">
        <v>323</v>
      </c>
    </row>
    <row r="980" spans="1:7">
      <c r="A980">
        <v>32</v>
      </c>
      <c r="B980">
        <v>4</v>
      </c>
      <c r="C980">
        <v>4</v>
      </c>
      <c r="E980">
        <v>4</v>
      </c>
      <c r="F980" t="str">
        <f t="shared" si="15"/>
        <v>F324G4T4</v>
      </c>
      <c r="G980" s="14" t="s">
        <v>323</v>
      </c>
    </row>
    <row r="981" spans="1:7">
      <c r="A981">
        <v>32</v>
      </c>
      <c r="B981">
        <v>5</v>
      </c>
      <c r="C981">
        <v>4</v>
      </c>
      <c r="E981">
        <v>4</v>
      </c>
      <c r="F981" t="str">
        <f t="shared" si="15"/>
        <v>F325G4T4</v>
      </c>
      <c r="G981" s="14" t="s">
        <v>323</v>
      </c>
    </row>
    <row r="982" spans="1:7">
      <c r="A982">
        <v>32</v>
      </c>
      <c r="B982">
        <v>6</v>
      </c>
      <c r="C982">
        <v>4</v>
      </c>
      <c r="E982">
        <v>4</v>
      </c>
      <c r="F982" t="str">
        <f t="shared" si="15"/>
        <v>F326G4T4</v>
      </c>
      <c r="G982" s="14" t="s">
        <v>323</v>
      </c>
    </row>
    <row r="983" spans="1:7">
      <c r="A983">
        <v>32</v>
      </c>
      <c r="B983">
        <v>7</v>
      </c>
      <c r="C983">
        <v>4</v>
      </c>
      <c r="E983">
        <v>4</v>
      </c>
      <c r="F983" t="str">
        <f t="shared" si="15"/>
        <v>F327G4T4</v>
      </c>
      <c r="G983" s="14" t="s">
        <v>323</v>
      </c>
    </row>
    <row r="984" spans="1:7">
      <c r="A984">
        <v>32</v>
      </c>
      <c r="B984">
        <v>1</v>
      </c>
      <c r="C984">
        <v>5</v>
      </c>
      <c r="E984">
        <v>4</v>
      </c>
      <c r="F984" t="str">
        <f t="shared" si="15"/>
        <v>F321G5T4</v>
      </c>
      <c r="G984" s="14" t="s">
        <v>323</v>
      </c>
    </row>
    <row r="985" spans="1:7">
      <c r="A985">
        <v>32</v>
      </c>
      <c r="B985">
        <v>2</v>
      </c>
      <c r="C985">
        <v>5</v>
      </c>
      <c r="E985">
        <v>4</v>
      </c>
      <c r="F985" t="str">
        <f t="shared" si="15"/>
        <v>F322G5T4</v>
      </c>
      <c r="G985" s="14" t="s">
        <v>323</v>
      </c>
    </row>
    <row r="986" spans="1:7">
      <c r="A986">
        <v>32</v>
      </c>
      <c r="B986">
        <v>4</v>
      </c>
      <c r="C986">
        <v>5</v>
      </c>
      <c r="E986">
        <v>4</v>
      </c>
      <c r="F986" t="str">
        <f t="shared" si="15"/>
        <v>F324G5T4</v>
      </c>
      <c r="G986" s="14" t="s">
        <v>323</v>
      </c>
    </row>
    <row r="987" spans="1:7">
      <c r="A987">
        <v>32</v>
      </c>
      <c r="B987">
        <v>5</v>
      </c>
      <c r="C987">
        <v>5</v>
      </c>
      <c r="E987">
        <v>4</v>
      </c>
      <c r="F987" t="str">
        <f t="shared" si="15"/>
        <v>F325G5T4</v>
      </c>
      <c r="G987" s="14" t="s">
        <v>323</v>
      </c>
    </row>
    <row r="988" spans="1:7">
      <c r="A988">
        <v>32</v>
      </c>
      <c r="B988">
        <v>6</v>
      </c>
      <c r="C988">
        <v>5</v>
      </c>
      <c r="E988">
        <v>4</v>
      </c>
      <c r="F988" t="str">
        <f t="shared" si="15"/>
        <v>F326G5T4</v>
      </c>
      <c r="G988" s="14" t="s">
        <v>323</v>
      </c>
    </row>
    <row r="989" spans="1:7">
      <c r="A989">
        <v>32</v>
      </c>
      <c r="B989">
        <v>7</v>
      </c>
      <c r="C989">
        <v>5</v>
      </c>
      <c r="E989">
        <v>4</v>
      </c>
      <c r="F989" t="str">
        <f t="shared" si="15"/>
        <v>F327G5T4</v>
      </c>
      <c r="G989" s="14" t="s">
        <v>323</v>
      </c>
    </row>
    <row r="990" spans="1:7">
      <c r="A990">
        <v>33</v>
      </c>
      <c r="B990">
        <v>1</v>
      </c>
      <c r="C990">
        <v>3</v>
      </c>
      <c r="E990">
        <v>1</v>
      </c>
      <c r="F990" t="str">
        <f t="shared" si="15"/>
        <v>F331G3T1</v>
      </c>
      <c r="G990" s="14" t="s">
        <v>323</v>
      </c>
    </row>
    <row r="991" spans="1:7">
      <c r="A991">
        <v>33</v>
      </c>
      <c r="B991">
        <v>2</v>
      </c>
      <c r="C991">
        <v>3</v>
      </c>
      <c r="E991">
        <v>1</v>
      </c>
      <c r="F991" t="str">
        <f t="shared" si="15"/>
        <v>F332G3T1</v>
      </c>
      <c r="G991" s="14" t="s">
        <v>323</v>
      </c>
    </row>
    <row r="992" spans="1:7">
      <c r="A992">
        <v>33</v>
      </c>
      <c r="B992">
        <v>4</v>
      </c>
      <c r="C992">
        <v>3</v>
      </c>
      <c r="E992">
        <v>1</v>
      </c>
      <c r="F992" t="str">
        <f t="shared" si="15"/>
        <v>F334G3T1</v>
      </c>
      <c r="G992" s="14" t="s">
        <v>323</v>
      </c>
    </row>
    <row r="993" spans="1:7">
      <c r="A993">
        <v>33</v>
      </c>
      <c r="B993">
        <v>5</v>
      </c>
      <c r="C993">
        <v>3</v>
      </c>
      <c r="E993">
        <v>1</v>
      </c>
      <c r="F993" t="str">
        <f t="shared" si="15"/>
        <v>F335G3T1</v>
      </c>
      <c r="G993" s="14" t="s">
        <v>323</v>
      </c>
    </row>
    <row r="994" spans="1:7">
      <c r="A994">
        <v>33</v>
      </c>
      <c r="B994">
        <v>6</v>
      </c>
      <c r="C994">
        <v>3</v>
      </c>
      <c r="E994">
        <v>1</v>
      </c>
      <c r="F994" t="str">
        <f t="shared" si="15"/>
        <v>F336G3T1</v>
      </c>
      <c r="G994" s="14" t="s">
        <v>323</v>
      </c>
    </row>
    <row r="995" spans="1:7">
      <c r="A995">
        <v>33</v>
      </c>
      <c r="B995">
        <v>7</v>
      </c>
      <c r="C995">
        <v>3</v>
      </c>
      <c r="E995">
        <v>1</v>
      </c>
      <c r="F995" t="str">
        <f t="shared" si="15"/>
        <v>F337G3T1</v>
      </c>
      <c r="G995" s="14" t="s">
        <v>323</v>
      </c>
    </row>
    <row r="996" spans="1:7">
      <c r="A996">
        <v>33</v>
      </c>
      <c r="B996">
        <v>1</v>
      </c>
      <c r="C996">
        <v>4</v>
      </c>
      <c r="E996">
        <v>1</v>
      </c>
      <c r="F996" t="str">
        <f t="shared" si="15"/>
        <v>F331G4T1</v>
      </c>
      <c r="G996" s="14" t="s">
        <v>323</v>
      </c>
    </row>
    <row r="997" spans="1:7">
      <c r="A997">
        <v>33</v>
      </c>
      <c r="B997">
        <v>2</v>
      </c>
      <c r="C997">
        <v>4</v>
      </c>
      <c r="E997">
        <v>1</v>
      </c>
      <c r="F997" t="str">
        <f t="shared" si="15"/>
        <v>F332G4T1</v>
      </c>
      <c r="G997" s="14" t="s">
        <v>323</v>
      </c>
    </row>
    <row r="998" spans="1:7">
      <c r="A998">
        <v>33</v>
      </c>
      <c r="B998">
        <v>4</v>
      </c>
      <c r="C998">
        <v>4</v>
      </c>
      <c r="E998">
        <v>1</v>
      </c>
      <c r="F998" t="str">
        <f t="shared" si="15"/>
        <v>F334G4T1</v>
      </c>
      <c r="G998" s="14" t="s">
        <v>323</v>
      </c>
    </row>
    <row r="999" spans="1:7">
      <c r="A999">
        <v>33</v>
      </c>
      <c r="B999">
        <v>5</v>
      </c>
      <c r="C999">
        <v>4</v>
      </c>
      <c r="E999">
        <v>1</v>
      </c>
      <c r="F999" t="str">
        <f t="shared" si="15"/>
        <v>F335G4T1</v>
      </c>
      <c r="G999" s="14" t="s">
        <v>323</v>
      </c>
    </row>
    <row r="1000" spans="1:7">
      <c r="A1000">
        <v>33</v>
      </c>
      <c r="B1000">
        <v>6</v>
      </c>
      <c r="C1000">
        <v>4</v>
      </c>
      <c r="E1000">
        <v>1</v>
      </c>
      <c r="F1000" t="str">
        <f t="shared" si="15"/>
        <v>F336G4T1</v>
      </c>
      <c r="G1000" s="14" t="s">
        <v>323</v>
      </c>
    </row>
    <row r="1001" spans="1:7">
      <c r="A1001">
        <v>33</v>
      </c>
      <c r="B1001">
        <v>7</v>
      </c>
      <c r="C1001">
        <v>4</v>
      </c>
      <c r="E1001">
        <v>1</v>
      </c>
      <c r="F1001" t="str">
        <f t="shared" si="15"/>
        <v>F337G4T1</v>
      </c>
      <c r="G1001" s="14" t="s">
        <v>323</v>
      </c>
    </row>
    <row r="1002" spans="1:7">
      <c r="A1002">
        <v>33</v>
      </c>
      <c r="B1002">
        <v>1</v>
      </c>
      <c r="C1002">
        <v>5</v>
      </c>
      <c r="E1002">
        <v>1</v>
      </c>
      <c r="F1002" t="str">
        <f t="shared" si="15"/>
        <v>F331G5T1</v>
      </c>
      <c r="G1002" s="14" t="s">
        <v>323</v>
      </c>
    </row>
    <row r="1003" spans="1:7">
      <c r="A1003">
        <v>33</v>
      </c>
      <c r="B1003">
        <v>2</v>
      </c>
      <c r="C1003">
        <v>5</v>
      </c>
      <c r="E1003">
        <v>1</v>
      </c>
      <c r="F1003" t="str">
        <f t="shared" si="15"/>
        <v>F332G5T1</v>
      </c>
      <c r="G1003" s="14" t="s">
        <v>323</v>
      </c>
    </row>
    <row r="1004" spans="1:7">
      <c r="A1004">
        <v>33</v>
      </c>
      <c r="B1004">
        <v>4</v>
      </c>
      <c r="C1004">
        <v>5</v>
      </c>
      <c r="E1004">
        <v>1</v>
      </c>
      <c r="F1004" t="str">
        <f t="shared" si="15"/>
        <v>F334G5T1</v>
      </c>
      <c r="G1004" s="14" t="s">
        <v>323</v>
      </c>
    </row>
    <row r="1005" spans="1:7">
      <c r="A1005">
        <v>33</v>
      </c>
      <c r="B1005">
        <v>5</v>
      </c>
      <c r="C1005">
        <v>5</v>
      </c>
      <c r="E1005">
        <v>1</v>
      </c>
      <c r="F1005" t="str">
        <f t="shared" si="15"/>
        <v>F335G5T1</v>
      </c>
      <c r="G1005" s="14" t="s">
        <v>323</v>
      </c>
    </row>
    <row r="1006" spans="1:7">
      <c r="A1006">
        <v>33</v>
      </c>
      <c r="B1006">
        <v>6</v>
      </c>
      <c r="C1006">
        <v>5</v>
      </c>
      <c r="E1006">
        <v>1</v>
      </c>
      <c r="F1006" t="str">
        <f t="shared" si="15"/>
        <v>F336G5T1</v>
      </c>
      <c r="G1006" s="14" t="s">
        <v>323</v>
      </c>
    </row>
    <row r="1007" spans="1:7">
      <c r="A1007">
        <v>33</v>
      </c>
      <c r="B1007">
        <v>7</v>
      </c>
      <c r="C1007">
        <v>5</v>
      </c>
      <c r="E1007">
        <v>1</v>
      </c>
      <c r="F1007" t="str">
        <f t="shared" si="15"/>
        <v>F337G5T1</v>
      </c>
      <c r="G1007" s="14" t="s">
        <v>323</v>
      </c>
    </row>
    <row r="1008" spans="1:7">
      <c r="A1008">
        <v>33</v>
      </c>
      <c r="B1008">
        <v>1</v>
      </c>
      <c r="C1008">
        <v>3</v>
      </c>
      <c r="E1008">
        <v>4</v>
      </c>
      <c r="F1008" t="str">
        <f t="shared" si="15"/>
        <v>F331G3T4</v>
      </c>
      <c r="G1008" s="14" t="s">
        <v>323</v>
      </c>
    </row>
    <row r="1009" spans="1:7">
      <c r="A1009">
        <v>33</v>
      </c>
      <c r="B1009">
        <v>2</v>
      </c>
      <c r="C1009">
        <v>3</v>
      </c>
      <c r="E1009">
        <v>4</v>
      </c>
      <c r="F1009" t="str">
        <f t="shared" si="15"/>
        <v>F332G3T4</v>
      </c>
      <c r="G1009" s="14" t="s">
        <v>323</v>
      </c>
    </row>
    <row r="1010" spans="1:7">
      <c r="A1010">
        <v>33</v>
      </c>
      <c r="B1010">
        <v>4</v>
      </c>
      <c r="C1010">
        <v>3</v>
      </c>
      <c r="E1010">
        <v>4</v>
      </c>
      <c r="F1010" t="str">
        <f t="shared" si="15"/>
        <v>F334G3T4</v>
      </c>
      <c r="G1010" s="14" t="s">
        <v>323</v>
      </c>
    </row>
    <row r="1011" spans="1:7">
      <c r="A1011">
        <v>33</v>
      </c>
      <c r="B1011">
        <v>5</v>
      </c>
      <c r="C1011">
        <v>3</v>
      </c>
      <c r="E1011">
        <v>4</v>
      </c>
      <c r="F1011" t="str">
        <f t="shared" si="15"/>
        <v>F335G3T4</v>
      </c>
      <c r="G1011" s="14" t="s">
        <v>323</v>
      </c>
    </row>
    <row r="1012" spans="1:7">
      <c r="A1012">
        <v>33</v>
      </c>
      <c r="B1012">
        <v>6</v>
      </c>
      <c r="C1012">
        <v>3</v>
      </c>
      <c r="E1012">
        <v>4</v>
      </c>
      <c r="F1012" t="str">
        <f t="shared" si="15"/>
        <v>F336G3T4</v>
      </c>
      <c r="G1012" s="14" t="s">
        <v>323</v>
      </c>
    </row>
    <row r="1013" spans="1:7">
      <c r="A1013">
        <v>33</v>
      </c>
      <c r="B1013">
        <v>7</v>
      </c>
      <c r="C1013">
        <v>3</v>
      </c>
      <c r="E1013">
        <v>4</v>
      </c>
      <c r="F1013" t="str">
        <f t="shared" si="15"/>
        <v>F337G3T4</v>
      </c>
      <c r="G1013" s="14" t="s">
        <v>323</v>
      </c>
    </row>
    <row r="1014" spans="1:7">
      <c r="A1014">
        <v>33</v>
      </c>
      <c r="B1014">
        <v>1</v>
      </c>
      <c r="C1014">
        <v>4</v>
      </c>
      <c r="E1014">
        <v>4</v>
      </c>
      <c r="F1014" t="str">
        <f t="shared" si="15"/>
        <v>F331G4T4</v>
      </c>
      <c r="G1014" s="14" t="s">
        <v>323</v>
      </c>
    </row>
    <row r="1015" spans="1:7">
      <c r="A1015">
        <v>33</v>
      </c>
      <c r="B1015">
        <v>2</v>
      </c>
      <c r="C1015">
        <v>4</v>
      </c>
      <c r="E1015">
        <v>4</v>
      </c>
      <c r="F1015" t="str">
        <f t="shared" si="15"/>
        <v>F332G4T4</v>
      </c>
      <c r="G1015" s="14" t="s">
        <v>323</v>
      </c>
    </row>
    <row r="1016" spans="1:7">
      <c r="A1016">
        <v>33</v>
      </c>
      <c r="B1016">
        <v>4</v>
      </c>
      <c r="C1016">
        <v>4</v>
      </c>
      <c r="E1016">
        <v>4</v>
      </c>
      <c r="F1016" t="str">
        <f t="shared" si="15"/>
        <v>F334G4T4</v>
      </c>
      <c r="G1016" s="14" t="s">
        <v>323</v>
      </c>
    </row>
    <row r="1017" spans="1:7">
      <c r="A1017">
        <v>33</v>
      </c>
      <c r="B1017">
        <v>5</v>
      </c>
      <c r="C1017">
        <v>4</v>
      </c>
      <c r="E1017">
        <v>4</v>
      </c>
      <c r="F1017" t="str">
        <f t="shared" si="15"/>
        <v>F335G4T4</v>
      </c>
      <c r="G1017" s="14" t="s">
        <v>323</v>
      </c>
    </row>
    <row r="1018" spans="1:7">
      <c r="A1018">
        <v>33</v>
      </c>
      <c r="B1018">
        <v>6</v>
      </c>
      <c r="C1018">
        <v>4</v>
      </c>
      <c r="E1018">
        <v>4</v>
      </c>
      <c r="F1018" t="str">
        <f t="shared" si="15"/>
        <v>F336G4T4</v>
      </c>
      <c r="G1018" s="14" t="s">
        <v>323</v>
      </c>
    </row>
    <row r="1019" spans="1:7">
      <c r="A1019">
        <v>33</v>
      </c>
      <c r="B1019">
        <v>7</v>
      </c>
      <c r="C1019">
        <v>4</v>
      </c>
      <c r="E1019">
        <v>4</v>
      </c>
      <c r="F1019" t="str">
        <f t="shared" si="15"/>
        <v>F337G4T4</v>
      </c>
      <c r="G1019" s="14" t="s">
        <v>323</v>
      </c>
    </row>
    <row r="1020" spans="1:7">
      <c r="A1020">
        <v>33</v>
      </c>
      <c r="B1020">
        <v>1</v>
      </c>
      <c r="C1020">
        <v>5</v>
      </c>
      <c r="E1020">
        <v>4</v>
      </c>
      <c r="F1020" t="str">
        <f t="shared" si="15"/>
        <v>F331G5T4</v>
      </c>
      <c r="G1020" s="14" t="s">
        <v>323</v>
      </c>
    </row>
    <row r="1021" spans="1:7">
      <c r="A1021">
        <v>33</v>
      </c>
      <c r="B1021">
        <v>2</v>
      </c>
      <c r="C1021">
        <v>5</v>
      </c>
      <c r="E1021">
        <v>4</v>
      </c>
      <c r="F1021" t="str">
        <f t="shared" si="15"/>
        <v>F332G5T4</v>
      </c>
      <c r="G1021" s="14" t="s">
        <v>323</v>
      </c>
    </row>
    <row r="1022" spans="1:7">
      <c r="A1022">
        <v>33</v>
      </c>
      <c r="B1022">
        <v>4</v>
      </c>
      <c r="C1022">
        <v>5</v>
      </c>
      <c r="E1022">
        <v>4</v>
      </c>
      <c r="F1022" t="str">
        <f t="shared" si="15"/>
        <v>F334G5T4</v>
      </c>
      <c r="G1022" s="14" t="s">
        <v>323</v>
      </c>
    </row>
    <row r="1023" spans="1:7">
      <c r="A1023">
        <v>33</v>
      </c>
      <c r="B1023">
        <v>5</v>
      </c>
      <c r="C1023">
        <v>5</v>
      </c>
      <c r="E1023">
        <v>4</v>
      </c>
      <c r="F1023" t="str">
        <f t="shared" si="15"/>
        <v>F335G5T4</v>
      </c>
      <c r="G1023" s="14" t="s">
        <v>323</v>
      </c>
    </row>
    <row r="1024" spans="1:7">
      <c r="A1024">
        <v>33</v>
      </c>
      <c r="B1024">
        <v>6</v>
      </c>
      <c r="C1024">
        <v>5</v>
      </c>
      <c r="E1024">
        <v>4</v>
      </c>
      <c r="F1024" t="str">
        <f t="shared" si="15"/>
        <v>F336G5T4</v>
      </c>
      <c r="G1024" s="14" t="s">
        <v>323</v>
      </c>
    </row>
    <row r="1025" spans="1:7">
      <c r="A1025">
        <v>33</v>
      </c>
      <c r="B1025">
        <v>7</v>
      </c>
      <c r="C1025">
        <v>5</v>
      </c>
      <c r="E1025">
        <v>4</v>
      </c>
      <c r="F1025" t="str">
        <f t="shared" si="15"/>
        <v>F337G5T4</v>
      </c>
      <c r="G1025" s="14" t="s">
        <v>323</v>
      </c>
    </row>
    <row r="1026" spans="1:7">
      <c r="A1026">
        <v>39</v>
      </c>
      <c r="B1026">
        <v>1</v>
      </c>
      <c r="C1026">
        <v>3</v>
      </c>
      <c r="E1026">
        <v>1</v>
      </c>
      <c r="F1026" t="str">
        <f t="shared" si="15"/>
        <v>F391G3T1</v>
      </c>
      <c r="G1026" s="14" t="s">
        <v>323</v>
      </c>
    </row>
    <row r="1027" spans="1:7">
      <c r="A1027">
        <v>39</v>
      </c>
      <c r="B1027">
        <v>2</v>
      </c>
      <c r="C1027">
        <v>3</v>
      </c>
      <c r="E1027">
        <v>1</v>
      </c>
      <c r="F1027" t="str">
        <f t="shared" ref="F1027:F1090" si="16">CONCATENATE("F",A1027,B1027,"G",C1027,"T",E1027)</f>
        <v>F392G3T1</v>
      </c>
      <c r="G1027" s="14" t="s">
        <v>323</v>
      </c>
    </row>
    <row r="1028" spans="1:7">
      <c r="A1028">
        <v>39</v>
      </c>
      <c r="B1028">
        <v>4</v>
      </c>
      <c r="C1028">
        <v>3</v>
      </c>
      <c r="E1028">
        <v>1</v>
      </c>
      <c r="F1028" t="str">
        <f t="shared" si="16"/>
        <v>F394G3T1</v>
      </c>
      <c r="G1028" s="14" t="s">
        <v>323</v>
      </c>
    </row>
    <row r="1029" spans="1:7">
      <c r="A1029">
        <v>39</v>
      </c>
      <c r="B1029">
        <v>5</v>
      </c>
      <c r="C1029">
        <v>3</v>
      </c>
      <c r="E1029">
        <v>1</v>
      </c>
      <c r="F1029" t="str">
        <f t="shared" si="16"/>
        <v>F395G3T1</v>
      </c>
      <c r="G1029" s="14" t="s">
        <v>323</v>
      </c>
    </row>
    <row r="1030" spans="1:7">
      <c r="A1030">
        <v>39</v>
      </c>
      <c r="B1030">
        <v>6</v>
      </c>
      <c r="C1030">
        <v>3</v>
      </c>
      <c r="E1030">
        <v>1</v>
      </c>
      <c r="F1030" t="str">
        <f t="shared" si="16"/>
        <v>F396G3T1</v>
      </c>
      <c r="G1030" s="14" t="s">
        <v>323</v>
      </c>
    </row>
    <row r="1031" spans="1:7">
      <c r="A1031">
        <v>39</v>
      </c>
      <c r="B1031">
        <v>7</v>
      </c>
      <c r="C1031">
        <v>3</v>
      </c>
      <c r="E1031">
        <v>1</v>
      </c>
      <c r="F1031" t="str">
        <f t="shared" si="16"/>
        <v>F397G3T1</v>
      </c>
      <c r="G1031" s="14" t="s">
        <v>323</v>
      </c>
    </row>
    <row r="1032" spans="1:7">
      <c r="A1032">
        <v>39</v>
      </c>
      <c r="B1032">
        <v>1</v>
      </c>
      <c r="C1032">
        <v>4</v>
      </c>
      <c r="E1032">
        <v>1</v>
      </c>
      <c r="F1032" t="str">
        <f t="shared" si="16"/>
        <v>F391G4T1</v>
      </c>
      <c r="G1032" s="14" t="s">
        <v>323</v>
      </c>
    </row>
    <row r="1033" spans="1:7">
      <c r="A1033">
        <v>39</v>
      </c>
      <c r="B1033">
        <v>2</v>
      </c>
      <c r="C1033">
        <v>4</v>
      </c>
      <c r="E1033">
        <v>1</v>
      </c>
      <c r="F1033" t="str">
        <f t="shared" si="16"/>
        <v>F392G4T1</v>
      </c>
      <c r="G1033" s="14" t="s">
        <v>323</v>
      </c>
    </row>
    <row r="1034" spans="1:7">
      <c r="A1034">
        <v>39</v>
      </c>
      <c r="B1034">
        <v>4</v>
      </c>
      <c r="C1034">
        <v>4</v>
      </c>
      <c r="E1034">
        <v>1</v>
      </c>
      <c r="F1034" t="str">
        <f t="shared" si="16"/>
        <v>F394G4T1</v>
      </c>
      <c r="G1034" s="14" t="s">
        <v>323</v>
      </c>
    </row>
    <row r="1035" spans="1:7">
      <c r="A1035">
        <v>39</v>
      </c>
      <c r="B1035">
        <v>5</v>
      </c>
      <c r="C1035">
        <v>4</v>
      </c>
      <c r="E1035">
        <v>1</v>
      </c>
      <c r="F1035" t="str">
        <f t="shared" si="16"/>
        <v>F395G4T1</v>
      </c>
      <c r="G1035" s="14" t="s">
        <v>323</v>
      </c>
    </row>
    <row r="1036" spans="1:7">
      <c r="A1036">
        <v>39</v>
      </c>
      <c r="B1036">
        <v>6</v>
      </c>
      <c r="C1036">
        <v>4</v>
      </c>
      <c r="E1036">
        <v>1</v>
      </c>
      <c r="F1036" t="str">
        <f t="shared" si="16"/>
        <v>F396G4T1</v>
      </c>
      <c r="G1036" s="14" t="s">
        <v>323</v>
      </c>
    </row>
    <row r="1037" spans="1:7">
      <c r="A1037">
        <v>39</v>
      </c>
      <c r="B1037">
        <v>7</v>
      </c>
      <c r="C1037">
        <v>4</v>
      </c>
      <c r="E1037">
        <v>1</v>
      </c>
      <c r="F1037" t="str">
        <f t="shared" si="16"/>
        <v>F397G4T1</v>
      </c>
      <c r="G1037" s="14" t="s">
        <v>323</v>
      </c>
    </row>
    <row r="1038" spans="1:7">
      <c r="A1038">
        <v>39</v>
      </c>
      <c r="B1038">
        <v>1</v>
      </c>
      <c r="C1038">
        <v>5</v>
      </c>
      <c r="E1038">
        <v>1</v>
      </c>
      <c r="F1038" t="str">
        <f t="shared" si="16"/>
        <v>F391G5T1</v>
      </c>
      <c r="G1038" s="14" t="s">
        <v>323</v>
      </c>
    </row>
    <row r="1039" spans="1:7">
      <c r="A1039">
        <v>39</v>
      </c>
      <c r="B1039">
        <v>2</v>
      </c>
      <c r="C1039">
        <v>5</v>
      </c>
      <c r="E1039">
        <v>1</v>
      </c>
      <c r="F1039" t="str">
        <f t="shared" si="16"/>
        <v>F392G5T1</v>
      </c>
      <c r="G1039" s="14" t="s">
        <v>323</v>
      </c>
    </row>
    <row r="1040" spans="1:7">
      <c r="A1040">
        <v>39</v>
      </c>
      <c r="B1040">
        <v>4</v>
      </c>
      <c r="C1040">
        <v>5</v>
      </c>
      <c r="E1040">
        <v>1</v>
      </c>
      <c r="F1040" t="str">
        <f t="shared" si="16"/>
        <v>F394G5T1</v>
      </c>
      <c r="G1040" s="14" t="s">
        <v>323</v>
      </c>
    </row>
    <row r="1041" spans="1:7">
      <c r="A1041">
        <v>39</v>
      </c>
      <c r="B1041">
        <v>5</v>
      </c>
      <c r="C1041">
        <v>5</v>
      </c>
      <c r="E1041">
        <v>1</v>
      </c>
      <c r="F1041" t="str">
        <f t="shared" si="16"/>
        <v>F395G5T1</v>
      </c>
      <c r="G1041" s="14" t="s">
        <v>323</v>
      </c>
    </row>
    <row r="1042" spans="1:7">
      <c r="A1042">
        <v>39</v>
      </c>
      <c r="B1042">
        <v>6</v>
      </c>
      <c r="C1042">
        <v>5</v>
      </c>
      <c r="E1042">
        <v>1</v>
      </c>
      <c r="F1042" t="str">
        <f t="shared" si="16"/>
        <v>F396G5T1</v>
      </c>
      <c r="G1042" s="14" t="s">
        <v>323</v>
      </c>
    </row>
    <row r="1043" spans="1:7">
      <c r="A1043">
        <v>39</v>
      </c>
      <c r="B1043">
        <v>7</v>
      </c>
      <c r="C1043">
        <v>5</v>
      </c>
      <c r="E1043">
        <v>1</v>
      </c>
      <c r="F1043" t="str">
        <f t="shared" si="16"/>
        <v>F397G5T1</v>
      </c>
      <c r="G1043" s="14" t="s">
        <v>323</v>
      </c>
    </row>
    <row r="1044" spans="1:7">
      <c r="A1044">
        <v>39</v>
      </c>
      <c r="B1044">
        <v>1</v>
      </c>
      <c r="C1044">
        <v>3</v>
      </c>
      <c r="E1044">
        <v>4</v>
      </c>
      <c r="F1044" t="str">
        <f t="shared" si="16"/>
        <v>F391G3T4</v>
      </c>
      <c r="G1044" s="14" t="s">
        <v>323</v>
      </c>
    </row>
    <row r="1045" spans="1:7">
      <c r="A1045">
        <v>39</v>
      </c>
      <c r="B1045">
        <v>2</v>
      </c>
      <c r="C1045">
        <v>3</v>
      </c>
      <c r="E1045">
        <v>4</v>
      </c>
      <c r="F1045" t="str">
        <f t="shared" si="16"/>
        <v>F392G3T4</v>
      </c>
      <c r="G1045" s="14" t="s">
        <v>323</v>
      </c>
    </row>
    <row r="1046" spans="1:7">
      <c r="A1046">
        <v>39</v>
      </c>
      <c r="B1046">
        <v>4</v>
      </c>
      <c r="C1046">
        <v>3</v>
      </c>
      <c r="E1046">
        <v>4</v>
      </c>
      <c r="F1046" t="str">
        <f t="shared" si="16"/>
        <v>F394G3T4</v>
      </c>
      <c r="G1046" s="14" t="s">
        <v>323</v>
      </c>
    </row>
    <row r="1047" spans="1:7">
      <c r="A1047">
        <v>39</v>
      </c>
      <c r="B1047">
        <v>5</v>
      </c>
      <c r="C1047">
        <v>3</v>
      </c>
      <c r="E1047">
        <v>4</v>
      </c>
      <c r="F1047" t="str">
        <f t="shared" si="16"/>
        <v>F395G3T4</v>
      </c>
      <c r="G1047" s="14" t="s">
        <v>323</v>
      </c>
    </row>
    <row r="1048" spans="1:7">
      <c r="A1048">
        <v>39</v>
      </c>
      <c r="B1048">
        <v>6</v>
      </c>
      <c r="C1048">
        <v>3</v>
      </c>
      <c r="E1048">
        <v>4</v>
      </c>
      <c r="F1048" t="str">
        <f t="shared" si="16"/>
        <v>F396G3T4</v>
      </c>
      <c r="G1048" s="14" t="s">
        <v>323</v>
      </c>
    </row>
    <row r="1049" spans="1:7">
      <c r="A1049">
        <v>39</v>
      </c>
      <c r="B1049">
        <v>7</v>
      </c>
      <c r="C1049">
        <v>3</v>
      </c>
      <c r="E1049">
        <v>4</v>
      </c>
      <c r="F1049" t="str">
        <f t="shared" si="16"/>
        <v>F397G3T4</v>
      </c>
      <c r="G1049" s="14" t="s">
        <v>323</v>
      </c>
    </row>
    <row r="1050" spans="1:7">
      <c r="A1050">
        <v>39</v>
      </c>
      <c r="B1050">
        <v>1</v>
      </c>
      <c r="C1050">
        <v>4</v>
      </c>
      <c r="E1050">
        <v>4</v>
      </c>
      <c r="F1050" t="str">
        <f t="shared" si="16"/>
        <v>F391G4T4</v>
      </c>
      <c r="G1050" s="14" t="s">
        <v>323</v>
      </c>
    </row>
    <row r="1051" spans="1:7">
      <c r="A1051">
        <v>39</v>
      </c>
      <c r="B1051">
        <v>2</v>
      </c>
      <c r="C1051">
        <v>4</v>
      </c>
      <c r="E1051">
        <v>4</v>
      </c>
      <c r="F1051" t="str">
        <f t="shared" si="16"/>
        <v>F392G4T4</v>
      </c>
      <c r="G1051" s="14" t="s">
        <v>323</v>
      </c>
    </row>
    <row r="1052" spans="1:7">
      <c r="A1052">
        <v>39</v>
      </c>
      <c r="B1052">
        <v>4</v>
      </c>
      <c r="C1052">
        <v>4</v>
      </c>
      <c r="E1052">
        <v>4</v>
      </c>
      <c r="F1052" t="str">
        <f t="shared" si="16"/>
        <v>F394G4T4</v>
      </c>
      <c r="G1052" s="14" t="s">
        <v>323</v>
      </c>
    </row>
    <row r="1053" spans="1:7">
      <c r="A1053">
        <v>39</v>
      </c>
      <c r="B1053">
        <v>5</v>
      </c>
      <c r="C1053">
        <v>4</v>
      </c>
      <c r="E1053">
        <v>4</v>
      </c>
      <c r="F1053" t="str">
        <f t="shared" si="16"/>
        <v>F395G4T4</v>
      </c>
      <c r="G1053" s="14" t="s">
        <v>323</v>
      </c>
    </row>
    <row r="1054" spans="1:7">
      <c r="A1054">
        <v>39</v>
      </c>
      <c r="B1054">
        <v>6</v>
      </c>
      <c r="C1054">
        <v>4</v>
      </c>
      <c r="E1054">
        <v>4</v>
      </c>
      <c r="F1054" t="str">
        <f t="shared" si="16"/>
        <v>F396G4T4</v>
      </c>
      <c r="G1054" s="14" t="s">
        <v>323</v>
      </c>
    </row>
    <row r="1055" spans="1:7">
      <c r="A1055">
        <v>39</v>
      </c>
      <c r="B1055">
        <v>7</v>
      </c>
      <c r="C1055">
        <v>4</v>
      </c>
      <c r="E1055">
        <v>4</v>
      </c>
      <c r="F1055" t="str">
        <f t="shared" si="16"/>
        <v>F397G4T4</v>
      </c>
      <c r="G1055" s="14" t="s">
        <v>323</v>
      </c>
    </row>
    <row r="1056" spans="1:7">
      <c r="A1056">
        <v>39</v>
      </c>
      <c r="B1056">
        <v>1</v>
      </c>
      <c r="C1056">
        <v>5</v>
      </c>
      <c r="E1056">
        <v>4</v>
      </c>
      <c r="F1056" t="str">
        <f t="shared" si="16"/>
        <v>F391G5T4</v>
      </c>
      <c r="G1056" s="14" t="s">
        <v>323</v>
      </c>
    </row>
    <row r="1057" spans="1:7">
      <c r="A1057">
        <v>39</v>
      </c>
      <c r="B1057">
        <v>2</v>
      </c>
      <c r="C1057">
        <v>5</v>
      </c>
      <c r="E1057">
        <v>4</v>
      </c>
      <c r="F1057" t="str">
        <f t="shared" si="16"/>
        <v>F392G5T4</v>
      </c>
      <c r="G1057" s="14" t="s">
        <v>323</v>
      </c>
    </row>
    <row r="1058" spans="1:7">
      <c r="A1058">
        <v>39</v>
      </c>
      <c r="B1058">
        <v>4</v>
      </c>
      <c r="C1058">
        <v>5</v>
      </c>
      <c r="E1058">
        <v>4</v>
      </c>
      <c r="F1058" t="str">
        <f t="shared" si="16"/>
        <v>F394G5T4</v>
      </c>
      <c r="G1058" s="14" t="s">
        <v>323</v>
      </c>
    </row>
    <row r="1059" spans="1:7">
      <c r="A1059">
        <v>39</v>
      </c>
      <c r="B1059">
        <v>5</v>
      </c>
      <c r="C1059">
        <v>5</v>
      </c>
      <c r="E1059">
        <v>4</v>
      </c>
      <c r="F1059" t="str">
        <f t="shared" si="16"/>
        <v>F395G5T4</v>
      </c>
      <c r="G1059" s="14" t="s">
        <v>323</v>
      </c>
    </row>
    <row r="1060" spans="1:7">
      <c r="A1060">
        <v>39</v>
      </c>
      <c r="B1060">
        <v>6</v>
      </c>
      <c r="C1060">
        <v>5</v>
      </c>
      <c r="E1060">
        <v>4</v>
      </c>
      <c r="F1060" t="str">
        <f t="shared" si="16"/>
        <v>F396G5T4</v>
      </c>
      <c r="G1060" s="14" t="s">
        <v>323</v>
      </c>
    </row>
    <row r="1061" spans="1:7">
      <c r="A1061">
        <v>39</v>
      </c>
      <c r="B1061">
        <v>7</v>
      </c>
      <c r="C1061">
        <v>5</v>
      </c>
      <c r="E1061">
        <v>4</v>
      </c>
      <c r="F1061" t="str">
        <f t="shared" si="16"/>
        <v>F397G5T4</v>
      </c>
      <c r="G1061" s="14" t="s">
        <v>323</v>
      </c>
    </row>
    <row r="1062" spans="1:7">
      <c r="A1062">
        <v>45</v>
      </c>
      <c r="B1062">
        <v>1</v>
      </c>
      <c r="C1062">
        <v>3</v>
      </c>
      <c r="E1062">
        <v>1</v>
      </c>
      <c r="F1062" t="str">
        <f t="shared" si="16"/>
        <v>F451G3T1</v>
      </c>
      <c r="G1062" s="14" t="s">
        <v>323</v>
      </c>
    </row>
    <row r="1063" spans="1:7">
      <c r="A1063">
        <v>45</v>
      </c>
      <c r="B1063">
        <v>2</v>
      </c>
      <c r="C1063">
        <v>3</v>
      </c>
      <c r="E1063">
        <v>1</v>
      </c>
      <c r="F1063" t="str">
        <f t="shared" si="16"/>
        <v>F452G3T1</v>
      </c>
      <c r="G1063" s="14" t="s">
        <v>323</v>
      </c>
    </row>
    <row r="1064" spans="1:7">
      <c r="A1064">
        <v>45</v>
      </c>
      <c r="B1064">
        <v>4</v>
      </c>
      <c r="C1064">
        <v>3</v>
      </c>
      <c r="E1064">
        <v>1</v>
      </c>
      <c r="F1064" t="str">
        <f t="shared" si="16"/>
        <v>F454G3T1</v>
      </c>
      <c r="G1064" s="14" t="s">
        <v>323</v>
      </c>
    </row>
    <row r="1065" spans="1:7">
      <c r="A1065">
        <v>45</v>
      </c>
      <c r="B1065">
        <v>5</v>
      </c>
      <c r="C1065">
        <v>3</v>
      </c>
      <c r="E1065">
        <v>1</v>
      </c>
      <c r="F1065" t="str">
        <f t="shared" si="16"/>
        <v>F455G3T1</v>
      </c>
      <c r="G1065" s="14" t="s">
        <v>323</v>
      </c>
    </row>
    <row r="1066" spans="1:7">
      <c r="A1066">
        <v>45</v>
      </c>
      <c r="B1066">
        <v>6</v>
      </c>
      <c r="C1066">
        <v>3</v>
      </c>
      <c r="E1066">
        <v>1</v>
      </c>
      <c r="F1066" t="str">
        <f t="shared" si="16"/>
        <v>F456G3T1</v>
      </c>
      <c r="G1066" s="14" t="s">
        <v>323</v>
      </c>
    </row>
    <row r="1067" spans="1:7">
      <c r="A1067">
        <v>45</v>
      </c>
      <c r="B1067">
        <v>7</v>
      </c>
      <c r="C1067">
        <v>3</v>
      </c>
      <c r="E1067">
        <v>1</v>
      </c>
      <c r="F1067" t="str">
        <f t="shared" si="16"/>
        <v>F457G3T1</v>
      </c>
      <c r="G1067" s="14" t="s">
        <v>323</v>
      </c>
    </row>
    <row r="1068" spans="1:7">
      <c r="A1068">
        <v>45</v>
      </c>
      <c r="B1068">
        <v>1</v>
      </c>
      <c r="C1068">
        <v>4</v>
      </c>
      <c r="E1068">
        <v>1</v>
      </c>
      <c r="F1068" t="str">
        <f t="shared" si="16"/>
        <v>F451G4T1</v>
      </c>
      <c r="G1068" s="14" t="s">
        <v>323</v>
      </c>
    </row>
    <row r="1069" spans="1:7">
      <c r="A1069">
        <v>45</v>
      </c>
      <c r="B1069">
        <v>2</v>
      </c>
      <c r="C1069">
        <v>4</v>
      </c>
      <c r="E1069">
        <v>1</v>
      </c>
      <c r="F1069" t="str">
        <f t="shared" si="16"/>
        <v>F452G4T1</v>
      </c>
      <c r="G1069" s="14" t="s">
        <v>323</v>
      </c>
    </row>
    <row r="1070" spans="1:7">
      <c r="A1070">
        <v>45</v>
      </c>
      <c r="B1070">
        <v>4</v>
      </c>
      <c r="C1070">
        <v>4</v>
      </c>
      <c r="E1070">
        <v>1</v>
      </c>
      <c r="F1070" t="str">
        <f t="shared" si="16"/>
        <v>F454G4T1</v>
      </c>
      <c r="G1070" s="14" t="s">
        <v>323</v>
      </c>
    </row>
    <row r="1071" spans="1:7">
      <c r="A1071">
        <v>45</v>
      </c>
      <c r="B1071">
        <v>5</v>
      </c>
      <c r="C1071">
        <v>4</v>
      </c>
      <c r="E1071">
        <v>1</v>
      </c>
      <c r="F1071" t="str">
        <f t="shared" si="16"/>
        <v>F455G4T1</v>
      </c>
      <c r="G1071" s="14" t="s">
        <v>323</v>
      </c>
    </row>
    <row r="1072" spans="1:7">
      <c r="A1072">
        <v>45</v>
      </c>
      <c r="B1072">
        <v>6</v>
      </c>
      <c r="C1072">
        <v>4</v>
      </c>
      <c r="E1072">
        <v>1</v>
      </c>
      <c r="F1072" t="str">
        <f t="shared" si="16"/>
        <v>F456G4T1</v>
      </c>
      <c r="G1072" s="14" t="s">
        <v>323</v>
      </c>
    </row>
    <row r="1073" spans="1:7">
      <c r="A1073">
        <v>45</v>
      </c>
      <c r="B1073">
        <v>7</v>
      </c>
      <c r="C1073">
        <v>4</v>
      </c>
      <c r="E1073">
        <v>1</v>
      </c>
      <c r="F1073" t="str">
        <f t="shared" si="16"/>
        <v>F457G4T1</v>
      </c>
      <c r="G1073" s="14" t="s">
        <v>323</v>
      </c>
    </row>
    <row r="1074" spans="1:7">
      <c r="A1074">
        <v>45</v>
      </c>
      <c r="B1074">
        <v>1</v>
      </c>
      <c r="C1074">
        <v>5</v>
      </c>
      <c r="E1074">
        <v>1</v>
      </c>
      <c r="F1074" t="str">
        <f t="shared" si="16"/>
        <v>F451G5T1</v>
      </c>
      <c r="G1074" s="14" t="s">
        <v>323</v>
      </c>
    </row>
    <row r="1075" spans="1:7">
      <c r="A1075">
        <v>45</v>
      </c>
      <c r="B1075">
        <v>2</v>
      </c>
      <c r="C1075">
        <v>5</v>
      </c>
      <c r="E1075">
        <v>1</v>
      </c>
      <c r="F1075" t="str">
        <f t="shared" si="16"/>
        <v>F452G5T1</v>
      </c>
      <c r="G1075" s="14" t="s">
        <v>323</v>
      </c>
    </row>
    <row r="1076" spans="1:7">
      <c r="A1076">
        <v>45</v>
      </c>
      <c r="B1076">
        <v>4</v>
      </c>
      <c r="C1076">
        <v>5</v>
      </c>
      <c r="E1076">
        <v>1</v>
      </c>
      <c r="F1076" t="str">
        <f t="shared" si="16"/>
        <v>F454G5T1</v>
      </c>
      <c r="G1076" s="14" t="s">
        <v>323</v>
      </c>
    </row>
    <row r="1077" spans="1:7">
      <c r="A1077">
        <v>45</v>
      </c>
      <c r="B1077">
        <v>5</v>
      </c>
      <c r="C1077">
        <v>5</v>
      </c>
      <c r="E1077">
        <v>1</v>
      </c>
      <c r="F1077" t="str">
        <f t="shared" si="16"/>
        <v>F455G5T1</v>
      </c>
      <c r="G1077" s="14" t="s">
        <v>323</v>
      </c>
    </row>
    <row r="1078" spans="1:7">
      <c r="A1078">
        <v>45</v>
      </c>
      <c r="B1078">
        <v>6</v>
      </c>
      <c r="C1078">
        <v>5</v>
      </c>
      <c r="E1078">
        <v>1</v>
      </c>
      <c r="F1078" t="str">
        <f t="shared" si="16"/>
        <v>F456G5T1</v>
      </c>
      <c r="G1078" s="14" t="s">
        <v>323</v>
      </c>
    </row>
    <row r="1079" spans="1:7">
      <c r="A1079">
        <v>45</v>
      </c>
      <c r="B1079">
        <v>7</v>
      </c>
      <c r="C1079">
        <v>5</v>
      </c>
      <c r="E1079">
        <v>1</v>
      </c>
      <c r="F1079" t="str">
        <f t="shared" si="16"/>
        <v>F457G5T1</v>
      </c>
      <c r="G1079" s="14" t="s">
        <v>323</v>
      </c>
    </row>
    <row r="1080" spans="1:7">
      <c r="A1080">
        <v>45</v>
      </c>
      <c r="B1080">
        <v>1</v>
      </c>
      <c r="C1080">
        <v>3</v>
      </c>
      <c r="E1080">
        <v>4</v>
      </c>
      <c r="F1080" t="str">
        <f t="shared" si="16"/>
        <v>F451G3T4</v>
      </c>
      <c r="G1080" s="14" t="s">
        <v>323</v>
      </c>
    </row>
    <row r="1081" spans="1:7">
      <c r="A1081">
        <v>45</v>
      </c>
      <c r="B1081">
        <v>2</v>
      </c>
      <c r="C1081">
        <v>3</v>
      </c>
      <c r="E1081">
        <v>4</v>
      </c>
      <c r="F1081" t="str">
        <f t="shared" si="16"/>
        <v>F452G3T4</v>
      </c>
      <c r="G1081" s="14" t="s">
        <v>323</v>
      </c>
    </row>
    <row r="1082" spans="1:7">
      <c r="A1082">
        <v>45</v>
      </c>
      <c r="B1082">
        <v>4</v>
      </c>
      <c r="C1082">
        <v>3</v>
      </c>
      <c r="E1082">
        <v>4</v>
      </c>
      <c r="F1082" t="str">
        <f t="shared" si="16"/>
        <v>F454G3T4</v>
      </c>
      <c r="G1082" s="14" t="s">
        <v>323</v>
      </c>
    </row>
    <row r="1083" spans="1:7">
      <c r="A1083">
        <v>45</v>
      </c>
      <c r="B1083">
        <v>5</v>
      </c>
      <c r="C1083">
        <v>3</v>
      </c>
      <c r="E1083">
        <v>4</v>
      </c>
      <c r="F1083" t="str">
        <f t="shared" si="16"/>
        <v>F455G3T4</v>
      </c>
      <c r="G1083" s="14" t="s">
        <v>323</v>
      </c>
    </row>
    <row r="1084" spans="1:7">
      <c r="A1084">
        <v>45</v>
      </c>
      <c r="B1084">
        <v>6</v>
      </c>
      <c r="C1084">
        <v>3</v>
      </c>
      <c r="E1084">
        <v>4</v>
      </c>
      <c r="F1084" t="str">
        <f t="shared" si="16"/>
        <v>F456G3T4</v>
      </c>
      <c r="G1084" s="14" t="s">
        <v>323</v>
      </c>
    </row>
    <row r="1085" spans="1:7">
      <c r="A1085">
        <v>45</v>
      </c>
      <c r="B1085">
        <v>7</v>
      </c>
      <c r="C1085">
        <v>3</v>
      </c>
      <c r="E1085">
        <v>4</v>
      </c>
      <c r="F1085" t="str">
        <f t="shared" si="16"/>
        <v>F457G3T4</v>
      </c>
      <c r="G1085" s="14" t="s">
        <v>323</v>
      </c>
    </row>
    <row r="1086" spans="1:7">
      <c r="A1086">
        <v>45</v>
      </c>
      <c r="B1086">
        <v>1</v>
      </c>
      <c r="C1086">
        <v>4</v>
      </c>
      <c r="E1086">
        <v>4</v>
      </c>
      <c r="F1086" t="str">
        <f t="shared" si="16"/>
        <v>F451G4T4</v>
      </c>
      <c r="G1086" s="14" t="s">
        <v>323</v>
      </c>
    </row>
    <row r="1087" spans="1:7">
      <c r="A1087">
        <v>45</v>
      </c>
      <c r="B1087">
        <v>2</v>
      </c>
      <c r="C1087">
        <v>4</v>
      </c>
      <c r="E1087">
        <v>4</v>
      </c>
      <c r="F1087" t="str">
        <f t="shared" si="16"/>
        <v>F452G4T4</v>
      </c>
      <c r="G1087" s="14" t="s">
        <v>323</v>
      </c>
    </row>
    <row r="1088" spans="1:7">
      <c r="A1088">
        <v>45</v>
      </c>
      <c r="B1088">
        <v>4</v>
      </c>
      <c r="C1088">
        <v>4</v>
      </c>
      <c r="E1088">
        <v>4</v>
      </c>
      <c r="F1088" t="str">
        <f t="shared" si="16"/>
        <v>F454G4T4</v>
      </c>
      <c r="G1088" s="14" t="s">
        <v>323</v>
      </c>
    </row>
    <row r="1089" spans="1:7">
      <c r="A1089">
        <v>45</v>
      </c>
      <c r="B1089">
        <v>5</v>
      </c>
      <c r="C1089">
        <v>4</v>
      </c>
      <c r="E1089">
        <v>4</v>
      </c>
      <c r="F1089" t="str">
        <f t="shared" si="16"/>
        <v>F455G4T4</v>
      </c>
      <c r="G1089" s="14" t="s">
        <v>323</v>
      </c>
    </row>
    <row r="1090" spans="1:7">
      <c r="A1090">
        <v>45</v>
      </c>
      <c r="B1090">
        <v>6</v>
      </c>
      <c r="C1090">
        <v>4</v>
      </c>
      <c r="E1090">
        <v>4</v>
      </c>
      <c r="F1090" t="str">
        <f t="shared" si="16"/>
        <v>F456G4T4</v>
      </c>
      <c r="G1090" s="14" t="s">
        <v>323</v>
      </c>
    </row>
    <row r="1091" spans="1:7">
      <c r="A1091">
        <v>45</v>
      </c>
      <c r="B1091">
        <v>7</v>
      </c>
      <c r="C1091">
        <v>4</v>
      </c>
      <c r="E1091">
        <v>4</v>
      </c>
      <c r="F1091" t="str">
        <f t="shared" ref="F1091:F1154" si="17">CONCATENATE("F",A1091,B1091,"G",C1091,"T",E1091)</f>
        <v>F457G4T4</v>
      </c>
      <c r="G1091" s="14" t="s">
        <v>323</v>
      </c>
    </row>
    <row r="1092" spans="1:7">
      <c r="A1092">
        <v>45</v>
      </c>
      <c r="B1092">
        <v>1</v>
      </c>
      <c r="C1092">
        <v>5</v>
      </c>
      <c r="E1092">
        <v>4</v>
      </c>
      <c r="F1092" t="str">
        <f t="shared" si="17"/>
        <v>F451G5T4</v>
      </c>
      <c r="G1092" s="14" t="s">
        <v>323</v>
      </c>
    </row>
    <row r="1093" spans="1:7">
      <c r="A1093">
        <v>45</v>
      </c>
      <c r="B1093">
        <v>2</v>
      </c>
      <c r="C1093">
        <v>5</v>
      </c>
      <c r="E1093">
        <v>4</v>
      </c>
      <c r="F1093" t="str">
        <f t="shared" si="17"/>
        <v>F452G5T4</v>
      </c>
      <c r="G1093" s="14" t="s">
        <v>323</v>
      </c>
    </row>
    <row r="1094" spans="1:7">
      <c r="A1094">
        <v>45</v>
      </c>
      <c r="B1094">
        <v>4</v>
      </c>
      <c r="C1094">
        <v>5</v>
      </c>
      <c r="E1094">
        <v>4</v>
      </c>
      <c r="F1094" t="str">
        <f t="shared" si="17"/>
        <v>F454G5T4</v>
      </c>
      <c r="G1094" s="14" t="s">
        <v>323</v>
      </c>
    </row>
    <row r="1095" spans="1:7">
      <c r="A1095">
        <v>45</v>
      </c>
      <c r="B1095">
        <v>5</v>
      </c>
      <c r="C1095">
        <v>5</v>
      </c>
      <c r="E1095">
        <v>4</v>
      </c>
      <c r="F1095" t="str">
        <f t="shared" si="17"/>
        <v>F455G5T4</v>
      </c>
      <c r="G1095" s="14" t="s">
        <v>323</v>
      </c>
    </row>
    <row r="1096" spans="1:7">
      <c r="A1096">
        <v>45</v>
      </c>
      <c r="B1096">
        <v>6</v>
      </c>
      <c r="C1096">
        <v>5</v>
      </c>
      <c r="E1096">
        <v>4</v>
      </c>
      <c r="F1096" t="str">
        <f t="shared" si="17"/>
        <v>F456G5T4</v>
      </c>
      <c r="G1096" s="14" t="s">
        <v>323</v>
      </c>
    </row>
    <row r="1097" spans="1:7">
      <c r="A1097">
        <v>45</v>
      </c>
      <c r="B1097">
        <v>7</v>
      </c>
      <c r="C1097">
        <v>5</v>
      </c>
      <c r="E1097">
        <v>4</v>
      </c>
      <c r="F1097" t="str">
        <f t="shared" si="17"/>
        <v>F457G5T4</v>
      </c>
      <c r="G1097" s="14" t="s">
        <v>323</v>
      </c>
    </row>
    <row r="1098" spans="1:7">
      <c r="A1098">
        <v>47</v>
      </c>
      <c r="B1098">
        <v>1</v>
      </c>
      <c r="C1098">
        <v>3</v>
      </c>
      <c r="E1098">
        <v>1</v>
      </c>
      <c r="F1098" t="str">
        <f t="shared" si="17"/>
        <v>F471G3T1</v>
      </c>
      <c r="G1098" s="14" t="s">
        <v>323</v>
      </c>
    </row>
    <row r="1099" spans="1:7">
      <c r="A1099">
        <v>47</v>
      </c>
      <c r="B1099">
        <v>2</v>
      </c>
      <c r="C1099">
        <v>3</v>
      </c>
      <c r="E1099">
        <v>1</v>
      </c>
      <c r="F1099" t="str">
        <f t="shared" si="17"/>
        <v>F472G3T1</v>
      </c>
      <c r="G1099" s="14" t="s">
        <v>323</v>
      </c>
    </row>
    <row r="1100" spans="1:7">
      <c r="A1100">
        <v>47</v>
      </c>
      <c r="B1100">
        <v>4</v>
      </c>
      <c r="C1100">
        <v>3</v>
      </c>
      <c r="E1100">
        <v>1</v>
      </c>
      <c r="F1100" t="str">
        <f t="shared" si="17"/>
        <v>F474G3T1</v>
      </c>
      <c r="G1100" s="14" t="s">
        <v>323</v>
      </c>
    </row>
    <row r="1101" spans="1:7">
      <c r="A1101">
        <v>47</v>
      </c>
      <c r="B1101">
        <v>5</v>
      </c>
      <c r="C1101">
        <v>3</v>
      </c>
      <c r="E1101">
        <v>1</v>
      </c>
      <c r="F1101" t="str">
        <f t="shared" si="17"/>
        <v>F475G3T1</v>
      </c>
      <c r="G1101" s="14" t="s">
        <v>323</v>
      </c>
    </row>
    <row r="1102" spans="1:7">
      <c r="A1102">
        <v>47</v>
      </c>
      <c r="B1102">
        <v>6</v>
      </c>
      <c r="C1102">
        <v>3</v>
      </c>
      <c r="E1102">
        <v>1</v>
      </c>
      <c r="F1102" t="str">
        <f t="shared" si="17"/>
        <v>F476G3T1</v>
      </c>
      <c r="G1102" s="14" t="s">
        <v>323</v>
      </c>
    </row>
    <row r="1103" spans="1:7">
      <c r="A1103">
        <v>47</v>
      </c>
      <c r="B1103">
        <v>7</v>
      </c>
      <c r="C1103">
        <v>3</v>
      </c>
      <c r="E1103">
        <v>1</v>
      </c>
      <c r="F1103" t="str">
        <f t="shared" si="17"/>
        <v>F477G3T1</v>
      </c>
      <c r="G1103" s="14" t="s">
        <v>323</v>
      </c>
    </row>
    <row r="1104" spans="1:7">
      <c r="A1104">
        <v>47</v>
      </c>
      <c r="B1104">
        <v>1</v>
      </c>
      <c r="C1104">
        <v>4</v>
      </c>
      <c r="E1104">
        <v>1</v>
      </c>
      <c r="F1104" t="str">
        <f t="shared" si="17"/>
        <v>F471G4T1</v>
      </c>
      <c r="G1104" s="14" t="s">
        <v>323</v>
      </c>
    </row>
    <row r="1105" spans="1:7">
      <c r="A1105">
        <v>47</v>
      </c>
      <c r="B1105">
        <v>2</v>
      </c>
      <c r="C1105">
        <v>4</v>
      </c>
      <c r="E1105">
        <v>1</v>
      </c>
      <c r="F1105" t="str">
        <f t="shared" si="17"/>
        <v>F472G4T1</v>
      </c>
      <c r="G1105" s="14" t="s">
        <v>323</v>
      </c>
    </row>
    <row r="1106" spans="1:7">
      <c r="A1106">
        <v>47</v>
      </c>
      <c r="B1106">
        <v>4</v>
      </c>
      <c r="C1106">
        <v>4</v>
      </c>
      <c r="E1106">
        <v>1</v>
      </c>
      <c r="F1106" t="str">
        <f t="shared" si="17"/>
        <v>F474G4T1</v>
      </c>
      <c r="G1106" s="14" t="s">
        <v>323</v>
      </c>
    </row>
    <row r="1107" spans="1:7">
      <c r="A1107">
        <v>47</v>
      </c>
      <c r="B1107">
        <v>5</v>
      </c>
      <c r="C1107">
        <v>4</v>
      </c>
      <c r="E1107">
        <v>1</v>
      </c>
      <c r="F1107" t="str">
        <f t="shared" si="17"/>
        <v>F475G4T1</v>
      </c>
      <c r="G1107" s="14" t="s">
        <v>323</v>
      </c>
    </row>
    <row r="1108" spans="1:7">
      <c r="A1108">
        <v>47</v>
      </c>
      <c r="B1108">
        <v>6</v>
      </c>
      <c r="C1108">
        <v>4</v>
      </c>
      <c r="E1108">
        <v>1</v>
      </c>
      <c r="F1108" t="str">
        <f t="shared" si="17"/>
        <v>F476G4T1</v>
      </c>
      <c r="G1108" s="14" t="s">
        <v>323</v>
      </c>
    </row>
    <row r="1109" spans="1:7">
      <c r="A1109">
        <v>47</v>
      </c>
      <c r="B1109">
        <v>7</v>
      </c>
      <c r="C1109">
        <v>4</v>
      </c>
      <c r="E1109">
        <v>1</v>
      </c>
      <c r="F1109" t="str">
        <f t="shared" si="17"/>
        <v>F477G4T1</v>
      </c>
      <c r="G1109" s="14" t="s">
        <v>323</v>
      </c>
    </row>
    <row r="1110" spans="1:7">
      <c r="A1110">
        <v>47</v>
      </c>
      <c r="B1110">
        <v>1</v>
      </c>
      <c r="C1110">
        <v>5</v>
      </c>
      <c r="E1110">
        <v>1</v>
      </c>
      <c r="F1110" t="str">
        <f t="shared" si="17"/>
        <v>F471G5T1</v>
      </c>
      <c r="G1110" s="14" t="s">
        <v>323</v>
      </c>
    </row>
    <row r="1111" spans="1:7">
      <c r="A1111">
        <v>47</v>
      </c>
      <c r="B1111">
        <v>2</v>
      </c>
      <c r="C1111">
        <v>5</v>
      </c>
      <c r="E1111">
        <v>1</v>
      </c>
      <c r="F1111" t="str">
        <f t="shared" si="17"/>
        <v>F472G5T1</v>
      </c>
      <c r="G1111" s="14" t="s">
        <v>323</v>
      </c>
    </row>
    <row r="1112" spans="1:7">
      <c r="A1112">
        <v>47</v>
      </c>
      <c r="B1112">
        <v>4</v>
      </c>
      <c r="C1112">
        <v>5</v>
      </c>
      <c r="E1112">
        <v>1</v>
      </c>
      <c r="F1112" t="str">
        <f t="shared" si="17"/>
        <v>F474G5T1</v>
      </c>
      <c r="G1112" s="14" t="s">
        <v>323</v>
      </c>
    </row>
    <row r="1113" spans="1:7">
      <c r="A1113">
        <v>47</v>
      </c>
      <c r="B1113">
        <v>5</v>
      </c>
      <c r="C1113">
        <v>5</v>
      </c>
      <c r="E1113">
        <v>1</v>
      </c>
      <c r="F1113" t="str">
        <f t="shared" si="17"/>
        <v>F475G5T1</v>
      </c>
      <c r="G1113" s="14" t="s">
        <v>323</v>
      </c>
    </row>
    <row r="1114" spans="1:7">
      <c r="A1114">
        <v>47</v>
      </c>
      <c r="B1114">
        <v>6</v>
      </c>
      <c r="C1114">
        <v>5</v>
      </c>
      <c r="E1114">
        <v>1</v>
      </c>
      <c r="F1114" t="str">
        <f t="shared" si="17"/>
        <v>F476G5T1</v>
      </c>
      <c r="G1114" s="14" t="s">
        <v>323</v>
      </c>
    </row>
    <row r="1115" spans="1:7">
      <c r="A1115">
        <v>47</v>
      </c>
      <c r="B1115">
        <v>7</v>
      </c>
      <c r="C1115">
        <v>5</v>
      </c>
      <c r="E1115">
        <v>1</v>
      </c>
      <c r="F1115" t="str">
        <f t="shared" si="17"/>
        <v>F477G5T1</v>
      </c>
      <c r="G1115" s="14" t="s">
        <v>323</v>
      </c>
    </row>
    <row r="1116" spans="1:7">
      <c r="A1116">
        <v>47</v>
      </c>
      <c r="B1116">
        <v>1</v>
      </c>
      <c r="C1116">
        <v>3</v>
      </c>
      <c r="E1116">
        <v>4</v>
      </c>
      <c r="F1116" t="str">
        <f t="shared" si="17"/>
        <v>F471G3T4</v>
      </c>
      <c r="G1116" s="14" t="s">
        <v>323</v>
      </c>
    </row>
    <row r="1117" spans="1:7">
      <c r="A1117">
        <v>47</v>
      </c>
      <c r="B1117">
        <v>2</v>
      </c>
      <c r="C1117">
        <v>3</v>
      </c>
      <c r="E1117">
        <v>4</v>
      </c>
      <c r="F1117" t="str">
        <f t="shared" si="17"/>
        <v>F472G3T4</v>
      </c>
      <c r="G1117" s="14" t="s">
        <v>323</v>
      </c>
    </row>
    <row r="1118" spans="1:7">
      <c r="A1118">
        <v>47</v>
      </c>
      <c r="B1118">
        <v>4</v>
      </c>
      <c r="C1118">
        <v>3</v>
      </c>
      <c r="E1118">
        <v>4</v>
      </c>
      <c r="F1118" t="str">
        <f t="shared" si="17"/>
        <v>F474G3T4</v>
      </c>
      <c r="G1118" s="14" t="s">
        <v>323</v>
      </c>
    </row>
    <row r="1119" spans="1:7">
      <c r="A1119">
        <v>47</v>
      </c>
      <c r="B1119">
        <v>5</v>
      </c>
      <c r="C1119">
        <v>3</v>
      </c>
      <c r="E1119">
        <v>4</v>
      </c>
      <c r="F1119" t="str">
        <f t="shared" si="17"/>
        <v>F475G3T4</v>
      </c>
      <c r="G1119" s="14" t="s">
        <v>323</v>
      </c>
    </row>
    <row r="1120" spans="1:7">
      <c r="A1120">
        <v>47</v>
      </c>
      <c r="B1120">
        <v>6</v>
      </c>
      <c r="C1120">
        <v>3</v>
      </c>
      <c r="E1120">
        <v>4</v>
      </c>
      <c r="F1120" t="str">
        <f t="shared" si="17"/>
        <v>F476G3T4</v>
      </c>
      <c r="G1120" s="14" t="s">
        <v>323</v>
      </c>
    </row>
    <row r="1121" spans="1:7">
      <c r="A1121">
        <v>47</v>
      </c>
      <c r="B1121">
        <v>7</v>
      </c>
      <c r="C1121">
        <v>3</v>
      </c>
      <c r="E1121">
        <v>4</v>
      </c>
      <c r="F1121" t="str">
        <f t="shared" si="17"/>
        <v>F477G3T4</v>
      </c>
      <c r="G1121" s="14" t="s">
        <v>323</v>
      </c>
    </row>
    <row r="1122" spans="1:7">
      <c r="A1122">
        <v>47</v>
      </c>
      <c r="B1122">
        <v>1</v>
      </c>
      <c r="C1122">
        <v>4</v>
      </c>
      <c r="E1122">
        <v>4</v>
      </c>
      <c r="F1122" t="str">
        <f t="shared" si="17"/>
        <v>F471G4T4</v>
      </c>
      <c r="G1122" s="14" t="s">
        <v>323</v>
      </c>
    </row>
    <row r="1123" spans="1:7">
      <c r="A1123">
        <v>47</v>
      </c>
      <c r="B1123">
        <v>2</v>
      </c>
      <c r="C1123">
        <v>4</v>
      </c>
      <c r="E1123">
        <v>4</v>
      </c>
      <c r="F1123" t="str">
        <f t="shared" si="17"/>
        <v>F472G4T4</v>
      </c>
      <c r="G1123" s="14" t="s">
        <v>323</v>
      </c>
    </row>
    <row r="1124" spans="1:7">
      <c r="A1124">
        <v>47</v>
      </c>
      <c r="B1124">
        <v>4</v>
      </c>
      <c r="C1124">
        <v>4</v>
      </c>
      <c r="E1124">
        <v>4</v>
      </c>
      <c r="F1124" t="str">
        <f t="shared" si="17"/>
        <v>F474G4T4</v>
      </c>
      <c r="G1124" s="14" t="s">
        <v>323</v>
      </c>
    </row>
    <row r="1125" spans="1:7">
      <c r="A1125">
        <v>47</v>
      </c>
      <c r="B1125">
        <v>5</v>
      </c>
      <c r="C1125">
        <v>4</v>
      </c>
      <c r="E1125">
        <v>4</v>
      </c>
      <c r="F1125" t="str">
        <f t="shared" si="17"/>
        <v>F475G4T4</v>
      </c>
      <c r="G1125" s="14" t="s">
        <v>323</v>
      </c>
    </row>
    <row r="1126" spans="1:7">
      <c r="A1126">
        <v>47</v>
      </c>
      <c r="B1126">
        <v>6</v>
      </c>
      <c r="C1126">
        <v>4</v>
      </c>
      <c r="E1126">
        <v>4</v>
      </c>
      <c r="F1126" t="str">
        <f t="shared" si="17"/>
        <v>F476G4T4</v>
      </c>
      <c r="G1126" s="14" t="s">
        <v>323</v>
      </c>
    </row>
    <row r="1127" spans="1:7">
      <c r="A1127">
        <v>47</v>
      </c>
      <c r="B1127">
        <v>7</v>
      </c>
      <c r="C1127">
        <v>4</v>
      </c>
      <c r="E1127">
        <v>4</v>
      </c>
      <c r="F1127" t="str">
        <f t="shared" si="17"/>
        <v>F477G4T4</v>
      </c>
      <c r="G1127" s="14" t="s">
        <v>323</v>
      </c>
    </row>
    <row r="1128" spans="1:7">
      <c r="A1128">
        <v>47</v>
      </c>
      <c r="B1128">
        <v>1</v>
      </c>
      <c r="C1128">
        <v>5</v>
      </c>
      <c r="E1128">
        <v>4</v>
      </c>
      <c r="F1128" t="str">
        <f t="shared" si="17"/>
        <v>F471G5T4</v>
      </c>
      <c r="G1128" s="14" t="s">
        <v>323</v>
      </c>
    </row>
    <row r="1129" spans="1:7">
      <c r="A1129">
        <v>47</v>
      </c>
      <c r="B1129">
        <v>2</v>
      </c>
      <c r="C1129">
        <v>5</v>
      </c>
      <c r="E1129">
        <v>4</v>
      </c>
      <c r="F1129" t="str">
        <f t="shared" si="17"/>
        <v>F472G5T4</v>
      </c>
      <c r="G1129" s="14" t="s">
        <v>323</v>
      </c>
    </row>
    <row r="1130" spans="1:7">
      <c r="A1130">
        <v>47</v>
      </c>
      <c r="B1130">
        <v>4</v>
      </c>
      <c r="C1130">
        <v>5</v>
      </c>
      <c r="E1130">
        <v>4</v>
      </c>
      <c r="F1130" t="str">
        <f t="shared" si="17"/>
        <v>F474G5T4</v>
      </c>
      <c r="G1130" s="14" t="s">
        <v>323</v>
      </c>
    </row>
    <row r="1131" spans="1:7">
      <c r="A1131">
        <v>47</v>
      </c>
      <c r="B1131">
        <v>5</v>
      </c>
      <c r="C1131">
        <v>5</v>
      </c>
      <c r="E1131">
        <v>4</v>
      </c>
      <c r="F1131" t="str">
        <f t="shared" si="17"/>
        <v>F475G5T4</v>
      </c>
      <c r="G1131" s="14" t="s">
        <v>323</v>
      </c>
    </row>
    <row r="1132" spans="1:7">
      <c r="A1132">
        <v>47</v>
      </c>
      <c r="B1132">
        <v>6</v>
      </c>
      <c r="C1132">
        <v>5</v>
      </c>
      <c r="E1132">
        <v>4</v>
      </c>
      <c r="F1132" t="str">
        <f t="shared" si="17"/>
        <v>F476G5T4</v>
      </c>
      <c r="G1132" s="14" t="s">
        <v>323</v>
      </c>
    </row>
    <row r="1133" spans="1:7">
      <c r="A1133">
        <v>47</v>
      </c>
      <c r="B1133">
        <v>7</v>
      </c>
      <c r="C1133">
        <v>5</v>
      </c>
      <c r="E1133">
        <v>4</v>
      </c>
      <c r="F1133" t="str">
        <f t="shared" si="17"/>
        <v>F477G5T4</v>
      </c>
      <c r="G1133" s="14" t="s">
        <v>323</v>
      </c>
    </row>
    <row r="1134" spans="1:7">
      <c r="A1134">
        <v>49</v>
      </c>
      <c r="B1134">
        <v>1</v>
      </c>
      <c r="C1134">
        <v>3</v>
      </c>
      <c r="E1134">
        <v>1</v>
      </c>
      <c r="F1134" t="str">
        <f t="shared" si="17"/>
        <v>F491G3T1</v>
      </c>
      <c r="G1134" s="14" t="s">
        <v>323</v>
      </c>
    </row>
    <row r="1135" spans="1:7">
      <c r="A1135">
        <v>49</v>
      </c>
      <c r="B1135">
        <v>2</v>
      </c>
      <c r="C1135">
        <v>3</v>
      </c>
      <c r="E1135">
        <v>1</v>
      </c>
      <c r="F1135" t="str">
        <f t="shared" si="17"/>
        <v>F492G3T1</v>
      </c>
      <c r="G1135" s="14" t="s">
        <v>323</v>
      </c>
    </row>
    <row r="1136" spans="1:7">
      <c r="A1136">
        <v>49</v>
      </c>
      <c r="B1136">
        <v>4</v>
      </c>
      <c r="C1136">
        <v>3</v>
      </c>
      <c r="E1136">
        <v>1</v>
      </c>
      <c r="F1136" t="str">
        <f t="shared" si="17"/>
        <v>F494G3T1</v>
      </c>
      <c r="G1136" s="14" t="s">
        <v>323</v>
      </c>
    </row>
    <row r="1137" spans="1:7">
      <c r="A1137">
        <v>49</v>
      </c>
      <c r="B1137">
        <v>5</v>
      </c>
      <c r="C1137">
        <v>3</v>
      </c>
      <c r="E1137">
        <v>1</v>
      </c>
      <c r="F1137" t="str">
        <f t="shared" si="17"/>
        <v>F495G3T1</v>
      </c>
      <c r="G1137" s="14" t="s">
        <v>323</v>
      </c>
    </row>
    <row r="1138" spans="1:7">
      <c r="A1138">
        <v>49</v>
      </c>
      <c r="B1138">
        <v>6</v>
      </c>
      <c r="C1138">
        <v>3</v>
      </c>
      <c r="E1138">
        <v>1</v>
      </c>
      <c r="F1138" t="str">
        <f t="shared" si="17"/>
        <v>F496G3T1</v>
      </c>
      <c r="G1138" s="14" t="s">
        <v>323</v>
      </c>
    </row>
    <row r="1139" spans="1:7">
      <c r="A1139">
        <v>49</v>
      </c>
      <c r="B1139">
        <v>7</v>
      </c>
      <c r="C1139">
        <v>3</v>
      </c>
      <c r="E1139">
        <v>1</v>
      </c>
      <c r="F1139" t="str">
        <f t="shared" si="17"/>
        <v>F497G3T1</v>
      </c>
      <c r="G1139" s="14" t="s">
        <v>323</v>
      </c>
    </row>
    <row r="1140" spans="1:7">
      <c r="A1140">
        <v>49</v>
      </c>
      <c r="B1140">
        <v>1</v>
      </c>
      <c r="C1140">
        <v>4</v>
      </c>
      <c r="E1140">
        <v>1</v>
      </c>
      <c r="F1140" t="str">
        <f t="shared" si="17"/>
        <v>F491G4T1</v>
      </c>
      <c r="G1140" s="14" t="s">
        <v>323</v>
      </c>
    </row>
    <row r="1141" spans="1:7">
      <c r="A1141">
        <v>49</v>
      </c>
      <c r="B1141">
        <v>2</v>
      </c>
      <c r="C1141">
        <v>4</v>
      </c>
      <c r="E1141">
        <v>1</v>
      </c>
      <c r="F1141" t="str">
        <f t="shared" si="17"/>
        <v>F492G4T1</v>
      </c>
      <c r="G1141" s="14" t="s">
        <v>323</v>
      </c>
    </row>
    <row r="1142" spans="1:7">
      <c r="A1142">
        <v>49</v>
      </c>
      <c r="B1142">
        <v>4</v>
      </c>
      <c r="C1142">
        <v>4</v>
      </c>
      <c r="E1142">
        <v>1</v>
      </c>
      <c r="F1142" t="str">
        <f t="shared" si="17"/>
        <v>F494G4T1</v>
      </c>
      <c r="G1142" s="14" t="s">
        <v>323</v>
      </c>
    </row>
    <row r="1143" spans="1:7">
      <c r="A1143">
        <v>49</v>
      </c>
      <c r="B1143">
        <v>5</v>
      </c>
      <c r="C1143">
        <v>4</v>
      </c>
      <c r="E1143">
        <v>1</v>
      </c>
      <c r="F1143" t="str">
        <f t="shared" si="17"/>
        <v>F495G4T1</v>
      </c>
      <c r="G1143" s="14" t="s">
        <v>323</v>
      </c>
    </row>
    <row r="1144" spans="1:7">
      <c r="A1144">
        <v>49</v>
      </c>
      <c r="B1144">
        <v>6</v>
      </c>
      <c r="C1144">
        <v>4</v>
      </c>
      <c r="E1144">
        <v>1</v>
      </c>
      <c r="F1144" t="str">
        <f t="shared" si="17"/>
        <v>F496G4T1</v>
      </c>
      <c r="G1144" s="14" t="s">
        <v>323</v>
      </c>
    </row>
    <row r="1145" spans="1:7">
      <c r="A1145">
        <v>49</v>
      </c>
      <c r="B1145">
        <v>7</v>
      </c>
      <c r="C1145">
        <v>4</v>
      </c>
      <c r="E1145">
        <v>1</v>
      </c>
      <c r="F1145" t="str">
        <f t="shared" si="17"/>
        <v>F497G4T1</v>
      </c>
      <c r="G1145" s="14" t="s">
        <v>323</v>
      </c>
    </row>
    <row r="1146" spans="1:7">
      <c r="A1146">
        <v>49</v>
      </c>
      <c r="B1146">
        <v>1</v>
      </c>
      <c r="C1146">
        <v>5</v>
      </c>
      <c r="E1146">
        <v>1</v>
      </c>
      <c r="F1146" t="str">
        <f t="shared" si="17"/>
        <v>F491G5T1</v>
      </c>
      <c r="G1146" s="14" t="s">
        <v>323</v>
      </c>
    </row>
    <row r="1147" spans="1:7">
      <c r="A1147">
        <v>49</v>
      </c>
      <c r="B1147">
        <v>2</v>
      </c>
      <c r="C1147">
        <v>5</v>
      </c>
      <c r="E1147">
        <v>1</v>
      </c>
      <c r="F1147" t="str">
        <f t="shared" si="17"/>
        <v>F492G5T1</v>
      </c>
      <c r="G1147" s="14" t="s">
        <v>323</v>
      </c>
    </row>
    <row r="1148" spans="1:7">
      <c r="A1148">
        <v>49</v>
      </c>
      <c r="B1148">
        <v>4</v>
      </c>
      <c r="C1148">
        <v>5</v>
      </c>
      <c r="E1148">
        <v>1</v>
      </c>
      <c r="F1148" t="str">
        <f t="shared" si="17"/>
        <v>F494G5T1</v>
      </c>
      <c r="G1148" s="14" t="s">
        <v>323</v>
      </c>
    </row>
    <row r="1149" spans="1:7">
      <c r="A1149">
        <v>49</v>
      </c>
      <c r="B1149">
        <v>5</v>
      </c>
      <c r="C1149">
        <v>5</v>
      </c>
      <c r="E1149">
        <v>1</v>
      </c>
      <c r="F1149" t="str">
        <f t="shared" si="17"/>
        <v>F495G5T1</v>
      </c>
      <c r="G1149" s="14" t="s">
        <v>323</v>
      </c>
    </row>
    <row r="1150" spans="1:7">
      <c r="A1150">
        <v>49</v>
      </c>
      <c r="B1150">
        <v>6</v>
      </c>
      <c r="C1150">
        <v>5</v>
      </c>
      <c r="E1150">
        <v>1</v>
      </c>
      <c r="F1150" t="str">
        <f t="shared" si="17"/>
        <v>F496G5T1</v>
      </c>
      <c r="G1150" s="14" t="s">
        <v>323</v>
      </c>
    </row>
    <row r="1151" spans="1:7">
      <c r="A1151">
        <v>49</v>
      </c>
      <c r="B1151">
        <v>7</v>
      </c>
      <c r="C1151">
        <v>5</v>
      </c>
      <c r="E1151">
        <v>1</v>
      </c>
      <c r="F1151" t="str">
        <f t="shared" si="17"/>
        <v>F497G5T1</v>
      </c>
      <c r="G1151" s="14" t="s">
        <v>323</v>
      </c>
    </row>
    <row r="1152" spans="1:7">
      <c r="A1152">
        <v>49</v>
      </c>
      <c r="B1152">
        <v>1</v>
      </c>
      <c r="C1152">
        <v>3</v>
      </c>
      <c r="E1152">
        <v>4</v>
      </c>
      <c r="F1152" t="str">
        <f t="shared" si="17"/>
        <v>F491G3T4</v>
      </c>
      <c r="G1152" s="14" t="s">
        <v>323</v>
      </c>
    </row>
    <row r="1153" spans="1:7">
      <c r="A1153">
        <v>49</v>
      </c>
      <c r="B1153">
        <v>2</v>
      </c>
      <c r="C1153">
        <v>3</v>
      </c>
      <c r="E1153">
        <v>4</v>
      </c>
      <c r="F1153" t="str">
        <f t="shared" si="17"/>
        <v>F492G3T4</v>
      </c>
      <c r="G1153" s="14" t="s">
        <v>323</v>
      </c>
    </row>
    <row r="1154" spans="1:7">
      <c r="A1154">
        <v>49</v>
      </c>
      <c r="B1154">
        <v>4</v>
      </c>
      <c r="C1154">
        <v>3</v>
      </c>
      <c r="E1154">
        <v>4</v>
      </c>
      <c r="F1154" t="str">
        <f t="shared" si="17"/>
        <v>F494G3T4</v>
      </c>
      <c r="G1154" s="14" t="s">
        <v>323</v>
      </c>
    </row>
    <row r="1155" spans="1:7">
      <c r="A1155">
        <v>49</v>
      </c>
      <c r="B1155">
        <v>5</v>
      </c>
      <c r="C1155">
        <v>3</v>
      </c>
      <c r="E1155">
        <v>4</v>
      </c>
      <c r="F1155" t="str">
        <f t="shared" ref="F1155:F1218" si="18">CONCATENATE("F",A1155,B1155,"G",C1155,"T",E1155)</f>
        <v>F495G3T4</v>
      </c>
      <c r="G1155" s="14" t="s">
        <v>323</v>
      </c>
    </row>
    <row r="1156" spans="1:7">
      <c r="A1156">
        <v>49</v>
      </c>
      <c r="B1156">
        <v>6</v>
      </c>
      <c r="C1156">
        <v>3</v>
      </c>
      <c r="E1156">
        <v>4</v>
      </c>
      <c r="F1156" t="str">
        <f t="shared" si="18"/>
        <v>F496G3T4</v>
      </c>
      <c r="G1156" s="14" t="s">
        <v>323</v>
      </c>
    </row>
    <row r="1157" spans="1:7">
      <c r="A1157">
        <v>49</v>
      </c>
      <c r="B1157">
        <v>7</v>
      </c>
      <c r="C1157">
        <v>3</v>
      </c>
      <c r="E1157">
        <v>4</v>
      </c>
      <c r="F1157" t="str">
        <f t="shared" si="18"/>
        <v>F497G3T4</v>
      </c>
      <c r="G1157" s="14" t="s">
        <v>323</v>
      </c>
    </row>
    <row r="1158" spans="1:7">
      <c r="A1158">
        <v>49</v>
      </c>
      <c r="B1158">
        <v>1</v>
      </c>
      <c r="C1158">
        <v>4</v>
      </c>
      <c r="E1158">
        <v>4</v>
      </c>
      <c r="F1158" t="str">
        <f t="shared" si="18"/>
        <v>F491G4T4</v>
      </c>
      <c r="G1158" s="14" t="s">
        <v>323</v>
      </c>
    </row>
    <row r="1159" spans="1:7">
      <c r="A1159">
        <v>49</v>
      </c>
      <c r="B1159">
        <v>2</v>
      </c>
      <c r="C1159">
        <v>4</v>
      </c>
      <c r="E1159">
        <v>4</v>
      </c>
      <c r="F1159" t="str">
        <f t="shared" si="18"/>
        <v>F492G4T4</v>
      </c>
      <c r="G1159" s="14" t="s">
        <v>323</v>
      </c>
    </row>
    <row r="1160" spans="1:7">
      <c r="A1160">
        <v>49</v>
      </c>
      <c r="B1160">
        <v>4</v>
      </c>
      <c r="C1160">
        <v>4</v>
      </c>
      <c r="E1160">
        <v>4</v>
      </c>
      <c r="F1160" t="str">
        <f t="shared" si="18"/>
        <v>F494G4T4</v>
      </c>
      <c r="G1160" s="14" t="s">
        <v>323</v>
      </c>
    </row>
    <row r="1161" spans="1:7">
      <c r="A1161">
        <v>49</v>
      </c>
      <c r="B1161">
        <v>5</v>
      </c>
      <c r="C1161">
        <v>4</v>
      </c>
      <c r="E1161">
        <v>4</v>
      </c>
      <c r="F1161" t="str">
        <f t="shared" si="18"/>
        <v>F495G4T4</v>
      </c>
      <c r="G1161" s="14" t="s">
        <v>323</v>
      </c>
    </row>
    <row r="1162" spans="1:7">
      <c r="A1162">
        <v>49</v>
      </c>
      <c r="B1162">
        <v>6</v>
      </c>
      <c r="C1162">
        <v>4</v>
      </c>
      <c r="E1162">
        <v>4</v>
      </c>
      <c r="F1162" t="str">
        <f t="shared" si="18"/>
        <v>F496G4T4</v>
      </c>
      <c r="G1162" s="14" t="s">
        <v>323</v>
      </c>
    </row>
    <row r="1163" spans="1:7">
      <c r="A1163">
        <v>49</v>
      </c>
      <c r="B1163">
        <v>7</v>
      </c>
      <c r="C1163">
        <v>4</v>
      </c>
      <c r="E1163">
        <v>4</v>
      </c>
      <c r="F1163" t="str">
        <f t="shared" si="18"/>
        <v>F497G4T4</v>
      </c>
      <c r="G1163" s="14" t="s">
        <v>323</v>
      </c>
    </row>
    <row r="1164" spans="1:7">
      <c r="A1164">
        <v>49</v>
      </c>
      <c r="B1164">
        <v>1</v>
      </c>
      <c r="C1164">
        <v>5</v>
      </c>
      <c r="E1164">
        <v>4</v>
      </c>
      <c r="F1164" t="str">
        <f t="shared" si="18"/>
        <v>F491G5T4</v>
      </c>
      <c r="G1164" s="14" t="s">
        <v>323</v>
      </c>
    </row>
    <row r="1165" spans="1:7">
      <c r="A1165">
        <v>49</v>
      </c>
      <c r="B1165">
        <v>2</v>
      </c>
      <c r="C1165">
        <v>5</v>
      </c>
      <c r="E1165">
        <v>4</v>
      </c>
      <c r="F1165" t="str">
        <f t="shared" si="18"/>
        <v>F492G5T4</v>
      </c>
      <c r="G1165" s="14" t="s">
        <v>323</v>
      </c>
    </row>
    <row r="1166" spans="1:7">
      <c r="A1166">
        <v>49</v>
      </c>
      <c r="B1166">
        <v>4</v>
      </c>
      <c r="C1166">
        <v>5</v>
      </c>
      <c r="E1166">
        <v>4</v>
      </c>
      <c r="F1166" t="str">
        <f t="shared" si="18"/>
        <v>F494G5T4</v>
      </c>
      <c r="G1166" s="14" t="s">
        <v>323</v>
      </c>
    </row>
    <row r="1167" spans="1:7">
      <c r="A1167">
        <v>49</v>
      </c>
      <c r="B1167">
        <v>5</v>
      </c>
      <c r="C1167">
        <v>5</v>
      </c>
      <c r="E1167">
        <v>4</v>
      </c>
      <c r="F1167" t="str">
        <f t="shared" si="18"/>
        <v>F495G5T4</v>
      </c>
      <c r="G1167" s="14" t="s">
        <v>323</v>
      </c>
    </row>
    <row r="1168" spans="1:7">
      <c r="A1168">
        <v>49</v>
      </c>
      <c r="B1168">
        <v>6</v>
      </c>
      <c r="C1168">
        <v>5</v>
      </c>
      <c r="E1168">
        <v>4</v>
      </c>
      <c r="F1168" t="str">
        <f t="shared" si="18"/>
        <v>F496G5T4</v>
      </c>
      <c r="G1168" s="14" t="s">
        <v>323</v>
      </c>
    </row>
    <row r="1169" spans="1:7">
      <c r="A1169">
        <v>49</v>
      </c>
      <c r="B1169">
        <v>7</v>
      </c>
      <c r="C1169">
        <v>5</v>
      </c>
      <c r="E1169">
        <v>4</v>
      </c>
      <c r="F1169" t="str">
        <f t="shared" si="18"/>
        <v>F497G5T4</v>
      </c>
      <c r="G1169" s="14" t="s">
        <v>323</v>
      </c>
    </row>
    <row r="1170" spans="1:7">
      <c r="A1170">
        <v>50</v>
      </c>
      <c r="B1170">
        <v>1</v>
      </c>
      <c r="C1170">
        <v>3</v>
      </c>
      <c r="E1170">
        <v>1</v>
      </c>
      <c r="F1170" t="str">
        <f t="shared" si="18"/>
        <v>F501G3T1</v>
      </c>
      <c r="G1170" s="14" t="s">
        <v>323</v>
      </c>
    </row>
    <row r="1171" spans="1:7">
      <c r="A1171">
        <v>50</v>
      </c>
      <c r="B1171">
        <v>2</v>
      </c>
      <c r="C1171">
        <v>3</v>
      </c>
      <c r="E1171">
        <v>1</v>
      </c>
      <c r="F1171" t="str">
        <f t="shared" si="18"/>
        <v>F502G3T1</v>
      </c>
      <c r="G1171" s="14" t="s">
        <v>323</v>
      </c>
    </row>
    <row r="1172" spans="1:7">
      <c r="A1172">
        <v>50</v>
      </c>
      <c r="B1172">
        <v>4</v>
      </c>
      <c r="C1172">
        <v>3</v>
      </c>
      <c r="E1172">
        <v>1</v>
      </c>
      <c r="F1172" t="str">
        <f t="shared" si="18"/>
        <v>F504G3T1</v>
      </c>
      <c r="G1172" s="14" t="s">
        <v>323</v>
      </c>
    </row>
    <row r="1173" spans="1:7">
      <c r="A1173">
        <v>50</v>
      </c>
      <c r="B1173">
        <v>5</v>
      </c>
      <c r="C1173">
        <v>3</v>
      </c>
      <c r="E1173">
        <v>1</v>
      </c>
      <c r="F1173" t="str">
        <f t="shared" si="18"/>
        <v>F505G3T1</v>
      </c>
      <c r="G1173" s="14" t="s">
        <v>323</v>
      </c>
    </row>
    <row r="1174" spans="1:7">
      <c r="A1174">
        <v>50</v>
      </c>
      <c r="B1174">
        <v>6</v>
      </c>
      <c r="C1174">
        <v>3</v>
      </c>
      <c r="E1174">
        <v>1</v>
      </c>
      <c r="F1174" t="str">
        <f t="shared" si="18"/>
        <v>F506G3T1</v>
      </c>
      <c r="G1174" s="14" t="s">
        <v>323</v>
      </c>
    </row>
    <row r="1175" spans="1:7">
      <c r="A1175">
        <v>50</v>
      </c>
      <c r="B1175">
        <v>7</v>
      </c>
      <c r="C1175">
        <v>3</v>
      </c>
      <c r="E1175">
        <v>1</v>
      </c>
      <c r="F1175" t="str">
        <f t="shared" si="18"/>
        <v>F507G3T1</v>
      </c>
      <c r="G1175" s="14" t="s">
        <v>323</v>
      </c>
    </row>
    <row r="1176" spans="1:7">
      <c r="A1176">
        <v>50</v>
      </c>
      <c r="B1176">
        <v>1</v>
      </c>
      <c r="C1176">
        <v>4</v>
      </c>
      <c r="E1176">
        <v>1</v>
      </c>
      <c r="F1176" t="str">
        <f t="shared" si="18"/>
        <v>F501G4T1</v>
      </c>
      <c r="G1176" s="14" t="s">
        <v>323</v>
      </c>
    </row>
    <row r="1177" spans="1:7">
      <c r="A1177">
        <v>50</v>
      </c>
      <c r="B1177">
        <v>2</v>
      </c>
      <c r="C1177">
        <v>4</v>
      </c>
      <c r="E1177">
        <v>1</v>
      </c>
      <c r="F1177" t="str">
        <f t="shared" si="18"/>
        <v>F502G4T1</v>
      </c>
      <c r="G1177" s="14" t="s">
        <v>323</v>
      </c>
    </row>
    <row r="1178" spans="1:7">
      <c r="A1178">
        <v>50</v>
      </c>
      <c r="B1178">
        <v>4</v>
      </c>
      <c r="C1178">
        <v>4</v>
      </c>
      <c r="E1178">
        <v>1</v>
      </c>
      <c r="F1178" t="str">
        <f t="shared" si="18"/>
        <v>F504G4T1</v>
      </c>
      <c r="G1178" s="14" t="s">
        <v>323</v>
      </c>
    </row>
    <row r="1179" spans="1:7">
      <c r="A1179">
        <v>50</v>
      </c>
      <c r="B1179">
        <v>5</v>
      </c>
      <c r="C1179">
        <v>4</v>
      </c>
      <c r="E1179">
        <v>1</v>
      </c>
      <c r="F1179" t="str">
        <f t="shared" si="18"/>
        <v>F505G4T1</v>
      </c>
      <c r="G1179" s="14" t="s">
        <v>323</v>
      </c>
    </row>
    <row r="1180" spans="1:7">
      <c r="A1180">
        <v>50</v>
      </c>
      <c r="B1180">
        <v>6</v>
      </c>
      <c r="C1180">
        <v>4</v>
      </c>
      <c r="E1180">
        <v>1</v>
      </c>
      <c r="F1180" t="str">
        <f t="shared" si="18"/>
        <v>F506G4T1</v>
      </c>
      <c r="G1180" s="14" t="s">
        <v>323</v>
      </c>
    </row>
    <row r="1181" spans="1:7">
      <c r="A1181">
        <v>50</v>
      </c>
      <c r="B1181">
        <v>7</v>
      </c>
      <c r="C1181">
        <v>4</v>
      </c>
      <c r="E1181">
        <v>1</v>
      </c>
      <c r="F1181" t="str">
        <f t="shared" si="18"/>
        <v>F507G4T1</v>
      </c>
      <c r="G1181" s="14" t="s">
        <v>323</v>
      </c>
    </row>
    <row r="1182" spans="1:7">
      <c r="A1182">
        <v>50</v>
      </c>
      <c r="B1182">
        <v>1</v>
      </c>
      <c r="C1182">
        <v>5</v>
      </c>
      <c r="E1182">
        <v>1</v>
      </c>
      <c r="F1182" t="str">
        <f t="shared" si="18"/>
        <v>F501G5T1</v>
      </c>
      <c r="G1182" s="14" t="s">
        <v>323</v>
      </c>
    </row>
    <row r="1183" spans="1:7">
      <c r="A1183">
        <v>50</v>
      </c>
      <c r="B1183">
        <v>2</v>
      </c>
      <c r="C1183">
        <v>5</v>
      </c>
      <c r="E1183">
        <v>1</v>
      </c>
      <c r="F1183" t="str">
        <f t="shared" si="18"/>
        <v>F502G5T1</v>
      </c>
      <c r="G1183" s="14" t="s">
        <v>323</v>
      </c>
    </row>
    <row r="1184" spans="1:7">
      <c r="A1184">
        <v>50</v>
      </c>
      <c r="B1184">
        <v>4</v>
      </c>
      <c r="C1184">
        <v>5</v>
      </c>
      <c r="E1184">
        <v>1</v>
      </c>
      <c r="F1184" t="str">
        <f t="shared" si="18"/>
        <v>F504G5T1</v>
      </c>
      <c r="G1184" s="14" t="s">
        <v>323</v>
      </c>
    </row>
    <row r="1185" spans="1:7">
      <c r="A1185">
        <v>50</v>
      </c>
      <c r="B1185">
        <v>5</v>
      </c>
      <c r="C1185">
        <v>5</v>
      </c>
      <c r="E1185">
        <v>1</v>
      </c>
      <c r="F1185" t="str">
        <f t="shared" si="18"/>
        <v>F505G5T1</v>
      </c>
      <c r="G1185" s="14" t="s">
        <v>323</v>
      </c>
    </row>
    <row r="1186" spans="1:7">
      <c r="A1186">
        <v>50</v>
      </c>
      <c r="B1186">
        <v>6</v>
      </c>
      <c r="C1186">
        <v>5</v>
      </c>
      <c r="E1186">
        <v>1</v>
      </c>
      <c r="F1186" t="str">
        <f t="shared" si="18"/>
        <v>F506G5T1</v>
      </c>
      <c r="G1186" s="14" t="s">
        <v>323</v>
      </c>
    </row>
    <row r="1187" spans="1:7">
      <c r="A1187">
        <v>50</v>
      </c>
      <c r="B1187">
        <v>7</v>
      </c>
      <c r="C1187">
        <v>5</v>
      </c>
      <c r="E1187">
        <v>1</v>
      </c>
      <c r="F1187" t="str">
        <f t="shared" si="18"/>
        <v>F507G5T1</v>
      </c>
      <c r="G1187" s="14" t="s">
        <v>323</v>
      </c>
    </row>
    <row r="1188" spans="1:7">
      <c r="A1188">
        <v>50</v>
      </c>
      <c r="B1188">
        <v>1</v>
      </c>
      <c r="C1188">
        <v>3</v>
      </c>
      <c r="E1188">
        <v>4</v>
      </c>
      <c r="F1188" t="str">
        <f t="shared" si="18"/>
        <v>F501G3T4</v>
      </c>
      <c r="G1188" s="14" t="s">
        <v>323</v>
      </c>
    </row>
    <row r="1189" spans="1:7">
      <c r="A1189">
        <v>50</v>
      </c>
      <c r="B1189">
        <v>2</v>
      </c>
      <c r="C1189">
        <v>3</v>
      </c>
      <c r="E1189">
        <v>4</v>
      </c>
      <c r="F1189" t="str">
        <f t="shared" si="18"/>
        <v>F502G3T4</v>
      </c>
      <c r="G1189" s="14" t="s">
        <v>323</v>
      </c>
    </row>
    <row r="1190" spans="1:7">
      <c r="A1190">
        <v>50</v>
      </c>
      <c r="B1190">
        <v>4</v>
      </c>
      <c r="C1190">
        <v>3</v>
      </c>
      <c r="E1190">
        <v>4</v>
      </c>
      <c r="F1190" t="str">
        <f t="shared" si="18"/>
        <v>F504G3T4</v>
      </c>
      <c r="G1190" s="14" t="s">
        <v>323</v>
      </c>
    </row>
    <row r="1191" spans="1:7">
      <c r="A1191">
        <v>50</v>
      </c>
      <c r="B1191">
        <v>5</v>
      </c>
      <c r="C1191">
        <v>3</v>
      </c>
      <c r="E1191">
        <v>4</v>
      </c>
      <c r="F1191" t="str">
        <f t="shared" si="18"/>
        <v>F505G3T4</v>
      </c>
      <c r="G1191" s="14" t="s">
        <v>323</v>
      </c>
    </row>
    <row r="1192" spans="1:7">
      <c r="A1192">
        <v>50</v>
      </c>
      <c r="B1192">
        <v>6</v>
      </c>
      <c r="C1192">
        <v>3</v>
      </c>
      <c r="E1192">
        <v>4</v>
      </c>
      <c r="F1192" t="str">
        <f t="shared" si="18"/>
        <v>F506G3T4</v>
      </c>
      <c r="G1192" s="14" t="s">
        <v>323</v>
      </c>
    </row>
    <row r="1193" spans="1:7">
      <c r="A1193">
        <v>50</v>
      </c>
      <c r="B1193">
        <v>7</v>
      </c>
      <c r="C1193">
        <v>3</v>
      </c>
      <c r="E1193">
        <v>4</v>
      </c>
      <c r="F1193" t="str">
        <f t="shared" si="18"/>
        <v>F507G3T4</v>
      </c>
      <c r="G1193" s="14" t="s">
        <v>323</v>
      </c>
    </row>
    <row r="1194" spans="1:7">
      <c r="A1194">
        <v>50</v>
      </c>
      <c r="B1194">
        <v>1</v>
      </c>
      <c r="C1194">
        <v>4</v>
      </c>
      <c r="E1194">
        <v>4</v>
      </c>
      <c r="F1194" t="str">
        <f t="shared" si="18"/>
        <v>F501G4T4</v>
      </c>
      <c r="G1194" s="14" t="s">
        <v>323</v>
      </c>
    </row>
    <row r="1195" spans="1:7">
      <c r="A1195">
        <v>50</v>
      </c>
      <c r="B1195">
        <v>2</v>
      </c>
      <c r="C1195">
        <v>4</v>
      </c>
      <c r="E1195">
        <v>4</v>
      </c>
      <c r="F1195" t="str">
        <f t="shared" si="18"/>
        <v>F502G4T4</v>
      </c>
      <c r="G1195" s="14" t="s">
        <v>323</v>
      </c>
    </row>
    <row r="1196" spans="1:7">
      <c r="A1196">
        <v>50</v>
      </c>
      <c r="B1196">
        <v>4</v>
      </c>
      <c r="C1196">
        <v>4</v>
      </c>
      <c r="E1196">
        <v>4</v>
      </c>
      <c r="F1196" t="str">
        <f t="shared" si="18"/>
        <v>F504G4T4</v>
      </c>
      <c r="G1196" s="14" t="s">
        <v>323</v>
      </c>
    </row>
    <row r="1197" spans="1:7">
      <c r="A1197">
        <v>50</v>
      </c>
      <c r="B1197">
        <v>5</v>
      </c>
      <c r="C1197">
        <v>4</v>
      </c>
      <c r="E1197">
        <v>4</v>
      </c>
      <c r="F1197" t="str">
        <f t="shared" si="18"/>
        <v>F505G4T4</v>
      </c>
      <c r="G1197" s="14" t="s">
        <v>323</v>
      </c>
    </row>
    <row r="1198" spans="1:7">
      <c r="A1198">
        <v>50</v>
      </c>
      <c r="B1198">
        <v>6</v>
      </c>
      <c r="C1198">
        <v>4</v>
      </c>
      <c r="E1198">
        <v>4</v>
      </c>
      <c r="F1198" t="str">
        <f t="shared" si="18"/>
        <v>F506G4T4</v>
      </c>
      <c r="G1198" s="14" t="s">
        <v>323</v>
      </c>
    </row>
    <row r="1199" spans="1:7">
      <c r="A1199">
        <v>50</v>
      </c>
      <c r="B1199">
        <v>7</v>
      </c>
      <c r="C1199">
        <v>4</v>
      </c>
      <c r="E1199">
        <v>4</v>
      </c>
      <c r="F1199" t="str">
        <f t="shared" si="18"/>
        <v>F507G4T4</v>
      </c>
      <c r="G1199" s="14" t="s">
        <v>323</v>
      </c>
    </row>
    <row r="1200" spans="1:7">
      <c r="A1200">
        <v>50</v>
      </c>
      <c r="B1200">
        <v>1</v>
      </c>
      <c r="C1200">
        <v>5</v>
      </c>
      <c r="E1200">
        <v>4</v>
      </c>
      <c r="F1200" t="str">
        <f t="shared" si="18"/>
        <v>F501G5T4</v>
      </c>
      <c r="G1200" s="14" t="s">
        <v>323</v>
      </c>
    </row>
    <row r="1201" spans="1:7">
      <c r="A1201">
        <v>50</v>
      </c>
      <c r="B1201">
        <v>2</v>
      </c>
      <c r="C1201">
        <v>5</v>
      </c>
      <c r="E1201">
        <v>4</v>
      </c>
      <c r="F1201" t="str">
        <f t="shared" si="18"/>
        <v>F502G5T4</v>
      </c>
      <c r="G1201" s="14" t="s">
        <v>323</v>
      </c>
    </row>
    <row r="1202" spans="1:7">
      <c r="A1202">
        <v>50</v>
      </c>
      <c r="B1202">
        <v>4</v>
      </c>
      <c r="C1202">
        <v>5</v>
      </c>
      <c r="E1202">
        <v>4</v>
      </c>
      <c r="F1202" t="str">
        <f t="shared" si="18"/>
        <v>F504G5T4</v>
      </c>
      <c r="G1202" s="14" t="s">
        <v>323</v>
      </c>
    </row>
    <row r="1203" spans="1:7">
      <c r="A1203">
        <v>50</v>
      </c>
      <c r="B1203">
        <v>5</v>
      </c>
      <c r="C1203">
        <v>5</v>
      </c>
      <c r="E1203">
        <v>4</v>
      </c>
      <c r="F1203" t="str">
        <f t="shared" si="18"/>
        <v>F505G5T4</v>
      </c>
      <c r="G1203" s="14" t="s">
        <v>323</v>
      </c>
    </row>
    <row r="1204" spans="1:7">
      <c r="A1204">
        <v>50</v>
      </c>
      <c r="B1204">
        <v>6</v>
      </c>
      <c r="C1204">
        <v>5</v>
      </c>
      <c r="E1204">
        <v>4</v>
      </c>
      <c r="F1204" t="str">
        <f t="shared" si="18"/>
        <v>F506G5T4</v>
      </c>
      <c r="G1204" s="14" t="s">
        <v>323</v>
      </c>
    </row>
    <row r="1205" spans="1:7">
      <c r="A1205">
        <v>50</v>
      </c>
      <c r="B1205">
        <v>7</v>
      </c>
      <c r="C1205">
        <v>5</v>
      </c>
      <c r="E1205">
        <v>4</v>
      </c>
      <c r="F1205" t="str">
        <f t="shared" si="18"/>
        <v>F507G5T4</v>
      </c>
      <c r="G1205" s="14" t="s">
        <v>323</v>
      </c>
    </row>
    <row r="1206" spans="1:7">
      <c r="A1206">
        <v>52</v>
      </c>
      <c r="B1206">
        <v>1</v>
      </c>
      <c r="C1206">
        <v>3</v>
      </c>
      <c r="E1206">
        <v>1</v>
      </c>
      <c r="F1206" t="str">
        <f t="shared" si="18"/>
        <v>F521G3T1</v>
      </c>
      <c r="G1206" s="14" t="s">
        <v>323</v>
      </c>
    </row>
    <row r="1207" spans="1:7">
      <c r="A1207">
        <v>52</v>
      </c>
      <c r="B1207">
        <v>2</v>
      </c>
      <c r="C1207">
        <v>3</v>
      </c>
      <c r="E1207">
        <v>1</v>
      </c>
      <c r="F1207" t="str">
        <f t="shared" si="18"/>
        <v>F522G3T1</v>
      </c>
      <c r="G1207" s="14" t="s">
        <v>323</v>
      </c>
    </row>
    <row r="1208" spans="1:7">
      <c r="A1208">
        <v>52</v>
      </c>
      <c r="B1208">
        <v>4</v>
      </c>
      <c r="C1208">
        <v>3</v>
      </c>
      <c r="E1208">
        <v>1</v>
      </c>
      <c r="F1208" t="str">
        <f t="shared" si="18"/>
        <v>F524G3T1</v>
      </c>
      <c r="G1208" s="14" t="s">
        <v>323</v>
      </c>
    </row>
    <row r="1209" spans="1:7">
      <c r="A1209">
        <v>52</v>
      </c>
      <c r="B1209">
        <v>5</v>
      </c>
      <c r="C1209">
        <v>3</v>
      </c>
      <c r="E1209">
        <v>1</v>
      </c>
      <c r="F1209" t="str">
        <f t="shared" si="18"/>
        <v>F525G3T1</v>
      </c>
      <c r="G1209" s="14" t="s">
        <v>323</v>
      </c>
    </row>
    <row r="1210" spans="1:7">
      <c r="A1210">
        <v>52</v>
      </c>
      <c r="B1210">
        <v>6</v>
      </c>
      <c r="C1210">
        <v>3</v>
      </c>
      <c r="E1210">
        <v>1</v>
      </c>
      <c r="F1210" t="str">
        <f t="shared" si="18"/>
        <v>F526G3T1</v>
      </c>
      <c r="G1210" s="14" t="s">
        <v>323</v>
      </c>
    </row>
    <row r="1211" spans="1:7">
      <c r="A1211">
        <v>52</v>
      </c>
      <c r="B1211">
        <v>7</v>
      </c>
      <c r="C1211">
        <v>3</v>
      </c>
      <c r="E1211">
        <v>1</v>
      </c>
      <c r="F1211" t="str">
        <f t="shared" si="18"/>
        <v>F527G3T1</v>
      </c>
      <c r="G1211" s="14" t="s">
        <v>323</v>
      </c>
    </row>
    <row r="1212" spans="1:7">
      <c r="A1212">
        <v>52</v>
      </c>
      <c r="B1212">
        <v>1</v>
      </c>
      <c r="C1212">
        <v>4</v>
      </c>
      <c r="E1212">
        <v>1</v>
      </c>
      <c r="F1212" t="str">
        <f t="shared" si="18"/>
        <v>F521G4T1</v>
      </c>
      <c r="G1212" s="14" t="s">
        <v>323</v>
      </c>
    </row>
    <row r="1213" spans="1:7">
      <c r="A1213">
        <v>52</v>
      </c>
      <c r="B1213">
        <v>2</v>
      </c>
      <c r="C1213">
        <v>4</v>
      </c>
      <c r="E1213">
        <v>1</v>
      </c>
      <c r="F1213" t="str">
        <f t="shared" si="18"/>
        <v>F522G4T1</v>
      </c>
      <c r="G1213" s="14" t="s">
        <v>323</v>
      </c>
    </row>
    <row r="1214" spans="1:7">
      <c r="A1214">
        <v>52</v>
      </c>
      <c r="B1214">
        <v>4</v>
      </c>
      <c r="C1214">
        <v>4</v>
      </c>
      <c r="E1214">
        <v>1</v>
      </c>
      <c r="F1214" t="str">
        <f t="shared" si="18"/>
        <v>F524G4T1</v>
      </c>
      <c r="G1214" s="14" t="s">
        <v>323</v>
      </c>
    </row>
    <row r="1215" spans="1:7">
      <c r="A1215">
        <v>52</v>
      </c>
      <c r="B1215">
        <v>5</v>
      </c>
      <c r="C1215">
        <v>4</v>
      </c>
      <c r="E1215">
        <v>1</v>
      </c>
      <c r="F1215" t="str">
        <f t="shared" si="18"/>
        <v>F525G4T1</v>
      </c>
      <c r="G1215" s="14" t="s">
        <v>323</v>
      </c>
    </row>
    <row r="1216" spans="1:7">
      <c r="A1216">
        <v>52</v>
      </c>
      <c r="B1216">
        <v>6</v>
      </c>
      <c r="C1216">
        <v>4</v>
      </c>
      <c r="E1216">
        <v>1</v>
      </c>
      <c r="F1216" t="str">
        <f t="shared" si="18"/>
        <v>F526G4T1</v>
      </c>
      <c r="G1216" s="14" t="s">
        <v>323</v>
      </c>
    </row>
    <row r="1217" spans="1:7">
      <c r="A1217">
        <v>52</v>
      </c>
      <c r="B1217">
        <v>7</v>
      </c>
      <c r="C1217">
        <v>4</v>
      </c>
      <c r="E1217">
        <v>1</v>
      </c>
      <c r="F1217" t="str">
        <f t="shared" si="18"/>
        <v>F527G4T1</v>
      </c>
      <c r="G1217" s="14" t="s">
        <v>323</v>
      </c>
    </row>
    <row r="1218" spans="1:7">
      <c r="A1218">
        <v>52</v>
      </c>
      <c r="B1218">
        <v>1</v>
      </c>
      <c r="C1218">
        <v>5</v>
      </c>
      <c r="E1218">
        <v>1</v>
      </c>
      <c r="F1218" t="str">
        <f t="shared" si="18"/>
        <v>F521G5T1</v>
      </c>
      <c r="G1218" s="14" t="s">
        <v>323</v>
      </c>
    </row>
    <row r="1219" spans="1:7">
      <c r="A1219">
        <v>52</v>
      </c>
      <c r="B1219">
        <v>2</v>
      </c>
      <c r="C1219">
        <v>5</v>
      </c>
      <c r="E1219">
        <v>1</v>
      </c>
      <c r="F1219" t="str">
        <f t="shared" ref="F1219:F1282" si="19">CONCATENATE("F",A1219,B1219,"G",C1219,"T",E1219)</f>
        <v>F522G5T1</v>
      </c>
      <c r="G1219" s="14" t="s">
        <v>323</v>
      </c>
    </row>
    <row r="1220" spans="1:7">
      <c r="A1220">
        <v>52</v>
      </c>
      <c r="B1220">
        <v>4</v>
      </c>
      <c r="C1220">
        <v>5</v>
      </c>
      <c r="E1220">
        <v>1</v>
      </c>
      <c r="F1220" t="str">
        <f t="shared" si="19"/>
        <v>F524G5T1</v>
      </c>
      <c r="G1220" s="14" t="s">
        <v>323</v>
      </c>
    </row>
    <row r="1221" spans="1:7">
      <c r="A1221">
        <v>52</v>
      </c>
      <c r="B1221">
        <v>5</v>
      </c>
      <c r="C1221">
        <v>5</v>
      </c>
      <c r="E1221">
        <v>1</v>
      </c>
      <c r="F1221" t="str">
        <f t="shared" si="19"/>
        <v>F525G5T1</v>
      </c>
      <c r="G1221" s="14" t="s">
        <v>323</v>
      </c>
    </row>
    <row r="1222" spans="1:7">
      <c r="A1222">
        <v>52</v>
      </c>
      <c r="B1222">
        <v>6</v>
      </c>
      <c r="C1222">
        <v>5</v>
      </c>
      <c r="E1222">
        <v>1</v>
      </c>
      <c r="F1222" t="str">
        <f t="shared" si="19"/>
        <v>F526G5T1</v>
      </c>
      <c r="G1222" s="14" t="s">
        <v>323</v>
      </c>
    </row>
    <row r="1223" spans="1:7">
      <c r="A1223">
        <v>52</v>
      </c>
      <c r="B1223">
        <v>7</v>
      </c>
      <c r="C1223">
        <v>5</v>
      </c>
      <c r="E1223">
        <v>1</v>
      </c>
      <c r="F1223" t="str">
        <f t="shared" si="19"/>
        <v>F527G5T1</v>
      </c>
      <c r="G1223" s="14" t="s">
        <v>323</v>
      </c>
    </row>
    <row r="1224" spans="1:7">
      <c r="A1224">
        <v>52</v>
      </c>
      <c r="B1224">
        <v>1</v>
      </c>
      <c r="C1224">
        <v>3</v>
      </c>
      <c r="E1224">
        <v>4</v>
      </c>
      <c r="F1224" t="str">
        <f t="shared" si="19"/>
        <v>F521G3T4</v>
      </c>
      <c r="G1224" s="14" t="s">
        <v>323</v>
      </c>
    </row>
    <row r="1225" spans="1:7">
      <c r="A1225">
        <v>52</v>
      </c>
      <c r="B1225">
        <v>2</v>
      </c>
      <c r="C1225">
        <v>3</v>
      </c>
      <c r="E1225">
        <v>4</v>
      </c>
      <c r="F1225" t="str">
        <f t="shared" si="19"/>
        <v>F522G3T4</v>
      </c>
      <c r="G1225" s="14" t="s">
        <v>323</v>
      </c>
    </row>
    <row r="1226" spans="1:7">
      <c r="A1226">
        <v>52</v>
      </c>
      <c r="B1226">
        <v>4</v>
      </c>
      <c r="C1226">
        <v>3</v>
      </c>
      <c r="E1226">
        <v>4</v>
      </c>
      <c r="F1226" t="str">
        <f t="shared" si="19"/>
        <v>F524G3T4</v>
      </c>
      <c r="G1226" s="14" t="s">
        <v>323</v>
      </c>
    </row>
    <row r="1227" spans="1:7">
      <c r="A1227">
        <v>52</v>
      </c>
      <c r="B1227">
        <v>5</v>
      </c>
      <c r="C1227">
        <v>3</v>
      </c>
      <c r="E1227">
        <v>4</v>
      </c>
      <c r="F1227" t="str">
        <f t="shared" si="19"/>
        <v>F525G3T4</v>
      </c>
      <c r="G1227" s="14" t="s">
        <v>323</v>
      </c>
    </row>
    <row r="1228" spans="1:7">
      <c r="A1228">
        <v>52</v>
      </c>
      <c r="B1228">
        <v>6</v>
      </c>
      <c r="C1228">
        <v>3</v>
      </c>
      <c r="E1228">
        <v>4</v>
      </c>
      <c r="F1228" t="str">
        <f t="shared" si="19"/>
        <v>F526G3T4</v>
      </c>
      <c r="G1228" s="14" t="s">
        <v>323</v>
      </c>
    </row>
    <row r="1229" spans="1:7">
      <c r="A1229">
        <v>52</v>
      </c>
      <c r="B1229">
        <v>7</v>
      </c>
      <c r="C1229">
        <v>3</v>
      </c>
      <c r="E1229">
        <v>4</v>
      </c>
      <c r="F1229" t="str">
        <f t="shared" si="19"/>
        <v>F527G3T4</v>
      </c>
      <c r="G1229" s="14" t="s">
        <v>323</v>
      </c>
    </row>
    <row r="1230" spans="1:7">
      <c r="A1230">
        <v>52</v>
      </c>
      <c r="B1230">
        <v>1</v>
      </c>
      <c r="C1230">
        <v>4</v>
      </c>
      <c r="E1230">
        <v>4</v>
      </c>
      <c r="F1230" t="str">
        <f t="shared" si="19"/>
        <v>F521G4T4</v>
      </c>
      <c r="G1230" s="14" t="s">
        <v>323</v>
      </c>
    </row>
    <row r="1231" spans="1:7">
      <c r="A1231">
        <v>52</v>
      </c>
      <c r="B1231">
        <v>2</v>
      </c>
      <c r="C1231">
        <v>4</v>
      </c>
      <c r="E1231">
        <v>4</v>
      </c>
      <c r="F1231" t="str">
        <f t="shared" si="19"/>
        <v>F522G4T4</v>
      </c>
      <c r="G1231" s="14" t="s">
        <v>323</v>
      </c>
    </row>
    <row r="1232" spans="1:7">
      <c r="A1232">
        <v>52</v>
      </c>
      <c r="B1232">
        <v>4</v>
      </c>
      <c r="C1232">
        <v>4</v>
      </c>
      <c r="E1232">
        <v>4</v>
      </c>
      <c r="F1232" t="str">
        <f t="shared" si="19"/>
        <v>F524G4T4</v>
      </c>
      <c r="G1232" s="14" t="s">
        <v>323</v>
      </c>
    </row>
    <row r="1233" spans="1:7">
      <c r="A1233">
        <v>52</v>
      </c>
      <c r="B1233">
        <v>5</v>
      </c>
      <c r="C1233">
        <v>4</v>
      </c>
      <c r="E1233">
        <v>4</v>
      </c>
      <c r="F1233" t="str">
        <f t="shared" si="19"/>
        <v>F525G4T4</v>
      </c>
      <c r="G1233" s="14" t="s">
        <v>323</v>
      </c>
    </row>
    <row r="1234" spans="1:7">
      <c r="A1234">
        <v>52</v>
      </c>
      <c r="B1234">
        <v>6</v>
      </c>
      <c r="C1234">
        <v>4</v>
      </c>
      <c r="E1234">
        <v>4</v>
      </c>
      <c r="F1234" t="str">
        <f t="shared" si="19"/>
        <v>F526G4T4</v>
      </c>
      <c r="G1234" s="14" t="s">
        <v>323</v>
      </c>
    </row>
    <row r="1235" spans="1:7">
      <c r="A1235">
        <v>52</v>
      </c>
      <c r="B1235">
        <v>7</v>
      </c>
      <c r="C1235">
        <v>4</v>
      </c>
      <c r="E1235">
        <v>4</v>
      </c>
      <c r="F1235" t="str">
        <f t="shared" si="19"/>
        <v>F527G4T4</v>
      </c>
      <c r="G1235" s="14" t="s">
        <v>323</v>
      </c>
    </row>
    <row r="1236" spans="1:7">
      <c r="A1236">
        <v>52</v>
      </c>
      <c r="B1236">
        <v>1</v>
      </c>
      <c r="C1236">
        <v>5</v>
      </c>
      <c r="E1236">
        <v>4</v>
      </c>
      <c r="F1236" t="str">
        <f t="shared" si="19"/>
        <v>F521G5T4</v>
      </c>
      <c r="G1236" s="14" t="s">
        <v>323</v>
      </c>
    </row>
    <row r="1237" spans="1:7">
      <c r="A1237">
        <v>52</v>
      </c>
      <c r="B1237">
        <v>2</v>
      </c>
      <c r="C1237">
        <v>5</v>
      </c>
      <c r="E1237">
        <v>4</v>
      </c>
      <c r="F1237" t="str">
        <f t="shared" si="19"/>
        <v>F522G5T4</v>
      </c>
      <c r="G1237" s="14" t="s">
        <v>323</v>
      </c>
    </row>
    <row r="1238" spans="1:7">
      <c r="A1238">
        <v>52</v>
      </c>
      <c r="B1238">
        <v>4</v>
      </c>
      <c r="C1238">
        <v>5</v>
      </c>
      <c r="E1238">
        <v>4</v>
      </c>
      <c r="F1238" t="str">
        <f t="shared" si="19"/>
        <v>F524G5T4</v>
      </c>
      <c r="G1238" s="14" t="s">
        <v>323</v>
      </c>
    </row>
    <row r="1239" spans="1:7">
      <c r="A1239">
        <v>52</v>
      </c>
      <c r="B1239">
        <v>5</v>
      </c>
      <c r="C1239">
        <v>5</v>
      </c>
      <c r="E1239">
        <v>4</v>
      </c>
      <c r="F1239" t="str">
        <f t="shared" si="19"/>
        <v>F525G5T4</v>
      </c>
      <c r="G1239" s="14" t="s">
        <v>323</v>
      </c>
    </row>
    <row r="1240" spans="1:7">
      <c r="A1240">
        <v>52</v>
      </c>
      <c r="B1240">
        <v>6</v>
      </c>
      <c r="C1240">
        <v>5</v>
      </c>
      <c r="E1240">
        <v>4</v>
      </c>
      <c r="F1240" t="str">
        <f t="shared" si="19"/>
        <v>F526G5T4</v>
      </c>
      <c r="G1240" s="14" t="s">
        <v>323</v>
      </c>
    </row>
    <row r="1241" spans="1:7">
      <c r="A1241">
        <v>52</v>
      </c>
      <c r="B1241">
        <v>7</v>
      </c>
      <c r="C1241">
        <v>5</v>
      </c>
      <c r="E1241">
        <v>4</v>
      </c>
      <c r="F1241" t="str">
        <f t="shared" si="19"/>
        <v>F527G5T4</v>
      </c>
      <c r="G1241" s="14" t="s">
        <v>323</v>
      </c>
    </row>
    <row r="1242" spans="1:7">
      <c r="A1242">
        <v>54</v>
      </c>
      <c r="B1242">
        <v>1</v>
      </c>
      <c r="C1242">
        <v>3</v>
      </c>
      <c r="E1242">
        <v>1</v>
      </c>
      <c r="F1242" t="str">
        <f t="shared" si="19"/>
        <v>F541G3T1</v>
      </c>
      <c r="G1242" s="14" t="s">
        <v>323</v>
      </c>
    </row>
    <row r="1243" spans="1:7">
      <c r="A1243">
        <v>54</v>
      </c>
      <c r="B1243">
        <v>2</v>
      </c>
      <c r="C1243">
        <v>3</v>
      </c>
      <c r="E1243">
        <v>1</v>
      </c>
      <c r="F1243" t="str">
        <f t="shared" si="19"/>
        <v>F542G3T1</v>
      </c>
      <c r="G1243" s="14" t="s">
        <v>323</v>
      </c>
    </row>
    <row r="1244" spans="1:7">
      <c r="A1244">
        <v>54</v>
      </c>
      <c r="B1244">
        <v>4</v>
      </c>
      <c r="C1244">
        <v>3</v>
      </c>
      <c r="E1244">
        <v>1</v>
      </c>
      <c r="F1244" t="str">
        <f t="shared" si="19"/>
        <v>F544G3T1</v>
      </c>
      <c r="G1244" s="14" t="s">
        <v>323</v>
      </c>
    </row>
    <row r="1245" spans="1:7">
      <c r="A1245">
        <v>54</v>
      </c>
      <c r="B1245">
        <v>5</v>
      </c>
      <c r="C1245">
        <v>3</v>
      </c>
      <c r="E1245">
        <v>1</v>
      </c>
      <c r="F1245" t="str">
        <f t="shared" si="19"/>
        <v>F545G3T1</v>
      </c>
      <c r="G1245" s="14" t="s">
        <v>323</v>
      </c>
    </row>
    <row r="1246" spans="1:7">
      <c r="A1246">
        <v>54</v>
      </c>
      <c r="B1246">
        <v>6</v>
      </c>
      <c r="C1246">
        <v>3</v>
      </c>
      <c r="E1246">
        <v>1</v>
      </c>
      <c r="F1246" t="str">
        <f t="shared" si="19"/>
        <v>F546G3T1</v>
      </c>
      <c r="G1246" s="14" t="s">
        <v>323</v>
      </c>
    </row>
    <row r="1247" spans="1:7">
      <c r="A1247">
        <v>54</v>
      </c>
      <c r="B1247">
        <v>7</v>
      </c>
      <c r="C1247">
        <v>3</v>
      </c>
      <c r="E1247">
        <v>1</v>
      </c>
      <c r="F1247" t="str">
        <f t="shared" si="19"/>
        <v>F547G3T1</v>
      </c>
      <c r="G1247" s="14" t="s">
        <v>323</v>
      </c>
    </row>
    <row r="1248" spans="1:7">
      <c r="A1248">
        <v>54</v>
      </c>
      <c r="B1248">
        <v>1</v>
      </c>
      <c r="C1248">
        <v>4</v>
      </c>
      <c r="E1248">
        <v>1</v>
      </c>
      <c r="F1248" t="str">
        <f t="shared" si="19"/>
        <v>F541G4T1</v>
      </c>
      <c r="G1248" s="14" t="s">
        <v>323</v>
      </c>
    </row>
    <row r="1249" spans="1:7">
      <c r="A1249">
        <v>54</v>
      </c>
      <c r="B1249">
        <v>2</v>
      </c>
      <c r="C1249">
        <v>4</v>
      </c>
      <c r="E1249">
        <v>1</v>
      </c>
      <c r="F1249" t="str">
        <f t="shared" si="19"/>
        <v>F542G4T1</v>
      </c>
      <c r="G1249" s="14" t="s">
        <v>323</v>
      </c>
    </row>
    <row r="1250" spans="1:7">
      <c r="A1250">
        <v>54</v>
      </c>
      <c r="B1250">
        <v>4</v>
      </c>
      <c r="C1250">
        <v>4</v>
      </c>
      <c r="E1250">
        <v>1</v>
      </c>
      <c r="F1250" t="str">
        <f t="shared" si="19"/>
        <v>F544G4T1</v>
      </c>
      <c r="G1250" s="14" t="s">
        <v>323</v>
      </c>
    </row>
    <row r="1251" spans="1:7">
      <c r="A1251">
        <v>54</v>
      </c>
      <c r="B1251">
        <v>5</v>
      </c>
      <c r="C1251">
        <v>4</v>
      </c>
      <c r="E1251">
        <v>1</v>
      </c>
      <c r="F1251" t="str">
        <f t="shared" si="19"/>
        <v>F545G4T1</v>
      </c>
      <c r="G1251" s="14" t="s">
        <v>323</v>
      </c>
    </row>
    <row r="1252" spans="1:7">
      <c r="A1252">
        <v>54</v>
      </c>
      <c r="B1252">
        <v>6</v>
      </c>
      <c r="C1252">
        <v>4</v>
      </c>
      <c r="E1252">
        <v>1</v>
      </c>
      <c r="F1252" t="str">
        <f t="shared" si="19"/>
        <v>F546G4T1</v>
      </c>
      <c r="G1252" s="14" t="s">
        <v>323</v>
      </c>
    </row>
    <row r="1253" spans="1:7">
      <c r="A1253">
        <v>54</v>
      </c>
      <c r="B1253">
        <v>7</v>
      </c>
      <c r="C1253">
        <v>4</v>
      </c>
      <c r="E1253">
        <v>1</v>
      </c>
      <c r="F1253" t="str">
        <f t="shared" si="19"/>
        <v>F547G4T1</v>
      </c>
      <c r="G1253" s="14" t="s">
        <v>323</v>
      </c>
    </row>
    <row r="1254" spans="1:7">
      <c r="A1254">
        <v>54</v>
      </c>
      <c r="B1254">
        <v>1</v>
      </c>
      <c r="C1254">
        <v>5</v>
      </c>
      <c r="E1254">
        <v>1</v>
      </c>
      <c r="F1254" t="str">
        <f t="shared" si="19"/>
        <v>F541G5T1</v>
      </c>
      <c r="G1254" s="14" t="s">
        <v>323</v>
      </c>
    </row>
    <row r="1255" spans="1:7">
      <c r="A1255">
        <v>54</v>
      </c>
      <c r="B1255">
        <v>2</v>
      </c>
      <c r="C1255">
        <v>5</v>
      </c>
      <c r="E1255">
        <v>1</v>
      </c>
      <c r="F1255" t="str">
        <f t="shared" si="19"/>
        <v>F542G5T1</v>
      </c>
      <c r="G1255" s="14" t="s">
        <v>323</v>
      </c>
    </row>
    <row r="1256" spans="1:7">
      <c r="A1256">
        <v>54</v>
      </c>
      <c r="B1256">
        <v>4</v>
      </c>
      <c r="C1256">
        <v>5</v>
      </c>
      <c r="E1256">
        <v>1</v>
      </c>
      <c r="F1256" t="str">
        <f t="shared" si="19"/>
        <v>F544G5T1</v>
      </c>
      <c r="G1256" s="14" t="s">
        <v>323</v>
      </c>
    </row>
    <row r="1257" spans="1:7">
      <c r="A1257">
        <v>54</v>
      </c>
      <c r="B1257">
        <v>5</v>
      </c>
      <c r="C1257">
        <v>5</v>
      </c>
      <c r="E1257">
        <v>1</v>
      </c>
      <c r="F1257" t="str">
        <f t="shared" si="19"/>
        <v>F545G5T1</v>
      </c>
      <c r="G1257" s="14" t="s">
        <v>323</v>
      </c>
    </row>
    <row r="1258" spans="1:7">
      <c r="A1258">
        <v>54</v>
      </c>
      <c r="B1258">
        <v>6</v>
      </c>
      <c r="C1258">
        <v>5</v>
      </c>
      <c r="E1258">
        <v>1</v>
      </c>
      <c r="F1258" t="str">
        <f t="shared" si="19"/>
        <v>F546G5T1</v>
      </c>
      <c r="G1258" s="14" t="s">
        <v>323</v>
      </c>
    </row>
    <row r="1259" spans="1:7">
      <c r="A1259">
        <v>54</v>
      </c>
      <c r="B1259">
        <v>7</v>
      </c>
      <c r="C1259">
        <v>5</v>
      </c>
      <c r="E1259">
        <v>1</v>
      </c>
      <c r="F1259" t="str">
        <f t="shared" si="19"/>
        <v>F547G5T1</v>
      </c>
      <c r="G1259" s="14" t="s">
        <v>323</v>
      </c>
    </row>
    <row r="1260" spans="1:7">
      <c r="A1260">
        <v>54</v>
      </c>
      <c r="B1260">
        <v>1</v>
      </c>
      <c r="C1260">
        <v>3</v>
      </c>
      <c r="E1260">
        <v>4</v>
      </c>
      <c r="F1260" t="str">
        <f t="shared" si="19"/>
        <v>F541G3T4</v>
      </c>
      <c r="G1260" s="14" t="s">
        <v>323</v>
      </c>
    </row>
    <row r="1261" spans="1:7">
      <c r="A1261">
        <v>54</v>
      </c>
      <c r="B1261">
        <v>2</v>
      </c>
      <c r="C1261">
        <v>3</v>
      </c>
      <c r="E1261">
        <v>4</v>
      </c>
      <c r="F1261" t="str">
        <f t="shared" si="19"/>
        <v>F542G3T4</v>
      </c>
      <c r="G1261" s="14" t="s">
        <v>323</v>
      </c>
    </row>
    <row r="1262" spans="1:7">
      <c r="A1262">
        <v>54</v>
      </c>
      <c r="B1262">
        <v>4</v>
      </c>
      <c r="C1262">
        <v>3</v>
      </c>
      <c r="E1262">
        <v>4</v>
      </c>
      <c r="F1262" t="str">
        <f t="shared" si="19"/>
        <v>F544G3T4</v>
      </c>
      <c r="G1262" s="14" t="s">
        <v>323</v>
      </c>
    </row>
    <row r="1263" spans="1:7">
      <c r="A1263">
        <v>54</v>
      </c>
      <c r="B1263">
        <v>5</v>
      </c>
      <c r="C1263">
        <v>3</v>
      </c>
      <c r="E1263">
        <v>4</v>
      </c>
      <c r="F1263" t="str">
        <f t="shared" si="19"/>
        <v>F545G3T4</v>
      </c>
      <c r="G1263" s="14" t="s">
        <v>323</v>
      </c>
    </row>
    <row r="1264" spans="1:7">
      <c r="A1264">
        <v>54</v>
      </c>
      <c r="B1264">
        <v>6</v>
      </c>
      <c r="C1264">
        <v>3</v>
      </c>
      <c r="E1264">
        <v>4</v>
      </c>
      <c r="F1264" t="str">
        <f t="shared" si="19"/>
        <v>F546G3T4</v>
      </c>
      <c r="G1264" s="14" t="s">
        <v>323</v>
      </c>
    </row>
    <row r="1265" spans="1:7">
      <c r="A1265">
        <v>54</v>
      </c>
      <c r="B1265">
        <v>7</v>
      </c>
      <c r="C1265">
        <v>3</v>
      </c>
      <c r="E1265">
        <v>4</v>
      </c>
      <c r="F1265" t="str">
        <f t="shared" si="19"/>
        <v>F547G3T4</v>
      </c>
      <c r="G1265" s="14" t="s">
        <v>323</v>
      </c>
    </row>
    <row r="1266" spans="1:7">
      <c r="A1266">
        <v>54</v>
      </c>
      <c r="B1266">
        <v>1</v>
      </c>
      <c r="C1266">
        <v>4</v>
      </c>
      <c r="E1266">
        <v>4</v>
      </c>
      <c r="F1266" t="str">
        <f t="shared" si="19"/>
        <v>F541G4T4</v>
      </c>
      <c r="G1266" s="14" t="s">
        <v>323</v>
      </c>
    </row>
    <row r="1267" spans="1:7">
      <c r="A1267">
        <v>54</v>
      </c>
      <c r="B1267">
        <v>2</v>
      </c>
      <c r="C1267">
        <v>4</v>
      </c>
      <c r="E1267">
        <v>4</v>
      </c>
      <c r="F1267" t="str">
        <f t="shared" si="19"/>
        <v>F542G4T4</v>
      </c>
      <c r="G1267" s="14" t="s">
        <v>323</v>
      </c>
    </row>
    <row r="1268" spans="1:7">
      <c r="A1268">
        <v>54</v>
      </c>
      <c r="B1268">
        <v>4</v>
      </c>
      <c r="C1268">
        <v>4</v>
      </c>
      <c r="E1268">
        <v>4</v>
      </c>
      <c r="F1268" t="str">
        <f t="shared" si="19"/>
        <v>F544G4T4</v>
      </c>
      <c r="G1268" s="14" t="s">
        <v>323</v>
      </c>
    </row>
    <row r="1269" spans="1:7">
      <c r="A1269">
        <v>54</v>
      </c>
      <c r="B1269">
        <v>5</v>
      </c>
      <c r="C1269">
        <v>4</v>
      </c>
      <c r="E1269">
        <v>4</v>
      </c>
      <c r="F1269" t="str">
        <f t="shared" si="19"/>
        <v>F545G4T4</v>
      </c>
      <c r="G1269" s="14" t="s">
        <v>323</v>
      </c>
    </row>
    <row r="1270" spans="1:7">
      <c r="A1270">
        <v>54</v>
      </c>
      <c r="B1270">
        <v>6</v>
      </c>
      <c r="C1270">
        <v>4</v>
      </c>
      <c r="E1270">
        <v>4</v>
      </c>
      <c r="F1270" t="str">
        <f t="shared" si="19"/>
        <v>F546G4T4</v>
      </c>
      <c r="G1270" s="14" t="s">
        <v>323</v>
      </c>
    </row>
    <row r="1271" spans="1:7">
      <c r="A1271">
        <v>54</v>
      </c>
      <c r="B1271">
        <v>7</v>
      </c>
      <c r="C1271">
        <v>4</v>
      </c>
      <c r="E1271">
        <v>4</v>
      </c>
      <c r="F1271" t="str">
        <f t="shared" si="19"/>
        <v>F547G4T4</v>
      </c>
      <c r="G1271" s="14" t="s">
        <v>323</v>
      </c>
    </row>
    <row r="1272" spans="1:7">
      <c r="A1272">
        <v>54</v>
      </c>
      <c r="B1272">
        <v>1</v>
      </c>
      <c r="C1272">
        <v>5</v>
      </c>
      <c r="E1272">
        <v>4</v>
      </c>
      <c r="F1272" t="str">
        <f t="shared" si="19"/>
        <v>F541G5T4</v>
      </c>
      <c r="G1272" s="14" t="s">
        <v>323</v>
      </c>
    </row>
    <row r="1273" spans="1:7">
      <c r="A1273">
        <v>54</v>
      </c>
      <c r="B1273">
        <v>2</v>
      </c>
      <c r="C1273">
        <v>5</v>
      </c>
      <c r="E1273">
        <v>4</v>
      </c>
      <c r="F1273" t="str">
        <f t="shared" si="19"/>
        <v>F542G5T4</v>
      </c>
      <c r="G1273" s="14" t="s">
        <v>323</v>
      </c>
    </row>
    <row r="1274" spans="1:7">
      <c r="A1274">
        <v>54</v>
      </c>
      <c r="B1274">
        <v>4</v>
      </c>
      <c r="C1274">
        <v>5</v>
      </c>
      <c r="E1274">
        <v>4</v>
      </c>
      <c r="F1274" t="str">
        <f t="shared" si="19"/>
        <v>F544G5T4</v>
      </c>
      <c r="G1274" s="14" t="s">
        <v>323</v>
      </c>
    </row>
    <row r="1275" spans="1:7">
      <c r="A1275">
        <v>54</v>
      </c>
      <c r="B1275">
        <v>5</v>
      </c>
      <c r="C1275">
        <v>5</v>
      </c>
      <c r="E1275">
        <v>4</v>
      </c>
      <c r="F1275" t="str">
        <f t="shared" si="19"/>
        <v>F545G5T4</v>
      </c>
      <c r="G1275" s="14" t="s">
        <v>323</v>
      </c>
    </row>
    <row r="1276" spans="1:7">
      <c r="A1276">
        <v>54</v>
      </c>
      <c r="B1276">
        <v>6</v>
      </c>
      <c r="C1276">
        <v>5</v>
      </c>
      <c r="E1276">
        <v>4</v>
      </c>
      <c r="F1276" t="str">
        <f t="shared" si="19"/>
        <v>F546G5T4</v>
      </c>
      <c r="G1276" s="14" t="s">
        <v>323</v>
      </c>
    </row>
    <row r="1277" spans="1:7">
      <c r="A1277">
        <v>54</v>
      </c>
      <c r="B1277">
        <v>7</v>
      </c>
      <c r="C1277">
        <v>5</v>
      </c>
      <c r="E1277">
        <v>4</v>
      </c>
      <c r="F1277" t="str">
        <f t="shared" si="19"/>
        <v>F547G5T4</v>
      </c>
      <c r="G1277" s="14" t="s">
        <v>323</v>
      </c>
    </row>
    <row r="1278" spans="1:7">
      <c r="A1278">
        <v>59</v>
      </c>
      <c r="B1278">
        <v>1</v>
      </c>
      <c r="C1278">
        <v>3</v>
      </c>
      <c r="E1278">
        <v>1</v>
      </c>
      <c r="F1278" t="str">
        <f t="shared" si="19"/>
        <v>F591G3T1</v>
      </c>
      <c r="G1278" s="14" t="s">
        <v>323</v>
      </c>
    </row>
    <row r="1279" spans="1:7">
      <c r="A1279">
        <v>59</v>
      </c>
      <c r="B1279">
        <v>2</v>
      </c>
      <c r="C1279">
        <v>3</v>
      </c>
      <c r="E1279">
        <v>1</v>
      </c>
      <c r="F1279" t="str">
        <f t="shared" si="19"/>
        <v>F592G3T1</v>
      </c>
      <c r="G1279" s="14" t="s">
        <v>323</v>
      </c>
    </row>
    <row r="1280" spans="1:7">
      <c r="A1280">
        <v>59</v>
      </c>
      <c r="B1280">
        <v>4</v>
      </c>
      <c r="C1280">
        <v>3</v>
      </c>
      <c r="E1280">
        <v>1</v>
      </c>
      <c r="F1280" t="str">
        <f t="shared" si="19"/>
        <v>F594G3T1</v>
      </c>
      <c r="G1280" s="14" t="s">
        <v>323</v>
      </c>
    </row>
    <row r="1281" spans="1:7">
      <c r="A1281">
        <v>59</v>
      </c>
      <c r="B1281">
        <v>5</v>
      </c>
      <c r="C1281">
        <v>3</v>
      </c>
      <c r="E1281">
        <v>1</v>
      </c>
      <c r="F1281" t="str">
        <f t="shared" si="19"/>
        <v>F595G3T1</v>
      </c>
      <c r="G1281" s="14" t="s">
        <v>323</v>
      </c>
    </row>
    <row r="1282" spans="1:7">
      <c r="A1282">
        <v>59</v>
      </c>
      <c r="B1282">
        <v>6</v>
      </c>
      <c r="C1282">
        <v>3</v>
      </c>
      <c r="E1282">
        <v>1</v>
      </c>
      <c r="F1282" t="str">
        <f t="shared" si="19"/>
        <v>F596G3T1</v>
      </c>
      <c r="G1282" s="14" t="s">
        <v>323</v>
      </c>
    </row>
    <row r="1283" spans="1:7">
      <c r="A1283">
        <v>59</v>
      </c>
      <c r="B1283">
        <v>7</v>
      </c>
      <c r="C1283">
        <v>3</v>
      </c>
      <c r="E1283">
        <v>1</v>
      </c>
      <c r="F1283" t="str">
        <f t="shared" ref="F1283:F1346" si="20">CONCATENATE("F",A1283,B1283,"G",C1283,"T",E1283)</f>
        <v>F597G3T1</v>
      </c>
      <c r="G1283" s="14" t="s">
        <v>323</v>
      </c>
    </row>
    <row r="1284" spans="1:7">
      <c r="A1284">
        <v>59</v>
      </c>
      <c r="B1284">
        <v>1</v>
      </c>
      <c r="C1284">
        <v>4</v>
      </c>
      <c r="E1284">
        <v>1</v>
      </c>
      <c r="F1284" t="str">
        <f t="shared" si="20"/>
        <v>F591G4T1</v>
      </c>
      <c r="G1284" s="14" t="s">
        <v>323</v>
      </c>
    </row>
    <row r="1285" spans="1:7">
      <c r="A1285">
        <v>59</v>
      </c>
      <c r="B1285">
        <v>2</v>
      </c>
      <c r="C1285">
        <v>4</v>
      </c>
      <c r="E1285">
        <v>1</v>
      </c>
      <c r="F1285" t="str">
        <f t="shared" si="20"/>
        <v>F592G4T1</v>
      </c>
      <c r="G1285" s="14" t="s">
        <v>323</v>
      </c>
    </row>
    <row r="1286" spans="1:7">
      <c r="A1286">
        <v>59</v>
      </c>
      <c r="B1286">
        <v>4</v>
      </c>
      <c r="C1286">
        <v>4</v>
      </c>
      <c r="E1286">
        <v>1</v>
      </c>
      <c r="F1286" t="str">
        <f t="shared" si="20"/>
        <v>F594G4T1</v>
      </c>
      <c r="G1286" s="14" t="s">
        <v>323</v>
      </c>
    </row>
    <row r="1287" spans="1:7">
      <c r="A1287">
        <v>59</v>
      </c>
      <c r="B1287">
        <v>5</v>
      </c>
      <c r="C1287">
        <v>4</v>
      </c>
      <c r="E1287">
        <v>1</v>
      </c>
      <c r="F1287" t="str">
        <f t="shared" si="20"/>
        <v>F595G4T1</v>
      </c>
      <c r="G1287" s="14" t="s">
        <v>323</v>
      </c>
    </row>
    <row r="1288" spans="1:7">
      <c r="A1288">
        <v>59</v>
      </c>
      <c r="B1288">
        <v>6</v>
      </c>
      <c r="C1288">
        <v>4</v>
      </c>
      <c r="E1288">
        <v>1</v>
      </c>
      <c r="F1288" t="str">
        <f t="shared" si="20"/>
        <v>F596G4T1</v>
      </c>
      <c r="G1288" s="14" t="s">
        <v>323</v>
      </c>
    </row>
    <row r="1289" spans="1:7">
      <c r="A1289">
        <v>59</v>
      </c>
      <c r="B1289">
        <v>7</v>
      </c>
      <c r="C1289">
        <v>4</v>
      </c>
      <c r="E1289">
        <v>1</v>
      </c>
      <c r="F1289" t="str">
        <f t="shared" si="20"/>
        <v>F597G4T1</v>
      </c>
      <c r="G1289" s="14" t="s">
        <v>323</v>
      </c>
    </row>
    <row r="1290" spans="1:7">
      <c r="A1290">
        <v>59</v>
      </c>
      <c r="B1290">
        <v>1</v>
      </c>
      <c r="C1290">
        <v>5</v>
      </c>
      <c r="E1290">
        <v>1</v>
      </c>
      <c r="F1290" t="str">
        <f t="shared" si="20"/>
        <v>F591G5T1</v>
      </c>
      <c r="G1290" s="14" t="s">
        <v>323</v>
      </c>
    </row>
    <row r="1291" spans="1:7">
      <c r="A1291">
        <v>59</v>
      </c>
      <c r="B1291">
        <v>2</v>
      </c>
      <c r="C1291">
        <v>5</v>
      </c>
      <c r="E1291">
        <v>1</v>
      </c>
      <c r="F1291" t="str">
        <f t="shared" si="20"/>
        <v>F592G5T1</v>
      </c>
      <c r="G1291" s="14" t="s">
        <v>323</v>
      </c>
    </row>
    <row r="1292" spans="1:7">
      <c r="A1292">
        <v>59</v>
      </c>
      <c r="B1292">
        <v>4</v>
      </c>
      <c r="C1292">
        <v>5</v>
      </c>
      <c r="E1292">
        <v>1</v>
      </c>
      <c r="F1292" t="str">
        <f t="shared" si="20"/>
        <v>F594G5T1</v>
      </c>
      <c r="G1292" s="14" t="s">
        <v>323</v>
      </c>
    </row>
    <row r="1293" spans="1:7">
      <c r="A1293">
        <v>59</v>
      </c>
      <c r="B1293">
        <v>5</v>
      </c>
      <c r="C1293">
        <v>5</v>
      </c>
      <c r="E1293">
        <v>1</v>
      </c>
      <c r="F1293" t="str">
        <f t="shared" si="20"/>
        <v>F595G5T1</v>
      </c>
      <c r="G1293" s="14" t="s">
        <v>323</v>
      </c>
    </row>
    <row r="1294" spans="1:7">
      <c r="A1294">
        <v>59</v>
      </c>
      <c r="B1294">
        <v>6</v>
      </c>
      <c r="C1294">
        <v>5</v>
      </c>
      <c r="E1294">
        <v>1</v>
      </c>
      <c r="F1294" t="str">
        <f t="shared" si="20"/>
        <v>F596G5T1</v>
      </c>
      <c r="G1294" s="14" t="s">
        <v>323</v>
      </c>
    </row>
    <row r="1295" spans="1:7">
      <c r="A1295">
        <v>59</v>
      </c>
      <c r="B1295">
        <v>7</v>
      </c>
      <c r="C1295">
        <v>5</v>
      </c>
      <c r="E1295">
        <v>1</v>
      </c>
      <c r="F1295" t="str">
        <f t="shared" si="20"/>
        <v>F597G5T1</v>
      </c>
      <c r="G1295" s="14" t="s">
        <v>323</v>
      </c>
    </row>
    <row r="1296" spans="1:7">
      <c r="A1296">
        <v>59</v>
      </c>
      <c r="B1296">
        <v>1</v>
      </c>
      <c r="C1296">
        <v>3</v>
      </c>
      <c r="E1296">
        <v>4</v>
      </c>
      <c r="F1296" t="str">
        <f t="shared" si="20"/>
        <v>F591G3T4</v>
      </c>
      <c r="G1296" s="14" t="s">
        <v>323</v>
      </c>
    </row>
    <row r="1297" spans="1:7">
      <c r="A1297">
        <v>59</v>
      </c>
      <c r="B1297">
        <v>2</v>
      </c>
      <c r="C1297">
        <v>3</v>
      </c>
      <c r="E1297">
        <v>4</v>
      </c>
      <c r="F1297" t="str">
        <f t="shared" si="20"/>
        <v>F592G3T4</v>
      </c>
      <c r="G1297" s="14" t="s">
        <v>323</v>
      </c>
    </row>
    <row r="1298" spans="1:7">
      <c r="A1298">
        <v>59</v>
      </c>
      <c r="B1298">
        <v>4</v>
      </c>
      <c r="C1298">
        <v>3</v>
      </c>
      <c r="E1298">
        <v>4</v>
      </c>
      <c r="F1298" t="str">
        <f t="shared" si="20"/>
        <v>F594G3T4</v>
      </c>
      <c r="G1298" s="14" t="s">
        <v>323</v>
      </c>
    </row>
    <row r="1299" spans="1:7">
      <c r="A1299">
        <v>59</v>
      </c>
      <c r="B1299">
        <v>5</v>
      </c>
      <c r="C1299">
        <v>3</v>
      </c>
      <c r="E1299">
        <v>4</v>
      </c>
      <c r="F1299" t="str">
        <f t="shared" si="20"/>
        <v>F595G3T4</v>
      </c>
      <c r="G1299" s="14" t="s">
        <v>323</v>
      </c>
    </row>
    <row r="1300" spans="1:7">
      <c r="A1300">
        <v>59</v>
      </c>
      <c r="B1300">
        <v>6</v>
      </c>
      <c r="C1300">
        <v>3</v>
      </c>
      <c r="E1300">
        <v>4</v>
      </c>
      <c r="F1300" t="str">
        <f t="shared" si="20"/>
        <v>F596G3T4</v>
      </c>
      <c r="G1300" s="14" t="s">
        <v>323</v>
      </c>
    </row>
    <row r="1301" spans="1:7">
      <c r="A1301">
        <v>59</v>
      </c>
      <c r="B1301">
        <v>7</v>
      </c>
      <c r="C1301">
        <v>3</v>
      </c>
      <c r="E1301">
        <v>4</v>
      </c>
      <c r="F1301" t="str">
        <f t="shared" si="20"/>
        <v>F597G3T4</v>
      </c>
      <c r="G1301" s="14" t="s">
        <v>323</v>
      </c>
    </row>
    <row r="1302" spans="1:7">
      <c r="A1302">
        <v>59</v>
      </c>
      <c r="B1302">
        <v>1</v>
      </c>
      <c r="C1302">
        <v>4</v>
      </c>
      <c r="E1302">
        <v>4</v>
      </c>
      <c r="F1302" t="str">
        <f t="shared" si="20"/>
        <v>F591G4T4</v>
      </c>
      <c r="G1302" s="14" t="s">
        <v>323</v>
      </c>
    </row>
    <row r="1303" spans="1:7">
      <c r="A1303">
        <v>59</v>
      </c>
      <c r="B1303">
        <v>2</v>
      </c>
      <c r="C1303">
        <v>4</v>
      </c>
      <c r="E1303">
        <v>4</v>
      </c>
      <c r="F1303" t="str">
        <f t="shared" si="20"/>
        <v>F592G4T4</v>
      </c>
      <c r="G1303" s="14" t="s">
        <v>323</v>
      </c>
    </row>
    <row r="1304" spans="1:7">
      <c r="A1304">
        <v>59</v>
      </c>
      <c r="B1304">
        <v>4</v>
      </c>
      <c r="C1304">
        <v>4</v>
      </c>
      <c r="E1304">
        <v>4</v>
      </c>
      <c r="F1304" t="str">
        <f t="shared" si="20"/>
        <v>F594G4T4</v>
      </c>
      <c r="G1304" s="14" t="s">
        <v>323</v>
      </c>
    </row>
    <row r="1305" spans="1:7">
      <c r="A1305">
        <v>59</v>
      </c>
      <c r="B1305">
        <v>5</v>
      </c>
      <c r="C1305">
        <v>4</v>
      </c>
      <c r="E1305">
        <v>4</v>
      </c>
      <c r="F1305" t="str">
        <f t="shared" si="20"/>
        <v>F595G4T4</v>
      </c>
      <c r="G1305" s="14" t="s">
        <v>323</v>
      </c>
    </row>
    <row r="1306" spans="1:7">
      <c r="A1306">
        <v>59</v>
      </c>
      <c r="B1306">
        <v>6</v>
      </c>
      <c r="C1306">
        <v>4</v>
      </c>
      <c r="E1306">
        <v>4</v>
      </c>
      <c r="F1306" t="str">
        <f t="shared" si="20"/>
        <v>F596G4T4</v>
      </c>
      <c r="G1306" s="14" t="s">
        <v>323</v>
      </c>
    </row>
    <row r="1307" spans="1:7">
      <c r="A1307">
        <v>59</v>
      </c>
      <c r="B1307">
        <v>7</v>
      </c>
      <c r="C1307">
        <v>4</v>
      </c>
      <c r="E1307">
        <v>4</v>
      </c>
      <c r="F1307" t="str">
        <f t="shared" si="20"/>
        <v>F597G4T4</v>
      </c>
      <c r="G1307" s="14" t="s">
        <v>323</v>
      </c>
    </row>
    <row r="1308" spans="1:7">
      <c r="A1308">
        <v>59</v>
      </c>
      <c r="B1308">
        <v>1</v>
      </c>
      <c r="C1308">
        <v>5</v>
      </c>
      <c r="E1308">
        <v>4</v>
      </c>
      <c r="F1308" t="str">
        <f t="shared" si="20"/>
        <v>F591G5T4</v>
      </c>
      <c r="G1308" s="14" t="s">
        <v>323</v>
      </c>
    </row>
    <row r="1309" spans="1:7">
      <c r="A1309">
        <v>59</v>
      </c>
      <c r="B1309">
        <v>2</v>
      </c>
      <c r="C1309">
        <v>5</v>
      </c>
      <c r="E1309">
        <v>4</v>
      </c>
      <c r="F1309" t="str">
        <f t="shared" si="20"/>
        <v>F592G5T4</v>
      </c>
      <c r="G1309" s="14" t="s">
        <v>323</v>
      </c>
    </row>
    <row r="1310" spans="1:7">
      <c r="A1310">
        <v>59</v>
      </c>
      <c r="B1310">
        <v>4</v>
      </c>
      <c r="C1310">
        <v>5</v>
      </c>
      <c r="E1310">
        <v>4</v>
      </c>
      <c r="F1310" t="str">
        <f t="shared" si="20"/>
        <v>F594G5T4</v>
      </c>
      <c r="G1310" s="14" t="s">
        <v>323</v>
      </c>
    </row>
    <row r="1311" spans="1:7">
      <c r="A1311">
        <v>59</v>
      </c>
      <c r="B1311">
        <v>5</v>
      </c>
      <c r="C1311">
        <v>5</v>
      </c>
      <c r="E1311">
        <v>4</v>
      </c>
      <c r="F1311" t="str">
        <f t="shared" si="20"/>
        <v>F595G5T4</v>
      </c>
      <c r="G1311" s="14" t="s">
        <v>323</v>
      </c>
    </row>
    <row r="1312" spans="1:7">
      <c r="A1312">
        <v>59</v>
      </c>
      <c r="B1312">
        <v>6</v>
      </c>
      <c r="C1312">
        <v>5</v>
      </c>
      <c r="E1312">
        <v>4</v>
      </c>
      <c r="F1312" t="str">
        <f t="shared" si="20"/>
        <v>F596G5T4</v>
      </c>
      <c r="G1312" s="14" t="s">
        <v>323</v>
      </c>
    </row>
    <row r="1313" spans="1:7">
      <c r="A1313">
        <v>59</v>
      </c>
      <c r="B1313">
        <v>7</v>
      </c>
      <c r="C1313">
        <v>5</v>
      </c>
      <c r="E1313">
        <v>4</v>
      </c>
      <c r="F1313" t="str">
        <f t="shared" si="20"/>
        <v>F597G5T4</v>
      </c>
      <c r="G1313" s="14" t="s">
        <v>323</v>
      </c>
    </row>
    <row r="1314" spans="1:7">
      <c r="A1314">
        <v>71</v>
      </c>
      <c r="B1314">
        <v>1</v>
      </c>
      <c r="C1314">
        <v>3</v>
      </c>
      <c r="E1314">
        <v>1</v>
      </c>
      <c r="F1314" t="str">
        <f t="shared" si="20"/>
        <v>F711G3T1</v>
      </c>
      <c r="G1314" s="14" t="s">
        <v>323</v>
      </c>
    </row>
    <row r="1315" spans="1:7">
      <c r="A1315">
        <v>71</v>
      </c>
      <c r="B1315">
        <v>2</v>
      </c>
      <c r="C1315">
        <v>3</v>
      </c>
      <c r="E1315">
        <v>1</v>
      </c>
      <c r="F1315" t="str">
        <f t="shared" si="20"/>
        <v>F712G3T1</v>
      </c>
      <c r="G1315" s="14" t="s">
        <v>323</v>
      </c>
    </row>
    <row r="1316" spans="1:7">
      <c r="A1316">
        <v>71</v>
      </c>
      <c r="B1316">
        <v>4</v>
      </c>
      <c r="C1316">
        <v>3</v>
      </c>
      <c r="E1316">
        <v>1</v>
      </c>
      <c r="F1316" t="str">
        <f t="shared" si="20"/>
        <v>F714G3T1</v>
      </c>
      <c r="G1316" s="14" t="s">
        <v>323</v>
      </c>
    </row>
    <row r="1317" spans="1:7">
      <c r="A1317">
        <v>71</v>
      </c>
      <c r="B1317">
        <v>5</v>
      </c>
      <c r="C1317">
        <v>3</v>
      </c>
      <c r="E1317">
        <v>1</v>
      </c>
      <c r="F1317" t="str">
        <f t="shared" si="20"/>
        <v>F715G3T1</v>
      </c>
      <c r="G1317" s="14" t="s">
        <v>323</v>
      </c>
    </row>
    <row r="1318" spans="1:7">
      <c r="A1318">
        <v>71</v>
      </c>
      <c r="B1318">
        <v>6</v>
      </c>
      <c r="C1318">
        <v>3</v>
      </c>
      <c r="E1318">
        <v>1</v>
      </c>
      <c r="F1318" t="str">
        <f t="shared" si="20"/>
        <v>F716G3T1</v>
      </c>
      <c r="G1318" s="14" t="s">
        <v>323</v>
      </c>
    </row>
    <row r="1319" spans="1:7">
      <c r="A1319">
        <v>71</v>
      </c>
      <c r="B1319">
        <v>7</v>
      </c>
      <c r="C1319">
        <v>3</v>
      </c>
      <c r="E1319">
        <v>1</v>
      </c>
      <c r="F1319" t="str">
        <f t="shared" si="20"/>
        <v>F717G3T1</v>
      </c>
      <c r="G1319" s="14" t="s">
        <v>323</v>
      </c>
    </row>
    <row r="1320" spans="1:7">
      <c r="A1320">
        <v>71</v>
      </c>
      <c r="B1320">
        <v>1</v>
      </c>
      <c r="C1320">
        <v>4</v>
      </c>
      <c r="E1320">
        <v>1</v>
      </c>
      <c r="F1320" t="str">
        <f t="shared" si="20"/>
        <v>F711G4T1</v>
      </c>
      <c r="G1320" s="14" t="s">
        <v>323</v>
      </c>
    </row>
    <row r="1321" spans="1:7">
      <c r="A1321">
        <v>71</v>
      </c>
      <c r="B1321">
        <v>2</v>
      </c>
      <c r="C1321">
        <v>4</v>
      </c>
      <c r="E1321">
        <v>1</v>
      </c>
      <c r="F1321" t="str">
        <f t="shared" si="20"/>
        <v>F712G4T1</v>
      </c>
      <c r="G1321" s="14" t="s">
        <v>323</v>
      </c>
    </row>
    <row r="1322" spans="1:7">
      <c r="A1322">
        <v>71</v>
      </c>
      <c r="B1322">
        <v>4</v>
      </c>
      <c r="C1322">
        <v>4</v>
      </c>
      <c r="E1322">
        <v>1</v>
      </c>
      <c r="F1322" t="str">
        <f t="shared" si="20"/>
        <v>F714G4T1</v>
      </c>
      <c r="G1322" s="14" t="s">
        <v>323</v>
      </c>
    </row>
    <row r="1323" spans="1:7">
      <c r="A1323">
        <v>71</v>
      </c>
      <c r="B1323">
        <v>5</v>
      </c>
      <c r="C1323">
        <v>4</v>
      </c>
      <c r="E1323">
        <v>1</v>
      </c>
      <c r="F1323" t="str">
        <f t="shared" si="20"/>
        <v>F715G4T1</v>
      </c>
      <c r="G1323" s="14" t="s">
        <v>323</v>
      </c>
    </row>
    <row r="1324" spans="1:7">
      <c r="A1324">
        <v>71</v>
      </c>
      <c r="B1324">
        <v>6</v>
      </c>
      <c r="C1324">
        <v>4</v>
      </c>
      <c r="E1324">
        <v>1</v>
      </c>
      <c r="F1324" t="str">
        <f t="shared" si="20"/>
        <v>F716G4T1</v>
      </c>
      <c r="G1324" s="14" t="s">
        <v>323</v>
      </c>
    </row>
    <row r="1325" spans="1:7">
      <c r="A1325">
        <v>71</v>
      </c>
      <c r="B1325">
        <v>7</v>
      </c>
      <c r="C1325">
        <v>4</v>
      </c>
      <c r="E1325">
        <v>1</v>
      </c>
      <c r="F1325" t="str">
        <f t="shared" si="20"/>
        <v>F717G4T1</v>
      </c>
      <c r="G1325" s="14" t="s">
        <v>323</v>
      </c>
    </row>
    <row r="1326" spans="1:7">
      <c r="A1326">
        <v>71</v>
      </c>
      <c r="B1326">
        <v>1</v>
      </c>
      <c r="C1326">
        <v>5</v>
      </c>
      <c r="E1326">
        <v>1</v>
      </c>
      <c r="F1326" t="str">
        <f t="shared" si="20"/>
        <v>F711G5T1</v>
      </c>
      <c r="G1326" s="14" t="s">
        <v>323</v>
      </c>
    </row>
    <row r="1327" spans="1:7">
      <c r="A1327">
        <v>71</v>
      </c>
      <c r="B1327">
        <v>2</v>
      </c>
      <c r="C1327">
        <v>5</v>
      </c>
      <c r="E1327">
        <v>1</v>
      </c>
      <c r="F1327" t="str">
        <f t="shared" si="20"/>
        <v>F712G5T1</v>
      </c>
      <c r="G1327" s="14" t="s">
        <v>323</v>
      </c>
    </row>
    <row r="1328" spans="1:7">
      <c r="A1328">
        <v>71</v>
      </c>
      <c r="B1328">
        <v>4</v>
      </c>
      <c r="C1328">
        <v>5</v>
      </c>
      <c r="E1328">
        <v>1</v>
      </c>
      <c r="F1328" t="str">
        <f t="shared" si="20"/>
        <v>F714G5T1</v>
      </c>
      <c r="G1328" s="14" t="s">
        <v>323</v>
      </c>
    </row>
    <row r="1329" spans="1:7">
      <c r="A1329">
        <v>71</v>
      </c>
      <c r="B1329">
        <v>5</v>
      </c>
      <c r="C1329">
        <v>5</v>
      </c>
      <c r="E1329">
        <v>1</v>
      </c>
      <c r="F1329" t="str">
        <f t="shared" si="20"/>
        <v>F715G5T1</v>
      </c>
      <c r="G1329" s="14" t="s">
        <v>323</v>
      </c>
    </row>
    <row r="1330" spans="1:7">
      <c r="A1330">
        <v>71</v>
      </c>
      <c r="B1330">
        <v>6</v>
      </c>
      <c r="C1330">
        <v>5</v>
      </c>
      <c r="E1330">
        <v>1</v>
      </c>
      <c r="F1330" t="str">
        <f t="shared" si="20"/>
        <v>F716G5T1</v>
      </c>
      <c r="G1330" s="14" t="s">
        <v>323</v>
      </c>
    </row>
    <row r="1331" spans="1:7">
      <c r="A1331">
        <v>71</v>
      </c>
      <c r="B1331">
        <v>7</v>
      </c>
      <c r="C1331">
        <v>5</v>
      </c>
      <c r="E1331">
        <v>1</v>
      </c>
      <c r="F1331" t="str">
        <f t="shared" si="20"/>
        <v>F717G5T1</v>
      </c>
      <c r="G1331" s="14" t="s">
        <v>323</v>
      </c>
    </row>
    <row r="1332" spans="1:7">
      <c r="A1332">
        <v>71</v>
      </c>
      <c r="B1332">
        <v>1</v>
      </c>
      <c r="C1332">
        <v>3</v>
      </c>
      <c r="E1332">
        <v>4</v>
      </c>
      <c r="F1332" t="str">
        <f t="shared" si="20"/>
        <v>F711G3T4</v>
      </c>
      <c r="G1332" s="14" t="s">
        <v>323</v>
      </c>
    </row>
    <row r="1333" spans="1:7">
      <c r="A1333">
        <v>71</v>
      </c>
      <c r="B1333">
        <v>2</v>
      </c>
      <c r="C1333">
        <v>3</v>
      </c>
      <c r="E1333">
        <v>4</v>
      </c>
      <c r="F1333" t="str">
        <f t="shared" si="20"/>
        <v>F712G3T4</v>
      </c>
      <c r="G1333" s="14" t="s">
        <v>323</v>
      </c>
    </row>
    <row r="1334" spans="1:7">
      <c r="A1334">
        <v>71</v>
      </c>
      <c r="B1334">
        <v>4</v>
      </c>
      <c r="C1334">
        <v>3</v>
      </c>
      <c r="E1334">
        <v>4</v>
      </c>
      <c r="F1334" t="str">
        <f t="shared" si="20"/>
        <v>F714G3T4</v>
      </c>
      <c r="G1334" s="14" t="s">
        <v>323</v>
      </c>
    </row>
    <row r="1335" spans="1:7">
      <c r="A1335">
        <v>71</v>
      </c>
      <c r="B1335">
        <v>5</v>
      </c>
      <c r="C1335">
        <v>3</v>
      </c>
      <c r="E1335">
        <v>4</v>
      </c>
      <c r="F1335" t="str">
        <f t="shared" si="20"/>
        <v>F715G3T4</v>
      </c>
      <c r="G1335" s="14" t="s">
        <v>323</v>
      </c>
    </row>
    <row r="1336" spans="1:7">
      <c r="A1336">
        <v>71</v>
      </c>
      <c r="B1336">
        <v>6</v>
      </c>
      <c r="C1336">
        <v>3</v>
      </c>
      <c r="E1336">
        <v>4</v>
      </c>
      <c r="F1336" t="str">
        <f t="shared" si="20"/>
        <v>F716G3T4</v>
      </c>
      <c r="G1336" s="14" t="s">
        <v>323</v>
      </c>
    </row>
    <row r="1337" spans="1:7">
      <c r="A1337">
        <v>71</v>
      </c>
      <c r="B1337">
        <v>7</v>
      </c>
      <c r="C1337">
        <v>3</v>
      </c>
      <c r="E1337">
        <v>4</v>
      </c>
      <c r="F1337" t="str">
        <f t="shared" si="20"/>
        <v>F717G3T4</v>
      </c>
      <c r="G1337" s="14" t="s">
        <v>323</v>
      </c>
    </row>
    <row r="1338" spans="1:7">
      <c r="A1338">
        <v>71</v>
      </c>
      <c r="B1338">
        <v>1</v>
      </c>
      <c r="C1338">
        <v>4</v>
      </c>
      <c r="E1338">
        <v>4</v>
      </c>
      <c r="F1338" t="str">
        <f t="shared" si="20"/>
        <v>F711G4T4</v>
      </c>
      <c r="G1338" s="14" t="s">
        <v>323</v>
      </c>
    </row>
    <row r="1339" spans="1:7">
      <c r="A1339">
        <v>71</v>
      </c>
      <c r="B1339">
        <v>2</v>
      </c>
      <c r="C1339">
        <v>4</v>
      </c>
      <c r="E1339">
        <v>4</v>
      </c>
      <c r="F1339" t="str">
        <f t="shared" si="20"/>
        <v>F712G4T4</v>
      </c>
      <c r="G1339" s="14" t="s">
        <v>323</v>
      </c>
    </row>
    <row r="1340" spans="1:7">
      <c r="A1340">
        <v>71</v>
      </c>
      <c r="B1340">
        <v>4</v>
      </c>
      <c r="C1340">
        <v>4</v>
      </c>
      <c r="E1340">
        <v>4</v>
      </c>
      <c r="F1340" t="str">
        <f t="shared" si="20"/>
        <v>F714G4T4</v>
      </c>
      <c r="G1340" s="14" t="s">
        <v>323</v>
      </c>
    </row>
    <row r="1341" spans="1:7">
      <c r="A1341">
        <v>71</v>
      </c>
      <c r="B1341">
        <v>5</v>
      </c>
      <c r="C1341">
        <v>4</v>
      </c>
      <c r="E1341">
        <v>4</v>
      </c>
      <c r="F1341" t="str">
        <f t="shared" si="20"/>
        <v>F715G4T4</v>
      </c>
      <c r="G1341" s="14" t="s">
        <v>323</v>
      </c>
    </row>
    <row r="1342" spans="1:7">
      <c r="A1342">
        <v>71</v>
      </c>
      <c r="B1342">
        <v>6</v>
      </c>
      <c r="C1342">
        <v>4</v>
      </c>
      <c r="E1342">
        <v>4</v>
      </c>
      <c r="F1342" t="str">
        <f t="shared" si="20"/>
        <v>F716G4T4</v>
      </c>
      <c r="G1342" s="14" t="s">
        <v>323</v>
      </c>
    </row>
    <row r="1343" spans="1:7">
      <c r="A1343">
        <v>71</v>
      </c>
      <c r="B1343">
        <v>7</v>
      </c>
      <c r="C1343">
        <v>4</v>
      </c>
      <c r="E1343">
        <v>4</v>
      </c>
      <c r="F1343" t="str">
        <f t="shared" si="20"/>
        <v>F717G4T4</v>
      </c>
      <c r="G1343" s="14" t="s">
        <v>323</v>
      </c>
    </row>
    <row r="1344" spans="1:7">
      <c r="A1344">
        <v>71</v>
      </c>
      <c r="B1344">
        <v>1</v>
      </c>
      <c r="C1344">
        <v>5</v>
      </c>
      <c r="E1344">
        <v>4</v>
      </c>
      <c r="F1344" t="str">
        <f t="shared" si="20"/>
        <v>F711G5T4</v>
      </c>
      <c r="G1344" s="14" t="s">
        <v>323</v>
      </c>
    </row>
    <row r="1345" spans="1:7">
      <c r="A1345">
        <v>71</v>
      </c>
      <c r="B1345">
        <v>2</v>
      </c>
      <c r="C1345">
        <v>5</v>
      </c>
      <c r="E1345">
        <v>4</v>
      </c>
      <c r="F1345" t="str">
        <f t="shared" si="20"/>
        <v>F712G5T4</v>
      </c>
      <c r="G1345" s="14" t="s">
        <v>323</v>
      </c>
    </row>
    <row r="1346" spans="1:7">
      <c r="A1346">
        <v>71</v>
      </c>
      <c r="B1346">
        <v>4</v>
      </c>
      <c r="C1346">
        <v>5</v>
      </c>
      <c r="E1346">
        <v>4</v>
      </c>
      <c r="F1346" t="str">
        <f t="shared" si="20"/>
        <v>F714G5T4</v>
      </c>
      <c r="G1346" s="14" t="s">
        <v>323</v>
      </c>
    </row>
    <row r="1347" spans="1:7">
      <c r="A1347">
        <v>71</v>
      </c>
      <c r="B1347">
        <v>5</v>
      </c>
      <c r="C1347">
        <v>5</v>
      </c>
      <c r="E1347">
        <v>4</v>
      </c>
      <c r="F1347" t="str">
        <f t="shared" ref="F1347:F1410" si="21">CONCATENATE("F",A1347,B1347,"G",C1347,"T",E1347)</f>
        <v>F715G5T4</v>
      </c>
      <c r="G1347" s="14" t="s">
        <v>323</v>
      </c>
    </row>
    <row r="1348" spans="1:7">
      <c r="A1348">
        <v>71</v>
      </c>
      <c r="B1348">
        <v>6</v>
      </c>
      <c r="C1348">
        <v>5</v>
      </c>
      <c r="E1348">
        <v>4</v>
      </c>
      <c r="F1348" t="str">
        <f t="shared" si="21"/>
        <v>F716G5T4</v>
      </c>
      <c r="G1348" s="14" t="s">
        <v>323</v>
      </c>
    </row>
    <row r="1349" spans="1:7">
      <c r="A1349">
        <v>71</v>
      </c>
      <c r="B1349">
        <v>7</v>
      </c>
      <c r="C1349">
        <v>5</v>
      </c>
      <c r="E1349">
        <v>4</v>
      </c>
      <c r="F1349" t="str">
        <f t="shared" si="21"/>
        <v>F717G5T4</v>
      </c>
      <c r="G1349" s="14" t="s">
        <v>323</v>
      </c>
    </row>
    <row r="1350" spans="1:7">
      <c r="A1350">
        <v>72</v>
      </c>
      <c r="B1350">
        <v>1</v>
      </c>
      <c r="C1350">
        <v>3</v>
      </c>
      <c r="E1350">
        <v>1</v>
      </c>
      <c r="F1350" t="str">
        <f t="shared" si="21"/>
        <v>F721G3T1</v>
      </c>
      <c r="G1350" s="14" t="s">
        <v>323</v>
      </c>
    </row>
    <row r="1351" spans="1:7">
      <c r="A1351">
        <v>72</v>
      </c>
      <c r="B1351">
        <v>2</v>
      </c>
      <c r="C1351">
        <v>3</v>
      </c>
      <c r="E1351">
        <v>1</v>
      </c>
      <c r="F1351" t="str">
        <f t="shared" si="21"/>
        <v>F722G3T1</v>
      </c>
      <c r="G1351" s="14" t="s">
        <v>323</v>
      </c>
    </row>
    <row r="1352" spans="1:7">
      <c r="A1352">
        <v>72</v>
      </c>
      <c r="B1352">
        <v>4</v>
      </c>
      <c r="C1352">
        <v>3</v>
      </c>
      <c r="E1352">
        <v>1</v>
      </c>
      <c r="F1352" t="str">
        <f t="shared" si="21"/>
        <v>F724G3T1</v>
      </c>
      <c r="G1352" s="14" t="s">
        <v>323</v>
      </c>
    </row>
    <row r="1353" spans="1:7">
      <c r="A1353">
        <v>72</v>
      </c>
      <c r="B1353">
        <v>5</v>
      </c>
      <c r="C1353">
        <v>3</v>
      </c>
      <c r="E1353">
        <v>1</v>
      </c>
      <c r="F1353" t="str">
        <f t="shared" si="21"/>
        <v>F725G3T1</v>
      </c>
      <c r="G1353" s="14" t="s">
        <v>323</v>
      </c>
    </row>
    <row r="1354" spans="1:7">
      <c r="A1354">
        <v>72</v>
      </c>
      <c r="B1354">
        <v>6</v>
      </c>
      <c r="C1354">
        <v>3</v>
      </c>
      <c r="E1354">
        <v>1</v>
      </c>
      <c r="F1354" t="str">
        <f t="shared" si="21"/>
        <v>F726G3T1</v>
      </c>
      <c r="G1354" s="14" t="s">
        <v>323</v>
      </c>
    </row>
    <row r="1355" spans="1:7">
      <c r="A1355">
        <v>72</v>
      </c>
      <c r="B1355">
        <v>7</v>
      </c>
      <c r="C1355">
        <v>3</v>
      </c>
      <c r="E1355">
        <v>1</v>
      </c>
      <c r="F1355" t="str">
        <f t="shared" si="21"/>
        <v>F727G3T1</v>
      </c>
      <c r="G1355" s="14" t="s">
        <v>323</v>
      </c>
    </row>
    <row r="1356" spans="1:7">
      <c r="A1356">
        <v>72</v>
      </c>
      <c r="B1356">
        <v>1</v>
      </c>
      <c r="C1356">
        <v>4</v>
      </c>
      <c r="E1356">
        <v>1</v>
      </c>
      <c r="F1356" t="str">
        <f t="shared" si="21"/>
        <v>F721G4T1</v>
      </c>
      <c r="G1356" s="14" t="s">
        <v>323</v>
      </c>
    </row>
    <row r="1357" spans="1:7">
      <c r="A1357">
        <v>72</v>
      </c>
      <c r="B1357">
        <v>2</v>
      </c>
      <c r="C1357">
        <v>4</v>
      </c>
      <c r="E1357">
        <v>1</v>
      </c>
      <c r="F1357" t="str">
        <f t="shared" si="21"/>
        <v>F722G4T1</v>
      </c>
      <c r="G1357" s="14" t="s">
        <v>323</v>
      </c>
    </row>
    <row r="1358" spans="1:7">
      <c r="A1358">
        <v>72</v>
      </c>
      <c r="B1358">
        <v>4</v>
      </c>
      <c r="C1358">
        <v>4</v>
      </c>
      <c r="E1358">
        <v>1</v>
      </c>
      <c r="F1358" t="str">
        <f t="shared" si="21"/>
        <v>F724G4T1</v>
      </c>
      <c r="G1358" s="14" t="s">
        <v>323</v>
      </c>
    </row>
    <row r="1359" spans="1:7">
      <c r="A1359">
        <v>72</v>
      </c>
      <c r="B1359">
        <v>5</v>
      </c>
      <c r="C1359">
        <v>4</v>
      </c>
      <c r="E1359">
        <v>1</v>
      </c>
      <c r="F1359" t="str">
        <f t="shared" si="21"/>
        <v>F725G4T1</v>
      </c>
      <c r="G1359" s="14" t="s">
        <v>323</v>
      </c>
    </row>
    <row r="1360" spans="1:7">
      <c r="A1360">
        <v>72</v>
      </c>
      <c r="B1360">
        <v>6</v>
      </c>
      <c r="C1360">
        <v>4</v>
      </c>
      <c r="E1360">
        <v>1</v>
      </c>
      <c r="F1360" t="str">
        <f t="shared" si="21"/>
        <v>F726G4T1</v>
      </c>
      <c r="G1360" s="14" t="s">
        <v>323</v>
      </c>
    </row>
    <row r="1361" spans="1:7">
      <c r="A1361">
        <v>72</v>
      </c>
      <c r="B1361">
        <v>7</v>
      </c>
      <c r="C1361">
        <v>4</v>
      </c>
      <c r="E1361">
        <v>1</v>
      </c>
      <c r="F1361" t="str">
        <f t="shared" si="21"/>
        <v>F727G4T1</v>
      </c>
      <c r="G1361" s="14" t="s">
        <v>323</v>
      </c>
    </row>
    <row r="1362" spans="1:7">
      <c r="A1362">
        <v>72</v>
      </c>
      <c r="B1362">
        <v>1</v>
      </c>
      <c r="C1362">
        <v>5</v>
      </c>
      <c r="E1362">
        <v>1</v>
      </c>
      <c r="F1362" t="str">
        <f t="shared" si="21"/>
        <v>F721G5T1</v>
      </c>
      <c r="G1362" s="14" t="s">
        <v>323</v>
      </c>
    </row>
    <row r="1363" spans="1:7">
      <c r="A1363">
        <v>72</v>
      </c>
      <c r="B1363">
        <v>2</v>
      </c>
      <c r="C1363">
        <v>5</v>
      </c>
      <c r="E1363">
        <v>1</v>
      </c>
      <c r="F1363" t="str">
        <f t="shared" si="21"/>
        <v>F722G5T1</v>
      </c>
      <c r="G1363" s="14" t="s">
        <v>323</v>
      </c>
    </row>
    <row r="1364" spans="1:7">
      <c r="A1364">
        <v>72</v>
      </c>
      <c r="B1364">
        <v>4</v>
      </c>
      <c r="C1364">
        <v>5</v>
      </c>
      <c r="E1364">
        <v>1</v>
      </c>
      <c r="F1364" t="str">
        <f t="shared" si="21"/>
        <v>F724G5T1</v>
      </c>
      <c r="G1364" s="14" t="s">
        <v>323</v>
      </c>
    </row>
    <row r="1365" spans="1:7">
      <c r="A1365">
        <v>72</v>
      </c>
      <c r="B1365">
        <v>5</v>
      </c>
      <c r="C1365">
        <v>5</v>
      </c>
      <c r="E1365">
        <v>1</v>
      </c>
      <c r="F1365" t="str">
        <f t="shared" si="21"/>
        <v>F725G5T1</v>
      </c>
      <c r="G1365" s="14" t="s">
        <v>323</v>
      </c>
    </row>
    <row r="1366" spans="1:7">
      <c r="A1366">
        <v>72</v>
      </c>
      <c r="B1366">
        <v>6</v>
      </c>
      <c r="C1366">
        <v>5</v>
      </c>
      <c r="E1366">
        <v>1</v>
      </c>
      <c r="F1366" t="str">
        <f t="shared" si="21"/>
        <v>F726G5T1</v>
      </c>
      <c r="G1366" s="14" t="s">
        <v>323</v>
      </c>
    </row>
    <row r="1367" spans="1:7">
      <c r="A1367">
        <v>72</v>
      </c>
      <c r="B1367">
        <v>7</v>
      </c>
      <c r="C1367">
        <v>5</v>
      </c>
      <c r="E1367">
        <v>1</v>
      </c>
      <c r="F1367" t="str">
        <f t="shared" si="21"/>
        <v>F727G5T1</v>
      </c>
      <c r="G1367" s="14" t="s">
        <v>323</v>
      </c>
    </row>
    <row r="1368" spans="1:7">
      <c r="A1368">
        <v>72</v>
      </c>
      <c r="B1368">
        <v>1</v>
      </c>
      <c r="C1368">
        <v>3</v>
      </c>
      <c r="E1368">
        <v>4</v>
      </c>
      <c r="F1368" t="str">
        <f t="shared" si="21"/>
        <v>F721G3T4</v>
      </c>
      <c r="G1368" s="14" t="s">
        <v>323</v>
      </c>
    </row>
    <row r="1369" spans="1:7">
      <c r="A1369">
        <v>72</v>
      </c>
      <c r="B1369">
        <v>2</v>
      </c>
      <c r="C1369">
        <v>3</v>
      </c>
      <c r="E1369">
        <v>4</v>
      </c>
      <c r="F1369" t="str">
        <f t="shared" si="21"/>
        <v>F722G3T4</v>
      </c>
      <c r="G1369" s="14" t="s">
        <v>323</v>
      </c>
    </row>
    <row r="1370" spans="1:7">
      <c r="A1370">
        <v>72</v>
      </c>
      <c r="B1370">
        <v>4</v>
      </c>
      <c r="C1370">
        <v>3</v>
      </c>
      <c r="E1370">
        <v>4</v>
      </c>
      <c r="F1370" t="str">
        <f t="shared" si="21"/>
        <v>F724G3T4</v>
      </c>
      <c r="G1370" s="14" t="s">
        <v>323</v>
      </c>
    </row>
    <row r="1371" spans="1:7">
      <c r="A1371">
        <v>72</v>
      </c>
      <c r="B1371">
        <v>5</v>
      </c>
      <c r="C1371">
        <v>3</v>
      </c>
      <c r="E1371">
        <v>4</v>
      </c>
      <c r="F1371" t="str">
        <f t="shared" si="21"/>
        <v>F725G3T4</v>
      </c>
      <c r="G1371" s="14" t="s">
        <v>323</v>
      </c>
    </row>
    <row r="1372" spans="1:7">
      <c r="A1372">
        <v>72</v>
      </c>
      <c r="B1372">
        <v>6</v>
      </c>
      <c r="C1372">
        <v>3</v>
      </c>
      <c r="E1372">
        <v>4</v>
      </c>
      <c r="F1372" t="str">
        <f t="shared" si="21"/>
        <v>F726G3T4</v>
      </c>
      <c r="G1372" s="14" t="s">
        <v>323</v>
      </c>
    </row>
    <row r="1373" spans="1:7">
      <c r="A1373">
        <v>72</v>
      </c>
      <c r="B1373">
        <v>7</v>
      </c>
      <c r="C1373">
        <v>3</v>
      </c>
      <c r="E1373">
        <v>4</v>
      </c>
      <c r="F1373" t="str">
        <f t="shared" si="21"/>
        <v>F727G3T4</v>
      </c>
      <c r="G1373" s="14" t="s">
        <v>323</v>
      </c>
    </row>
    <row r="1374" spans="1:7">
      <c r="A1374">
        <v>72</v>
      </c>
      <c r="B1374">
        <v>1</v>
      </c>
      <c r="C1374">
        <v>4</v>
      </c>
      <c r="E1374">
        <v>4</v>
      </c>
      <c r="F1374" t="str">
        <f t="shared" si="21"/>
        <v>F721G4T4</v>
      </c>
      <c r="G1374" s="14" t="s">
        <v>323</v>
      </c>
    </row>
    <row r="1375" spans="1:7">
      <c r="A1375">
        <v>72</v>
      </c>
      <c r="B1375">
        <v>2</v>
      </c>
      <c r="C1375">
        <v>4</v>
      </c>
      <c r="E1375">
        <v>4</v>
      </c>
      <c r="F1375" t="str">
        <f t="shared" si="21"/>
        <v>F722G4T4</v>
      </c>
      <c r="G1375" s="14" t="s">
        <v>323</v>
      </c>
    </row>
    <row r="1376" spans="1:7">
      <c r="A1376">
        <v>72</v>
      </c>
      <c r="B1376">
        <v>4</v>
      </c>
      <c r="C1376">
        <v>4</v>
      </c>
      <c r="E1376">
        <v>4</v>
      </c>
      <c r="F1376" t="str">
        <f t="shared" si="21"/>
        <v>F724G4T4</v>
      </c>
      <c r="G1376" s="14" t="s">
        <v>323</v>
      </c>
    </row>
    <row r="1377" spans="1:7">
      <c r="A1377">
        <v>72</v>
      </c>
      <c r="B1377">
        <v>5</v>
      </c>
      <c r="C1377">
        <v>4</v>
      </c>
      <c r="E1377">
        <v>4</v>
      </c>
      <c r="F1377" t="str">
        <f t="shared" si="21"/>
        <v>F725G4T4</v>
      </c>
      <c r="G1377" s="14" t="s">
        <v>323</v>
      </c>
    </row>
    <row r="1378" spans="1:7">
      <c r="A1378">
        <v>72</v>
      </c>
      <c r="B1378">
        <v>6</v>
      </c>
      <c r="C1378">
        <v>4</v>
      </c>
      <c r="E1378">
        <v>4</v>
      </c>
      <c r="F1378" t="str">
        <f t="shared" si="21"/>
        <v>F726G4T4</v>
      </c>
      <c r="G1378" s="14" t="s">
        <v>323</v>
      </c>
    </row>
    <row r="1379" spans="1:7">
      <c r="A1379">
        <v>72</v>
      </c>
      <c r="B1379">
        <v>7</v>
      </c>
      <c r="C1379">
        <v>4</v>
      </c>
      <c r="E1379">
        <v>4</v>
      </c>
      <c r="F1379" t="str">
        <f t="shared" si="21"/>
        <v>F727G4T4</v>
      </c>
      <c r="G1379" s="14" t="s">
        <v>323</v>
      </c>
    </row>
    <row r="1380" spans="1:7">
      <c r="A1380">
        <v>72</v>
      </c>
      <c r="B1380">
        <v>1</v>
      </c>
      <c r="C1380">
        <v>5</v>
      </c>
      <c r="E1380">
        <v>4</v>
      </c>
      <c r="F1380" t="str">
        <f t="shared" si="21"/>
        <v>F721G5T4</v>
      </c>
      <c r="G1380" s="14" t="s">
        <v>323</v>
      </c>
    </row>
    <row r="1381" spans="1:7">
      <c r="A1381">
        <v>72</v>
      </c>
      <c r="B1381">
        <v>2</v>
      </c>
      <c r="C1381">
        <v>5</v>
      </c>
      <c r="E1381">
        <v>4</v>
      </c>
      <c r="F1381" t="str">
        <f t="shared" si="21"/>
        <v>F722G5T4</v>
      </c>
      <c r="G1381" s="14" t="s">
        <v>323</v>
      </c>
    </row>
    <row r="1382" spans="1:7">
      <c r="A1382">
        <v>72</v>
      </c>
      <c r="B1382">
        <v>4</v>
      </c>
      <c r="C1382">
        <v>5</v>
      </c>
      <c r="E1382">
        <v>4</v>
      </c>
      <c r="F1382" t="str">
        <f t="shared" si="21"/>
        <v>F724G5T4</v>
      </c>
      <c r="G1382" s="14" t="s">
        <v>323</v>
      </c>
    </row>
    <row r="1383" spans="1:7">
      <c r="A1383">
        <v>72</v>
      </c>
      <c r="B1383">
        <v>5</v>
      </c>
      <c r="C1383">
        <v>5</v>
      </c>
      <c r="E1383">
        <v>4</v>
      </c>
      <c r="F1383" t="str">
        <f t="shared" si="21"/>
        <v>F725G5T4</v>
      </c>
      <c r="G1383" s="14" t="s">
        <v>323</v>
      </c>
    </row>
    <row r="1384" spans="1:7">
      <c r="A1384">
        <v>72</v>
      </c>
      <c r="B1384">
        <v>6</v>
      </c>
      <c r="C1384">
        <v>5</v>
      </c>
      <c r="E1384">
        <v>4</v>
      </c>
      <c r="F1384" t="str">
        <f t="shared" si="21"/>
        <v>F726G5T4</v>
      </c>
      <c r="G1384" s="14" t="s">
        <v>323</v>
      </c>
    </row>
    <row r="1385" spans="1:7">
      <c r="A1385">
        <v>72</v>
      </c>
      <c r="B1385">
        <v>7</v>
      </c>
      <c r="C1385">
        <v>5</v>
      </c>
      <c r="E1385">
        <v>4</v>
      </c>
      <c r="F1385" t="str">
        <f t="shared" si="21"/>
        <v>F727G5T4</v>
      </c>
      <c r="G1385" s="14" t="s">
        <v>323</v>
      </c>
    </row>
    <row r="1386" spans="1:7">
      <c r="A1386">
        <v>82</v>
      </c>
      <c r="B1386">
        <v>1</v>
      </c>
      <c r="C1386">
        <v>3</v>
      </c>
      <c r="E1386">
        <v>1</v>
      </c>
      <c r="F1386" t="str">
        <f t="shared" si="21"/>
        <v>F821G3T1</v>
      </c>
      <c r="G1386" s="14" t="s">
        <v>323</v>
      </c>
    </row>
    <row r="1387" spans="1:7">
      <c r="A1387">
        <v>82</v>
      </c>
      <c r="B1387">
        <v>2</v>
      </c>
      <c r="C1387">
        <v>3</v>
      </c>
      <c r="E1387">
        <v>1</v>
      </c>
      <c r="F1387" t="str">
        <f t="shared" si="21"/>
        <v>F822G3T1</v>
      </c>
      <c r="G1387" s="14" t="s">
        <v>323</v>
      </c>
    </row>
    <row r="1388" spans="1:7">
      <c r="A1388">
        <v>82</v>
      </c>
      <c r="B1388">
        <v>4</v>
      </c>
      <c r="C1388">
        <v>3</v>
      </c>
      <c r="E1388">
        <v>1</v>
      </c>
      <c r="F1388" t="str">
        <f t="shared" si="21"/>
        <v>F824G3T1</v>
      </c>
      <c r="G1388" s="14" t="s">
        <v>323</v>
      </c>
    </row>
    <row r="1389" spans="1:7">
      <c r="A1389">
        <v>82</v>
      </c>
      <c r="B1389">
        <v>5</v>
      </c>
      <c r="C1389">
        <v>3</v>
      </c>
      <c r="E1389">
        <v>1</v>
      </c>
      <c r="F1389" t="str">
        <f t="shared" si="21"/>
        <v>F825G3T1</v>
      </c>
      <c r="G1389" s="14" t="s">
        <v>323</v>
      </c>
    </row>
    <row r="1390" spans="1:7">
      <c r="A1390">
        <v>82</v>
      </c>
      <c r="B1390">
        <v>6</v>
      </c>
      <c r="C1390">
        <v>3</v>
      </c>
      <c r="E1390">
        <v>1</v>
      </c>
      <c r="F1390" t="str">
        <f t="shared" si="21"/>
        <v>F826G3T1</v>
      </c>
      <c r="G1390" s="14" t="s">
        <v>323</v>
      </c>
    </row>
    <row r="1391" spans="1:7">
      <c r="A1391">
        <v>82</v>
      </c>
      <c r="B1391">
        <v>7</v>
      </c>
      <c r="C1391">
        <v>3</v>
      </c>
      <c r="E1391">
        <v>1</v>
      </c>
      <c r="F1391" t="str">
        <f t="shared" si="21"/>
        <v>F827G3T1</v>
      </c>
      <c r="G1391" s="14" t="s">
        <v>323</v>
      </c>
    </row>
    <row r="1392" spans="1:7">
      <c r="A1392">
        <v>82</v>
      </c>
      <c r="B1392">
        <v>1</v>
      </c>
      <c r="C1392">
        <v>4</v>
      </c>
      <c r="E1392">
        <v>1</v>
      </c>
      <c r="F1392" t="str">
        <f t="shared" si="21"/>
        <v>F821G4T1</v>
      </c>
      <c r="G1392" s="14" t="s">
        <v>323</v>
      </c>
    </row>
    <row r="1393" spans="1:7">
      <c r="A1393">
        <v>82</v>
      </c>
      <c r="B1393">
        <v>2</v>
      </c>
      <c r="C1393">
        <v>4</v>
      </c>
      <c r="E1393">
        <v>1</v>
      </c>
      <c r="F1393" t="str">
        <f t="shared" si="21"/>
        <v>F822G4T1</v>
      </c>
      <c r="G1393" s="14" t="s">
        <v>323</v>
      </c>
    </row>
    <row r="1394" spans="1:7">
      <c r="A1394">
        <v>82</v>
      </c>
      <c r="B1394">
        <v>4</v>
      </c>
      <c r="C1394">
        <v>4</v>
      </c>
      <c r="E1394">
        <v>1</v>
      </c>
      <c r="F1394" t="str">
        <f t="shared" si="21"/>
        <v>F824G4T1</v>
      </c>
      <c r="G1394" s="14" t="s">
        <v>323</v>
      </c>
    </row>
    <row r="1395" spans="1:7">
      <c r="A1395">
        <v>82</v>
      </c>
      <c r="B1395">
        <v>5</v>
      </c>
      <c r="C1395">
        <v>4</v>
      </c>
      <c r="E1395">
        <v>1</v>
      </c>
      <c r="F1395" t="str">
        <f t="shared" si="21"/>
        <v>F825G4T1</v>
      </c>
      <c r="G1395" s="14" t="s">
        <v>323</v>
      </c>
    </row>
    <row r="1396" spans="1:7">
      <c r="A1396">
        <v>82</v>
      </c>
      <c r="B1396">
        <v>6</v>
      </c>
      <c r="C1396">
        <v>4</v>
      </c>
      <c r="E1396">
        <v>1</v>
      </c>
      <c r="F1396" t="str">
        <f t="shared" si="21"/>
        <v>F826G4T1</v>
      </c>
      <c r="G1396" s="14" t="s">
        <v>323</v>
      </c>
    </row>
    <row r="1397" spans="1:7">
      <c r="A1397">
        <v>82</v>
      </c>
      <c r="B1397">
        <v>7</v>
      </c>
      <c r="C1397">
        <v>4</v>
      </c>
      <c r="E1397">
        <v>1</v>
      </c>
      <c r="F1397" t="str">
        <f t="shared" si="21"/>
        <v>F827G4T1</v>
      </c>
      <c r="G1397" s="14" t="s">
        <v>323</v>
      </c>
    </row>
    <row r="1398" spans="1:7">
      <c r="A1398">
        <v>82</v>
      </c>
      <c r="B1398">
        <v>1</v>
      </c>
      <c r="C1398">
        <v>5</v>
      </c>
      <c r="E1398">
        <v>1</v>
      </c>
      <c r="F1398" t="str">
        <f t="shared" si="21"/>
        <v>F821G5T1</v>
      </c>
      <c r="G1398" s="14" t="s">
        <v>323</v>
      </c>
    </row>
    <row r="1399" spans="1:7">
      <c r="A1399">
        <v>82</v>
      </c>
      <c r="B1399">
        <v>2</v>
      </c>
      <c r="C1399">
        <v>5</v>
      </c>
      <c r="E1399">
        <v>1</v>
      </c>
      <c r="F1399" t="str">
        <f t="shared" si="21"/>
        <v>F822G5T1</v>
      </c>
      <c r="G1399" s="14" t="s">
        <v>323</v>
      </c>
    </row>
    <row r="1400" spans="1:7">
      <c r="A1400">
        <v>82</v>
      </c>
      <c r="B1400">
        <v>4</v>
      </c>
      <c r="C1400">
        <v>5</v>
      </c>
      <c r="E1400">
        <v>1</v>
      </c>
      <c r="F1400" t="str">
        <f t="shared" si="21"/>
        <v>F824G5T1</v>
      </c>
      <c r="G1400" s="14" t="s">
        <v>323</v>
      </c>
    </row>
    <row r="1401" spans="1:7">
      <c r="A1401">
        <v>82</v>
      </c>
      <c r="B1401">
        <v>5</v>
      </c>
      <c r="C1401">
        <v>5</v>
      </c>
      <c r="E1401">
        <v>1</v>
      </c>
      <c r="F1401" t="str">
        <f t="shared" si="21"/>
        <v>F825G5T1</v>
      </c>
      <c r="G1401" s="14" t="s">
        <v>323</v>
      </c>
    </row>
    <row r="1402" spans="1:7">
      <c r="A1402">
        <v>82</v>
      </c>
      <c r="B1402">
        <v>6</v>
      </c>
      <c r="C1402">
        <v>5</v>
      </c>
      <c r="E1402">
        <v>1</v>
      </c>
      <c r="F1402" t="str">
        <f t="shared" si="21"/>
        <v>F826G5T1</v>
      </c>
      <c r="G1402" s="14" t="s">
        <v>323</v>
      </c>
    </row>
    <row r="1403" spans="1:7">
      <c r="A1403">
        <v>82</v>
      </c>
      <c r="B1403">
        <v>7</v>
      </c>
      <c r="C1403">
        <v>5</v>
      </c>
      <c r="E1403">
        <v>1</v>
      </c>
      <c r="F1403" t="str">
        <f t="shared" si="21"/>
        <v>F827G5T1</v>
      </c>
      <c r="G1403" s="14" t="s">
        <v>323</v>
      </c>
    </row>
    <row r="1404" spans="1:7">
      <c r="A1404">
        <v>82</v>
      </c>
      <c r="B1404">
        <v>1</v>
      </c>
      <c r="C1404">
        <v>3</v>
      </c>
      <c r="E1404">
        <v>4</v>
      </c>
      <c r="F1404" t="str">
        <f t="shared" si="21"/>
        <v>F821G3T4</v>
      </c>
      <c r="G1404" s="14" t="s">
        <v>323</v>
      </c>
    </row>
    <row r="1405" spans="1:7">
      <c r="A1405">
        <v>82</v>
      </c>
      <c r="B1405">
        <v>2</v>
      </c>
      <c r="C1405">
        <v>3</v>
      </c>
      <c r="E1405">
        <v>4</v>
      </c>
      <c r="F1405" t="str">
        <f t="shared" si="21"/>
        <v>F822G3T4</v>
      </c>
      <c r="G1405" s="14" t="s">
        <v>323</v>
      </c>
    </row>
    <row r="1406" spans="1:7">
      <c r="A1406">
        <v>82</v>
      </c>
      <c r="B1406">
        <v>4</v>
      </c>
      <c r="C1406">
        <v>3</v>
      </c>
      <c r="E1406">
        <v>4</v>
      </c>
      <c r="F1406" t="str">
        <f t="shared" si="21"/>
        <v>F824G3T4</v>
      </c>
      <c r="G1406" s="14" t="s">
        <v>323</v>
      </c>
    </row>
    <row r="1407" spans="1:7">
      <c r="A1407">
        <v>82</v>
      </c>
      <c r="B1407">
        <v>5</v>
      </c>
      <c r="C1407">
        <v>3</v>
      </c>
      <c r="E1407">
        <v>4</v>
      </c>
      <c r="F1407" t="str">
        <f t="shared" si="21"/>
        <v>F825G3T4</v>
      </c>
      <c r="G1407" s="14" t="s">
        <v>323</v>
      </c>
    </row>
    <row r="1408" spans="1:7">
      <c r="A1408">
        <v>82</v>
      </c>
      <c r="B1408">
        <v>6</v>
      </c>
      <c r="C1408">
        <v>3</v>
      </c>
      <c r="E1408">
        <v>4</v>
      </c>
      <c r="F1408" t="str">
        <f t="shared" si="21"/>
        <v>F826G3T4</v>
      </c>
      <c r="G1408" s="14" t="s">
        <v>323</v>
      </c>
    </row>
    <row r="1409" spans="1:7">
      <c r="A1409">
        <v>82</v>
      </c>
      <c r="B1409">
        <v>7</v>
      </c>
      <c r="C1409">
        <v>3</v>
      </c>
      <c r="E1409">
        <v>4</v>
      </c>
      <c r="F1409" t="str">
        <f t="shared" si="21"/>
        <v>F827G3T4</v>
      </c>
      <c r="G1409" s="14" t="s">
        <v>323</v>
      </c>
    </row>
    <row r="1410" spans="1:7">
      <c r="A1410">
        <v>82</v>
      </c>
      <c r="B1410">
        <v>1</v>
      </c>
      <c r="C1410">
        <v>4</v>
      </c>
      <c r="E1410">
        <v>4</v>
      </c>
      <c r="F1410" t="str">
        <f t="shared" si="21"/>
        <v>F821G4T4</v>
      </c>
      <c r="G1410" s="14" t="s">
        <v>323</v>
      </c>
    </row>
    <row r="1411" spans="1:7">
      <c r="A1411">
        <v>82</v>
      </c>
      <c r="B1411">
        <v>2</v>
      </c>
      <c r="C1411">
        <v>4</v>
      </c>
      <c r="E1411">
        <v>4</v>
      </c>
      <c r="F1411" t="str">
        <f t="shared" ref="F1411:F1474" si="22">CONCATENATE("F",A1411,B1411,"G",C1411,"T",E1411)</f>
        <v>F822G4T4</v>
      </c>
      <c r="G1411" s="14" t="s">
        <v>323</v>
      </c>
    </row>
    <row r="1412" spans="1:7">
      <c r="A1412">
        <v>82</v>
      </c>
      <c r="B1412">
        <v>4</v>
      </c>
      <c r="C1412">
        <v>4</v>
      </c>
      <c r="E1412">
        <v>4</v>
      </c>
      <c r="F1412" t="str">
        <f t="shared" si="22"/>
        <v>F824G4T4</v>
      </c>
      <c r="G1412" s="14" t="s">
        <v>323</v>
      </c>
    </row>
    <row r="1413" spans="1:7">
      <c r="A1413">
        <v>82</v>
      </c>
      <c r="B1413">
        <v>5</v>
      </c>
      <c r="C1413">
        <v>4</v>
      </c>
      <c r="E1413">
        <v>4</v>
      </c>
      <c r="F1413" t="str">
        <f t="shared" si="22"/>
        <v>F825G4T4</v>
      </c>
      <c r="G1413" s="14" t="s">
        <v>323</v>
      </c>
    </row>
    <row r="1414" spans="1:7">
      <c r="A1414">
        <v>82</v>
      </c>
      <c r="B1414">
        <v>6</v>
      </c>
      <c r="C1414">
        <v>4</v>
      </c>
      <c r="E1414">
        <v>4</v>
      </c>
      <c r="F1414" t="str">
        <f t="shared" si="22"/>
        <v>F826G4T4</v>
      </c>
      <c r="G1414" s="14" t="s">
        <v>323</v>
      </c>
    </row>
    <row r="1415" spans="1:7">
      <c r="A1415">
        <v>82</v>
      </c>
      <c r="B1415">
        <v>7</v>
      </c>
      <c r="C1415">
        <v>4</v>
      </c>
      <c r="E1415">
        <v>4</v>
      </c>
      <c r="F1415" t="str">
        <f t="shared" si="22"/>
        <v>F827G4T4</v>
      </c>
      <c r="G1415" s="14" t="s">
        <v>323</v>
      </c>
    </row>
    <row r="1416" spans="1:7">
      <c r="A1416">
        <v>82</v>
      </c>
      <c r="B1416">
        <v>1</v>
      </c>
      <c r="C1416">
        <v>5</v>
      </c>
      <c r="E1416">
        <v>4</v>
      </c>
      <c r="F1416" t="str">
        <f t="shared" si="22"/>
        <v>F821G5T4</v>
      </c>
      <c r="G1416" s="14" t="s">
        <v>323</v>
      </c>
    </row>
    <row r="1417" spans="1:7">
      <c r="A1417">
        <v>82</v>
      </c>
      <c r="B1417">
        <v>2</v>
      </c>
      <c r="C1417">
        <v>5</v>
      </c>
      <c r="E1417">
        <v>4</v>
      </c>
      <c r="F1417" t="str">
        <f t="shared" si="22"/>
        <v>F822G5T4</v>
      </c>
      <c r="G1417" s="14" t="s">
        <v>323</v>
      </c>
    </row>
    <row r="1418" spans="1:7">
      <c r="A1418">
        <v>82</v>
      </c>
      <c r="B1418">
        <v>4</v>
      </c>
      <c r="C1418">
        <v>5</v>
      </c>
      <c r="E1418">
        <v>4</v>
      </c>
      <c r="F1418" t="str">
        <f t="shared" si="22"/>
        <v>F824G5T4</v>
      </c>
      <c r="G1418" s="14" t="s">
        <v>323</v>
      </c>
    </row>
    <row r="1419" spans="1:7">
      <c r="A1419">
        <v>82</v>
      </c>
      <c r="B1419">
        <v>5</v>
      </c>
      <c r="C1419">
        <v>5</v>
      </c>
      <c r="E1419">
        <v>4</v>
      </c>
      <c r="F1419" t="str">
        <f t="shared" si="22"/>
        <v>F825G5T4</v>
      </c>
      <c r="G1419" s="14" t="s">
        <v>323</v>
      </c>
    </row>
    <row r="1420" spans="1:7">
      <c r="A1420">
        <v>82</v>
      </c>
      <c r="B1420">
        <v>6</v>
      </c>
      <c r="C1420">
        <v>5</v>
      </c>
      <c r="E1420">
        <v>4</v>
      </c>
      <c r="F1420" t="str">
        <f t="shared" si="22"/>
        <v>F826G5T4</v>
      </c>
      <c r="G1420" s="14" t="s">
        <v>323</v>
      </c>
    </row>
    <row r="1421" spans="1:7">
      <c r="A1421">
        <v>82</v>
      </c>
      <c r="B1421">
        <v>7</v>
      </c>
      <c r="C1421">
        <v>5</v>
      </c>
      <c r="E1421">
        <v>4</v>
      </c>
      <c r="F1421" t="str">
        <f t="shared" si="22"/>
        <v>F827G5T4</v>
      </c>
      <c r="G1421" s="14" t="s">
        <v>323</v>
      </c>
    </row>
    <row r="1422" spans="1:7">
      <c r="A1422">
        <v>83</v>
      </c>
      <c r="B1422">
        <v>1</v>
      </c>
      <c r="C1422">
        <v>3</v>
      </c>
      <c r="E1422">
        <v>1</v>
      </c>
      <c r="F1422" t="str">
        <f t="shared" si="22"/>
        <v>F831G3T1</v>
      </c>
      <c r="G1422" s="14" t="s">
        <v>323</v>
      </c>
    </row>
    <row r="1423" spans="1:7">
      <c r="A1423">
        <v>83</v>
      </c>
      <c r="B1423">
        <v>2</v>
      </c>
      <c r="C1423">
        <v>3</v>
      </c>
      <c r="E1423">
        <v>1</v>
      </c>
      <c r="F1423" t="str">
        <f t="shared" si="22"/>
        <v>F832G3T1</v>
      </c>
      <c r="G1423" s="14" t="s">
        <v>323</v>
      </c>
    </row>
    <row r="1424" spans="1:7">
      <c r="A1424">
        <v>83</v>
      </c>
      <c r="B1424">
        <v>4</v>
      </c>
      <c r="C1424">
        <v>3</v>
      </c>
      <c r="E1424">
        <v>1</v>
      </c>
      <c r="F1424" t="str">
        <f t="shared" si="22"/>
        <v>F834G3T1</v>
      </c>
      <c r="G1424" s="14" t="s">
        <v>323</v>
      </c>
    </row>
    <row r="1425" spans="1:7">
      <c r="A1425">
        <v>83</v>
      </c>
      <c r="B1425">
        <v>5</v>
      </c>
      <c r="C1425">
        <v>3</v>
      </c>
      <c r="E1425">
        <v>1</v>
      </c>
      <c r="F1425" t="str">
        <f t="shared" si="22"/>
        <v>F835G3T1</v>
      </c>
      <c r="G1425" s="14" t="s">
        <v>323</v>
      </c>
    </row>
    <row r="1426" spans="1:7">
      <c r="A1426">
        <v>83</v>
      </c>
      <c r="B1426">
        <v>6</v>
      </c>
      <c r="C1426">
        <v>3</v>
      </c>
      <c r="E1426">
        <v>1</v>
      </c>
      <c r="F1426" t="str">
        <f t="shared" si="22"/>
        <v>F836G3T1</v>
      </c>
      <c r="G1426" s="14" t="s">
        <v>323</v>
      </c>
    </row>
    <row r="1427" spans="1:7">
      <c r="A1427">
        <v>83</v>
      </c>
      <c r="B1427">
        <v>7</v>
      </c>
      <c r="C1427">
        <v>3</v>
      </c>
      <c r="E1427">
        <v>1</v>
      </c>
      <c r="F1427" t="str">
        <f t="shared" si="22"/>
        <v>F837G3T1</v>
      </c>
      <c r="G1427" s="14" t="s">
        <v>323</v>
      </c>
    </row>
    <row r="1428" spans="1:7">
      <c r="A1428">
        <v>83</v>
      </c>
      <c r="B1428">
        <v>1</v>
      </c>
      <c r="C1428">
        <v>4</v>
      </c>
      <c r="E1428">
        <v>1</v>
      </c>
      <c r="F1428" t="str">
        <f t="shared" si="22"/>
        <v>F831G4T1</v>
      </c>
      <c r="G1428" s="14" t="s">
        <v>323</v>
      </c>
    </row>
    <row r="1429" spans="1:7">
      <c r="A1429">
        <v>83</v>
      </c>
      <c r="B1429">
        <v>2</v>
      </c>
      <c r="C1429">
        <v>4</v>
      </c>
      <c r="E1429">
        <v>1</v>
      </c>
      <c r="F1429" t="str">
        <f t="shared" si="22"/>
        <v>F832G4T1</v>
      </c>
      <c r="G1429" s="14" t="s">
        <v>323</v>
      </c>
    </row>
    <row r="1430" spans="1:7">
      <c r="A1430">
        <v>83</v>
      </c>
      <c r="B1430">
        <v>4</v>
      </c>
      <c r="C1430">
        <v>4</v>
      </c>
      <c r="E1430">
        <v>1</v>
      </c>
      <c r="F1430" t="str">
        <f t="shared" si="22"/>
        <v>F834G4T1</v>
      </c>
      <c r="G1430" s="14" t="s">
        <v>323</v>
      </c>
    </row>
    <row r="1431" spans="1:7">
      <c r="A1431">
        <v>83</v>
      </c>
      <c r="B1431">
        <v>5</v>
      </c>
      <c r="C1431">
        <v>4</v>
      </c>
      <c r="E1431">
        <v>1</v>
      </c>
      <c r="F1431" t="str">
        <f t="shared" si="22"/>
        <v>F835G4T1</v>
      </c>
      <c r="G1431" s="14" t="s">
        <v>323</v>
      </c>
    </row>
    <row r="1432" spans="1:7">
      <c r="A1432">
        <v>83</v>
      </c>
      <c r="B1432">
        <v>6</v>
      </c>
      <c r="C1432">
        <v>4</v>
      </c>
      <c r="E1432">
        <v>1</v>
      </c>
      <c r="F1432" t="str">
        <f t="shared" si="22"/>
        <v>F836G4T1</v>
      </c>
      <c r="G1432" s="14" t="s">
        <v>323</v>
      </c>
    </row>
    <row r="1433" spans="1:7">
      <c r="A1433">
        <v>83</v>
      </c>
      <c r="B1433">
        <v>7</v>
      </c>
      <c r="C1433">
        <v>4</v>
      </c>
      <c r="E1433">
        <v>1</v>
      </c>
      <c r="F1433" t="str">
        <f t="shared" si="22"/>
        <v>F837G4T1</v>
      </c>
      <c r="G1433" s="14" t="s">
        <v>323</v>
      </c>
    </row>
    <row r="1434" spans="1:7">
      <c r="A1434">
        <v>83</v>
      </c>
      <c r="B1434">
        <v>1</v>
      </c>
      <c r="C1434">
        <v>5</v>
      </c>
      <c r="E1434">
        <v>1</v>
      </c>
      <c r="F1434" t="str">
        <f t="shared" si="22"/>
        <v>F831G5T1</v>
      </c>
      <c r="G1434" s="14" t="s">
        <v>323</v>
      </c>
    </row>
    <row r="1435" spans="1:7">
      <c r="A1435">
        <v>83</v>
      </c>
      <c r="B1435">
        <v>2</v>
      </c>
      <c r="C1435">
        <v>5</v>
      </c>
      <c r="E1435">
        <v>1</v>
      </c>
      <c r="F1435" t="str">
        <f t="shared" si="22"/>
        <v>F832G5T1</v>
      </c>
      <c r="G1435" s="14" t="s">
        <v>323</v>
      </c>
    </row>
    <row r="1436" spans="1:7">
      <c r="A1436">
        <v>83</v>
      </c>
      <c r="B1436">
        <v>4</v>
      </c>
      <c r="C1436">
        <v>5</v>
      </c>
      <c r="E1436">
        <v>1</v>
      </c>
      <c r="F1436" t="str">
        <f t="shared" si="22"/>
        <v>F834G5T1</v>
      </c>
      <c r="G1436" s="14" t="s">
        <v>323</v>
      </c>
    </row>
    <row r="1437" spans="1:7">
      <c r="A1437">
        <v>83</v>
      </c>
      <c r="B1437">
        <v>5</v>
      </c>
      <c r="C1437">
        <v>5</v>
      </c>
      <c r="E1437">
        <v>1</v>
      </c>
      <c r="F1437" t="str">
        <f t="shared" si="22"/>
        <v>F835G5T1</v>
      </c>
      <c r="G1437" s="14" t="s">
        <v>323</v>
      </c>
    </row>
    <row r="1438" spans="1:7">
      <c r="A1438">
        <v>83</v>
      </c>
      <c r="B1438">
        <v>6</v>
      </c>
      <c r="C1438">
        <v>5</v>
      </c>
      <c r="E1438">
        <v>1</v>
      </c>
      <c r="F1438" t="str">
        <f t="shared" si="22"/>
        <v>F836G5T1</v>
      </c>
      <c r="G1438" s="14" t="s">
        <v>323</v>
      </c>
    </row>
    <row r="1439" spans="1:7">
      <c r="A1439">
        <v>83</v>
      </c>
      <c r="B1439">
        <v>7</v>
      </c>
      <c r="C1439">
        <v>5</v>
      </c>
      <c r="E1439">
        <v>1</v>
      </c>
      <c r="F1439" t="str">
        <f t="shared" si="22"/>
        <v>F837G5T1</v>
      </c>
      <c r="G1439" s="14" t="s">
        <v>323</v>
      </c>
    </row>
    <row r="1440" spans="1:7">
      <c r="A1440">
        <v>83</v>
      </c>
      <c r="B1440">
        <v>1</v>
      </c>
      <c r="C1440">
        <v>3</v>
      </c>
      <c r="E1440">
        <v>4</v>
      </c>
      <c r="F1440" t="str">
        <f t="shared" si="22"/>
        <v>F831G3T4</v>
      </c>
      <c r="G1440" s="14" t="s">
        <v>323</v>
      </c>
    </row>
    <row r="1441" spans="1:7">
      <c r="A1441">
        <v>83</v>
      </c>
      <c r="B1441">
        <v>2</v>
      </c>
      <c r="C1441">
        <v>3</v>
      </c>
      <c r="E1441">
        <v>4</v>
      </c>
      <c r="F1441" t="str">
        <f t="shared" si="22"/>
        <v>F832G3T4</v>
      </c>
      <c r="G1441" s="14" t="s">
        <v>323</v>
      </c>
    </row>
    <row r="1442" spans="1:7">
      <c r="A1442">
        <v>83</v>
      </c>
      <c r="B1442">
        <v>4</v>
      </c>
      <c r="C1442">
        <v>3</v>
      </c>
      <c r="E1442">
        <v>4</v>
      </c>
      <c r="F1442" t="str">
        <f t="shared" si="22"/>
        <v>F834G3T4</v>
      </c>
      <c r="G1442" s="14" t="s">
        <v>323</v>
      </c>
    </row>
    <row r="1443" spans="1:7">
      <c r="A1443">
        <v>83</v>
      </c>
      <c r="B1443">
        <v>5</v>
      </c>
      <c r="C1443">
        <v>3</v>
      </c>
      <c r="E1443">
        <v>4</v>
      </c>
      <c r="F1443" t="str">
        <f t="shared" si="22"/>
        <v>F835G3T4</v>
      </c>
      <c r="G1443" s="14" t="s">
        <v>323</v>
      </c>
    </row>
    <row r="1444" spans="1:7">
      <c r="A1444">
        <v>83</v>
      </c>
      <c r="B1444">
        <v>6</v>
      </c>
      <c r="C1444">
        <v>3</v>
      </c>
      <c r="E1444">
        <v>4</v>
      </c>
      <c r="F1444" t="str">
        <f t="shared" si="22"/>
        <v>F836G3T4</v>
      </c>
      <c r="G1444" s="14" t="s">
        <v>323</v>
      </c>
    </row>
    <row r="1445" spans="1:7">
      <c r="A1445">
        <v>83</v>
      </c>
      <c r="B1445">
        <v>7</v>
      </c>
      <c r="C1445">
        <v>3</v>
      </c>
      <c r="E1445">
        <v>4</v>
      </c>
      <c r="F1445" t="str">
        <f t="shared" si="22"/>
        <v>F837G3T4</v>
      </c>
      <c r="G1445" s="14" t="s">
        <v>323</v>
      </c>
    </row>
    <row r="1446" spans="1:7">
      <c r="A1446">
        <v>83</v>
      </c>
      <c r="B1446">
        <v>1</v>
      </c>
      <c r="C1446">
        <v>4</v>
      </c>
      <c r="E1446">
        <v>4</v>
      </c>
      <c r="F1446" t="str">
        <f t="shared" si="22"/>
        <v>F831G4T4</v>
      </c>
      <c r="G1446" s="14" t="s">
        <v>323</v>
      </c>
    </row>
    <row r="1447" spans="1:7">
      <c r="A1447">
        <v>83</v>
      </c>
      <c r="B1447">
        <v>2</v>
      </c>
      <c r="C1447">
        <v>4</v>
      </c>
      <c r="E1447">
        <v>4</v>
      </c>
      <c r="F1447" t="str">
        <f t="shared" si="22"/>
        <v>F832G4T4</v>
      </c>
      <c r="G1447" s="14" t="s">
        <v>323</v>
      </c>
    </row>
    <row r="1448" spans="1:7">
      <c r="A1448">
        <v>83</v>
      </c>
      <c r="B1448">
        <v>4</v>
      </c>
      <c r="C1448">
        <v>4</v>
      </c>
      <c r="E1448">
        <v>4</v>
      </c>
      <c r="F1448" t="str">
        <f t="shared" si="22"/>
        <v>F834G4T4</v>
      </c>
      <c r="G1448" s="14" t="s">
        <v>323</v>
      </c>
    </row>
    <row r="1449" spans="1:7">
      <c r="A1449">
        <v>83</v>
      </c>
      <c r="B1449">
        <v>5</v>
      </c>
      <c r="C1449">
        <v>4</v>
      </c>
      <c r="E1449">
        <v>4</v>
      </c>
      <c r="F1449" t="str">
        <f t="shared" si="22"/>
        <v>F835G4T4</v>
      </c>
      <c r="G1449" s="14" t="s">
        <v>323</v>
      </c>
    </row>
    <row r="1450" spans="1:7">
      <c r="A1450">
        <v>83</v>
      </c>
      <c r="B1450">
        <v>6</v>
      </c>
      <c r="C1450">
        <v>4</v>
      </c>
      <c r="E1450">
        <v>4</v>
      </c>
      <c r="F1450" t="str">
        <f t="shared" si="22"/>
        <v>F836G4T4</v>
      </c>
      <c r="G1450" s="14" t="s">
        <v>323</v>
      </c>
    </row>
    <row r="1451" spans="1:7">
      <c r="A1451">
        <v>83</v>
      </c>
      <c r="B1451">
        <v>7</v>
      </c>
      <c r="C1451">
        <v>4</v>
      </c>
      <c r="E1451">
        <v>4</v>
      </c>
      <c r="F1451" t="str">
        <f t="shared" si="22"/>
        <v>F837G4T4</v>
      </c>
      <c r="G1451" s="14" t="s">
        <v>323</v>
      </c>
    </row>
    <row r="1452" spans="1:7">
      <c r="A1452">
        <v>83</v>
      </c>
      <c r="B1452">
        <v>1</v>
      </c>
      <c r="C1452">
        <v>5</v>
      </c>
      <c r="E1452">
        <v>4</v>
      </c>
      <c r="F1452" t="str">
        <f t="shared" si="22"/>
        <v>F831G5T4</v>
      </c>
      <c r="G1452" s="14" t="s">
        <v>323</v>
      </c>
    </row>
    <row r="1453" spans="1:7">
      <c r="A1453">
        <v>83</v>
      </c>
      <c r="B1453">
        <v>2</v>
      </c>
      <c r="C1453">
        <v>5</v>
      </c>
      <c r="E1453">
        <v>4</v>
      </c>
      <c r="F1453" t="str">
        <f t="shared" si="22"/>
        <v>F832G5T4</v>
      </c>
      <c r="G1453" s="14" t="s">
        <v>323</v>
      </c>
    </row>
    <row r="1454" spans="1:7">
      <c r="A1454">
        <v>83</v>
      </c>
      <c r="B1454">
        <v>4</v>
      </c>
      <c r="C1454">
        <v>5</v>
      </c>
      <c r="E1454">
        <v>4</v>
      </c>
      <c r="F1454" t="str">
        <f t="shared" si="22"/>
        <v>F834G5T4</v>
      </c>
      <c r="G1454" s="14" t="s">
        <v>323</v>
      </c>
    </row>
    <row r="1455" spans="1:7">
      <c r="A1455">
        <v>83</v>
      </c>
      <c r="B1455">
        <v>5</v>
      </c>
      <c r="C1455">
        <v>5</v>
      </c>
      <c r="E1455">
        <v>4</v>
      </c>
      <c r="F1455" t="str">
        <f t="shared" si="22"/>
        <v>F835G5T4</v>
      </c>
      <c r="G1455" s="14" t="s">
        <v>323</v>
      </c>
    </row>
    <row r="1456" spans="1:7">
      <c r="A1456">
        <v>83</v>
      </c>
      <c r="B1456">
        <v>6</v>
      </c>
      <c r="C1456">
        <v>5</v>
      </c>
      <c r="E1456">
        <v>4</v>
      </c>
      <c r="F1456" t="str">
        <f t="shared" si="22"/>
        <v>F836G5T4</v>
      </c>
      <c r="G1456" s="14" t="s">
        <v>323</v>
      </c>
    </row>
    <row r="1457" spans="1:7">
      <c r="A1457">
        <v>83</v>
      </c>
      <c r="B1457">
        <v>7</v>
      </c>
      <c r="C1457">
        <v>5</v>
      </c>
      <c r="E1457">
        <v>4</v>
      </c>
      <c r="F1457" t="str">
        <f t="shared" si="22"/>
        <v>F837G5T4</v>
      </c>
      <c r="G1457" s="14" t="s">
        <v>323</v>
      </c>
    </row>
    <row r="1458" spans="1:7">
      <c r="A1458">
        <v>91</v>
      </c>
      <c r="B1458">
        <v>1</v>
      </c>
      <c r="C1458">
        <v>3</v>
      </c>
      <c r="E1458">
        <v>1</v>
      </c>
      <c r="F1458" t="str">
        <f t="shared" si="22"/>
        <v>F911G3T1</v>
      </c>
      <c r="G1458" s="14" t="s">
        <v>323</v>
      </c>
    </row>
    <row r="1459" spans="1:7">
      <c r="A1459">
        <v>91</v>
      </c>
      <c r="B1459">
        <v>2</v>
      </c>
      <c r="C1459">
        <v>3</v>
      </c>
      <c r="E1459">
        <v>1</v>
      </c>
      <c r="F1459" t="str">
        <f t="shared" si="22"/>
        <v>F912G3T1</v>
      </c>
      <c r="G1459" s="14" t="s">
        <v>323</v>
      </c>
    </row>
    <row r="1460" spans="1:7">
      <c r="A1460">
        <v>91</v>
      </c>
      <c r="B1460">
        <v>4</v>
      </c>
      <c r="C1460">
        <v>3</v>
      </c>
      <c r="E1460">
        <v>1</v>
      </c>
      <c r="F1460" t="str">
        <f t="shared" si="22"/>
        <v>F914G3T1</v>
      </c>
      <c r="G1460" s="14" t="s">
        <v>323</v>
      </c>
    </row>
    <row r="1461" spans="1:7">
      <c r="A1461">
        <v>91</v>
      </c>
      <c r="B1461">
        <v>5</v>
      </c>
      <c r="C1461">
        <v>3</v>
      </c>
      <c r="E1461">
        <v>1</v>
      </c>
      <c r="F1461" t="str">
        <f t="shared" si="22"/>
        <v>F915G3T1</v>
      </c>
      <c r="G1461" s="14" t="s">
        <v>323</v>
      </c>
    </row>
    <row r="1462" spans="1:7">
      <c r="A1462">
        <v>91</v>
      </c>
      <c r="B1462">
        <v>6</v>
      </c>
      <c r="C1462">
        <v>3</v>
      </c>
      <c r="E1462">
        <v>1</v>
      </c>
      <c r="F1462" t="str">
        <f t="shared" si="22"/>
        <v>F916G3T1</v>
      </c>
      <c r="G1462" s="14" t="s">
        <v>323</v>
      </c>
    </row>
    <row r="1463" spans="1:7">
      <c r="A1463">
        <v>91</v>
      </c>
      <c r="B1463">
        <v>7</v>
      </c>
      <c r="C1463">
        <v>3</v>
      </c>
      <c r="E1463">
        <v>1</v>
      </c>
      <c r="F1463" t="str">
        <f t="shared" si="22"/>
        <v>F917G3T1</v>
      </c>
      <c r="G1463" s="14" t="s">
        <v>323</v>
      </c>
    </row>
    <row r="1464" spans="1:7">
      <c r="A1464">
        <v>91</v>
      </c>
      <c r="B1464">
        <v>1</v>
      </c>
      <c r="C1464">
        <v>4</v>
      </c>
      <c r="E1464">
        <v>1</v>
      </c>
      <c r="F1464" t="str">
        <f t="shared" si="22"/>
        <v>F911G4T1</v>
      </c>
      <c r="G1464" s="14" t="s">
        <v>323</v>
      </c>
    </row>
    <row r="1465" spans="1:7">
      <c r="A1465">
        <v>91</v>
      </c>
      <c r="B1465">
        <v>2</v>
      </c>
      <c r="C1465">
        <v>4</v>
      </c>
      <c r="E1465">
        <v>1</v>
      </c>
      <c r="F1465" t="str">
        <f t="shared" si="22"/>
        <v>F912G4T1</v>
      </c>
      <c r="G1465" s="14" t="s">
        <v>323</v>
      </c>
    </row>
    <row r="1466" spans="1:7">
      <c r="A1466">
        <v>91</v>
      </c>
      <c r="B1466">
        <v>4</v>
      </c>
      <c r="C1466">
        <v>4</v>
      </c>
      <c r="E1466">
        <v>1</v>
      </c>
      <c r="F1466" t="str">
        <f t="shared" si="22"/>
        <v>F914G4T1</v>
      </c>
      <c r="G1466" s="14" t="s">
        <v>323</v>
      </c>
    </row>
    <row r="1467" spans="1:7">
      <c r="A1467">
        <v>91</v>
      </c>
      <c r="B1467">
        <v>5</v>
      </c>
      <c r="C1467">
        <v>4</v>
      </c>
      <c r="E1467">
        <v>1</v>
      </c>
      <c r="F1467" t="str">
        <f t="shared" si="22"/>
        <v>F915G4T1</v>
      </c>
      <c r="G1467" s="14" t="s">
        <v>323</v>
      </c>
    </row>
    <row r="1468" spans="1:7">
      <c r="A1468">
        <v>91</v>
      </c>
      <c r="B1468">
        <v>6</v>
      </c>
      <c r="C1468">
        <v>4</v>
      </c>
      <c r="E1468">
        <v>1</v>
      </c>
      <c r="F1468" t="str">
        <f t="shared" si="22"/>
        <v>F916G4T1</v>
      </c>
      <c r="G1468" s="14" t="s">
        <v>323</v>
      </c>
    </row>
    <row r="1469" spans="1:7">
      <c r="A1469">
        <v>91</v>
      </c>
      <c r="B1469">
        <v>7</v>
      </c>
      <c r="C1469">
        <v>4</v>
      </c>
      <c r="E1469">
        <v>1</v>
      </c>
      <c r="F1469" t="str">
        <f t="shared" si="22"/>
        <v>F917G4T1</v>
      </c>
      <c r="G1469" s="14" t="s">
        <v>323</v>
      </c>
    </row>
    <row r="1470" spans="1:7">
      <c r="A1470">
        <v>91</v>
      </c>
      <c r="B1470">
        <v>1</v>
      </c>
      <c r="C1470">
        <v>5</v>
      </c>
      <c r="E1470">
        <v>1</v>
      </c>
      <c r="F1470" t="str">
        <f t="shared" si="22"/>
        <v>F911G5T1</v>
      </c>
      <c r="G1470" s="14" t="s">
        <v>323</v>
      </c>
    </row>
    <row r="1471" spans="1:7">
      <c r="A1471">
        <v>91</v>
      </c>
      <c r="B1471">
        <v>2</v>
      </c>
      <c r="C1471">
        <v>5</v>
      </c>
      <c r="E1471">
        <v>1</v>
      </c>
      <c r="F1471" t="str">
        <f t="shared" si="22"/>
        <v>F912G5T1</v>
      </c>
      <c r="G1471" s="14" t="s">
        <v>323</v>
      </c>
    </row>
    <row r="1472" spans="1:7">
      <c r="A1472">
        <v>91</v>
      </c>
      <c r="B1472">
        <v>4</v>
      </c>
      <c r="C1472">
        <v>5</v>
      </c>
      <c r="E1472">
        <v>1</v>
      </c>
      <c r="F1472" t="str">
        <f t="shared" si="22"/>
        <v>F914G5T1</v>
      </c>
      <c r="G1472" s="14" t="s">
        <v>323</v>
      </c>
    </row>
    <row r="1473" spans="1:7">
      <c r="A1473">
        <v>91</v>
      </c>
      <c r="B1473">
        <v>5</v>
      </c>
      <c r="C1473">
        <v>5</v>
      </c>
      <c r="E1473">
        <v>1</v>
      </c>
      <c r="F1473" t="str">
        <f t="shared" si="22"/>
        <v>F915G5T1</v>
      </c>
      <c r="G1473" s="14" t="s">
        <v>323</v>
      </c>
    </row>
    <row r="1474" spans="1:7">
      <c r="A1474">
        <v>91</v>
      </c>
      <c r="B1474">
        <v>6</v>
      </c>
      <c r="C1474">
        <v>5</v>
      </c>
      <c r="E1474">
        <v>1</v>
      </c>
      <c r="F1474" t="str">
        <f t="shared" si="22"/>
        <v>F916G5T1</v>
      </c>
      <c r="G1474" s="14" t="s">
        <v>323</v>
      </c>
    </row>
    <row r="1475" spans="1:7">
      <c r="A1475">
        <v>91</v>
      </c>
      <c r="B1475">
        <v>7</v>
      </c>
      <c r="C1475">
        <v>5</v>
      </c>
      <c r="E1475">
        <v>1</v>
      </c>
      <c r="F1475" t="str">
        <f t="shared" ref="F1475:F1538" si="23">CONCATENATE("F",A1475,B1475,"G",C1475,"T",E1475)</f>
        <v>F917G5T1</v>
      </c>
      <c r="G1475" s="14" t="s">
        <v>323</v>
      </c>
    </row>
    <row r="1476" spans="1:7">
      <c r="A1476">
        <v>91</v>
      </c>
      <c r="B1476">
        <v>1</v>
      </c>
      <c r="C1476">
        <v>3</v>
      </c>
      <c r="E1476">
        <v>4</v>
      </c>
      <c r="F1476" t="str">
        <f t="shared" si="23"/>
        <v>F911G3T4</v>
      </c>
      <c r="G1476" s="14" t="s">
        <v>323</v>
      </c>
    </row>
    <row r="1477" spans="1:7">
      <c r="A1477">
        <v>91</v>
      </c>
      <c r="B1477">
        <v>2</v>
      </c>
      <c r="C1477">
        <v>3</v>
      </c>
      <c r="E1477">
        <v>4</v>
      </c>
      <c r="F1477" t="str">
        <f t="shared" si="23"/>
        <v>F912G3T4</v>
      </c>
      <c r="G1477" s="14" t="s">
        <v>323</v>
      </c>
    </row>
    <row r="1478" spans="1:7">
      <c r="A1478">
        <v>91</v>
      </c>
      <c r="B1478">
        <v>4</v>
      </c>
      <c r="C1478">
        <v>3</v>
      </c>
      <c r="E1478">
        <v>4</v>
      </c>
      <c r="F1478" t="str">
        <f t="shared" si="23"/>
        <v>F914G3T4</v>
      </c>
      <c r="G1478" s="14" t="s">
        <v>323</v>
      </c>
    </row>
    <row r="1479" spans="1:7">
      <c r="A1479">
        <v>91</v>
      </c>
      <c r="B1479">
        <v>5</v>
      </c>
      <c r="C1479">
        <v>3</v>
      </c>
      <c r="E1479">
        <v>4</v>
      </c>
      <c r="F1479" t="str">
        <f t="shared" si="23"/>
        <v>F915G3T4</v>
      </c>
      <c r="G1479" s="14" t="s">
        <v>323</v>
      </c>
    </row>
    <row r="1480" spans="1:7">
      <c r="A1480">
        <v>91</v>
      </c>
      <c r="B1480">
        <v>6</v>
      </c>
      <c r="C1480">
        <v>3</v>
      </c>
      <c r="E1480">
        <v>4</v>
      </c>
      <c r="F1480" t="str">
        <f t="shared" si="23"/>
        <v>F916G3T4</v>
      </c>
      <c r="G1480" s="14" t="s">
        <v>323</v>
      </c>
    </row>
    <row r="1481" spans="1:7">
      <c r="A1481">
        <v>91</v>
      </c>
      <c r="B1481">
        <v>7</v>
      </c>
      <c r="C1481">
        <v>3</v>
      </c>
      <c r="E1481">
        <v>4</v>
      </c>
      <c r="F1481" t="str">
        <f t="shared" si="23"/>
        <v>F917G3T4</v>
      </c>
      <c r="G1481" s="14" t="s">
        <v>323</v>
      </c>
    </row>
    <row r="1482" spans="1:7">
      <c r="A1482">
        <v>91</v>
      </c>
      <c r="B1482">
        <v>1</v>
      </c>
      <c r="C1482">
        <v>4</v>
      </c>
      <c r="E1482">
        <v>4</v>
      </c>
      <c r="F1482" t="str">
        <f t="shared" si="23"/>
        <v>F911G4T4</v>
      </c>
      <c r="G1482" s="14" t="s">
        <v>323</v>
      </c>
    </row>
    <row r="1483" spans="1:7">
      <c r="A1483">
        <v>91</v>
      </c>
      <c r="B1483">
        <v>2</v>
      </c>
      <c r="C1483">
        <v>4</v>
      </c>
      <c r="E1483">
        <v>4</v>
      </c>
      <c r="F1483" t="str">
        <f t="shared" si="23"/>
        <v>F912G4T4</v>
      </c>
      <c r="G1483" s="14" t="s">
        <v>323</v>
      </c>
    </row>
    <row r="1484" spans="1:7">
      <c r="A1484">
        <v>91</v>
      </c>
      <c r="B1484">
        <v>4</v>
      </c>
      <c r="C1484">
        <v>4</v>
      </c>
      <c r="E1484">
        <v>4</v>
      </c>
      <c r="F1484" t="str">
        <f t="shared" si="23"/>
        <v>F914G4T4</v>
      </c>
      <c r="G1484" s="14" t="s">
        <v>323</v>
      </c>
    </row>
    <row r="1485" spans="1:7">
      <c r="A1485">
        <v>91</v>
      </c>
      <c r="B1485">
        <v>5</v>
      </c>
      <c r="C1485">
        <v>4</v>
      </c>
      <c r="E1485">
        <v>4</v>
      </c>
      <c r="F1485" t="str">
        <f t="shared" si="23"/>
        <v>F915G4T4</v>
      </c>
      <c r="G1485" s="14" t="s">
        <v>323</v>
      </c>
    </row>
    <row r="1486" spans="1:7">
      <c r="A1486">
        <v>91</v>
      </c>
      <c r="B1486">
        <v>6</v>
      </c>
      <c r="C1486">
        <v>4</v>
      </c>
      <c r="E1486">
        <v>4</v>
      </c>
      <c r="F1486" t="str">
        <f t="shared" si="23"/>
        <v>F916G4T4</v>
      </c>
      <c r="G1486" s="14" t="s">
        <v>323</v>
      </c>
    </row>
    <row r="1487" spans="1:7">
      <c r="A1487">
        <v>91</v>
      </c>
      <c r="B1487">
        <v>7</v>
      </c>
      <c r="C1487">
        <v>4</v>
      </c>
      <c r="E1487">
        <v>4</v>
      </c>
      <c r="F1487" t="str">
        <f t="shared" si="23"/>
        <v>F917G4T4</v>
      </c>
      <c r="G1487" s="14" t="s">
        <v>323</v>
      </c>
    </row>
    <row r="1488" spans="1:7">
      <c r="A1488">
        <v>91</v>
      </c>
      <c r="B1488">
        <v>1</v>
      </c>
      <c r="C1488">
        <v>5</v>
      </c>
      <c r="E1488">
        <v>4</v>
      </c>
      <c r="F1488" t="str">
        <f t="shared" si="23"/>
        <v>F911G5T4</v>
      </c>
      <c r="G1488" s="14" t="s">
        <v>323</v>
      </c>
    </row>
    <row r="1489" spans="1:7">
      <c r="A1489">
        <v>91</v>
      </c>
      <c r="B1489">
        <v>2</v>
      </c>
      <c r="C1489">
        <v>5</v>
      </c>
      <c r="E1489">
        <v>4</v>
      </c>
      <c r="F1489" t="str">
        <f t="shared" si="23"/>
        <v>F912G5T4</v>
      </c>
      <c r="G1489" s="14" t="s">
        <v>323</v>
      </c>
    </row>
    <row r="1490" spans="1:7">
      <c r="A1490">
        <v>91</v>
      </c>
      <c r="B1490">
        <v>4</v>
      </c>
      <c r="C1490">
        <v>5</v>
      </c>
      <c r="E1490">
        <v>4</v>
      </c>
      <c r="F1490" t="str">
        <f t="shared" si="23"/>
        <v>F914G5T4</v>
      </c>
      <c r="G1490" s="14" t="s">
        <v>323</v>
      </c>
    </row>
    <row r="1491" spans="1:7">
      <c r="A1491">
        <v>91</v>
      </c>
      <c r="B1491">
        <v>5</v>
      </c>
      <c r="C1491">
        <v>5</v>
      </c>
      <c r="E1491">
        <v>4</v>
      </c>
      <c r="F1491" t="str">
        <f t="shared" si="23"/>
        <v>F915G5T4</v>
      </c>
      <c r="G1491" s="14" t="s">
        <v>323</v>
      </c>
    </row>
    <row r="1492" spans="1:7">
      <c r="A1492">
        <v>91</v>
      </c>
      <c r="B1492">
        <v>6</v>
      </c>
      <c r="C1492">
        <v>5</v>
      </c>
      <c r="E1492">
        <v>4</v>
      </c>
      <c r="F1492" t="str">
        <f t="shared" si="23"/>
        <v>F916G5T4</v>
      </c>
      <c r="G1492" s="14" t="s">
        <v>323</v>
      </c>
    </row>
    <row r="1493" spans="1:7">
      <c r="A1493">
        <v>91</v>
      </c>
      <c r="B1493">
        <v>7</v>
      </c>
      <c r="C1493">
        <v>5</v>
      </c>
      <c r="E1493">
        <v>4</v>
      </c>
      <c r="F1493" t="str">
        <f t="shared" si="23"/>
        <v>F917G5T4</v>
      </c>
      <c r="G1493" s="14" t="s">
        <v>323</v>
      </c>
    </row>
    <row r="1494" spans="1:7">
      <c r="A1494">
        <v>94</v>
      </c>
      <c r="B1494">
        <v>1</v>
      </c>
      <c r="C1494">
        <v>3</v>
      </c>
      <c r="E1494">
        <v>1</v>
      </c>
      <c r="F1494" t="str">
        <f t="shared" si="23"/>
        <v>F941G3T1</v>
      </c>
      <c r="G1494" s="14" t="s">
        <v>323</v>
      </c>
    </row>
    <row r="1495" spans="1:7">
      <c r="A1495">
        <v>94</v>
      </c>
      <c r="B1495">
        <v>2</v>
      </c>
      <c r="C1495">
        <v>3</v>
      </c>
      <c r="E1495">
        <v>1</v>
      </c>
      <c r="F1495" t="str">
        <f t="shared" si="23"/>
        <v>F942G3T1</v>
      </c>
      <c r="G1495" s="14" t="s">
        <v>323</v>
      </c>
    </row>
    <row r="1496" spans="1:7">
      <c r="A1496">
        <v>94</v>
      </c>
      <c r="B1496">
        <v>4</v>
      </c>
      <c r="C1496">
        <v>3</v>
      </c>
      <c r="E1496">
        <v>1</v>
      </c>
      <c r="F1496" t="str">
        <f t="shared" si="23"/>
        <v>F944G3T1</v>
      </c>
      <c r="G1496" s="14" t="s">
        <v>323</v>
      </c>
    </row>
    <row r="1497" spans="1:7">
      <c r="A1497">
        <v>94</v>
      </c>
      <c r="B1497">
        <v>5</v>
      </c>
      <c r="C1497">
        <v>3</v>
      </c>
      <c r="E1497">
        <v>1</v>
      </c>
      <c r="F1497" t="str">
        <f t="shared" si="23"/>
        <v>F945G3T1</v>
      </c>
      <c r="G1497" s="14" t="s">
        <v>323</v>
      </c>
    </row>
    <row r="1498" spans="1:7">
      <c r="A1498">
        <v>94</v>
      </c>
      <c r="B1498">
        <v>6</v>
      </c>
      <c r="C1498">
        <v>3</v>
      </c>
      <c r="E1498">
        <v>1</v>
      </c>
      <c r="F1498" t="str">
        <f t="shared" si="23"/>
        <v>F946G3T1</v>
      </c>
      <c r="G1498" s="14" t="s">
        <v>323</v>
      </c>
    </row>
    <row r="1499" spans="1:7">
      <c r="A1499">
        <v>94</v>
      </c>
      <c r="B1499">
        <v>7</v>
      </c>
      <c r="C1499">
        <v>3</v>
      </c>
      <c r="E1499">
        <v>1</v>
      </c>
      <c r="F1499" t="str">
        <f t="shared" si="23"/>
        <v>F947G3T1</v>
      </c>
      <c r="G1499" s="14" t="s">
        <v>323</v>
      </c>
    </row>
    <row r="1500" spans="1:7">
      <c r="A1500">
        <v>94</v>
      </c>
      <c r="B1500">
        <v>1</v>
      </c>
      <c r="C1500">
        <v>4</v>
      </c>
      <c r="E1500">
        <v>1</v>
      </c>
      <c r="F1500" t="str">
        <f t="shared" si="23"/>
        <v>F941G4T1</v>
      </c>
      <c r="G1500" s="14" t="s">
        <v>323</v>
      </c>
    </row>
    <row r="1501" spans="1:7">
      <c r="A1501">
        <v>94</v>
      </c>
      <c r="B1501">
        <v>2</v>
      </c>
      <c r="C1501">
        <v>4</v>
      </c>
      <c r="E1501">
        <v>1</v>
      </c>
      <c r="F1501" t="str">
        <f t="shared" si="23"/>
        <v>F942G4T1</v>
      </c>
      <c r="G1501" s="14" t="s">
        <v>323</v>
      </c>
    </row>
    <row r="1502" spans="1:7">
      <c r="A1502">
        <v>94</v>
      </c>
      <c r="B1502">
        <v>4</v>
      </c>
      <c r="C1502">
        <v>4</v>
      </c>
      <c r="E1502">
        <v>1</v>
      </c>
      <c r="F1502" t="str">
        <f t="shared" si="23"/>
        <v>F944G4T1</v>
      </c>
      <c r="G1502" s="14" t="s">
        <v>323</v>
      </c>
    </row>
    <row r="1503" spans="1:7">
      <c r="A1503">
        <v>94</v>
      </c>
      <c r="B1503">
        <v>5</v>
      </c>
      <c r="C1503">
        <v>4</v>
      </c>
      <c r="E1503">
        <v>1</v>
      </c>
      <c r="F1503" t="str">
        <f t="shared" si="23"/>
        <v>F945G4T1</v>
      </c>
      <c r="G1503" s="14" t="s">
        <v>323</v>
      </c>
    </row>
    <row r="1504" spans="1:7">
      <c r="A1504">
        <v>94</v>
      </c>
      <c r="B1504">
        <v>6</v>
      </c>
      <c r="C1504">
        <v>4</v>
      </c>
      <c r="E1504">
        <v>1</v>
      </c>
      <c r="F1504" t="str">
        <f t="shared" si="23"/>
        <v>F946G4T1</v>
      </c>
      <c r="G1504" s="14" t="s">
        <v>323</v>
      </c>
    </row>
    <row r="1505" spans="1:7">
      <c r="A1505">
        <v>94</v>
      </c>
      <c r="B1505">
        <v>7</v>
      </c>
      <c r="C1505">
        <v>4</v>
      </c>
      <c r="E1505">
        <v>1</v>
      </c>
      <c r="F1505" t="str">
        <f t="shared" si="23"/>
        <v>F947G4T1</v>
      </c>
      <c r="G1505" s="14" t="s">
        <v>323</v>
      </c>
    </row>
    <row r="1506" spans="1:7">
      <c r="A1506">
        <v>94</v>
      </c>
      <c r="B1506">
        <v>1</v>
      </c>
      <c r="C1506">
        <v>5</v>
      </c>
      <c r="E1506">
        <v>1</v>
      </c>
      <c r="F1506" t="str">
        <f t="shared" si="23"/>
        <v>F941G5T1</v>
      </c>
      <c r="G1506" s="14" t="s">
        <v>323</v>
      </c>
    </row>
    <row r="1507" spans="1:7">
      <c r="A1507">
        <v>94</v>
      </c>
      <c r="B1507">
        <v>2</v>
      </c>
      <c r="C1507">
        <v>5</v>
      </c>
      <c r="E1507">
        <v>1</v>
      </c>
      <c r="F1507" t="str">
        <f t="shared" si="23"/>
        <v>F942G5T1</v>
      </c>
      <c r="G1507" s="14" t="s">
        <v>323</v>
      </c>
    </row>
    <row r="1508" spans="1:7">
      <c r="A1508">
        <v>94</v>
      </c>
      <c r="B1508">
        <v>4</v>
      </c>
      <c r="C1508">
        <v>5</v>
      </c>
      <c r="E1508">
        <v>1</v>
      </c>
      <c r="F1508" t="str">
        <f t="shared" si="23"/>
        <v>F944G5T1</v>
      </c>
      <c r="G1508" s="14" t="s">
        <v>323</v>
      </c>
    </row>
    <row r="1509" spans="1:7">
      <c r="A1509">
        <v>94</v>
      </c>
      <c r="B1509">
        <v>5</v>
      </c>
      <c r="C1509">
        <v>5</v>
      </c>
      <c r="E1509">
        <v>1</v>
      </c>
      <c r="F1509" t="str">
        <f t="shared" si="23"/>
        <v>F945G5T1</v>
      </c>
      <c r="G1509" s="14" t="s">
        <v>323</v>
      </c>
    </row>
    <row r="1510" spans="1:7">
      <c r="A1510">
        <v>94</v>
      </c>
      <c r="B1510">
        <v>6</v>
      </c>
      <c r="C1510">
        <v>5</v>
      </c>
      <c r="E1510">
        <v>1</v>
      </c>
      <c r="F1510" t="str">
        <f t="shared" si="23"/>
        <v>F946G5T1</v>
      </c>
      <c r="G1510" s="14" t="s">
        <v>323</v>
      </c>
    </row>
    <row r="1511" spans="1:7">
      <c r="A1511">
        <v>94</v>
      </c>
      <c r="B1511">
        <v>7</v>
      </c>
      <c r="C1511">
        <v>5</v>
      </c>
      <c r="E1511">
        <v>1</v>
      </c>
      <c r="F1511" t="str">
        <f t="shared" si="23"/>
        <v>F947G5T1</v>
      </c>
      <c r="G1511" s="14" t="s">
        <v>323</v>
      </c>
    </row>
    <row r="1512" spans="1:7">
      <c r="A1512">
        <v>94</v>
      </c>
      <c r="B1512">
        <v>1</v>
      </c>
      <c r="C1512">
        <v>3</v>
      </c>
      <c r="E1512">
        <v>4</v>
      </c>
      <c r="F1512" t="str">
        <f t="shared" si="23"/>
        <v>F941G3T4</v>
      </c>
      <c r="G1512" s="14" t="s">
        <v>323</v>
      </c>
    </row>
    <row r="1513" spans="1:7">
      <c r="A1513">
        <v>94</v>
      </c>
      <c r="B1513">
        <v>2</v>
      </c>
      <c r="C1513">
        <v>3</v>
      </c>
      <c r="E1513">
        <v>4</v>
      </c>
      <c r="F1513" t="str">
        <f t="shared" si="23"/>
        <v>F942G3T4</v>
      </c>
      <c r="G1513" s="14" t="s">
        <v>323</v>
      </c>
    </row>
    <row r="1514" spans="1:7">
      <c r="A1514">
        <v>94</v>
      </c>
      <c r="B1514">
        <v>4</v>
      </c>
      <c r="C1514">
        <v>3</v>
      </c>
      <c r="E1514">
        <v>4</v>
      </c>
      <c r="F1514" t="str">
        <f t="shared" si="23"/>
        <v>F944G3T4</v>
      </c>
      <c r="G1514" s="14" t="s">
        <v>323</v>
      </c>
    </row>
    <row r="1515" spans="1:7">
      <c r="A1515">
        <v>94</v>
      </c>
      <c r="B1515">
        <v>5</v>
      </c>
      <c r="C1515">
        <v>3</v>
      </c>
      <c r="E1515">
        <v>4</v>
      </c>
      <c r="F1515" t="str">
        <f t="shared" si="23"/>
        <v>F945G3T4</v>
      </c>
      <c r="G1515" s="14" t="s">
        <v>323</v>
      </c>
    </row>
    <row r="1516" spans="1:7">
      <c r="A1516">
        <v>94</v>
      </c>
      <c r="B1516">
        <v>6</v>
      </c>
      <c r="C1516">
        <v>3</v>
      </c>
      <c r="E1516">
        <v>4</v>
      </c>
      <c r="F1516" t="str">
        <f t="shared" si="23"/>
        <v>F946G3T4</v>
      </c>
      <c r="G1516" s="14" t="s">
        <v>323</v>
      </c>
    </row>
    <row r="1517" spans="1:7">
      <c r="A1517">
        <v>94</v>
      </c>
      <c r="B1517">
        <v>7</v>
      </c>
      <c r="C1517">
        <v>3</v>
      </c>
      <c r="E1517">
        <v>4</v>
      </c>
      <c r="F1517" t="str">
        <f t="shared" si="23"/>
        <v>F947G3T4</v>
      </c>
      <c r="G1517" s="14" t="s">
        <v>323</v>
      </c>
    </row>
    <row r="1518" spans="1:7">
      <c r="A1518">
        <v>94</v>
      </c>
      <c r="B1518">
        <v>1</v>
      </c>
      <c r="C1518">
        <v>4</v>
      </c>
      <c r="E1518">
        <v>4</v>
      </c>
      <c r="F1518" t="str">
        <f t="shared" si="23"/>
        <v>F941G4T4</v>
      </c>
      <c r="G1518" s="14" t="s">
        <v>323</v>
      </c>
    </row>
    <row r="1519" spans="1:7">
      <c r="A1519">
        <v>94</v>
      </c>
      <c r="B1519">
        <v>2</v>
      </c>
      <c r="C1519">
        <v>4</v>
      </c>
      <c r="E1519">
        <v>4</v>
      </c>
      <c r="F1519" t="str">
        <f t="shared" si="23"/>
        <v>F942G4T4</v>
      </c>
      <c r="G1519" s="14" t="s">
        <v>323</v>
      </c>
    </row>
    <row r="1520" spans="1:7">
      <c r="A1520">
        <v>94</v>
      </c>
      <c r="B1520">
        <v>4</v>
      </c>
      <c r="C1520">
        <v>4</v>
      </c>
      <c r="E1520">
        <v>4</v>
      </c>
      <c r="F1520" t="str">
        <f t="shared" si="23"/>
        <v>F944G4T4</v>
      </c>
      <c r="G1520" s="14" t="s">
        <v>323</v>
      </c>
    </row>
    <row r="1521" spans="1:7">
      <c r="A1521">
        <v>94</v>
      </c>
      <c r="B1521">
        <v>5</v>
      </c>
      <c r="C1521">
        <v>4</v>
      </c>
      <c r="E1521">
        <v>4</v>
      </c>
      <c r="F1521" t="str">
        <f t="shared" si="23"/>
        <v>F945G4T4</v>
      </c>
      <c r="G1521" s="14" t="s">
        <v>323</v>
      </c>
    </row>
    <row r="1522" spans="1:7">
      <c r="A1522">
        <v>94</v>
      </c>
      <c r="B1522">
        <v>6</v>
      </c>
      <c r="C1522">
        <v>4</v>
      </c>
      <c r="E1522">
        <v>4</v>
      </c>
      <c r="F1522" t="str">
        <f t="shared" si="23"/>
        <v>F946G4T4</v>
      </c>
      <c r="G1522" s="14" t="s">
        <v>323</v>
      </c>
    </row>
    <row r="1523" spans="1:7">
      <c r="A1523">
        <v>94</v>
      </c>
      <c r="B1523">
        <v>7</v>
      </c>
      <c r="C1523">
        <v>4</v>
      </c>
      <c r="E1523">
        <v>4</v>
      </c>
      <c r="F1523" t="str">
        <f t="shared" si="23"/>
        <v>F947G4T4</v>
      </c>
      <c r="G1523" s="14" t="s">
        <v>323</v>
      </c>
    </row>
    <row r="1524" spans="1:7">
      <c r="A1524">
        <v>94</v>
      </c>
      <c r="B1524">
        <v>1</v>
      </c>
      <c r="C1524">
        <v>5</v>
      </c>
      <c r="E1524">
        <v>4</v>
      </c>
      <c r="F1524" t="str">
        <f t="shared" si="23"/>
        <v>F941G5T4</v>
      </c>
      <c r="G1524" s="14" t="s">
        <v>323</v>
      </c>
    </row>
    <row r="1525" spans="1:7">
      <c r="A1525">
        <v>94</v>
      </c>
      <c r="B1525">
        <v>2</v>
      </c>
      <c r="C1525">
        <v>5</v>
      </c>
      <c r="E1525">
        <v>4</v>
      </c>
      <c r="F1525" t="str">
        <f t="shared" si="23"/>
        <v>F942G5T4</v>
      </c>
      <c r="G1525" s="14" t="s">
        <v>323</v>
      </c>
    </row>
    <row r="1526" spans="1:7">
      <c r="A1526">
        <v>94</v>
      </c>
      <c r="B1526">
        <v>4</v>
      </c>
      <c r="C1526">
        <v>5</v>
      </c>
      <c r="E1526">
        <v>4</v>
      </c>
      <c r="F1526" t="str">
        <f t="shared" si="23"/>
        <v>F944G5T4</v>
      </c>
      <c r="G1526" s="14" t="s">
        <v>323</v>
      </c>
    </row>
    <row r="1527" spans="1:7">
      <c r="A1527">
        <v>94</v>
      </c>
      <c r="B1527">
        <v>5</v>
      </c>
      <c r="C1527">
        <v>5</v>
      </c>
      <c r="E1527">
        <v>4</v>
      </c>
      <c r="F1527" t="str">
        <f t="shared" si="23"/>
        <v>F945G5T4</v>
      </c>
      <c r="G1527" s="14" t="s">
        <v>323</v>
      </c>
    </row>
    <row r="1528" spans="1:7">
      <c r="A1528">
        <v>94</v>
      </c>
      <c r="B1528">
        <v>6</v>
      </c>
      <c r="C1528">
        <v>5</v>
      </c>
      <c r="E1528">
        <v>4</v>
      </c>
      <c r="F1528" t="str">
        <f t="shared" si="23"/>
        <v>F946G5T4</v>
      </c>
      <c r="G1528" s="14" t="s">
        <v>323</v>
      </c>
    </row>
    <row r="1529" spans="1:7">
      <c r="A1529">
        <v>94</v>
      </c>
      <c r="B1529">
        <v>7</v>
      </c>
      <c r="C1529">
        <v>5</v>
      </c>
      <c r="E1529">
        <v>4</v>
      </c>
      <c r="F1529" t="str">
        <f t="shared" si="23"/>
        <v>F947G5T4</v>
      </c>
      <c r="G1529" s="14" t="s">
        <v>323</v>
      </c>
    </row>
    <row r="1530" spans="1:7">
      <c r="A1530">
        <v>26</v>
      </c>
      <c r="B1530">
        <v>1</v>
      </c>
      <c r="C1530">
        <v>3</v>
      </c>
      <c r="E1530">
        <v>2</v>
      </c>
      <c r="F1530" t="str">
        <f t="shared" si="23"/>
        <v>F261G3T2</v>
      </c>
      <c r="G1530" s="14" t="s">
        <v>70</v>
      </c>
    </row>
    <row r="1531" spans="1:7">
      <c r="A1531">
        <v>26</v>
      </c>
      <c r="B1531">
        <v>2</v>
      </c>
      <c r="C1531">
        <v>3</v>
      </c>
      <c r="E1531">
        <v>2</v>
      </c>
      <c r="F1531" t="str">
        <f t="shared" si="23"/>
        <v>F262G3T2</v>
      </c>
      <c r="G1531" s="14" t="s">
        <v>70</v>
      </c>
    </row>
    <row r="1532" spans="1:7">
      <c r="A1532">
        <v>26</v>
      </c>
      <c r="B1532">
        <v>5</v>
      </c>
      <c r="C1532">
        <v>3</v>
      </c>
      <c r="E1532">
        <v>2</v>
      </c>
      <c r="F1532" t="str">
        <f t="shared" si="23"/>
        <v>F265G3T2</v>
      </c>
      <c r="G1532" s="14" t="s">
        <v>70</v>
      </c>
    </row>
    <row r="1533" spans="1:7">
      <c r="A1533">
        <v>26</v>
      </c>
      <c r="B1533">
        <v>6</v>
      </c>
      <c r="C1533">
        <v>3</v>
      </c>
      <c r="E1533">
        <v>2</v>
      </c>
      <c r="F1533" t="str">
        <f t="shared" si="23"/>
        <v>F266G3T2</v>
      </c>
      <c r="G1533" s="14" t="s">
        <v>70</v>
      </c>
    </row>
    <row r="1534" spans="1:7">
      <c r="A1534">
        <v>26</v>
      </c>
      <c r="B1534">
        <v>7</v>
      </c>
      <c r="C1534">
        <v>3</v>
      </c>
      <c r="E1534">
        <v>2</v>
      </c>
      <c r="F1534" t="str">
        <f t="shared" si="23"/>
        <v>F267G3T2</v>
      </c>
      <c r="G1534" s="14" t="s">
        <v>70</v>
      </c>
    </row>
    <row r="1535" spans="1:7">
      <c r="A1535">
        <v>26</v>
      </c>
      <c r="B1535">
        <v>1</v>
      </c>
      <c r="C1535">
        <v>4</v>
      </c>
      <c r="E1535">
        <v>2</v>
      </c>
      <c r="F1535" t="str">
        <f t="shared" si="23"/>
        <v>F261G4T2</v>
      </c>
      <c r="G1535" s="14" t="s">
        <v>70</v>
      </c>
    </row>
    <row r="1536" spans="1:7">
      <c r="A1536">
        <v>26</v>
      </c>
      <c r="B1536">
        <v>2</v>
      </c>
      <c r="C1536">
        <v>4</v>
      </c>
      <c r="E1536">
        <v>2</v>
      </c>
      <c r="F1536" t="str">
        <f t="shared" si="23"/>
        <v>F262G4T2</v>
      </c>
      <c r="G1536" s="14" t="s">
        <v>70</v>
      </c>
    </row>
    <row r="1537" spans="1:7">
      <c r="A1537">
        <v>26</v>
      </c>
      <c r="B1537">
        <v>5</v>
      </c>
      <c r="C1537">
        <v>4</v>
      </c>
      <c r="E1537">
        <v>2</v>
      </c>
      <c r="F1537" t="str">
        <f t="shared" si="23"/>
        <v>F265G4T2</v>
      </c>
      <c r="G1537" s="14" t="s">
        <v>70</v>
      </c>
    </row>
    <row r="1538" spans="1:7">
      <c r="A1538">
        <v>26</v>
      </c>
      <c r="B1538">
        <v>6</v>
      </c>
      <c r="C1538">
        <v>4</v>
      </c>
      <c r="E1538">
        <v>2</v>
      </c>
      <c r="F1538" t="str">
        <f t="shared" si="23"/>
        <v>F266G4T2</v>
      </c>
      <c r="G1538" s="14" t="s">
        <v>70</v>
      </c>
    </row>
    <row r="1539" spans="1:7">
      <c r="A1539">
        <v>26</v>
      </c>
      <c r="B1539">
        <v>7</v>
      </c>
      <c r="C1539">
        <v>4</v>
      </c>
      <c r="E1539">
        <v>2</v>
      </c>
      <c r="F1539" t="str">
        <f t="shared" ref="F1539:F1602" si="24">CONCATENATE("F",A1539,B1539,"G",C1539,"T",E1539)</f>
        <v>F267G4T2</v>
      </c>
      <c r="G1539" s="14" t="s">
        <v>70</v>
      </c>
    </row>
    <row r="1540" spans="1:7">
      <c r="A1540">
        <v>26</v>
      </c>
      <c r="B1540">
        <v>1</v>
      </c>
      <c r="C1540">
        <v>5</v>
      </c>
      <c r="E1540">
        <v>2</v>
      </c>
      <c r="F1540" t="str">
        <f t="shared" si="24"/>
        <v>F261G5T2</v>
      </c>
      <c r="G1540" s="14" t="s">
        <v>70</v>
      </c>
    </row>
    <row r="1541" spans="1:7">
      <c r="A1541">
        <v>26</v>
      </c>
      <c r="B1541">
        <v>2</v>
      </c>
      <c r="C1541">
        <v>5</v>
      </c>
      <c r="E1541">
        <v>2</v>
      </c>
      <c r="F1541" t="str">
        <f t="shared" si="24"/>
        <v>F262G5T2</v>
      </c>
      <c r="G1541" s="14" t="s">
        <v>70</v>
      </c>
    </row>
    <row r="1542" spans="1:7">
      <c r="A1542">
        <v>26</v>
      </c>
      <c r="B1542">
        <v>5</v>
      </c>
      <c r="C1542">
        <v>5</v>
      </c>
      <c r="E1542">
        <v>2</v>
      </c>
      <c r="F1542" t="str">
        <f t="shared" si="24"/>
        <v>F265G5T2</v>
      </c>
      <c r="G1542" s="14" t="s">
        <v>70</v>
      </c>
    </row>
    <row r="1543" spans="1:7">
      <c r="A1543">
        <v>26</v>
      </c>
      <c r="B1543">
        <v>6</v>
      </c>
      <c r="C1543">
        <v>5</v>
      </c>
      <c r="E1543">
        <v>2</v>
      </c>
      <c r="F1543" t="str">
        <f t="shared" si="24"/>
        <v>F266G5T2</v>
      </c>
      <c r="G1543" s="14" t="s">
        <v>70</v>
      </c>
    </row>
    <row r="1544" spans="1:7">
      <c r="A1544">
        <v>26</v>
      </c>
      <c r="B1544">
        <v>7</v>
      </c>
      <c r="C1544">
        <v>5</v>
      </c>
      <c r="E1544">
        <v>2</v>
      </c>
      <c r="F1544" t="str">
        <f t="shared" si="24"/>
        <v>F267G5T2</v>
      </c>
      <c r="G1544" s="14" t="s">
        <v>70</v>
      </c>
    </row>
    <row r="1545" spans="1:7">
      <c r="A1545">
        <v>26</v>
      </c>
      <c r="B1545">
        <v>1</v>
      </c>
      <c r="C1545">
        <v>3</v>
      </c>
      <c r="E1545">
        <v>3</v>
      </c>
      <c r="F1545" t="str">
        <f t="shared" si="24"/>
        <v>F261G3T3</v>
      </c>
      <c r="G1545" s="14" t="s">
        <v>324</v>
      </c>
    </row>
    <row r="1546" spans="1:7">
      <c r="A1546">
        <v>26</v>
      </c>
      <c r="B1546">
        <v>2</v>
      </c>
      <c r="C1546">
        <v>3</v>
      </c>
      <c r="E1546">
        <v>3</v>
      </c>
      <c r="F1546" t="str">
        <f t="shared" si="24"/>
        <v>F262G3T3</v>
      </c>
      <c r="G1546" s="14" t="s">
        <v>324</v>
      </c>
    </row>
    <row r="1547" spans="1:7">
      <c r="A1547">
        <v>26</v>
      </c>
      <c r="B1547">
        <v>5</v>
      </c>
      <c r="C1547">
        <v>3</v>
      </c>
      <c r="E1547">
        <v>3</v>
      </c>
      <c r="F1547" t="str">
        <f t="shared" si="24"/>
        <v>F265G3T3</v>
      </c>
      <c r="G1547" s="14" t="s">
        <v>324</v>
      </c>
    </row>
    <row r="1548" spans="1:7">
      <c r="A1548">
        <v>26</v>
      </c>
      <c r="B1548">
        <v>6</v>
      </c>
      <c r="C1548">
        <v>3</v>
      </c>
      <c r="E1548">
        <v>3</v>
      </c>
      <c r="F1548" t="str">
        <f t="shared" si="24"/>
        <v>F266G3T3</v>
      </c>
      <c r="G1548" s="14" t="s">
        <v>324</v>
      </c>
    </row>
    <row r="1549" spans="1:7">
      <c r="A1549">
        <v>26</v>
      </c>
      <c r="B1549">
        <v>7</v>
      </c>
      <c r="C1549">
        <v>3</v>
      </c>
      <c r="E1549">
        <v>3</v>
      </c>
      <c r="F1549" t="str">
        <f t="shared" si="24"/>
        <v>F267G3T3</v>
      </c>
      <c r="G1549" s="14" t="s">
        <v>324</v>
      </c>
    </row>
    <row r="1550" spans="1:7">
      <c r="A1550">
        <v>26</v>
      </c>
      <c r="B1550">
        <v>1</v>
      </c>
      <c r="C1550">
        <v>4</v>
      </c>
      <c r="E1550">
        <v>3</v>
      </c>
      <c r="F1550" t="str">
        <f t="shared" si="24"/>
        <v>F261G4T3</v>
      </c>
      <c r="G1550" s="14" t="s">
        <v>324</v>
      </c>
    </row>
    <row r="1551" spans="1:7">
      <c r="A1551">
        <v>26</v>
      </c>
      <c r="B1551">
        <v>2</v>
      </c>
      <c r="C1551">
        <v>4</v>
      </c>
      <c r="E1551">
        <v>3</v>
      </c>
      <c r="F1551" t="str">
        <f t="shared" si="24"/>
        <v>F262G4T3</v>
      </c>
      <c r="G1551" s="14" t="s">
        <v>324</v>
      </c>
    </row>
    <row r="1552" spans="1:7">
      <c r="A1552">
        <v>26</v>
      </c>
      <c r="B1552">
        <v>5</v>
      </c>
      <c r="C1552">
        <v>4</v>
      </c>
      <c r="E1552">
        <v>3</v>
      </c>
      <c r="F1552" t="str">
        <f t="shared" si="24"/>
        <v>F265G4T3</v>
      </c>
      <c r="G1552" s="14" t="s">
        <v>324</v>
      </c>
    </row>
    <row r="1553" spans="1:7">
      <c r="A1553">
        <v>26</v>
      </c>
      <c r="B1553">
        <v>6</v>
      </c>
      <c r="C1553">
        <v>4</v>
      </c>
      <c r="E1553">
        <v>3</v>
      </c>
      <c r="F1553" t="str">
        <f t="shared" si="24"/>
        <v>F266G4T3</v>
      </c>
      <c r="G1553" s="14" t="s">
        <v>324</v>
      </c>
    </row>
    <row r="1554" spans="1:7">
      <c r="A1554">
        <v>26</v>
      </c>
      <c r="B1554">
        <v>7</v>
      </c>
      <c r="C1554">
        <v>4</v>
      </c>
      <c r="E1554">
        <v>3</v>
      </c>
      <c r="F1554" t="str">
        <f t="shared" si="24"/>
        <v>F267G4T3</v>
      </c>
      <c r="G1554" s="14" t="s">
        <v>324</v>
      </c>
    </row>
    <row r="1555" spans="1:7">
      <c r="A1555">
        <v>26</v>
      </c>
      <c r="B1555">
        <v>1</v>
      </c>
      <c r="C1555">
        <v>5</v>
      </c>
      <c r="E1555">
        <v>3</v>
      </c>
      <c r="F1555" t="str">
        <f t="shared" si="24"/>
        <v>F261G5T3</v>
      </c>
      <c r="G1555" s="14" t="s">
        <v>324</v>
      </c>
    </row>
    <row r="1556" spans="1:7">
      <c r="A1556">
        <v>26</v>
      </c>
      <c r="B1556">
        <v>2</v>
      </c>
      <c r="C1556">
        <v>5</v>
      </c>
      <c r="E1556">
        <v>3</v>
      </c>
      <c r="F1556" t="str">
        <f t="shared" si="24"/>
        <v>F262G5T3</v>
      </c>
      <c r="G1556" s="14" t="s">
        <v>324</v>
      </c>
    </row>
    <row r="1557" spans="1:7">
      <c r="A1557">
        <v>26</v>
      </c>
      <c r="B1557">
        <v>5</v>
      </c>
      <c r="C1557">
        <v>5</v>
      </c>
      <c r="E1557">
        <v>3</v>
      </c>
      <c r="F1557" t="str">
        <f t="shared" si="24"/>
        <v>F265G5T3</v>
      </c>
      <c r="G1557" s="14" t="s">
        <v>324</v>
      </c>
    </row>
    <row r="1558" spans="1:7">
      <c r="A1558">
        <v>26</v>
      </c>
      <c r="B1558">
        <v>6</v>
      </c>
      <c r="C1558">
        <v>5</v>
      </c>
      <c r="E1558">
        <v>3</v>
      </c>
      <c r="F1558" t="str">
        <f t="shared" si="24"/>
        <v>F266G5T3</v>
      </c>
      <c r="G1558" s="14" t="s">
        <v>324</v>
      </c>
    </row>
    <row r="1559" spans="1:7">
      <c r="A1559">
        <v>26</v>
      </c>
      <c r="B1559">
        <v>7</v>
      </c>
      <c r="C1559">
        <v>5</v>
      </c>
      <c r="E1559">
        <v>3</v>
      </c>
      <c r="F1559" t="str">
        <f t="shared" si="24"/>
        <v>F267G5T3</v>
      </c>
      <c r="G1559" s="14" t="s">
        <v>324</v>
      </c>
    </row>
    <row r="1560" spans="1:7">
      <c r="A1560">
        <v>27</v>
      </c>
      <c r="B1560">
        <v>1</v>
      </c>
      <c r="C1560">
        <v>3</v>
      </c>
      <c r="E1560">
        <v>2</v>
      </c>
      <c r="F1560" t="str">
        <f t="shared" si="24"/>
        <v>F271G3T2</v>
      </c>
      <c r="G1560" s="14" t="s">
        <v>70</v>
      </c>
    </row>
    <row r="1561" spans="1:7">
      <c r="A1561">
        <v>27</v>
      </c>
      <c r="B1561">
        <v>2</v>
      </c>
      <c r="C1561">
        <v>3</v>
      </c>
      <c r="E1561">
        <v>2</v>
      </c>
      <c r="F1561" t="str">
        <f t="shared" si="24"/>
        <v>F272G3T2</v>
      </c>
      <c r="G1561" s="14" t="s">
        <v>70</v>
      </c>
    </row>
    <row r="1562" spans="1:7">
      <c r="A1562">
        <v>27</v>
      </c>
      <c r="B1562">
        <v>5</v>
      </c>
      <c r="C1562">
        <v>3</v>
      </c>
      <c r="E1562">
        <v>2</v>
      </c>
      <c r="F1562" t="str">
        <f t="shared" si="24"/>
        <v>F275G3T2</v>
      </c>
      <c r="G1562" s="14" t="s">
        <v>70</v>
      </c>
    </row>
    <row r="1563" spans="1:7">
      <c r="A1563">
        <v>27</v>
      </c>
      <c r="B1563">
        <v>6</v>
      </c>
      <c r="C1563">
        <v>3</v>
      </c>
      <c r="E1563">
        <v>2</v>
      </c>
      <c r="F1563" t="str">
        <f t="shared" si="24"/>
        <v>F276G3T2</v>
      </c>
      <c r="G1563" s="14" t="s">
        <v>70</v>
      </c>
    </row>
    <row r="1564" spans="1:7">
      <c r="A1564">
        <v>27</v>
      </c>
      <c r="B1564">
        <v>7</v>
      </c>
      <c r="C1564">
        <v>3</v>
      </c>
      <c r="E1564">
        <v>2</v>
      </c>
      <c r="F1564" t="str">
        <f t="shared" si="24"/>
        <v>F277G3T2</v>
      </c>
      <c r="G1564" s="14" t="s">
        <v>70</v>
      </c>
    </row>
    <row r="1565" spans="1:7">
      <c r="A1565">
        <v>27</v>
      </c>
      <c r="B1565">
        <v>1</v>
      </c>
      <c r="C1565">
        <v>4</v>
      </c>
      <c r="E1565">
        <v>2</v>
      </c>
      <c r="F1565" t="str">
        <f t="shared" si="24"/>
        <v>F271G4T2</v>
      </c>
      <c r="G1565" s="14" t="s">
        <v>70</v>
      </c>
    </row>
    <row r="1566" spans="1:7">
      <c r="A1566">
        <v>27</v>
      </c>
      <c r="B1566">
        <v>2</v>
      </c>
      <c r="C1566">
        <v>4</v>
      </c>
      <c r="E1566">
        <v>2</v>
      </c>
      <c r="F1566" t="str">
        <f t="shared" si="24"/>
        <v>F272G4T2</v>
      </c>
      <c r="G1566" s="14" t="s">
        <v>70</v>
      </c>
    </row>
    <row r="1567" spans="1:7">
      <c r="A1567">
        <v>27</v>
      </c>
      <c r="B1567">
        <v>5</v>
      </c>
      <c r="C1567">
        <v>4</v>
      </c>
      <c r="E1567">
        <v>2</v>
      </c>
      <c r="F1567" t="str">
        <f t="shared" si="24"/>
        <v>F275G4T2</v>
      </c>
      <c r="G1567" s="14" t="s">
        <v>70</v>
      </c>
    </row>
    <row r="1568" spans="1:7">
      <c r="A1568">
        <v>27</v>
      </c>
      <c r="B1568">
        <v>6</v>
      </c>
      <c r="C1568">
        <v>4</v>
      </c>
      <c r="E1568">
        <v>2</v>
      </c>
      <c r="F1568" t="str">
        <f t="shared" si="24"/>
        <v>F276G4T2</v>
      </c>
      <c r="G1568" s="14" t="s">
        <v>70</v>
      </c>
    </row>
    <row r="1569" spans="1:7">
      <c r="A1569">
        <v>27</v>
      </c>
      <c r="B1569">
        <v>7</v>
      </c>
      <c r="C1569">
        <v>4</v>
      </c>
      <c r="E1569">
        <v>2</v>
      </c>
      <c r="F1569" t="str">
        <f t="shared" si="24"/>
        <v>F277G4T2</v>
      </c>
      <c r="G1569" s="14" t="s">
        <v>70</v>
      </c>
    </row>
    <row r="1570" spans="1:7">
      <c r="A1570">
        <v>27</v>
      </c>
      <c r="B1570">
        <v>1</v>
      </c>
      <c r="C1570">
        <v>5</v>
      </c>
      <c r="E1570">
        <v>2</v>
      </c>
      <c r="F1570" t="str">
        <f t="shared" si="24"/>
        <v>F271G5T2</v>
      </c>
      <c r="G1570" s="14" t="s">
        <v>70</v>
      </c>
    </row>
    <row r="1571" spans="1:7">
      <c r="A1571">
        <v>27</v>
      </c>
      <c r="B1571">
        <v>2</v>
      </c>
      <c r="C1571">
        <v>5</v>
      </c>
      <c r="E1571">
        <v>2</v>
      </c>
      <c r="F1571" t="str">
        <f t="shared" si="24"/>
        <v>F272G5T2</v>
      </c>
      <c r="G1571" s="14" t="s">
        <v>70</v>
      </c>
    </row>
    <row r="1572" spans="1:7">
      <c r="A1572">
        <v>27</v>
      </c>
      <c r="B1572">
        <v>5</v>
      </c>
      <c r="C1572">
        <v>5</v>
      </c>
      <c r="E1572">
        <v>2</v>
      </c>
      <c r="F1572" t="str">
        <f t="shared" si="24"/>
        <v>F275G5T2</v>
      </c>
      <c r="G1572" s="14" t="s">
        <v>70</v>
      </c>
    </row>
    <row r="1573" spans="1:7">
      <c r="A1573">
        <v>27</v>
      </c>
      <c r="B1573">
        <v>6</v>
      </c>
      <c r="C1573">
        <v>5</v>
      </c>
      <c r="E1573">
        <v>2</v>
      </c>
      <c r="F1573" t="str">
        <f t="shared" si="24"/>
        <v>F276G5T2</v>
      </c>
      <c r="G1573" s="14" t="s">
        <v>70</v>
      </c>
    </row>
    <row r="1574" spans="1:7">
      <c r="A1574">
        <v>27</v>
      </c>
      <c r="B1574">
        <v>7</v>
      </c>
      <c r="C1574">
        <v>5</v>
      </c>
      <c r="E1574">
        <v>2</v>
      </c>
      <c r="F1574" t="str">
        <f t="shared" si="24"/>
        <v>F277G5T2</v>
      </c>
      <c r="G1574" s="14" t="s">
        <v>70</v>
      </c>
    </row>
    <row r="1575" spans="1:7">
      <c r="A1575">
        <v>27</v>
      </c>
      <c r="B1575">
        <v>1</v>
      </c>
      <c r="C1575">
        <v>3</v>
      </c>
      <c r="E1575">
        <v>3</v>
      </c>
      <c r="F1575" t="str">
        <f t="shared" si="24"/>
        <v>F271G3T3</v>
      </c>
      <c r="G1575" s="14" t="s">
        <v>324</v>
      </c>
    </row>
    <row r="1576" spans="1:7">
      <c r="A1576">
        <v>27</v>
      </c>
      <c r="B1576">
        <v>2</v>
      </c>
      <c r="C1576">
        <v>3</v>
      </c>
      <c r="E1576">
        <v>3</v>
      </c>
      <c r="F1576" t="str">
        <f t="shared" si="24"/>
        <v>F272G3T3</v>
      </c>
      <c r="G1576" s="14" t="s">
        <v>324</v>
      </c>
    </row>
    <row r="1577" spans="1:7">
      <c r="A1577">
        <v>27</v>
      </c>
      <c r="B1577">
        <v>5</v>
      </c>
      <c r="C1577">
        <v>3</v>
      </c>
      <c r="E1577">
        <v>3</v>
      </c>
      <c r="F1577" t="str">
        <f t="shared" si="24"/>
        <v>F275G3T3</v>
      </c>
      <c r="G1577" s="14" t="s">
        <v>324</v>
      </c>
    </row>
    <row r="1578" spans="1:7">
      <c r="A1578">
        <v>27</v>
      </c>
      <c r="B1578">
        <v>6</v>
      </c>
      <c r="C1578">
        <v>3</v>
      </c>
      <c r="E1578">
        <v>3</v>
      </c>
      <c r="F1578" t="str">
        <f t="shared" si="24"/>
        <v>F276G3T3</v>
      </c>
      <c r="G1578" s="14" t="s">
        <v>324</v>
      </c>
    </row>
    <row r="1579" spans="1:7">
      <c r="A1579">
        <v>27</v>
      </c>
      <c r="B1579">
        <v>7</v>
      </c>
      <c r="C1579">
        <v>3</v>
      </c>
      <c r="E1579">
        <v>3</v>
      </c>
      <c r="F1579" t="str">
        <f t="shared" si="24"/>
        <v>F277G3T3</v>
      </c>
      <c r="G1579" s="14" t="s">
        <v>324</v>
      </c>
    </row>
    <row r="1580" spans="1:7">
      <c r="A1580">
        <v>27</v>
      </c>
      <c r="B1580">
        <v>1</v>
      </c>
      <c r="C1580">
        <v>4</v>
      </c>
      <c r="E1580">
        <v>3</v>
      </c>
      <c r="F1580" t="str">
        <f t="shared" si="24"/>
        <v>F271G4T3</v>
      </c>
      <c r="G1580" s="14" t="s">
        <v>324</v>
      </c>
    </row>
    <row r="1581" spans="1:7">
      <c r="A1581">
        <v>27</v>
      </c>
      <c r="B1581">
        <v>2</v>
      </c>
      <c r="C1581">
        <v>4</v>
      </c>
      <c r="E1581">
        <v>3</v>
      </c>
      <c r="F1581" t="str">
        <f t="shared" si="24"/>
        <v>F272G4T3</v>
      </c>
      <c r="G1581" s="14" t="s">
        <v>324</v>
      </c>
    </row>
    <row r="1582" spans="1:7">
      <c r="A1582">
        <v>27</v>
      </c>
      <c r="B1582">
        <v>5</v>
      </c>
      <c r="C1582">
        <v>4</v>
      </c>
      <c r="E1582">
        <v>3</v>
      </c>
      <c r="F1582" t="str">
        <f t="shared" si="24"/>
        <v>F275G4T3</v>
      </c>
      <c r="G1582" s="14" t="s">
        <v>324</v>
      </c>
    </row>
    <row r="1583" spans="1:7">
      <c r="A1583">
        <v>27</v>
      </c>
      <c r="B1583">
        <v>6</v>
      </c>
      <c r="C1583">
        <v>4</v>
      </c>
      <c r="E1583">
        <v>3</v>
      </c>
      <c r="F1583" t="str">
        <f t="shared" si="24"/>
        <v>F276G4T3</v>
      </c>
      <c r="G1583" s="14" t="s">
        <v>324</v>
      </c>
    </row>
    <row r="1584" spans="1:7">
      <c r="A1584">
        <v>27</v>
      </c>
      <c r="B1584">
        <v>7</v>
      </c>
      <c r="C1584">
        <v>4</v>
      </c>
      <c r="E1584">
        <v>3</v>
      </c>
      <c r="F1584" t="str">
        <f t="shared" si="24"/>
        <v>F277G4T3</v>
      </c>
      <c r="G1584" s="14" t="s">
        <v>324</v>
      </c>
    </row>
    <row r="1585" spans="1:7">
      <c r="A1585">
        <v>27</v>
      </c>
      <c r="B1585">
        <v>1</v>
      </c>
      <c r="C1585">
        <v>5</v>
      </c>
      <c r="E1585">
        <v>3</v>
      </c>
      <c r="F1585" t="str">
        <f t="shared" si="24"/>
        <v>F271G5T3</v>
      </c>
      <c r="G1585" s="14" t="s">
        <v>324</v>
      </c>
    </row>
    <row r="1586" spans="1:7">
      <c r="A1586">
        <v>27</v>
      </c>
      <c r="B1586">
        <v>2</v>
      </c>
      <c r="C1586">
        <v>5</v>
      </c>
      <c r="E1586">
        <v>3</v>
      </c>
      <c r="F1586" t="str">
        <f t="shared" si="24"/>
        <v>F272G5T3</v>
      </c>
      <c r="G1586" s="14" t="s">
        <v>324</v>
      </c>
    </row>
    <row r="1587" spans="1:7">
      <c r="A1587">
        <v>27</v>
      </c>
      <c r="B1587">
        <v>5</v>
      </c>
      <c r="C1587">
        <v>5</v>
      </c>
      <c r="E1587">
        <v>3</v>
      </c>
      <c r="F1587" t="str">
        <f t="shared" si="24"/>
        <v>F275G5T3</v>
      </c>
      <c r="G1587" s="14" t="s">
        <v>324</v>
      </c>
    </row>
    <row r="1588" spans="1:7">
      <c r="A1588">
        <v>27</v>
      </c>
      <c r="B1588">
        <v>6</v>
      </c>
      <c r="C1588">
        <v>5</v>
      </c>
      <c r="E1588">
        <v>3</v>
      </c>
      <c r="F1588" t="str">
        <f t="shared" si="24"/>
        <v>F276G5T3</v>
      </c>
      <c r="G1588" s="14" t="s">
        <v>324</v>
      </c>
    </row>
    <row r="1589" spans="1:7">
      <c r="A1589">
        <v>27</v>
      </c>
      <c r="B1589">
        <v>7</v>
      </c>
      <c r="C1589">
        <v>5</v>
      </c>
      <c r="E1589">
        <v>3</v>
      </c>
      <c r="F1589" t="str">
        <f t="shared" si="24"/>
        <v>F277G5T3</v>
      </c>
      <c r="G1589" s="14" t="s">
        <v>324</v>
      </c>
    </row>
    <row r="1590" spans="1:7">
      <c r="A1590">
        <v>29</v>
      </c>
      <c r="B1590">
        <v>1</v>
      </c>
      <c r="C1590">
        <v>3</v>
      </c>
      <c r="E1590">
        <v>2</v>
      </c>
      <c r="F1590" t="str">
        <f t="shared" si="24"/>
        <v>F291G3T2</v>
      </c>
      <c r="G1590" s="14" t="s">
        <v>70</v>
      </c>
    </row>
    <row r="1591" spans="1:7">
      <c r="A1591">
        <v>29</v>
      </c>
      <c r="B1591">
        <v>2</v>
      </c>
      <c r="C1591">
        <v>3</v>
      </c>
      <c r="E1591">
        <v>2</v>
      </c>
      <c r="F1591" t="str">
        <f t="shared" si="24"/>
        <v>F292G3T2</v>
      </c>
      <c r="G1591" s="14" t="s">
        <v>70</v>
      </c>
    </row>
    <row r="1592" spans="1:7">
      <c r="A1592">
        <v>29</v>
      </c>
      <c r="B1592">
        <v>5</v>
      </c>
      <c r="C1592">
        <v>3</v>
      </c>
      <c r="E1592">
        <v>2</v>
      </c>
      <c r="F1592" t="str">
        <f t="shared" si="24"/>
        <v>F295G3T2</v>
      </c>
      <c r="G1592" s="14" t="s">
        <v>70</v>
      </c>
    </row>
    <row r="1593" spans="1:7">
      <c r="A1593">
        <v>29</v>
      </c>
      <c r="B1593">
        <v>6</v>
      </c>
      <c r="C1593">
        <v>3</v>
      </c>
      <c r="E1593">
        <v>2</v>
      </c>
      <c r="F1593" t="str">
        <f t="shared" si="24"/>
        <v>F296G3T2</v>
      </c>
      <c r="G1593" s="14" t="s">
        <v>70</v>
      </c>
    </row>
    <row r="1594" spans="1:7">
      <c r="A1594">
        <v>29</v>
      </c>
      <c r="B1594">
        <v>7</v>
      </c>
      <c r="C1594">
        <v>3</v>
      </c>
      <c r="E1594">
        <v>2</v>
      </c>
      <c r="F1594" t="str">
        <f t="shared" si="24"/>
        <v>F297G3T2</v>
      </c>
      <c r="G1594" s="14" t="s">
        <v>70</v>
      </c>
    </row>
    <row r="1595" spans="1:7">
      <c r="A1595">
        <v>29</v>
      </c>
      <c r="B1595">
        <v>1</v>
      </c>
      <c r="C1595">
        <v>4</v>
      </c>
      <c r="E1595">
        <v>2</v>
      </c>
      <c r="F1595" t="str">
        <f t="shared" si="24"/>
        <v>F291G4T2</v>
      </c>
      <c r="G1595" s="14" t="s">
        <v>70</v>
      </c>
    </row>
    <row r="1596" spans="1:7">
      <c r="A1596">
        <v>29</v>
      </c>
      <c r="B1596">
        <v>2</v>
      </c>
      <c r="C1596">
        <v>4</v>
      </c>
      <c r="E1596">
        <v>2</v>
      </c>
      <c r="F1596" t="str">
        <f t="shared" si="24"/>
        <v>F292G4T2</v>
      </c>
      <c r="G1596" s="14" t="s">
        <v>70</v>
      </c>
    </row>
    <row r="1597" spans="1:7">
      <c r="A1597">
        <v>29</v>
      </c>
      <c r="B1597">
        <v>5</v>
      </c>
      <c r="C1597">
        <v>4</v>
      </c>
      <c r="E1597">
        <v>2</v>
      </c>
      <c r="F1597" t="str">
        <f t="shared" si="24"/>
        <v>F295G4T2</v>
      </c>
      <c r="G1597" s="14" t="s">
        <v>70</v>
      </c>
    </row>
    <row r="1598" spans="1:7">
      <c r="A1598">
        <v>29</v>
      </c>
      <c r="B1598">
        <v>6</v>
      </c>
      <c r="C1598">
        <v>4</v>
      </c>
      <c r="E1598">
        <v>2</v>
      </c>
      <c r="F1598" t="str">
        <f t="shared" si="24"/>
        <v>F296G4T2</v>
      </c>
      <c r="G1598" s="14" t="s">
        <v>70</v>
      </c>
    </row>
    <row r="1599" spans="1:7">
      <c r="A1599">
        <v>29</v>
      </c>
      <c r="B1599">
        <v>7</v>
      </c>
      <c r="C1599">
        <v>4</v>
      </c>
      <c r="E1599">
        <v>2</v>
      </c>
      <c r="F1599" t="str">
        <f t="shared" si="24"/>
        <v>F297G4T2</v>
      </c>
      <c r="G1599" s="14" t="s">
        <v>70</v>
      </c>
    </row>
    <row r="1600" spans="1:7">
      <c r="A1600">
        <v>29</v>
      </c>
      <c r="B1600">
        <v>1</v>
      </c>
      <c r="C1600">
        <v>5</v>
      </c>
      <c r="E1600">
        <v>2</v>
      </c>
      <c r="F1600" t="str">
        <f t="shared" si="24"/>
        <v>F291G5T2</v>
      </c>
      <c r="G1600" s="14" t="s">
        <v>70</v>
      </c>
    </row>
    <row r="1601" spans="1:7">
      <c r="A1601">
        <v>29</v>
      </c>
      <c r="B1601">
        <v>2</v>
      </c>
      <c r="C1601">
        <v>5</v>
      </c>
      <c r="E1601">
        <v>2</v>
      </c>
      <c r="F1601" t="str">
        <f t="shared" si="24"/>
        <v>F292G5T2</v>
      </c>
      <c r="G1601" s="14" t="s">
        <v>70</v>
      </c>
    </row>
    <row r="1602" spans="1:7">
      <c r="A1602">
        <v>29</v>
      </c>
      <c r="B1602">
        <v>5</v>
      </c>
      <c r="C1602">
        <v>5</v>
      </c>
      <c r="E1602">
        <v>2</v>
      </c>
      <c r="F1602" t="str">
        <f t="shared" si="24"/>
        <v>F295G5T2</v>
      </c>
      <c r="G1602" s="14" t="s">
        <v>70</v>
      </c>
    </row>
    <row r="1603" spans="1:7">
      <c r="A1603">
        <v>29</v>
      </c>
      <c r="B1603">
        <v>6</v>
      </c>
      <c r="C1603">
        <v>5</v>
      </c>
      <c r="E1603">
        <v>2</v>
      </c>
      <c r="F1603" t="str">
        <f t="shared" ref="F1603:F1666" si="25">CONCATENATE("F",A1603,B1603,"G",C1603,"T",E1603)</f>
        <v>F296G5T2</v>
      </c>
      <c r="G1603" s="14" t="s">
        <v>70</v>
      </c>
    </row>
    <row r="1604" spans="1:7">
      <c r="A1604">
        <v>29</v>
      </c>
      <c r="B1604">
        <v>7</v>
      </c>
      <c r="C1604">
        <v>5</v>
      </c>
      <c r="E1604">
        <v>2</v>
      </c>
      <c r="F1604" t="str">
        <f t="shared" si="25"/>
        <v>F297G5T2</v>
      </c>
      <c r="G1604" s="14" t="s">
        <v>70</v>
      </c>
    </row>
    <row r="1605" spans="1:7">
      <c r="A1605">
        <v>29</v>
      </c>
      <c r="B1605">
        <v>1</v>
      </c>
      <c r="C1605">
        <v>3</v>
      </c>
      <c r="E1605">
        <v>3</v>
      </c>
      <c r="F1605" t="str">
        <f t="shared" si="25"/>
        <v>F291G3T3</v>
      </c>
      <c r="G1605" s="14" t="s">
        <v>324</v>
      </c>
    </row>
    <row r="1606" spans="1:7">
      <c r="A1606">
        <v>29</v>
      </c>
      <c r="B1606">
        <v>2</v>
      </c>
      <c r="C1606">
        <v>3</v>
      </c>
      <c r="E1606">
        <v>3</v>
      </c>
      <c r="F1606" t="str">
        <f t="shared" si="25"/>
        <v>F292G3T3</v>
      </c>
      <c r="G1606" s="14" t="s">
        <v>324</v>
      </c>
    </row>
    <row r="1607" spans="1:7">
      <c r="A1607">
        <v>29</v>
      </c>
      <c r="B1607">
        <v>5</v>
      </c>
      <c r="C1607">
        <v>3</v>
      </c>
      <c r="E1607">
        <v>3</v>
      </c>
      <c r="F1607" t="str">
        <f t="shared" si="25"/>
        <v>F295G3T3</v>
      </c>
      <c r="G1607" s="14" t="s">
        <v>324</v>
      </c>
    </row>
    <row r="1608" spans="1:7">
      <c r="A1608">
        <v>29</v>
      </c>
      <c r="B1608">
        <v>6</v>
      </c>
      <c r="C1608">
        <v>3</v>
      </c>
      <c r="E1608">
        <v>3</v>
      </c>
      <c r="F1608" t="str">
        <f t="shared" si="25"/>
        <v>F296G3T3</v>
      </c>
      <c r="G1608" s="14" t="s">
        <v>324</v>
      </c>
    </row>
    <row r="1609" spans="1:7">
      <c r="A1609">
        <v>29</v>
      </c>
      <c r="B1609">
        <v>7</v>
      </c>
      <c r="C1609">
        <v>3</v>
      </c>
      <c r="E1609">
        <v>3</v>
      </c>
      <c r="F1609" t="str">
        <f t="shared" si="25"/>
        <v>F297G3T3</v>
      </c>
      <c r="G1609" s="14" t="s">
        <v>324</v>
      </c>
    </row>
    <row r="1610" spans="1:7">
      <c r="A1610">
        <v>29</v>
      </c>
      <c r="B1610">
        <v>1</v>
      </c>
      <c r="C1610">
        <v>4</v>
      </c>
      <c r="E1610">
        <v>3</v>
      </c>
      <c r="F1610" t="str">
        <f t="shared" si="25"/>
        <v>F291G4T3</v>
      </c>
      <c r="G1610" s="14" t="s">
        <v>324</v>
      </c>
    </row>
    <row r="1611" spans="1:7">
      <c r="A1611">
        <v>29</v>
      </c>
      <c r="B1611">
        <v>2</v>
      </c>
      <c r="C1611">
        <v>4</v>
      </c>
      <c r="E1611">
        <v>3</v>
      </c>
      <c r="F1611" t="str">
        <f t="shared" si="25"/>
        <v>F292G4T3</v>
      </c>
      <c r="G1611" s="14" t="s">
        <v>324</v>
      </c>
    </row>
    <row r="1612" spans="1:7">
      <c r="A1612">
        <v>29</v>
      </c>
      <c r="B1612">
        <v>5</v>
      </c>
      <c r="C1612">
        <v>4</v>
      </c>
      <c r="E1612">
        <v>3</v>
      </c>
      <c r="F1612" t="str">
        <f t="shared" si="25"/>
        <v>F295G4T3</v>
      </c>
      <c r="G1612" s="14" t="s">
        <v>324</v>
      </c>
    </row>
    <row r="1613" spans="1:7">
      <c r="A1613">
        <v>29</v>
      </c>
      <c r="B1613">
        <v>6</v>
      </c>
      <c r="C1613">
        <v>4</v>
      </c>
      <c r="E1613">
        <v>3</v>
      </c>
      <c r="F1613" t="str">
        <f t="shared" si="25"/>
        <v>F296G4T3</v>
      </c>
      <c r="G1613" s="14" t="s">
        <v>324</v>
      </c>
    </row>
    <row r="1614" spans="1:7">
      <c r="A1614">
        <v>29</v>
      </c>
      <c r="B1614">
        <v>7</v>
      </c>
      <c r="C1614">
        <v>4</v>
      </c>
      <c r="E1614">
        <v>3</v>
      </c>
      <c r="F1614" t="str">
        <f t="shared" si="25"/>
        <v>F297G4T3</v>
      </c>
      <c r="G1614" s="14" t="s">
        <v>324</v>
      </c>
    </row>
    <row r="1615" spans="1:7">
      <c r="A1615">
        <v>29</v>
      </c>
      <c r="B1615">
        <v>1</v>
      </c>
      <c r="C1615">
        <v>5</v>
      </c>
      <c r="E1615">
        <v>3</v>
      </c>
      <c r="F1615" t="str">
        <f t="shared" si="25"/>
        <v>F291G5T3</v>
      </c>
      <c r="G1615" s="14" t="s">
        <v>324</v>
      </c>
    </row>
    <row r="1616" spans="1:7">
      <c r="A1616">
        <v>29</v>
      </c>
      <c r="B1616">
        <v>2</v>
      </c>
      <c r="C1616">
        <v>5</v>
      </c>
      <c r="E1616">
        <v>3</v>
      </c>
      <c r="F1616" t="str">
        <f t="shared" si="25"/>
        <v>F292G5T3</v>
      </c>
      <c r="G1616" s="14" t="s">
        <v>324</v>
      </c>
    </row>
    <row r="1617" spans="1:7">
      <c r="A1617">
        <v>29</v>
      </c>
      <c r="B1617">
        <v>5</v>
      </c>
      <c r="C1617">
        <v>5</v>
      </c>
      <c r="E1617">
        <v>3</v>
      </c>
      <c r="F1617" t="str">
        <f t="shared" si="25"/>
        <v>F295G5T3</v>
      </c>
      <c r="G1617" s="14" t="s">
        <v>324</v>
      </c>
    </row>
    <row r="1618" spans="1:7">
      <c r="A1618">
        <v>29</v>
      </c>
      <c r="B1618">
        <v>6</v>
      </c>
      <c r="C1618">
        <v>5</v>
      </c>
      <c r="E1618">
        <v>3</v>
      </c>
      <c r="F1618" t="str">
        <f t="shared" si="25"/>
        <v>F296G5T3</v>
      </c>
      <c r="G1618" s="14" t="s">
        <v>324</v>
      </c>
    </row>
    <row r="1619" spans="1:7">
      <c r="A1619">
        <v>29</v>
      </c>
      <c r="B1619">
        <v>7</v>
      </c>
      <c r="C1619">
        <v>5</v>
      </c>
      <c r="E1619">
        <v>3</v>
      </c>
      <c r="F1619" t="str">
        <f t="shared" si="25"/>
        <v>F297G5T3</v>
      </c>
      <c r="G1619" s="14" t="s">
        <v>324</v>
      </c>
    </row>
    <row r="1620" spans="1:7">
      <c r="A1620">
        <v>31</v>
      </c>
      <c r="B1620">
        <v>1</v>
      </c>
      <c r="C1620">
        <v>3</v>
      </c>
      <c r="E1620">
        <v>2</v>
      </c>
      <c r="F1620" t="str">
        <f t="shared" si="25"/>
        <v>F311G3T2</v>
      </c>
      <c r="G1620" s="14" t="s">
        <v>70</v>
      </c>
    </row>
    <row r="1621" spans="1:7">
      <c r="A1621">
        <v>31</v>
      </c>
      <c r="B1621">
        <v>2</v>
      </c>
      <c r="C1621">
        <v>3</v>
      </c>
      <c r="E1621">
        <v>2</v>
      </c>
      <c r="F1621" t="str">
        <f t="shared" si="25"/>
        <v>F312G3T2</v>
      </c>
      <c r="G1621" s="14" t="s">
        <v>70</v>
      </c>
    </row>
    <row r="1622" spans="1:7">
      <c r="A1622">
        <v>31</v>
      </c>
      <c r="B1622">
        <v>5</v>
      </c>
      <c r="C1622">
        <v>3</v>
      </c>
      <c r="E1622">
        <v>2</v>
      </c>
      <c r="F1622" t="str">
        <f t="shared" si="25"/>
        <v>F315G3T2</v>
      </c>
      <c r="G1622" s="14" t="s">
        <v>70</v>
      </c>
    </row>
    <row r="1623" spans="1:7">
      <c r="A1623">
        <v>31</v>
      </c>
      <c r="B1623">
        <v>6</v>
      </c>
      <c r="C1623">
        <v>3</v>
      </c>
      <c r="E1623">
        <v>2</v>
      </c>
      <c r="F1623" t="str">
        <f t="shared" si="25"/>
        <v>F316G3T2</v>
      </c>
      <c r="G1623" s="14" t="s">
        <v>70</v>
      </c>
    </row>
    <row r="1624" spans="1:7">
      <c r="A1624">
        <v>31</v>
      </c>
      <c r="B1624">
        <v>7</v>
      </c>
      <c r="C1624">
        <v>3</v>
      </c>
      <c r="E1624">
        <v>2</v>
      </c>
      <c r="F1624" t="str">
        <f t="shared" si="25"/>
        <v>F317G3T2</v>
      </c>
      <c r="G1624" s="14" t="s">
        <v>70</v>
      </c>
    </row>
    <row r="1625" spans="1:7">
      <c r="A1625">
        <v>31</v>
      </c>
      <c r="B1625">
        <v>1</v>
      </c>
      <c r="C1625">
        <v>4</v>
      </c>
      <c r="E1625">
        <v>2</v>
      </c>
      <c r="F1625" t="str">
        <f t="shared" si="25"/>
        <v>F311G4T2</v>
      </c>
      <c r="G1625" s="14" t="s">
        <v>70</v>
      </c>
    </row>
    <row r="1626" spans="1:7">
      <c r="A1626">
        <v>31</v>
      </c>
      <c r="B1626">
        <v>2</v>
      </c>
      <c r="C1626">
        <v>4</v>
      </c>
      <c r="E1626">
        <v>2</v>
      </c>
      <c r="F1626" t="str">
        <f t="shared" si="25"/>
        <v>F312G4T2</v>
      </c>
      <c r="G1626" s="14" t="s">
        <v>70</v>
      </c>
    </row>
    <row r="1627" spans="1:7">
      <c r="A1627">
        <v>31</v>
      </c>
      <c r="B1627">
        <v>5</v>
      </c>
      <c r="C1627">
        <v>4</v>
      </c>
      <c r="E1627">
        <v>2</v>
      </c>
      <c r="F1627" t="str">
        <f t="shared" si="25"/>
        <v>F315G4T2</v>
      </c>
      <c r="G1627" s="14" t="s">
        <v>70</v>
      </c>
    </row>
    <row r="1628" spans="1:7">
      <c r="A1628">
        <v>31</v>
      </c>
      <c r="B1628">
        <v>6</v>
      </c>
      <c r="C1628">
        <v>4</v>
      </c>
      <c r="E1628">
        <v>2</v>
      </c>
      <c r="F1628" t="str">
        <f t="shared" si="25"/>
        <v>F316G4T2</v>
      </c>
      <c r="G1628" s="14" t="s">
        <v>70</v>
      </c>
    </row>
    <row r="1629" spans="1:7">
      <c r="A1629">
        <v>31</v>
      </c>
      <c r="B1629">
        <v>7</v>
      </c>
      <c r="C1629">
        <v>4</v>
      </c>
      <c r="E1629">
        <v>2</v>
      </c>
      <c r="F1629" t="str">
        <f t="shared" si="25"/>
        <v>F317G4T2</v>
      </c>
      <c r="G1629" s="14" t="s">
        <v>70</v>
      </c>
    </row>
    <row r="1630" spans="1:7">
      <c r="A1630">
        <v>31</v>
      </c>
      <c r="B1630">
        <v>1</v>
      </c>
      <c r="C1630">
        <v>5</v>
      </c>
      <c r="E1630">
        <v>2</v>
      </c>
      <c r="F1630" t="str">
        <f t="shared" si="25"/>
        <v>F311G5T2</v>
      </c>
      <c r="G1630" s="14" t="s">
        <v>70</v>
      </c>
    </row>
    <row r="1631" spans="1:7">
      <c r="A1631">
        <v>31</v>
      </c>
      <c r="B1631">
        <v>2</v>
      </c>
      <c r="C1631">
        <v>5</v>
      </c>
      <c r="E1631">
        <v>2</v>
      </c>
      <c r="F1631" t="str">
        <f t="shared" si="25"/>
        <v>F312G5T2</v>
      </c>
      <c r="G1631" s="14" t="s">
        <v>70</v>
      </c>
    </row>
    <row r="1632" spans="1:7">
      <c r="A1632">
        <v>31</v>
      </c>
      <c r="B1632">
        <v>5</v>
      </c>
      <c r="C1632">
        <v>5</v>
      </c>
      <c r="E1632">
        <v>2</v>
      </c>
      <c r="F1632" t="str">
        <f t="shared" si="25"/>
        <v>F315G5T2</v>
      </c>
      <c r="G1632" s="14" t="s">
        <v>70</v>
      </c>
    </row>
    <row r="1633" spans="1:7">
      <c r="A1633">
        <v>31</v>
      </c>
      <c r="B1633">
        <v>6</v>
      </c>
      <c r="C1633">
        <v>5</v>
      </c>
      <c r="E1633">
        <v>2</v>
      </c>
      <c r="F1633" t="str">
        <f t="shared" si="25"/>
        <v>F316G5T2</v>
      </c>
      <c r="G1633" s="14" t="s">
        <v>70</v>
      </c>
    </row>
    <row r="1634" spans="1:7">
      <c r="A1634">
        <v>31</v>
      </c>
      <c r="B1634">
        <v>7</v>
      </c>
      <c r="C1634">
        <v>5</v>
      </c>
      <c r="E1634">
        <v>2</v>
      </c>
      <c r="F1634" t="str">
        <f t="shared" si="25"/>
        <v>F317G5T2</v>
      </c>
      <c r="G1634" s="14" t="s">
        <v>70</v>
      </c>
    </row>
    <row r="1635" spans="1:7">
      <c r="A1635">
        <v>31</v>
      </c>
      <c r="B1635">
        <v>1</v>
      </c>
      <c r="C1635">
        <v>3</v>
      </c>
      <c r="E1635">
        <v>3</v>
      </c>
      <c r="F1635" t="str">
        <f t="shared" si="25"/>
        <v>F311G3T3</v>
      </c>
      <c r="G1635" s="14" t="s">
        <v>324</v>
      </c>
    </row>
    <row r="1636" spans="1:7">
      <c r="A1636">
        <v>31</v>
      </c>
      <c r="B1636">
        <v>2</v>
      </c>
      <c r="C1636">
        <v>3</v>
      </c>
      <c r="E1636">
        <v>3</v>
      </c>
      <c r="F1636" t="str">
        <f t="shared" si="25"/>
        <v>F312G3T3</v>
      </c>
      <c r="G1636" s="14" t="s">
        <v>324</v>
      </c>
    </row>
    <row r="1637" spans="1:7">
      <c r="A1637">
        <v>31</v>
      </c>
      <c r="B1637">
        <v>5</v>
      </c>
      <c r="C1637">
        <v>3</v>
      </c>
      <c r="E1637">
        <v>3</v>
      </c>
      <c r="F1637" t="str">
        <f t="shared" si="25"/>
        <v>F315G3T3</v>
      </c>
      <c r="G1637" s="14" t="s">
        <v>324</v>
      </c>
    </row>
    <row r="1638" spans="1:7">
      <c r="A1638">
        <v>31</v>
      </c>
      <c r="B1638">
        <v>6</v>
      </c>
      <c r="C1638">
        <v>3</v>
      </c>
      <c r="E1638">
        <v>3</v>
      </c>
      <c r="F1638" t="str">
        <f t="shared" si="25"/>
        <v>F316G3T3</v>
      </c>
      <c r="G1638" s="14" t="s">
        <v>324</v>
      </c>
    </row>
    <row r="1639" spans="1:7">
      <c r="A1639">
        <v>31</v>
      </c>
      <c r="B1639">
        <v>7</v>
      </c>
      <c r="C1639">
        <v>3</v>
      </c>
      <c r="E1639">
        <v>3</v>
      </c>
      <c r="F1639" t="str">
        <f t="shared" si="25"/>
        <v>F317G3T3</v>
      </c>
      <c r="G1639" s="14" t="s">
        <v>324</v>
      </c>
    </row>
    <row r="1640" spans="1:7">
      <c r="A1640">
        <v>31</v>
      </c>
      <c r="B1640">
        <v>1</v>
      </c>
      <c r="C1640">
        <v>4</v>
      </c>
      <c r="E1640">
        <v>3</v>
      </c>
      <c r="F1640" t="str">
        <f t="shared" si="25"/>
        <v>F311G4T3</v>
      </c>
      <c r="G1640" s="14" t="s">
        <v>324</v>
      </c>
    </row>
    <row r="1641" spans="1:7">
      <c r="A1641">
        <v>31</v>
      </c>
      <c r="B1641">
        <v>2</v>
      </c>
      <c r="C1641">
        <v>4</v>
      </c>
      <c r="E1641">
        <v>3</v>
      </c>
      <c r="F1641" t="str">
        <f t="shared" si="25"/>
        <v>F312G4T3</v>
      </c>
      <c r="G1641" s="14" t="s">
        <v>324</v>
      </c>
    </row>
    <row r="1642" spans="1:7">
      <c r="A1642">
        <v>31</v>
      </c>
      <c r="B1642">
        <v>5</v>
      </c>
      <c r="C1642">
        <v>4</v>
      </c>
      <c r="E1642">
        <v>3</v>
      </c>
      <c r="F1642" t="str">
        <f t="shared" si="25"/>
        <v>F315G4T3</v>
      </c>
      <c r="G1642" s="14" t="s">
        <v>324</v>
      </c>
    </row>
    <row r="1643" spans="1:7">
      <c r="A1643">
        <v>31</v>
      </c>
      <c r="B1643">
        <v>6</v>
      </c>
      <c r="C1643">
        <v>4</v>
      </c>
      <c r="E1643">
        <v>3</v>
      </c>
      <c r="F1643" t="str">
        <f t="shared" si="25"/>
        <v>F316G4T3</v>
      </c>
      <c r="G1643" s="14" t="s">
        <v>324</v>
      </c>
    </row>
    <row r="1644" spans="1:7">
      <c r="A1644">
        <v>31</v>
      </c>
      <c r="B1644">
        <v>7</v>
      </c>
      <c r="C1644">
        <v>4</v>
      </c>
      <c r="E1644">
        <v>3</v>
      </c>
      <c r="F1644" t="str">
        <f t="shared" si="25"/>
        <v>F317G4T3</v>
      </c>
      <c r="G1644" s="14" t="s">
        <v>324</v>
      </c>
    </row>
    <row r="1645" spans="1:7">
      <c r="A1645">
        <v>31</v>
      </c>
      <c r="B1645">
        <v>1</v>
      </c>
      <c r="C1645">
        <v>5</v>
      </c>
      <c r="E1645">
        <v>3</v>
      </c>
      <c r="F1645" t="str">
        <f t="shared" si="25"/>
        <v>F311G5T3</v>
      </c>
      <c r="G1645" s="14" t="s">
        <v>324</v>
      </c>
    </row>
    <row r="1646" spans="1:7">
      <c r="A1646">
        <v>31</v>
      </c>
      <c r="B1646">
        <v>2</v>
      </c>
      <c r="C1646">
        <v>5</v>
      </c>
      <c r="E1646">
        <v>3</v>
      </c>
      <c r="F1646" t="str">
        <f t="shared" si="25"/>
        <v>F312G5T3</v>
      </c>
      <c r="G1646" s="14" t="s">
        <v>324</v>
      </c>
    </row>
    <row r="1647" spans="1:7">
      <c r="A1647">
        <v>31</v>
      </c>
      <c r="B1647">
        <v>5</v>
      </c>
      <c r="C1647">
        <v>5</v>
      </c>
      <c r="E1647">
        <v>3</v>
      </c>
      <c r="F1647" t="str">
        <f t="shared" si="25"/>
        <v>F315G5T3</v>
      </c>
      <c r="G1647" s="14" t="s">
        <v>324</v>
      </c>
    </row>
    <row r="1648" spans="1:7">
      <c r="A1648">
        <v>31</v>
      </c>
      <c r="B1648">
        <v>6</v>
      </c>
      <c r="C1648">
        <v>5</v>
      </c>
      <c r="E1648">
        <v>3</v>
      </c>
      <c r="F1648" t="str">
        <f t="shared" si="25"/>
        <v>F316G5T3</v>
      </c>
      <c r="G1648" s="14" t="s">
        <v>324</v>
      </c>
    </row>
    <row r="1649" spans="1:7">
      <c r="A1649">
        <v>31</v>
      </c>
      <c r="B1649">
        <v>7</v>
      </c>
      <c r="C1649">
        <v>5</v>
      </c>
      <c r="E1649">
        <v>3</v>
      </c>
      <c r="F1649" t="str">
        <f t="shared" si="25"/>
        <v>F317G5T3</v>
      </c>
      <c r="G1649" s="14" t="s">
        <v>324</v>
      </c>
    </row>
    <row r="1650" spans="1:7">
      <c r="A1650">
        <v>32</v>
      </c>
      <c r="B1650">
        <v>1</v>
      </c>
      <c r="C1650">
        <v>3</v>
      </c>
      <c r="E1650">
        <v>2</v>
      </c>
      <c r="F1650" t="str">
        <f t="shared" si="25"/>
        <v>F321G3T2</v>
      </c>
      <c r="G1650" s="14" t="s">
        <v>70</v>
      </c>
    </row>
    <row r="1651" spans="1:7">
      <c r="A1651">
        <v>32</v>
      </c>
      <c r="B1651">
        <v>2</v>
      </c>
      <c r="C1651">
        <v>3</v>
      </c>
      <c r="E1651">
        <v>2</v>
      </c>
      <c r="F1651" t="str">
        <f t="shared" si="25"/>
        <v>F322G3T2</v>
      </c>
      <c r="G1651" s="14" t="s">
        <v>70</v>
      </c>
    </row>
    <row r="1652" spans="1:7">
      <c r="A1652">
        <v>32</v>
      </c>
      <c r="B1652">
        <v>5</v>
      </c>
      <c r="C1652">
        <v>3</v>
      </c>
      <c r="E1652">
        <v>2</v>
      </c>
      <c r="F1652" t="str">
        <f t="shared" si="25"/>
        <v>F325G3T2</v>
      </c>
      <c r="G1652" s="14" t="s">
        <v>70</v>
      </c>
    </row>
    <row r="1653" spans="1:7">
      <c r="A1653">
        <v>32</v>
      </c>
      <c r="B1653">
        <v>6</v>
      </c>
      <c r="C1653">
        <v>3</v>
      </c>
      <c r="E1653">
        <v>2</v>
      </c>
      <c r="F1653" t="str">
        <f t="shared" si="25"/>
        <v>F326G3T2</v>
      </c>
      <c r="G1653" s="14" t="s">
        <v>70</v>
      </c>
    </row>
    <row r="1654" spans="1:7">
      <c r="A1654">
        <v>32</v>
      </c>
      <c r="B1654">
        <v>7</v>
      </c>
      <c r="C1654">
        <v>3</v>
      </c>
      <c r="E1654">
        <v>2</v>
      </c>
      <c r="F1654" t="str">
        <f t="shared" si="25"/>
        <v>F327G3T2</v>
      </c>
      <c r="G1654" s="14" t="s">
        <v>70</v>
      </c>
    </row>
    <row r="1655" spans="1:7">
      <c r="A1655">
        <v>32</v>
      </c>
      <c r="B1655">
        <v>1</v>
      </c>
      <c r="C1655">
        <v>4</v>
      </c>
      <c r="E1655">
        <v>2</v>
      </c>
      <c r="F1655" t="str">
        <f t="shared" si="25"/>
        <v>F321G4T2</v>
      </c>
      <c r="G1655" s="14" t="s">
        <v>70</v>
      </c>
    </row>
    <row r="1656" spans="1:7">
      <c r="A1656">
        <v>32</v>
      </c>
      <c r="B1656">
        <v>2</v>
      </c>
      <c r="C1656">
        <v>4</v>
      </c>
      <c r="E1656">
        <v>2</v>
      </c>
      <c r="F1656" t="str">
        <f t="shared" si="25"/>
        <v>F322G4T2</v>
      </c>
      <c r="G1656" s="14" t="s">
        <v>70</v>
      </c>
    </row>
    <row r="1657" spans="1:7">
      <c r="A1657">
        <v>32</v>
      </c>
      <c r="B1657">
        <v>5</v>
      </c>
      <c r="C1657">
        <v>4</v>
      </c>
      <c r="E1657">
        <v>2</v>
      </c>
      <c r="F1657" t="str">
        <f t="shared" si="25"/>
        <v>F325G4T2</v>
      </c>
      <c r="G1657" s="14" t="s">
        <v>70</v>
      </c>
    </row>
    <row r="1658" spans="1:7">
      <c r="A1658">
        <v>32</v>
      </c>
      <c r="B1658">
        <v>6</v>
      </c>
      <c r="C1658">
        <v>4</v>
      </c>
      <c r="E1658">
        <v>2</v>
      </c>
      <c r="F1658" t="str">
        <f t="shared" si="25"/>
        <v>F326G4T2</v>
      </c>
      <c r="G1658" s="14" t="s">
        <v>70</v>
      </c>
    </row>
    <row r="1659" spans="1:7">
      <c r="A1659">
        <v>32</v>
      </c>
      <c r="B1659">
        <v>7</v>
      </c>
      <c r="C1659">
        <v>4</v>
      </c>
      <c r="E1659">
        <v>2</v>
      </c>
      <c r="F1659" t="str">
        <f t="shared" si="25"/>
        <v>F327G4T2</v>
      </c>
      <c r="G1659" s="14" t="s">
        <v>70</v>
      </c>
    </row>
    <row r="1660" spans="1:7">
      <c r="A1660">
        <v>32</v>
      </c>
      <c r="B1660">
        <v>1</v>
      </c>
      <c r="C1660">
        <v>5</v>
      </c>
      <c r="E1660">
        <v>2</v>
      </c>
      <c r="F1660" t="str">
        <f t="shared" si="25"/>
        <v>F321G5T2</v>
      </c>
      <c r="G1660" s="14" t="s">
        <v>70</v>
      </c>
    </row>
    <row r="1661" spans="1:7">
      <c r="A1661">
        <v>32</v>
      </c>
      <c r="B1661">
        <v>2</v>
      </c>
      <c r="C1661">
        <v>5</v>
      </c>
      <c r="E1661">
        <v>2</v>
      </c>
      <c r="F1661" t="str">
        <f t="shared" si="25"/>
        <v>F322G5T2</v>
      </c>
      <c r="G1661" s="14" t="s">
        <v>70</v>
      </c>
    </row>
    <row r="1662" spans="1:7">
      <c r="A1662">
        <v>32</v>
      </c>
      <c r="B1662">
        <v>5</v>
      </c>
      <c r="C1662">
        <v>5</v>
      </c>
      <c r="E1662">
        <v>2</v>
      </c>
      <c r="F1662" t="str">
        <f t="shared" si="25"/>
        <v>F325G5T2</v>
      </c>
      <c r="G1662" s="14" t="s">
        <v>70</v>
      </c>
    </row>
    <row r="1663" spans="1:7">
      <c r="A1663">
        <v>32</v>
      </c>
      <c r="B1663">
        <v>6</v>
      </c>
      <c r="C1663">
        <v>5</v>
      </c>
      <c r="E1663">
        <v>2</v>
      </c>
      <c r="F1663" t="str">
        <f t="shared" si="25"/>
        <v>F326G5T2</v>
      </c>
      <c r="G1663" s="14" t="s">
        <v>70</v>
      </c>
    </row>
    <row r="1664" spans="1:7">
      <c r="A1664">
        <v>32</v>
      </c>
      <c r="B1664">
        <v>7</v>
      </c>
      <c r="C1664">
        <v>5</v>
      </c>
      <c r="E1664">
        <v>2</v>
      </c>
      <c r="F1664" t="str">
        <f t="shared" si="25"/>
        <v>F327G5T2</v>
      </c>
      <c r="G1664" s="14" t="s">
        <v>70</v>
      </c>
    </row>
    <row r="1665" spans="1:7">
      <c r="A1665">
        <v>32</v>
      </c>
      <c r="B1665">
        <v>1</v>
      </c>
      <c r="C1665">
        <v>3</v>
      </c>
      <c r="E1665">
        <v>3</v>
      </c>
      <c r="F1665" t="str">
        <f t="shared" si="25"/>
        <v>F321G3T3</v>
      </c>
      <c r="G1665" s="14" t="s">
        <v>324</v>
      </c>
    </row>
    <row r="1666" spans="1:7">
      <c r="A1666">
        <v>32</v>
      </c>
      <c r="B1666">
        <v>2</v>
      </c>
      <c r="C1666">
        <v>3</v>
      </c>
      <c r="E1666">
        <v>3</v>
      </c>
      <c r="F1666" t="str">
        <f t="shared" si="25"/>
        <v>F322G3T3</v>
      </c>
      <c r="G1666" s="14" t="s">
        <v>324</v>
      </c>
    </row>
    <row r="1667" spans="1:7">
      <c r="A1667">
        <v>32</v>
      </c>
      <c r="B1667">
        <v>5</v>
      </c>
      <c r="C1667">
        <v>3</v>
      </c>
      <c r="E1667">
        <v>3</v>
      </c>
      <c r="F1667" t="str">
        <f t="shared" ref="F1667:F1730" si="26">CONCATENATE("F",A1667,B1667,"G",C1667,"T",E1667)</f>
        <v>F325G3T3</v>
      </c>
      <c r="G1667" s="14" t="s">
        <v>324</v>
      </c>
    </row>
    <row r="1668" spans="1:7">
      <c r="A1668">
        <v>32</v>
      </c>
      <c r="B1668">
        <v>6</v>
      </c>
      <c r="C1668">
        <v>3</v>
      </c>
      <c r="E1668">
        <v>3</v>
      </c>
      <c r="F1668" t="str">
        <f t="shared" si="26"/>
        <v>F326G3T3</v>
      </c>
      <c r="G1668" s="14" t="s">
        <v>324</v>
      </c>
    </row>
    <row r="1669" spans="1:7">
      <c r="A1669">
        <v>32</v>
      </c>
      <c r="B1669">
        <v>7</v>
      </c>
      <c r="C1669">
        <v>3</v>
      </c>
      <c r="E1669">
        <v>3</v>
      </c>
      <c r="F1669" t="str">
        <f t="shared" si="26"/>
        <v>F327G3T3</v>
      </c>
      <c r="G1669" s="14" t="s">
        <v>324</v>
      </c>
    </row>
    <row r="1670" spans="1:7">
      <c r="A1670">
        <v>32</v>
      </c>
      <c r="B1670">
        <v>1</v>
      </c>
      <c r="C1670">
        <v>4</v>
      </c>
      <c r="E1670">
        <v>3</v>
      </c>
      <c r="F1670" t="str">
        <f t="shared" si="26"/>
        <v>F321G4T3</v>
      </c>
      <c r="G1670" s="14" t="s">
        <v>324</v>
      </c>
    </row>
    <row r="1671" spans="1:7">
      <c r="A1671">
        <v>32</v>
      </c>
      <c r="B1671">
        <v>2</v>
      </c>
      <c r="C1671">
        <v>4</v>
      </c>
      <c r="E1671">
        <v>3</v>
      </c>
      <c r="F1671" t="str">
        <f t="shared" si="26"/>
        <v>F322G4T3</v>
      </c>
      <c r="G1671" s="14" t="s">
        <v>324</v>
      </c>
    </row>
    <row r="1672" spans="1:7">
      <c r="A1672">
        <v>32</v>
      </c>
      <c r="B1672">
        <v>5</v>
      </c>
      <c r="C1672">
        <v>4</v>
      </c>
      <c r="E1672">
        <v>3</v>
      </c>
      <c r="F1672" t="str">
        <f t="shared" si="26"/>
        <v>F325G4T3</v>
      </c>
      <c r="G1672" s="14" t="s">
        <v>324</v>
      </c>
    </row>
    <row r="1673" spans="1:7">
      <c r="A1673">
        <v>32</v>
      </c>
      <c r="B1673">
        <v>6</v>
      </c>
      <c r="C1673">
        <v>4</v>
      </c>
      <c r="E1673">
        <v>3</v>
      </c>
      <c r="F1673" t="str">
        <f t="shared" si="26"/>
        <v>F326G4T3</v>
      </c>
      <c r="G1673" s="14" t="s">
        <v>324</v>
      </c>
    </row>
    <row r="1674" spans="1:7">
      <c r="A1674">
        <v>32</v>
      </c>
      <c r="B1674">
        <v>7</v>
      </c>
      <c r="C1674">
        <v>4</v>
      </c>
      <c r="E1674">
        <v>3</v>
      </c>
      <c r="F1674" t="str">
        <f t="shared" si="26"/>
        <v>F327G4T3</v>
      </c>
      <c r="G1674" s="14" t="s">
        <v>324</v>
      </c>
    </row>
    <row r="1675" spans="1:7">
      <c r="A1675">
        <v>32</v>
      </c>
      <c r="B1675">
        <v>1</v>
      </c>
      <c r="C1675">
        <v>5</v>
      </c>
      <c r="E1675">
        <v>3</v>
      </c>
      <c r="F1675" t="str">
        <f t="shared" si="26"/>
        <v>F321G5T3</v>
      </c>
      <c r="G1675" s="14" t="s">
        <v>324</v>
      </c>
    </row>
    <row r="1676" spans="1:7">
      <c r="A1676">
        <v>32</v>
      </c>
      <c r="B1676">
        <v>2</v>
      </c>
      <c r="C1676">
        <v>5</v>
      </c>
      <c r="E1676">
        <v>3</v>
      </c>
      <c r="F1676" t="str">
        <f t="shared" si="26"/>
        <v>F322G5T3</v>
      </c>
      <c r="G1676" s="14" t="s">
        <v>324</v>
      </c>
    </row>
    <row r="1677" spans="1:7">
      <c r="A1677">
        <v>32</v>
      </c>
      <c r="B1677">
        <v>5</v>
      </c>
      <c r="C1677">
        <v>5</v>
      </c>
      <c r="E1677">
        <v>3</v>
      </c>
      <c r="F1677" t="str">
        <f t="shared" si="26"/>
        <v>F325G5T3</v>
      </c>
      <c r="G1677" s="14" t="s">
        <v>324</v>
      </c>
    </row>
    <row r="1678" spans="1:7">
      <c r="A1678">
        <v>32</v>
      </c>
      <c r="B1678">
        <v>6</v>
      </c>
      <c r="C1678">
        <v>5</v>
      </c>
      <c r="E1678">
        <v>3</v>
      </c>
      <c r="F1678" t="str">
        <f t="shared" si="26"/>
        <v>F326G5T3</v>
      </c>
      <c r="G1678" s="14" t="s">
        <v>324</v>
      </c>
    </row>
    <row r="1679" spans="1:7">
      <c r="A1679">
        <v>32</v>
      </c>
      <c r="B1679">
        <v>7</v>
      </c>
      <c r="C1679">
        <v>5</v>
      </c>
      <c r="E1679">
        <v>3</v>
      </c>
      <c r="F1679" t="str">
        <f t="shared" si="26"/>
        <v>F327G5T3</v>
      </c>
      <c r="G1679" s="14" t="s">
        <v>324</v>
      </c>
    </row>
    <row r="1680" spans="1:7">
      <c r="A1680">
        <v>33</v>
      </c>
      <c r="B1680">
        <v>1</v>
      </c>
      <c r="C1680">
        <v>3</v>
      </c>
      <c r="E1680">
        <v>2</v>
      </c>
      <c r="F1680" t="str">
        <f t="shared" si="26"/>
        <v>F331G3T2</v>
      </c>
      <c r="G1680" s="14" t="s">
        <v>70</v>
      </c>
    </row>
    <row r="1681" spans="1:7">
      <c r="A1681">
        <v>33</v>
      </c>
      <c r="B1681">
        <v>2</v>
      </c>
      <c r="C1681">
        <v>3</v>
      </c>
      <c r="E1681">
        <v>2</v>
      </c>
      <c r="F1681" t="str">
        <f t="shared" si="26"/>
        <v>F332G3T2</v>
      </c>
      <c r="G1681" s="14" t="s">
        <v>70</v>
      </c>
    </row>
    <row r="1682" spans="1:7">
      <c r="A1682">
        <v>33</v>
      </c>
      <c r="B1682">
        <v>5</v>
      </c>
      <c r="C1682">
        <v>3</v>
      </c>
      <c r="E1682">
        <v>2</v>
      </c>
      <c r="F1682" t="str">
        <f t="shared" si="26"/>
        <v>F335G3T2</v>
      </c>
      <c r="G1682" s="14" t="s">
        <v>70</v>
      </c>
    </row>
    <row r="1683" spans="1:7">
      <c r="A1683">
        <v>33</v>
      </c>
      <c r="B1683">
        <v>6</v>
      </c>
      <c r="C1683">
        <v>3</v>
      </c>
      <c r="E1683">
        <v>2</v>
      </c>
      <c r="F1683" t="str">
        <f t="shared" si="26"/>
        <v>F336G3T2</v>
      </c>
      <c r="G1683" s="14" t="s">
        <v>70</v>
      </c>
    </row>
    <row r="1684" spans="1:7">
      <c r="A1684">
        <v>33</v>
      </c>
      <c r="B1684">
        <v>7</v>
      </c>
      <c r="C1684">
        <v>3</v>
      </c>
      <c r="E1684">
        <v>2</v>
      </c>
      <c r="F1684" t="str">
        <f t="shared" si="26"/>
        <v>F337G3T2</v>
      </c>
      <c r="G1684" s="14" t="s">
        <v>70</v>
      </c>
    </row>
    <row r="1685" spans="1:7">
      <c r="A1685">
        <v>33</v>
      </c>
      <c r="B1685">
        <v>1</v>
      </c>
      <c r="C1685">
        <v>4</v>
      </c>
      <c r="E1685">
        <v>2</v>
      </c>
      <c r="F1685" t="str">
        <f t="shared" si="26"/>
        <v>F331G4T2</v>
      </c>
      <c r="G1685" s="14" t="s">
        <v>70</v>
      </c>
    </row>
    <row r="1686" spans="1:7">
      <c r="A1686">
        <v>33</v>
      </c>
      <c r="B1686">
        <v>2</v>
      </c>
      <c r="C1686">
        <v>4</v>
      </c>
      <c r="E1686">
        <v>2</v>
      </c>
      <c r="F1686" t="str">
        <f t="shared" si="26"/>
        <v>F332G4T2</v>
      </c>
      <c r="G1686" s="14" t="s">
        <v>70</v>
      </c>
    </row>
    <row r="1687" spans="1:7">
      <c r="A1687">
        <v>33</v>
      </c>
      <c r="B1687">
        <v>5</v>
      </c>
      <c r="C1687">
        <v>4</v>
      </c>
      <c r="E1687">
        <v>2</v>
      </c>
      <c r="F1687" t="str">
        <f t="shared" si="26"/>
        <v>F335G4T2</v>
      </c>
      <c r="G1687" s="14" t="s">
        <v>70</v>
      </c>
    </row>
    <row r="1688" spans="1:7">
      <c r="A1688">
        <v>33</v>
      </c>
      <c r="B1688">
        <v>6</v>
      </c>
      <c r="C1688">
        <v>4</v>
      </c>
      <c r="E1688">
        <v>2</v>
      </c>
      <c r="F1688" t="str">
        <f t="shared" si="26"/>
        <v>F336G4T2</v>
      </c>
      <c r="G1688" s="14" t="s">
        <v>70</v>
      </c>
    </row>
    <row r="1689" spans="1:7">
      <c r="A1689">
        <v>33</v>
      </c>
      <c r="B1689">
        <v>7</v>
      </c>
      <c r="C1689">
        <v>4</v>
      </c>
      <c r="E1689">
        <v>2</v>
      </c>
      <c r="F1689" t="str">
        <f t="shared" si="26"/>
        <v>F337G4T2</v>
      </c>
      <c r="G1689" s="14" t="s">
        <v>70</v>
      </c>
    </row>
    <row r="1690" spans="1:7">
      <c r="A1690">
        <v>33</v>
      </c>
      <c r="B1690">
        <v>1</v>
      </c>
      <c r="C1690">
        <v>5</v>
      </c>
      <c r="E1690">
        <v>2</v>
      </c>
      <c r="F1690" t="str">
        <f t="shared" si="26"/>
        <v>F331G5T2</v>
      </c>
      <c r="G1690" s="14" t="s">
        <v>70</v>
      </c>
    </row>
    <row r="1691" spans="1:7">
      <c r="A1691">
        <v>33</v>
      </c>
      <c r="B1691">
        <v>2</v>
      </c>
      <c r="C1691">
        <v>5</v>
      </c>
      <c r="E1691">
        <v>2</v>
      </c>
      <c r="F1691" t="str">
        <f t="shared" si="26"/>
        <v>F332G5T2</v>
      </c>
      <c r="G1691" s="14" t="s">
        <v>70</v>
      </c>
    </row>
    <row r="1692" spans="1:7">
      <c r="A1692">
        <v>33</v>
      </c>
      <c r="B1692">
        <v>5</v>
      </c>
      <c r="C1692">
        <v>5</v>
      </c>
      <c r="E1692">
        <v>2</v>
      </c>
      <c r="F1692" t="str">
        <f t="shared" si="26"/>
        <v>F335G5T2</v>
      </c>
      <c r="G1692" s="14" t="s">
        <v>70</v>
      </c>
    </row>
    <row r="1693" spans="1:7">
      <c r="A1693">
        <v>33</v>
      </c>
      <c r="B1693">
        <v>6</v>
      </c>
      <c r="C1693">
        <v>5</v>
      </c>
      <c r="E1693">
        <v>2</v>
      </c>
      <c r="F1693" t="str">
        <f t="shared" si="26"/>
        <v>F336G5T2</v>
      </c>
      <c r="G1693" s="14" t="s">
        <v>70</v>
      </c>
    </row>
    <row r="1694" spans="1:7">
      <c r="A1694">
        <v>33</v>
      </c>
      <c r="B1694">
        <v>7</v>
      </c>
      <c r="C1694">
        <v>5</v>
      </c>
      <c r="E1694">
        <v>2</v>
      </c>
      <c r="F1694" t="str">
        <f t="shared" si="26"/>
        <v>F337G5T2</v>
      </c>
      <c r="G1694" s="14" t="s">
        <v>70</v>
      </c>
    </row>
    <row r="1695" spans="1:7">
      <c r="A1695">
        <v>33</v>
      </c>
      <c r="B1695">
        <v>1</v>
      </c>
      <c r="C1695">
        <v>3</v>
      </c>
      <c r="E1695">
        <v>3</v>
      </c>
      <c r="F1695" t="str">
        <f t="shared" si="26"/>
        <v>F331G3T3</v>
      </c>
      <c r="G1695" s="14" t="s">
        <v>324</v>
      </c>
    </row>
    <row r="1696" spans="1:7">
      <c r="A1696">
        <v>33</v>
      </c>
      <c r="B1696">
        <v>2</v>
      </c>
      <c r="C1696">
        <v>3</v>
      </c>
      <c r="E1696">
        <v>3</v>
      </c>
      <c r="F1696" t="str">
        <f t="shared" si="26"/>
        <v>F332G3T3</v>
      </c>
      <c r="G1696" s="14" t="s">
        <v>324</v>
      </c>
    </row>
    <row r="1697" spans="1:7">
      <c r="A1697">
        <v>33</v>
      </c>
      <c r="B1697">
        <v>5</v>
      </c>
      <c r="C1697">
        <v>3</v>
      </c>
      <c r="E1697">
        <v>3</v>
      </c>
      <c r="F1697" t="str">
        <f t="shared" si="26"/>
        <v>F335G3T3</v>
      </c>
      <c r="G1697" s="14" t="s">
        <v>324</v>
      </c>
    </row>
    <row r="1698" spans="1:7">
      <c r="A1698">
        <v>33</v>
      </c>
      <c r="B1698">
        <v>6</v>
      </c>
      <c r="C1698">
        <v>3</v>
      </c>
      <c r="E1698">
        <v>3</v>
      </c>
      <c r="F1698" t="str">
        <f t="shared" si="26"/>
        <v>F336G3T3</v>
      </c>
      <c r="G1698" s="14" t="s">
        <v>324</v>
      </c>
    </row>
    <row r="1699" spans="1:7">
      <c r="A1699">
        <v>33</v>
      </c>
      <c r="B1699">
        <v>7</v>
      </c>
      <c r="C1699">
        <v>3</v>
      </c>
      <c r="E1699">
        <v>3</v>
      </c>
      <c r="F1699" t="str">
        <f t="shared" si="26"/>
        <v>F337G3T3</v>
      </c>
      <c r="G1699" s="14" t="s">
        <v>324</v>
      </c>
    </row>
    <row r="1700" spans="1:7">
      <c r="A1700">
        <v>33</v>
      </c>
      <c r="B1700">
        <v>1</v>
      </c>
      <c r="C1700">
        <v>4</v>
      </c>
      <c r="E1700">
        <v>3</v>
      </c>
      <c r="F1700" t="str">
        <f t="shared" si="26"/>
        <v>F331G4T3</v>
      </c>
      <c r="G1700" s="14" t="s">
        <v>324</v>
      </c>
    </row>
    <row r="1701" spans="1:7">
      <c r="A1701">
        <v>33</v>
      </c>
      <c r="B1701">
        <v>2</v>
      </c>
      <c r="C1701">
        <v>4</v>
      </c>
      <c r="E1701">
        <v>3</v>
      </c>
      <c r="F1701" t="str">
        <f t="shared" si="26"/>
        <v>F332G4T3</v>
      </c>
      <c r="G1701" s="14" t="s">
        <v>324</v>
      </c>
    </row>
    <row r="1702" spans="1:7">
      <c r="A1702">
        <v>33</v>
      </c>
      <c r="B1702">
        <v>5</v>
      </c>
      <c r="C1702">
        <v>4</v>
      </c>
      <c r="E1702">
        <v>3</v>
      </c>
      <c r="F1702" t="str">
        <f t="shared" si="26"/>
        <v>F335G4T3</v>
      </c>
      <c r="G1702" s="14" t="s">
        <v>324</v>
      </c>
    </row>
    <row r="1703" spans="1:7">
      <c r="A1703">
        <v>33</v>
      </c>
      <c r="B1703">
        <v>6</v>
      </c>
      <c r="C1703">
        <v>4</v>
      </c>
      <c r="E1703">
        <v>3</v>
      </c>
      <c r="F1703" t="str">
        <f t="shared" si="26"/>
        <v>F336G4T3</v>
      </c>
      <c r="G1703" s="14" t="s">
        <v>324</v>
      </c>
    </row>
    <row r="1704" spans="1:7">
      <c r="A1704">
        <v>33</v>
      </c>
      <c r="B1704">
        <v>7</v>
      </c>
      <c r="C1704">
        <v>4</v>
      </c>
      <c r="E1704">
        <v>3</v>
      </c>
      <c r="F1704" t="str">
        <f t="shared" si="26"/>
        <v>F337G4T3</v>
      </c>
      <c r="G1704" s="14" t="s">
        <v>324</v>
      </c>
    </row>
    <row r="1705" spans="1:7">
      <c r="A1705">
        <v>33</v>
      </c>
      <c r="B1705">
        <v>1</v>
      </c>
      <c r="C1705">
        <v>5</v>
      </c>
      <c r="E1705">
        <v>3</v>
      </c>
      <c r="F1705" t="str">
        <f t="shared" si="26"/>
        <v>F331G5T3</v>
      </c>
      <c r="G1705" s="14" t="s">
        <v>324</v>
      </c>
    </row>
    <row r="1706" spans="1:7">
      <c r="A1706">
        <v>33</v>
      </c>
      <c r="B1706">
        <v>2</v>
      </c>
      <c r="C1706">
        <v>5</v>
      </c>
      <c r="E1706">
        <v>3</v>
      </c>
      <c r="F1706" t="str">
        <f t="shared" si="26"/>
        <v>F332G5T3</v>
      </c>
      <c r="G1706" s="14" t="s">
        <v>324</v>
      </c>
    </row>
    <row r="1707" spans="1:7">
      <c r="A1707">
        <v>33</v>
      </c>
      <c r="B1707">
        <v>5</v>
      </c>
      <c r="C1707">
        <v>5</v>
      </c>
      <c r="E1707">
        <v>3</v>
      </c>
      <c r="F1707" t="str">
        <f t="shared" si="26"/>
        <v>F335G5T3</v>
      </c>
      <c r="G1707" s="14" t="s">
        <v>324</v>
      </c>
    </row>
    <row r="1708" spans="1:7">
      <c r="A1708">
        <v>33</v>
      </c>
      <c r="B1708">
        <v>6</v>
      </c>
      <c r="C1708">
        <v>5</v>
      </c>
      <c r="E1708">
        <v>3</v>
      </c>
      <c r="F1708" t="str">
        <f t="shared" si="26"/>
        <v>F336G5T3</v>
      </c>
      <c r="G1708" s="14" t="s">
        <v>324</v>
      </c>
    </row>
    <row r="1709" spans="1:7">
      <c r="A1709">
        <v>33</v>
      </c>
      <c r="B1709">
        <v>7</v>
      </c>
      <c r="C1709">
        <v>5</v>
      </c>
      <c r="E1709">
        <v>3</v>
      </c>
      <c r="F1709" t="str">
        <f t="shared" si="26"/>
        <v>F337G5T3</v>
      </c>
      <c r="G1709" s="14" t="s">
        <v>324</v>
      </c>
    </row>
    <row r="1710" spans="1:7">
      <c r="A1710">
        <v>39</v>
      </c>
      <c r="B1710">
        <v>1</v>
      </c>
      <c r="C1710">
        <v>3</v>
      </c>
      <c r="E1710">
        <v>2</v>
      </c>
      <c r="F1710" t="str">
        <f t="shared" si="26"/>
        <v>F391G3T2</v>
      </c>
      <c r="G1710" s="14" t="s">
        <v>70</v>
      </c>
    </row>
    <row r="1711" spans="1:7">
      <c r="A1711">
        <v>39</v>
      </c>
      <c r="B1711">
        <v>2</v>
      </c>
      <c r="C1711">
        <v>3</v>
      </c>
      <c r="E1711">
        <v>2</v>
      </c>
      <c r="F1711" t="str">
        <f t="shared" si="26"/>
        <v>F392G3T2</v>
      </c>
      <c r="G1711" s="14" t="s">
        <v>70</v>
      </c>
    </row>
    <row r="1712" spans="1:7">
      <c r="A1712">
        <v>39</v>
      </c>
      <c r="B1712">
        <v>5</v>
      </c>
      <c r="C1712">
        <v>3</v>
      </c>
      <c r="E1712">
        <v>2</v>
      </c>
      <c r="F1712" t="str">
        <f t="shared" si="26"/>
        <v>F395G3T2</v>
      </c>
      <c r="G1712" s="14" t="s">
        <v>70</v>
      </c>
    </row>
    <row r="1713" spans="1:7">
      <c r="A1713">
        <v>39</v>
      </c>
      <c r="B1713">
        <v>6</v>
      </c>
      <c r="C1713">
        <v>3</v>
      </c>
      <c r="E1713">
        <v>2</v>
      </c>
      <c r="F1713" t="str">
        <f t="shared" si="26"/>
        <v>F396G3T2</v>
      </c>
      <c r="G1713" s="14" t="s">
        <v>70</v>
      </c>
    </row>
    <row r="1714" spans="1:7">
      <c r="A1714">
        <v>39</v>
      </c>
      <c r="B1714">
        <v>7</v>
      </c>
      <c r="C1714">
        <v>3</v>
      </c>
      <c r="E1714">
        <v>2</v>
      </c>
      <c r="F1714" t="str">
        <f t="shared" si="26"/>
        <v>F397G3T2</v>
      </c>
      <c r="G1714" s="14" t="s">
        <v>70</v>
      </c>
    </row>
    <row r="1715" spans="1:7">
      <c r="A1715">
        <v>39</v>
      </c>
      <c r="B1715">
        <v>1</v>
      </c>
      <c r="C1715">
        <v>4</v>
      </c>
      <c r="E1715">
        <v>2</v>
      </c>
      <c r="F1715" t="str">
        <f t="shared" si="26"/>
        <v>F391G4T2</v>
      </c>
      <c r="G1715" s="14" t="s">
        <v>70</v>
      </c>
    </row>
    <row r="1716" spans="1:7">
      <c r="A1716">
        <v>39</v>
      </c>
      <c r="B1716">
        <v>2</v>
      </c>
      <c r="C1716">
        <v>4</v>
      </c>
      <c r="E1716">
        <v>2</v>
      </c>
      <c r="F1716" t="str">
        <f t="shared" si="26"/>
        <v>F392G4T2</v>
      </c>
      <c r="G1716" s="14" t="s">
        <v>70</v>
      </c>
    </row>
    <row r="1717" spans="1:7">
      <c r="A1717">
        <v>39</v>
      </c>
      <c r="B1717">
        <v>5</v>
      </c>
      <c r="C1717">
        <v>4</v>
      </c>
      <c r="E1717">
        <v>2</v>
      </c>
      <c r="F1717" t="str">
        <f t="shared" si="26"/>
        <v>F395G4T2</v>
      </c>
      <c r="G1717" s="14" t="s">
        <v>70</v>
      </c>
    </row>
    <row r="1718" spans="1:7">
      <c r="A1718">
        <v>39</v>
      </c>
      <c r="B1718">
        <v>6</v>
      </c>
      <c r="C1718">
        <v>4</v>
      </c>
      <c r="E1718">
        <v>2</v>
      </c>
      <c r="F1718" t="str">
        <f t="shared" si="26"/>
        <v>F396G4T2</v>
      </c>
      <c r="G1718" s="14" t="s">
        <v>70</v>
      </c>
    </row>
    <row r="1719" spans="1:7">
      <c r="A1719">
        <v>39</v>
      </c>
      <c r="B1719">
        <v>7</v>
      </c>
      <c r="C1719">
        <v>4</v>
      </c>
      <c r="E1719">
        <v>2</v>
      </c>
      <c r="F1719" t="str">
        <f t="shared" si="26"/>
        <v>F397G4T2</v>
      </c>
      <c r="G1719" s="14" t="s">
        <v>70</v>
      </c>
    </row>
    <row r="1720" spans="1:7">
      <c r="A1720">
        <v>39</v>
      </c>
      <c r="B1720">
        <v>1</v>
      </c>
      <c r="C1720">
        <v>5</v>
      </c>
      <c r="E1720">
        <v>2</v>
      </c>
      <c r="F1720" t="str">
        <f t="shared" si="26"/>
        <v>F391G5T2</v>
      </c>
      <c r="G1720" s="14" t="s">
        <v>70</v>
      </c>
    </row>
    <row r="1721" spans="1:7">
      <c r="A1721">
        <v>39</v>
      </c>
      <c r="B1721">
        <v>2</v>
      </c>
      <c r="C1721">
        <v>5</v>
      </c>
      <c r="E1721">
        <v>2</v>
      </c>
      <c r="F1721" t="str">
        <f t="shared" si="26"/>
        <v>F392G5T2</v>
      </c>
      <c r="G1721" s="14" t="s">
        <v>70</v>
      </c>
    </row>
    <row r="1722" spans="1:7">
      <c r="A1722">
        <v>39</v>
      </c>
      <c r="B1722">
        <v>5</v>
      </c>
      <c r="C1722">
        <v>5</v>
      </c>
      <c r="E1722">
        <v>2</v>
      </c>
      <c r="F1722" t="str">
        <f t="shared" si="26"/>
        <v>F395G5T2</v>
      </c>
      <c r="G1722" s="14" t="s">
        <v>70</v>
      </c>
    </row>
    <row r="1723" spans="1:7">
      <c r="A1723">
        <v>39</v>
      </c>
      <c r="B1723">
        <v>6</v>
      </c>
      <c r="C1723">
        <v>5</v>
      </c>
      <c r="E1723">
        <v>2</v>
      </c>
      <c r="F1723" t="str">
        <f t="shared" si="26"/>
        <v>F396G5T2</v>
      </c>
      <c r="G1723" s="14" t="s">
        <v>70</v>
      </c>
    </row>
    <row r="1724" spans="1:7">
      <c r="A1724">
        <v>39</v>
      </c>
      <c r="B1724">
        <v>7</v>
      </c>
      <c r="C1724">
        <v>5</v>
      </c>
      <c r="E1724">
        <v>2</v>
      </c>
      <c r="F1724" t="str">
        <f t="shared" si="26"/>
        <v>F397G5T2</v>
      </c>
      <c r="G1724" s="14" t="s">
        <v>70</v>
      </c>
    </row>
    <row r="1725" spans="1:7">
      <c r="A1725">
        <v>39</v>
      </c>
      <c r="B1725">
        <v>1</v>
      </c>
      <c r="C1725">
        <v>3</v>
      </c>
      <c r="E1725">
        <v>3</v>
      </c>
      <c r="F1725" t="str">
        <f t="shared" si="26"/>
        <v>F391G3T3</v>
      </c>
      <c r="G1725" s="14" t="s">
        <v>324</v>
      </c>
    </row>
    <row r="1726" spans="1:7">
      <c r="A1726">
        <v>39</v>
      </c>
      <c r="B1726">
        <v>2</v>
      </c>
      <c r="C1726">
        <v>3</v>
      </c>
      <c r="E1726">
        <v>3</v>
      </c>
      <c r="F1726" t="str">
        <f t="shared" si="26"/>
        <v>F392G3T3</v>
      </c>
      <c r="G1726" s="14" t="s">
        <v>324</v>
      </c>
    </row>
    <row r="1727" spans="1:7">
      <c r="A1727">
        <v>39</v>
      </c>
      <c r="B1727">
        <v>5</v>
      </c>
      <c r="C1727">
        <v>3</v>
      </c>
      <c r="E1727">
        <v>3</v>
      </c>
      <c r="F1727" t="str">
        <f t="shared" si="26"/>
        <v>F395G3T3</v>
      </c>
      <c r="G1727" s="14" t="s">
        <v>324</v>
      </c>
    </row>
    <row r="1728" spans="1:7">
      <c r="A1728">
        <v>39</v>
      </c>
      <c r="B1728">
        <v>6</v>
      </c>
      <c r="C1728">
        <v>3</v>
      </c>
      <c r="E1728">
        <v>3</v>
      </c>
      <c r="F1728" t="str">
        <f t="shared" si="26"/>
        <v>F396G3T3</v>
      </c>
      <c r="G1728" s="14" t="s">
        <v>324</v>
      </c>
    </row>
    <row r="1729" spans="1:7">
      <c r="A1729">
        <v>39</v>
      </c>
      <c r="B1729">
        <v>7</v>
      </c>
      <c r="C1729">
        <v>3</v>
      </c>
      <c r="E1729">
        <v>3</v>
      </c>
      <c r="F1729" t="str">
        <f t="shared" si="26"/>
        <v>F397G3T3</v>
      </c>
      <c r="G1729" s="14" t="s">
        <v>324</v>
      </c>
    </row>
    <row r="1730" spans="1:7">
      <c r="A1730">
        <v>39</v>
      </c>
      <c r="B1730">
        <v>1</v>
      </c>
      <c r="C1730">
        <v>4</v>
      </c>
      <c r="E1730">
        <v>3</v>
      </c>
      <c r="F1730" t="str">
        <f t="shared" si="26"/>
        <v>F391G4T3</v>
      </c>
      <c r="G1730" s="14" t="s">
        <v>324</v>
      </c>
    </row>
    <row r="1731" spans="1:7">
      <c r="A1731">
        <v>39</v>
      </c>
      <c r="B1731">
        <v>2</v>
      </c>
      <c r="C1731">
        <v>4</v>
      </c>
      <c r="E1731">
        <v>3</v>
      </c>
      <c r="F1731" t="str">
        <f t="shared" ref="F1731:F1794" si="27">CONCATENATE("F",A1731,B1731,"G",C1731,"T",E1731)</f>
        <v>F392G4T3</v>
      </c>
      <c r="G1731" s="14" t="s">
        <v>324</v>
      </c>
    </row>
    <row r="1732" spans="1:7">
      <c r="A1732">
        <v>39</v>
      </c>
      <c r="B1732">
        <v>5</v>
      </c>
      <c r="C1732">
        <v>4</v>
      </c>
      <c r="E1732">
        <v>3</v>
      </c>
      <c r="F1732" t="str">
        <f t="shared" si="27"/>
        <v>F395G4T3</v>
      </c>
      <c r="G1732" s="14" t="s">
        <v>324</v>
      </c>
    </row>
    <row r="1733" spans="1:7">
      <c r="A1733">
        <v>39</v>
      </c>
      <c r="B1733">
        <v>6</v>
      </c>
      <c r="C1733">
        <v>4</v>
      </c>
      <c r="E1733">
        <v>3</v>
      </c>
      <c r="F1733" t="str">
        <f t="shared" si="27"/>
        <v>F396G4T3</v>
      </c>
      <c r="G1733" s="14" t="s">
        <v>324</v>
      </c>
    </row>
    <row r="1734" spans="1:7">
      <c r="A1734">
        <v>39</v>
      </c>
      <c r="B1734">
        <v>7</v>
      </c>
      <c r="C1734">
        <v>4</v>
      </c>
      <c r="E1734">
        <v>3</v>
      </c>
      <c r="F1734" t="str">
        <f t="shared" si="27"/>
        <v>F397G4T3</v>
      </c>
      <c r="G1734" s="14" t="s">
        <v>324</v>
      </c>
    </row>
    <row r="1735" spans="1:7">
      <c r="A1735">
        <v>39</v>
      </c>
      <c r="B1735">
        <v>1</v>
      </c>
      <c r="C1735">
        <v>5</v>
      </c>
      <c r="E1735">
        <v>3</v>
      </c>
      <c r="F1735" t="str">
        <f t="shared" si="27"/>
        <v>F391G5T3</v>
      </c>
      <c r="G1735" s="14" t="s">
        <v>324</v>
      </c>
    </row>
    <row r="1736" spans="1:7">
      <c r="A1736">
        <v>39</v>
      </c>
      <c r="B1736">
        <v>2</v>
      </c>
      <c r="C1736">
        <v>5</v>
      </c>
      <c r="E1736">
        <v>3</v>
      </c>
      <c r="F1736" t="str">
        <f t="shared" si="27"/>
        <v>F392G5T3</v>
      </c>
      <c r="G1736" s="14" t="s">
        <v>324</v>
      </c>
    </row>
    <row r="1737" spans="1:7">
      <c r="A1737">
        <v>39</v>
      </c>
      <c r="B1737">
        <v>5</v>
      </c>
      <c r="C1737">
        <v>5</v>
      </c>
      <c r="E1737">
        <v>3</v>
      </c>
      <c r="F1737" t="str">
        <f t="shared" si="27"/>
        <v>F395G5T3</v>
      </c>
      <c r="G1737" s="14" t="s">
        <v>324</v>
      </c>
    </row>
    <row r="1738" spans="1:7">
      <c r="A1738">
        <v>39</v>
      </c>
      <c r="B1738">
        <v>6</v>
      </c>
      <c r="C1738">
        <v>5</v>
      </c>
      <c r="E1738">
        <v>3</v>
      </c>
      <c r="F1738" t="str">
        <f t="shared" si="27"/>
        <v>F396G5T3</v>
      </c>
      <c r="G1738" s="14" t="s">
        <v>324</v>
      </c>
    </row>
    <row r="1739" spans="1:7">
      <c r="A1739">
        <v>39</v>
      </c>
      <c r="B1739">
        <v>7</v>
      </c>
      <c r="C1739">
        <v>5</v>
      </c>
      <c r="E1739">
        <v>3</v>
      </c>
      <c r="F1739" t="str">
        <f t="shared" si="27"/>
        <v>F397G5T3</v>
      </c>
      <c r="G1739" s="14" t="s">
        <v>324</v>
      </c>
    </row>
    <row r="1740" spans="1:7">
      <c r="A1740">
        <v>45</v>
      </c>
      <c r="B1740">
        <v>1</v>
      </c>
      <c r="C1740">
        <v>3</v>
      </c>
      <c r="E1740">
        <v>2</v>
      </c>
      <c r="F1740" t="str">
        <f t="shared" si="27"/>
        <v>F451G3T2</v>
      </c>
      <c r="G1740" s="14" t="s">
        <v>70</v>
      </c>
    </row>
    <row r="1741" spans="1:7">
      <c r="A1741">
        <v>45</v>
      </c>
      <c r="B1741">
        <v>2</v>
      </c>
      <c r="C1741">
        <v>3</v>
      </c>
      <c r="E1741">
        <v>2</v>
      </c>
      <c r="F1741" t="str">
        <f t="shared" si="27"/>
        <v>F452G3T2</v>
      </c>
      <c r="G1741" s="14" t="s">
        <v>70</v>
      </c>
    </row>
    <row r="1742" spans="1:7">
      <c r="A1742">
        <v>45</v>
      </c>
      <c r="B1742">
        <v>5</v>
      </c>
      <c r="C1742">
        <v>3</v>
      </c>
      <c r="E1742">
        <v>2</v>
      </c>
      <c r="F1742" t="str">
        <f t="shared" si="27"/>
        <v>F455G3T2</v>
      </c>
      <c r="G1742" s="14" t="s">
        <v>70</v>
      </c>
    </row>
    <row r="1743" spans="1:7">
      <c r="A1743">
        <v>45</v>
      </c>
      <c r="B1743">
        <v>6</v>
      </c>
      <c r="C1743">
        <v>3</v>
      </c>
      <c r="E1743">
        <v>2</v>
      </c>
      <c r="F1743" t="str">
        <f t="shared" si="27"/>
        <v>F456G3T2</v>
      </c>
      <c r="G1743" s="14" t="s">
        <v>70</v>
      </c>
    </row>
    <row r="1744" spans="1:7">
      <c r="A1744">
        <v>45</v>
      </c>
      <c r="B1744">
        <v>7</v>
      </c>
      <c r="C1744">
        <v>3</v>
      </c>
      <c r="E1744">
        <v>2</v>
      </c>
      <c r="F1744" t="str">
        <f t="shared" si="27"/>
        <v>F457G3T2</v>
      </c>
      <c r="G1744" s="14" t="s">
        <v>70</v>
      </c>
    </row>
    <row r="1745" spans="1:7">
      <c r="A1745">
        <v>45</v>
      </c>
      <c r="B1745">
        <v>1</v>
      </c>
      <c r="C1745">
        <v>4</v>
      </c>
      <c r="E1745">
        <v>2</v>
      </c>
      <c r="F1745" t="str">
        <f t="shared" si="27"/>
        <v>F451G4T2</v>
      </c>
      <c r="G1745" s="14" t="s">
        <v>70</v>
      </c>
    </row>
    <row r="1746" spans="1:7">
      <c r="A1746">
        <v>45</v>
      </c>
      <c r="B1746">
        <v>2</v>
      </c>
      <c r="C1746">
        <v>4</v>
      </c>
      <c r="E1746">
        <v>2</v>
      </c>
      <c r="F1746" t="str">
        <f t="shared" si="27"/>
        <v>F452G4T2</v>
      </c>
      <c r="G1746" s="14" t="s">
        <v>70</v>
      </c>
    </row>
    <row r="1747" spans="1:7">
      <c r="A1747">
        <v>45</v>
      </c>
      <c r="B1747">
        <v>5</v>
      </c>
      <c r="C1747">
        <v>4</v>
      </c>
      <c r="E1747">
        <v>2</v>
      </c>
      <c r="F1747" t="str">
        <f t="shared" si="27"/>
        <v>F455G4T2</v>
      </c>
      <c r="G1747" s="14" t="s">
        <v>70</v>
      </c>
    </row>
    <row r="1748" spans="1:7">
      <c r="A1748">
        <v>45</v>
      </c>
      <c r="B1748">
        <v>6</v>
      </c>
      <c r="C1748">
        <v>4</v>
      </c>
      <c r="E1748">
        <v>2</v>
      </c>
      <c r="F1748" t="str">
        <f t="shared" si="27"/>
        <v>F456G4T2</v>
      </c>
      <c r="G1748" s="14" t="s">
        <v>70</v>
      </c>
    </row>
    <row r="1749" spans="1:7">
      <c r="A1749">
        <v>45</v>
      </c>
      <c r="B1749">
        <v>7</v>
      </c>
      <c r="C1749">
        <v>4</v>
      </c>
      <c r="E1749">
        <v>2</v>
      </c>
      <c r="F1749" t="str">
        <f t="shared" si="27"/>
        <v>F457G4T2</v>
      </c>
      <c r="G1749" s="14" t="s">
        <v>70</v>
      </c>
    </row>
    <row r="1750" spans="1:7">
      <c r="A1750">
        <v>45</v>
      </c>
      <c r="B1750">
        <v>1</v>
      </c>
      <c r="C1750">
        <v>5</v>
      </c>
      <c r="E1750">
        <v>2</v>
      </c>
      <c r="F1750" t="str">
        <f t="shared" si="27"/>
        <v>F451G5T2</v>
      </c>
      <c r="G1750" s="14" t="s">
        <v>70</v>
      </c>
    </row>
    <row r="1751" spans="1:7">
      <c r="A1751">
        <v>45</v>
      </c>
      <c r="B1751">
        <v>2</v>
      </c>
      <c r="C1751">
        <v>5</v>
      </c>
      <c r="E1751">
        <v>2</v>
      </c>
      <c r="F1751" t="str">
        <f t="shared" si="27"/>
        <v>F452G5T2</v>
      </c>
      <c r="G1751" s="14" t="s">
        <v>70</v>
      </c>
    </row>
    <row r="1752" spans="1:7">
      <c r="A1752">
        <v>45</v>
      </c>
      <c r="B1752">
        <v>5</v>
      </c>
      <c r="C1752">
        <v>5</v>
      </c>
      <c r="E1752">
        <v>2</v>
      </c>
      <c r="F1752" t="str">
        <f t="shared" si="27"/>
        <v>F455G5T2</v>
      </c>
      <c r="G1752" s="14" t="s">
        <v>70</v>
      </c>
    </row>
    <row r="1753" spans="1:7">
      <c r="A1753">
        <v>45</v>
      </c>
      <c r="B1753">
        <v>6</v>
      </c>
      <c r="C1753">
        <v>5</v>
      </c>
      <c r="E1753">
        <v>2</v>
      </c>
      <c r="F1753" t="str">
        <f t="shared" si="27"/>
        <v>F456G5T2</v>
      </c>
      <c r="G1753" s="14" t="s">
        <v>70</v>
      </c>
    </row>
    <row r="1754" spans="1:7">
      <c r="A1754">
        <v>45</v>
      </c>
      <c r="B1754">
        <v>7</v>
      </c>
      <c r="C1754">
        <v>5</v>
      </c>
      <c r="E1754">
        <v>2</v>
      </c>
      <c r="F1754" t="str">
        <f t="shared" si="27"/>
        <v>F457G5T2</v>
      </c>
      <c r="G1754" s="14" t="s">
        <v>70</v>
      </c>
    </row>
    <row r="1755" spans="1:7">
      <c r="A1755">
        <v>45</v>
      </c>
      <c r="B1755">
        <v>1</v>
      </c>
      <c r="C1755">
        <v>3</v>
      </c>
      <c r="E1755">
        <v>3</v>
      </c>
      <c r="F1755" t="str">
        <f t="shared" si="27"/>
        <v>F451G3T3</v>
      </c>
      <c r="G1755" s="14" t="s">
        <v>324</v>
      </c>
    </row>
    <row r="1756" spans="1:7">
      <c r="A1756">
        <v>45</v>
      </c>
      <c r="B1756">
        <v>2</v>
      </c>
      <c r="C1756">
        <v>3</v>
      </c>
      <c r="E1756">
        <v>3</v>
      </c>
      <c r="F1756" t="str">
        <f t="shared" si="27"/>
        <v>F452G3T3</v>
      </c>
      <c r="G1756" s="14" t="s">
        <v>324</v>
      </c>
    </row>
    <row r="1757" spans="1:7">
      <c r="A1757">
        <v>45</v>
      </c>
      <c r="B1757">
        <v>5</v>
      </c>
      <c r="C1757">
        <v>3</v>
      </c>
      <c r="E1757">
        <v>3</v>
      </c>
      <c r="F1757" t="str">
        <f t="shared" si="27"/>
        <v>F455G3T3</v>
      </c>
      <c r="G1757" s="14" t="s">
        <v>324</v>
      </c>
    </row>
    <row r="1758" spans="1:7">
      <c r="A1758">
        <v>45</v>
      </c>
      <c r="B1758">
        <v>6</v>
      </c>
      <c r="C1758">
        <v>3</v>
      </c>
      <c r="E1758">
        <v>3</v>
      </c>
      <c r="F1758" t="str">
        <f t="shared" si="27"/>
        <v>F456G3T3</v>
      </c>
      <c r="G1758" s="14" t="s">
        <v>324</v>
      </c>
    </row>
    <row r="1759" spans="1:7">
      <c r="A1759">
        <v>45</v>
      </c>
      <c r="B1759">
        <v>7</v>
      </c>
      <c r="C1759">
        <v>3</v>
      </c>
      <c r="E1759">
        <v>3</v>
      </c>
      <c r="F1759" t="str">
        <f t="shared" si="27"/>
        <v>F457G3T3</v>
      </c>
      <c r="G1759" s="14" t="s">
        <v>324</v>
      </c>
    </row>
    <row r="1760" spans="1:7">
      <c r="A1760">
        <v>45</v>
      </c>
      <c r="B1760">
        <v>1</v>
      </c>
      <c r="C1760">
        <v>4</v>
      </c>
      <c r="E1760">
        <v>3</v>
      </c>
      <c r="F1760" t="str">
        <f t="shared" si="27"/>
        <v>F451G4T3</v>
      </c>
      <c r="G1760" s="14" t="s">
        <v>324</v>
      </c>
    </row>
    <row r="1761" spans="1:7">
      <c r="A1761">
        <v>45</v>
      </c>
      <c r="B1761">
        <v>2</v>
      </c>
      <c r="C1761">
        <v>4</v>
      </c>
      <c r="E1761">
        <v>3</v>
      </c>
      <c r="F1761" t="str">
        <f t="shared" si="27"/>
        <v>F452G4T3</v>
      </c>
      <c r="G1761" s="14" t="s">
        <v>324</v>
      </c>
    </row>
    <row r="1762" spans="1:7">
      <c r="A1762">
        <v>45</v>
      </c>
      <c r="B1762">
        <v>5</v>
      </c>
      <c r="C1762">
        <v>4</v>
      </c>
      <c r="E1762">
        <v>3</v>
      </c>
      <c r="F1762" t="str">
        <f t="shared" si="27"/>
        <v>F455G4T3</v>
      </c>
      <c r="G1762" s="14" t="s">
        <v>324</v>
      </c>
    </row>
    <row r="1763" spans="1:7">
      <c r="A1763">
        <v>45</v>
      </c>
      <c r="B1763">
        <v>6</v>
      </c>
      <c r="C1763">
        <v>4</v>
      </c>
      <c r="E1763">
        <v>3</v>
      </c>
      <c r="F1763" t="str">
        <f t="shared" si="27"/>
        <v>F456G4T3</v>
      </c>
      <c r="G1763" s="14" t="s">
        <v>324</v>
      </c>
    </row>
    <row r="1764" spans="1:7">
      <c r="A1764">
        <v>45</v>
      </c>
      <c r="B1764">
        <v>7</v>
      </c>
      <c r="C1764">
        <v>4</v>
      </c>
      <c r="E1764">
        <v>3</v>
      </c>
      <c r="F1764" t="str">
        <f t="shared" si="27"/>
        <v>F457G4T3</v>
      </c>
      <c r="G1764" s="14" t="s">
        <v>324</v>
      </c>
    </row>
    <row r="1765" spans="1:7">
      <c r="A1765">
        <v>45</v>
      </c>
      <c r="B1765">
        <v>1</v>
      </c>
      <c r="C1765">
        <v>5</v>
      </c>
      <c r="E1765">
        <v>3</v>
      </c>
      <c r="F1765" t="str">
        <f t="shared" si="27"/>
        <v>F451G5T3</v>
      </c>
      <c r="G1765" s="14" t="s">
        <v>324</v>
      </c>
    </row>
    <row r="1766" spans="1:7">
      <c r="A1766">
        <v>45</v>
      </c>
      <c r="B1766">
        <v>2</v>
      </c>
      <c r="C1766">
        <v>5</v>
      </c>
      <c r="E1766">
        <v>3</v>
      </c>
      <c r="F1766" t="str">
        <f t="shared" si="27"/>
        <v>F452G5T3</v>
      </c>
      <c r="G1766" s="14" t="s">
        <v>324</v>
      </c>
    </row>
    <row r="1767" spans="1:7">
      <c r="A1767">
        <v>45</v>
      </c>
      <c r="B1767">
        <v>5</v>
      </c>
      <c r="C1767">
        <v>5</v>
      </c>
      <c r="E1767">
        <v>3</v>
      </c>
      <c r="F1767" t="str">
        <f t="shared" si="27"/>
        <v>F455G5T3</v>
      </c>
      <c r="G1767" s="14" t="s">
        <v>324</v>
      </c>
    </row>
    <row r="1768" spans="1:7">
      <c r="A1768">
        <v>45</v>
      </c>
      <c r="B1768">
        <v>6</v>
      </c>
      <c r="C1768">
        <v>5</v>
      </c>
      <c r="E1768">
        <v>3</v>
      </c>
      <c r="F1768" t="str">
        <f t="shared" si="27"/>
        <v>F456G5T3</v>
      </c>
      <c r="G1768" s="14" t="s">
        <v>324</v>
      </c>
    </row>
    <row r="1769" spans="1:7">
      <c r="A1769">
        <v>45</v>
      </c>
      <c r="B1769">
        <v>7</v>
      </c>
      <c r="C1769">
        <v>5</v>
      </c>
      <c r="E1769">
        <v>3</v>
      </c>
      <c r="F1769" t="str">
        <f t="shared" si="27"/>
        <v>F457G5T3</v>
      </c>
      <c r="G1769" s="14" t="s">
        <v>324</v>
      </c>
    </row>
    <row r="1770" spans="1:7">
      <c r="A1770">
        <v>47</v>
      </c>
      <c r="B1770">
        <v>1</v>
      </c>
      <c r="C1770">
        <v>3</v>
      </c>
      <c r="E1770">
        <v>2</v>
      </c>
      <c r="F1770" t="str">
        <f t="shared" si="27"/>
        <v>F471G3T2</v>
      </c>
      <c r="G1770" s="14" t="s">
        <v>70</v>
      </c>
    </row>
    <row r="1771" spans="1:7">
      <c r="A1771">
        <v>47</v>
      </c>
      <c r="B1771">
        <v>2</v>
      </c>
      <c r="C1771">
        <v>3</v>
      </c>
      <c r="E1771">
        <v>2</v>
      </c>
      <c r="F1771" t="str">
        <f t="shared" si="27"/>
        <v>F472G3T2</v>
      </c>
      <c r="G1771" s="14" t="s">
        <v>70</v>
      </c>
    </row>
    <row r="1772" spans="1:7">
      <c r="A1772">
        <v>47</v>
      </c>
      <c r="B1772">
        <v>5</v>
      </c>
      <c r="C1772">
        <v>3</v>
      </c>
      <c r="E1772">
        <v>2</v>
      </c>
      <c r="F1772" t="str">
        <f t="shared" si="27"/>
        <v>F475G3T2</v>
      </c>
      <c r="G1772" s="14" t="s">
        <v>70</v>
      </c>
    </row>
    <row r="1773" spans="1:7">
      <c r="A1773">
        <v>47</v>
      </c>
      <c r="B1773">
        <v>6</v>
      </c>
      <c r="C1773">
        <v>3</v>
      </c>
      <c r="E1773">
        <v>2</v>
      </c>
      <c r="F1773" t="str">
        <f t="shared" si="27"/>
        <v>F476G3T2</v>
      </c>
      <c r="G1773" s="14" t="s">
        <v>70</v>
      </c>
    </row>
    <row r="1774" spans="1:7">
      <c r="A1774">
        <v>47</v>
      </c>
      <c r="B1774">
        <v>7</v>
      </c>
      <c r="C1774">
        <v>3</v>
      </c>
      <c r="E1774">
        <v>2</v>
      </c>
      <c r="F1774" t="str">
        <f t="shared" si="27"/>
        <v>F477G3T2</v>
      </c>
      <c r="G1774" s="14" t="s">
        <v>70</v>
      </c>
    </row>
    <row r="1775" spans="1:7">
      <c r="A1775">
        <v>47</v>
      </c>
      <c r="B1775">
        <v>1</v>
      </c>
      <c r="C1775">
        <v>4</v>
      </c>
      <c r="E1775">
        <v>2</v>
      </c>
      <c r="F1775" t="str">
        <f t="shared" si="27"/>
        <v>F471G4T2</v>
      </c>
      <c r="G1775" s="14" t="s">
        <v>70</v>
      </c>
    </row>
    <row r="1776" spans="1:7">
      <c r="A1776">
        <v>47</v>
      </c>
      <c r="B1776">
        <v>2</v>
      </c>
      <c r="C1776">
        <v>4</v>
      </c>
      <c r="E1776">
        <v>2</v>
      </c>
      <c r="F1776" t="str">
        <f t="shared" si="27"/>
        <v>F472G4T2</v>
      </c>
      <c r="G1776" s="14" t="s">
        <v>70</v>
      </c>
    </row>
    <row r="1777" spans="1:7">
      <c r="A1777">
        <v>47</v>
      </c>
      <c r="B1777">
        <v>5</v>
      </c>
      <c r="C1777">
        <v>4</v>
      </c>
      <c r="E1777">
        <v>2</v>
      </c>
      <c r="F1777" t="str">
        <f t="shared" si="27"/>
        <v>F475G4T2</v>
      </c>
      <c r="G1777" s="14" t="s">
        <v>70</v>
      </c>
    </row>
    <row r="1778" spans="1:7">
      <c r="A1778">
        <v>47</v>
      </c>
      <c r="B1778">
        <v>6</v>
      </c>
      <c r="C1778">
        <v>4</v>
      </c>
      <c r="E1778">
        <v>2</v>
      </c>
      <c r="F1778" t="str">
        <f t="shared" si="27"/>
        <v>F476G4T2</v>
      </c>
      <c r="G1778" s="14" t="s">
        <v>70</v>
      </c>
    </row>
    <row r="1779" spans="1:7">
      <c r="A1779">
        <v>47</v>
      </c>
      <c r="B1779">
        <v>7</v>
      </c>
      <c r="C1779">
        <v>4</v>
      </c>
      <c r="E1779">
        <v>2</v>
      </c>
      <c r="F1779" t="str">
        <f t="shared" si="27"/>
        <v>F477G4T2</v>
      </c>
      <c r="G1779" s="14" t="s">
        <v>70</v>
      </c>
    </row>
    <row r="1780" spans="1:7">
      <c r="A1780">
        <v>47</v>
      </c>
      <c r="B1780">
        <v>1</v>
      </c>
      <c r="C1780">
        <v>5</v>
      </c>
      <c r="E1780">
        <v>2</v>
      </c>
      <c r="F1780" t="str">
        <f t="shared" si="27"/>
        <v>F471G5T2</v>
      </c>
      <c r="G1780" s="14" t="s">
        <v>70</v>
      </c>
    </row>
    <row r="1781" spans="1:7">
      <c r="A1781">
        <v>47</v>
      </c>
      <c r="B1781">
        <v>2</v>
      </c>
      <c r="C1781">
        <v>5</v>
      </c>
      <c r="E1781">
        <v>2</v>
      </c>
      <c r="F1781" t="str">
        <f t="shared" si="27"/>
        <v>F472G5T2</v>
      </c>
      <c r="G1781" s="14" t="s">
        <v>70</v>
      </c>
    </row>
    <row r="1782" spans="1:7">
      <c r="A1782">
        <v>47</v>
      </c>
      <c r="B1782">
        <v>5</v>
      </c>
      <c r="C1782">
        <v>5</v>
      </c>
      <c r="E1782">
        <v>2</v>
      </c>
      <c r="F1782" t="str">
        <f t="shared" si="27"/>
        <v>F475G5T2</v>
      </c>
      <c r="G1782" s="14" t="s">
        <v>70</v>
      </c>
    </row>
    <row r="1783" spans="1:7">
      <c r="A1783">
        <v>47</v>
      </c>
      <c r="B1783">
        <v>6</v>
      </c>
      <c r="C1783">
        <v>5</v>
      </c>
      <c r="E1783">
        <v>2</v>
      </c>
      <c r="F1783" t="str">
        <f t="shared" si="27"/>
        <v>F476G5T2</v>
      </c>
      <c r="G1783" s="14" t="s">
        <v>70</v>
      </c>
    </row>
    <row r="1784" spans="1:7">
      <c r="A1784">
        <v>47</v>
      </c>
      <c r="B1784">
        <v>7</v>
      </c>
      <c r="C1784">
        <v>5</v>
      </c>
      <c r="E1784">
        <v>2</v>
      </c>
      <c r="F1784" t="str">
        <f t="shared" si="27"/>
        <v>F477G5T2</v>
      </c>
      <c r="G1784" s="14" t="s">
        <v>70</v>
      </c>
    </row>
    <row r="1785" spans="1:7">
      <c r="A1785">
        <v>47</v>
      </c>
      <c r="B1785">
        <v>1</v>
      </c>
      <c r="C1785">
        <v>3</v>
      </c>
      <c r="E1785">
        <v>3</v>
      </c>
      <c r="F1785" t="str">
        <f t="shared" si="27"/>
        <v>F471G3T3</v>
      </c>
      <c r="G1785" s="14" t="s">
        <v>324</v>
      </c>
    </row>
    <row r="1786" spans="1:7">
      <c r="A1786">
        <v>47</v>
      </c>
      <c r="B1786">
        <v>2</v>
      </c>
      <c r="C1786">
        <v>3</v>
      </c>
      <c r="E1786">
        <v>3</v>
      </c>
      <c r="F1786" t="str">
        <f t="shared" si="27"/>
        <v>F472G3T3</v>
      </c>
      <c r="G1786" s="14" t="s">
        <v>324</v>
      </c>
    </row>
    <row r="1787" spans="1:7">
      <c r="A1787">
        <v>47</v>
      </c>
      <c r="B1787">
        <v>5</v>
      </c>
      <c r="C1787">
        <v>3</v>
      </c>
      <c r="E1787">
        <v>3</v>
      </c>
      <c r="F1787" t="str">
        <f t="shared" si="27"/>
        <v>F475G3T3</v>
      </c>
      <c r="G1787" s="14" t="s">
        <v>324</v>
      </c>
    </row>
    <row r="1788" spans="1:7">
      <c r="A1788">
        <v>47</v>
      </c>
      <c r="B1788">
        <v>6</v>
      </c>
      <c r="C1788">
        <v>3</v>
      </c>
      <c r="E1788">
        <v>3</v>
      </c>
      <c r="F1788" t="str">
        <f t="shared" si="27"/>
        <v>F476G3T3</v>
      </c>
      <c r="G1788" s="14" t="s">
        <v>324</v>
      </c>
    </row>
    <row r="1789" spans="1:7">
      <c r="A1789">
        <v>47</v>
      </c>
      <c r="B1789">
        <v>7</v>
      </c>
      <c r="C1789">
        <v>3</v>
      </c>
      <c r="E1789">
        <v>3</v>
      </c>
      <c r="F1789" t="str">
        <f t="shared" si="27"/>
        <v>F477G3T3</v>
      </c>
      <c r="G1789" s="14" t="s">
        <v>324</v>
      </c>
    </row>
    <row r="1790" spans="1:7">
      <c r="A1790">
        <v>47</v>
      </c>
      <c r="B1790">
        <v>1</v>
      </c>
      <c r="C1790">
        <v>4</v>
      </c>
      <c r="E1790">
        <v>3</v>
      </c>
      <c r="F1790" t="str">
        <f t="shared" si="27"/>
        <v>F471G4T3</v>
      </c>
      <c r="G1790" s="14" t="s">
        <v>324</v>
      </c>
    </row>
    <row r="1791" spans="1:7">
      <c r="A1791">
        <v>47</v>
      </c>
      <c r="B1791">
        <v>2</v>
      </c>
      <c r="C1791">
        <v>4</v>
      </c>
      <c r="E1791">
        <v>3</v>
      </c>
      <c r="F1791" t="str">
        <f t="shared" si="27"/>
        <v>F472G4T3</v>
      </c>
      <c r="G1791" s="14" t="s">
        <v>324</v>
      </c>
    </row>
    <row r="1792" spans="1:7">
      <c r="A1792">
        <v>47</v>
      </c>
      <c r="B1792">
        <v>5</v>
      </c>
      <c r="C1792">
        <v>4</v>
      </c>
      <c r="E1792">
        <v>3</v>
      </c>
      <c r="F1792" t="str">
        <f t="shared" si="27"/>
        <v>F475G4T3</v>
      </c>
      <c r="G1792" s="14" t="s">
        <v>324</v>
      </c>
    </row>
    <row r="1793" spans="1:7">
      <c r="A1793">
        <v>47</v>
      </c>
      <c r="B1793">
        <v>6</v>
      </c>
      <c r="C1793">
        <v>4</v>
      </c>
      <c r="E1793">
        <v>3</v>
      </c>
      <c r="F1793" t="str">
        <f t="shared" si="27"/>
        <v>F476G4T3</v>
      </c>
      <c r="G1793" s="14" t="s">
        <v>324</v>
      </c>
    </row>
    <row r="1794" spans="1:7">
      <c r="A1794">
        <v>47</v>
      </c>
      <c r="B1794">
        <v>7</v>
      </c>
      <c r="C1794">
        <v>4</v>
      </c>
      <c r="E1794">
        <v>3</v>
      </c>
      <c r="F1794" t="str">
        <f t="shared" si="27"/>
        <v>F477G4T3</v>
      </c>
      <c r="G1794" s="14" t="s">
        <v>324</v>
      </c>
    </row>
    <row r="1795" spans="1:7">
      <c r="A1795">
        <v>47</v>
      </c>
      <c r="B1795">
        <v>1</v>
      </c>
      <c r="C1795">
        <v>5</v>
      </c>
      <c r="E1795">
        <v>3</v>
      </c>
      <c r="F1795" t="str">
        <f t="shared" ref="F1795:F1858" si="28">CONCATENATE("F",A1795,B1795,"G",C1795,"T",E1795)</f>
        <v>F471G5T3</v>
      </c>
      <c r="G1795" s="14" t="s">
        <v>324</v>
      </c>
    </row>
    <row r="1796" spans="1:7">
      <c r="A1796">
        <v>47</v>
      </c>
      <c r="B1796">
        <v>2</v>
      </c>
      <c r="C1796">
        <v>5</v>
      </c>
      <c r="E1796">
        <v>3</v>
      </c>
      <c r="F1796" t="str">
        <f t="shared" si="28"/>
        <v>F472G5T3</v>
      </c>
      <c r="G1796" s="14" t="s">
        <v>324</v>
      </c>
    </row>
    <row r="1797" spans="1:7">
      <c r="A1797">
        <v>47</v>
      </c>
      <c r="B1797">
        <v>5</v>
      </c>
      <c r="C1797">
        <v>5</v>
      </c>
      <c r="E1797">
        <v>3</v>
      </c>
      <c r="F1797" t="str">
        <f t="shared" si="28"/>
        <v>F475G5T3</v>
      </c>
      <c r="G1797" s="14" t="s">
        <v>324</v>
      </c>
    </row>
    <row r="1798" spans="1:7">
      <c r="A1798">
        <v>47</v>
      </c>
      <c r="B1798">
        <v>6</v>
      </c>
      <c r="C1798">
        <v>5</v>
      </c>
      <c r="E1798">
        <v>3</v>
      </c>
      <c r="F1798" t="str">
        <f t="shared" si="28"/>
        <v>F476G5T3</v>
      </c>
      <c r="G1798" s="14" t="s">
        <v>324</v>
      </c>
    </row>
    <row r="1799" spans="1:7">
      <c r="A1799">
        <v>47</v>
      </c>
      <c r="B1799">
        <v>7</v>
      </c>
      <c r="C1799">
        <v>5</v>
      </c>
      <c r="E1799">
        <v>3</v>
      </c>
      <c r="F1799" t="str">
        <f t="shared" si="28"/>
        <v>F477G5T3</v>
      </c>
      <c r="G1799" s="14" t="s">
        <v>324</v>
      </c>
    </row>
    <row r="1800" spans="1:7">
      <c r="A1800">
        <v>49</v>
      </c>
      <c r="B1800">
        <v>1</v>
      </c>
      <c r="C1800">
        <v>3</v>
      </c>
      <c r="E1800">
        <v>2</v>
      </c>
      <c r="F1800" t="str">
        <f t="shared" si="28"/>
        <v>F491G3T2</v>
      </c>
      <c r="G1800" s="14" t="s">
        <v>70</v>
      </c>
    </row>
    <row r="1801" spans="1:7">
      <c r="A1801">
        <v>49</v>
      </c>
      <c r="B1801">
        <v>2</v>
      </c>
      <c r="C1801">
        <v>3</v>
      </c>
      <c r="E1801">
        <v>2</v>
      </c>
      <c r="F1801" t="str">
        <f t="shared" si="28"/>
        <v>F492G3T2</v>
      </c>
      <c r="G1801" s="14" t="s">
        <v>70</v>
      </c>
    </row>
    <row r="1802" spans="1:7">
      <c r="A1802">
        <v>49</v>
      </c>
      <c r="B1802">
        <v>5</v>
      </c>
      <c r="C1802">
        <v>3</v>
      </c>
      <c r="E1802">
        <v>2</v>
      </c>
      <c r="F1802" t="str">
        <f t="shared" si="28"/>
        <v>F495G3T2</v>
      </c>
      <c r="G1802" s="14" t="s">
        <v>70</v>
      </c>
    </row>
    <row r="1803" spans="1:7">
      <c r="A1803">
        <v>49</v>
      </c>
      <c r="B1803">
        <v>6</v>
      </c>
      <c r="C1803">
        <v>3</v>
      </c>
      <c r="E1803">
        <v>2</v>
      </c>
      <c r="F1803" t="str">
        <f t="shared" si="28"/>
        <v>F496G3T2</v>
      </c>
      <c r="G1803" s="14" t="s">
        <v>70</v>
      </c>
    </row>
    <row r="1804" spans="1:7">
      <c r="A1804">
        <v>49</v>
      </c>
      <c r="B1804">
        <v>7</v>
      </c>
      <c r="C1804">
        <v>3</v>
      </c>
      <c r="E1804">
        <v>2</v>
      </c>
      <c r="F1804" t="str">
        <f t="shared" si="28"/>
        <v>F497G3T2</v>
      </c>
      <c r="G1804" s="14" t="s">
        <v>70</v>
      </c>
    </row>
    <row r="1805" spans="1:7">
      <c r="A1805">
        <v>49</v>
      </c>
      <c r="B1805">
        <v>1</v>
      </c>
      <c r="C1805">
        <v>4</v>
      </c>
      <c r="E1805">
        <v>2</v>
      </c>
      <c r="F1805" t="str">
        <f t="shared" si="28"/>
        <v>F491G4T2</v>
      </c>
      <c r="G1805" s="14" t="s">
        <v>70</v>
      </c>
    </row>
    <row r="1806" spans="1:7">
      <c r="A1806">
        <v>49</v>
      </c>
      <c r="B1806">
        <v>2</v>
      </c>
      <c r="C1806">
        <v>4</v>
      </c>
      <c r="E1806">
        <v>2</v>
      </c>
      <c r="F1806" t="str">
        <f t="shared" si="28"/>
        <v>F492G4T2</v>
      </c>
      <c r="G1806" s="14" t="s">
        <v>70</v>
      </c>
    </row>
    <row r="1807" spans="1:7">
      <c r="A1807">
        <v>49</v>
      </c>
      <c r="B1807">
        <v>5</v>
      </c>
      <c r="C1807">
        <v>4</v>
      </c>
      <c r="E1807">
        <v>2</v>
      </c>
      <c r="F1807" t="str">
        <f t="shared" si="28"/>
        <v>F495G4T2</v>
      </c>
      <c r="G1807" s="14" t="s">
        <v>70</v>
      </c>
    </row>
    <row r="1808" spans="1:7">
      <c r="A1808">
        <v>49</v>
      </c>
      <c r="B1808">
        <v>6</v>
      </c>
      <c r="C1808">
        <v>4</v>
      </c>
      <c r="E1808">
        <v>2</v>
      </c>
      <c r="F1808" t="str">
        <f t="shared" si="28"/>
        <v>F496G4T2</v>
      </c>
      <c r="G1808" s="14" t="s">
        <v>70</v>
      </c>
    </row>
    <row r="1809" spans="1:7">
      <c r="A1809">
        <v>49</v>
      </c>
      <c r="B1809">
        <v>7</v>
      </c>
      <c r="C1809">
        <v>4</v>
      </c>
      <c r="E1809">
        <v>2</v>
      </c>
      <c r="F1809" t="str">
        <f t="shared" si="28"/>
        <v>F497G4T2</v>
      </c>
      <c r="G1809" s="14" t="s">
        <v>70</v>
      </c>
    </row>
    <row r="1810" spans="1:7">
      <c r="A1810">
        <v>49</v>
      </c>
      <c r="B1810">
        <v>1</v>
      </c>
      <c r="C1810">
        <v>5</v>
      </c>
      <c r="E1810">
        <v>2</v>
      </c>
      <c r="F1810" t="str">
        <f t="shared" si="28"/>
        <v>F491G5T2</v>
      </c>
      <c r="G1810" s="14" t="s">
        <v>70</v>
      </c>
    </row>
    <row r="1811" spans="1:7">
      <c r="A1811">
        <v>49</v>
      </c>
      <c r="B1811">
        <v>2</v>
      </c>
      <c r="C1811">
        <v>5</v>
      </c>
      <c r="E1811">
        <v>2</v>
      </c>
      <c r="F1811" t="str">
        <f t="shared" si="28"/>
        <v>F492G5T2</v>
      </c>
      <c r="G1811" s="14" t="s">
        <v>70</v>
      </c>
    </row>
    <row r="1812" spans="1:7">
      <c r="A1812">
        <v>49</v>
      </c>
      <c r="B1812">
        <v>5</v>
      </c>
      <c r="C1812">
        <v>5</v>
      </c>
      <c r="E1812">
        <v>2</v>
      </c>
      <c r="F1812" t="str">
        <f t="shared" si="28"/>
        <v>F495G5T2</v>
      </c>
      <c r="G1812" s="14" t="s">
        <v>70</v>
      </c>
    </row>
    <row r="1813" spans="1:7">
      <c r="A1813">
        <v>49</v>
      </c>
      <c r="B1813">
        <v>6</v>
      </c>
      <c r="C1813">
        <v>5</v>
      </c>
      <c r="E1813">
        <v>2</v>
      </c>
      <c r="F1813" t="str">
        <f t="shared" si="28"/>
        <v>F496G5T2</v>
      </c>
      <c r="G1813" s="14" t="s">
        <v>70</v>
      </c>
    </row>
    <row r="1814" spans="1:7">
      <c r="A1814">
        <v>49</v>
      </c>
      <c r="B1814">
        <v>7</v>
      </c>
      <c r="C1814">
        <v>5</v>
      </c>
      <c r="E1814">
        <v>2</v>
      </c>
      <c r="F1814" t="str">
        <f t="shared" si="28"/>
        <v>F497G5T2</v>
      </c>
      <c r="G1814" s="14" t="s">
        <v>70</v>
      </c>
    </row>
    <row r="1815" spans="1:7">
      <c r="A1815">
        <v>49</v>
      </c>
      <c r="B1815">
        <v>1</v>
      </c>
      <c r="C1815">
        <v>3</v>
      </c>
      <c r="E1815">
        <v>3</v>
      </c>
      <c r="F1815" t="str">
        <f t="shared" si="28"/>
        <v>F491G3T3</v>
      </c>
      <c r="G1815" s="14" t="s">
        <v>324</v>
      </c>
    </row>
    <row r="1816" spans="1:7">
      <c r="A1816">
        <v>49</v>
      </c>
      <c r="B1816">
        <v>2</v>
      </c>
      <c r="C1816">
        <v>3</v>
      </c>
      <c r="E1816">
        <v>3</v>
      </c>
      <c r="F1816" t="str">
        <f t="shared" si="28"/>
        <v>F492G3T3</v>
      </c>
      <c r="G1816" s="14" t="s">
        <v>324</v>
      </c>
    </row>
    <row r="1817" spans="1:7">
      <c r="A1817">
        <v>49</v>
      </c>
      <c r="B1817">
        <v>5</v>
      </c>
      <c r="C1817">
        <v>3</v>
      </c>
      <c r="E1817">
        <v>3</v>
      </c>
      <c r="F1817" t="str">
        <f t="shared" si="28"/>
        <v>F495G3T3</v>
      </c>
      <c r="G1817" s="14" t="s">
        <v>324</v>
      </c>
    </row>
    <row r="1818" spans="1:7">
      <c r="A1818">
        <v>49</v>
      </c>
      <c r="B1818">
        <v>6</v>
      </c>
      <c r="C1818">
        <v>3</v>
      </c>
      <c r="E1818">
        <v>3</v>
      </c>
      <c r="F1818" t="str">
        <f t="shared" si="28"/>
        <v>F496G3T3</v>
      </c>
      <c r="G1818" s="14" t="s">
        <v>324</v>
      </c>
    </row>
    <row r="1819" spans="1:7">
      <c r="A1819">
        <v>49</v>
      </c>
      <c r="B1819">
        <v>7</v>
      </c>
      <c r="C1819">
        <v>3</v>
      </c>
      <c r="E1819">
        <v>3</v>
      </c>
      <c r="F1819" t="str">
        <f t="shared" si="28"/>
        <v>F497G3T3</v>
      </c>
      <c r="G1819" s="14" t="s">
        <v>324</v>
      </c>
    </row>
    <row r="1820" spans="1:7">
      <c r="A1820">
        <v>49</v>
      </c>
      <c r="B1820">
        <v>1</v>
      </c>
      <c r="C1820">
        <v>4</v>
      </c>
      <c r="E1820">
        <v>3</v>
      </c>
      <c r="F1820" t="str">
        <f t="shared" si="28"/>
        <v>F491G4T3</v>
      </c>
      <c r="G1820" s="14" t="s">
        <v>324</v>
      </c>
    </row>
    <row r="1821" spans="1:7">
      <c r="A1821">
        <v>49</v>
      </c>
      <c r="B1821">
        <v>2</v>
      </c>
      <c r="C1821">
        <v>4</v>
      </c>
      <c r="E1821">
        <v>3</v>
      </c>
      <c r="F1821" t="str">
        <f t="shared" si="28"/>
        <v>F492G4T3</v>
      </c>
      <c r="G1821" s="14" t="s">
        <v>324</v>
      </c>
    </row>
    <row r="1822" spans="1:7">
      <c r="A1822">
        <v>49</v>
      </c>
      <c r="B1822">
        <v>5</v>
      </c>
      <c r="C1822">
        <v>4</v>
      </c>
      <c r="E1822">
        <v>3</v>
      </c>
      <c r="F1822" t="str">
        <f t="shared" si="28"/>
        <v>F495G4T3</v>
      </c>
      <c r="G1822" s="14" t="s">
        <v>324</v>
      </c>
    </row>
    <row r="1823" spans="1:7">
      <c r="A1823">
        <v>49</v>
      </c>
      <c r="B1823">
        <v>6</v>
      </c>
      <c r="C1823">
        <v>4</v>
      </c>
      <c r="E1823">
        <v>3</v>
      </c>
      <c r="F1823" t="str">
        <f t="shared" si="28"/>
        <v>F496G4T3</v>
      </c>
      <c r="G1823" s="14" t="s">
        <v>324</v>
      </c>
    </row>
    <row r="1824" spans="1:7">
      <c r="A1824">
        <v>49</v>
      </c>
      <c r="B1824">
        <v>7</v>
      </c>
      <c r="C1824">
        <v>4</v>
      </c>
      <c r="E1824">
        <v>3</v>
      </c>
      <c r="F1824" t="str">
        <f t="shared" si="28"/>
        <v>F497G4T3</v>
      </c>
      <c r="G1824" s="14" t="s">
        <v>324</v>
      </c>
    </row>
    <row r="1825" spans="1:7">
      <c r="A1825">
        <v>49</v>
      </c>
      <c r="B1825">
        <v>1</v>
      </c>
      <c r="C1825">
        <v>5</v>
      </c>
      <c r="E1825">
        <v>3</v>
      </c>
      <c r="F1825" t="str">
        <f t="shared" si="28"/>
        <v>F491G5T3</v>
      </c>
      <c r="G1825" s="14" t="s">
        <v>324</v>
      </c>
    </row>
    <row r="1826" spans="1:7">
      <c r="A1826">
        <v>49</v>
      </c>
      <c r="B1826">
        <v>2</v>
      </c>
      <c r="C1826">
        <v>5</v>
      </c>
      <c r="E1826">
        <v>3</v>
      </c>
      <c r="F1826" t="str">
        <f t="shared" si="28"/>
        <v>F492G5T3</v>
      </c>
      <c r="G1826" s="14" t="s">
        <v>324</v>
      </c>
    </row>
    <row r="1827" spans="1:7">
      <c r="A1827">
        <v>49</v>
      </c>
      <c r="B1827">
        <v>5</v>
      </c>
      <c r="C1827">
        <v>5</v>
      </c>
      <c r="E1827">
        <v>3</v>
      </c>
      <c r="F1827" t="str">
        <f t="shared" si="28"/>
        <v>F495G5T3</v>
      </c>
      <c r="G1827" s="14" t="s">
        <v>324</v>
      </c>
    </row>
    <row r="1828" spans="1:7">
      <c r="A1828">
        <v>49</v>
      </c>
      <c r="B1828">
        <v>6</v>
      </c>
      <c r="C1828">
        <v>5</v>
      </c>
      <c r="E1828">
        <v>3</v>
      </c>
      <c r="F1828" t="str">
        <f t="shared" si="28"/>
        <v>F496G5T3</v>
      </c>
      <c r="G1828" s="14" t="s">
        <v>324</v>
      </c>
    </row>
    <row r="1829" spans="1:7">
      <c r="A1829">
        <v>49</v>
      </c>
      <c r="B1829">
        <v>7</v>
      </c>
      <c r="C1829">
        <v>5</v>
      </c>
      <c r="E1829">
        <v>3</v>
      </c>
      <c r="F1829" t="str">
        <f t="shared" si="28"/>
        <v>F497G5T3</v>
      </c>
      <c r="G1829" s="14" t="s">
        <v>324</v>
      </c>
    </row>
    <row r="1830" spans="1:7">
      <c r="A1830">
        <v>50</v>
      </c>
      <c r="B1830">
        <v>1</v>
      </c>
      <c r="C1830">
        <v>3</v>
      </c>
      <c r="E1830">
        <v>2</v>
      </c>
      <c r="F1830" t="str">
        <f t="shared" si="28"/>
        <v>F501G3T2</v>
      </c>
      <c r="G1830" s="14" t="s">
        <v>70</v>
      </c>
    </row>
    <row r="1831" spans="1:7">
      <c r="A1831">
        <v>50</v>
      </c>
      <c r="B1831">
        <v>2</v>
      </c>
      <c r="C1831">
        <v>3</v>
      </c>
      <c r="E1831">
        <v>2</v>
      </c>
      <c r="F1831" t="str">
        <f t="shared" si="28"/>
        <v>F502G3T2</v>
      </c>
      <c r="G1831" s="14" t="s">
        <v>70</v>
      </c>
    </row>
    <row r="1832" spans="1:7">
      <c r="A1832">
        <v>50</v>
      </c>
      <c r="B1832">
        <v>5</v>
      </c>
      <c r="C1832">
        <v>3</v>
      </c>
      <c r="E1832">
        <v>2</v>
      </c>
      <c r="F1832" t="str">
        <f t="shared" si="28"/>
        <v>F505G3T2</v>
      </c>
      <c r="G1832" s="14" t="s">
        <v>70</v>
      </c>
    </row>
    <row r="1833" spans="1:7">
      <c r="A1833">
        <v>50</v>
      </c>
      <c r="B1833">
        <v>6</v>
      </c>
      <c r="C1833">
        <v>3</v>
      </c>
      <c r="E1833">
        <v>2</v>
      </c>
      <c r="F1833" t="str">
        <f t="shared" si="28"/>
        <v>F506G3T2</v>
      </c>
      <c r="G1833" s="14" t="s">
        <v>70</v>
      </c>
    </row>
    <row r="1834" spans="1:7">
      <c r="A1834">
        <v>50</v>
      </c>
      <c r="B1834">
        <v>7</v>
      </c>
      <c r="C1834">
        <v>3</v>
      </c>
      <c r="E1834">
        <v>2</v>
      </c>
      <c r="F1834" t="str">
        <f t="shared" si="28"/>
        <v>F507G3T2</v>
      </c>
      <c r="G1834" s="14" t="s">
        <v>70</v>
      </c>
    </row>
    <row r="1835" spans="1:7">
      <c r="A1835">
        <v>50</v>
      </c>
      <c r="B1835">
        <v>1</v>
      </c>
      <c r="C1835">
        <v>4</v>
      </c>
      <c r="E1835">
        <v>2</v>
      </c>
      <c r="F1835" t="str">
        <f t="shared" si="28"/>
        <v>F501G4T2</v>
      </c>
      <c r="G1835" s="14" t="s">
        <v>70</v>
      </c>
    </row>
    <row r="1836" spans="1:7">
      <c r="A1836">
        <v>50</v>
      </c>
      <c r="B1836">
        <v>2</v>
      </c>
      <c r="C1836">
        <v>4</v>
      </c>
      <c r="E1836">
        <v>2</v>
      </c>
      <c r="F1836" t="str">
        <f t="shared" si="28"/>
        <v>F502G4T2</v>
      </c>
      <c r="G1836" s="14" t="s">
        <v>70</v>
      </c>
    </row>
    <row r="1837" spans="1:7">
      <c r="A1837">
        <v>50</v>
      </c>
      <c r="B1837">
        <v>5</v>
      </c>
      <c r="C1837">
        <v>4</v>
      </c>
      <c r="E1837">
        <v>2</v>
      </c>
      <c r="F1837" t="str">
        <f t="shared" si="28"/>
        <v>F505G4T2</v>
      </c>
      <c r="G1837" s="14" t="s">
        <v>70</v>
      </c>
    </row>
    <row r="1838" spans="1:7">
      <c r="A1838">
        <v>50</v>
      </c>
      <c r="B1838">
        <v>6</v>
      </c>
      <c r="C1838">
        <v>4</v>
      </c>
      <c r="E1838">
        <v>2</v>
      </c>
      <c r="F1838" t="str">
        <f t="shared" si="28"/>
        <v>F506G4T2</v>
      </c>
      <c r="G1838" s="14" t="s">
        <v>70</v>
      </c>
    </row>
    <row r="1839" spans="1:7">
      <c r="A1839">
        <v>50</v>
      </c>
      <c r="B1839">
        <v>7</v>
      </c>
      <c r="C1839">
        <v>4</v>
      </c>
      <c r="E1839">
        <v>2</v>
      </c>
      <c r="F1839" t="str">
        <f t="shared" si="28"/>
        <v>F507G4T2</v>
      </c>
      <c r="G1839" s="14" t="s">
        <v>70</v>
      </c>
    </row>
    <row r="1840" spans="1:7">
      <c r="A1840">
        <v>50</v>
      </c>
      <c r="B1840">
        <v>1</v>
      </c>
      <c r="C1840">
        <v>5</v>
      </c>
      <c r="E1840">
        <v>2</v>
      </c>
      <c r="F1840" t="str">
        <f t="shared" si="28"/>
        <v>F501G5T2</v>
      </c>
      <c r="G1840" s="14" t="s">
        <v>70</v>
      </c>
    </row>
    <row r="1841" spans="1:7">
      <c r="A1841">
        <v>50</v>
      </c>
      <c r="B1841">
        <v>2</v>
      </c>
      <c r="C1841">
        <v>5</v>
      </c>
      <c r="E1841">
        <v>2</v>
      </c>
      <c r="F1841" t="str">
        <f t="shared" si="28"/>
        <v>F502G5T2</v>
      </c>
      <c r="G1841" s="14" t="s">
        <v>70</v>
      </c>
    </row>
    <row r="1842" spans="1:7">
      <c r="A1842">
        <v>50</v>
      </c>
      <c r="B1842">
        <v>5</v>
      </c>
      <c r="C1842">
        <v>5</v>
      </c>
      <c r="E1842">
        <v>2</v>
      </c>
      <c r="F1842" t="str">
        <f t="shared" si="28"/>
        <v>F505G5T2</v>
      </c>
      <c r="G1842" s="14" t="s">
        <v>70</v>
      </c>
    </row>
    <row r="1843" spans="1:7">
      <c r="A1843">
        <v>50</v>
      </c>
      <c r="B1843">
        <v>6</v>
      </c>
      <c r="C1843">
        <v>5</v>
      </c>
      <c r="E1843">
        <v>2</v>
      </c>
      <c r="F1843" t="str">
        <f t="shared" si="28"/>
        <v>F506G5T2</v>
      </c>
      <c r="G1843" s="14" t="s">
        <v>70</v>
      </c>
    </row>
    <row r="1844" spans="1:7">
      <c r="A1844">
        <v>50</v>
      </c>
      <c r="B1844">
        <v>7</v>
      </c>
      <c r="C1844">
        <v>5</v>
      </c>
      <c r="E1844">
        <v>2</v>
      </c>
      <c r="F1844" t="str">
        <f t="shared" si="28"/>
        <v>F507G5T2</v>
      </c>
      <c r="G1844" s="14" t="s">
        <v>70</v>
      </c>
    </row>
    <row r="1845" spans="1:7">
      <c r="A1845">
        <v>50</v>
      </c>
      <c r="B1845">
        <v>1</v>
      </c>
      <c r="C1845">
        <v>3</v>
      </c>
      <c r="E1845">
        <v>3</v>
      </c>
      <c r="F1845" t="str">
        <f t="shared" si="28"/>
        <v>F501G3T3</v>
      </c>
      <c r="G1845" s="14" t="s">
        <v>324</v>
      </c>
    </row>
    <row r="1846" spans="1:7">
      <c r="A1846">
        <v>50</v>
      </c>
      <c r="B1846">
        <v>2</v>
      </c>
      <c r="C1846">
        <v>3</v>
      </c>
      <c r="E1846">
        <v>3</v>
      </c>
      <c r="F1846" t="str">
        <f t="shared" si="28"/>
        <v>F502G3T3</v>
      </c>
      <c r="G1846" s="14" t="s">
        <v>324</v>
      </c>
    </row>
    <row r="1847" spans="1:7">
      <c r="A1847">
        <v>50</v>
      </c>
      <c r="B1847">
        <v>5</v>
      </c>
      <c r="C1847">
        <v>3</v>
      </c>
      <c r="E1847">
        <v>3</v>
      </c>
      <c r="F1847" t="str">
        <f t="shared" si="28"/>
        <v>F505G3T3</v>
      </c>
      <c r="G1847" s="14" t="s">
        <v>324</v>
      </c>
    </row>
    <row r="1848" spans="1:7">
      <c r="A1848">
        <v>50</v>
      </c>
      <c r="B1848">
        <v>6</v>
      </c>
      <c r="C1848">
        <v>3</v>
      </c>
      <c r="E1848">
        <v>3</v>
      </c>
      <c r="F1848" t="str">
        <f t="shared" si="28"/>
        <v>F506G3T3</v>
      </c>
      <c r="G1848" s="14" t="s">
        <v>324</v>
      </c>
    </row>
    <row r="1849" spans="1:7">
      <c r="A1849">
        <v>50</v>
      </c>
      <c r="B1849">
        <v>7</v>
      </c>
      <c r="C1849">
        <v>3</v>
      </c>
      <c r="E1849">
        <v>3</v>
      </c>
      <c r="F1849" t="str">
        <f t="shared" si="28"/>
        <v>F507G3T3</v>
      </c>
      <c r="G1849" s="14" t="s">
        <v>324</v>
      </c>
    </row>
    <row r="1850" spans="1:7">
      <c r="A1850">
        <v>50</v>
      </c>
      <c r="B1850">
        <v>1</v>
      </c>
      <c r="C1850">
        <v>4</v>
      </c>
      <c r="E1850">
        <v>3</v>
      </c>
      <c r="F1850" t="str">
        <f t="shared" si="28"/>
        <v>F501G4T3</v>
      </c>
      <c r="G1850" s="14" t="s">
        <v>324</v>
      </c>
    </row>
    <row r="1851" spans="1:7">
      <c r="A1851">
        <v>50</v>
      </c>
      <c r="B1851">
        <v>2</v>
      </c>
      <c r="C1851">
        <v>4</v>
      </c>
      <c r="E1851">
        <v>3</v>
      </c>
      <c r="F1851" t="str">
        <f t="shared" si="28"/>
        <v>F502G4T3</v>
      </c>
      <c r="G1851" s="14" t="s">
        <v>324</v>
      </c>
    </row>
    <row r="1852" spans="1:7">
      <c r="A1852">
        <v>50</v>
      </c>
      <c r="B1852">
        <v>5</v>
      </c>
      <c r="C1852">
        <v>4</v>
      </c>
      <c r="E1852">
        <v>3</v>
      </c>
      <c r="F1852" t="str">
        <f t="shared" si="28"/>
        <v>F505G4T3</v>
      </c>
      <c r="G1852" s="14" t="s">
        <v>324</v>
      </c>
    </row>
    <row r="1853" spans="1:7">
      <c r="A1853">
        <v>50</v>
      </c>
      <c r="B1853">
        <v>6</v>
      </c>
      <c r="C1853">
        <v>4</v>
      </c>
      <c r="E1853">
        <v>3</v>
      </c>
      <c r="F1853" t="str">
        <f t="shared" si="28"/>
        <v>F506G4T3</v>
      </c>
      <c r="G1853" s="14" t="s">
        <v>324</v>
      </c>
    </row>
    <row r="1854" spans="1:7">
      <c r="A1854">
        <v>50</v>
      </c>
      <c r="B1854">
        <v>7</v>
      </c>
      <c r="C1854">
        <v>4</v>
      </c>
      <c r="E1854">
        <v>3</v>
      </c>
      <c r="F1854" t="str">
        <f t="shared" si="28"/>
        <v>F507G4T3</v>
      </c>
      <c r="G1854" s="14" t="s">
        <v>324</v>
      </c>
    </row>
    <row r="1855" spans="1:7">
      <c r="A1855">
        <v>50</v>
      </c>
      <c r="B1855">
        <v>1</v>
      </c>
      <c r="C1855">
        <v>5</v>
      </c>
      <c r="E1855">
        <v>3</v>
      </c>
      <c r="F1855" t="str">
        <f t="shared" si="28"/>
        <v>F501G5T3</v>
      </c>
      <c r="G1855" s="14" t="s">
        <v>324</v>
      </c>
    </row>
    <row r="1856" spans="1:7">
      <c r="A1856">
        <v>50</v>
      </c>
      <c r="B1856">
        <v>2</v>
      </c>
      <c r="C1856">
        <v>5</v>
      </c>
      <c r="E1856">
        <v>3</v>
      </c>
      <c r="F1856" t="str">
        <f t="shared" si="28"/>
        <v>F502G5T3</v>
      </c>
      <c r="G1856" s="14" t="s">
        <v>324</v>
      </c>
    </row>
    <row r="1857" spans="1:7">
      <c r="A1857">
        <v>50</v>
      </c>
      <c r="B1857">
        <v>5</v>
      </c>
      <c r="C1857">
        <v>5</v>
      </c>
      <c r="E1857">
        <v>3</v>
      </c>
      <c r="F1857" t="str">
        <f t="shared" si="28"/>
        <v>F505G5T3</v>
      </c>
      <c r="G1857" s="14" t="s">
        <v>324</v>
      </c>
    </row>
    <row r="1858" spans="1:7">
      <c r="A1858">
        <v>50</v>
      </c>
      <c r="B1858">
        <v>6</v>
      </c>
      <c r="C1858">
        <v>5</v>
      </c>
      <c r="E1858">
        <v>3</v>
      </c>
      <c r="F1858" t="str">
        <f t="shared" si="28"/>
        <v>F506G5T3</v>
      </c>
      <c r="G1858" s="14" t="s">
        <v>324</v>
      </c>
    </row>
    <row r="1859" spans="1:7">
      <c r="A1859">
        <v>50</v>
      </c>
      <c r="B1859">
        <v>7</v>
      </c>
      <c r="C1859">
        <v>5</v>
      </c>
      <c r="E1859">
        <v>3</v>
      </c>
      <c r="F1859" t="str">
        <f t="shared" ref="F1859:F1922" si="29">CONCATENATE("F",A1859,B1859,"G",C1859,"T",E1859)</f>
        <v>F507G5T3</v>
      </c>
      <c r="G1859" s="14" t="s">
        <v>324</v>
      </c>
    </row>
    <row r="1860" spans="1:7">
      <c r="A1860">
        <v>52</v>
      </c>
      <c r="B1860">
        <v>1</v>
      </c>
      <c r="C1860">
        <v>3</v>
      </c>
      <c r="E1860">
        <v>2</v>
      </c>
      <c r="F1860" t="str">
        <f t="shared" si="29"/>
        <v>F521G3T2</v>
      </c>
      <c r="G1860" s="14" t="s">
        <v>70</v>
      </c>
    </row>
    <row r="1861" spans="1:7">
      <c r="A1861">
        <v>52</v>
      </c>
      <c r="B1861">
        <v>2</v>
      </c>
      <c r="C1861">
        <v>3</v>
      </c>
      <c r="E1861">
        <v>2</v>
      </c>
      <c r="F1861" t="str">
        <f t="shared" si="29"/>
        <v>F522G3T2</v>
      </c>
      <c r="G1861" s="14" t="s">
        <v>70</v>
      </c>
    </row>
    <row r="1862" spans="1:7">
      <c r="A1862">
        <v>52</v>
      </c>
      <c r="B1862">
        <v>5</v>
      </c>
      <c r="C1862">
        <v>3</v>
      </c>
      <c r="E1862">
        <v>2</v>
      </c>
      <c r="F1862" t="str">
        <f t="shared" si="29"/>
        <v>F525G3T2</v>
      </c>
      <c r="G1862" s="14" t="s">
        <v>70</v>
      </c>
    </row>
    <row r="1863" spans="1:7">
      <c r="A1863">
        <v>52</v>
      </c>
      <c r="B1863">
        <v>6</v>
      </c>
      <c r="C1863">
        <v>3</v>
      </c>
      <c r="E1863">
        <v>2</v>
      </c>
      <c r="F1863" t="str">
        <f t="shared" si="29"/>
        <v>F526G3T2</v>
      </c>
      <c r="G1863" s="14" t="s">
        <v>70</v>
      </c>
    </row>
    <row r="1864" spans="1:7">
      <c r="A1864">
        <v>52</v>
      </c>
      <c r="B1864">
        <v>7</v>
      </c>
      <c r="C1864">
        <v>3</v>
      </c>
      <c r="E1864">
        <v>2</v>
      </c>
      <c r="F1864" t="str">
        <f t="shared" si="29"/>
        <v>F527G3T2</v>
      </c>
      <c r="G1864" s="14" t="s">
        <v>70</v>
      </c>
    </row>
    <row r="1865" spans="1:7">
      <c r="A1865">
        <v>52</v>
      </c>
      <c r="B1865">
        <v>1</v>
      </c>
      <c r="C1865">
        <v>4</v>
      </c>
      <c r="E1865">
        <v>2</v>
      </c>
      <c r="F1865" t="str">
        <f t="shared" si="29"/>
        <v>F521G4T2</v>
      </c>
      <c r="G1865" s="14" t="s">
        <v>70</v>
      </c>
    </row>
    <row r="1866" spans="1:7">
      <c r="A1866">
        <v>52</v>
      </c>
      <c r="B1866">
        <v>2</v>
      </c>
      <c r="C1866">
        <v>4</v>
      </c>
      <c r="E1866">
        <v>2</v>
      </c>
      <c r="F1866" t="str">
        <f t="shared" si="29"/>
        <v>F522G4T2</v>
      </c>
      <c r="G1866" s="14" t="s">
        <v>70</v>
      </c>
    </row>
    <row r="1867" spans="1:7">
      <c r="A1867">
        <v>52</v>
      </c>
      <c r="B1867">
        <v>5</v>
      </c>
      <c r="C1867">
        <v>4</v>
      </c>
      <c r="E1867">
        <v>2</v>
      </c>
      <c r="F1867" t="str">
        <f t="shared" si="29"/>
        <v>F525G4T2</v>
      </c>
      <c r="G1867" s="14" t="s">
        <v>70</v>
      </c>
    </row>
    <row r="1868" spans="1:7">
      <c r="A1868">
        <v>52</v>
      </c>
      <c r="B1868">
        <v>6</v>
      </c>
      <c r="C1868">
        <v>4</v>
      </c>
      <c r="E1868">
        <v>2</v>
      </c>
      <c r="F1868" t="str">
        <f t="shared" si="29"/>
        <v>F526G4T2</v>
      </c>
      <c r="G1868" s="14" t="s">
        <v>70</v>
      </c>
    </row>
    <row r="1869" spans="1:7">
      <c r="A1869">
        <v>52</v>
      </c>
      <c r="B1869">
        <v>7</v>
      </c>
      <c r="C1869">
        <v>4</v>
      </c>
      <c r="E1869">
        <v>2</v>
      </c>
      <c r="F1869" t="str">
        <f t="shared" si="29"/>
        <v>F527G4T2</v>
      </c>
      <c r="G1869" s="14" t="s">
        <v>70</v>
      </c>
    </row>
    <row r="1870" spans="1:7">
      <c r="A1870">
        <v>52</v>
      </c>
      <c r="B1870">
        <v>1</v>
      </c>
      <c r="C1870">
        <v>5</v>
      </c>
      <c r="E1870">
        <v>2</v>
      </c>
      <c r="F1870" t="str">
        <f t="shared" si="29"/>
        <v>F521G5T2</v>
      </c>
      <c r="G1870" s="14" t="s">
        <v>70</v>
      </c>
    </row>
    <row r="1871" spans="1:7">
      <c r="A1871">
        <v>52</v>
      </c>
      <c r="B1871">
        <v>2</v>
      </c>
      <c r="C1871">
        <v>5</v>
      </c>
      <c r="E1871">
        <v>2</v>
      </c>
      <c r="F1871" t="str">
        <f t="shared" si="29"/>
        <v>F522G5T2</v>
      </c>
      <c r="G1871" s="14" t="s">
        <v>70</v>
      </c>
    </row>
    <row r="1872" spans="1:7">
      <c r="A1872">
        <v>52</v>
      </c>
      <c r="B1872">
        <v>5</v>
      </c>
      <c r="C1872">
        <v>5</v>
      </c>
      <c r="E1872">
        <v>2</v>
      </c>
      <c r="F1872" t="str">
        <f t="shared" si="29"/>
        <v>F525G5T2</v>
      </c>
      <c r="G1872" s="14" t="s">
        <v>70</v>
      </c>
    </row>
    <row r="1873" spans="1:7">
      <c r="A1873">
        <v>52</v>
      </c>
      <c r="B1873">
        <v>6</v>
      </c>
      <c r="C1873">
        <v>5</v>
      </c>
      <c r="E1873">
        <v>2</v>
      </c>
      <c r="F1873" t="str">
        <f t="shared" si="29"/>
        <v>F526G5T2</v>
      </c>
      <c r="G1873" s="14" t="s">
        <v>70</v>
      </c>
    </row>
    <row r="1874" spans="1:7">
      <c r="A1874">
        <v>52</v>
      </c>
      <c r="B1874">
        <v>7</v>
      </c>
      <c r="C1874">
        <v>5</v>
      </c>
      <c r="E1874">
        <v>2</v>
      </c>
      <c r="F1874" t="str">
        <f t="shared" si="29"/>
        <v>F527G5T2</v>
      </c>
      <c r="G1874" s="14" t="s">
        <v>70</v>
      </c>
    </row>
    <row r="1875" spans="1:7">
      <c r="A1875">
        <v>52</v>
      </c>
      <c r="B1875">
        <v>1</v>
      </c>
      <c r="C1875">
        <v>3</v>
      </c>
      <c r="E1875">
        <v>3</v>
      </c>
      <c r="F1875" t="str">
        <f t="shared" si="29"/>
        <v>F521G3T3</v>
      </c>
      <c r="G1875" s="14" t="s">
        <v>324</v>
      </c>
    </row>
    <row r="1876" spans="1:7">
      <c r="A1876">
        <v>52</v>
      </c>
      <c r="B1876">
        <v>2</v>
      </c>
      <c r="C1876">
        <v>3</v>
      </c>
      <c r="E1876">
        <v>3</v>
      </c>
      <c r="F1876" t="str">
        <f t="shared" si="29"/>
        <v>F522G3T3</v>
      </c>
      <c r="G1876" s="14" t="s">
        <v>324</v>
      </c>
    </row>
    <row r="1877" spans="1:7">
      <c r="A1877">
        <v>52</v>
      </c>
      <c r="B1877">
        <v>5</v>
      </c>
      <c r="C1877">
        <v>3</v>
      </c>
      <c r="E1877">
        <v>3</v>
      </c>
      <c r="F1877" t="str">
        <f t="shared" si="29"/>
        <v>F525G3T3</v>
      </c>
      <c r="G1877" s="14" t="s">
        <v>324</v>
      </c>
    </row>
    <row r="1878" spans="1:7">
      <c r="A1878">
        <v>52</v>
      </c>
      <c r="B1878">
        <v>6</v>
      </c>
      <c r="C1878">
        <v>3</v>
      </c>
      <c r="E1878">
        <v>3</v>
      </c>
      <c r="F1878" t="str">
        <f t="shared" si="29"/>
        <v>F526G3T3</v>
      </c>
      <c r="G1878" s="14" t="s">
        <v>324</v>
      </c>
    </row>
    <row r="1879" spans="1:7">
      <c r="A1879">
        <v>52</v>
      </c>
      <c r="B1879">
        <v>7</v>
      </c>
      <c r="C1879">
        <v>3</v>
      </c>
      <c r="E1879">
        <v>3</v>
      </c>
      <c r="F1879" t="str">
        <f t="shared" si="29"/>
        <v>F527G3T3</v>
      </c>
      <c r="G1879" s="14" t="s">
        <v>324</v>
      </c>
    </row>
    <row r="1880" spans="1:7">
      <c r="A1880">
        <v>52</v>
      </c>
      <c r="B1880">
        <v>1</v>
      </c>
      <c r="C1880">
        <v>4</v>
      </c>
      <c r="E1880">
        <v>3</v>
      </c>
      <c r="F1880" t="str">
        <f t="shared" si="29"/>
        <v>F521G4T3</v>
      </c>
      <c r="G1880" s="14" t="s">
        <v>324</v>
      </c>
    </row>
    <row r="1881" spans="1:7">
      <c r="A1881">
        <v>52</v>
      </c>
      <c r="B1881">
        <v>2</v>
      </c>
      <c r="C1881">
        <v>4</v>
      </c>
      <c r="E1881">
        <v>3</v>
      </c>
      <c r="F1881" t="str">
        <f t="shared" si="29"/>
        <v>F522G4T3</v>
      </c>
      <c r="G1881" s="14" t="s">
        <v>324</v>
      </c>
    </row>
    <row r="1882" spans="1:7">
      <c r="A1882">
        <v>52</v>
      </c>
      <c r="B1882">
        <v>5</v>
      </c>
      <c r="C1882">
        <v>4</v>
      </c>
      <c r="E1882">
        <v>3</v>
      </c>
      <c r="F1882" t="str">
        <f t="shared" si="29"/>
        <v>F525G4T3</v>
      </c>
      <c r="G1882" s="14" t="s">
        <v>324</v>
      </c>
    </row>
    <row r="1883" spans="1:7">
      <c r="A1883">
        <v>52</v>
      </c>
      <c r="B1883">
        <v>6</v>
      </c>
      <c r="C1883">
        <v>4</v>
      </c>
      <c r="E1883">
        <v>3</v>
      </c>
      <c r="F1883" t="str">
        <f t="shared" si="29"/>
        <v>F526G4T3</v>
      </c>
      <c r="G1883" s="14" t="s">
        <v>324</v>
      </c>
    </row>
    <row r="1884" spans="1:7">
      <c r="A1884">
        <v>52</v>
      </c>
      <c r="B1884">
        <v>7</v>
      </c>
      <c r="C1884">
        <v>4</v>
      </c>
      <c r="E1884">
        <v>3</v>
      </c>
      <c r="F1884" t="str">
        <f t="shared" si="29"/>
        <v>F527G4T3</v>
      </c>
      <c r="G1884" s="14" t="s">
        <v>324</v>
      </c>
    </row>
    <row r="1885" spans="1:7">
      <c r="A1885">
        <v>52</v>
      </c>
      <c r="B1885">
        <v>1</v>
      </c>
      <c r="C1885">
        <v>5</v>
      </c>
      <c r="E1885">
        <v>3</v>
      </c>
      <c r="F1885" t="str">
        <f t="shared" si="29"/>
        <v>F521G5T3</v>
      </c>
      <c r="G1885" s="14" t="s">
        <v>324</v>
      </c>
    </row>
    <row r="1886" spans="1:7">
      <c r="A1886">
        <v>52</v>
      </c>
      <c r="B1886">
        <v>2</v>
      </c>
      <c r="C1886">
        <v>5</v>
      </c>
      <c r="E1886">
        <v>3</v>
      </c>
      <c r="F1886" t="str">
        <f t="shared" si="29"/>
        <v>F522G5T3</v>
      </c>
      <c r="G1886" s="14" t="s">
        <v>324</v>
      </c>
    </row>
    <row r="1887" spans="1:7">
      <c r="A1887">
        <v>52</v>
      </c>
      <c r="B1887">
        <v>5</v>
      </c>
      <c r="C1887">
        <v>5</v>
      </c>
      <c r="E1887">
        <v>3</v>
      </c>
      <c r="F1887" t="str">
        <f t="shared" si="29"/>
        <v>F525G5T3</v>
      </c>
      <c r="G1887" s="14" t="s">
        <v>324</v>
      </c>
    </row>
    <row r="1888" spans="1:7">
      <c r="A1888">
        <v>52</v>
      </c>
      <c r="B1888">
        <v>6</v>
      </c>
      <c r="C1888">
        <v>5</v>
      </c>
      <c r="E1888">
        <v>3</v>
      </c>
      <c r="F1888" t="str">
        <f t="shared" si="29"/>
        <v>F526G5T3</v>
      </c>
      <c r="G1888" s="14" t="s">
        <v>324</v>
      </c>
    </row>
    <row r="1889" spans="1:7">
      <c r="A1889">
        <v>52</v>
      </c>
      <c r="B1889">
        <v>7</v>
      </c>
      <c r="C1889">
        <v>5</v>
      </c>
      <c r="E1889">
        <v>3</v>
      </c>
      <c r="F1889" t="str">
        <f t="shared" si="29"/>
        <v>F527G5T3</v>
      </c>
      <c r="G1889" s="14" t="s">
        <v>324</v>
      </c>
    </row>
    <row r="1890" spans="1:7">
      <c r="A1890">
        <v>54</v>
      </c>
      <c r="B1890">
        <v>1</v>
      </c>
      <c r="C1890">
        <v>3</v>
      </c>
      <c r="E1890">
        <v>2</v>
      </c>
      <c r="F1890" t="str">
        <f t="shared" si="29"/>
        <v>F541G3T2</v>
      </c>
      <c r="G1890" s="14" t="s">
        <v>70</v>
      </c>
    </row>
    <row r="1891" spans="1:7">
      <c r="A1891">
        <v>54</v>
      </c>
      <c r="B1891">
        <v>2</v>
      </c>
      <c r="C1891">
        <v>3</v>
      </c>
      <c r="E1891">
        <v>2</v>
      </c>
      <c r="F1891" t="str">
        <f t="shared" si="29"/>
        <v>F542G3T2</v>
      </c>
      <c r="G1891" s="14" t="s">
        <v>70</v>
      </c>
    </row>
    <row r="1892" spans="1:7">
      <c r="A1892">
        <v>54</v>
      </c>
      <c r="B1892">
        <v>5</v>
      </c>
      <c r="C1892">
        <v>3</v>
      </c>
      <c r="E1892">
        <v>2</v>
      </c>
      <c r="F1892" t="str">
        <f t="shared" si="29"/>
        <v>F545G3T2</v>
      </c>
      <c r="G1892" s="14" t="s">
        <v>70</v>
      </c>
    </row>
    <row r="1893" spans="1:7">
      <c r="A1893">
        <v>54</v>
      </c>
      <c r="B1893">
        <v>6</v>
      </c>
      <c r="C1893">
        <v>3</v>
      </c>
      <c r="E1893">
        <v>2</v>
      </c>
      <c r="F1893" t="str">
        <f t="shared" si="29"/>
        <v>F546G3T2</v>
      </c>
      <c r="G1893" s="14" t="s">
        <v>70</v>
      </c>
    </row>
    <row r="1894" spans="1:7">
      <c r="A1894">
        <v>54</v>
      </c>
      <c r="B1894">
        <v>7</v>
      </c>
      <c r="C1894">
        <v>3</v>
      </c>
      <c r="E1894">
        <v>2</v>
      </c>
      <c r="F1894" t="str">
        <f t="shared" si="29"/>
        <v>F547G3T2</v>
      </c>
      <c r="G1894" s="14" t="s">
        <v>70</v>
      </c>
    </row>
    <row r="1895" spans="1:7">
      <c r="A1895">
        <v>54</v>
      </c>
      <c r="B1895">
        <v>1</v>
      </c>
      <c r="C1895">
        <v>4</v>
      </c>
      <c r="E1895">
        <v>2</v>
      </c>
      <c r="F1895" t="str">
        <f t="shared" si="29"/>
        <v>F541G4T2</v>
      </c>
      <c r="G1895" s="14" t="s">
        <v>70</v>
      </c>
    </row>
    <row r="1896" spans="1:7">
      <c r="A1896">
        <v>54</v>
      </c>
      <c r="B1896">
        <v>2</v>
      </c>
      <c r="C1896">
        <v>4</v>
      </c>
      <c r="E1896">
        <v>2</v>
      </c>
      <c r="F1896" t="str">
        <f t="shared" si="29"/>
        <v>F542G4T2</v>
      </c>
      <c r="G1896" s="14" t="s">
        <v>70</v>
      </c>
    </row>
    <row r="1897" spans="1:7">
      <c r="A1897">
        <v>54</v>
      </c>
      <c r="B1897">
        <v>5</v>
      </c>
      <c r="C1897">
        <v>4</v>
      </c>
      <c r="E1897">
        <v>2</v>
      </c>
      <c r="F1897" t="str">
        <f t="shared" si="29"/>
        <v>F545G4T2</v>
      </c>
      <c r="G1897" s="14" t="s">
        <v>70</v>
      </c>
    </row>
    <row r="1898" spans="1:7">
      <c r="A1898">
        <v>54</v>
      </c>
      <c r="B1898">
        <v>6</v>
      </c>
      <c r="C1898">
        <v>4</v>
      </c>
      <c r="E1898">
        <v>2</v>
      </c>
      <c r="F1898" t="str">
        <f t="shared" si="29"/>
        <v>F546G4T2</v>
      </c>
      <c r="G1898" s="14" t="s">
        <v>70</v>
      </c>
    </row>
    <row r="1899" spans="1:7">
      <c r="A1899">
        <v>54</v>
      </c>
      <c r="B1899">
        <v>7</v>
      </c>
      <c r="C1899">
        <v>4</v>
      </c>
      <c r="E1899">
        <v>2</v>
      </c>
      <c r="F1899" t="str">
        <f t="shared" si="29"/>
        <v>F547G4T2</v>
      </c>
      <c r="G1899" s="14" t="s">
        <v>70</v>
      </c>
    </row>
    <row r="1900" spans="1:7">
      <c r="A1900">
        <v>54</v>
      </c>
      <c r="B1900">
        <v>1</v>
      </c>
      <c r="C1900">
        <v>5</v>
      </c>
      <c r="E1900">
        <v>2</v>
      </c>
      <c r="F1900" t="str">
        <f t="shared" si="29"/>
        <v>F541G5T2</v>
      </c>
      <c r="G1900" s="14" t="s">
        <v>70</v>
      </c>
    </row>
    <row r="1901" spans="1:7">
      <c r="A1901">
        <v>54</v>
      </c>
      <c r="B1901">
        <v>2</v>
      </c>
      <c r="C1901">
        <v>5</v>
      </c>
      <c r="E1901">
        <v>2</v>
      </c>
      <c r="F1901" t="str">
        <f t="shared" si="29"/>
        <v>F542G5T2</v>
      </c>
      <c r="G1901" s="14" t="s">
        <v>70</v>
      </c>
    </row>
    <row r="1902" spans="1:7">
      <c r="A1902">
        <v>54</v>
      </c>
      <c r="B1902">
        <v>5</v>
      </c>
      <c r="C1902">
        <v>5</v>
      </c>
      <c r="E1902">
        <v>2</v>
      </c>
      <c r="F1902" t="str">
        <f t="shared" si="29"/>
        <v>F545G5T2</v>
      </c>
      <c r="G1902" s="14" t="s">
        <v>70</v>
      </c>
    </row>
    <row r="1903" spans="1:7">
      <c r="A1903">
        <v>54</v>
      </c>
      <c r="B1903">
        <v>6</v>
      </c>
      <c r="C1903">
        <v>5</v>
      </c>
      <c r="E1903">
        <v>2</v>
      </c>
      <c r="F1903" t="str">
        <f t="shared" si="29"/>
        <v>F546G5T2</v>
      </c>
      <c r="G1903" s="14" t="s">
        <v>70</v>
      </c>
    </row>
    <row r="1904" spans="1:7">
      <c r="A1904">
        <v>54</v>
      </c>
      <c r="B1904">
        <v>7</v>
      </c>
      <c r="C1904">
        <v>5</v>
      </c>
      <c r="E1904">
        <v>2</v>
      </c>
      <c r="F1904" t="str">
        <f t="shared" si="29"/>
        <v>F547G5T2</v>
      </c>
      <c r="G1904" s="14" t="s">
        <v>70</v>
      </c>
    </row>
    <row r="1905" spans="1:7">
      <c r="A1905">
        <v>54</v>
      </c>
      <c r="B1905">
        <v>1</v>
      </c>
      <c r="C1905">
        <v>3</v>
      </c>
      <c r="E1905">
        <v>3</v>
      </c>
      <c r="F1905" t="str">
        <f t="shared" si="29"/>
        <v>F541G3T3</v>
      </c>
      <c r="G1905" s="14" t="s">
        <v>324</v>
      </c>
    </row>
    <row r="1906" spans="1:7">
      <c r="A1906">
        <v>54</v>
      </c>
      <c r="B1906">
        <v>2</v>
      </c>
      <c r="C1906">
        <v>3</v>
      </c>
      <c r="E1906">
        <v>3</v>
      </c>
      <c r="F1906" t="str">
        <f t="shared" si="29"/>
        <v>F542G3T3</v>
      </c>
      <c r="G1906" s="14" t="s">
        <v>324</v>
      </c>
    </row>
    <row r="1907" spans="1:7">
      <c r="A1907">
        <v>54</v>
      </c>
      <c r="B1907">
        <v>5</v>
      </c>
      <c r="C1907">
        <v>3</v>
      </c>
      <c r="E1907">
        <v>3</v>
      </c>
      <c r="F1907" t="str">
        <f t="shared" si="29"/>
        <v>F545G3T3</v>
      </c>
      <c r="G1907" s="14" t="s">
        <v>324</v>
      </c>
    </row>
    <row r="1908" spans="1:7">
      <c r="A1908">
        <v>54</v>
      </c>
      <c r="B1908">
        <v>6</v>
      </c>
      <c r="C1908">
        <v>3</v>
      </c>
      <c r="E1908">
        <v>3</v>
      </c>
      <c r="F1908" t="str">
        <f t="shared" si="29"/>
        <v>F546G3T3</v>
      </c>
      <c r="G1908" s="14" t="s">
        <v>324</v>
      </c>
    </row>
    <row r="1909" spans="1:7">
      <c r="A1909">
        <v>54</v>
      </c>
      <c r="B1909">
        <v>7</v>
      </c>
      <c r="C1909">
        <v>3</v>
      </c>
      <c r="E1909">
        <v>3</v>
      </c>
      <c r="F1909" t="str">
        <f t="shared" si="29"/>
        <v>F547G3T3</v>
      </c>
      <c r="G1909" s="14" t="s">
        <v>324</v>
      </c>
    </row>
    <row r="1910" spans="1:7">
      <c r="A1910">
        <v>54</v>
      </c>
      <c r="B1910">
        <v>1</v>
      </c>
      <c r="C1910">
        <v>4</v>
      </c>
      <c r="E1910">
        <v>3</v>
      </c>
      <c r="F1910" t="str">
        <f t="shared" si="29"/>
        <v>F541G4T3</v>
      </c>
      <c r="G1910" s="14" t="s">
        <v>324</v>
      </c>
    </row>
    <row r="1911" spans="1:7">
      <c r="A1911">
        <v>54</v>
      </c>
      <c r="B1911">
        <v>2</v>
      </c>
      <c r="C1911">
        <v>4</v>
      </c>
      <c r="E1911">
        <v>3</v>
      </c>
      <c r="F1911" t="str">
        <f t="shared" si="29"/>
        <v>F542G4T3</v>
      </c>
      <c r="G1911" s="14" t="s">
        <v>324</v>
      </c>
    </row>
    <row r="1912" spans="1:7">
      <c r="A1912">
        <v>54</v>
      </c>
      <c r="B1912">
        <v>5</v>
      </c>
      <c r="C1912">
        <v>4</v>
      </c>
      <c r="E1912">
        <v>3</v>
      </c>
      <c r="F1912" t="str">
        <f t="shared" si="29"/>
        <v>F545G4T3</v>
      </c>
      <c r="G1912" s="14" t="s">
        <v>324</v>
      </c>
    </row>
    <row r="1913" spans="1:7">
      <c r="A1913">
        <v>54</v>
      </c>
      <c r="B1913">
        <v>6</v>
      </c>
      <c r="C1913">
        <v>4</v>
      </c>
      <c r="E1913">
        <v>3</v>
      </c>
      <c r="F1913" t="str">
        <f t="shared" si="29"/>
        <v>F546G4T3</v>
      </c>
      <c r="G1913" s="14" t="s">
        <v>324</v>
      </c>
    </row>
    <row r="1914" spans="1:7">
      <c r="A1914">
        <v>54</v>
      </c>
      <c r="B1914">
        <v>7</v>
      </c>
      <c r="C1914">
        <v>4</v>
      </c>
      <c r="E1914">
        <v>3</v>
      </c>
      <c r="F1914" t="str">
        <f t="shared" si="29"/>
        <v>F547G4T3</v>
      </c>
      <c r="G1914" s="14" t="s">
        <v>324</v>
      </c>
    </row>
    <row r="1915" spans="1:7">
      <c r="A1915">
        <v>54</v>
      </c>
      <c r="B1915">
        <v>1</v>
      </c>
      <c r="C1915">
        <v>5</v>
      </c>
      <c r="E1915">
        <v>3</v>
      </c>
      <c r="F1915" t="str">
        <f t="shared" si="29"/>
        <v>F541G5T3</v>
      </c>
      <c r="G1915" s="14" t="s">
        <v>324</v>
      </c>
    </row>
    <row r="1916" spans="1:7">
      <c r="A1916">
        <v>54</v>
      </c>
      <c r="B1916">
        <v>2</v>
      </c>
      <c r="C1916">
        <v>5</v>
      </c>
      <c r="E1916">
        <v>3</v>
      </c>
      <c r="F1916" t="str">
        <f t="shared" si="29"/>
        <v>F542G5T3</v>
      </c>
      <c r="G1916" s="14" t="s">
        <v>324</v>
      </c>
    </row>
    <row r="1917" spans="1:7">
      <c r="A1917">
        <v>54</v>
      </c>
      <c r="B1917">
        <v>5</v>
      </c>
      <c r="C1917">
        <v>5</v>
      </c>
      <c r="E1917">
        <v>3</v>
      </c>
      <c r="F1917" t="str">
        <f t="shared" si="29"/>
        <v>F545G5T3</v>
      </c>
      <c r="G1917" s="14" t="s">
        <v>324</v>
      </c>
    </row>
    <row r="1918" spans="1:7">
      <c r="A1918">
        <v>54</v>
      </c>
      <c r="B1918">
        <v>6</v>
      </c>
      <c r="C1918">
        <v>5</v>
      </c>
      <c r="E1918">
        <v>3</v>
      </c>
      <c r="F1918" t="str">
        <f t="shared" si="29"/>
        <v>F546G5T3</v>
      </c>
      <c r="G1918" s="14" t="s">
        <v>324</v>
      </c>
    </row>
    <row r="1919" spans="1:7">
      <c r="A1919">
        <v>54</v>
      </c>
      <c r="B1919">
        <v>7</v>
      </c>
      <c r="C1919">
        <v>5</v>
      </c>
      <c r="E1919">
        <v>3</v>
      </c>
      <c r="F1919" t="str">
        <f t="shared" si="29"/>
        <v>F547G5T3</v>
      </c>
      <c r="G1919" s="14" t="s">
        <v>324</v>
      </c>
    </row>
    <row r="1920" spans="1:7">
      <c r="A1920">
        <v>59</v>
      </c>
      <c r="B1920">
        <v>1</v>
      </c>
      <c r="C1920">
        <v>3</v>
      </c>
      <c r="E1920">
        <v>2</v>
      </c>
      <c r="F1920" t="str">
        <f t="shared" si="29"/>
        <v>F591G3T2</v>
      </c>
      <c r="G1920" s="14" t="s">
        <v>70</v>
      </c>
    </row>
    <row r="1921" spans="1:7">
      <c r="A1921">
        <v>59</v>
      </c>
      <c r="B1921">
        <v>2</v>
      </c>
      <c r="C1921">
        <v>3</v>
      </c>
      <c r="E1921">
        <v>2</v>
      </c>
      <c r="F1921" t="str">
        <f t="shared" si="29"/>
        <v>F592G3T2</v>
      </c>
      <c r="G1921" s="14" t="s">
        <v>70</v>
      </c>
    </row>
    <row r="1922" spans="1:7">
      <c r="A1922">
        <v>59</v>
      </c>
      <c r="B1922">
        <v>5</v>
      </c>
      <c r="C1922">
        <v>3</v>
      </c>
      <c r="E1922">
        <v>2</v>
      </c>
      <c r="F1922" t="str">
        <f t="shared" si="29"/>
        <v>F595G3T2</v>
      </c>
      <c r="G1922" s="14" t="s">
        <v>70</v>
      </c>
    </row>
    <row r="1923" spans="1:7">
      <c r="A1923">
        <v>59</v>
      </c>
      <c r="B1923">
        <v>6</v>
      </c>
      <c r="C1923">
        <v>3</v>
      </c>
      <c r="E1923">
        <v>2</v>
      </c>
      <c r="F1923" t="str">
        <f t="shared" ref="F1923:F1986" si="30">CONCATENATE("F",A1923,B1923,"G",C1923,"T",E1923)</f>
        <v>F596G3T2</v>
      </c>
      <c r="G1923" s="14" t="s">
        <v>70</v>
      </c>
    </row>
    <row r="1924" spans="1:7">
      <c r="A1924">
        <v>59</v>
      </c>
      <c r="B1924">
        <v>7</v>
      </c>
      <c r="C1924">
        <v>3</v>
      </c>
      <c r="E1924">
        <v>2</v>
      </c>
      <c r="F1924" t="str">
        <f t="shared" si="30"/>
        <v>F597G3T2</v>
      </c>
      <c r="G1924" s="14" t="s">
        <v>70</v>
      </c>
    </row>
    <row r="1925" spans="1:7">
      <c r="A1925">
        <v>59</v>
      </c>
      <c r="B1925">
        <v>1</v>
      </c>
      <c r="C1925">
        <v>4</v>
      </c>
      <c r="E1925">
        <v>2</v>
      </c>
      <c r="F1925" t="str">
        <f t="shared" si="30"/>
        <v>F591G4T2</v>
      </c>
      <c r="G1925" s="14" t="s">
        <v>70</v>
      </c>
    </row>
    <row r="1926" spans="1:7">
      <c r="A1926">
        <v>59</v>
      </c>
      <c r="B1926">
        <v>2</v>
      </c>
      <c r="C1926">
        <v>4</v>
      </c>
      <c r="E1926">
        <v>2</v>
      </c>
      <c r="F1926" t="str">
        <f t="shared" si="30"/>
        <v>F592G4T2</v>
      </c>
      <c r="G1926" s="14" t="s">
        <v>70</v>
      </c>
    </row>
    <row r="1927" spans="1:7">
      <c r="A1927">
        <v>59</v>
      </c>
      <c r="B1927">
        <v>5</v>
      </c>
      <c r="C1927">
        <v>4</v>
      </c>
      <c r="E1927">
        <v>2</v>
      </c>
      <c r="F1927" t="str">
        <f t="shared" si="30"/>
        <v>F595G4T2</v>
      </c>
      <c r="G1927" s="14" t="s">
        <v>70</v>
      </c>
    </row>
    <row r="1928" spans="1:7">
      <c r="A1928">
        <v>59</v>
      </c>
      <c r="B1928">
        <v>6</v>
      </c>
      <c r="C1928">
        <v>4</v>
      </c>
      <c r="E1928">
        <v>2</v>
      </c>
      <c r="F1928" t="str">
        <f t="shared" si="30"/>
        <v>F596G4T2</v>
      </c>
      <c r="G1928" s="14" t="s">
        <v>70</v>
      </c>
    </row>
    <row r="1929" spans="1:7">
      <c r="A1929">
        <v>59</v>
      </c>
      <c r="B1929">
        <v>7</v>
      </c>
      <c r="C1929">
        <v>4</v>
      </c>
      <c r="E1929">
        <v>2</v>
      </c>
      <c r="F1929" t="str">
        <f t="shared" si="30"/>
        <v>F597G4T2</v>
      </c>
      <c r="G1929" s="14" t="s">
        <v>70</v>
      </c>
    </row>
    <row r="1930" spans="1:7">
      <c r="A1930">
        <v>59</v>
      </c>
      <c r="B1930">
        <v>1</v>
      </c>
      <c r="C1930">
        <v>5</v>
      </c>
      <c r="E1930">
        <v>2</v>
      </c>
      <c r="F1930" t="str">
        <f t="shared" si="30"/>
        <v>F591G5T2</v>
      </c>
      <c r="G1930" s="14" t="s">
        <v>70</v>
      </c>
    </row>
    <row r="1931" spans="1:7">
      <c r="A1931">
        <v>59</v>
      </c>
      <c r="B1931">
        <v>2</v>
      </c>
      <c r="C1931">
        <v>5</v>
      </c>
      <c r="E1931">
        <v>2</v>
      </c>
      <c r="F1931" t="str">
        <f t="shared" si="30"/>
        <v>F592G5T2</v>
      </c>
      <c r="G1931" s="14" t="s">
        <v>70</v>
      </c>
    </row>
    <row r="1932" spans="1:7">
      <c r="A1932">
        <v>59</v>
      </c>
      <c r="B1932">
        <v>5</v>
      </c>
      <c r="C1932">
        <v>5</v>
      </c>
      <c r="E1932">
        <v>2</v>
      </c>
      <c r="F1932" t="str">
        <f t="shared" si="30"/>
        <v>F595G5T2</v>
      </c>
      <c r="G1932" s="14" t="s">
        <v>70</v>
      </c>
    </row>
    <row r="1933" spans="1:7">
      <c r="A1933">
        <v>59</v>
      </c>
      <c r="B1933">
        <v>6</v>
      </c>
      <c r="C1933">
        <v>5</v>
      </c>
      <c r="E1933">
        <v>2</v>
      </c>
      <c r="F1933" t="str">
        <f t="shared" si="30"/>
        <v>F596G5T2</v>
      </c>
      <c r="G1933" s="14" t="s">
        <v>70</v>
      </c>
    </row>
    <row r="1934" spans="1:7">
      <c r="A1934">
        <v>59</v>
      </c>
      <c r="B1934">
        <v>7</v>
      </c>
      <c r="C1934">
        <v>5</v>
      </c>
      <c r="E1934">
        <v>2</v>
      </c>
      <c r="F1934" t="str">
        <f t="shared" si="30"/>
        <v>F597G5T2</v>
      </c>
      <c r="G1934" s="14" t="s">
        <v>70</v>
      </c>
    </row>
    <row r="1935" spans="1:7">
      <c r="A1935">
        <v>59</v>
      </c>
      <c r="B1935">
        <v>1</v>
      </c>
      <c r="C1935">
        <v>3</v>
      </c>
      <c r="E1935">
        <v>3</v>
      </c>
      <c r="F1935" t="str">
        <f t="shared" si="30"/>
        <v>F591G3T3</v>
      </c>
      <c r="G1935" s="14" t="s">
        <v>324</v>
      </c>
    </row>
    <row r="1936" spans="1:7">
      <c r="A1936">
        <v>59</v>
      </c>
      <c r="B1936">
        <v>2</v>
      </c>
      <c r="C1936">
        <v>3</v>
      </c>
      <c r="E1936">
        <v>3</v>
      </c>
      <c r="F1936" t="str">
        <f t="shared" si="30"/>
        <v>F592G3T3</v>
      </c>
      <c r="G1936" s="14" t="s">
        <v>324</v>
      </c>
    </row>
    <row r="1937" spans="1:7">
      <c r="A1937">
        <v>59</v>
      </c>
      <c r="B1937">
        <v>5</v>
      </c>
      <c r="C1937">
        <v>3</v>
      </c>
      <c r="E1937">
        <v>3</v>
      </c>
      <c r="F1937" t="str">
        <f t="shared" si="30"/>
        <v>F595G3T3</v>
      </c>
      <c r="G1937" s="14" t="s">
        <v>324</v>
      </c>
    </row>
    <row r="1938" spans="1:7">
      <c r="A1938">
        <v>59</v>
      </c>
      <c r="B1938">
        <v>6</v>
      </c>
      <c r="C1938">
        <v>3</v>
      </c>
      <c r="E1938">
        <v>3</v>
      </c>
      <c r="F1938" t="str">
        <f t="shared" si="30"/>
        <v>F596G3T3</v>
      </c>
      <c r="G1938" s="14" t="s">
        <v>324</v>
      </c>
    </row>
    <row r="1939" spans="1:7">
      <c r="A1939">
        <v>59</v>
      </c>
      <c r="B1939">
        <v>7</v>
      </c>
      <c r="C1939">
        <v>3</v>
      </c>
      <c r="E1939">
        <v>3</v>
      </c>
      <c r="F1939" t="str">
        <f t="shared" si="30"/>
        <v>F597G3T3</v>
      </c>
      <c r="G1939" s="14" t="s">
        <v>324</v>
      </c>
    </row>
    <row r="1940" spans="1:7">
      <c r="A1940">
        <v>59</v>
      </c>
      <c r="B1940">
        <v>1</v>
      </c>
      <c r="C1940">
        <v>4</v>
      </c>
      <c r="E1940">
        <v>3</v>
      </c>
      <c r="F1940" t="str">
        <f t="shared" si="30"/>
        <v>F591G4T3</v>
      </c>
      <c r="G1940" s="14" t="s">
        <v>324</v>
      </c>
    </row>
    <row r="1941" spans="1:7">
      <c r="A1941">
        <v>59</v>
      </c>
      <c r="B1941">
        <v>2</v>
      </c>
      <c r="C1941">
        <v>4</v>
      </c>
      <c r="E1941">
        <v>3</v>
      </c>
      <c r="F1941" t="str">
        <f t="shared" si="30"/>
        <v>F592G4T3</v>
      </c>
      <c r="G1941" s="14" t="s">
        <v>324</v>
      </c>
    </row>
    <row r="1942" spans="1:7">
      <c r="A1942">
        <v>59</v>
      </c>
      <c r="B1942">
        <v>5</v>
      </c>
      <c r="C1942">
        <v>4</v>
      </c>
      <c r="E1942">
        <v>3</v>
      </c>
      <c r="F1942" t="str">
        <f t="shared" si="30"/>
        <v>F595G4T3</v>
      </c>
      <c r="G1942" s="14" t="s">
        <v>324</v>
      </c>
    </row>
    <row r="1943" spans="1:7">
      <c r="A1943">
        <v>59</v>
      </c>
      <c r="B1943">
        <v>6</v>
      </c>
      <c r="C1943">
        <v>4</v>
      </c>
      <c r="E1943">
        <v>3</v>
      </c>
      <c r="F1943" t="str">
        <f t="shared" si="30"/>
        <v>F596G4T3</v>
      </c>
      <c r="G1943" s="14" t="s">
        <v>324</v>
      </c>
    </row>
    <row r="1944" spans="1:7">
      <c r="A1944">
        <v>59</v>
      </c>
      <c r="B1944">
        <v>7</v>
      </c>
      <c r="C1944">
        <v>4</v>
      </c>
      <c r="E1944">
        <v>3</v>
      </c>
      <c r="F1944" t="str">
        <f t="shared" si="30"/>
        <v>F597G4T3</v>
      </c>
      <c r="G1944" s="14" t="s">
        <v>324</v>
      </c>
    </row>
    <row r="1945" spans="1:7">
      <c r="A1945">
        <v>59</v>
      </c>
      <c r="B1945">
        <v>1</v>
      </c>
      <c r="C1945">
        <v>5</v>
      </c>
      <c r="E1945">
        <v>3</v>
      </c>
      <c r="F1945" t="str">
        <f t="shared" si="30"/>
        <v>F591G5T3</v>
      </c>
      <c r="G1945" s="14" t="s">
        <v>324</v>
      </c>
    </row>
    <row r="1946" spans="1:7">
      <c r="A1946">
        <v>59</v>
      </c>
      <c r="B1946">
        <v>2</v>
      </c>
      <c r="C1946">
        <v>5</v>
      </c>
      <c r="E1946">
        <v>3</v>
      </c>
      <c r="F1946" t="str">
        <f t="shared" si="30"/>
        <v>F592G5T3</v>
      </c>
      <c r="G1946" s="14" t="s">
        <v>324</v>
      </c>
    </row>
    <row r="1947" spans="1:7">
      <c r="A1947">
        <v>59</v>
      </c>
      <c r="B1947">
        <v>5</v>
      </c>
      <c r="C1947">
        <v>5</v>
      </c>
      <c r="E1947">
        <v>3</v>
      </c>
      <c r="F1947" t="str">
        <f t="shared" si="30"/>
        <v>F595G5T3</v>
      </c>
      <c r="G1947" s="14" t="s">
        <v>324</v>
      </c>
    </row>
    <row r="1948" spans="1:7">
      <c r="A1948">
        <v>59</v>
      </c>
      <c r="B1948">
        <v>6</v>
      </c>
      <c r="C1948">
        <v>5</v>
      </c>
      <c r="E1948">
        <v>3</v>
      </c>
      <c r="F1948" t="str">
        <f t="shared" si="30"/>
        <v>F596G5T3</v>
      </c>
      <c r="G1948" s="14" t="s">
        <v>324</v>
      </c>
    </row>
    <row r="1949" spans="1:7">
      <c r="A1949">
        <v>59</v>
      </c>
      <c r="B1949">
        <v>7</v>
      </c>
      <c r="C1949">
        <v>5</v>
      </c>
      <c r="E1949">
        <v>3</v>
      </c>
      <c r="F1949" t="str">
        <f t="shared" si="30"/>
        <v>F597G5T3</v>
      </c>
      <c r="G1949" s="14" t="s">
        <v>324</v>
      </c>
    </row>
    <row r="1950" spans="1:7">
      <c r="A1950">
        <v>71</v>
      </c>
      <c r="B1950">
        <v>1</v>
      </c>
      <c r="C1950">
        <v>3</v>
      </c>
      <c r="E1950">
        <v>2</v>
      </c>
      <c r="F1950" t="str">
        <f t="shared" si="30"/>
        <v>F711G3T2</v>
      </c>
      <c r="G1950" s="14" t="s">
        <v>70</v>
      </c>
    </row>
    <row r="1951" spans="1:7">
      <c r="A1951">
        <v>71</v>
      </c>
      <c r="B1951">
        <v>2</v>
      </c>
      <c r="C1951">
        <v>3</v>
      </c>
      <c r="E1951">
        <v>2</v>
      </c>
      <c r="F1951" t="str">
        <f t="shared" si="30"/>
        <v>F712G3T2</v>
      </c>
      <c r="G1951" s="14" t="s">
        <v>70</v>
      </c>
    </row>
    <row r="1952" spans="1:7">
      <c r="A1952">
        <v>71</v>
      </c>
      <c r="B1952">
        <v>5</v>
      </c>
      <c r="C1952">
        <v>3</v>
      </c>
      <c r="E1952">
        <v>2</v>
      </c>
      <c r="F1952" t="str">
        <f t="shared" si="30"/>
        <v>F715G3T2</v>
      </c>
      <c r="G1952" s="14" t="s">
        <v>70</v>
      </c>
    </row>
    <row r="1953" spans="1:7">
      <c r="A1953">
        <v>71</v>
      </c>
      <c r="B1953">
        <v>6</v>
      </c>
      <c r="C1953">
        <v>3</v>
      </c>
      <c r="E1953">
        <v>2</v>
      </c>
      <c r="F1953" t="str">
        <f t="shared" si="30"/>
        <v>F716G3T2</v>
      </c>
      <c r="G1953" s="14" t="s">
        <v>70</v>
      </c>
    </row>
    <row r="1954" spans="1:7">
      <c r="A1954">
        <v>71</v>
      </c>
      <c r="B1954">
        <v>7</v>
      </c>
      <c r="C1954">
        <v>3</v>
      </c>
      <c r="E1954">
        <v>2</v>
      </c>
      <c r="F1954" t="str">
        <f t="shared" si="30"/>
        <v>F717G3T2</v>
      </c>
      <c r="G1954" s="14" t="s">
        <v>70</v>
      </c>
    </row>
    <row r="1955" spans="1:7">
      <c r="A1955">
        <v>71</v>
      </c>
      <c r="B1955">
        <v>1</v>
      </c>
      <c r="C1955">
        <v>4</v>
      </c>
      <c r="E1955">
        <v>2</v>
      </c>
      <c r="F1955" t="str">
        <f t="shared" si="30"/>
        <v>F711G4T2</v>
      </c>
      <c r="G1955" s="14" t="s">
        <v>70</v>
      </c>
    </row>
    <row r="1956" spans="1:7">
      <c r="A1956">
        <v>71</v>
      </c>
      <c r="B1956">
        <v>2</v>
      </c>
      <c r="C1956">
        <v>4</v>
      </c>
      <c r="E1956">
        <v>2</v>
      </c>
      <c r="F1956" t="str">
        <f t="shared" si="30"/>
        <v>F712G4T2</v>
      </c>
      <c r="G1956" s="14" t="s">
        <v>70</v>
      </c>
    </row>
    <row r="1957" spans="1:7">
      <c r="A1957">
        <v>71</v>
      </c>
      <c r="B1957">
        <v>5</v>
      </c>
      <c r="C1957">
        <v>4</v>
      </c>
      <c r="E1957">
        <v>2</v>
      </c>
      <c r="F1957" t="str">
        <f t="shared" si="30"/>
        <v>F715G4T2</v>
      </c>
      <c r="G1957" s="14" t="s">
        <v>70</v>
      </c>
    </row>
    <row r="1958" spans="1:7">
      <c r="A1958">
        <v>71</v>
      </c>
      <c r="B1958">
        <v>6</v>
      </c>
      <c r="C1958">
        <v>4</v>
      </c>
      <c r="E1958">
        <v>2</v>
      </c>
      <c r="F1958" t="str">
        <f t="shared" si="30"/>
        <v>F716G4T2</v>
      </c>
      <c r="G1958" s="14" t="s">
        <v>70</v>
      </c>
    </row>
    <row r="1959" spans="1:7">
      <c r="A1959">
        <v>71</v>
      </c>
      <c r="B1959">
        <v>7</v>
      </c>
      <c r="C1959">
        <v>4</v>
      </c>
      <c r="E1959">
        <v>2</v>
      </c>
      <c r="F1959" t="str">
        <f t="shared" si="30"/>
        <v>F717G4T2</v>
      </c>
      <c r="G1959" s="14" t="s">
        <v>70</v>
      </c>
    </row>
    <row r="1960" spans="1:7">
      <c r="A1960">
        <v>71</v>
      </c>
      <c r="B1960">
        <v>1</v>
      </c>
      <c r="C1960">
        <v>5</v>
      </c>
      <c r="E1960">
        <v>2</v>
      </c>
      <c r="F1960" t="str">
        <f t="shared" si="30"/>
        <v>F711G5T2</v>
      </c>
      <c r="G1960" s="14" t="s">
        <v>70</v>
      </c>
    </row>
    <row r="1961" spans="1:7">
      <c r="A1961">
        <v>71</v>
      </c>
      <c r="B1961">
        <v>2</v>
      </c>
      <c r="C1961">
        <v>5</v>
      </c>
      <c r="E1961">
        <v>2</v>
      </c>
      <c r="F1961" t="str">
        <f t="shared" si="30"/>
        <v>F712G5T2</v>
      </c>
      <c r="G1961" s="14" t="s">
        <v>70</v>
      </c>
    </row>
    <row r="1962" spans="1:7">
      <c r="A1962">
        <v>71</v>
      </c>
      <c r="B1962">
        <v>5</v>
      </c>
      <c r="C1962">
        <v>5</v>
      </c>
      <c r="E1962">
        <v>2</v>
      </c>
      <c r="F1962" t="str">
        <f t="shared" si="30"/>
        <v>F715G5T2</v>
      </c>
      <c r="G1962" s="14" t="s">
        <v>70</v>
      </c>
    </row>
    <row r="1963" spans="1:7">
      <c r="A1963">
        <v>71</v>
      </c>
      <c r="B1963">
        <v>6</v>
      </c>
      <c r="C1963">
        <v>5</v>
      </c>
      <c r="E1963">
        <v>2</v>
      </c>
      <c r="F1963" t="str">
        <f t="shared" si="30"/>
        <v>F716G5T2</v>
      </c>
      <c r="G1963" s="14" t="s">
        <v>70</v>
      </c>
    </row>
    <row r="1964" spans="1:7">
      <c r="A1964">
        <v>71</v>
      </c>
      <c r="B1964">
        <v>7</v>
      </c>
      <c r="C1964">
        <v>5</v>
      </c>
      <c r="E1964">
        <v>2</v>
      </c>
      <c r="F1964" t="str">
        <f t="shared" si="30"/>
        <v>F717G5T2</v>
      </c>
      <c r="G1964" s="14" t="s">
        <v>70</v>
      </c>
    </row>
    <row r="1965" spans="1:7">
      <c r="A1965">
        <v>71</v>
      </c>
      <c r="B1965">
        <v>1</v>
      </c>
      <c r="C1965">
        <v>3</v>
      </c>
      <c r="E1965">
        <v>3</v>
      </c>
      <c r="F1965" t="str">
        <f t="shared" si="30"/>
        <v>F711G3T3</v>
      </c>
      <c r="G1965" s="14" t="s">
        <v>324</v>
      </c>
    </row>
    <row r="1966" spans="1:7">
      <c r="A1966">
        <v>71</v>
      </c>
      <c r="B1966">
        <v>2</v>
      </c>
      <c r="C1966">
        <v>3</v>
      </c>
      <c r="E1966">
        <v>3</v>
      </c>
      <c r="F1966" t="str">
        <f t="shared" si="30"/>
        <v>F712G3T3</v>
      </c>
      <c r="G1966" s="14" t="s">
        <v>324</v>
      </c>
    </row>
    <row r="1967" spans="1:7">
      <c r="A1967">
        <v>71</v>
      </c>
      <c r="B1967">
        <v>5</v>
      </c>
      <c r="C1967">
        <v>3</v>
      </c>
      <c r="E1967">
        <v>3</v>
      </c>
      <c r="F1967" t="str">
        <f t="shared" si="30"/>
        <v>F715G3T3</v>
      </c>
      <c r="G1967" s="14" t="s">
        <v>324</v>
      </c>
    </row>
    <row r="1968" spans="1:7">
      <c r="A1968">
        <v>71</v>
      </c>
      <c r="B1968">
        <v>6</v>
      </c>
      <c r="C1968">
        <v>3</v>
      </c>
      <c r="E1968">
        <v>3</v>
      </c>
      <c r="F1968" t="str">
        <f t="shared" si="30"/>
        <v>F716G3T3</v>
      </c>
      <c r="G1968" s="14" t="s">
        <v>324</v>
      </c>
    </row>
    <row r="1969" spans="1:7">
      <c r="A1969">
        <v>71</v>
      </c>
      <c r="B1969">
        <v>7</v>
      </c>
      <c r="C1969">
        <v>3</v>
      </c>
      <c r="E1969">
        <v>3</v>
      </c>
      <c r="F1969" t="str">
        <f t="shared" si="30"/>
        <v>F717G3T3</v>
      </c>
      <c r="G1969" s="14" t="s">
        <v>324</v>
      </c>
    </row>
    <row r="1970" spans="1:7">
      <c r="A1970">
        <v>71</v>
      </c>
      <c r="B1970">
        <v>1</v>
      </c>
      <c r="C1970">
        <v>4</v>
      </c>
      <c r="E1970">
        <v>3</v>
      </c>
      <c r="F1970" t="str">
        <f t="shared" si="30"/>
        <v>F711G4T3</v>
      </c>
      <c r="G1970" s="14" t="s">
        <v>324</v>
      </c>
    </row>
    <row r="1971" spans="1:7">
      <c r="A1971">
        <v>71</v>
      </c>
      <c r="B1971">
        <v>2</v>
      </c>
      <c r="C1971">
        <v>4</v>
      </c>
      <c r="E1971">
        <v>3</v>
      </c>
      <c r="F1971" t="str">
        <f t="shared" si="30"/>
        <v>F712G4T3</v>
      </c>
      <c r="G1971" s="14" t="s">
        <v>324</v>
      </c>
    </row>
    <row r="1972" spans="1:7">
      <c r="A1972">
        <v>71</v>
      </c>
      <c r="B1972">
        <v>5</v>
      </c>
      <c r="C1972">
        <v>4</v>
      </c>
      <c r="E1972">
        <v>3</v>
      </c>
      <c r="F1972" t="str">
        <f t="shared" si="30"/>
        <v>F715G4T3</v>
      </c>
      <c r="G1972" s="14" t="s">
        <v>324</v>
      </c>
    </row>
    <row r="1973" spans="1:7">
      <c r="A1973">
        <v>71</v>
      </c>
      <c r="B1973">
        <v>6</v>
      </c>
      <c r="C1973">
        <v>4</v>
      </c>
      <c r="E1973">
        <v>3</v>
      </c>
      <c r="F1973" t="str">
        <f t="shared" si="30"/>
        <v>F716G4T3</v>
      </c>
      <c r="G1973" s="14" t="s">
        <v>324</v>
      </c>
    </row>
    <row r="1974" spans="1:7">
      <c r="A1974">
        <v>71</v>
      </c>
      <c r="B1974">
        <v>7</v>
      </c>
      <c r="C1974">
        <v>4</v>
      </c>
      <c r="E1974">
        <v>3</v>
      </c>
      <c r="F1974" t="str">
        <f t="shared" si="30"/>
        <v>F717G4T3</v>
      </c>
      <c r="G1974" s="14" t="s">
        <v>324</v>
      </c>
    </row>
    <row r="1975" spans="1:7">
      <c r="A1975">
        <v>71</v>
      </c>
      <c r="B1975">
        <v>1</v>
      </c>
      <c r="C1975">
        <v>5</v>
      </c>
      <c r="E1975">
        <v>3</v>
      </c>
      <c r="F1975" t="str">
        <f t="shared" si="30"/>
        <v>F711G5T3</v>
      </c>
      <c r="G1975" s="14" t="s">
        <v>324</v>
      </c>
    </row>
    <row r="1976" spans="1:7">
      <c r="A1976">
        <v>71</v>
      </c>
      <c r="B1976">
        <v>2</v>
      </c>
      <c r="C1976">
        <v>5</v>
      </c>
      <c r="E1976">
        <v>3</v>
      </c>
      <c r="F1976" t="str">
        <f t="shared" si="30"/>
        <v>F712G5T3</v>
      </c>
      <c r="G1976" s="14" t="s">
        <v>324</v>
      </c>
    </row>
    <row r="1977" spans="1:7">
      <c r="A1977">
        <v>71</v>
      </c>
      <c r="B1977">
        <v>5</v>
      </c>
      <c r="C1977">
        <v>5</v>
      </c>
      <c r="E1977">
        <v>3</v>
      </c>
      <c r="F1977" t="str">
        <f t="shared" si="30"/>
        <v>F715G5T3</v>
      </c>
      <c r="G1977" s="14" t="s">
        <v>324</v>
      </c>
    </row>
    <row r="1978" spans="1:7">
      <c r="A1978">
        <v>71</v>
      </c>
      <c r="B1978">
        <v>6</v>
      </c>
      <c r="C1978">
        <v>5</v>
      </c>
      <c r="E1978">
        <v>3</v>
      </c>
      <c r="F1978" t="str">
        <f t="shared" si="30"/>
        <v>F716G5T3</v>
      </c>
      <c r="G1978" s="14" t="s">
        <v>324</v>
      </c>
    </row>
    <row r="1979" spans="1:7">
      <c r="A1979">
        <v>71</v>
      </c>
      <c r="B1979">
        <v>7</v>
      </c>
      <c r="C1979">
        <v>5</v>
      </c>
      <c r="E1979">
        <v>3</v>
      </c>
      <c r="F1979" t="str">
        <f t="shared" si="30"/>
        <v>F717G5T3</v>
      </c>
      <c r="G1979" s="14" t="s">
        <v>324</v>
      </c>
    </row>
    <row r="1980" spans="1:7">
      <c r="A1980">
        <v>72</v>
      </c>
      <c r="B1980">
        <v>1</v>
      </c>
      <c r="C1980">
        <v>3</v>
      </c>
      <c r="E1980">
        <v>2</v>
      </c>
      <c r="F1980" t="str">
        <f t="shared" si="30"/>
        <v>F721G3T2</v>
      </c>
      <c r="G1980" s="14" t="s">
        <v>70</v>
      </c>
    </row>
    <row r="1981" spans="1:7">
      <c r="A1981">
        <v>72</v>
      </c>
      <c r="B1981">
        <v>2</v>
      </c>
      <c r="C1981">
        <v>3</v>
      </c>
      <c r="E1981">
        <v>2</v>
      </c>
      <c r="F1981" t="str">
        <f t="shared" si="30"/>
        <v>F722G3T2</v>
      </c>
      <c r="G1981" s="14" t="s">
        <v>70</v>
      </c>
    </row>
    <row r="1982" spans="1:7">
      <c r="A1982">
        <v>72</v>
      </c>
      <c r="B1982">
        <v>5</v>
      </c>
      <c r="C1982">
        <v>3</v>
      </c>
      <c r="E1982">
        <v>2</v>
      </c>
      <c r="F1982" t="str">
        <f t="shared" si="30"/>
        <v>F725G3T2</v>
      </c>
      <c r="G1982" s="14" t="s">
        <v>70</v>
      </c>
    </row>
    <row r="1983" spans="1:7">
      <c r="A1983">
        <v>72</v>
      </c>
      <c r="B1983">
        <v>6</v>
      </c>
      <c r="C1983">
        <v>3</v>
      </c>
      <c r="E1983">
        <v>2</v>
      </c>
      <c r="F1983" t="str">
        <f t="shared" si="30"/>
        <v>F726G3T2</v>
      </c>
      <c r="G1983" s="14" t="s">
        <v>70</v>
      </c>
    </row>
    <row r="1984" spans="1:7">
      <c r="A1984">
        <v>72</v>
      </c>
      <c r="B1984">
        <v>7</v>
      </c>
      <c r="C1984">
        <v>3</v>
      </c>
      <c r="E1984">
        <v>2</v>
      </c>
      <c r="F1984" t="str">
        <f t="shared" si="30"/>
        <v>F727G3T2</v>
      </c>
      <c r="G1984" s="14" t="s">
        <v>70</v>
      </c>
    </row>
    <row r="1985" spans="1:7">
      <c r="A1985">
        <v>72</v>
      </c>
      <c r="B1985">
        <v>1</v>
      </c>
      <c r="C1985">
        <v>4</v>
      </c>
      <c r="E1985">
        <v>2</v>
      </c>
      <c r="F1985" t="str">
        <f t="shared" si="30"/>
        <v>F721G4T2</v>
      </c>
      <c r="G1985" s="14" t="s">
        <v>70</v>
      </c>
    </row>
    <row r="1986" spans="1:7">
      <c r="A1986">
        <v>72</v>
      </c>
      <c r="B1986">
        <v>2</v>
      </c>
      <c r="C1986">
        <v>4</v>
      </c>
      <c r="E1986">
        <v>2</v>
      </c>
      <c r="F1986" t="str">
        <f t="shared" si="30"/>
        <v>F722G4T2</v>
      </c>
      <c r="G1986" s="14" t="s">
        <v>70</v>
      </c>
    </row>
    <row r="1987" spans="1:7">
      <c r="A1987">
        <v>72</v>
      </c>
      <c r="B1987">
        <v>5</v>
      </c>
      <c r="C1987">
        <v>4</v>
      </c>
      <c r="E1987">
        <v>2</v>
      </c>
      <c r="F1987" t="str">
        <f t="shared" ref="F1987:F2050" si="31">CONCATENATE("F",A1987,B1987,"G",C1987,"T",E1987)</f>
        <v>F725G4T2</v>
      </c>
      <c r="G1987" s="14" t="s">
        <v>70</v>
      </c>
    </row>
    <row r="1988" spans="1:7">
      <c r="A1988">
        <v>72</v>
      </c>
      <c r="B1988">
        <v>6</v>
      </c>
      <c r="C1988">
        <v>4</v>
      </c>
      <c r="E1988">
        <v>2</v>
      </c>
      <c r="F1988" t="str">
        <f t="shared" si="31"/>
        <v>F726G4T2</v>
      </c>
      <c r="G1988" s="14" t="s">
        <v>70</v>
      </c>
    </row>
    <row r="1989" spans="1:7">
      <c r="A1989">
        <v>72</v>
      </c>
      <c r="B1989">
        <v>7</v>
      </c>
      <c r="C1989">
        <v>4</v>
      </c>
      <c r="E1989">
        <v>2</v>
      </c>
      <c r="F1989" t="str">
        <f t="shared" si="31"/>
        <v>F727G4T2</v>
      </c>
      <c r="G1989" s="14" t="s">
        <v>70</v>
      </c>
    </row>
    <row r="1990" spans="1:7">
      <c r="A1990">
        <v>72</v>
      </c>
      <c r="B1990">
        <v>1</v>
      </c>
      <c r="C1990">
        <v>5</v>
      </c>
      <c r="E1990">
        <v>2</v>
      </c>
      <c r="F1990" t="str">
        <f t="shared" si="31"/>
        <v>F721G5T2</v>
      </c>
      <c r="G1990" s="14" t="s">
        <v>70</v>
      </c>
    </row>
    <row r="1991" spans="1:7">
      <c r="A1991">
        <v>72</v>
      </c>
      <c r="B1991">
        <v>2</v>
      </c>
      <c r="C1991">
        <v>5</v>
      </c>
      <c r="E1991">
        <v>2</v>
      </c>
      <c r="F1991" t="str">
        <f t="shared" si="31"/>
        <v>F722G5T2</v>
      </c>
      <c r="G1991" s="14" t="s">
        <v>70</v>
      </c>
    </row>
    <row r="1992" spans="1:7">
      <c r="A1992">
        <v>72</v>
      </c>
      <c r="B1992">
        <v>5</v>
      </c>
      <c r="C1992">
        <v>5</v>
      </c>
      <c r="E1992">
        <v>2</v>
      </c>
      <c r="F1992" t="str">
        <f t="shared" si="31"/>
        <v>F725G5T2</v>
      </c>
      <c r="G1992" s="14" t="s">
        <v>70</v>
      </c>
    </row>
    <row r="1993" spans="1:7">
      <c r="A1993">
        <v>72</v>
      </c>
      <c r="B1993">
        <v>6</v>
      </c>
      <c r="C1993">
        <v>5</v>
      </c>
      <c r="E1993">
        <v>2</v>
      </c>
      <c r="F1993" t="str">
        <f t="shared" si="31"/>
        <v>F726G5T2</v>
      </c>
      <c r="G1993" s="14" t="s">
        <v>70</v>
      </c>
    </row>
    <row r="1994" spans="1:7">
      <c r="A1994">
        <v>72</v>
      </c>
      <c r="B1994">
        <v>7</v>
      </c>
      <c r="C1994">
        <v>5</v>
      </c>
      <c r="E1994">
        <v>2</v>
      </c>
      <c r="F1994" t="str">
        <f t="shared" si="31"/>
        <v>F727G5T2</v>
      </c>
      <c r="G1994" s="14" t="s">
        <v>70</v>
      </c>
    </row>
    <row r="1995" spans="1:7">
      <c r="A1995">
        <v>72</v>
      </c>
      <c r="B1995">
        <v>1</v>
      </c>
      <c r="C1995">
        <v>3</v>
      </c>
      <c r="E1995">
        <v>3</v>
      </c>
      <c r="F1995" t="str">
        <f t="shared" si="31"/>
        <v>F721G3T3</v>
      </c>
      <c r="G1995" s="14" t="s">
        <v>324</v>
      </c>
    </row>
    <row r="1996" spans="1:7">
      <c r="A1996">
        <v>72</v>
      </c>
      <c r="B1996">
        <v>2</v>
      </c>
      <c r="C1996">
        <v>3</v>
      </c>
      <c r="E1996">
        <v>3</v>
      </c>
      <c r="F1996" t="str">
        <f t="shared" si="31"/>
        <v>F722G3T3</v>
      </c>
      <c r="G1996" s="14" t="s">
        <v>324</v>
      </c>
    </row>
    <row r="1997" spans="1:7">
      <c r="A1997">
        <v>72</v>
      </c>
      <c r="B1997">
        <v>5</v>
      </c>
      <c r="C1997">
        <v>3</v>
      </c>
      <c r="E1997">
        <v>3</v>
      </c>
      <c r="F1997" t="str">
        <f t="shared" si="31"/>
        <v>F725G3T3</v>
      </c>
      <c r="G1997" s="14" t="s">
        <v>324</v>
      </c>
    </row>
    <row r="1998" spans="1:7">
      <c r="A1998">
        <v>72</v>
      </c>
      <c r="B1998">
        <v>6</v>
      </c>
      <c r="C1998">
        <v>3</v>
      </c>
      <c r="E1998">
        <v>3</v>
      </c>
      <c r="F1998" t="str">
        <f t="shared" si="31"/>
        <v>F726G3T3</v>
      </c>
      <c r="G1998" s="14" t="s">
        <v>324</v>
      </c>
    </row>
    <row r="1999" spans="1:7">
      <c r="A1999">
        <v>72</v>
      </c>
      <c r="B1999">
        <v>7</v>
      </c>
      <c r="C1999">
        <v>3</v>
      </c>
      <c r="E1999">
        <v>3</v>
      </c>
      <c r="F1999" t="str">
        <f t="shared" si="31"/>
        <v>F727G3T3</v>
      </c>
      <c r="G1999" s="14" t="s">
        <v>324</v>
      </c>
    </row>
    <row r="2000" spans="1:7">
      <c r="A2000">
        <v>72</v>
      </c>
      <c r="B2000">
        <v>1</v>
      </c>
      <c r="C2000">
        <v>4</v>
      </c>
      <c r="E2000">
        <v>3</v>
      </c>
      <c r="F2000" t="str">
        <f t="shared" si="31"/>
        <v>F721G4T3</v>
      </c>
      <c r="G2000" s="14" t="s">
        <v>324</v>
      </c>
    </row>
    <row r="2001" spans="1:7">
      <c r="A2001">
        <v>72</v>
      </c>
      <c r="B2001">
        <v>2</v>
      </c>
      <c r="C2001">
        <v>4</v>
      </c>
      <c r="E2001">
        <v>3</v>
      </c>
      <c r="F2001" t="str">
        <f t="shared" si="31"/>
        <v>F722G4T3</v>
      </c>
      <c r="G2001" s="14" t="s">
        <v>324</v>
      </c>
    </row>
    <row r="2002" spans="1:7">
      <c r="A2002">
        <v>72</v>
      </c>
      <c r="B2002">
        <v>5</v>
      </c>
      <c r="C2002">
        <v>4</v>
      </c>
      <c r="E2002">
        <v>3</v>
      </c>
      <c r="F2002" t="str">
        <f t="shared" si="31"/>
        <v>F725G4T3</v>
      </c>
      <c r="G2002" s="14" t="s">
        <v>324</v>
      </c>
    </row>
    <row r="2003" spans="1:7">
      <c r="A2003">
        <v>72</v>
      </c>
      <c r="B2003">
        <v>6</v>
      </c>
      <c r="C2003">
        <v>4</v>
      </c>
      <c r="E2003">
        <v>3</v>
      </c>
      <c r="F2003" t="str">
        <f t="shared" si="31"/>
        <v>F726G4T3</v>
      </c>
      <c r="G2003" s="14" t="s">
        <v>324</v>
      </c>
    </row>
    <row r="2004" spans="1:7">
      <c r="A2004">
        <v>72</v>
      </c>
      <c r="B2004">
        <v>7</v>
      </c>
      <c r="C2004">
        <v>4</v>
      </c>
      <c r="E2004">
        <v>3</v>
      </c>
      <c r="F2004" t="str">
        <f t="shared" si="31"/>
        <v>F727G4T3</v>
      </c>
      <c r="G2004" s="14" t="s">
        <v>324</v>
      </c>
    </row>
    <row r="2005" spans="1:7">
      <c r="A2005">
        <v>72</v>
      </c>
      <c r="B2005">
        <v>1</v>
      </c>
      <c r="C2005">
        <v>5</v>
      </c>
      <c r="E2005">
        <v>3</v>
      </c>
      <c r="F2005" t="str">
        <f t="shared" si="31"/>
        <v>F721G5T3</v>
      </c>
      <c r="G2005" s="14" t="s">
        <v>324</v>
      </c>
    </row>
    <row r="2006" spans="1:7">
      <c r="A2006">
        <v>72</v>
      </c>
      <c r="B2006">
        <v>2</v>
      </c>
      <c r="C2006">
        <v>5</v>
      </c>
      <c r="E2006">
        <v>3</v>
      </c>
      <c r="F2006" t="str">
        <f t="shared" si="31"/>
        <v>F722G5T3</v>
      </c>
      <c r="G2006" s="14" t="s">
        <v>324</v>
      </c>
    </row>
    <row r="2007" spans="1:7">
      <c r="A2007">
        <v>72</v>
      </c>
      <c r="B2007">
        <v>5</v>
      </c>
      <c r="C2007">
        <v>5</v>
      </c>
      <c r="E2007">
        <v>3</v>
      </c>
      <c r="F2007" t="str">
        <f t="shared" si="31"/>
        <v>F725G5T3</v>
      </c>
      <c r="G2007" s="14" t="s">
        <v>324</v>
      </c>
    </row>
    <row r="2008" spans="1:7">
      <c r="A2008">
        <v>72</v>
      </c>
      <c r="B2008">
        <v>6</v>
      </c>
      <c r="C2008">
        <v>5</v>
      </c>
      <c r="E2008">
        <v>3</v>
      </c>
      <c r="F2008" t="str">
        <f t="shared" si="31"/>
        <v>F726G5T3</v>
      </c>
      <c r="G2008" s="14" t="s">
        <v>324</v>
      </c>
    </row>
    <row r="2009" spans="1:7">
      <c r="A2009">
        <v>72</v>
      </c>
      <c r="B2009">
        <v>7</v>
      </c>
      <c r="C2009">
        <v>5</v>
      </c>
      <c r="E2009">
        <v>3</v>
      </c>
      <c r="F2009" t="str">
        <f t="shared" si="31"/>
        <v>F727G5T3</v>
      </c>
      <c r="G2009" s="14" t="s">
        <v>324</v>
      </c>
    </row>
    <row r="2010" spans="1:7">
      <c r="A2010">
        <v>82</v>
      </c>
      <c r="B2010">
        <v>1</v>
      </c>
      <c r="C2010">
        <v>3</v>
      </c>
      <c r="E2010">
        <v>2</v>
      </c>
      <c r="F2010" t="str">
        <f t="shared" si="31"/>
        <v>F821G3T2</v>
      </c>
      <c r="G2010" s="14" t="s">
        <v>70</v>
      </c>
    </row>
    <row r="2011" spans="1:7">
      <c r="A2011">
        <v>82</v>
      </c>
      <c r="B2011">
        <v>2</v>
      </c>
      <c r="C2011">
        <v>3</v>
      </c>
      <c r="E2011">
        <v>2</v>
      </c>
      <c r="F2011" t="str">
        <f t="shared" si="31"/>
        <v>F822G3T2</v>
      </c>
      <c r="G2011" s="14" t="s">
        <v>70</v>
      </c>
    </row>
    <row r="2012" spans="1:7">
      <c r="A2012">
        <v>82</v>
      </c>
      <c r="B2012">
        <v>5</v>
      </c>
      <c r="C2012">
        <v>3</v>
      </c>
      <c r="E2012">
        <v>2</v>
      </c>
      <c r="F2012" t="str">
        <f t="shared" si="31"/>
        <v>F825G3T2</v>
      </c>
      <c r="G2012" s="14" t="s">
        <v>70</v>
      </c>
    </row>
    <row r="2013" spans="1:7">
      <c r="A2013">
        <v>82</v>
      </c>
      <c r="B2013">
        <v>6</v>
      </c>
      <c r="C2013">
        <v>3</v>
      </c>
      <c r="E2013">
        <v>2</v>
      </c>
      <c r="F2013" t="str">
        <f t="shared" si="31"/>
        <v>F826G3T2</v>
      </c>
      <c r="G2013" s="14" t="s">
        <v>70</v>
      </c>
    </row>
    <row r="2014" spans="1:7">
      <c r="A2014">
        <v>82</v>
      </c>
      <c r="B2014">
        <v>7</v>
      </c>
      <c r="C2014">
        <v>3</v>
      </c>
      <c r="E2014">
        <v>2</v>
      </c>
      <c r="F2014" t="str">
        <f t="shared" si="31"/>
        <v>F827G3T2</v>
      </c>
      <c r="G2014" s="14" t="s">
        <v>70</v>
      </c>
    </row>
    <row r="2015" spans="1:7">
      <c r="A2015">
        <v>82</v>
      </c>
      <c r="B2015">
        <v>1</v>
      </c>
      <c r="C2015">
        <v>4</v>
      </c>
      <c r="E2015">
        <v>2</v>
      </c>
      <c r="F2015" t="str">
        <f t="shared" si="31"/>
        <v>F821G4T2</v>
      </c>
      <c r="G2015" s="14" t="s">
        <v>70</v>
      </c>
    </row>
    <row r="2016" spans="1:7">
      <c r="A2016">
        <v>82</v>
      </c>
      <c r="B2016">
        <v>2</v>
      </c>
      <c r="C2016">
        <v>4</v>
      </c>
      <c r="E2016">
        <v>2</v>
      </c>
      <c r="F2016" t="str">
        <f t="shared" si="31"/>
        <v>F822G4T2</v>
      </c>
      <c r="G2016" s="14" t="s">
        <v>70</v>
      </c>
    </row>
    <row r="2017" spans="1:7">
      <c r="A2017">
        <v>82</v>
      </c>
      <c r="B2017">
        <v>5</v>
      </c>
      <c r="C2017">
        <v>4</v>
      </c>
      <c r="E2017">
        <v>2</v>
      </c>
      <c r="F2017" t="str">
        <f t="shared" si="31"/>
        <v>F825G4T2</v>
      </c>
      <c r="G2017" s="14" t="s">
        <v>70</v>
      </c>
    </row>
    <row r="2018" spans="1:7">
      <c r="A2018">
        <v>82</v>
      </c>
      <c r="B2018">
        <v>6</v>
      </c>
      <c r="C2018">
        <v>4</v>
      </c>
      <c r="E2018">
        <v>2</v>
      </c>
      <c r="F2018" t="str">
        <f t="shared" si="31"/>
        <v>F826G4T2</v>
      </c>
      <c r="G2018" s="14" t="s">
        <v>70</v>
      </c>
    </row>
    <row r="2019" spans="1:7">
      <c r="A2019">
        <v>82</v>
      </c>
      <c r="B2019">
        <v>7</v>
      </c>
      <c r="C2019">
        <v>4</v>
      </c>
      <c r="E2019">
        <v>2</v>
      </c>
      <c r="F2019" t="str">
        <f t="shared" si="31"/>
        <v>F827G4T2</v>
      </c>
      <c r="G2019" s="14" t="s">
        <v>70</v>
      </c>
    </row>
    <row r="2020" spans="1:7">
      <c r="A2020">
        <v>82</v>
      </c>
      <c r="B2020">
        <v>1</v>
      </c>
      <c r="C2020">
        <v>5</v>
      </c>
      <c r="E2020">
        <v>2</v>
      </c>
      <c r="F2020" t="str">
        <f t="shared" si="31"/>
        <v>F821G5T2</v>
      </c>
      <c r="G2020" s="14" t="s">
        <v>70</v>
      </c>
    </row>
    <row r="2021" spans="1:7">
      <c r="A2021">
        <v>82</v>
      </c>
      <c r="B2021">
        <v>2</v>
      </c>
      <c r="C2021">
        <v>5</v>
      </c>
      <c r="E2021">
        <v>2</v>
      </c>
      <c r="F2021" t="str">
        <f t="shared" si="31"/>
        <v>F822G5T2</v>
      </c>
      <c r="G2021" s="14" t="s">
        <v>70</v>
      </c>
    </row>
    <row r="2022" spans="1:7">
      <c r="A2022">
        <v>82</v>
      </c>
      <c r="B2022">
        <v>5</v>
      </c>
      <c r="C2022">
        <v>5</v>
      </c>
      <c r="E2022">
        <v>2</v>
      </c>
      <c r="F2022" t="str">
        <f t="shared" si="31"/>
        <v>F825G5T2</v>
      </c>
      <c r="G2022" s="14" t="s">
        <v>70</v>
      </c>
    </row>
    <row r="2023" spans="1:7">
      <c r="A2023">
        <v>82</v>
      </c>
      <c r="B2023">
        <v>6</v>
      </c>
      <c r="C2023">
        <v>5</v>
      </c>
      <c r="E2023">
        <v>2</v>
      </c>
      <c r="F2023" t="str">
        <f t="shared" si="31"/>
        <v>F826G5T2</v>
      </c>
      <c r="G2023" s="14" t="s">
        <v>70</v>
      </c>
    </row>
    <row r="2024" spans="1:7">
      <c r="A2024">
        <v>82</v>
      </c>
      <c r="B2024">
        <v>7</v>
      </c>
      <c r="C2024">
        <v>5</v>
      </c>
      <c r="E2024">
        <v>2</v>
      </c>
      <c r="F2024" t="str">
        <f t="shared" si="31"/>
        <v>F827G5T2</v>
      </c>
      <c r="G2024" s="14" t="s">
        <v>70</v>
      </c>
    </row>
    <row r="2025" spans="1:7">
      <c r="A2025">
        <v>82</v>
      </c>
      <c r="B2025">
        <v>1</v>
      </c>
      <c r="C2025">
        <v>3</v>
      </c>
      <c r="E2025">
        <v>3</v>
      </c>
      <c r="F2025" t="str">
        <f t="shared" si="31"/>
        <v>F821G3T3</v>
      </c>
      <c r="G2025" s="14" t="s">
        <v>324</v>
      </c>
    </row>
    <row r="2026" spans="1:7">
      <c r="A2026">
        <v>82</v>
      </c>
      <c r="B2026">
        <v>2</v>
      </c>
      <c r="C2026">
        <v>3</v>
      </c>
      <c r="E2026">
        <v>3</v>
      </c>
      <c r="F2026" t="str">
        <f t="shared" si="31"/>
        <v>F822G3T3</v>
      </c>
      <c r="G2026" s="14" t="s">
        <v>324</v>
      </c>
    </row>
    <row r="2027" spans="1:7">
      <c r="A2027">
        <v>82</v>
      </c>
      <c r="B2027">
        <v>5</v>
      </c>
      <c r="C2027">
        <v>3</v>
      </c>
      <c r="E2027">
        <v>3</v>
      </c>
      <c r="F2027" t="str">
        <f t="shared" si="31"/>
        <v>F825G3T3</v>
      </c>
      <c r="G2027" s="14" t="s">
        <v>324</v>
      </c>
    </row>
    <row r="2028" spans="1:7">
      <c r="A2028">
        <v>82</v>
      </c>
      <c r="B2028">
        <v>6</v>
      </c>
      <c r="C2028">
        <v>3</v>
      </c>
      <c r="E2028">
        <v>3</v>
      </c>
      <c r="F2028" t="str">
        <f t="shared" si="31"/>
        <v>F826G3T3</v>
      </c>
      <c r="G2028" s="14" t="s">
        <v>324</v>
      </c>
    </row>
    <row r="2029" spans="1:7">
      <c r="A2029">
        <v>82</v>
      </c>
      <c r="B2029">
        <v>7</v>
      </c>
      <c r="C2029">
        <v>3</v>
      </c>
      <c r="E2029">
        <v>3</v>
      </c>
      <c r="F2029" t="str">
        <f t="shared" si="31"/>
        <v>F827G3T3</v>
      </c>
      <c r="G2029" s="14" t="s">
        <v>324</v>
      </c>
    </row>
    <row r="2030" spans="1:7">
      <c r="A2030">
        <v>82</v>
      </c>
      <c r="B2030">
        <v>1</v>
      </c>
      <c r="C2030">
        <v>4</v>
      </c>
      <c r="E2030">
        <v>3</v>
      </c>
      <c r="F2030" t="str">
        <f t="shared" si="31"/>
        <v>F821G4T3</v>
      </c>
      <c r="G2030" s="14" t="s">
        <v>324</v>
      </c>
    </row>
    <row r="2031" spans="1:7">
      <c r="A2031">
        <v>82</v>
      </c>
      <c r="B2031">
        <v>2</v>
      </c>
      <c r="C2031">
        <v>4</v>
      </c>
      <c r="E2031">
        <v>3</v>
      </c>
      <c r="F2031" t="str">
        <f t="shared" si="31"/>
        <v>F822G4T3</v>
      </c>
      <c r="G2031" s="14" t="s">
        <v>324</v>
      </c>
    </row>
    <row r="2032" spans="1:7">
      <c r="A2032">
        <v>82</v>
      </c>
      <c r="B2032">
        <v>5</v>
      </c>
      <c r="C2032">
        <v>4</v>
      </c>
      <c r="E2032">
        <v>3</v>
      </c>
      <c r="F2032" t="str">
        <f t="shared" si="31"/>
        <v>F825G4T3</v>
      </c>
      <c r="G2032" s="14" t="s">
        <v>324</v>
      </c>
    </row>
    <row r="2033" spans="1:7">
      <c r="A2033">
        <v>82</v>
      </c>
      <c r="B2033">
        <v>6</v>
      </c>
      <c r="C2033">
        <v>4</v>
      </c>
      <c r="E2033">
        <v>3</v>
      </c>
      <c r="F2033" t="str">
        <f t="shared" si="31"/>
        <v>F826G4T3</v>
      </c>
      <c r="G2033" s="14" t="s">
        <v>324</v>
      </c>
    </row>
    <row r="2034" spans="1:7">
      <c r="A2034">
        <v>82</v>
      </c>
      <c r="B2034">
        <v>7</v>
      </c>
      <c r="C2034">
        <v>4</v>
      </c>
      <c r="E2034">
        <v>3</v>
      </c>
      <c r="F2034" t="str">
        <f t="shared" si="31"/>
        <v>F827G4T3</v>
      </c>
      <c r="G2034" s="14" t="s">
        <v>324</v>
      </c>
    </row>
    <row r="2035" spans="1:7">
      <c r="A2035">
        <v>82</v>
      </c>
      <c r="B2035">
        <v>1</v>
      </c>
      <c r="C2035">
        <v>5</v>
      </c>
      <c r="E2035">
        <v>3</v>
      </c>
      <c r="F2035" t="str">
        <f t="shared" si="31"/>
        <v>F821G5T3</v>
      </c>
      <c r="G2035" s="14" t="s">
        <v>324</v>
      </c>
    </row>
    <row r="2036" spans="1:7">
      <c r="A2036">
        <v>82</v>
      </c>
      <c r="B2036">
        <v>2</v>
      </c>
      <c r="C2036">
        <v>5</v>
      </c>
      <c r="E2036">
        <v>3</v>
      </c>
      <c r="F2036" t="str">
        <f t="shared" si="31"/>
        <v>F822G5T3</v>
      </c>
      <c r="G2036" s="14" t="s">
        <v>324</v>
      </c>
    </row>
    <row r="2037" spans="1:7">
      <c r="A2037">
        <v>82</v>
      </c>
      <c r="B2037">
        <v>5</v>
      </c>
      <c r="C2037">
        <v>5</v>
      </c>
      <c r="E2037">
        <v>3</v>
      </c>
      <c r="F2037" t="str">
        <f t="shared" si="31"/>
        <v>F825G5T3</v>
      </c>
      <c r="G2037" s="14" t="s">
        <v>324</v>
      </c>
    </row>
    <row r="2038" spans="1:7">
      <c r="A2038">
        <v>82</v>
      </c>
      <c r="B2038">
        <v>6</v>
      </c>
      <c r="C2038">
        <v>5</v>
      </c>
      <c r="E2038">
        <v>3</v>
      </c>
      <c r="F2038" t="str">
        <f t="shared" si="31"/>
        <v>F826G5T3</v>
      </c>
      <c r="G2038" s="14" t="s">
        <v>324</v>
      </c>
    </row>
    <row r="2039" spans="1:7">
      <c r="A2039">
        <v>82</v>
      </c>
      <c r="B2039">
        <v>7</v>
      </c>
      <c r="C2039">
        <v>5</v>
      </c>
      <c r="E2039">
        <v>3</v>
      </c>
      <c r="F2039" t="str">
        <f t="shared" si="31"/>
        <v>F827G5T3</v>
      </c>
      <c r="G2039" s="14" t="s">
        <v>324</v>
      </c>
    </row>
    <row r="2040" spans="1:7">
      <c r="A2040">
        <v>83</v>
      </c>
      <c r="B2040">
        <v>1</v>
      </c>
      <c r="C2040">
        <v>3</v>
      </c>
      <c r="E2040">
        <v>2</v>
      </c>
      <c r="F2040" t="str">
        <f t="shared" si="31"/>
        <v>F831G3T2</v>
      </c>
      <c r="G2040" s="14" t="s">
        <v>70</v>
      </c>
    </row>
    <row r="2041" spans="1:7">
      <c r="A2041">
        <v>83</v>
      </c>
      <c r="B2041">
        <v>2</v>
      </c>
      <c r="C2041">
        <v>3</v>
      </c>
      <c r="E2041">
        <v>2</v>
      </c>
      <c r="F2041" t="str">
        <f t="shared" si="31"/>
        <v>F832G3T2</v>
      </c>
      <c r="G2041" s="14" t="s">
        <v>70</v>
      </c>
    </row>
    <row r="2042" spans="1:7">
      <c r="A2042">
        <v>83</v>
      </c>
      <c r="B2042">
        <v>5</v>
      </c>
      <c r="C2042">
        <v>3</v>
      </c>
      <c r="E2042">
        <v>2</v>
      </c>
      <c r="F2042" t="str">
        <f t="shared" si="31"/>
        <v>F835G3T2</v>
      </c>
      <c r="G2042" s="14" t="s">
        <v>70</v>
      </c>
    </row>
    <row r="2043" spans="1:7">
      <c r="A2043">
        <v>83</v>
      </c>
      <c r="B2043">
        <v>6</v>
      </c>
      <c r="C2043">
        <v>3</v>
      </c>
      <c r="E2043">
        <v>2</v>
      </c>
      <c r="F2043" t="str">
        <f t="shared" si="31"/>
        <v>F836G3T2</v>
      </c>
      <c r="G2043" s="14" t="s">
        <v>70</v>
      </c>
    </row>
    <row r="2044" spans="1:7">
      <c r="A2044">
        <v>83</v>
      </c>
      <c r="B2044">
        <v>7</v>
      </c>
      <c r="C2044">
        <v>3</v>
      </c>
      <c r="E2044">
        <v>2</v>
      </c>
      <c r="F2044" t="str">
        <f t="shared" si="31"/>
        <v>F837G3T2</v>
      </c>
      <c r="G2044" s="14" t="s">
        <v>70</v>
      </c>
    </row>
    <row r="2045" spans="1:7">
      <c r="A2045">
        <v>83</v>
      </c>
      <c r="B2045">
        <v>1</v>
      </c>
      <c r="C2045">
        <v>4</v>
      </c>
      <c r="E2045">
        <v>2</v>
      </c>
      <c r="F2045" t="str">
        <f t="shared" si="31"/>
        <v>F831G4T2</v>
      </c>
      <c r="G2045" s="14" t="s">
        <v>70</v>
      </c>
    </row>
    <row r="2046" spans="1:7">
      <c r="A2046">
        <v>83</v>
      </c>
      <c r="B2046">
        <v>2</v>
      </c>
      <c r="C2046">
        <v>4</v>
      </c>
      <c r="E2046">
        <v>2</v>
      </c>
      <c r="F2046" t="str">
        <f t="shared" si="31"/>
        <v>F832G4T2</v>
      </c>
      <c r="G2046" s="14" t="s">
        <v>70</v>
      </c>
    </row>
    <row r="2047" spans="1:7">
      <c r="A2047">
        <v>83</v>
      </c>
      <c r="B2047">
        <v>5</v>
      </c>
      <c r="C2047">
        <v>4</v>
      </c>
      <c r="E2047">
        <v>2</v>
      </c>
      <c r="F2047" t="str">
        <f t="shared" si="31"/>
        <v>F835G4T2</v>
      </c>
      <c r="G2047" s="14" t="s">
        <v>70</v>
      </c>
    </row>
    <row r="2048" spans="1:7">
      <c r="A2048">
        <v>83</v>
      </c>
      <c r="B2048">
        <v>6</v>
      </c>
      <c r="C2048">
        <v>4</v>
      </c>
      <c r="E2048">
        <v>2</v>
      </c>
      <c r="F2048" t="str">
        <f t="shared" si="31"/>
        <v>F836G4T2</v>
      </c>
      <c r="G2048" s="14" t="s">
        <v>70</v>
      </c>
    </row>
    <row r="2049" spans="1:7">
      <c r="A2049">
        <v>83</v>
      </c>
      <c r="B2049">
        <v>7</v>
      </c>
      <c r="C2049">
        <v>4</v>
      </c>
      <c r="E2049">
        <v>2</v>
      </c>
      <c r="F2049" t="str">
        <f t="shared" si="31"/>
        <v>F837G4T2</v>
      </c>
      <c r="G2049" s="14" t="s">
        <v>70</v>
      </c>
    </row>
    <row r="2050" spans="1:7">
      <c r="A2050">
        <v>83</v>
      </c>
      <c r="B2050">
        <v>1</v>
      </c>
      <c r="C2050">
        <v>5</v>
      </c>
      <c r="E2050">
        <v>2</v>
      </c>
      <c r="F2050" t="str">
        <f t="shared" si="31"/>
        <v>F831G5T2</v>
      </c>
      <c r="G2050" s="14" t="s">
        <v>70</v>
      </c>
    </row>
    <row r="2051" spans="1:7">
      <c r="A2051">
        <v>83</v>
      </c>
      <c r="B2051">
        <v>2</v>
      </c>
      <c r="C2051">
        <v>5</v>
      </c>
      <c r="E2051">
        <v>2</v>
      </c>
      <c r="F2051" t="str">
        <f t="shared" ref="F2051:F2114" si="32">CONCATENATE("F",A2051,B2051,"G",C2051,"T",E2051)</f>
        <v>F832G5T2</v>
      </c>
      <c r="G2051" s="14" t="s">
        <v>70</v>
      </c>
    </row>
    <row r="2052" spans="1:7">
      <c r="A2052">
        <v>83</v>
      </c>
      <c r="B2052">
        <v>5</v>
      </c>
      <c r="C2052">
        <v>5</v>
      </c>
      <c r="E2052">
        <v>2</v>
      </c>
      <c r="F2052" t="str">
        <f t="shared" si="32"/>
        <v>F835G5T2</v>
      </c>
      <c r="G2052" s="14" t="s">
        <v>70</v>
      </c>
    </row>
    <row r="2053" spans="1:7">
      <c r="A2053">
        <v>83</v>
      </c>
      <c r="B2053">
        <v>6</v>
      </c>
      <c r="C2053">
        <v>5</v>
      </c>
      <c r="E2053">
        <v>2</v>
      </c>
      <c r="F2053" t="str">
        <f t="shared" si="32"/>
        <v>F836G5T2</v>
      </c>
      <c r="G2053" s="14" t="s">
        <v>70</v>
      </c>
    </row>
    <row r="2054" spans="1:7">
      <c r="A2054">
        <v>83</v>
      </c>
      <c r="B2054">
        <v>7</v>
      </c>
      <c r="C2054">
        <v>5</v>
      </c>
      <c r="E2054">
        <v>2</v>
      </c>
      <c r="F2054" t="str">
        <f t="shared" si="32"/>
        <v>F837G5T2</v>
      </c>
      <c r="G2054" s="14" t="s">
        <v>70</v>
      </c>
    </row>
    <row r="2055" spans="1:7">
      <c r="A2055">
        <v>83</v>
      </c>
      <c r="B2055">
        <v>1</v>
      </c>
      <c r="C2055">
        <v>3</v>
      </c>
      <c r="E2055">
        <v>3</v>
      </c>
      <c r="F2055" t="str">
        <f t="shared" si="32"/>
        <v>F831G3T3</v>
      </c>
      <c r="G2055" s="14" t="s">
        <v>324</v>
      </c>
    </row>
    <row r="2056" spans="1:7">
      <c r="A2056">
        <v>83</v>
      </c>
      <c r="B2056">
        <v>2</v>
      </c>
      <c r="C2056">
        <v>3</v>
      </c>
      <c r="E2056">
        <v>3</v>
      </c>
      <c r="F2056" t="str">
        <f t="shared" si="32"/>
        <v>F832G3T3</v>
      </c>
      <c r="G2056" s="14" t="s">
        <v>324</v>
      </c>
    </row>
    <row r="2057" spans="1:7">
      <c r="A2057">
        <v>83</v>
      </c>
      <c r="B2057">
        <v>5</v>
      </c>
      <c r="C2057">
        <v>3</v>
      </c>
      <c r="E2057">
        <v>3</v>
      </c>
      <c r="F2057" t="str">
        <f t="shared" si="32"/>
        <v>F835G3T3</v>
      </c>
      <c r="G2057" s="14" t="s">
        <v>324</v>
      </c>
    </row>
    <row r="2058" spans="1:7">
      <c r="A2058">
        <v>83</v>
      </c>
      <c r="B2058">
        <v>6</v>
      </c>
      <c r="C2058">
        <v>3</v>
      </c>
      <c r="E2058">
        <v>3</v>
      </c>
      <c r="F2058" t="str">
        <f t="shared" si="32"/>
        <v>F836G3T3</v>
      </c>
      <c r="G2058" s="14" t="s">
        <v>324</v>
      </c>
    </row>
    <row r="2059" spans="1:7">
      <c r="A2059">
        <v>83</v>
      </c>
      <c r="B2059">
        <v>7</v>
      </c>
      <c r="C2059">
        <v>3</v>
      </c>
      <c r="E2059">
        <v>3</v>
      </c>
      <c r="F2059" t="str">
        <f t="shared" si="32"/>
        <v>F837G3T3</v>
      </c>
      <c r="G2059" s="14" t="s">
        <v>324</v>
      </c>
    </row>
    <row r="2060" spans="1:7">
      <c r="A2060">
        <v>83</v>
      </c>
      <c r="B2060">
        <v>1</v>
      </c>
      <c r="C2060">
        <v>4</v>
      </c>
      <c r="E2060">
        <v>3</v>
      </c>
      <c r="F2060" t="str">
        <f t="shared" si="32"/>
        <v>F831G4T3</v>
      </c>
      <c r="G2060" s="14" t="s">
        <v>324</v>
      </c>
    </row>
    <row r="2061" spans="1:7">
      <c r="A2061">
        <v>83</v>
      </c>
      <c r="B2061">
        <v>2</v>
      </c>
      <c r="C2061">
        <v>4</v>
      </c>
      <c r="E2061">
        <v>3</v>
      </c>
      <c r="F2061" t="str">
        <f t="shared" si="32"/>
        <v>F832G4T3</v>
      </c>
      <c r="G2061" s="14" t="s">
        <v>324</v>
      </c>
    </row>
    <row r="2062" spans="1:7">
      <c r="A2062">
        <v>83</v>
      </c>
      <c r="B2062">
        <v>5</v>
      </c>
      <c r="C2062">
        <v>4</v>
      </c>
      <c r="E2062">
        <v>3</v>
      </c>
      <c r="F2062" t="str">
        <f t="shared" si="32"/>
        <v>F835G4T3</v>
      </c>
      <c r="G2062" s="14" t="s">
        <v>324</v>
      </c>
    </row>
    <row r="2063" spans="1:7">
      <c r="A2063">
        <v>83</v>
      </c>
      <c r="B2063">
        <v>6</v>
      </c>
      <c r="C2063">
        <v>4</v>
      </c>
      <c r="E2063">
        <v>3</v>
      </c>
      <c r="F2063" t="str">
        <f t="shared" si="32"/>
        <v>F836G4T3</v>
      </c>
      <c r="G2063" s="14" t="s">
        <v>324</v>
      </c>
    </row>
    <row r="2064" spans="1:7">
      <c r="A2064">
        <v>83</v>
      </c>
      <c r="B2064">
        <v>7</v>
      </c>
      <c r="C2064">
        <v>4</v>
      </c>
      <c r="E2064">
        <v>3</v>
      </c>
      <c r="F2064" t="str">
        <f t="shared" si="32"/>
        <v>F837G4T3</v>
      </c>
      <c r="G2064" s="14" t="s">
        <v>324</v>
      </c>
    </row>
    <row r="2065" spans="1:7">
      <c r="A2065">
        <v>83</v>
      </c>
      <c r="B2065">
        <v>1</v>
      </c>
      <c r="C2065">
        <v>5</v>
      </c>
      <c r="E2065">
        <v>3</v>
      </c>
      <c r="F2065" t="str">
        <f t="shared" si="32"/>
        <v>F831G5T3</v>
      </c>
      <c r="G2065" s="14" t="s">
        <v>324</v>
      </c>
    </row>
    <row r="2066" spans="1:7">
      <c r="A2066">
        <v>83</v>
      </c>
      <c r="B2066">
        <v>2</v>
      </c>
      <c r="C2066">
        <v>5</v>
      </c>
      <c r="E2066">
        <v>3</v>
      </c>
      <c r="F2066" t="str">
        <f t="shared" si="32"/>
        <v>F832G5T3</v>
      </c>
      <c r="G2066" s="14" t="s">
        <v>324</v>
      </c>
    </row>
    <row r="2067" spans="1:7">
      <c r="A2067">
        <v>83</v>
      </c>
      <c r="B2067">
        <v>5</v>
      </c>
      <c r="C2067">
        <v>5</v>
      </c>
      <c r="E2067">
        <v>3</v>
      </c>
      <c r="F2067" t="str">
        <f t="shared" si="32"/>
        <v>F835G5T3</v>
      </c>
      <c r="G2067" s="14" t="s">
        <v>324</v>
      </c>
    </row>
    <row r="2068" spans="1:7">
      <c r="A2068">
        <v>83</v>
      </c>
      <c r="B2068">
        <v>6</v>
      </c>
      <c r="C2068">
        <v>5</v>
      </c>
      <c r="E2068">
        <v>3</v>
      </c>
      <c r="F2068" t="str">
        <f t="shared" si="32"/>
        <v>F836G5T3</v>
      </c>
      <c r="G2068" s="14" t="s">
        <v>324</v>
      </c>
    </row>
    <row r="2069" spans="1:7">
      <c r="A2069">
        <v>83</v>
      </c>
      <c r="B2069">
        <v>7</v>
      </c>
      <c r="C2069">
        <v>5</v>
      </c>
      <c r="E2069">
        <v>3</v>
      </c>
      <c r="F2069" t="str">
        <f t="shared" si="32"/>
        <v>F837G5T3</v>
      </c>
      <c r="G2069" s="14" t="s">
        <v>324</v>
      </c>
    </row>
    <row r="2070" spans="1:7">
      <c r="A2070">
        <v>91</v>
      </c>
      <c r="B2070">
        <v>1</v>
      </c>
      <c r="C2070">
        <v>3</v>
      </c>
      <c r="E2070">
        <v>2</v>
      </c>
      <c r="F2070" t="str">
        <f t="shared" si="32"/>
        <v>F911G3T2</v>
      </c>
      <c r="G2070" s="14" t="s">
        <v>70</v>
      </c>
    </row>
    <row r="2071" spans="1:7">
      <c r="A2071">
        <v>91</v>
      </c>
      <c r="B2071">
        <v>2</v>
      </c>
      <c r="C2071">
        <v>3</v>
      </c>
      <c r="E2071">
        <v>2</v>
      </c>
      <c r="F2071" t="str">
        <f t="shared" si="32"/>
        <v>F912G3T2</v>
      </c>
      <c r="G2071" s="14" t="s">
        <v>70</v>
      </c>
    </row>
    <row r="2072" spans="1:7">
      <c r="A2072">
        <v>91</v>
      </c>
      <c r="B2072">
        <v>5</v>
      </c>
      <c r="C2072">
        <v>3</v>
      </c>
      <c r="E2072">
        <v>2</v>
      </c>
      <c r="F2072" t="str">
        <f t="shared" si="32"/>
        <v>F915G3T2</v>
      </c>
      <c r="G2072" s="14" t="s">
        <v>70</v>
      </c>
    </row>
    <row r="2073" spans="1:7">
      <c r="A2073">
        <v>91</v>
      </c>
      <c r="B2073">
        <v>6</v>
      </c>
      <c r="C2073">
        <v>3</v>
      </c>
      <c r="E2073">
        <v>2</v>
      </c>
      <c r="F2073" t="str">
        <f t="shared" si="32"/>
        <v>F916G3T2</v>
      </c>
      <c r="G2073" s="14" t="s">
        <v>70</v>
      </c>
    </row>
    <row r="2074" spans="1:7">
      <c r="A2074">
        <v>91</v>
      </c>
      <c r="B2074">
        <v>7</v>
      </c>
      <c r="C2074">
        <v>3</v>
      </c>
      <c r="E2074">
        <v>2</v>
      </c>
      <c r="F2074" t="str">
        <f t="shared" si="32"/>
        <v>F917G3T2</v>
      </c>
      <c r="G2074" s="14" t="s">
        <v>70</v>
      </c>
    </row>
    <row r="2075" spans="1:7">
      <c r="A2075">
        <v>91</v>
      </c>
      <c r="B2075">
        <v>1</v>
      </c>
      <c r="C2075">
        <v>4</v>
      </c>
      <c r="E2075">
        <v>2</v>
      </c>
      <c r="F2075" t="str">
        <f t="shared" si="32"/>
        <v>F911G4T2</v>
      </c>
      <c r="G2075" s="14" t="s">
        <v>70</v>
      </c>
    </row>
    <row r="2076" spans="1:7">
      <c r="A2076">
        <v>91</v>
      </c>
      <c r="B2076">
        <v>2</v>
      </c>
      <c r="C2076">
        <v>4</v>
      </c>
      <c r="E2076">
        <v>2</v>
      </c>
      <c r="F2076" t="str">
        <f t="shared" si="32"/>
        <v>F912G4T2</v>
      </c>
      <c r="G2076" s="14" t="s">
        <v>70</v>
      </c>
    </row>
    <row r="2077" spans="1:7">
      <c r="A2077">
        <v>91</v>
      </c>
      <c r="B2077">
        <v>5</v>
      </c>
      <c r="C2077">
        <v>4</v>
      </c>
      <c r="E2077">
        <v>2</v>
      </c>
      <c r="F2077" t="str">
        <f t="shared" si="32"/>
        <v>F915G4T2</v>
      </c>
      <c r="G2077" s="14" t="s">
        <v>70</v>
      </c>
    </row>
    <row r="2078" spans="1:7">
      <c r="A2078">
        <v>91</v>
      </c>
      <c r="B2078">
        <v>6</v>
      </c>
      <c r="C2078">
        <v>4</v>
      </c>
      <c r="E2078">
        <v>2</v>
      </c>
      <c r="F2078" t="str">
        <f t="shared" si="32"/>
        <v>F916G4T2</v>
      </c>
      <c r="G2078" s="14" t="s">
        <v>70</v>
      </c>
    </row>
    <row r="2079" spans="1:7">
      <c r="A2079">
        <v>91</v>
      </c>
      <c r="B2079">
        <v>7</v>
      </c>
      <c r="C2079">
        <v>4</v>
      </c>
      <c r="E2079">
        <v>2</v>
      </c>
      <c r="F2079" t="str">
        <f t="shared" si="32"/>
        <v>F917G4T2</v>
      </c>
      <c r="G2079" s="14" t="s">
        <v>70</v>
      </c>
    </row>
    <row r="2080" spans="1:7">
      <c r="A2080">
        <v>91</v>
      </c>
      <c r="B2080">
        <v>1</v>
      </c>
      <c r="C2080">
        <v>5</v>
      </c>
      <c r="E2080">
        <v>2</v>
      </c>
      <c r="F2080" t="str">
        <f t="shared" si="32"/>
        <v>F911G5T2</v>
      </c>
      <c r="G2080" s="14" t="s">
        <v>70</v>
      </c>
    </row>
    <row r="2081" spans="1:7">
      <c r="A2081">
        <v>91</v>
      </c>
      <c r="B2081">
        <v>2</v>
      </c>
      <c r="C2081">
        <v>5</v>
      </c>
      <c r="E2081">
        <v>2</v>
      </c>
      <c r="F2081" t="str">
        <f t="shared" si="32"/>
        <v>F912G5T2</v>
      </c>
      <c r="G2081" s="14" t="s">
        <v>70</v>
      </c>
    </row>
    <row r="2082" spans="1:7">
      <c r="A2082">
        <v>91</v>
      </c>
      <c r="B2082">
        <v>5</v>
      </c>
      <c r="C2082">
        <v>5</v>
      </c>
      <c r="E2082">
        <v>2</v>
      </c>
      <c r="F2082" t="str">
        <f t="shared" si="32"/>
        <v>F915G5T2</v>
      </c>
      <c r="G2082" s="14" t="s">
        <v>70</v>
      </c>
    </row>
    <row r="2083" spans="1:7">
      <c r="A2083">
        <v>91</v>
      </c>
      <c r="B2083">
        <v>6</v>
      </c>
      <c r="C2083">
        <v>5</v>
      </c>
      <c r="E2083">
        <v>2</v>
      </c>
      <c r="F2083" t="str">
        <f t="shared" si="32"/>
        <v>F916G5T2</v>
      </c>
      <c r="G2083" s="14" t="s">
        <v>70</v>
      </c>
    </row>
    <row r="2084" spans="1:7">
      <c r="A2084">
        <v>91</v>
      </c>
      <c r="B2084">
        <v>7</v>
      </c>
      <c r="C2084">
        <v>5</v>
      </c>
      <c r="E2084">
        <v>2</v>
      </c>
      <c r="F2084" t="str">
        <f t="shared" si="32"/>
        <v>F917G5T2</v>
      </c>
      <c r="G2084" s="14" t="s">
        <v>70</v>
      </c>
    </row>
    <row r="2085" spans="1:7">
      <c r="A2085">
        <v>91</v>
      </c>
      <c r="B2085">
        <v>1</v>
      </c>
      <c r="C2085">
        <v>3</v>
      </c>
      <c r="E2085">
        <v>3</v>
      </c>
      <c r="F2085" t="str">
        <f t="shared" si="32"/>
        <v>F911G3T3</v>
      </c>
      <c r="G2085" s="14" t="s">
        <v>324</v>
      </c>
    </row>
    <row r="2086" spans="1:7">
      <c r="A2086">
        <v>91</v>
      </c>
      <c r="B2086">
        <v>2</v>
      </c>
      <c r="C2086">
        <v>3</v>
      </c>
      <c r="E2086">
        <v>3</v>
      </c>
      <c r="F2086" t="str">
        <f t="shared" si="32"/>
        <v>F912G3T3</v>
      </c>
      <c r="G2086" s="14" t="s">
        <v>324</v>
      </c>
    </row>
    <row r="2087" spans="1:7">
      <c r="A2087">
        <v>91</v>
      </c>
      <c r="B2087">
        <v>5</v>
      </c>
      <c r="C2087">
        <v>3</v>
      </c>
      <c r="E2087">
        <v>3</v>
      </c>
      <c r="F2087" t="str">
        <f t="shared" si="32"/>
        <v>F915G3T3</v>
      </c>
      <c r="G2087" s="14" t="s">
        <v>324</v>
      </c>
    </row>
    <row r="2088" spans="1:7">
      <c r="A2088">
        <v>91</v>
      </c>
      <c r="B2088">
        <v>6</v>
      </c>
      <c r="C2088">
        <v>3</v>
      </c>
      <c r="E2088">
        <v>3</v>
      </c>
      <c r="F2088" t="str">
        <f t="shared" si="32"/>
        <v>F916G3T3</v>
      </c>
      <c r="G2088" s="14" t="s">
        <v>324</v>
      </c>
    </row>
    <row r="2089" spans="1:7">
      <c r="A2089">
        <v>91</v>
      </c>
      <c r="B2089">
        <v>7</v>
      </c>
      <c r="C2089">
        <v>3</v>
      </c>
      <c r="E2089">
        <v>3</v>
      </c>
      <c r="F2089" t="str">
        <f t="shared" si="32"/>
        <v>F917G3T3</v>
      </c>
      <c r="G2089" s="14" t="s">
        <v>324</v>
      </c>
    </row>
    <row r="2090" spans="1:7">
      <c r="A2090">
        <v>91</v>
      </c>
      <c r="B2090">
        <v>1</v>
      </c>
      <c r="C2090">
        <v>4</v>
      </c>
      <c r="E2090">
        <v>3</v>
      </c>
      <c r="F2090" t="str">
        <f t="shared" si="32"/>
        <v>F911G4T3</v>
      </c>
      <c r="G2090" s="14" t="s">
        <v>324</v>
      </c>
    </row>
    <row r="2091" spans="1:7">
      <c r="A2091">
        <v>91</v>
      </c>
      <c r="B2091">
        <v>2</v>
      </c>
      <c r="C2091">
        <v>4</v>
      </c>
      <c r="E2091">
        <v>3</v>
      </c>
      <c r="F2091" t="str">
        <f t="shared" si="32"/>
        <v>F912G4T3</v>
      </c>
      <c r="G2091" s="14" t="s">
        <v>324</v>
      </c>
    </row>
    <row r="2092" spans="1:7">
      <c r="A2092">
        <v>91</v>
      </c>
      <c r="B2092">
        <v>5</v>
      </c>
      <c r="C2092">
        <v>4</v>
      </c>
      <c r="E2092">
        <v>3</v>
      </c>
      <c r="F2092" t="str">
        <f t="shared" si="32"/>
        <v>F915G4T3</v>
      </c>
      <c r="G2092" s="14" t="s">
        <v>324</v>
      </c>
    </row>
    <row r="2093" spans="1:7">
      <c r="A2093">
        <v>91</v>
      </c>
      <c r="B2093">
        <v>6</v>
      </c>
      <c r="C2093">
        <v>4</v>
      </c>
      <c r="E2093">
        <v>3</v>
      </c>
      <c r="F2093" t="str">
        <f t="shared" si="32"/>
        <v>F916G4T3</v>
      </c>
      <c r="G2093" s="14" t="s">
        <v>324</v>
      </c>
    </row>
    <row r="2094" spans="1:7">
      <c r="A2094">
        <v>91</v>
      </c>
      <c r="B2094">
        <v>7</v>
      </c>
      <c r="C2094">
        <v>4</v>
      </c>
      <c r="E2094">
        <v>3</v>
      </c>
      <c r="F2094" t="str">
        <f t="shared" si="32"/>
        <v>F917G4T3</v>
      </c>
      <c r="G2094" s="14" t="s">
        <v>324</v>
      </c>
    </row>
    <row r="2095" spans="1:7">
      <c r="A2095">
        <v>91</v>
      </c>
      <c r="B2095">
        <v>1</v>
      </c>
      <c r="C2095">
        <v>5</v>
      </c>
      <c r="E2095">
        <v>3</v>
      </c>
      <c r="F2095" t="str">
        <f t="shared" si="32"/>
        <v>F911G5T3</v>
      </c>
      <c r="G2095" s="14" t="s">
        <v>324</v>
      </c>
    </row>
    <row r="2096" spans="1:7">
      <c r="A2096">
        <v>91</v>
      </c>
      <c r="B2096">
        <v>2</v>
      </c>
      <c r="C2096">
        <v>5</v>
      </c>
      <c r="E2096">
        <v>3</v>
      </c>
      <c r="F2096" t="str">
        <f t="shared" si="32"/>
        <v>F912G5T3</v>
      </c>
      <c r="G2096" s="14" t="s">
        <v>324</v>
      </c>
    </row>
    <row r="2097" spans="1:7">
      <c r="A2097">
        <v>91</v>
      </c>
      <c r="B2097">
        <v>5</v>
      </c>
      <c r="C2097">
        <v>5</v>
      </c>
      <c r="E2097">
        <v>3</v>
      </c>
      <c r="F2097" t="str">
        <f t="shared" si="32"/>
        <v>F915G5T3</v>
      </c>
      <c r="G2097" s="14" t="s">
        <v>324</v>
      </c>
    </row>
    <row r="2098" spans="1:7">
      <c r="A2098">
        <v>91</v>
      </c>
      <c r="B2098">
        <v>6</v>
      </c>
      <c r="C2098">
        <v>5</v>
      </c>
      <c r="E2098">
        <v>3</v>
      </c>
      <c r="F2098" t="str">
        <f t="shared" si="32"/>
        <v>F916G5T3</v>
      </c>
      <c r="G2098" s="14" t="s">
        <v>324</v>
      </c>
    </row>
    <row r="2099" spans="1:7">
      <c r="A2099">
        <v>91</v>
      </c>
      <c r="B2099">
        <v>7</v>
      </c>
      <c r="C2099">
        <v>5</v>
      </c>
      <c r="E2099">
        <v>3</v>
      </c>
      <c r="F2099" t="str">
        <f t="shared" si="32"/>
        <v>F917G5T3</v>
      </c>
      <c r="G2099" s="14" t="s">
        <v>324</v>
      </c>
    </row>
    <row r="2100" spans="1:7">
      <c r="A2100">
        <v>94</v>
      </c>
      <c r="B2100">
        <v>1</v>
      </c>
      <c r="C2100">
        <v>3</v>
      </c>
      <c r="E2100">
        <v>2</v>
      </c>
      <c r="F2100" t="str">
        <f t="shared" si="32"/>
        <v>F941G3T2</v>
      </c>
      <c r="G2100" s="14" t="s">
        <v>70</v>
      </c>
    </row>
    <row r="2101" spans="1:7">
      <c r="A2101">
        <v>94</v>
      </c>
      <c r="B2101">
        <v>2</v>
      </c>
      <c r="C2101">
        <v>3</v>
      </c>
      <c r="E2101">
        <v>2</v>
      </c>
      <c r="F2101" t="str">
        <f t="shared" si="32"/>
        <v>F942G3T2</v>
      </c>
      <c r="G2101" s="14" t="s">
        <v>70</v>
      </c>
    </row>
    <row r="2102" spans="1:7">
      <c r="A2102">
        <v>94</v>
      </c>
      <c r="B2102">
        <v>5</v>
      </c>
      <c r="C2102">
        <v>3</v>
      </c>
      <c r="E2102">
        <v>2</v>
      </c>
      <c r="F2102" t="str">
        <f t="shared" si="32"/>
        <v>F945G3T2</v>
      </c>
      <c r="G2102" s="14" t="s">
        <v>70</v>
      </c>
    </row>
    <row r="2103" spans="1:7">
      <c r="A2103">
        <v>94</v>
      </c>
      <c r="B2103">
        <v>6</v>
      </c>
      <c r="C2103">
        <v>3</v>
      </c>
      <c r="E2103">
        <v>2</v>
      </c>
      <c r="F2103" t="str">
        <f t="shared" si="32"/>
        <v>F946G3T2</v>
      </c>
      <c r="G2103" s="14" t="s">
        <v>70</v>
      </c>
    </row>
    <row r="2104" spans="1:7">
      <c r="A2104">
        <v>94</v>
      </c>
      <c r="B2104">
        <v>7</v>
      </c>
      <c r="C2104">
        <v>3</v>
      </c>
      <c r="E2104">
        <v>2</v>
      </c>
      <c r="F2104" t="str">
        <f t="shared" si="32"/>
        <v>F947G3T2</v>
      </c>
      <c r="G2104" s="14" t="s">
        <v>70</v>
      </c>
    </row>
    <row r="2105" spans="1:7">
      <c r="A2105">
        <v>94</v>
      </c>
      <c r="B2105">
        <v>1</v>
      </c>
      <c r="C2105">
        <v>4</v>
      </c>
      <c r="E2105">
        <v>2</v>
      </c>
      <c r="F2105" t="str">
        <f t="shared" si="32"/>
        <v>F941G4T2</v>
      </c>
      <c r="G2105" s="14" t="s">
        <v>70</v>
      </c>
    </row>
    <row r="2106" spans="1:7">
      <c r="A2106">
        <v>94</v>
      </c>
      <c r="B2106">
        <v>2</v>
      </c>
      <c r="C2106">
        <v>4</v>
      </c>
      <c r="E2106">
        <v>2</v>
      </c>
      <c r="F2106" t="str">
        <f t="shared" si="32"/>
        <v>F942G4T2</v>
      </c>
      <c r="G2106" s="14" t="s">
        <v>70</v>
      </c>
    </row>
    <row r="2107" spans="1:7">
      <c r="A2107">
        <v>94</v>
      </c>
      <c r="B2107">
        <v>5</v>
      </c>
      <c r="C2107">
        <v>4</v>
      </c>
      <c r="E2107">
        <v>2</v>
      </c>
      <c r="F2107" t="str">
        <f t="shared" si="32"/>
        <v>F945G4T2</v>
      </c>
      <c r="G2107" s="14" t="s">
        <v>70</v>
      </c>
    </row>
    <row r="2108" spans="1:7">
      <c r="A2108">
        <v>94</v>
      </c>
      <c r="B2108">
        <v>6</v>
      </c>
      <c r="C2108">
        <v>4</v>
      </c>
      <c r="E2108">
        <v>2</v>
      </c>
      <c r="F2108" t="str">
        <f t="shared" si="32"/>
        <v>F946G4T2</v>
      </c>
      <c r="G2108" s="14" t="s">
        <v>70</v>
      </c>
    </row>
    <row r="2109" spans="1:7">
      <c r="A2109">
        <v>94</v>
      </c>
      <c r="B2109">
        <v>7</v>
      </c>
      <c r="C2109">
        <v>4</v>
      </c>
      <c r="E2109">
        <v>2</v>
      </c>
      <c r="F2109" t="str">
        <f t="shared" si="32"/>
        <v>F947G4T2</v>
      </c>
      <c r="G2109" s="14" t="s">
        <v>70</v>
      </c>
    </row>
    <row r="2110" spans="1:7">
      <c r="A2110">
        <v>94</v>
      </c>
      <c r="B2110">
        <v>1</v>
      </c>
      <c r="C2110">
        <v>5</v>
      </c>
      <c r="E2110">
        <v>2</v>
      </c>
      <c r="F2110" t="str">
        <f t="shared" si="32"/>
        <v>F941G5T2</v>
      </c>
      <c r="G2110" s="14" t="s">
        <v>70</v>
      </c>
    </row>
    <row r="2111" spans="1:7">
      <c r="A2111">
        <v>94</v>
      </c>
      <c r="B2111">
        <v>2</v>
      </c>
      <c r="C2111">
        <v>5</v>
      </c>
      <c r="E2111">
        <v>2</v>
      </c>
      <c r="F2111" t="str">
        <f t="shared" si="32"/>
        <v>F942G5T2</v>
      </c>
      <c r="G2111" s="14" t="s">
        <v>70</v>
      </c>
    </row>
    <row r="2112" spans="1:7">
      <c r="A2112">
        <v>94</v>
      </c>
      <c r="B2112">
        <v>5</v>
      </c>
      <c r="C2112">
        <v>5</v>
      </c>
      <c r="E2112">
        <v>2</v>
      </c>
      <c r="F2112" t="str">
        <f t="shared" si="32"/>
        <v>F945G5T2</v>
      </c>
      <c r="G2112" s="14" t="s">
        <v>70</v>
      </c>
    </row>
    <row r="2113" spans="1:7">
      <c r="A2113">
        <v>94</v>
      </c>
      <c r="B2113">
        <v>6</v>
      </c>
      <c r="C2113">
        <v>5</v>
      </c>
      <c r="E2113">
        <v>2</v>
      </c>
      <c r="F2113" t="str">
        <f t="shared" si="32"/>
        <v>F946G5T2</v>
      </c>
      <c r="G2113" s="14" t="s">
        <v>70</v>
      </c>
    </row>
    <row r="2114" spans="1:7">
      <c r="A2114">
        <v>94</v>
      </c>
      <c r="B2114">
        <v>7</v>
      </c>
      <c r="C2114">
        <v>5</v>
      </c>
      <c r="E2114">
        <v>2</v>
      </c>
      <c r="F2114" t="str">
        <f t="shared" si="32"/>
        <v>F947G5T2</v>
      </c>
      <c r="G2114" s="14" t="s">
        <v>70</v>
      </c>
    </row>
    <row r="2115" spans="1:7">
      <c r="A2115">
        <v>94</v>
      </c>
      <c r="B2115">
        <v>1</v>
      </c>
      <c r="C2115">
        <v>3</v>
      </c>
      <c r="E2115">
        <v>3</v>
      </c>
      <c r="F2115" t="str">
        <f t="shared" ref="F2115:F2178" si="33">CONCATENATE("F",A2115,B2115,"G",C2115,"T",E2115)</f>
        <v>F941G3T3</v>
      </c>
      <c r="G2115" s="14" t="s">
        <v>324</v>
      </c>
    </row>
    <row r="2116" spans="1:7">
      <c r="A2116">
        <v>94</v>
      </c>
      <c r="B2116">
        <v>2</v>
      </c>
      <c r="C2116">
        <v>3</v>
      </c>
      <c r="E2116">
        <v>3</v>
      </c>
      <c r="F2116" t="str">
        <f t="shared" si="33"/>
        <v>F942G3T3</v>
      </c>
      <c r="G2116" s="14" t="s">
        <v>324</v>
      </c>
    </row>
    <row r="2117" spans="1:7">
      <c r="A2117">
        <v>94</v>
      </c>
      <c r="B2117">
        <v>5</v>
      </c>
      <c r="C2117">
        <v>3</v>
      </c>
      <c r="E2117">
        <v>3</v>
      </c>
      <c r="F2117" t="str">
        <f t="shared" si="33"/>
        <v>F945G3T3</v>
      </c>
      <c r="G2117" s="14" t="s">
        <v>324</v>
      </c>
    </row>
    <row r="2118" spans="1:7">
      <c r="A2118">
        <v>94</v>
      </c>
      <c r="B2118">
        <v>6</v>
      </c>
      <c r="C2118">
        <v>3</v>
      </c>
      <c r="E2118">
        <v>3</v>
      </c>
      <c r="F2118" t="str">
        <f t="shared" si="33"/>
        <v>F946G3T3</v>
      </c>
      <c r="G2118" s="14" t="s">
        <v>324</v>
      </c>
    </row>
    <row r="2119" spans="1:7">
      <c r="A2119">
        <v>94</v>
      </c>
      <c r="B2119">
        <v>7</v>
      </c>
      <c r="C2119">
        <v>3</v>
      </c>
      <c r="E2119">
        <v>3</v>
      </c>
      <c r="F2119" t="str">
        <f t="shared" si="33"/>
        <v>F947G3T3</v>
      </c>
      <c r="G2119" s="14" t="s">
        <v>324</v>
      </c>
    </row>
    <row r="2120" spans="1:7">
      <c r="A2120">
        <v>94</v>
      </c>
      <c r="B2120">
        <v>1</v>
      </c>
      <c r="C2120">
        <v>4</v>
      </c>
      <c r="E2120">
        <v>3</v>
      </c>
      <c r="F2120" t="str">
        <f t="shared" si="33"/>
        <v>F941G4T3</v>
      </c>
      <c r="G2120" s="14" t="s">
        <v>324</v>
      </c>
    </row>
    <row r="2121" spans="1:7">
      <c r="A2121">
        <v>94</v>
      </c>
      <c r="B2121">
        <v>2</v>
      </c>
      <c r="C2121">
        <v>4</v>
      </c>
      <c r="E2121">
        <v>3</v>
      </c>
      <c r="F2121" t="str">
        <f t="shared" si="33"/>
        <v>F942G4T3</v>
      </c>
      <c r="G2121" s="14" t="s">
        <v>324</v>
      </c>
    </row>
    <row r="2122" spans="1:7">
      <c r="A2122">
        <v>94</v>
      </c>
      <c r="B2122">
        <v>5</v>
      </c>
      <c r="C2122">
        <v>4</v>
      </c>
      <c r="E2122">
        <v>3</v>
      </c>
      <c r="F2122" t="str">
        <f t="shared" si="33"/>
        <v>F945G4T3</v>
      </c>
      <c r="G2122" s="14" t="s">
        <v>324</v>
      </c>
    </row>
    <row r="2123" spans="1:7">
      <c r="A2123">
        <v>94</v>
      </c>
      <c r="B2123">
        <v>6</v>
      </c>
      <c r="C2123">
        <v>4</v>
      </c>
      <c r="E2123">
        <v>3</v>
      </c>
      <c r="F2123" t="str">
        <f t="shared" si="33"/>
        <v>F946G4T3</v>
      </c>
      <c r="G2123" s="14" t="s">
        <v>324</v>
      </c>
    </row>
    <row r="2124" spans="1:7">
      <c r="A2124">
        <v>94</v>
      </c>
      <c r="B2124">
        <v>7</v>
      </c>
      <c r="C2124">
        <v>4</v>
      </c>
      <c r="E2124">
        <v>3</v>
      </c>
      <c r="F2124" t="str">
        <f t="shared" si="33"/>
        <v>F947G4T3</v>
      </c>
      <c r="G2124" s="14" t="s">
        <v>324</v>
      </c>
    </row>
    <row r="2125" spans="1:7">
      <c r="A2125">
        <v>94</v>
      </c>
      <c r="B2125">
        <v>1</v>
      </c>
      <c r="C2125">
        <v>5</v>
      </c>
      <c r="E2125">
        <v>3</v>
      </c>
      <c r="F2125" t="str">
        <f t="shared" si="33"/>
        <v>F941G5T3</v>
      </c>
      <c r="G2125" s="14" t="s">
        <v>324</v>
      </c>
    </row>
    <row r="2126" spans="1:7">
      <c r="A2126">
        <v>94</v>
      </c>
      <c r="B2126">
        <v>2</v>
      </c>
      <c r="C2126">
        <v>5</v>
      </c>
      <c r="E2126">
        <v>3</v>
      </c>
      <c r="F2126" t="str">
        <f t="shared" si="33"/>
        <v>F942G5T3</v>
      </c>
      <c r="G2126" s="14" t="s">
        <v>324</v>
      </c>
    </row>
    <row r="2127" spans="1:7">
      <c r="A2127">
        <v>94</v>
      </c>
      <c r="B2127">
        <v>5</v>
      </c>
      <c r="C2127">
        <v>5</v>
      </c>
      <c r="E2127">
        <v>3</v>
      </c>
      <c r="F2127" t="str">
        <f t="shared" si="33"/>
        <v>F945G5T3</v>
      </c>
      <c r="G2127" s="14" t="s">
        <v>324</v>
      </c>
    </row>
    <row r="2128" spans="1:7">
      <c r="A2128">
        <v>94</v>
      </c>
      <c r="B2128">
        <v>6</v>
      </c>
      <c r="C2128">
        <v>5</v>
      </c>
      <c r="E2128">
        <v>3</v>
      </c>
      <c r="F2128" t="str">
        <f t="shared" si="33"/>
        <v>F946G5T3</v>
      </c>
      <c r="G2128" s="14" t="s">
        <v>324</v>
      </c>
    </row>
    <row r="2129" spans="1:7">
      <c r="A2129">
        <v>94</v>
      </c>
      <c r="B2129">
        <v>7</v>
      </c>
      <c r="C2129">
        <v>5</v>
      </c>
      <c r="E2129">
        <v>3</v>
      </c>
      <c r="F2129" t="str">
        <f t="shared" si="33"/>
        <v>F947G5T3</v>
      </c>
      <c r="G2129" s="14" t="s">
        <v>324</v>
      </c>
    </row>
    <row r="2130" spans="1:7">
      <c r="A2130">
        <v>60</v>
      </c>
      <c r="B2130">
        <v>1</v>
      </c>
      <c r="C2130">
        <v>3</v>
      </c>
      <c r="E2130">
        <v>1</v>
      </c>
      <c r="F2130" t="str">
        <f t="shared" si="33"/>
        <v>F601G3T1</v>
      </c>
      <c r="G2130" s="14">
        <v>10</v>
      </c>
    </row>
    <row r="2131" spans="1:7">
      <c r="A2131">
        <v>60</v>
      </c>
      <c r="B2131">
        <v>2</v>
      </c>
      <c r="C2131">
        <v>3</v>
      </c>
      <c r="E2131">
        <v>1</v>
      </c>
      <c r="F2131" t="str">
        <f t="shared" si="33"/>
        <v>F602G3T1</v>
      </c>
      <c r="G2131" s="14">
        <v>10</v>
      </c>
    </row>
    <row r="2132" spans="1:7">
      <c r="A2132">
        <v>60</v>
      </c>
      <c r="B2132">
        <v>4</v>
      </c>
      <c r="C2132">
        <v>3</v>
      </c>
      <c r="E2132">
        <v>1</v>
      </c>
      <c r="F2132" t="str">
        <f t="shared" si="33"/>
        <v>F604G3T1</v>
      </c>
      <c r="G2132" s="14">
        <v>10</v>
      </c>
    </row>
    <row r="2133" spans="1:7">
      <c r="A2133">
        <v>60</v>
      </c>
      <c r="B2133">
        <v>5</v>
      </c>
      <c r="C2133">
        <v>3</v>
      </c>
      <c r="E2133">
        <v>1</v>
      </c>
      <c r="F2133" t="str">
        <f t="shared" si="33"/>
        <v>F605G3T1</v>
      </c>
      <c r="G2133" s="14">
        <v>10</v>
      </c>
    </row>
    <row r="2134" spans="1:7">
      <c r="A2134">
        <v>60</v>
      </c>
      <c r="B2134">
        <v>6</v>
      </c>
      <c r="C2134">
        <v>3</v>
      </c>
      <c r="E2134">
        <v>1</v>
      </c>
      <c r="F2134" t="str">
        <f t="shared" si="33"/>
        <v>F606G3T1</v>
      </c>
      <c r="G2134" s="14">
        <v>10</v>
      </c>
    </row>
    <row r="2135" spans="1:7">
      <c r="A2135">
        <v>60</v>
      </c>
      <c r="B2135">
        <v>7</v>
      </c>
      <c r="C2135">
        <v>3</v>
      </c>
      <c r="E2135">
        <v>1</v>
      </c>
      <c r="F2135" t="str">
        <f t="shared" si="33"/>
        <v>F607G3T1</v>
      </c>
      <c r="G2135" s="14">
        <v>10</v>
      </c>
    </row>
    <row r="2136" spans="1:7">
      <c r="A2136">
        <v>60</v>
      </c>
      <c r="B2136">
        <v>1</v>
      </c>
      <c r="C2136">
        <v>4</v>
      </c>
      <c r="E2136">
        <v>1</v>
      </c>
      <c r="F2136" t="str">
        <f t="shared" si="33"/>
        <v>F601G4T1</v>
      </c>
      <c r="G2136" s="14">
        <v>10</v>
      </c>
    </row>
    <row r="2137" spans="1:7">
      <c r="A2137">
        <v>60</v>
      </c>
      <c r="B2137">
        <v>2</v>
      </c>
      <c r="C2137">
        <v>4</v>
      </c>
      <c r="E2137">
        <v>1</v>
      </c>
      <c r="F2137" t="str">
        <f t="shared" si="33"/>
        <v>F602G4T1</v>
      </c>
      <c r="G2137" s="14">
        <v>10</v>
      </c>
    </row>
    <row r="2138" spans="1:7">
      <c r="A2138">
        <v>60</v>
      </c>
      <c r="B2138">
        <v>4</v>
      </c>
      <c r="C2138">
        <v>4</v>
      </c>
      <c r="E2138">
        <v>1</v>
      </c>
      <c r="F2138" t="str">
        <f t="shared" si="33"/>
        <v>F604G4T1</v>
      </c>
      <c r="G2138" s="14">
        <v>10</v>
      </c>
    </row>
    <row r="2139" spans="1:7">
      <c r="A2139">
        <v>60</v>
      </c>
      <c r="B2139">
        <v>5</v>
      </c>
      <c r="C2139">
        <v>4</v>
      </c>
      <c r="E2139">
        <v>1</v>
      </c>
      <c r="F2139" t="str">
        <f t="shared" si="33"/>
        <v>F605G4T1</v>
      </c>
      <c r="G2139" s="14">
        <v>10</v>
      </c>
    </row>
    <row r="2140" spans="1:7">
      <c r="A2140">
        <v>60</v>
      </c>
      <c r="B2140">
        <v>6</v>
      </c>
      <c r="C2140">
        <v>4</v>
      </c>
      <c r="E2140">
        <v>1</v>
      </c>
      <c r="F2140" t="str">
        <f t="shared" si="33"/>
        <v>F606G4T1</v>
      </c>
      <c r="G2140" s="14">
        <v>10</v>
      </c>
    </row>
    <row r="2141" spans="1:7">
      <c r="A2141">
        <v>60</v>
      </c>
      <c r="B2141">
        <v>7</v>
      </c>
      <c r="C2141">
        <v>4</v>
      </c>
      <c r="E2141">
        <v>1</v>
      </c>
      <c r="F2141" t="str">
        <f t="shared" si="33"/>
        <v>F607G4T1</v>
      </c>
      <c r="G2141" s="14">
        <v>10</v>
      </c>
    </row>
    <row r="2142" spans="1:7">
      <c r="A2142">
        <v>60</v>
      </c>
      <c r="B2142">
        <v>1</v>
      </c>
      <c r="C2142">
        <v>5</v>
      </c>
      <c r="E2142">
        <v>1</v>
      </c>
      <c r="F2142" t="str">
        <f t="shared" si="33"/>
        <v>F601G5T1</v>
      </c>
      <c r="G2142" s="14">
        <v>10</v>
      </c>
    </row>
    <row r="2143" spans="1:7">
      <c r="A2143">
        <v>60</v>
      </c>
      <c r="B2143">
        <v>2</v>
      </c>
      <c r="C2143">
        <v>5</v>
      </c>
      <c r="E2143">
        <v>1</v>
      </c>
      <c r="F2143" t="str">
        <f t="shared" si="33"/>
        <v>F602G5T1</v>
      </c>
      <c r="G2143" s="14">
        <v>10</v>
      </c>
    </row>
    <row r="2144" spans="1:7">
      <c r="A2144">
        <v>60</v>
      </c>
      <c r="B2144">
        <v>4</v>
      </c>
      <c r="C2144">
        <v>5</v>
      </c>
      <c r="E2144">
        <v>1</v>
      </c>
      <c r="F2144" t="str">
        <f t="shared" si="33"/>
        <v>F604G5T1</v>
      </c>
      <c r="G2144" s="14">
        <v>10</v>
      </c>
    </row>
    <row r="2145" spans="1:7">
      <c r="A2145">
        <v>60</v>
      </c>
      <c r="B2145">
        <v>5</v>
      </c>
      <c r="C2145">
        <v>5</v>
      </c>
      <c r="E2145">
        <v>1</v>
      </c>
      <c r="F2145" t="str">
        <f t="shared" si="33"/>
        <v>F605G5T1</v>
      </c>
      <c r="G2145" s="14">
        <v>10</v>
      </c>
    </row>
    <row r="2146" spans="1:7">
      <c r="A2146">
        <v>60</v>
      </c>
      <c r="B2146">
        <v>6</v>
      </c>
      <c r="C2146">
        <v>5</v>
      </c>
      <c r="E2146">
        <v>1</v>
      </c>
      <c r="F2146" t="str">
        <f t="shared" si="33"/>
        <v>F606G5T1</v>
      </c>
      <c r="G2146" s="14">
        <v>10</v>
      </c>
    </row>
    <row r="2147" spans="1:7">
      <c r="A2147">
        <v>60</v>
      </c>
      <c r="B2147">
        <v>7</v>
      </c>
      <c r="C2147">
        <v>5</v>
      </c>
      <c r="E2147">
        <v>1</v>
      </c>
      <c r="F2147" t="str">
        <f t="shared" si="33"/>
        <v>F607G5T1</v>
      </c>
      <c r="G2147" s="14">
        <v>10</v>
      </c>
    </row>
    <row r="2148" spans="1:7">
      <c r="A2148">
        <v>60</v>
      </c>
      <c r="B2148">
        <v>1</v>
      </c>
      <c r="C2148">
        <v>5</v>
      </c>
      <c r="E2148">
        <v>1</v>
      </c>
      <c r="F2148" t="str">
        <f t="shared" si="33"/>
        <v>F601G5T1</v>
      </c>
      <c r="G2148" s="14">
        <v>10</v>
      </c>
    </row>
    <row r="2149" spans="1:7">
      <c r="A2149">
        <v>60</v>
      </c>
      <c r="B2149">
        <v>2</v>
      </c>
      <c r="C2149">
        <v>5</v>
      </c>
      <c r="E2149">
        <v>1</v>
      </c>
      <c r="F2149" t="str">
        <f t="shared" si="33"/>
        <v>F602G5T1</v>
      </c>
      <c r="G2149" s="14">
        <v>10</v>
      </c>
    </row>
    <row r="2150" spans="1:7">
      <c r="A2150">
        <v>60</v>
      </c>
      <c r="B2150">
        <v>4</v>
      </c>
      <c r="C2150">
        <v>5</v>
      </c>
      <c r="E2150">
        <v>1</v>
      </c>
      <c r="F2150" t="str">
        <f t="shared" si="33"/>
        <v>F604G5T1</v>
      </c>
      <c r="G2150" s="14">
        <v>10</v>
      </c>
    </row>
    <row r="2151" spans="1:7">
      <c r="A2151">
        <v>60</v>
      </c>
      <c r="B2151">
        <v>5</v>
      </c>
      <c r="C2151">
        <v>5</v>
      </c>
      <c r="E2151">
        <v>1</v>
      </c>
      <c r="F2151" t="str">
        <f t="shared" si="33"/>
        <v>F605G5T1</v>
      </c>
      <c r="G2151" s="14">
        <v>10</v>
      </c>
    </row>
    <row r="2152" spans="1:7">
      <c r="A2152">
        <v>60</v>
      </c>
      <c r="B2152">
        <v>6</v>
      </c>
      <c r="C2152">
        <v>5</v>
      </c>
      <c r="E2152">
        <v>1</v>
      </c>
      <c r="F2152" t="str">
        <f t="shared" si="33"/>
        <v>F606G5T1</v>
      </c>
      <c r="G2152" s="14">
        <v>10</v>
      </c>
    </row>
    <row r="2153" spans="1:7">
      <c r="A2153">
        <v>60</v>
      </c>
      <c r="B2153">
        <v>7</v>
      </c>
      <c r="C2153">
        <v>5</v>
      </c>
      <c r="E2153">
        <v>1</v>
      </c>
      <c r="F2153" t="str">
        <f t="shared" si="33"/>
        <v>F607G5T1</v>
      </c>
      <c r="G2153" s="14">
        <v>10</v>
      </c>
    </row>
    <row r="2154" spans="1:7">
      <c r="A2154">
        <v>61</v>
      </c>
      <c r="B2154">
        <v>1</v>
      </c>
      <c r="C2154">
        <v>3</v>
      </c>
      <c r="E2154">
        <v>1</v>
      </c>
      <c r="F2154" t="str">
        <f t="shared" si="33"/>
        <v>F611G3T1</v>
      </c>
      <c r="G2154" s="14">
        <v>10</v>
      </c>
    </row>
    <row r="2155" spans="1:7">
      <c r="A2155">
        <v>61</v>
      </c>
      <c r="B2155">
        <v>2</v>
      </c>
      <c r="C2155">
        <v>3</v>
      </c>
      <c r="E2155">
        <v>1</v>
      </c>
      <c r="F2155" t="str">
        <f t="shared" si="33"/>
        <v>F612G3T1</v>
      </c>
      <c r="G2155" s="14">
        <v>10</v>
      </c>
    </row>
    <row r="2156" spans="1:7">
      <c r="A2156">
        <v>61</v>
      </c>
      <c r="B2156">
        <v>4</v>
      </c>
      <c r="C2156">
        <v>3</v>
      </c>
      <c r="E2156">
        <v>1</v>
      </c>
      <c r="F2156" t="str">
        <f t="shared" si="33"/>
        <v>F614G3T1</v>
      </c>
      <c r="G2156" s="14">
        <v>10</v>
      </c>
    </row>
    <row r="2157" spans="1:7">
      <c r="A2157">
        <v>61</v>
      </c>
      <c r="B2157">
        <v>5</v>
      </c>
      <c r="C2157">
        <v>3</v>
      </c>
      <c r="E2157">
        <v>1</v>
      </c>
      <c r="F2157" t="str">
        <f t="shared" si="33"/>
        <v>F615G3T1</v>
      </c>
      <c r="G2157" s="14">
        <v>10</v>
      </c>
    </row>
    <row r="2158" spans="1:7">
      <c r="A2158">
        <v>61</v>
      </c>
      <c r="B2158">
        <v>6</v>
      </c>
      <c r="C2158">
        <v>3</v>
      </c>
      <c r="E2158">
        <v>1</v>
      </c>
      <c r="F2158" t="str">
        <f t="shared" si="33"/>
        <v>F616G3T1</v>
      </c>
      <c r="G2158" s="14">
        <v>10</v>
      </c>
    </row>
    <row r="2159" spans="1:7">
      <c r="A2159">
        <v>61</v>
      </c>
      <c r="B2159">
        <v>7</v>
      </c>
      <c r="C2159">
        <v>3</v>
      </c>
      <c r="E2159">
        <v>1</v>
      </c>
      <c r="F2159" t="str">
        <f t="shared" si="33"/>
        <v>F617G3T1</v>
      </c>
      <c r="G2159" s="14">
        <v>10</v>
      </c>
    </row>
    <row r="2160" spans="1:7">
      <c r="A2160">
        <v>61</v>
      </c>
      <c r="B2160">
        <v>1</v>
      </c>
      <c r="C2160">
        <v>4</v>
      </c>
      <c r="E2160">
        <v>1</v>
      </c>
      <c r="F2160" t="str">
        <f t="shared" si="33"/>
        <v>F611G4T1</v>
      </c>
      <c r="G2160" s="14">
        <v>10</v>
      </c>
    </row>
    <row r="2161" spans="1:7">
      <c r="A2161">
        <v>61</v>
      </c>
      <c r="B2161">
        <v>2</v>
      </c>
      <c r="C2161">
        <v>4</v>
      </c>
      <c r="E2161">
        <v>1</v>
      </c>
      <c r="F2161" t="str">
        <f t="shared" si="33"/>
        <v>F612G4T1</v>
      </c>
      <c r="G2161" s="14">
        <v>10</v>
      </c>
    </row>
    <row r="2162" spans="1:7">
      <c r="A2162">
        <v>61</v>
      </c>
      <c r="B2162">
        <v>4</v>
      </c>
      <c r="C2162">
        <v>4</v>
      </c>
      <c r="E2162">
        <v>1</v>
      </c>
      <c r="F2162" t="str">
        <f t="shared" si="33"/>
        <v>F614G4T1</v>
      </c>
      <c r="G2162" s="14">
        <v>10</v>
      </c>
    </row>
    <row r="2163" spans="1:7">
      <c r="A2163">
        <v>61</v>
      </c>
      <c r="B2163">
        <v>5</v>
      </c>
      <c r="C2163">
        <v>4</v>
      </c>
      <c r="E2163">
        <v>1</v>
      </c>
      <c r="F2163" t="str">
        <f t="shared" si="33"/>
        <v>F615G4T1</v>
      </c>
      <c r="G2163" s="14">
        <v>10</v>
      </c>
    </row>
    <row r="2164" spans="1:7">
      <c r="A2164">
        <v>61</v>
      </c>
      <c r="B2164">
        <v>6</v>
      </c>
      <c r="C2164">
        <v>4</v>
      </c>
      <c r="E2164">
        <v>1</v>
      </c>
      <c r="F2164" t="str">
        <f t="shared" si="33"/>
        <v>F616G4T1</v>
      </c>
      <c r="G2164" s="14">
        <v>10</v>
      </c>
    </row>
    <row r="2165" spans="1:7">
      <c r="A2165">
        <v>61</v>
      </c>
      <c r="B2165">
        <v>7</v>
      </c>
      <c r="C2165">
        <v>4</v>
      </c>
      <c r="E2165">
        <v>1</v>
      </c>
      <c r="F2165" t="str">
        <f t="shared" si="33"/>
        <v>F617G4T1</v>
      </c>
      <c r="G2165" s="14">
        <v>10</v>
      </c>
    </row>
    <row r="2166" spans="1:7">
      <c r="A2166">
        <v>61</v>
      </c>
      <c r="B2166">
        <v>1</v>
      </c>
      <c r="C2166">
        <v>5</v>
      </c>
      <c r="E2166">
        <v>1</v>
      </c>
      <c r="F2166" t="str">
        <f t="shared" si="33"/>
        <v>F611G5T1</v>
      </c>
      <c r="G2166" s="14">
        <v>10</v>
      </c>
    </row>
    <row r="2167" spans="1:7">
      <c r="A2167">
        <v>61</v>
      </c>
      <c r="B2167">
        <v>2</v>
      </c>
      <c r="C2167">
        <v>5</v>
      </c>
      <c r="E2167">
        <v>1</v>
      </c>
      <c r="F2167" t="str">
        <f t="shared" si="33"/>
        <v>F612G5T1</v>
      </c>
      <c r="G2167" s="14">
        <v>10</v>
      </c>
    </row>
    <row r="2168" spans="1:7">
      <c r="A2168">
        <v>61</v>
      </c>
      <c r="B2168">
        <v>4</v>
      </c>
      <c r="C2168">
        <v>5</v>
      </c>
      <c r="E2168">
        <v>1</v>
      </c>
      <c r="F2168" t="str">
        <f t="shared" si="33"/>
        <v>F614G5T1</v>
      </c>
      <c r="G2168" s="14">
        <v>10</v>
      </c>
    </row>
    <row r="2169" spans="1:7">
      <c r="A2169">
        <v>61</v>
      </c>
      <c r="B2169">
        <v>5</v>
      </c>
      <c r="C2169">
        <v>5</v>
      </c>
      <c r="E2169">
        <v>1</v>
      </c>
      <c r="F2169" t="str">
        <f t="shared" si="33"/>
        <v>F615G5T1</v>
      </c>
      <c r="G2169" s="14">
        <v>10</v>
      </c>
    </row>
    <row r="2170" spans="1:7">
      <c r="A2170">
        <v>61</v>
      </c>
      <c r="B2170">
        <v>6</v>
      </c>
      <c r="C2170">
        <v>5</v>
      </c>
      <c r="E2170">
        <v>1</v>
      </c>
      <c r="F2170" t="str">
        <f t="shared" si="33"/>
        <v>F616G5T1</v>
      </c>
      <c r="G2170" s="14">
        <v>10</v>
      </c>
    </row>
    <row r="2171" spans="1:7">
      <c r="A2171">
        <v>61</v>
      </c>
      <c r="B2171">
        <v>7</v>
      </c>
      <c r="C2171">
        <v>5</v>
      </c>
      <c r="E2171">
        <v>1</v>
      </c>
      <c r="F2171" t="str">
        <f t="shared" si="33"/>
        <v>F617G5T1</v>
      </c>
      <c r="G2171" s="14">
        <v>10</v>
      </c>
    </row>
    <row r="2172" spans="1:7">
      <c r="A2172">
        <v>61</v>
      </c>
      <c r="B2172">
        <v>1</v>
      </c>
      <c r="C2172">
        <v>5</v>
      </c>
      <c r="E2172">
        <v>1</v>
      </c>
      <c r="F2172" t="str">
        <f t="shared" si="33"/>
        <v>F611G5T1</v>
      </c>
      <c r="G2172" s="14">
        <v>10</v>
      </c>
    </row>
    <row r="2173" spans="1:7">
      <c r="A2173">
        <v>61</v>
      </c>
      <c r="B2173">
        <v>2</v>
      </c>
      <c r="C2173">
        <v>5</v>
      </c>
      <c r="E2173">
        <v>1</v>
      </c>
      <c r="F2173" t="str">
        <f t="shared" si="33"/>
        <v>F612G5T1</v>
      </c>
      <c r="G2173" s="14">
        <v>10</v>
      </c>
    </row>
    <row r="2174" spans="1:7">
      <c r="A2174">
        <v>61</v>
      </c>
      <c r="B2174">
        <v>4</v>
      </c>
      <c r="C2174">
        <v>5</v>
      </c>
      <c r="E2174">
        <v>1</v>
      </c>
      <c r="F2174" t="str">
        <f t="shared" si="33"/>
        <v>F614G5T1</v>
      </c>
      <c r="G2174" s="14">
        <v>10</v>
      </c>
    </row>
    <row r="2175" spans="1:7">
      <c r="A2175">
        <v>61</v>
      </c>
      <c r="B2175">
        <v>5</v>
      </c>
      <c r="C2175">
        <v>5</v>
      </c>
      <c r="E2175">
        <v>1</v>
      </c>
      <c r="F2175" t="str">
        <f t="shared" si="33"/>
        <v>F615G5T1</v>
      </c>
      <c r="G2175" s="14">
        <v>10</v>
      </c>
    </row>
    <row r="2176" spans="1:7">
      <c r="A2176">
        <v>61</v>
      </c>
      <c r="B2176">
        <v>6</v>
      </c>
      <c r="C2176">
        <v>5</v>
      </c>
      <c r="E2176">
        <v>1</v>
      </c>
      <c r="F2176" t="str">
        <f t="shared" si="33"/>
        <v>F616G5T1</v>
      </c>
      <c r="G2176" s="14">
        <v>10</v>
      </c>
    </row>
    <row r="2177" spans="1:7">
      <c r="A2177">
        <v>61</v>
      </c>
      <c r="B2177">
        <v>7</v>
      </c>
      <c r="C2177">
        <v>5</v>
      </c>
      <c r="E2177">
        <v>1</v>
      </c>
      <c r="F2177" t="str">
        <f t="shared" si="33"/>
        <v>F617G5T1</v>
      </c>
      <c r="G2177" s="14">
        <v>10</v>
      </c>
    </row>
    <row r="2178" spans="1:7">
      <c r="A2178">
        <v>60</v>
      </c>
      <c r="B2178">
        <v>1</v>
      </c>
      <c r="C2178">
        <v>3</v>
      </c>
      <c r="E2178">
        <v>4</v>
      </c>
      <c r="F2178" t="str">
        <f t="shared" si="33"/>
        <v>F601G3T4</v>
      </c>
      <c r="G2178" s="14">
        <v>10</v>
      </c>
    </row>
    <row r="2179" spans="1:7">
      <c r="A2179">
        <v>60</v>
      </c>
      <c r="B2179">
        <v>2</v>
      </c>
      <c r="C2179">
        <v>3</v>
      </c>
      <c r="E2179">
        <v>4</v>
      </c>
      <c r="F2179" t="str">
        <f t="shared" ref="F2179:F2242" si="34">CONCATENATE("F",A2179,B2179,"G",C2179,"T",E2179)</f>
        <v>F602G3T4</v>
      </c>
      <c r="G2179" s="14">
        <v>10</v>
      </c>
    </row>
    <row r="2180" spans="1:7">
      <c r="A2180">
        <v>60</v>
      </c>
      <c r="B2180">
        <v>4</v>
      </c>
      <c r="C2180">
        <v>3</v>
      </c>
      <c r="E2180">
        <v>4</v>
      </c>
      <c r="F2180" t="str">
        <f t="shared" si="34"/>
        <v>F604G3T4</v>
      </c>
      <c r="G2180" s="14">
        <v>10</v>
      </c>
    </row>
    <row r="2181" spans="1:7">
      <c r="A2181">
        <v>60</v>
      </c>
      <c r="B2181">
        <v>5</v>
      </c>
      <c r="C2181">
        <v>3</v>
      </c>
      <c r="E2181">
        <v>4</v>
      </c>
      <c r="F2181" t="str">
        <f t="shared" si="34"/>
        <v>F605G3T4</v>
      </c>
      <c r="G2181" s="14">
        <v>10</v>
      </c>
    </row>
    <row r="2182" spans="1:7">
      <c r="A2182">
        <v>60</v>
      </c>
      <c r="B2182">
        <v>6</v>
      </c>
      <c r="C2182">
        <v>3</v>
      </c>
      <c r="E2182">
        <v>4</v>
      </c>
      <c r="F2182" t="str">
        <f t="shared" si="34"/>
        <v>F606G3T4</v>
      </c>
      <c r="G2182" s="14">
        <v>10</v>
      </c>
    </row>
    <row r="2183" spans="1:7">
      <c r="A2183">
        <v>60</v>
      </c>
      <c r="B2183">
        <v>7</v>
      </c>
      <c r="C2183">
        <v>3</v>
      </c>
      <c r="E2183">
        <v>4</v>
      </c>
      <c r="F2183" t="str">
        <f t="shared" si="34"/>
        <v>F607G3T4</v>
      </c>
      <c r="G2183" s="14">
        <v>10</v>
      </c>
    </row>
    <row r="2184" spans="1:7">
      <c r="A2184">
        <v>60</v>
      </c>
      <c r="B2184">
        <v>1</v>
      </c>
      <c r="C2184">
        <v>4</v>
      </c>
      <c r="E2184">
        <v>4</v>
      </c>
      <c r="F2184" t="str">
        <f t="shared" si="34"/>
        <v>F601G4T4</v>
      </c>
      <c r="G2184" s="14">
        <v>10</v>
      </c>
    </row>
    <row r="2185" spans="1:7">
      <c r="A2185">
        <v>60</v>
      </c>
      <c r="B2185">
        <v>2</v>
      </c>
      <c r="C2185">
        <v>4</v>
      </c>
      <c r="E2185">
        <v>4</v>
      </c>
      <c r="F2185" t="str">
        <f t="shared" si="34"/>
        <v>F602G4T4</v>
      </c>
      <c r="G2185" s="14">
        <v>10</v>
      </c>
    </row>
    <row r="2186" spans="1:7">
      <c r="A2186">
        <v>60</v>
      </c>
      <c r="B2186">
        <v>4</v>
      </c>
      <c r="C2186">
        <v>4</v>
      </c>
      <c r="E2186">
        <v>4</v>
      </c>
      <c r="F2186" t="str">
        <f t="shared" si="34"/>
        <v>F604G4T4</v>
      </c>
      <c r="G2186" s="14">
        <v>10</v>
      </c>
    </row>
    <row r="2187" spans="1:7">
      <c r="A2187">
        <v>60</v>
      </c>
      <c r="B2187">
        <v>5</v>
      </c>
      <c r="C2187">
        <v>4</v>
      </c>
      <c r="E2187">
        <v>4</v>
      </c>
      <c r="F2187" t="str">
        <f t="shared" si="34"/>
        <v>F605G4T4</v>
      </c>
      <c r="G2187" s="14">
        <v>10</v>
      </c>
    </row>
    <row r="2188" spans="1:7">
      <c r="A2188">
        <v>60</v>
      </c>
      <c r="B2188">
        <v>6</v>
      </c>
      <c r="C2188">
        <v>4</v>
      </c>
      <c r="E2188">
        <v>4</v>
      </c>
      <c r="F2188" t="str">
        <f t="shared" si="34"/>
        <v>F606G4T4</v>
      </c>
      <c r="G2188" s="14">
        <v>10</v>
      </c>
    </row>
    <row r="2189" spans="1:7">
      <c r="A2189">
        <v>60</v>
      </c>
      <c r="B2189">
        <v>7</v>
      </c>
      <c r="C2189">
        <v>4</v>
      </c>
      <c r="E2189">
        <v>4</v>
      </c>
      <c r="F2189" t="str">
        <f t="shared" si="34"/>
        <v>F607G4T4</v>
      </c>
      <c r="G2189" s="14">
        <v>10</v>
      </c>
    </row>
    <row r="2190" spans="1:7">
      <c r="A2190">
        <v>60</v>
      </c>
      <c r="B2190">
        <v>1</v>
      </c>
      <c r="C2190">
        <v>5</v>
      </c>
      <c r="E2190">
        <v>4</v>
      </c>
      <c r="F2190" t="str">
        <f t="shared" si="34"/>
        <v>F601G5T4</v>
      </c>
      <c r="G2190" s="14">
        <v>10</v>
      </c>
    </row>
    <row r="2191" spans="1:7">
      <c r="A2191">
        <v>60</v>
      </c>
      <c r="B2191">
        <v>2</v>
      </c>
      <c r="C2191">
        <v>5</v>
      </c>
      <c r="E2191">
        <v>4</v>
      </c>
      <c r="F2191" t="str">
        <f t="shared" si="34"/>
        <v>F602G5T4</v>
      </c>
      <c r="G2191" s="14">
        <v>10</v>
      </c>
    </row>
    <row r="2192" spans="1:7">
      <c r="A2192">
        <v>60</v>
      </c>
      <c r="B2192">
        <v>4</v>
      </c>
      <c r="C2192">
        <v>5</v>
      </c>
      <c r="E2192">
        <v>4</v>
      </c>
      <c r="F2192" t="str">
        <f t="shared" si="34"/>
        <v>F604G5T4</v>
      </c>
      <c r="G2192" s="14">
        <v>10</v>
      </c>
    </row>
    <row r="2193" spans="1:7">
      <c r="A2193">
        <v>60</v>
      </c>
      <c r="B2193">
        <v>5</v>
      </c>
      <c r="C2193">
        <v>5</v>
      </c>
      <c r="E2193">
        <v>4</v>
      </c>
      <c r="F2193" t="str">
        <f t="shared" si="34"/>
        <v>F605G5T4</v>
      </c>
      <c r="G2193" s="14">
        <v>10</v>
      </c>
    </row>
    <row r="2194" spans="1:7">
      <c r="A2194">
        <v>60</v>
      </c>
      <c r="B2194">
        <v>6</v>
      </c>
      <c r="C2194">
        <v>5</v>
      </c>
      <c r="E2194">
        <v>4</v>
      </c>
      <c r="F2194" t="str">
        <f t="shared" si="34"/>
        <v>F606G5T4</v>
      </c>
      <c r="G2194" s="14">
        <v>10</v>
      </c>
    </row>
    <row r="2195" spans="1:7">
      <c r="A2195">
        <v>60</v>
      </c>
      <c r="B2195">
        <v>7</v>
      </c>
      <c r="C2195">
        <v>5</v>
      </c>
      <c r="E2195">
        <v>4</v>
      </c>
      <c r="F2195" t="str">
        <f t="shared" si="34"/>
        <v>F607G5T4</v>
      </c>
      <c r="G2195" s="14">
        <v>10</v>
      </c>
    </row>
    <row r="2196" spans="1:7">
      <c r="A2196">
        <v>60</v>
      </c>
      <c r="B2196">
        <v>1</v>
      </c>
      <c r="C2196">
        <v>5</v>
      </c>
      <c r="E2196">
        <v>4</v>
      </c>
      <c r="F2196" t="str">
        <f t="shared" si="34"/>
        <v>F601G5T4</v>
      </c>
      <c r="G2196" s="14">
        <v>10</v>
      </c>
    </row>
    <row r="2197" spans="1:7">
      <c r="A2197">
        <v>60</v>
      </c>
      <c r="B2197">
        <v>2</v>
      </c>
      <c r="C2197">
        <v>5</v>
      </c>
      <c r="E2197">
        <v>4</v>
      </c>
      <c r="F2197" t="str">
        <f t="shared" si="34"/>
        <v>F602G5T4</v>
      </c>
      <c r="G2197" s="14">
        <v>10</v>
      </c>
    </row>
    <row r="2198" spans="1:7">
      <c r="A2198">
        <v>60</v>
      </c>
      <c r="B2198">
        <v>4</v>
      </c>
      <c r="C2198">
        <v>5</v>
      </c>
      <c r="E2198">
        <v>4</v>
      </c>
      <c r="F2198" t="str">
        <f t="shared" si="34"/>
        <v>F604G5T4</v>
      </c>
      <c r="G2198" s="14">
        <v>10</v>
      </c>
    </row>
    <row r="2199" spans="1:7">
      <c r="A2199">
        <v>60</v>
      </c>
      <c r="B2199">
        <v>5</v>
      </c>
      <c r="C2199">
        <v>5</v>
      </c>
      <c r="E2199">
        <v>4</v>
      </c>
      <c r="F2199" t="str">
        <f t="shared" si="34"/>
        <v>F605G5T4</v>
      </c>
      <c r="G2199" s="14">
        <v>10</v>
      </c>
    </row>
    <row r="2200" spans="1:7">
      <c r="A2200">
        <v>60</v>
      </c>
      <c r="B2200">
        <v>6</v>
      </c>
      <c r="C2200">
        <v>5</v>
      </c>
      <c r="E2200">
        <v>4</v>
      </c>
      <c r="F2200" t="str">
        <f t="shared" si="34"/>
        <v>F606G5T4</v>
      </c>
      <c r="G2200" s="14">
        <v>10</v>
      </c>
    </row>
    <row r="2201" spans="1:7">
      <c r="A2201">
        <v>60</v>
      </c>
      <c r="B2201">
        <v>7</v>
      </c>
      <c r="C2201">
        <v>5</v>
      </c>
      <c r="E2201">
        <v>4</v>
      </c>
      <c r="F2201" t="str">
        <f t="shared" si="34"/>
        <v>F607G5T4</v>
      </c>
      <c r="G2201" s="14">
        <v>10</v>
      </c>
    </row>
    <row r="2202" spans="1:7">
      <c r="A2202">
        <v>61</v>
      </c>
      <c r="B2202">
        <v>1</v>
      </c>
      <c r="C2202">
        <v>3</v>
      </c>
      <c r="E2202">
        <v>4</v>
      </c>
      <c r="F2202" t="str">
        <f t="shared" si="34"/>
        <v>F611G3T4</v>
      </c>
      <c r="G2202" s="14">
        <v>10</v>
      </c>
    </row>
    <row r="2203" spans="1:7">
      <c r="A2203">
        <v>61</v>
      </c>
      <c r="B2203">
        <v>2</v>
      </c>
      <c r="C2203">
        <v>3</v>
      </c>
      <c r="E2203">
        <v>4</v>
      </c>
      <c r="F2203" t="str">
        <f t="shared" si="34"/>
        <v>F612G3T4</v>
      </c>
      <c r="G2203" s="14">
        <v>10</v>
      </c>
    </row>
    <row r="2204" spans="1:7">
      <c r="A2204">
        <v>61</v>
      </c>
      <c r="B2204">
        <v>4</v>
      </c>
      <c r="C2204">
        <v>3</v>
      </c>
      <c r="E2204">
        <v>4</v>
      </c>
      <c r="F2204" t="str">
        <f t="shared" si="34"/>
        <v>F614G3T4</v>
      </c>
      <c r="G2204" s="14">
        <v>10</v>
      </c>
    </row>
    <row r="2205" spans="1:7">
      <c r="A2205">
        <v>61</v>
      </c>
      <c r="B2205">
        <v>5</v>
      </c>
      <c r="C2205">
        <v>3</v>
      </c>
      <c r="E2205">
        <v>4</v>
      </c>
      <c r="F2205" t="str">
        <f t="shared" si="34"/>
        <v>F615G3T4</v>
      </c>
      <c r="G2205" s="14">
        <v>10</v>
      </c>
    </row>
    <row r="2206" spans="1:7">
      <c r="A2206">
        <v>61</v>
      </c>
      <c r="B2206">
        <v>6</v>
      </c>
      <c r="C2206">
        <v>3</v>
      </c>
      <c r="E2206">
        <v>4</v>
      </c>
      <c r="F2206" t="str">
        <f t="shared" si="34"/>
        <v>F616G3T4</v>
      </c>
      <c r="G2206" s="14">
        <v>10</v>
      </c>
    </row>
    <row r="2207" spans="1:7">
      <c r="A2207">
        <v>61</v>
      </c>
      <c r="B2207">
        <v>7</v>
      </c>
      <c r="C2207">
        <v>3</v>
      </c>
      <c r="E2207">
        <v>4</v>
      </c>
      <c r="F2207" t="str">
        <f t="shared" si="34"/>
        <v>F617G3T4</v>
      </c>
      <c r="G2207" s="14">
        <v>10</v>
      </c>
    </row>
    <row r="2208" spans="1:7">
      <c r="A2208">
        <v>61</v>
      </c>
      <c r="B2208">
        <v>1</v>
      </c>
      <c r="C2208">
        <v>4</v>
      </c>
      <c r="E2208">
        <v>4</v>
      </c>
      <c r="F2208" t="str">
        <f t="shared" si="34"/>
        <v>F611G4T4</v>
      </c>
      <c r="G2208" s="14">
        <v>10</v>
      </c>
    </row>
    <row r="2209" spans="1:7">
      <c r="A2209">
        <v>61</v>
      </c>
      <c r="B2209">
        <v>2</v>
      </c>
      <c r="C2209">
        <v>4</v>
      </c>
      <c r="E2209">
        <v>4</v>
      </c>
      <c r="F2209" t="str">
        <f t="shared" si="34"/>
        <v>F612G4T4</v>
      </c>
      <c r="G2209" s="14">
        <v>10</v>
      </c>
    </row>
    <row r="2210" spans="1:7">
      <c r="A2210">
        <v>61</v>
      </c>
      <c r="B2210">
        <v>4</v>
      </c>
      <c r="C2210">
        <v>4</v>
      </c>
      <c r="E2210">
        <v>4</v>
      </c>
      <c r="F2210" t="str">
        <f t="shared" si="34"/>
        <v>F614G4T4</v>
      </c>
      <c r="G2210" s="14">
        <v>10</v>
      </c>
    </row>
    <row r="2211" spans="1:7">
      <c r="A2211">
        <v>61</v>
      </c>
      <c r="B2211">
        <v>5</v>
      </c>
      <c r="C2211">
        <v>4</v>
      </c>
      <c r="E2211">
        <v>4</v>
      </c>
      <c r="F2211" t="str">
        <f t="shared" si="34"/>
        <v>F615G4T4</v>
      </c>
      <c r="G2211" s="14">
        <v>10</v>
      </c>
    </row>
    <row r="2212" spans="1:7">
      <c r="A2212">
        <v>61</v>
      </c>
      <c r="B2212">
        <v>6</v>
      </c>
      <c r="C2212">
        <v>4</v>
      </c>
      <c r="E2212">
        <v>4</v>
      </c>
      <c r="F2212" t="str">
        <f t="shared" si="34"/>
        <v>F616G4T4</v>
      </c>
      <c r="G2212" s="14">
        <v>10</v>
      </c>
    </row>
    <row r="2213" spans="1:7">
      <c r="A2213">
        <v>61</v>
      </c>
      <c r="B2213">
        <v>7</v>
      </c>
      <c r="C2213">
        <v>4</v>
      </c>
      <c r="E2213">
        <v>4</v>
      </c>
      <c r="F2213" t="str">
        <f t="shared" si="34"/>
        <v>F617G4T4</v>
      </c>
      <c r="G2213" s="14">
        <v>10</v>
      </c>
    </row>
    <row r="2214" spans="1:7">
      <c r="A2214">
        <v>61</v>
      </c>
      <c r="B2214">
        <v>1</v>
      </c>
      <c r="C2214">
        <v>5</v>
      </c>
      <c r="E2214">
        <v>4</v>
      </c>
      <c r="F2214" t="str">
        <f t="shared" si="34"/>
        <v>F611G5T4</v>
      </c>
      <c r="G2214" s="14">
        <v>10</v>
      </c>
    </row>
    <row r="2215" spans="1:7">
      <c r="A2215">
        <v>61</v>
      </c>
      <c r="B2215">
        <v>2</v>
      </c>
      <c r="C2215">
        <v>5</v>
      </c>
      <c r="E2215">
        <v>4</v>
      </c>
      <c r="F2215" t="str">
        <f t="shared" si="34"/>
        <v>F612G5T4</v>
      </c>
      <c r="G2215" s="14">
        <v>10</v>
      </c>
    </row>
    <row r="2216" spans="1:7">
      <c r="A2216">
        <v>61</v>
      </c>
      <c r="B2216">
        <v>4</v>
      </c>
      <c r="C2216">
        <v>5</v>
      </c>
      <c r="E2216">
        <v>4</v>
      </c>
      <c r="F2216" t="str">
        <f t="shared" si="34"/>
        <v>F614G5T4</v>
      </c>
      <c r="G2216" s="14">
        <v>10</v>
      </c>
    </row>
    <row r="2217" spans="1:7">
      <c r="A2217">
        <v>61</v>
      </c>
      <c r="B2217">
        <v>5</v>
      </c>
      <c r="C2217">
        <v>5</v>
      </c>
      <c r="E2217">
        <v>4</v>
      </c>
      <c r="F2217" t="str">
        <f t="shared" si="34"/>
        <v>F615G5T4</v>
      </c>
      <c r="G2217" s="14">
        <v>10</v>
      </c>
    </row>
    <row r="2218" spans="1:7">
      <c r="A2218">
        <v>61</v>
      </c>
      <c r="B2218">
        <v>6</v>
      </c>
      <c r="C2218">
        <v>5</v>
      </c>
      <c r="E2218">
        <v>4</v>
      </c>
      <c r="F2218" t="str">
        <f t="shared" si="34"/>
        <v>F616G5T4</v>
      </c>
      <c r="G2218" s="14">
        <v>10</v>
      </c>
    </row>
    <row r="2219" spans="1:7">
      <c r="A2219">
        <v>61</v>
      </c>
      <c r="B2219">
        <v>7</v>
      </c>
      <c r="C2219">
        <v>5</v>
      </c>
      <c r="E2219">
        <v>4</v>
      </c>
      <c r="F2219" t="str">
        <f t="shared" si="34"/>
        <v>F617G5T4</v>
      </c>
      <c r="G2219" s="14">
        <v>10</v>
      </c>
    </row>
    <row r="2220" spans="1:7">
      <c r="A2220">
        <v>61</v>
      </c>
      <c r="B2220">
        <v>1</v>
      </c>
      <c r="C2220">
        <v>5</v>
      </c>
      <c r="E2220">
        <v>4</v>
      </c>
      <c r="F2220" t="str">
        <f t="shared" si="34"/>
        <v>F611G5T4</v>
      </c>
      <c r="G2220" s="14">
        <v>10</v>
      </c>
    </row>
    <row r="2221" spans="1:7">
      <c r="A2221">
        <v>61</v>
      </c>
      <c r="B2221">
        <v>2</v>
      </c>
      <c r="C2221">
        <v>5</v>
      </c>
      <c r="E2221">
        <v>4</v>
      </c>
      <c r="F2221" t="str">
        <f t="shared" si="34"/>
        <v>F612G5T4</v>
      </c>
      <c r="G2221" s="14">
        <v>10</v>
      </c>
    </row>
    <row r="2222" spans="1:7">
      <c r="A2222">
        <v>61</v>
      </c>
      <c r="B2222">
        <v>4</v>
      </c>
      <c r="C2222">
        <v>5</v>
      </c>
      <c r="E2222">
        <v>4</v>
      </c>
      <c r="F2222" t="str">
        <f t="shared" si="34"/>
        <v>F614G5T4</v>
      </c>
      <c r="G2222" s="14">
        <v>10</v>
      </c>
    </row>
    <row r="2223" spans="1:7">
      <c r="A2223">
        <v>61</v>
      </c>
      <c r="B2223">
        <v>5</v>
      </c>
      <c r="C2223">
        <v>5</v>
      </c>
      <c r="E2223">
        <v>4</v>
      </c>
      <c r="F2223" t="str">
        <f t="shared" si="34"/>
        <v>F615G5T4</v>
      </c>
      <c r="G2223" s="14">
        <v>10</v>
      </c>
    </row>
    <row r="2224" spans="1:7">
      <c r="A2224">
        <v>61</v>
      </c>
      <c r="B2224">
        <v>6</v>
      </c>
      <c r="C2224">
        <v>5</v>
      </c>
      <c r="E2224">
        <v>4</v>
      </c>
      <c r="F2224" t="str">
        <f t="shared" si="34"/>
        <v>F616G5T4</v>
      </c>
      <c r="G2224" s="14">
        <v>10</v>
      </c>
    </row>
    <row r="2225" spans="1:7">
      <c r="A2225">
        <v>61</v>
      </c>
      <c r="B2225">
        <v>7</v>
      </c>
      <c r="C2225">
        <v>5</v>
      </c>
      <c r="E2225">
        <v>4</v>
      </c>
      <c r="F2225" t="str">
        <f t="shared" si="34"/>
        <v>F617G5T4</v>
      </c>
      <c r="G2225" s="14">
        <v>10</v>
      </c>
    </row>
    <row r="2226" spans="1:7">
      <c r="A2226">
        <v>60</v>
      </c>
      <c r="B2226">
        <v>1</v>
      </c>
      <c r="C2226">
        <v>3</v>
      </c>
      <c r="E2226">
        <v>3</v>
      </c>
      <c r="F2226" t="str">
        <f t="shared" si="34"/>
        <v>F601G3T3</v>
      </c>
      <c r="G2226" s="14">
        <v>11</v>
      </c>
    </row>
    <row r="2227" spans="1:7">
      <c r="A2227">
        <v>60</v>
      </c>
      <c r="B2227">
        <v>2</v>
      </c>
      <c r="C2227">
        <v>3</v>
      </c>
      <c r="E2227">
        <v>3</v>
      </c>
      <c r="F2227" t="str">
        <f t="shared" si="34"/>
        <v>F602G3T3</v>
      </c>
      <c r="G2227" s="14">
        <v>11</v>
      </c>
    </row>
    <row r="2228" spans="1:7">
      <c r="A2228">
        <v>60</v>
      </c>
      <c r="B2228">
        <v>5</v>
      </c>
      <c r="C2228">
        <v>3</v>
      </c>
      <c r="E2228">
        <v>3</v>
      </c>
      <c r="F2228" t="str">
        <f t="shared" si="34"/>
        <v>F605G3T3</v>
      </c>
      <c r="G2228" s="14">
        <v>11</v>
      </c>
    </row>
    <row r="2229" spans="1:7">
      <c r="A2229">
        <v>60</v>
      </c>
      <c r="B2229">
        <v>6</v>
      </c>
      <c r="C2229">
        <v>3</v>
      </c>
      <c r="E2229">
        <v>3</v>
      </c>
      <c r="F2229" t="str">
        <f t="shared" si="34"/>
        <v>F606G3T3</v>
      </c>
      <c r="G2229" s="14">
        <v>11</v>
      </c>
    </row>
    <row r="2230" spans="1:7">
      <c r="A2230">
        <v>60</v>
      </c>
      <c r="B2230">
        <v>7</v>
      </c>
      <c r="C2230">
        <v>3</v>
      </c>
      <c r="E2230">
        <v>3</v>
      </c>
      <c r="F2230" t="str">
        <f t="shared" si="34"/>
        <v>F607G3T3</v>
      </c>
      <c r="G2230" s="14">
        <v>11</v>
      </c>
    </row>
    <row r="2231" spans="1:7">
      <c r="A2231">
        <v>60</v>
      </c>
      <c r="B2231">
        <v>1</v>
      </c>
      <c r="C2231">
        <v>4</v>
      </c>
      <c r="E2231">
        <v>3</v>
      </c>
      <c r="F2231" t="str">
        <f t="shared" si="34"/>
        <v>F601G4T3</v>
      </c>
      <c r="G2231" s="14">
        <v>11</v>
      </c>
    </row>
    <row r="2232" spans="1:7">
      <c r="A2232">
        <v>60</v>
      </c>
      <c r="B2232">
        <v>2</v>
      </c>
      <c r="C2232">
        <v>4</v>
      </c>
      <c r="E2232">
        <v>3</v>
      </c>
      <c r="F2232" t="str">
        <f t="shared" si="34"/>
        <v>F602G4T3</v>
      </c>
      <c r="G2232" s="14">
        <v>11</v>
      </c>
    </row>
    <row r="2233" spans="1:7">
      <c r="A2233">
        <v>60</v>
      </c>
      <c r="B2233">
        <v>5</v>
      </c>
      <c r="C2233">
        <v>4</v>
      </c>
      <c r="E2233">
        <v>3</v>
      </c>
      <c r="F2233" t="str">
        <f t="shared" si="34"/>
        <v>F605G4T3</v>
      </c>
      <c r="G2233" s="14">
        <v>11</v>
      </c>
    </row>
    <row r="2234" spans="1:7">
      <c r="A2234">
        <v>60</v>
      </c>
      <c r="B2234">
        <v>6</v>
      </c>
      <c r="C2234">
        <v>4</v>
      </c>
      <c r="E2234">
        <v>3</v>
      </c>
      <c r="F2234" t="str">
        <f t="shared" si="34"/>
        <v>F606G4T3</v>
      </c>
      <c r="G2234" s="14">
        <v>11</v>
      </c>
    </row>
    <row r="2235" spans="1:7">
      <c r="A2235">
        <v>60</v>
      </c>
      <c r="B2235">
        <v>7</v>
      </c>
      <c r="C2235">
        <v>4</v>
      </c>
      <c r="E2235">
        <v>3</v>
      </c>
      <c r="F2235" t="str">
        <f t="shared" si="34"/>
        <v>F607G4T3</v>
      </c>
      <c r="G2235" s="14">
        <v>11</v>
      </c>
    </row>
    <row r="2236" spans="1:7">
      <c r="A2236">
        <v>60</v>
      </c>
      <c r="B2236">
        <v>1</v>
      </c>
      <c r="C2236">
        <v>5</v>
      </c>
      <c r="E2236">
        <v>3</v>
      </c>
      <c r="F2236" t="str">
        <f t="shared" si="34"/>
        <v>F601G5T3</v>
      </c>
      <c r="G2236" s="14">
        <v>11</v>
      </c>
    </row>
    <row r="2237" spans="1:7">
      <c r="A2237">
        <v>60</v>
      </c>
      <c r="B2237">
        <v>2</v>
      </c>
      <c r="C2237">
        <v>5</v>
      </c>
      <c r="E2237">
        <v>3</v>
      </c>
      <c r="F2237" t="str">
        <f t="shared" si="34"/>
        <v>F602G5T3</v>
      </c>
      <c r="G2237" s="14">
        <v>11</v>
      </c>
    </row>
    <row r="2238" spans="1:7">
      <c r="A2238">
        <v>60</v>
      </c>
      <c r="B2238">
        <v>5</v>
      </c>
      <c r="C2238">
        <v>5</v>
      </c>
      <c r="E2238">
        <v>3</v>
      </c>
      <c r="F2238" t="str">
        <f t="shared" si="34"/>
        <v>F605G5T3</v>
      </c>
      <c r="G2238" s="14">
        <v>11</v>
      </c>
    </row>
    <row r="2239" spans="1:7">
      <c r="A2239">
        <v>60</v>
      </c>
      <c r="B2239">
        <v>6</v>
      </c>
      <c r="C2239">
        <v>5</v>
      </c>
      <c r="E2239">
        <v>3</v>
      </c>
      <c r="F2239" t="str">
        <f t="shared" si="34"/>
        <v>F606G5T3</v>
      </c>
      <c r="G2239" s="14">
        <v>11</v>
      </c>
    </row>
    <row r="2240" spans="1:7">
      <c r="A2240">
        <v>60</v>
      </c>
      <c r="B2240">
        <v>7</v>
      </c>
      <c r="C2240">
        <v>5</v>
      </c>
      <c r="E2240">
        <v>3</v>
      </c>
      <c r="F2240" t="str">
        <f t="shared" si="34"/>
        <v>F607G5T3</v>
      </c>
      <c r="G2240" s="14">
        <v>11</v>
      </c>
    </row>
    <row r="2241" spans="1:7">
      <c r="A2241">
        <v>60</v>
      </c>
      <c r="B2241">
        <v>1</v>
      </c>
      <c r="C2241">
        <v>5</v>
      </c>
      <c r="E2241">
        <v>3</v>
      </c>
      <c r="F2241" t="str">
        <f t="shared" si="34"/>
        <v>F601G5T3</v>
      </c>
      <c r="G2241" s="14">
        <v>11</v>
      </c>
    </row>
    <row r="2242" spans="1:7">
      <c r="A2242">
        <v>60</v>
      </c>
      <c r="B2242">
        <v>2</v>
      </c>
      <c r="C2242">
        <v>5</v>
      </c>
      <c r="E2242">
        <v>3</v>
      </c>
      <c r="F2242" t="str">
        <f t="shared" si="34"/>
        <v>F602G5T3</v>
      </c>
      <c r="G2242" s="14">
        <v>11</v>
      </c>
    </row>
    <row r="2243" spans="1:7">
      <c r="A2243">
        <v>60</v>
      </c>
      <c r="B2243">
        <v>5</v>
      </c>
      <c r="C2243">
        <v>5</v>
      </c>
      <c r="E2243">
        <v>3</v>
      </c>
      <c r="F2243" t="str">
        <f t="shared" ref="F2243:F2306" si="35">CONCATENATE("F",A2243,B2243,"G",C2243,"T",E2243)</f>
        <v>F605G5T3</v>
      </c>
      <c r="G2243" s="14">
        <v>11</v>
      </c>
    </row>
    <row r="2244" spans="1:7">
      <c r="A2244">
        <v>60</v>
      </c>
      <c r="B2244">
        <v>6</v>
      </c>
      <c r="C2244">
        <v>5</v>
      </c>
      <c r="E2244">
        <v>3</v>
      </c>
      <c r="F2244" t="str">
        <f t="shared" si="35"/>
        <v>F606G5T3</v>
      </c>
      <c r="G2244" s="14">
        <v>11</v>
      </c>
    </row>
    <row r="2245" spans="1:7">
      <c r="A2245">
        <v>60</v>
      </c>
      <c r="B2245">
        <v>7</v>
      </c>
      <c r="C2245">
        <v>5</v>
      </c>
      <c r="E2245">
        <v>3</v>
      </c>
      <c r="F2245" t="str">
        <f t="shared" si="35"/>
        <v>F607G5T3</v>
      </c>
      <c r="G2245" s="14">
        <v>11</v>
      </c>
    </row>
    <row r="2246" spans="1:7">
      <c r="A2246">
        <v>61</v>
      </c>
      <c r="B2246">
        <v>1</v>
      </c>
      <c r="C2246">
        <v>3</v>
      </c>
      <c r="E2246">
        <v>3</v>
      </c>
      <c r="F2246" t="str">
        <f t="shared" si="35"/>
        <v>F611G3T3</v>
      </c>
      <c r="G2246" s="14">
        <v>11</v>
      </c>
    </row>
    <row r="2247" spans="1:7">
      <c r="A2247">
        <v>61</v>
      </c>
      <c r="B2247">
        <v>2</v>
      </c>
      <c r="C2247">
        <v>3</v>
      </c>
      <c r="E2247">
        <v>3</v>
      </c>
      <c r="F2247" t="str">
        <f t="shared" si="35"/>
        <v>F612G3T3</v>
      </c>
      <c r="G2247" s="14">
        <v>11</v>
      </c>
    </row>
    <row r="2248" spans="1:7">
      <c r="A2248">
        <v>61</v>
      </c>
      <c r="B2248">
        <v>5</v>
      </c>
      <c r="C2248">
        <v>3</v>
      </c>
      <c r="E2248">
        <v>3</v>
      </c>
      <c r="F2248" t="str">
        <f t="shared" si="35"/>
        <v>F615G3T3</v>
      </c>
      <c r="G2248" s="14">
        <v>11</v>
      </c>
    </row>
    <row r="2249" spans="1:7">
      <c r="A2249">
        <v>61</v>
      </c>
      <c r="B2249">
        <v>6</v>
      </c>
      <c r="C2249">
        <v>3</v>
      </c>
      <c r="E2249">
        <v>3</v>
      </c>
      <c r="F2249" t="str">
        <f t="shared" si="35"/>
        <v>F616G3T3</v>
      </c>
      <c r="G2249" s="14">
        <v>11</v>
      </c>
    </row>
    <row r="2250" spans="1:7">
      <c r="A2250">
        <v>61</v>
      </c>
      <c r="B2250">
        <v>7</v>
      </c>
      <c r="C2250">
        <v>3</v>
      </c>
      <c r="E2250">
        <v>3</v>
      </c>
      <c r="F2250" t="str">
        <f t="shared" si="35"/>
        <v>F617G3T3</v>
      </c>
      <c r="G2250" s="14">
        <v>11</v>
      </c>
    </row>
    <row r="2251" spans="1:7">
      <c r="A2251">
        <v>61</v>
      </c>
      <c r="B2251">
        <v>1</v>
      </c>
      <c r="C2251">
        <v>4</v>
      </c>
      <c r="E2251">
        <v>3</v>
      </c>
      <c r="F2251" t="str">
        <f t="shared" si="35"/>
        <v>F611G4T3</v>
      </c>
      <c r="G2251" s="14">
        <v>11</v>
      </c>
    </row>
    <row r="2252" spans="1:7">
      <c r="A2252">
        <v>61</v>
      </c>
      <c r="B2252">
        <v>2</v>
      </c>
      <c r="C2252">
        <v>4</v>
      </c>
      <c r="E2252">
        <v>3</v>
      </c>
      <c r="F2252" t="str">
        <f t="shared" si="35"/>
        <v>F612G4T3</v>
      </c>
      <c r="G2252" s="14">
        <v>11</v>
      </c>
    </row>
    <row r="2253" spans="1:7">
      <c r="A2253">
        <v>61</v>
      </c>
      <c r="B2253">
        <v>5</v>
      </c>
      <c r="C2253">
        <v>4</v>
      </c>
      <c r="E2253">
        <v>3</v>
      </c>
      <c r="F2253" t="str">
        <f t="shared" si="35"/>
        <v>F615G4T3</v>
      </c>
      <c r="G2253" s="14">
        <v>11</v>
      </c>
    </row>
    <row r="2254" spans="1:7">
      <c r="A2254">
        <v>61</v>
      </c>
      <c r="B2254">
        <v>6</v>
      </c>
      <c r="C2254">
        <v>4</v>
      </c>
      <c r="E2254">
        <v>3</v>
      </c>
      <c r="F2254" t="str">
        <f t="shared" si="35"/>
        <v>F616G4T3</v>
      </c>
      <c r="G2254" s="14">
        <v>11</v>
      </c>
    </row>
    <row r="2255" spans="1:7">
      <c r="A2255">
        <v>61</v>
      </c>
      <c r="B2255">
        <v>7</v>
      </c>
      <c r="C2255">
        <v>4</v>
      </c>
      <c r="E2255">
        <v>3</v>
      </c>
      <c r="F2255" t="str">
        <f t="shared" si="35"/>
        <v>F617G4T3</v>
      </c>
      <c r="G2255" s="14">
        <v>11</v>
      </c>
    </row>
    <row r="2256" spans="1:7">
      <c r="A2256">
        <v>61</v>
      </c>
      <c r="B2256">
        <v>1</v>
      </c>
      <c r="C2256">
        <v>5</v>
      </c>
      <c r="E2256">
        <v>3</v>
      </c>
      <c r="F2256" t="str">
        <f t="shared" si="35"/>
        <v>F611G5T3</v>
      </c>
      <c r="G2256" s="14">
        <v>11</v>
      </c>
    </row>
    <row r="2257" spans="1:7">
      <c r="A2257">
        <v>61</v>
      </c>
      <c r="B2257">
        <v>2</v>
      </c>
      <c r="C2257">
        <v>5</v>
      </c>
      <c r="E2257">
        <v>3</v>
      </c>
      <c r="F2257" t="str">
        <f t="shared" si="35"/>
        <v>F612G5T3</v>
      </c>
      <c r="G2257" s="14">
        <v>11</v>
      </c>
    </row>
    <row r="2258" spans="1:7">
      <c r="A2258">
        <v>61</v>
      </c>
      <c r="B2258">
        <v>5</v>
      </c>
      <c r="C2258">
        <v>5</v>
      </c>
      <c r="E2258">
        <v>3</v>
      </c>
      <c r="F2258" t="str">
        <f t="shared" si="35"/>
        <v>F615G5T3</v>
      </c>
      <c r="G2258" s="14">
        <v>11</v>
      </c>
    </row>
    <row r="2259" spans="1:7">
      <c r="A2259">
        <v>61</v>
      </c>
      <c r="B2259">
        <v>6</v>
      </c>
      <c r="C2259">
        <v>5</v>
      </c>
      <c r="E2259">
        <v>3</v>
      </c>
      <c r="F2259" t="str">
        <f t="shared" si="35"/>
        <v>F616G5T3</v>
      </c>
      <c r="G2259" s="14">
        <v>11</v>
      </c>
    </row>
    <row r="2260" spans="1:7">
      <c r="A2260">
        <v>61</v>
      </c>
      <c r="B2260">
        <v>7</v>
      </c>
      <c r="C2260">
        <v>5</v>
      </c>
      <c r="E2260">
        <v>3</v>
      </c>
      <c r="F2260" t="str">
        <f t="shared" si="35"/>
        <v>F617G5T3</v>
      </c>
      <c r="G2260" s="14">
        <v>11</v>
      </c>
    </row>
    <row r="2261" spans="1:7">
      <c r="A2261">
        <v>61</v>
      </c>
      <c r="B2261">
        <v>1</v>
      </c>
      <c r="C2261">
        <v>5</v>
      </c>
      <c r="E2261">
        <v>3</v>
      </c>
      <c r="F2261" t="str">
        <f t="shared" si="35"/>
        <v>F611G5T3</v>
      </c>
      <c r="G2261" s="14">
        <v>11</v>
      </c>
    </row>
    <row r="2262" spans="1:7">
      <c r="A2262">
        <v>61</v>
      </c>
      <c r="B2262">
        <v>2</v>
      </c>
      <c r="C2262">
        <v>5</v>
      </c>
      <c r="E2262">
        <v>3</v>
      </c>
      <c r="F2262" t="str">
        <f t="shared" si="35"/>
        <v>F612G5T3</v>
      </c>
      <c r="G2262" s="14">
        <v>11</v>
      </c>
    </row>
    <row r="2263" spans="1:7">
      <c r="A2263">
        <v>61</v>
      </c>
      <c r="B2263">
        <v>5</v>
      </c>
      <c r="C2263">
        <v>5</v>
      </c>
      <c r="E2263">
        <v>3</v>
      </c>
      <c r="F2263" t="str">
        <f t="shared" si="35"/>
        <v>F615G5T3</v>
      </c>
      <c r="G2263" s="14">
        <v>11</v>
      </c>
    </row>
    <row r="2264" spans="1:7">
      <c r="A2264">
        <v>61</v>
      </c>
      <c r="B2264">
        <v>6</v>
      </c>
      <c r="C2264">
        <v>5</v>
      </c>
      <c r="E2264">
        <v>3</v>
      </c>
      <c r="F2264" t="str">
        <f t="shared" si="35"/>
        <v>F616G5T3</v>
      </c>
      <c r="G2264" s="14">
        <v>11</v>
      </c>
    </row>
    <row r="2265" spans="1:7">
      <c r="A2265">
        <v>61</v>
      </c>
      <c r="B2265">
        <v>7</v>
      </c>
      <c r="C2265">
        <v>5</v>
      </c>
      <c r="E2265">
        <v>3</v>
      </c>
      <c r="F2265" t="str">
        <f t="shared" si="35"/>
        <v>F617G5T3</v>
      </c>
      <c r="G2265" s="14">
        <v>11</v>
      </c>
    </row>
    <row r="2266" spans="1:7">
      <c r="A2266">
        <v>60</v>
      </c>
      <c r="B2266">
        <v>1</v>
      </c>
      <c r="C2266">
        <v>3</v>
      </c>
      <c r="E2266">
        <v>2</v>
      </c>
      <c r="F2266" t="str">
        <f t="shared" si="35"/>
        <v>F601G3T2</v>
      </c>
      <c r="G2266" s="14">
        <v>12</v>
      </c>
    </row>
    <row r="2267" spans="1:7">
      <c r="A2267">
        <v>60</v>
      </c>
      <c r="B2267">
        <v>2</v>
      </c>
      <c r="C2267">
        <v>3</v>
      </c>
      <c r="E2267">
        <v>2</v>
      </c>
      <c r="F2267" t="str">
        <f t="shared" si="35"/>
        <v>F602G3T2</v>
      </c>
      <c r="G2267" s="14">
        <v>12</v>
      </c>
    </row>
    <row r="2268" spans="1:7">
      <c r="A2268">
        <v>60</v>
      </c>
      <c r="B2268">
        <v>5</v>
      </c>
      <c r="C2268">
        <v>3</v>
      </c>
      <c r="E2268">
        <v>2</v>
      </c>
      <c r="F2268" t="str">
        <f t="shared" si="35"/>
        <v>F605G3T2</v>
      </c>
      <c r="G2268" s="14">
        <v>12</v>
      </c>
    </row>
    <row r="2269" spans="1:7">
      <c r="A2269">
        <v>60</v>
      </c>
      <c r="B2269">
        <v>6</v>
      </c>
      <c r="C2269">
        <v>3</v>
      </c>
      <c r="E2269">
        <v>2</v>
      </c>
      <c r="F2269" t="str">
        <f t="shared" si="35"/>
        <v>F606G3T2</v>
      </c>
      <c r="G2269" s="14">
        <v>12</v>
      </c>
    </row>
    <row r="2270" spans="1:7">
      <c r="A2270">
        <v>60</v>
      </c>
      <c r="B2270">
        <v>7</v>
      </c>
      <c r="C2270">
        <v>3</v>
      </c>
      <c r="E2270">
        <v>2</v>
      </c>
      <c r="F2270" t="str">
        <f t="shared" si="35"/>
        <v>F607G3T2</v>
      </c>
      <c r="G2270" s="14">
        <v>12</v>
      </c>
    </row>
    <row r="2271" spans="1:7">
      <c r="A2271">
        <v>60</v>
      </c>
      <c r="B2271">
        <v>1</v>
      </c>
      <c r="C2271">
        <v>4</v>
      </c>
      <c r="E2271">
        <v>2</v>
      </c>
      <c r="F2271" t="str">
        <f t="shared" si="35"/>
        <v>F601G4T2</v>
      </c>
      <c r="G2271" s="14">
        <v>12</v>
      </c>
    </row>
    <row r="2272" spans="1:7">
      <c r="A2272">
        <v>60</v>
      </c>
      <c r="B2272">
        <v>2</v>
      </c>
      <c r="C2272">
        <v>4</v>
      </c>
      <c r="E2272">
        <v>2</v>
      </c>
      <c r="F2272" t="str">
        <f t="shared" si="35"/>
        <v>F602G4T2</v>
      </c>
      <c r="G2272" s="14">
        <v>12</v>
      </c>
    </row>
    <row r="2273" spans="1:7">
      <c r="A2273">
        <v>60</v>
      </c>
      <c r="B2273">
        <v>5</v>
      </c>
      <c r="C2273">
        <v>4</v>
      </c>
      <c r="E2273">
        <v>2</v>
      </c>
      <c r="F2273" t="str">
        <f t="shared" si="35"/>
        <v>F605G4T2</v>
      </c>
      <c r="G2273" s="14">
        <v>12</v>
      </c>
    </row>
    <row r="2274" spans="1:7">
      <c r="A2274">
        <v>60</v>
      </c>
      <c r="B2274">
        <v>6</v>
      </c>
      <c r="C2274">
        <v>4</v>
      </c>
      <c r="E2274">
        <v>2</v>
      </c>
      <c r="F2274" t="str">
        <f t="shared" si="35"/>
        <v>F606G4T2</v>
      </c>
      <c r="G2274" s="14">
        <v>12</v>
      </c>
    </row>
    <row r="2275" spans="1:7">
      <c r="A2275">
        <v>60</v>
      </c>
      <c r="B2275">
        <v>7</v>
      </c>
      <c r="C2275">
        <v>4</v>
      </c>
      <c r="E2275">
        <v>2</v>
      </c>
      <c r="F2275" t="str">
        <f t="shared" si="35"/>
        <v>F607G4T2</v>
      </c>
      <c r="G2275" s="14">
        <v>12</v>
      </c>
    </row>
    <row r="2276" spans="1:7">
      <c r="A2276">
        <v>60</v>
      </c>
      <c r="B2276">
        <v>1</v>
      </c>
      <c r="C2276">
        <v>5</v>
      </c>
      <c r="E2276">
        <v>2</v>
      </c>
      <c r="F2276" t="str">
        <f t="shared" si="35"/>
        <v>F601G5T2</v>
      </c>
      <c r="G2276" s="14">
        <v>12</v>
      </c>
    </row>
    <row r="2277" spans="1:7">
      <c r="A2277">
        <v>60</v>
      </c>
      <c r="B2277">
        <v>2</v>
      </c>
      <c r="C2277">
        <v>5</v>
      </c>
      <c r="E2277">
        <v>2</v>
      </c>
      <c r="F2277" t="str">
        <f t="shared" si="35"/>
        <v>F602G5T2</v>
      </c>
      <c r="G2277" s="14">
        <v>12</v>
      </c>
    </row>
    <row r="2278" spans="1:7">
      <c r="A2278">
        <v>60</v>
      </c>
      <c r="B2278">
        <v>5</v>
      </c>
      <c r="C2278">
        <v>5</v>
      </c>
      <c r="E2278">
        <v>2</v>
      </c>
      <c r="F2278" t="str">
        <f t="shared" si="35"/>
        <v>F605G5T2</v>
      </c>
      <c r="G2278" s="14">
        <v>12</v>
      </c>
    </row>
    <row r="2279" spans="1:7">
      <c r="A2279">
        <v>60</v>
      </c>
      <c r="B2279">
        <v>6</v>
      </c>
      <c r="C2279">
        <v>5</v>
      </c>
      <c r="E2279">
        <v>2</v>
      </c>
      <c r="F2279" t="str">
        <f t="shared" si="35"/>
        <v>F606G5T2</v>
      </c>
      <c r="G2279" s="14">
        <v>12</v>
      </c>
    </row>
    <row r="2280" spans="1:7">
      <c r="A2280">
        <v>60</v>
      </c>
      <c r="B2280">
        <v>7</v>
      </c>
      <c r="C2280">
        <v>5</v>
      </c>
      <c r="E2280">
        <v>2</v>
      </c>
      <c r="F2280" t="str">
        <f t="shared" si="35"/>
        <v>F607G5T2</v>
      </c>
      <c r="G2280" s="14">
        <v>12</v>
      </c>
    </row>
    <row r="2281" spans="1:7">
      <c r="A2281">
        <v>60</v>
      </c>
      <c r="B2281">
        <v>1</v>
      </c>
      <c r="C2281">
        <v>5</v>
      </c>
      <c r="E2281">
        <v>2</v>
      </c>
      <c r="F2281" t="str">
        <f t="shared" si="35"/>
        <v>F601G5T2</v>
      </c>
      <c r="G2281" s="14">
        <v>12</v>
      </c>
    </row>
    <row r="2282" spans="1:7">
      <c r="A2282">
        <v>60</v>
      </c>
      <c r="B2282">
        <v>2</v>
      </c>
      <c r="C2282">
        <v>5</v>
      </c>
      <c r="E2282">
        <v>2</v>
      </c>
      <c r="F2282" t="str">
        <f t="shared" si="35"/>
        <v>F602G5T2</v>
      </c>
      <c r="G2282" s="14">
        <v>12</v>
      </c>
    </row>
    <row r="2283" spans="1:7">
      <c r="A2283">
        <v>60</v>
      </c>
      <c r="B2283">
        <v>5</v>
      </c>
      <c r="C2283">
        <v>5</v>
      </c>
      <c r="E2283">
        <v>2</v>
      </c>
      <c r="F2283" t="str">
        <f t="shared" si="35"/>
        <v>F605G5T2</v>
      </c>
      <c r="G2283" s="14">
        <v>12</v>
      </c>
    </row>
    <row r="2284" spans="1:7">
      <c r="A2284">
        <v>60</v>
      </c>
      <c r="B2284">
        <v>6</v>
      </c>
      <c r="C2284">
        <v>5</v>
      </c>
      <c r="E2284">
        <v>2</v>
      </c>
      <c r="F2284" t="str">
        <f t="shared" si="35"/>
        <v>F606G5T2</v>
      </c>
      <c r="G2284" s="14">
        <v>12</v>
      </c>
    </row>
    <row r="2285" spans="1:7">
      <c r="A2285">
        <v>60</v>
      </c>
      <c r="B2285">
        <v>7</v>
      </c>
      <c r="C2285">
        <v>5</v>
      </c>
      <c r="E2285">
        <v>2</v>
      </c>
      <c r="F2285" t="str">
        <f t="shared" si="35"/>
        <v>F607G5T2</v>
      </c>
      <c r="G2285" s="14">
        <v>12</v>
      </c>
    </row>
    <row r="2286" spans="1:7">
      <c r="A2286">
        <v>61</v>
      </c>
      <c r="B2286">
        <v>1</v>
      </c>
      <c r="C2286">
        <v>3</v>
      </c>
      <c r="E2286">
        <v>2</v>
      </c>
      <c r="F2286" t="str">
        <f t="shared" si="35"/>
        <v>F611G3T2</v>
      </c>
      <c r="G2286" s="14">
        <v>12</v>
      </c>
    </row>
    <row r="2287" spans="1:7">
      <c r="A2287">
        <v>61</v>
      </c>
      <c r="B2287">
        <v>2</v>
      </c>
      <c r="C2287">
        <v>3</v>
      </c>
      <c r="E2287">
        <v>2</v>
      </c>
      <c r="F2287" t="str">
        <f t="shared" si="35"/>
        <v>F612G3T2</v>
      </c>
      <c r="G2287" s="14">
        <v>12</v>
      </c>
    </row>
    <row r="2288" spans="1:7">
      <c r="A2288">
        <v>61</v>
      </c>
      <c r="B2288">
        <v>5</v>
      </c>
      <c r="C2288">
        <v>3</v>
      </c>
      <c r="E2288">
        <v>2</v>
      </c>
      <c r="F2288" t="str">
        <f t="shared" si="35"/>
        <v>F615G3T2</v>
      </c>
      <c r="G2288" s="14">
        <v>12</v>
      </c>
    </row>
    <row r="2289" spans="1:7">
      <c r="A2289">
        <v>61</v>
      </c>
      <c r="B2289">
        <v>6</v>
      </c>
      <c r="C2289">
        <v>3</v>
      </c>
      <c r="E2289">
        <v>2</v>
      </c>
      <c r="F2289" t="str">
        <f t="shared" si="35"/>
        <v>F616G3T2</v>
      </c>
      <c r="G2289" s="14">
        <v>12</v>
      </c>
    </row>
    <row r="2290" spans="1:7">
      <c r="A2290">
        <v>61</v>
      </c>
      <c r="B2290">
        <v>7</v>
      </c>
      <c r="C2290">
        <v>3</v>
      </c>
      <c r="E2290">
        <v>2</v>
      </c>
      <c r="F2290" t="str">
        <f t="shared" si="35"/>
        <v>F617G3T2</v>
      </c>
      <c r="G2290" s="14">
        <v>12</v>
      </c>
    </row>
    <row r="2291" spans="1:7">
      <c r="A2291">
        <v>61</v>
      </c>
      <c r="B2291">
        <v>1</v>
      </c>
      <c r="C2291">
        <v>4</v>
      </c>
      <c r="E2291">
        <v>2</v>
      </c>
      <c r="F2291" t="str">
        <f t="shared" si="35"/>
        <v>F611G4T2</v>
      </c>
      <c r="G2291" s="14">
        <v>12</v>
      </c>
    </row>
    <row r="2292" spans="1:7">
      <c r="A2292">
        <v>61</v>
      </c>
      <c r="B2292">
        <v>2</v>
      </c>
      <c r="C2292">
        <v>4</v>
      </c>
      <c r="E2292">
        <v>2</v>
      </c>
      <c r="F2292" t="str">
        <f t="shared" si="35"/>
        <v>F612G4T2</v>
      </c>
      <c r="G2292" s="14">
        <v>12</v>
      </c>
    </row>
    <row r="2293" spans="1:7">
      <c r="A2293">
        <v>61</v>
      </c>
      <c r="B2293">
        <v>5</v>
      </c>
      <c r="C2293">
        <v>4</v>
      </c>
      <c r="E2293">
        <v>2</v>
      </c>
      <c r="F2293" t="str">
        <f t="shared" si="35"/>
        <v>F615G4T2</v>
      </c>
      <c r="G2293" s="14">
        <v>12</v>
      </c>
    </row>
    <row r="2294" spans="1:7">
      <c r="A2294">
        <v>61</v>
      </c>
      <c r="B2294">
        <v>6</v>
      </c>
      <c r="C2294">
        <v>4</v>
      </c>
      <c r="E2294">
        <v>2</v>
      </c>
      <c r="F2294" t="str">
        <f t="shared" si="35"/>
        <v>F616G4T2</v>
      </c>
      <c r="G2294" s="14">
        <v>12</v>
      </c>
    </row>
    <row r="2295" spans="1:7">
      <c r="A2295">
        <v>61</v>
      </c>
      <c r="B2295">
        <v>7</v>
      </c>
      <c r="C2295">
        <v>4</v>
      </c>
      <c r="E2295">
        <v>2</v>
      </c>
      <c r="F2295" t="str">
        <f t="shared" si="35"/>
        <v>F617G4T2</v>
      </c>
      <c r="G2295" s="14">
        <v>12</v>
      </c>
    </row>
    <row r="2296" spans="1:7">
      <c r="A2296">
        <v>61</v>
      </c>
      <c r="B2296">
        <v>1</v>
      </c>
      <c r="C2296">
        <v>5</v>
      </c>
      <c r="E2296">
        <v>2</v>
      </c>
      <c r="F2296" t="str">
        <f t="shared" si="35"/>
        <v>F611G5T2</v>
      </c>
      <c r="G2296" s="14">
        <v>12</v>
      </c>
    </row>
    <row r="2297" spans="1:7">
      <c r="A2297">
        <v>61</v>
      </c>
      <c r="B2297">
        <v>2</v>
      </c>
      <c r="C2297">
        <v>5</v>
      </c>
      <c r="E2297">
        <v>2</v>
      </c>
      <c r="F2297" t="str">
        <f t="shared" si="35"/>
        <v>F612G5T2</v>
      </c>
      <c r="G2297" s="14">
        <v>12</v>
      </c>
    </row>
    <row r="2298" spans="1:7">
      <c r="A2298">
        <v>61</v>
      </c>
      <c r="B2298">
        <v>5</v>
      </c>
      <c r="C2298">
        <v>5</v>
      </c>
      <c r="E2298">
        <v>2</v>
      </c>
      <c r="F2298" t="str">
        <f t="shared" si="35"/>
        <v>F615G5T2</v>
      </c>
      <c r="G2298" s="14">
        <v>12</v>
      </c>
    </row>
    <row r="2299" spans="1:7">
      <c r="A2299">
        <v>61</v>
      </c>
      <c r="B2299">
        <v>6</v>
      </c>
      <c r="C2299">
        <v>5</v>
      </c>
      <c r="E2299">
        <v>2</v>
      </c>
      <c r="F2299" t="str">
        <f t="shared" si="35"/>
        <v>F616G5T2</v>
      </c>
      <c r="G2299" s="14">
        <v>12</v>
      </c>
    </row>
    <row r="2300" spans="1:7">
      <c r="A2300">
        <v>61</v>
      </c>
      <c r="B2300">
        <v>7</v>
      </c>
      <c r="C2300">
        <v>5</v>
      </c>
      <c r="E2300">
        <v>2</v>
      </c>
      <c r="F2300" t="str">
        <f t="shared" si="35"/>
        <v>F617G5T2</v>
      </c>
      <c r="G2300" s="14">
        <v>12</v>
      </c>
    </row>
    <row r="2301" spans="1:7">
      <c r="A2301">
        <v>61</v>
      </c>
      <c r="B2301">
        <v>1</v>
      </c>
      <c r="C2301">
        <v>5</v>
      </c>
      <c r="E2301">
        <v>2</v>
      </c>
      <c r="F2301" t="str">
        <f t="shared" si="35"/>
        <v>F611G5T2</v>
      </c>
      <c r="G2301" s="14">
        <v>12</v>
      </c>
    </row>
    <row r="2302" spans="1:7">
      <c r="A2302">
        <v>61</v>
      </c>
      <c r="B2302">
        <v>2</v>
      </c>
      <c r="C2302">
        <v>5</v>
      </c>
      <c r="E2302">
        <v>2</v>
      </c>
      <c r="F2302" t="str">
        <f t="shared" si="35"/>
        <v>F612G5T2</v>
      </c>
      <c r="G2302" s="14">
        <v>12</v>
      </c>
    </row>
    <row r="2303" spans="1:7">
      <c r="A2303">
        <v>61</v>
      </c>
      <c r="B2303">
        <v>5</v>
      </c>
      <c r="C2303">
        <v>5</v>
      </c>
      <c r="E2303">
        <v>2</v>
      </c>
      <c r="F2303" t="str">
        <f t="shared" si="35"/>
        <v>F615G5T2</v>
      </c>
      <c r="G2303" s="14">
        <v>12</v>
      </c>
    </row>
    <row r="2304" spans="1:7">
      <c r="A2304">
        <v>61</v>
      </c>
      <c r="B2304">
        <v>6</v>
      </c>
      <c r="C2304">
        <v>5</v>
      </c>
      <c r="E2304">
        <v>2</v>
      </c>
      <c r="F2304" t="str">
        <f t="shared" si="35"/>
        <v>F616G5T2</v>
      </c>
      <c r="G2304" s="14">
        <v>12</v>
      </c>
    </row>
    <row r="2305" spans="1:7">
      <c r="A2305">
        <v>61</v>
      </c>
      <c r="B2305">
        <v>7</v>
      </c>
      <c r="C2305">
        <v>5</v>
      </c>
      <c r="E2305">
        <v>2</v>
      </c>
      <c r="F2305" t="str">
        <f t="shared" si="35"/>
        <v>F617G5T2</v>
      </c>
      <c r="G2305" s="14">
        <v>12</v>
      </c>
    </row>
    <row r="2306" spans="1:7">
      <c r="A2306">
        <v>10</v>
      </c>
      <c r="B2306">
        <v>1</v>
      </c>
      <c r="C2306">
        <v>2</v>
      </c>
      <c r="E2306">
        <v>1</v>
      </c>
      <c r="F2306" t="str">
        <f t="shared" si="35"/>
        <v>F101G2T1</v>
      </c>
      <c r="G2306" s="14">
        <v>13</v>
      </c>
    </row>
    <row r="2307" spans="1:7">
      <c r="A2307">
        <v>10</v>
      </c>
      <c r="B2307">
        <v>1</v>
      </c>
      <c r="C2307">
        <v>6</v>
      </c>
      <c r="E2307">
        <v>1</v>
      </c>
      <c r="F2307" t="str">
        <f t="shared" ref="F2307:F2370" si="36">CONCATENATE("F",A2307,B2307,"G",C2307,"T",E2307)</f>
        <v>F101G6T1</v>
      </c>
      <c r="G2307" s="14">
        <v>13</v>
      </c>
    </row>
    <row r="2308" spans="1:7">
      <c r="A2308">
        <v>13</v>
      </c>
      <c r="B2308">
        <v>1</v>
      </c>
      <c r="C2308">
        <v>2</v>
      </c>
      <c r="E2308">
        <v>1</v>
      </c>
      <c r="F2308" t="str">
        <f t="shared" si="36"/>
        <v>F131G2T1</v>
      </c>
      <c r="G2308" s="14">
        <v>13</v>
      </c>
    </row>
    <row r="2309" spans="1:7">
      <c r="A2309">
        <v>13</v>
      </c>
      <c r="B2309">
        <v>1</v>
      </c>
      <c r="C2309">
        <v>6</v>
      </c>
      <c r="E2309">
        <v>1</v>
      </c>
      <c r="F2309" t="str">
        <f t="shared" si="36"/>
        <v>F131G6T1</v>
      </c>
      <c r="G2309" s="14">
        <v>13</v>
      </c>
    </row>
    <row r="2310" spans="1:7">
      <c r="A2310">
        <v>15</v>
      </c>
      <c r="B2310">
        <v>1</v>
      </c>
      <c r="C2310">
        <v>2</v>
      </c>
      <c r="E2310">
        <v>1</v>
      </c>
      <c r="F2310" t="str">
        <f t="shared" si="36"/>
        <v>F151G2T1</v>
      </c>
      <c r="G2310" s="14">
        <v>13</v>
      </c>
    </row>
    <row r="2311" spans="1:7">
      <c r="A2311">
        <v>15</v>
      </c>
      <c r="B2311">
        <v>1</v>
      </c>
      <c r="C2311">
        <v>6</v>
      </c>
      <c r="E2311">
        <v>1</v>
      </c>
      <c r="F2311" t="str">
        <f t="shared" si="36"/>
        <v>F151G6T1</v>
      </c>
      <c r="G2311" s="14">
        <v>13</v>
      </c>
    </row>
    <row r="2312" spans="1:7">
      <c r="A2312">
        <v>18</v>
      </c>
      <c r="B2312">
        <v>1</v>
      </c>
      <c r="C2312">
        <v>2</v>
      </c>
      <c r="E2312">
        <v>1</v>
      </c>
      <c r="F2312" t="str">
        <f t="shared" si="36"/>
        <v>F181G2T1</v>
      </c>
      <c r="G2312" s="14">
        <v>13</v>
      </c>
    </row>
    <row r="2313" spans="1:7">
      <c r="A2313">
        <v>18</v>
      </c>
      <c r="B2313">
        <v>1</v>
      </c>
      <c r="C2313">
        <v>6</v>
      </c>
      <c r="E2313">
        <v>1</v>
      </c>
      <c r="F2313" t="str">
        <f t="shared" si="36"/>
        <v>F181G6T1</v>
      </c>
      <c r="G2313" s="14">
        <v>13</v>
      </c>
    </row>
    <row r="2314" spans="1:7">
      <c r="A2314">
        <v>19</v>
      </c>
      <c r="B2314">
        <v>1</v>
      </c>
      <c r="C2314">
        <v>2</v>
      </c>
      <c r="E2314">
        <v>1</v>
      </c>
      <c r="F2314" t="str">
        <f t="shared" si="36"/>
        <v>F191G2T1</v>
      </c>
      <c r="G2314" s="14">
        <v>13</v>
      </c>
    </row>
    <row r="2315" spans="1:7">
      <c r="A2315">
        <v>19</v>
      </c>
      <c r="B2315">
        <v>1</v>
      </c>
      <c r="C2315">
        <v>6</v>
      </c>
      <c r="E2315">
        <v>1</v>
      </c>
      <c r="F2315" t="str">
        <f t="shared" si="36"/>
        <v>F191G6T1</v>
      </c>
      <c r="G2315" s="14">
        <v>13</v>
      </c>
    </row>
    <row r="2316" spans="1:7">
      <c r="A2316">
        <v>10</v>
      </c>
      <c r="B2316">
        <v>1</v>
      </c>
      <c r="C2316">
        <v>2</v>
      </c>
      <c r="E2316">
        <v>4</v>
      </c>
      <c r="F2316" t="str">
        <f t="shared" si="36"/>
        <v>F101G2T4</v>
      </c>
      <c r="G2316" s="14">
        <v>13</v>
      </c>
    </row>
    <row r="2317" spans="1:7">
      <c r="A2317">
        <v>10</v>
      </c>
      <c r="B2317">
        <v>1</v>
      </c>
      <c r="C2317">
        <v>6</v>
      </c>
      <c r="E2317">
        <v>4</v>
      </c>
      <c r="F2317" t="str">
        <f t="shared" si="36"/>
        <v>F101G6T4</v>
      </c>
      <c r="G2317" s="14">
        <v>13</v>
      </c>
    </row>
    <row r="2318" spans="1:7">
      <c r="A2318">
        <v>13</v>
      </c>
      <c r="B2318">
        <v>1</v>
      </c>
      <c r="C2318">
        <v>2</v>
      </c>
      <c r="E2318">
        <v>4</v>
      </c>
      <c r="F2318" t="str">
        <f t="shared" si="36"/>
        <v>F131G2T4</v>
      </c>
      <c r="G2318" s="14">
        <v>13</v>
      </c>
    </row>
    <row r="2319" spans="1:7">
      <c r="A2319">
        <v>13</v>
      </c>
      <c r="B2319">
        <v>1</v>
      </c>
      <c r="C2319">
        <v>6</v>
      </c>
      <c r="E2319">
        <v>4</v>
      </c>
      <c r="F2319" t="str">
        <f t="shared" si="36"/>
        <v>F131G6T4</v>
      </c>
      <c r="G2319" s="14">
        <v>13</v>
      </c>
    </row>
    <row r="2320" spans="1:7">
      <c r="A2320">
        <v>15</v>
      </c>
      <c r="B2320">
        <v>1</v>
      </c>
      <c r="C2320">
        <v>2</v>
      </c>
      <c r="E2320">
        <v>4</v>
      </c>
      <c r="F2320" t="str">
        <f t="shared" si="36"/>
        <v>F151G2T4</v>
      </c>
      <c r="G2320" s="14">
        <v>13</v>
      </c>
    </row>
    <row r="2321" spans="1:7">
      <c r="A2321">
        <v>15</v>
      </c>
      <c r="B2321">
        <v>1</v>
      </c>
      <c r="C2321">
        <v>6</v>
      </c>
      <c r="E2321">
        <v>4</v>
      </c>
      <c r="F2321" t="str">
        <f t="shared" si="36"/>
        <v>F151G6T4</v>
      </c>
      <c r="G2321" s="14">
        <v>13</v>
      </c>
    </row>
    <row r="2322" spans="1:7">
      <c r="A2322">
        <v>18</v>
      </c>
      <c r="B2322">
        <v>1</v>
      </c>
      <c r="C2322">
        <v>2</v>
      </c>
      <c r="E2322">
        <v>4</v>
      </c>
      <c r="F2322" t="str">
        <f t="shared" si="36"/>
        <v>F181G2T4</v>
      </c>
      <c r="G2322" s="14">
        <v>13</v>
      </c>
    </row>
    <row r="2323" spans="1:7">
      <c r="A2323">
        <v>18</v>
      </c>
      <c r="B2323">
        <v>1</v>
      </c>
      <c r="C2323">
        <v>6</v>
      </c>
      <c r="E2323">
        <v>4</v>
      </c>
      <c r="F2323" t="str">
        <f t="shared" si="36"/>
        <v>F181G6T4</v>
      </c>
      <c r="G2323" s="14">
        <v>13</v>
      </c>
    </row>
    <row r="2324" spans="1:7">
      <c r="A2324">
        <v>19</v>
      </c>
      <c r="B2324">
        <v>1</v>
      </c>
      <c r="C2324">
        <v>2</v>
      </c>
      <c r="E2324">
        <v>4</v>
      </c>
      <c r="F2324" t="str">
        <f t="shared" si="36"/>
        <v>F191G2T4</v>
      </c>
      <c r="G2324" s="14">
        <v>13</v>
      </c>
    </row>
    <row r="2325" spans="1:7">
      <c r="A2325">
        <v>19</v>
      </c>
      <c r="B2325">
        <v>1</v>
      </c>
      <c r="C2325">
        <v>6</v>
      </c>
      <c r="E2325">
        <v>4</v>
      </c>
      <c r="F2325" t="str">
        <f t="shared" si="36"/>
        <v>F191G6T4</v>
      </c>
      <c r="G2325" s="14">
        <v>13</v>
      </c>
    </row>
    <row r="2326" spans="1:7">
      <c r="A2326">
        <v>10</v>
      </c>
      <c r="B2326">
        <v>1</v>
      </c>
      <c r="C2326">
        <v>2</v>
      </c>
      <c r="E2326">
        <v>3</v>
      </c>
      <c r="F2326" t="str">
        <f t="shared" si="36"/>
        <v>F101G2T3</v>
      </c>
      <c r="G2326" s="14">
        <v>14</v>
      </c>
    </row>
    <row r="2327" spans="1:7">
      <c r="A2327">
        <v>10</v>
      </c>
      <c r="B2327">
        <v>1</v>
      </c>
      <c r="C2327">
        <v>6</v>
      </c>
      <c r="E2327">
        <v>3</v>
      </c>
      <c r="F2327" t="str">
        <f t="shared" si="36"/>
        <v>F101G6T3</v>
      </c>
      <c r="G2327" s="14">
        <v>14</v>
      </c>
    </row>
    <row r="2328" spans="1:7">
      <c r="A2328">
        <v>13</v>
      </c>
      <c r="B2328">
        <v>1</v>
      </c>
      <c r="C2328">
        <v>2</v>
      </c>
      <c r="E2328">
        <v>3</v>
      </c>
      <c r="F2328" t="str">
        <f t="shared" si="36"/>
        <v>F131G2T3</v>
      </c>
      <c r="G2328" s="14">
        <v>14</v>
      </c>
    </row>
    <row r="2329" spans="1:7">
      <c r="A2329">
        <v>13</v>
      </c>
      <c r="B2329">
        <v>1</v>
      </c>
      <c r="C2329">
        <v>6</v>
      </c>
      <c r="E2329">
        <v>3</v>
      </c>
      <c r="F2329" t="str">
        <f t="shared" si="36"/>
        <v>F131G6T3</v>
      </c>
      <c r="G2329" s="14">
        <v>14</v>
      </c>
    </row>
    <row r="2330" spans="1:7">
      <c r="A2330">
        <v>15</v>
      </c>
      <c r="B2330">
        <v>1</v>
      </c>
      <c r="C2330">
        <v>2</v>
      </c>
      <c r="E2330">
        <v>3</v>
      </c>
      <c r="F2330" t="str">
        <f t="shared" si="36"/>
        <v>F151G2T3</v>
      </c>
      <c r="G2330" s="14">
        <v>14</v>
      </c>
    </row>
    <row r="2331" spans="1:7">
      <c r="A2331">
        <v>15</v>
      </c>
      <c r="B2331">
        <v>1</v>
      </c>
      <c r="C2331">
        <v>6</v>
      </c>
      <c r="E2331">
        <v>3</v>
      </c>
      <c r="F2331" t="str">
        <f t="shared" si="36"/>
        <v>F151G6T3</v>
      </c>
      <c r="G2331" s="14">
        <v>14</v>
      </c>
    </row>
    <row r="2332" spans="1:7">
      <c r="A2332">
        <v>18</v>
      </c>
      <c r="B2332">
        <v>1</v>
      </c>
      <c r="C2332">
        <v>2</v>
      </c>
      <c r="E2332">
        <v>3</v>
      </c>
      <c r="F2332" t="str">
        <f t="shared" si="36"/>
        <v>F181G2T3</v>
      </c>
      <c r="G2332" s="14">
        <v>14</v>
      </c>
    </row>
    <row r="2333" spans="1:7">
      <c r="A2333">
        <v>18</v>
      </c>
      <c r="B2333">
        <v>1</v>
      </c>
      <c r="C2333">
        <v>6</v>
      </c>
      <c r="E2333">
        <v>3</v>
      </c>
      <c r="F2333" t="str">
        <f t="shared" si="36"/>
        <v>F181G6T3</v>
      </c>
      <c r="G2333" s="14">
        <v>14</v>
      </c>
    </row>
    <row r="2334" spans="1:7">
      <c r="A2334">
        <v>19</v>
      </c>
      <c r="B2334">
        <v>1</v>
      </c>
      <c r="C2334">
        <v>2</v>
      </c>
      <c r="E2334">
        <v>3</v>
      </c>
      <c r="F2334" t="str">
        <f t="shared" si="36"/>
        <v>F191G2T3</v>
      </c>
      <c r="G2334" s="14">
        <v>14</v>
      </c>
    </row>
    <row r="2335" spans="1:7">
      <c r="A2335">
        <v>19</v>
      </c>
      <c r="B2335">
        <v>1</v>
      </c>
      <c r="C2335">
        <v>6</v>
      </c>
      <c r="E2335">
        <v>3</v>
      </c>
      <c r="F2335" t="str">
        <f t="shared" si="36"/>
        <v>F191G6T3</v>
      </c>
      <c r="G2335" s="14">
        <v>14</v>
      </c>
    </row>
    <row r="2336" spans="1:7">
      <c r="A2336">
        <v>10</v>
      </c>
      <c r="B2336">
        <v>1</v>
      </c>
      <c r="C2336">
        <v>2</v>
      </c>
      <c r="E2336">
        <v>2</v>
      </c>
      <c r="F2336" t="str">
        <f t="shared" si="36"/>
        <v>F101G2T2</v>
      </c>
      <c r="G2336" s="14">
        <v>15</v>
      </c>
    </row>
    <row r="2337" spans="1:7">
      <c r="A2337">
        <v>10</v>
      </c>
      <c r="B2337">
        <v>1</v>
      </c>
      <c r="C2337">
        <v>6</v>
      </c>
      <c r="E2337">
        <v>2</v>
      </c>
      <c r="F2337" t="str">
        <f t="shared" si="36"/>
        <v>F101G6T2</v>
      </c>
      <c r="G2337" s="14">
        <v>15</v>
      </c>
    </row>
    <row r="2338" spans="1:7">
      <c r="A2338">
        <v>13</v>
      </c>
      <c r="B2338">
        <v>1</v>
      </c>
      <c r="C2338">
        <v>2</v>
      </c>
      <c r="E2338">
        <v>2</v>
      </c>
      <c r="F2338" t="str">
        <f t="shared" si="36"/>
        <v>F131G2T2</v>
      </c>
      <c r="G2338" s="14">
        <v>15</v>
      </c>
    </row>
    <row r="2339" spans="1:7">
      <c r="A2339">
        <v>13</v>
      </c>
      <c r="B2339">
        <v>1</v>
      </c>
      <c r="C2339">
        <v>6</v>
      </c>
      <c r="E2339">
        <v>2</v>
      </c>
      <c r="F2339" t="str">
        <f t="shared" si="36"/>
        <v>F131G6T2</v>
      </c>
      <c r="G2339" s="14">
        <v>15</v>
      </c>
    </row>
    <row r="2340" spans="1:7">
      <c r="A2340">
        <v>15</v>
      </c>
      <c r="B2340">
        <v>1</v>
      </c>
      <c r="C2340">
        <v>2</v>
      </c>
      <c r="E2340">
        <v>2</v>
      </c>
      <c r="F2340" t="str">
        <f t="shared" si="36"/>
        <v>F151G2T2</v>
      </c>
      <c r="G2340" s="14">
        <v>15</v>
      </c>
    </row>
    <row r="2341" spans="1:7">
      <c r="A2341">
        <v>15</v>
      </c>
      <c r="B2341">
        <v>1</v>
      </c>
      <c r="C2341">
        <v>6</v>
      </c>
      <c r="E2341">
        <v>2</v>
      </c>
      <c r="F2341" t="str">
        <f t="shared" si="36"/>
        <v>F151G6T2</v>
      </c>
      <c r="G2341" s="14">
        <v>15</v>
      </c>
    </row>
    <row r="2342" spans="1:7">
      <c r="A2342">
        <v>18</v>
      </c>
      <c r="B2342">
        <v>1</v>
      </c>
      <c r="C2342">
        <v>2</v>
      </c>
      <c r="E2342">
        <v>2</v>
      </c>
      <c r="F2342" t="str">
        <f t="shared" si="36"/>
        <v>F181G2T2</v>
      </c>
      <c r="G2342" s="14">
        <v>15</v>
      </c>
    </row>
    <row r="2343" spans="1:7">
      <c r="A2343">
        <v>18</v>
      </c>
      <c r="B2343">
        <v>1</v>
      </c>
      <c r="C2343">
        <v>6</v>
      </c>
      <c r="E2343">
        <v>2</v>
      </c>
      <c r="F2343" t="str">
        <f t="shared" si="36"/>
        <v>F181G6T2</v>
      </c>
      <c r="G2343" s="14">
        <v>15</v>
      </c>
    </row>
    <row r="2344" spans="1:7">
      <c r="A2344">
        <v>19</v>
      </c>
      <c r="B2344">
        <v>1</v>
      </c>
      <c r="C2344">
        <v>2</v>
      </c>
      <c r="E2344">
        <v>2</v>
      </c>
      <c r="F2344" t="str">
        <f t="shared" si="36"/>
        <v>F191G2T2</v>
      </c>
      <c r="G2344" s="14">
        <v>15</v>
      </c>
    </row>
    <row r="2345" spans="1:7">
      <c r="A2345">
        <v>19</v>
      </c>
      <c r="B2345">
        <v>1</v>
      </c>
      <c r="C2345">
        <v>6</v>
      </c>
      <c r="E2345">
        <v>2</v>
      </c>
      <c r="F2345" t="str">
        <f t="shared" si="36"/>
        <v>F191G6T2</v>
      </c>
      <c r="G2345" s="14">
        <v>15</v>
      </c>
    </row>
    <row r="2346" spans="1:7">
      <c r="A2346">
        <v>10</v>
      </c>
      <c r="B2346">
        <v>9</v>
      </c>
      <c r="C2346">
        <v>3</v>
      </c>
      <c r="E2346">
        <v>1</v>
      </c>
      <c r="F2346" t="str">
        <f t="shared" si="36"/>
        <v>F109G3T1</v>
      </c>
      <c r="G2346" s="14" t="s">
        <v>325</v>
      </c>
    </row>
    <row r="2347" spans="1:7">
      <c r="A2347">
        <v>13</v>
      </c>
      <c r="B2347">
        <v>9</v>
      </c>
      <c r="C2347">
        <v>3</v>
      </c>
      <c r="E2347">
        <v>1</v>
      </c>
      <c r="F2347" t="str">
        <f t="shared" si="36"/>
        <v>F139G3T1</v>
      </c>
      <c r="G2347" s="14" t="s">
        <v>325</v>
      </c>
    </row>
    <row r="2348" spans="1:7">
      <c r="A2348">
        <v>15</v>
      </c>
      <c r="B2348">
        <v>9</v>
      </c>
      <c r="C2348">
        <v>3</v>
      </c>
      <c r="E2348">
        <v>1</v>
      </c>
      <c r="F2348" t="str">
        <f t="shared" si="36"/>
        <v>F159G3T1</v>
      </c>
      <c r="G2348" s="14" t="s">
        <v>325</v>
      </c>
    </row>
    <row r="2349" spans="1:7">
      <c r="A2349">
        <v>26</v>
      </c>
      <c r="B2349">
        <v>9</v>
      </c>
      <c r="C2349">
        <v>3</v>
      </c>
      <c r="E2349">
        <v>1</v>
      </c>
      <c r="F2349" t="str">
        <f t="shared" si="36"/>
        <v>F269G3T1</v>
      </c>
      <c r="G2349" s="14" t="s">
        <v>325</v>
      </c>
    </row>
    <row r="2350" spans="1:7">
      <c r="A2350">
        <v>27</v>
      </c>
      <c r="B2350">
        <v>9</v>
      </c>
      <c r="C2350">
        <v>3</v>
      </c>
      <c r="E2350">
        <v>1</v>
      </c>
      <c r="F2350" t="str">
        <f t="shared" si="36"/>
        <v>F279G3T1</v>
      </c>
      <c r="G2350" s="14" t="s">
        <v>325</v>
      </c>
    </row>
    <row r="2351" spans="1:7">
      <c r="A2351">
        <v>29</v>
      </c>
      <c r="B2351">
        <v>9</v>
      </c>
      <c r="C2351">
        <v>3</v>
      </c>
      <c r="E2351">
        <v>1</v>
      </c>
      <c r="F2351" t="str">
        <f t="shared" si="36"/>
        <v>F299G3T1</v>
      </c>
      <c r="G2351" s="14" t="s">
        <v>325</v>
      </c>
    </row>
    <row r="2352" spans="1:7">
      <c r="A2352">
        <v>31</v>
      </c>
      <c r="B2352">
        <v>9</v>
      </c>
      <c r="C2352">
        <v>3</v>
      </c>
      <c r="E2352">
        <v>1</v>
      </c>
      <c r="F2352" t="str">
        <f t="shared" si="36"/>
        <v>F319G3T1</v>
      </c>
      <c r="G2352" s="14" t="s">
        <v>325</v>
      </c>
    </row>
    <row r="2353" spans="1:7">
      <c r="A2353">
        <v>32</v>
      </c>
      <c r="B2353">
        <v>9</v>
      </c>
      <c r="C2353">
        <v>3</v>
      </c>
      <c r="E2353">
        <v>1</v>
      </c>
      <c r="F2353" t="str">
        <f t="shared" si="36"/>
        <v>F329G3T1</v>
      </c>
      <c r="G2353" s="14" t="s">
        <v>325</v>
      </c>
    </row>
    <row r="2354" spans="1:7">
      <c r="A2354">
        <v>33</v>
      </c>
      <c r="B2354">
        <v>9</v>
      </c>
      <c r="C2354">
        <v>3</v>
      </c>
      <c r="E2354">
        <v>1</v>
      </c>
      <c r="F2354" t="str">
        <f t="shared" si="36"/>
        <v>F339G3T1</v>
      </c>
      <c r="G2354" s="14" t="s">
        <v>325</v>
      </c>
    </row>
    <row r="2355" spans="1:7">
      <c r="A2355">
        <v>39</v>
      </c>
      <c r="B2355">
        <v>9</v>
      </c>
      <c r="C2355">
        <v>3</v>
      </c>
      <c r="E2355">
        <v>1</v>
      </c>
      <c r="F2355" t="str">
        <f t="shared" si="36"/>
        <v>F399G3T1</v>
      </c>
      <c r="G2355" s="14" t="s">
        <v>325</v>
      </c>
    </row>
    <row r="2356" spans="1:7">
      <c r="A2356">
        <v>45</v>
      </c>
      <c r="B2356">
        <v>9</v>
      </c>
      <c r="C2356">
        <v>3</v>
      </c>
      <c r="E2356">
        <v>1</v>
      </c>
      <c r="F2356" t="str">
        <f t="shared" si="36"/>
        <v>F459G3T1</v>
      </c>
      <c r="G2356" s="14" t="s">
        <v>325</v>
      </c>
    </row>
    <row r="2357" spans="1:7">
      <c r="A2357">
        <v>47</v>
      </c>
      <c r="B2357">
        <v>9</v>
      </c>
      <c r="C2357">
        <v>3</v>
      </c>
      <c r="E2357">
        <v>1</v>
      </c>
      <c r="F2357" t="str">
        <f t="shared" si="36"/>
        <v>F479G3T1</v>
      </c>
      <c r="G2357" s="14" t="s">
        <v>325</v>
      </c>
    </row>
    <row r="2358" spans="1:7">
      <c r="A2358">
        <v>49</v>
      </c>
      <c r="B2358">
        <v>9</v>
      </c>
      <c r="C2358">
        <v>3</v>
      </c>
      <c r="E2358">
        <v>1</v>
      </c>
      <c r="F2358" t="str">
        <f t="shared" si="36"/>
        <v>F499G3T1</v>
      </c>
      <c r="G2358" s="14" t="s">
        <v>325</v>
      </c>
    </row>
    <row r="2359" spans="1:7">
      <c r="A2359">
        <v>50</v>
      </c>
      <c r="B2359">
        <v>9</v>
      </c>
      <c r="C2359">
        <v>3</v>
      </c>
      <c r="E2359">
        <v>1</v>
      </c>
      <c r="F2359" t="str">
        <f t="shared" si="36"/>
        <v>F509G3T1</v>
      </c>
      <c r="G2359" s="14" t="s">
        <v>325</v>
      </c>
    </row>
    <row r="2360" spans="1:7">
      <c r="A2360">
        <v>52</v>
      </c>
      <c r="B2360">
        <v>9</v>
      </c>
      <c r="C2360">
        <v>3</v>
      </c>
      <c r="E2360">
        <v>1</v>
      </c>
      <c r="F2360" t="str">
        <f t="shared" si="36"/>
        <v>F529G3T1</v>
      </c>
      <c r="G2360" s="14" t="s">
        <v>325</v>
      </c>
    </row>
    <row r="2361" spans="1:7">
      <c r="A2361">
        <v>54</v>
      </c>
      <c r="B2361">
        <v>9</v>
      </c>
      <c r="C2361">
        <v>3</v>
      </c>
      <c r="E2361">
        <v>1</v>
      </c>
      <c r="F2361" t="str">
        <f t="shared" si="36"/>
        <v>F549G3T1</v>
      </c>
      <c r="G2361" s="14" t="s">
        <v>325</v>
      </c>
    </row>
    <row r="2362" spans="1:7">
      <c r="A2362">
        <v>59</v>
      </c>
      <c r="B2362">
        <v>9</v>
      </c>
      <c r="C2362">
        <v>3</v>
      </c>
      <c r="E2362">
        <v>1</v>
      </c>
      <c r="F2362" t="str">
        <f t="shared" si="36"/>
        <v>F599G3T1</v>
      </c>
      <c r="G2362" s="14" t="s">
        <v>325</v>
      </c>
    </row>
    <row r="2363" spans="1:7">
      <c r="A2363">
        <v>60</v>
      </c>
      <c r="B2363">
        <v>9</v>
      </c>
      <c r="C2363">
        <v>3</v>
      </c>
      <c r="E2363">
        <v>1</v>
      </c>
      <c r="F2363" t="str">
        <f t="shared" si="36"/>
        <v>F609G3T1</v>
      </c>
      <c r="G2363" s="14" t="s">
        <v>325</v>
      </c>
    </row>
    <row r="2364" spans="1:7">
      <c r="A2364">
        <v>61</v>
      </c>
      <c r="B2364">
        <v>9</v>
      </c>
      <c r="C2364">
        <v>3</v>
      </c>
      <c r="E2364">
        <v>1</v>
      </c>
      <c r="F2364" t="str">
        <f t="shared" si="36"/>
        <v>F619G3T1</v>
      </c>
      <c r="G2364" s="14" t="s">
        <v>325</v>
      </c>
    </row>
    <row r="2365" spans="1:7">
      <c r="A2365">
        <v>71</v>
      </c>
      <c r="B2365">
        <v>9</v>
      </c>
      <c r="C2365">
        <v>3</v>
      </c>
      <c r="E2365">
        <v>1</v>
      </c>
      <c r="F2365" t="str">
        <f t="shared" si="36"/>
        <v>F719G3T1</v>
      </c>
      <c r="G2365" s="14" t="s">
        <v>325</v>
      </c>
    </row>
    <row r="2366" spans="1:7">
      <c r="A2366">
        <v>72</v>
      </c>
      <c r="B2366">
        <v>9</v>
      </c>
      <c r="C2366">
        <v>3</v>
      </c>
      <c r="E2366">
        <v>1</v>
      </c>
      <c r="F2366" t="str">
        <f t="shared" si="36"/>
        <v>F729G3T1</v>
      </c>
      <c r="G2366" s="14" t="s">
        <v>325</v>
      </c>
    </row>
    <row r="2367" spans="1:7">
      <c r="A2367">
        <v>82</v>
      </c>
      <c r="B2367">
        <v>9</v>
      </c>
      <c r="C2367">
        <v>3</v>
      </c>
      <c r="E2367">
        <v>1</v>
      </c>
      <c r="F2367" t="str">
        <f t="shared" si="36"/>
        <v>F829G3T1</v>
      </c>
      <c r="G2367" s="14" t="s">
        <v>325</v>
      </c>
    </row>
    <row r="2368" spans="1:7">
      <c r="A2368">
        <v>83</v>
      </c>
      <c r="B2368">
        <v>9</v>
      </c>
      <c r="C2368">
        <v>3</v>
      </c>
      <c r="E2368">
        <v>1</v>
      </c>
      <c r="F2368" t="str">
        <f t="shared" si="36"/>
        <v>F839G3T1</v>
      </c>
      <c r="G2368" s="14" t="s">
        <v>325</v>
      </c>
    </row>
    <row r="2369" spans="1:7">
      <c r="A2369">
        <v>91</v>
      </c>
      <c r="B2369">
        <v>9</v>
      </c>
      <c r="C2369">
        <v>3</v>
      </c>
      <c r="E2369">
        <v>1</v>
      </c>
      <c r="F2369" t="str">
        <f t="shared" si="36"/>
        <v>F919G3T1</v>
      </c>
      <c r="G2369" s="14" t="s">
        <v>325</v>
      </c>
    </row>
    <row r="2370" spans="1:7">
      <c r="A2370">
        <v>94</v>
      </c>
      <c r="B2370">
        <v>9</v>
      </c>
      <c r="C2370">
        <v>3</v>
      </c>
      <c r="E2370">
        <v>1</v>
      </c>
      <c r="F2370" t="str">
        <f t="shared" si="36"/>
        <v>F949G3T1</v>
      </c>
      <c r="G2370" s="14" t="s">
        <v>325</v>
      </c>
    </row>
    <row r="2371" spans="1:7">
      <c r="A2371">
        <v>10</v>
      </c>
      <c r="B2371">
        <v>9</v>
      </c>
      <c r="C2371">
        <v>4</v>
      </c>
      <c r="E2371">
        <v>1</v>
      </c>
      <c r="F2371" t="str">
        <f t="shared" ref="F2371:F2434" si="37">CONCATENATE("F",A2371,B2371,"G",C2371,"T",E2371)</f>
        <v>F109G4T1</v>
      </c>
      <c r="G2371" s="14" t="s">
        <v>325</v>
      </c>
    </row>
    <row r="2372" spans="1:7">
      <c r="A2372">
        <v>13</v>
      </c>
      <c r="B2372">
        <v>9</v>
      </c>
      <c r="C2372">
        <v>4</v>
      </c>
      <c r="E2372">
        <v>1</v>
      </c>
      <c r="F2372" t="str">
        <f t="shared" si="37"/>
        <v>F139G4T1</v>
      </c>
      <c r="G2372" s="14" t="s">
        <v>325</v>
      </c>
    </row>
    <row r="2373" spans="1:7">
      <c r="A2373">
        <v>15</v>
      </c>
      <c r="B2373">
        <v>9</v>
      </c>
      <c r="C2373">
        <v>4</v>
      </c>
      <c r="E2373">
        <v>1</v>
      </c>
      <c r="F2373" t="str">
        <f t="shared" si="37"/>
        <v>F159G4T1</v>
      </c>
      <c r="G2373" s="14" t="s">
        <v>325</v>
      </c>
    </row>
    <row r="2374" spans="1:7">
      <c r="A2374">
        <v>26</v>
      </c>
      <c r="B2374">
        <v>9</v>
      </c>
      <c r="C2374">
        <v>4</v>
      </c>
      <c r="E2374">
        <v>1</v>
      </c>
      <c r="F2374" t="str">
        <f t="shared" si="37"/>
        <v>F269G4T1</v>
      </c>
      <c r="G2374" s="14" t="s">
        <v>325</v>
      </c>
    </row>
    <row r="2375" spans="1:7">
      <c r="A2375">
        <v>27</v>
      </c>
      <c r="B2375">
        <v>9</v>
      </c>
      <c r="C2375">
        <v>4</v>
      </c>
      <c r="E2375">
        <v>1</v>
      </c>
      <c r="F2375" t="str">
        <f t="shared" si="37"/>
        <v>F279G4T1</v>
      </c>
      <c r="G2375" s="14" t="s">
        <v>325</v>
      </c>
    </row>
    <row r="2376" spans="1:7">
      <c r="A2376">
        <v>29</v>
      </c>
      <c r="B2376">
        <v>9</v>
      </c>
      <c r="C2376">
        <v>4</v>
      </c>
      <c r="E2376">
        <v>1</v>
      </c>
      <c r="F2376" t="str">
        <f t="shared" si="37"/>
        <v>F299G4T1</v>
      </c>
      <c r="G2376" s="14" t="s">
        <v>325</v>
      </c>
    </row>
    <row r="2377" spans="1:7">
      <c r="A2377">
        <v>31</v>
      </c>
      <c r="B2377">
        <v>9</v>
      </c>
      <c r="C2377">
        <v>4</v>
      </c>
      <c r="E2377">
        <v>1</v>
      </c>
      <c r="F2377" t="str">
        <f t="shared" si="37"/>
        <v>F319G4T1</v>
      </c>
      <c r="G2377" s="14" t="s">
        <v>325</v>
      </c>
    </row>
    <row r="2378" spans="1:7">
      <c r="A2378">
        <v>32</v>
      </c>
      <c r="B2378">
        <v>9</v>
      </c>
      <c r="C2378">
        <v>4</v>
      </c>
      <c r="E2378">
        <v>1</v>
      </c>
      <c r="F2378" t="str">
        <f t="shared" si="37"/>
        <v>F329G4T1</v>
      </c>
      <c r="G2378" s="14" t="s">
        <v>325</v>
      </c>
    </row>
    <row r="2379" spans="1:7">
      <c r="A2379">
        <v>33</v>
      </c>
      <c r="B2379">
        <v>9</v>
      </c>
      <c r="C2379">
        <v>4</v>
      </c>
      <c r="E2379">
        <v>1</v>
      </c>
      <c r="F2379" t="str">
        <f t="shared" si="37"/>
        <v>F339G4T1</v>
      </c>
      <c r="G2379" s="14" t="s">
        <v>325</v>
      </c>
    </row>
    <row r="2380" spans="1:7">
      <c r="A2380">
        <v>39</v>
      </c>
      <c r="B2380">
        <v>9</v>
      </c>
      <c r="C2380">
        <v>4</v>
      </c>
      <c r="E2380">
        <v>1</v>
      </c>
      <c r="F2380" t="str">
        <f t="shared" si="37"/>
        <v>F399G4T1</v>
      </c>
      <c r="G2380" s="14" t="s">
        <v>325</v>
      </c>
    </row>
    <row r="2381" spans="1:7">
      <c r="A2381">
        <v>45</v>
      </c>
      <c r="B2381">
        <v>9</v>
      </c>
      <c r="C2381">
        <v>4</v>
      </c>
      <c r="E2381">
        <v>1</v>
      </c>
      <c r="F2381" t="str">
        <f t="shared" si="37"/>
        <v>F459G4T1</v>
      </c>
      <c r="G2381" s="14" t="s">
        <v>325</v>
      </c>
    </row>
    <row r="2382" spans="1:7">
      <c r="A2382">
        <v>47</v>
      </c>
      <c r="B2382">
        <v>9</v>
      </c>
      <c r="C2382">
        <v>4</v>
      </c>
      <c r="E2382">
        <v>1</v>
      </c>
      <c r="F2382" t="str">
        <f t="shared" si="37"/>
        <v>F479G4T1</v>
      </c>
      <c r="G2382" s="14" t="s">
        <v>325</v>
      </c>
    </row>
    <row r="2383" spans="1:7">
      <c r="A2383">
        <v>49</v>
      </c>
      <c r="B2383">
        <v>9</v>
      </c>
      <c r="C2383">
        <v>4</v>
      </c>
      <c r="E2383">
        <v>1</v>
      </c>
      <c r="F2383" t="str">
        <f t="shared" si="37"/>
        <v>F499G4T1</v>
      </c>
      <c r="G2383" s="14" t="s">
        <v>325</v>
      </c>
    </row>
    <row r="2384" spans="1:7">
      <c r="A2384">
        <v>50</v>
      </c>
      <c r="B2384">
        <v>9</v>
      </c>
      <c r="C2384">
        <v>4</v>
      </c>
      <c r="E2384">
        <v>1</v>
      </c>
      <c r="F2384" t="str">
        <f t="shared" si="37"/>
        <v>F509G4T1</v>
      </c>
      <c r="G2384" s="14" t="s">
        <v>325</v>
      </c>
    </row>
    <row r="2385" spans="1:7">
      <c r="A2385">
        <v>52</v>
      </c>
      <c r="B2385">
        <v>9</v>
      </c>
      <c r="C2385">
        <v>4</v>
      </c>
      <c r="E2385">
        <v>1</v>
      </c>
      <c r="F2385" t="str">
        <f t="shared" si="37"/>
        <v>F529G4T1</v>
      </c>
      <c r="G2385" s="14" t="s">
        <v>325</v>
      </c>
    </row>
    <row r="2386" spans="1:7">
      <c r="A2386">
        <v>54</v>
      </c>
      <c r="B2386">
        <v>9</v>
      </c>
      <c r="C2386">
        <v>4</v>
      </c>
      <c r="E2386">
        <v>1</v>
      </c>
      <c r="F2386" t="str">
        <f t="shared" si="37"/>
        <v>F549G4T1</v>
      </c>
      <c r="G2386" s="14" t="s">
        <v>325</v>
      </c>
    </row>
    <row r="2387" spans="1:7">
      <c r="A2387">
        <v>59</v>
      </c>
      <c r="B2387">
        <v>9</v>
      </c>
      <c r="C2387">
        <v>4</v>
      </c>
      <c r="E2387">
        <v>1</v>
      </c>
      <c r="F2387" t="str">
        <f t="shared" si="37"/>
        <v>F599G4T1</v>
      </c>
      <c r="G2387" s="14" t="s">
        <v>325</v>
      </c>
    </row>
    <row r="2388" spans="1:7">
      <c r="A2388">
        <v>60</v>
      </c>
      <c r="B2388">
        <v>9</v>
      </c>
      <c r="C2388">
        <v>4</v>
      </c>
      <c r="E2388">
        <v>1</v>
      </c>
      <c r="F2388" t="str">
        <f t="shared" si="37"/>
        <v>F609G4T1</v>
      </c>
      <c r="G2388" s="14" t="s">
        <v>325</v>
      </c>
    </row>
    <row r="2389" spans="1:7">
      <c r="A2389">
        <v>61</v>
      </c>
      <c r="B2389">
        <v>9</v>
      </c>
      <c r="C2389">
        <v>4</v>
      </c>
      <c r="E2389">
        <v>1</v>
      </c>
      <c r="F2389" t="str">
        <f t="shared" si="37"/>
        <v>F619G4T1</v>
      </c>
      <c r="G2389" s="14" t="s">
        <v>325</v>
      </c>
    </row>
    <row r="2390" spans="1:7">
      <c r="A2390">
        <v>71</v>
      </c>
      <c r="B2390">
        <v>9</v>
      </c>
      <c r="C2390">
        <v>4</v>
      </c>
      <c r="E2390">
        <v>1</v>
      </c>
      <c r="F2390" t="str">
        <f t="shared" si="37"/>
        <v>F719G4T1</v>
      </c>
      <c r="G2390" s="14" t="s">
        <v>325</v>
      </c>
    </row>
    <row r="2391" spans="1:7">
      <c r="A2391">
        <v>72</v>
      </c>
      <c r="B2391">
        <v>9</v>
      </c>
      <c r="C2391">
        <v>4</v>
      </c>
      <c r="E2391">
        <v>1</v>
      </c>
      <c r="F2391" t="str">
        <f t="shared" si="37"/>
        <v>F729G4T1</v>
      </c>
      <c r="G2391" s="14" t="s">
        <v>325</v>
      </c>
    </row>
    <row r="2392" spans="1:7">
      <c r="A2392">
        <v>82</v>
      </c>
      <c r="B2392">
        <v>9</v>
      </c>
      <c r="C2392">
        <v>4</v>
      </c>
      <c r="E2392">
        <v>1</v>
      </c>
      <c r="F2392" t="str">
        <f t="shared" si="37"/>
        <v>F829G4T1</v>
      </c>
      <c r="G2392" s="14" t="s">
        <v>325</v>
      </c>
    </row>
    <row r="2393" spans="1:7">
      <c r="A2393">
        <v>83</v>
      </c>
      <c r="B2393">
        <v>9</v>
      </c>
      <c r="C2393">
        <v>4</v>
      </c>
      <c r="E2393">
        <v>1</v>
      </c>
      <c r="F2393" t="str">
        <f t="shared" si="37"/>
        <v>F839G4T1</v>
      </c>
      <c r="G2393" s="14" t="s">
        <v>325</v>
      </c>
    </row>
    <row r="2394" spans="1:7">
      <c r="A2394">
        <v>91</v>
      </c>
      <c r="B2394">
        <v>9</v>
      </c>
      <c r="C2394">
        <v>4</v>
      </c>
      <c r="E2394">
        <v>1</v>
      </c>
      <c r="F2394" t="str">
        <f t="shared" si="37"/>
        <v>F919G4T1</v>
      </c>
      <c r="G2394" s="14" t="s">
        <v>325</v>
      </c>
    </row>
    <row r="2395" spans="1:7">
      <c r="A2395">
        <v>94</v>
      </c>
      <c r="B2395">
        <v>9</v>
      </c>
      <c r="C2395">
        <v>4</v>
      </c>
      <c r="E2395">
        <v>1</v>
      </c>
      <c r="F2395" t="str">
        <f t="shared" si="37"/>
        <v>F949G4T1</v>
      </c>
      <c r="G2395" s="14" t="s">
        <v>325</v>
      </c>
    </row>
    <row r="2396" spans="1:7">
      <c r="A2396">
        <v>10</v>
      </c>
      <c r="B2396">
        <v>9</v>
      </c>
      <c r="C2396">
        <v>1</v>
      </c>
      <c r="E2396">
        <v>1</v>
      </c>
      <c r="F2396" t="str">
        <f t="shared" si="37"/>
        <v>F109G1T1</v>
      </c>
      <c r="G2396" s="14" t="s">
        <v>325</v>
      </c>
    </row>
    <row r="2397" spans="1:7">
      <c r="A2397">
        <v>13</v>
      </c>
      <c r="B2397">
        <v>9</v>
      </c>
      <c r="C2397">
        <v>1</v>
      </c>
      <c r="E2397">
        <v>1</v>
      </c>
      <c r="F2397" t="str">
        <f t="shared" si="37"/>
        <v>F139G1T1</v>
      </c>
      <c r="G2397" s="14" t="s">
        <v>325</v>
      </c>
    </row>
    <row r="2398" spans="1:7">
      <c r="A2398">
        <v>15</v>
      </c>
      <c r="B2398">
        <v>9</v>
      </c>
      <c r="C2398">
        <v>1</v>
      </c>
      <c r="E2398">
        <v>1</v>
      </c>
      <c r="F2398" t="str">
        <f t="shared" si="37"/>
        <v>F159G1T1</v>
      </c>
      <c r="G2398" s="14" t="s">
        <v>325</v>
      </c>
    </row>
    <row r="2399" spans="1:7">
      <c r="A2399">
        <v>26</v>
      </c>
      <c r="B2399">
        <v>9</v>
      </c>
      <c r="C2399">
        <v>1</v>
      </c>
      <c r="E2399">
        <v>1</v>
      </c>
      <c r="F2399" t="str">
        <f t="shared" si="37"/>
        <v>F269G1T1</v>
      </c>
      <c r="G2399" s="14" t="s">
        <v>325</v>
      </c>
    </row>
    <row r="2400" spans="1:7">
      <c r="A2400">
        <v>27</v>
      </c>
      <c r="B2400">
        <v>9</v>
      </c>
      <c r="C2400">
        <v>1</v>
      </c>
      <c r="E2400">
        <v>1</v>
      </c>
      <c r="F2400" t="str">
        <f t="shared" si="37"/>
        <v>F279G1T1</v>
      </c>
      <c r="G2400" s="14" t="s">
        <v>325</v>
      </c>
    </row>
    <row r="2401" spans="1:7">
      <c r="A2401">
        <v>29</v>
      </c>
      <c r="B2401">
        <v>9</v>
      </c>
      <c r="C2401">
        <v>1</v>
      </c>
      <c r="E2401">
        <v>1</v>
      </c>
      <c r="F2401" t="str">
        <f t="shared" si="37"/>
        <v>F299G1T1</v>
      </c>
      <c r="G2401" s="14" t="s">
        <v>325</v>
      </c>
    </row>
    <row r="2402" spans="1:7">
      <c r="A2402">
        <v>31</v>
      </c>
      <c r="B2402">
        <v>9</v>
      </c>
      <c r="C2402">
        <v>1</v>
      </c>
      <c r="E2402">
        <v>1</v>
      </c>
      <c r="F2402" t="str">
        <f t="shared" si="37"/>
        <v>F319G1T1</v>
      </c>
      <c r="G2402" s="14" t="s">
        <v>325</v>
      </c>
    </row>
    <row r="2403" spans="1:7">
      <c r="A2403">
        <v>32</v>
      </c>
      <c r="B2403">
        <v>9</v>
      </c>
      <c r="C2403">
        <v>1</v>
      </c>
      <c r="E2403">
        <v>1</v>
      </c>
      <c r="F2403" t="str">
        <f t="shared" si="37"/>
        <v>F329G1T1</v>
      </c>
      <c r="G2403" s="14" t="s">
        <v>325</v>
      </c>
    </row>
    <row r="2404" spans="1:7">
      <c r="A2404">
        <v>33</v>
      </c>
      <c r="B2404">
        <v>9</v>
      </c>
      <c r="C2404">
        <v>1</v>
      </c>
      <c r="E2404">
        <v>1</v>
      </c>
      <c r="F2404" t="str">
        <f t="shared" si="37"/>
        <v>F339G1T1</v>
      </c>
      <c r="G2404" s="14" t="s">
        <v>325</v>
      </c>
    </row>
    <row r="2405" spans="1:7">
      <c r="A2405">
        <v>39</v>
      </c>
      <c r="B2405">
        <v>9</v>
      </c>
      <c r="C2405">
        <v>1</v>
      </c>
      <c r="E2405">
        <v>1</v>
      </c>
      <c r="F2405" t="str">
        <f t="shared" si="37"/>
        <v>F399G1T1</v>
      </c>
      <c r="G2405" s="14" t="s">
        <v>325</v>
      </c>
    </row>
    <row r="2406" spans="1:7">
      <c r="A2406">
        <v>45</v>
      </c>
      <c r="B2406">
        <v>9</v>
      </c>
      <c r="C2406">
        <v>1</v>
      </c>
      <c r="E2406">
        <v>1</v>
      </c>
      <c r="F2406" t="str">
        <f t="shared" si="37"/>
        <v>F459G1T1</v>
      </c>
      <c r="G2406" s="14" t="s">
        <v>325</v>
      </c>
    </row>
    <row r="2407" spans="1:7">
      <c r="A2407">
        <v>47</v>
      </c>
      <c r="B2407">
        <v>9</v>
      </c>
      <c r="C2407">
        <v>1</v>
      </c>
      <c r="E2407">
        <v>1</v>
      </c>
      <c r="F2407" t="str">
        <f t="shared" si="37"/>
        <v>F479G1T1</v>
      </c>
      <c r="G2407" s="14" t="s">
        <v>325</v>
      </c>
    </row>
    <row r="2408" spans="1:7">
      <c r="A2408">
        <v>49</v>
      </c>
      <c r="B2408">
        <v>9</v>
      </c>
      <c r="C2408">
        <v>1</v>
      </c>
      <c r="E2408">
        <v>1</v>
      </c>
      <c r="F2408" t="str">
        <f t="shared" si="37"/>
        <v>F499G1T1</v>
      </c>
      <c r="G2408" s="14" t="s">
        <v>325</v>
      </c>
    </row>
    <row r="2409" spans="1:7">
      <c r="A2409">
        <v>50</v>
      </c>
      <c r="B2409">
        <v>9</v>
      </c>
      <c r="C2409">
        <v>1</v>
      </c>
      <c r="E2409">
        <v>1</v>
      </c>
      <c r="F2409" t="str">
        <f t="shared" si="37"/>
        <v>F509G1T1</v>
      </c>
      <c r="G2409" s="14" t="s">
        <v>325</v>
      </c>
    </row>
    <row r="2410" spans="1:7">
      <c r="A2410">
        <v>52</v>
      </c>
      <c r="B2410">
        <v>9</v>
      </c>
      <c r="C2410">
        <v>1</v>
      </c>
      <c r="E2410">
        <v>1</v>
      </c>
      <c r="F2410" t="str">
        <f t="shared" si="37"/>
        <v>F529G1T1</v>
      </c>
      <c r="G2410" s="14" t="s">
        <v>325</v>
      </c>
    </row>
    <row r="2411" spans="1:7">
      <c r="A2411">
        <v>54</v>
      </c>
      <c r="B2411">
        <v>9</v>
      </c>
      <c r="C2411">
        <v>1</v>
      </c>
      <c r="E2411">
        <v>1</v>
      </c>
      <c r="F2411" t="str">
        <f t="shared" si="37"/>
        <v>F549G1T1</v>
      </c>
      <c r="G2411" s="14" t="s">
        <v>325</v>
      </c>
    </row>
    <row r="2412" spans="1:7">
      <c r="A2412">
        <v>59</v>
      </c>
      <c r="B2412">
        <v>9</v>
      </c>
      <c r="C2412">
        <v>1</v>
      </c>
      <c r="E2412">
        <v>1</v>
      </c>
      <c r="F2412" t="str">
        <f t="shared" si="37"/>
        <v>F599G1T1</v>
      </c>
      <c r="G2412" s="14" t="s">
        <v>325</v>
      </c>
    </row>
    <row r="2413" spans="1:7">
      <c r="A2413">
        <v>60</v>
      </c>
      <c r="B2413">
        <v>9</v>
      </c>
      <c r="C2413">
        <v>1</v>
      </c>
      <c r="E2413">
        <v>1</v>
      </c>
      <c r="F2413" t="str">
        <f t="shared" si="37"/>
        <v>F609G1T1</v>
      </c>
      <c r="G2413" s="14" t="s">
        <v>325</v>
      </c>
    </row>
    <row r="2414" spans="1:7">
      <c r="A2414">
        <v>61</v>
      </c>
      <c r="B2414">
        <v>9</v>
      </c>
      <c r="C2414">
        <v>1</v>
      </c>
      <c r="E2414">
        <v>1</v>
      </c>
      <c r="F2414" t="str">
        <f t="shared" si="37"/>
        <v>F619G1T1</v>
      </c>
      <c r="G2414" s="14" t="s">
        <v>325</v>
      </c>
    </row>
    <row r="2415" spans="1:7">
      <c r="A2415">
        <v>71</v>
      </c>
      <c r="B2415">
        <v>9</v>
      </c>
      <c r="C2415">
        <v>1</v>
      </c>
      <c r="E2415">
        <v>1</v>
      </c>
      <c r="F2415" t="str">
        <f t="shared" si="37"/>
        <v>F719G1T1</v>
      </c>
      <c r="G2415" s="14" t="s">
        <v>325</v>
      </c>
    </row>
    <row r="2416" spans="1:7">
      <c r="A2416">
        <v>72</v>
      </c>
      <c r="B2416">
        <v>9</v>
      </c>
      <c r="C2416">
        <v>1</v>
      </c>
      <c r="E2416">
        <v>1</v>
      </c>
      <c r="F2416" t="str">
        <f t="shared" si="37"/>
        <v>F729G1T1</v>
      </c>
      <c r="G2416" s="14" t="s">
        <v>325</v>
      </c>
    </row>
    <row r="2417" spans="1:7">
      <c r="A2417">
        <v>82</v>
      </c>
      <c r="B2417">
        <v>9</v>
      </c>
      <c r="C2417">
        <v>1</v>
      </c>
      <c r="E2417">
        <v>1</v>
      </c>
      <c r="F2417" t="str">
        <f t="shared" si="37"/>
        <v>F829G1T1</v>
      </c>
      <c r="G2417" s="14" t="s">
        <v>325</v>
      </c>
    </row>
    <row r="2418" spans="1:7">
      <c r="A2418">
        <v>83</v>
      </c>
      <c r="B2418">
        <v>9</v>
      </c>
      <c r="C2418">
        <v>1</v>
      </c>
      <c r="E2418">
        <v>1</v>
      </c>
      <c r="F2418" t="str">
        <f t="shared" si="37"/>
        <v>F839G1T1</v>
      </c>
      <c r="G2418" s="14" t="s">
        <v>325</v>
      </c>
    </row>
    <row r="2419" spans="1:7">
      <c r="A2419">
        <v>91</v>
      </c>
      <c r="B2419">
        <v>9</v>
      </c>
      <c r="C2419">
        <v>1</v>
      </c>
      <c r="E2419">
        <v>1</v>
      </c>
      <c r="F2419" t="str">
        <f t="shared" si="37"/>
        <v>F919G1T1</v>
      </c>
      <c r="G2419" s="14" t="s">
        <v>325</v>
      </c>
    </row>
    <row r="2420" spans="1:7">
      <c r="A2420">
        <v>94</v>
      </c>
      <c r="B2420">
        <v>9</v>
      </c>
      <c r="C2420">
        <v>1</v>
      </c>
      <c r="E2420">
        <v>1</v>
      </c>
      <c r="F2420" t="str">
        <f t="shared" si="37"/>
        <v>F949G1T1</v>
      </c>
      <c r="G2420" s="14" t="s">
        <v>325</v>
      </c>
    </row>
    <row r="2421" spans="1:7">
      <c r="A2421">
        <v>10</v>
      </c>
      <c r="B2421">
        <v>9</v>
      </c>
      <c r="C2421">
        <v>3</v>
      </c>
      <c r="E2421">
        <v>4</v>
      </c>
      <c r="F2421" t="str">
        <f t="shared" si="37"/>
        <v>F109G3T4</v>
      </c>
      <c r="G2421" s="14" t="s">
        <v>325</v>
      </c>
    </row>
    <row r="2422" spans="1:7">
      <c r="A2422">
        <v>13</v>
      </c>
      <c r="B2422">
        <v>9</v>
      </c>
      <c r="C2422">
        <v>3</v>
      </c>
      <c r="E2422">
        <v>4</v>
      </c>
      <c r="F2422" t="str">
        <f t="shared" si="37"/>
        <v>F139G3T4</v>
      </c>
      <c r="G2422" s="14" t="s">
        <v>325</v>
      </c>
    </row>
    <row r="2423" spans="1:7">
      <c r="A2423">
        <v>15</v>
      </c>
      <c r="B2423">
        <v>9</v>
      </c>
      <c r="C2423">
        <v>3</v>
      </c>
      <c r="E2423">
        <v>4</v>
      </c>
      <c r="F2423" t="str">
        <f t="shared" si="37"/>
        <v>F159G3T4</v>
      </c>
      <c r="G2423" s="14" t="s">
        <v>325</v>
      </c>
    </row>
    <row r="2424" spans="1:7">
      <c r="A2424">
        <v>26</v>
      </c>
      <c r="B2424">
        <v>9</v>
      </c>
      <c r="C2424">
        <v>3</v>
      </c>
      <c r="E2424">
        <v>4</v>
      </c>
      <c r="F2424" t="str">
        <f t="shared" si="37"/>
        <v>F269G3T4</v>
      </c>
      <c r="G2424" s="14" t="s">
        <v>325</v>
      </c>
    </row>
    <row r="2425" spans="1:7">
      <c r="A2425">
        <v>27</v>
      </c>
      <c r="B2425">
        <v>9</v>
      </c>
      <c r="C2425">
        <v>3</v>
      </c>
      <c r="E2425">
        <v>4</v>
      </c>
      <c r="F2425" t="str">
        <f t="shared" si="37"/>
        <v>F279G3T4</v>
      </c>
      <c r="G2425" s="14" t="s">
        <v>325</v>
      </c>
    </row>
    <row r="2426" spans="1:7">
      <c r="A2426">
        <v>29</v>
      </c>
      <c r="B2426">
        <v>9</v>
      </c>
      <c r="C2426">
        <v>3</v>
      </c>
      <c r="E2426">
        <v>4</v>
      </c>
      <c r="F2426" t="str">
        <f t="shared" si="37"/>
        <v>F299G3T4</v>
      </c>
      <c r="G2426" s="14" t="s">
        <v>325</v>
      </c>
    </row>
    <row r="2427" spans="1:7">
      <c r="A2427">
        <v>31</v>
      </c>
      <c r="B2427">
        <v>9</v>
      </c>
      <c r="C2427">
        <v>3</v>
      </c>
      <c r="E2427">
        <v>4</v>
      </c>
      <c r="F2427" t="str">
        <f t="shared" si="37"/>
        <v>F319G3T4</v>
      </c>
      <c r="G2427" s="14" t="s">
        <v>325</v>
      </c>
    </row>
    <row r="2428" spans="1:7">
      <c r="A2428">
        <v>32</v>
      </c>
      <c r="B2428">
        <v>9</v>
      </c>
      <c r="C2428">
        <v>3</v>
      </c>
      <c r="E2428">
        <v>4</v>
      </c>
      <c r="F2428" t="str">
        <f t="shared" si="37"/>
        <v>F329G3T4</v>
      </c>
      <c r="G2428" s="14" t="s">
        <v>325</v>
      </c>
    </row>
    <row r="2429" spans="1:7">
      <c r="A2429">
        <v>33</v>
      </c>
      <c r="B2429">
        <v>9</v>
      </c>
      <c r="C2429">
        <v>3</v>
      </c>
      <c r="E2429">
        <v>4</v>
      </c>
      <c r="F2429" t="str">
        <f t="shared" si="37"/>
        <v>F339G3T4</v>
      </c>
      <c r="G2429" s="14" t="s">
        <v>325</v>
      </c>
    </row>
    <row r="2430" spans="1:7">
      <c r="A2430">
        <v>39</v>
      </c>
      <c r="B2430">
        <v>9</v>
      </c>
      <c r="C2430">
        <v>3</v>
      </c>
      <c r="E2430">
        <v>4</v>
      </c>
      <c r="F2430" t="str">
        <f t="shared" si="37"/>
        <v>F399G3T4</v>
      </c>
      <c r="G2430" s="14" t="s">
        <v>325</v>
      </c>
    </row>
    <row r="2431" spans="1:7">
      <c r="A2431">
        <v>45</v>
      </c>
      <c r="B2431">
        <v>9</v>
      </c>
      <c r="C2431">
        <v>3</v>
      </c>
      <c r="E2431">
        <v>4</v>
      </c>
      <c r="F2431" t="str">
        <f t="shared" si="37"/>
        <v>F459G3T4</v>
      </c>
      <c r="G2431" s="14" t="s">
        <v>325</v>
      </c>
    </row>
    <row r="2432" spans="1:7">
      <c r="A2432">
        <v>47</v>
      </c>
      <c r="B2432">
        <v>9</v>
      </c>
      <c r="C2432">
        <v>3</v>
      </c>
      <c r="E2432">
        <v>4</v>
      </c>
      <c r="F2432" t="str">
        <f t="shared" si="37"/>
        <v>F479G3T4</v>
      </c>
      <c r="G2432" s="14" t="s">
        <v>325</v>
      </c>
    </row>
    <row r="2433" spans="1:7">
      <c r="A2433">
        <v>49</v>
      </c>
      <c r="B2433">
        <v>9</v>
      </c>
      <c r="C2433">
        <v>3</v>
      </c>
      <c r="E2433">
        <v>4</v>
      </c>
      <c r="F2433" t="str">
        <f t="shared" si="37"/>
        <v>F499G3T4</v>
      </c>
      <c r="G2433" s="14" t="s">
        <v>325</v>
      </c>
    </row>
    <row r="2434" spans="1:7">
      <c r="A2434">
        <v>50</v>
      </c>
      <c r="B2434">
        <v>9</v>
      </c>
      <c r="C2434">
        <v>3</v>
      </c>
      <c r="E2434">
        <v>4</v>
      </c>
      <c r="F2434" t="str">
        <f t="shared" si="37"/>
        <v>F509G3T4</v>
      </c>
      <c r="G2434" s="14" t="s">
        <v>325</v>
      </c>
    </row>
    <row r="2435" spans="1:7">
      <c r="A2435">
        <v>52</v>
      </c>
      <c r="B2435">
        <v>9</v>
      </c>
      <c r="C2435">
        <v>3</v>
      </c>
      <c r="E2435">
        <v>4</v>
      </c>
      <c r="F2435" t="str">
        <f t="shared" ref="F2435:F2498" si="38">CONCATENATE("F",A2435,B2435,"G",C2435,"T",E2435)</f>
        <v>F529G3T4</v>
      </c>
      <c r="G2435" s="14" t="s">
        <v>325</v>
      </c>
    </row>
    <row r="2436" spans="1:7">
      <c r="A2436">
        <v>54</v>
      </c>
      <c r="B2436">
        <v>9</v>
      </c>
      <c r="C2436">
        <v>3</v>
      </c>
      <c r="E2436">
        <v>4</v>
      </c>
      <c r="F2436" t="str">
        <f t="shared" si="38"/>
        <v>F549G3T4</v>
      </c>
      <c r="G2436" s="14" t="s">
        <v>325</v>
      </c>
    </row>
    <row r="2437" spans="1:7">
      <c r="A2437">
        <v>59</v>
      </c>
      <c r="B2437">
        <v>9</v>
      </c>
      <c r="C2437">
        <v>3</v>
      </c>
      <c r="E2437">
        <v>4</v>
      </c>
      <c r="F2437" t="str">
        <f t="shared" si="38"/>
        <v>F599G3T4</v>
      </c>
      <c r="G2437" s="14" t="s">
        <v>325</v>
      </c>
    </row>
    <row r="2438" spans="1:7">
      <c r="A2438">
        <v>60</v>
      </c>
      <c r="B2438">
        <v>9</v>
      </c>
      <c r="C2438">
        <v>3</v>
      </c>
      <c r="E2438">
        <v>4</v>
      </c>
      <c r="F2438" t="str">
        <f t="shared" si="38"/>
        <v>F609G3T4</v>
      </c>
      <c r="G2438" s="14" t="s">
        <v>325</v>
      </c>
    </row>
    <row r="2439" spans="1:7">
      <c r="A2439">
        <v>61</v>
      </c>
      <c r="B2439">
        <v>9</v>
      </c>
      <c r="C2439">
        <v>3</v>
      </c>
      <c r="E2439">
        <v>4</v>
      </c>
      <c r="F2439" t="str">
        <f t="shared" si="38"/>
        <v>F619G3T4</v>
      </c>
      <c r="G2439" s="14" t="s">
        <v>325</v>
      </c>
    </row>
    <row r="2440" spans="1:7">
      <c r="A2440">
        <v>71</v>
      </c>
      <c r="B2440">
        <v>9</v>
      </c>
      <c r="C2440">
        <v>3</v>
      </c>
      <c r="E2440">
        <v>4</v>
      </c>
      <c r="F2440" t="str">
        <f t="shared" si="38"/>
        <v>F719G3T4</v>
      </c>
      <c r="G2440" s="14" t="s">
        <v>325</v>
      </c>
    </row>
    <row r="2441" spans="1:7">
      <c r="A2441">
        <v>72</v>
      </c>
      <c r="B2441">
        <v>9</v>
      </c>
      <c r="C2441">
        <v>3</v>
      </c>
      <c r="E2441">
        <v>4</v>
      </c>
      <c r="F2441" t="str">
        <f t="shared" si="38"/>
        <v>F729G3T4</v>
      </c>
      <c r="G2441" s="14" t="s">
        <v>325</v>
      </c>
    </row>
    <row r="2442" spans="1:7">
      <c r="A2442">
        <v>82</v>
      </c>
      <c r="B2442">
        <v>9</v>
      </c>
      <c r="C2442">
        <v>3</v>
      </c>
      <c r="E2442">
        <v>4</v>
      </c>
      <c r="F2442" t="str">
        <f t="shared" si="38"/>
        <v>F829G3T4</v>
      </c>
      <c r="G2442" s="14" t="s">
        <v>325</v>
      </c>
    </row>
    <row r="2443" spans="1:7">
      <c r="A2443">
        <v>83</v>
      </c>
      <c r="B2443">
        <v>9</v>
      </c>
      <c r="C2443">
        <v>3</v>
      </c>
      <c r="E2443">
        <v>4</v>
      </c>
      <c r="F2443" t="str">
        <f t="shared" si="38"/>
        <v>F839G3T4</v>
      </c>
      <c r="G2443" s="14" t="s">
        <v>325</v>
      </c>
    </row>
    <row r="2444" spans="1:7">
      <c r="A2444">
        <v>91</v>
      </c>
      <c r="B2444">
        <v>9</v>
      </c>
      <c r="C2444">
        <v>3</v>
      </c>
      <c r="E2444">
        <v>4</v>
      </c>
      <c r="F2444" t="str">
        <f t="shared" si="38"/>
        <v>F919G3T4</v>
      </c>
      <c r="G2444" s="14" t="s">
        <v>325</v>
      </c>
    </row>
    <row r="2445" spans="1:7">
      <c r="A2445">
        <v>94</v>
      </c>
      <c r="B2445">
        <v>9</v>
      </c>
      <c r="C2445">
        <v>3</v>
      </c>
      <c r="E2445">
        <v>4</v>
      </c>
      <c r="F2445" t="str">
        <f t="shared" si="38"/>
        <v>F949G3T4</v>
      </c>
      <c r="G2445" s="14" t="s">
        <v>325</v>
      </c>
    </row>
    <row r="2446" spans="1:7">
      <c r="A2446">
        <v>10</v>
      </c>
      <c r="B2446">
        <v>9</v>
      </c>
      <c r="C2446">
        <v>4</v>
      </c>
      <c r="E2446">
        <v>4</v>
      </c>
      <c r="F2446" t="str">
        <f t="shared" si="38"/>
        <v>F109G4T4</v>
      </c>
      <c r="G2446" s="14" t="s">
        <v>325</v>
      </c>
    </row>
    <row r="2447" spans="1:7">
      <c r="A2447">
        <v>13</v>
      </c>
      <c r="B2447">
        <v>9</v>
      </c>
      <c r="C2447">
        <v>4</v>
      </c>
      <c r="E2447">
        <v>4</v>
      </c>
      <c r="F2447" t="str">
        <f t="shared" si="38"/>
        <v>F139G4T4</v>
      </c>
      <c r="G2447" s="14" t="s">
        <v>325</v>
      </c>
    </row>
    <row r="2448" spans="1:7">
      <c r="A2448">
        <v>15</v>
      </c>
      <c r="B2448">
        <v>9</v>
      </c>
      <c r="C2448">
        <v>4</v>
      </c>
      <c r="E2448">
        <v>4</v>
      </c>
      <c r="F2448" t="str">
        <f t="shared" si="38"/>
        <v>F159G4T4</v>
      </c>
      <c r="G2448" s="14" t="s">
        <v>325</v>
      </c>
    </row>
    <row r="2449" spans="1:7">
      <c r="A2449">
        <v>26</v>
      </c>
      <c r="B2449">
        <v>9</v>
      </c>
      <c r="C2449">
        <v>4</v>
      </c>
      <c r="E2449">
        <v>4</v>
      </c>
      <c r="F2449" t="str">
        <f t="shared" si="38"/>
        <v>F269G4T4</v>
      </c>
      <c r="G2449" s="14" t="s">
        <v>325</v>
      </c>
    </row>
    <row r="2450" spans="1:7">
      <c r="A2450">
        <v>27</v>
      </c>
      <c r="B2450">
        <v>9</v>
      </c>
      <c r="C2450">
        <v>4</v>
      </c>
      <c r="E2450">
        <v>4</v>
      </c>
      <c r="F2450" t="str">
        <f t="shared" si="38"/>
        <v>F279G4T4</v>
      </c>
      <c r="G2450" s="14" t="s">
        <v>325</v>
      </c>
    </row>
    <row r="2451" spans="1:7">
      <c r="A2451">
        <v>29</v>
      </c>
      <c r="B2451">
        <v>9</v>
      </c>
      <c r="C2451">
        <v>4</v>
      </c>
      <c r="E2451">
        <v>4</v>
      </c>
      <c r="F2451" t="str">
        <f t="shared" si="38"/>
        <v>F299G4T4</v>
      </c>
      <c r="G2451" s="14" t="s">
        <v>325</v>
      </c>
    </row>
    <row r="2452" spans="1:7">
      <c r="A2452">
        <v>31</v>
      </c>
      <c r="B2452">
        <v>9</v>
      </c>
      <c r="C2452">
        <v>4</v>
      </c>
      <c r="E2452">
        <v>4</v>
      </c>
      <c r="F2452" t="str">
        <f t="shared" si="38"/>
        <v>F319G4T4</v>
      </c>
      <c r="G2452" s="14" t="s">
        <v>325</v>
      </c>
    </row>
    <row r="2453" spans="1:7">
      <c r="A2453">
        <v>32</v>
      </c>
      <c r="B2453">
        <v>9</v>
      </c>
      <c r="C2453">
        <v>4</v>
      </c>
      <c r="E2453">
        <v>4</v>
      </c>
      <c r="F2453" t="str">
        <f t="shared" si="38"/>
        <v>F329G4T4</v>
      </c>
      <c r="G2453" s="14" t="s">
        <v>325</v>
      </c>
    </row>
    <row r="2454" spans="1:7">
      <c r="A2454">
        <v>33</v>
      </c>
      <c r="B2454">
        <v>9</v>
      </c>
      <c r="C2454">
        <v>4</v>
      </c>
      <c r="E2454">
        <v>4</v>
      </c>
      <c r="F2454" t="str">
        <f t="shared" si="38"/>
        <v>F339G4T4</v>
      </c>
      <c r="G2454" s="14" t="s">
        <v>325</v>
      </c>
    </row>
    <row r="2455" spans="1:7">
      <c r="A2455">
        <v>39</v>
      </c>
      <c r="B2455">
        <v>9</v>
      </c>
      <c r="C2455">
        <v>4</v>
      </c>
      <c r="E2455">
        <v>4</v>
      </c>
      <c r="F2455" t="str">
        <f t="shared" si="38"/>
        <v>F399G4T4</v>
      </c>
      <c r="G2455" s="14" t="s">
        <v>325</v>
      </c>
    </row>
    <row r="2456" spans="1:7">
      <c r="A2456">
        <v>45</v>
      </c>
      <c r="B2456">
        <v>9</v>
      </c>
      <c r="C2456">
        <v>4</v>
      </c>
      <c r="E2456">
        <v>4</v>
      </c>
      <c r="F2456" t="str">
        <f t="shared" si="38"/>
        <v>F459G4T4</v>
      </c>
      <c r="G2456" s="14" t="s">
        <v>325</v>
      </c>
    </row>
    <row r="2457" spans="1:7">
      <c r="A2457">
        <v>47</v>
      </c>
      <c r="B2457">
        <v>9</v>
      </c>
      <c r="C2457">
        <v>4</v>
      </c>
      <c r="E2457">
        <v>4</v>
      </c>
      <c r="F2457" t="str">
        <f t="shared" si="38"/>
        <v>F479G4T4</v>
      </c>
      <c r="G2457" s="14" t="s">
        <v>325</v>
      </c>
    </row>
    <row r="2458" spans="1:7">
      <c r="A2458">
        <v>49</v>
      </c>
      <c r="B2458">
        <v>9</v>
      </c>
      <c r="C2458">
        <v>4</v>
      </c>
      <c r="E2458">
        <v>4</v>
      </c>
      <c r="F2458" t="str">
        <f t="shared" si="38"/>
        <v>F499G4T4</v>
      </c>
      <c r="G2458" s="14" t="s">
        <v>325</v>
      </c>
    </row>
    <row r="2459" spans="1:7">
      <c r="A2459">
        <v>50</v>
      </c>
      <c r="B2459">
        <v>9</v>
      </c>
      <c r="C2459">
        <v>4</v>
      </c>
      <c r="E2459">
        <v>4</v>
      </c>
      <c r="F2459" t="str">
        <f t="shared" si="38"/>
        <v>F509G4T4</v>
      </c>
      <c r="G2459" s="14" t="s">
        <v>325</v>
      </c>
    </row>
    <row r="2460" spans="1:7">
      <c r="A2460">
        <v>52</v>
      </c>
      <c r="B2460">
        <v>9</v>
      </c>
      <c r="C2460">
        <v>4</v>
      </c>
      <c r="E2460">
        <v>4</v>
      </c>
      <c r="F2460" t="str">
        <f t="shared" si="38"/>
        <v>F529G4T4</v>
      </c>
      <c r="G2460" s="14" t="s">
        <v>325</v>
      </c>
    </row>
    <row r="2461" spans="1:7">
      <c r="A2461">
        <v>54</v>
      </c>
      <c r="B2461">
        <v>9</v>
      </c>
      <c r="C2461">
        <v>4</v>
      </c>
      <c r="E2461">
        <v>4</v>
      </c>
      <c r="F2461" t="str">
        <f t="shared" si="38"/>
        <v>F549G4T4</v>
      </c>
      <c r="G2461" s="14" t="s">
        <v>325</v>
      </c>
    </row>
    <row r="2462" spans="1:7">
      <c r="A2462">
        <v>59</v>
      </c>
      <c r="B2462">
        <v>9</v>
      </c>
      <c r="C2462">
        <v>4</v>
      </c>
      <c r="E2462">
        <v>4</v>
      </c>
      <c r="F2462" t="str">
        <f t="shared" si="38"/>
        <v>F599G4T4</v>
      </c>
      <c r="G2462" s="14" t="s">
        <v>325</v>
      </c>
    </row>
    <row r="2463" spans="1:7">
      <c r="A2463">
        <v>60</v>
      </c>
      <c r="B2463">
        <v>9</v>
      </c>
      <c r="C2463">
        <v>4</v>
      </c>
      <c r="E2463">
        <v>4</v>
      </c>
      <c r="F2463" t="str">
        <f t="shared" si="38"/>
        <v>F609G4T4</v>
      </c>
      <c r="G2463" s="14" t="s">
        <v>325</v>
      </c>
    </row>
    <row r="2464" spans="1:7">
      <c r="A2464">
        <v>61</v>
      </c>
      <c r="B2464">
        <v>9</v>
      </c>
      <c r="C2464">
        <v>4</v>
      </c>
      <c r="E2464">
        <v>4</v>
      </c>
      <c r="F2464" t="str">
        <f t="shared" si="38"/>
        <v>F619G4T4</v>
      </c>
      <c r="G2464" s="14" t="s">
        <v>325</v>
      </c>
    </row>
    <row r="2465" spans="1:7">
      <c r="A2465">
        <v>71</v>
      </c>
      <c r="B2465">
        <v>9</v>
      </c>
      <c r="C2465">
        <v>4</v>
      </c>
      <c r="E2465">
        <v>4</v>
      </c>
      <c r="F2465" t="str">
        <f t="shared" si="38"/>
        <v>F719G4T4</v>
      </c>
      <c r="G2465" s="14" t="s">
        <v>325</v>
      </c>
    </row>
    <row r="2466" spans="1:7">
      <c r="A2466">
        <v>72</v>
      </c>
      <c r="B2466">
        <v>9</v>
      </c>
      <c r="C2466">
        <v>4</v>
      </c>
      <c r="E2466">
        <v>4</v>
      </c>
      <c r="F2466" t="str">
        <f t="shared" si="38"/>
        <v>F729G4T4</v>
      </c>
      <c r="G2466" s="14" t="s">
        <v>325</v>
      </c>
    </row>
    <row r="2467" spans="1:7">
      <c r="A2467">
        <v>82</v>
      </c>
      <c r="B2467">
        <v>9</v>
      </c>
      <c r="C2467">
        <v>4</v>
      </c>
      <c r="E2467">
        <v>4</v>
      </c>
      <c r="F2467" t="str">
        <f t="shared" si="38"/>
        <v>F829G4T4</v>
      </c>
      <c r="G2467" s="14" t="s">
        <v>325</v>
      </c>
    </row>
    <row r="2468" spans="1:7">
      <c r="A2468">
        <v>83</v>
      </c>
      <c r="B2468">
        <v>9</v>
      </c>
      <c r="C2468">
        <v>4</v>
      </c>
      <c r="E2468">
        <v>4</v>
      </c>
      <c r="F2468" t="str">
        <f t="shared" si="38"/>
        <v>F839G4T4</v>
      </c>
      <c r="G2468" s="14" t="s">
        <v>325</v>
      </c>
    </row>
    <row r="2469" spans="1:7">
      <c r="A2469">
        <v>91</v>
      </c>
      <c r="B2469">
        <v>9</v>
      </c>
      <c r="C2469">
        <v>4</v>
      </c>
      <c r="E2469">
        <v>4</v>
      </c>
      <c r="F2469" t="str">
        <f t="shared" si="38"/>
        <v>F919G4T4</v>
      </c>
      <c r="G2469" s="14" t="s">
        <v>325</v>
      </c>
    </row>
    <row r="2470" spans="1:7">
      <c r="A2470">
        <v>94</v>
      </c>
      <c r="B2470">
        <v>9</v>
      </c>
      <c r="C2470">
        <v>4</v>
      </c>
      <c r="E2470">
        <v>4</v>
      </c>
      <c r="F2470" t="str">
        <f t="shared" si="38"/>
        <v>F949G4T4</v>
      </c>
      <c r="G2470" s="14" t="s">
        <v>325</v>
      </c>
    </row>
    <row r="2471" spans="1:7">
      <c r="A2471">
        <v>10</v>
      </c>
      <c r="B2471">
        <v>9</v>
      </c>
      <c r="C2471">
        <v>1</v>
      </c>
      <c r="E2471">
        <v>4</v>
      </c>
      <c r="F2471" t="str">
        <f t="shared" si="38"/>
        <v>F109G1T4</v>
      </c>
      <c r="G2471" s="14" t="s">
        <v>325</v>
      </c>
    </row>
    <row r="2472" spans="1:7">
      <c r="A2472">
        <v>13</v>
      </c>
      <c r="B2472">
        <v>9</v>
      </c>
      <c r="C2472">
        <v>1</v>
      </c>
      <c r="E2472">
        <v>4</v>
      </c>
      <c r="F2472" t="str">
        <f t="shared" si="38"/>
        <v>F139G1T4</v>
      </c>
      <c r="G2472" s="14" t="s">
        <v>325</v>
      </c>
    </row>
    <row r="2473" spans="1:7">
      <c r="A2473">
        <v>15</v>
      </c>
      <c r="B2473">
        <v>9</v>
      </c>
      <c r="C2473">
        <v>1</v>
      </c>
      <c r="E2473">
        <v>4</v>
      </c>
      <c r="F2473" t="str">
        <f t="shared" si="38"/>
        <v>F159G1T4</v>
      </c>
      <c r="G2473" s="14" t="s">
        <v>325</v>
      </c>
    </row>
    <row r="2474" spans="1:7">
      <c r="A2474">
        <v>26</v>
      </c>
      <c r="B2474">
        <v>9</v>
      </c>
      <c r="C2474">
        <v>1</v>
      </c>
      <c r="E2474">
        <v>4</v>
      </c>
      <c r="F2474" t="str">
        <f t="shared" si="38"/>
        <v>F269G1T4</v>
      </c>
      <c r="G2474" s="14" t="s">
        <v>325</v>
      </c>
    </row>
    <row r="2475" spans="1:7">
      <c r="A2475">
        <v>27</v>
      </c>
      <c r="B2475">
        <v>9</v>
      </c>
      <c r="C2475">
        <v>1</v>
      </c>
      <c r="E2475">
        <v>4</v>
      </c>
      <c r="F2475" t="str">
        <f t="shared" si="38"/>
        <v>F279G1T4</v>
      </c>
      <c r="G2475" s="14" t="s">
        <v>325</v>
      </c>
    </row>
    <row r="2476" spans="1:7">
      <c r="A2476">
        <v>29</v>
      </c>
      <c r="B2476">
        <v>9</v>
      </c>
      <c r="C2476">
        <v>1</v>
      </c>
      <c r="E2476">
        <v>4</v>
      </c>
      <c r="F2476" t="str">
        <f t="shared" si="38"/>
        <v>F299G1T4</v>
      </c>
      <c r="G2476" s="14" t="s">
        <v>325</v>
      </c>
    </row>
    <row r="2477" spans="1:7">
      <c r="A2477">
        <v>31</v>
      </c>
      <c r="B2477">
        <v>9</v>
      </c>
      <c r="C2477">
        <v>1</v>
      </c>
      <c r="E2477">
        <v>4</v>
      </c>
      <c r="F2477" t="str">
        <f t="shared" si="38"/>
        <v>F319G1T4</v>
      </c>
      <c r="G2477" s="14" t="s">
        <v>325</v>
      </c>
    </row>
    <row r="2478" spans="1:7">
      <c r="A2478">
        <v>32</v>
      </c>
      <c r="B2478">
        <v>9</v>
      </c>
      <c r="C2478">
        <v>1</v>
      </c>
      <c r="E2478">
        <v>4</v>
      </c>
      <c r="F2478" t="str">
        <f t="shared" si="38"/>
        <v>F329G1T4</v>
      </c>
      <c r="G2478" s="14" t="s">
        <v>325</v>
      </c>
    </row>
    <row r="2479" spans="1:7">
      <c r="A2479">
        <v>33</v>
      </c>
      <c r="B2479">
        <v>9</v>
      </c>
      <c r="C2479">
        <v>1</v>
      </c>
      <c r="E2479">
        <v>4</v>
      </c>
      <c r="F2479" t="str">
        <f t="shared" si="38"/>
        <v>F339G1T4</v>
      </c>
      <c r="G2479" s="14" t="s">
        <v>325</v>
      </c>
    </row>
    <row r="2480" spans="1:7">
      <c r="A2480">
        <v>39</v>
      </c>
      <c r="B2480">
        <v>9</v>
      </c>
      <c r="C2480">
        <v>1</v>
      </c>
      <c r="E2480">
        <v>4</v>
      </c>
      <c r="F2480" t="str">
        <f t="shared" si="38"/>
        <v>F399G1T4</v>
      </c>
      <c r="G2480" s="14" t="s">
        <v>325</v>
      </c>
    </row>
    <row r="2481" spans="1:7">
      <c r="A2481">
        <v>45</v>
      </c>
      <c r="B2481">
        <v>9</v>
      </c>
      <c r="C2481">
        <v>1</v>
      </c>
      <c r="E2481">
        <v>4</v>
      </c>
      <c r="F2481" t="str">
        <f t="shared" si="38"/>
        <v>F459G1T4</v>
      </c>
      <c r="G2481" s="14" t="s">
        <v>325</v>
      </c>
    </row>
    <row r="2482" spans="1:7">
      <c r="A2482">
        <v>47</v>
      </c>
      <c r="B2482">
        <v>9</v>
      </c>
      <c r="C2482">
        <v>1</v>
      </c>
      <c r="E2482">
        <v>4</v>
      </c>
      <c r="F2482" t="str">
        <f t="shared" si="38"/>
        <v>F479G1T4</v>
      </c>
      <c r="G2482" s="14" t="s">
        <v>325</v>
      </c>
    </row>
    <row r="2483" spans="1:7">
      <c r="A2483">
        <v>49</v>
      </c>
      <c r="B2483">
        <v>9</v>
      </c>
      <c r="C2483">
        <v>1</v>
      </c>
      <c r="E2483">
        <v>4</v>
      </c>
      <c r="F2483" t="str">
        <f t="shared" si="38"/>
        <v>F499G1T4</v>
      </c>
      <c r="G2483" s="14" t="s">
        <v>325</v>
      </c>
    </row>
    <row r="2484" spans="1:7">
      <c r="A2484">
        <v>50</v>
      </c>
      <c r="B2484">
        <v>9</v>
      </c>
      <c r="C2484">
        <v>1</v>
      </c>
      <c r="E2484">
        <v>4</v>
      </c>
      <c r="F2484" t="str">
        <f t="shared" si="38"/>
        <v>F509G1T4</v>
      </c>
      <c r="G2484" s="14" t="s">
        <v>325</v>
      </c>
    </row>
    <row r="2485" spans="1:7">
      <c r="A2485">
        <v>52</v>
      </c>
      <c r="B2485">
        <v>9</v>
      </c>
      <c r="C2485">
        <v>1</v>
      </c>
      <c r="E2485">
        <v>4</v>
      </c>
      <c r="F2485" t="str">
        <f t="shared" si="38"/>
        <v>F529G1T4</v>
      </c>
      <c r="G2485" s="14" t="s">
        <v>325</v>
      </c>
    </row>
    <row r="2486" spans="1:7">
      <c r="A2486">
        <v>54</v>
      </c>
      <c r="B2486">
        <v>9</v>
      </c>
      <c r="C2486">
        <v>1</v>
      </c>
      <c r="E2486">
        <v>4</v>
      </c>
      <c r="F2486" t="str">
        <f t="shared" si="38"/>
        <v>F549G1T4</v>
      </c>
      <c r="G2486" s="14" t="s">
        <v>325</v>
      </c>
    </row>
    <row r="2487" spans="1:7">
      <c r="A2487">
        <v>59</v>
      </c>
      <c r="B2487">
        <v>9</v>
      </c>
      <c r="C2487">
        <v>1</v>
      </c>
      <c r="E2487">
        <v>4</v>
      </c>
      <c r="F2487" t="str">
        <f t="shared" si="38"/>
        <v>F599G1T4</v>
      </c>
      <c r="G2487" s="14" t="s">
        <v>325</v>
      </c>
    </row>
    <row r="2488" spans="1:7">
      <c r="A2488">
        <v>60</v>
      </c>
      <c r="B2488">
        <v>9</v>
      </c>
      <c r="C2488">
        <v>1</v>
      </c>
      <c r="E2488">
        <v>4</v>
      </c>
      <c r="F2488" t="str">
        <f t="shared" si="38"/>
        <v>F609G1T4</v>
      </c>
      <c r="G2488" s="14" t="s">
        <v>325</v>
      </c>
    </row>
    <row r="2489" spans="1:7">
      <c r="A2489">
        <v>61</v>
      </c>
      <c r="B2489">
        <v>9</v>
      </c>
      <c r="C2489">
        <v>1</v>
      </c>
      <c r="E2489">
        <v>4</v>
      </c>
      <c r="F2489" t="str">
        <f t="shared" si="38"/>
        <v>F619G1T4</v>
      </c>
      <c r="G2489" s="14" t="s">
        <v>325</v>
      </c>
    </row>
    <row r="2490" spans="1:7">
      <c r="A2490">
        <v>71</v>
      </c>
      <c r="B2490">
        <v>9</v>
      </c>
      <c r="C2490">
        <v>1</v>
      </c>
      <c r="E2490">
        <v>4</v>
      </c>
      <c r="F2490" t="str">
        <f t="shared" si="38"/>
        <v>F719G1T4</v>
      </c>
      <c r="G2490" s="14" t="s">
        <v>325</v>
      </c>
    </row>
    <row r="2491" spans="1:7">
      <c r="A2491">
        <v>72</v>
      </c>
      <c r="B2491">
        <v>9</v>
      </c>
      <c r="C2491">
        <v>1</v>
      </c>
      <c r="E2491">
        <v>4</v>
      </c>
      <c r="F2491" t="str">
        <f t="shared" si="38"/>
        <v>F729G1T4</v>
      </c>
      <c r="G2491" s="14" t="s">
        <v>325</v>
      </c>
    </row>
    <row r="2492" spans="1:7">
      <c r="A2492">
        <v>82</v>
      </c>
      <c r="B2492">
        <v>9</v>
      </c>
      <c r="C2492">
        <v>1</v>
      </c>
      <c r="E2492">
        <v>4</v>
      </c>
      <c r="F2492" t="str">
        <f t="shared" si="38"/>
        <v>F829G1T4</v>
      </c>
      <c r="G2492" s="14" t="s">
        <v>325</v>
      </c>
    </row>
    <row r="2493" spans="1:7">
      <c r="A2493">
        <v>83</v>
      </c>
      <c r="B2493">
        <v>9</v>
      </c>
      <c r="C2493">
        <v>1</v>
      </c>
      <c r="E2493">
        <v>4</v>
      </c>
      <c r="F2493" t="str">
        <f t="shared" si="38"/>
        <v>F839G1T4</v>
      </c>
      <c r="G2493" s="14" t="s">
        <v>325</v>
      </c>
    </row>
    <row r="2494" spans="1:7">
      <c r="A2494">
        <v>91</v>
      </c>
      <c r="B2494">
        <v>9</v>
      </c>
      <c r="C2494">
        <v>1</v>
      </c>
      <c r="E2494">
        <v>4</v>
      </c>
      <c r="F2494" t="str">
        <f t="shared" si="38"/>
        <v>F919G1T4</v>
      </c>
      <c r="G2494" s="14" t="s">
        <v>325</v>
      </c>
    </row>
    <row r="2495" spans="1:7">
      <c r="A2495">
        <v>94</v>
      </c>
      <c r="B2495">
        <v>9</v>
      </c>
      <c r="C2495">
        <v>1</v>
      </c>
      <c r="E2495">
        <v>4</v>
      </c>
      <c r="F2495" t="str">
        <f t="shared" si="38"/>
        <v>F949G1T4</v>
      </c>
      <c r="G2495" s="14" t="s">
        <v>325</v>
      </c>
    </row>
    <row r="2496" spans="1:7">
      <c r="A2496">
        <v>10</v>
      </c>
      <c r="B2496">
        <v>9</v>
      </c>
      <c r="C2496">
        <v>3</v>
      </c>
      <c r="E2496">
        <v>3</v>
      </c>
      <c r="F2496" t="str">
        <f t="shared" si="38"/>
        <v>F109G3T3</v>
      </c>
      <c r="G2496" s="14" t="s">
        <v>326</v>
      </c>
    </row>
    <row r="2497" spans="1:7">
      <c r="A2497">
        <v>13</v>
      </c>
      <c r="B2497">
        <v>9</v>
      </c>
      <c r="C2497">
        <v>3</v>
      </c>
      <c r="E2497">
        <v>3</v>
      </c>
      <c r="F2497" t="str">
        <f t="shared" si="38"/>
        <v>F139G3T3</v>
      </c>
      <c r="G2497" s="14" t="s">
        <v>326</v>
      </c>
    </row>
    <row r="2498" spans="1:7">
      <c r="A2498">
        <v>15</v>
      </c>
      <c r="B2498">
        <v>9</v>
      </c>
      <c r="C2498">
        <v>3</v>
      </c>
      <c r="E2498">
        <v>3</v>
      </c>
      <c r="F2498" t="str">
        <f t="shared" si="38"/>
        <v>F159G3T3</v>
      </c>
      <c r="G2498" s="14" t="s">
        <v>326</v>
      </c>
    </row>
    <row r="2499" spans="1:7">
      <c r="A2499">
        <v>26</v>
      </c>
      <c r="B2499">
        <v>9</v>
      </c>
      <c r="C2499">
        <v>3</v>
      </c>
      <c r="E2499">
        <v>3</v>
      </c>
      <c r="F2499" t="str">
        <f t="shared" ref="F2499:F2562" si="39">CONCATENATE("F",A2499,B2499,"G",C2499,"T",E2499)</f>
        <v>F269G3T3</v>
      </c>
      <c r="G2499" s="14" t="s">
        <v>326</v>
      </c>
    </row>
    <row r="2500" spans="1:7">
      <c r="A2500">
        <v>27</v>
      </c>
      <c r="B2500">
        <v>9</v>
      </c>
      <c r="C2500">
        <v>3</v>
      </c>
      <c r="E2500">
        <v>3</v>
      </c>
      <c r="F2500" t="str">
        <f t="shared" si="39"/>
        <v>F279G3T3</v>
      </c>
      <c r="G2500" s="14" t="s">
        <v>326</v>
      </c>
    </row>
    <row r="2501" spans="1:7">
      <c r="A2501">
        <v>29</v>
      </c>
      <c r="B2501">
        <v>9</v>
      </c>
      <c r="C2501">
        <v>3</v>
      </c>
      <c r="E2501">
        <v>3</v>
      </c>
      <c r="F2501" t="str">
        <f t="shared" si="39"/>
        <v>F299G3T3</v>
      </c>
      <c r="G2501" s="14" t="s">
        <v>326</v>
      </c>
    </row>
    <row r="2502" spans="1:7">
      <c r="A2502">
        <v>31</v>
      </c>
      <c r="B2502">
        <v>9</v>
      </c>
      <c r="C2502">
        <v>3</v>
      </c>
      <c r="E2502">
        <v>3</v>
      </c>
      <c r="F2502" t="str">
        <f t="shared" si="39"/>
        <v>F319G3T3</v>
      </c>
      <c r="G2502" s="14" t="s">
        <v>326</v>
      </c>
    </row>
    <row r="2503" spans="1:7">
      <c r="A2503">
        <v>32</v>
      </c>
      <c r="B2503">
        <v>9</v>
      </c>
      <c r="C2503">
        <v>3</v>
      </c>
      <c r="E2503">
        <v>3</v>
      </c>
      <c r="F2503" t="str">
        <f t="shared" si="39"/>
        <v>F329G3T3</v>
      </c>
      <c r="G2503" s="14" t="s">
        <v>326</v>
      </c>
    </row>
    <row r="2504" spans="1:7">
      <c r="A2504">
        <v>33</v>
      </c>
      <c r="B2504">
        <v>9</v>
      </c>
      <c r="C2504">
        <v>3</v>
      </c>
      <c r="E2504">
        <v>3</v>
      </c>
      <c r="F2504" t="str">
        <f t="shared" si="39"/>
        <v>F339G3T3</v>
      </c>
      <c r="G2504" s="14" t="s">
        <v>326</v>
      </c>
    </row>
    <row r="2505" spans="1:7">
      <c r="A2505">
        <v>39</v>
      </c>
      <c r="B2505">
        <v>9</v>
      </c>
      <c r="C2505">
        <v>3</v>
      </c>
      <c r="E2505">
        <v>3</v>
      </c>
      <c r="F2505" t="str">
        <f t="shared" si="39"/>
        <v>F399G3T3</v>
      </c>
      <c r="G2505" s="14" t="s">
        <v>326</v>
      </c>
    </row>
    <row r="2506" spans="1:7">
      <c r="A2506">
        <v>45</v>
      </c>
      <c r="B2506">
        <v>9</v>
      </c>
      <c r="C2506">
        <v>3</v>
      </c>
      <c r="E2506">
        <v>3</v>
      </c>
      <c r="F2506" t="str">
        <f t="shared" si="39"/>
        <v>F459G3T3</v>
      </c>
      <c r="G2506" s="14" t="s">
        <v>326</v>
      </c>
    </row>
    <row r="2507" spans="1:7">
      <c r="A2507">
        <v>47</v>
      </c>
      <c r="B2507">
        <v>9</v>
      </c>
      <c r="C2507">
        <v>3</v>
      </c>
      <c r="E2507">
        <v>3</v>
      </c>
      <c r="F2507" t="str">
        <f t="shared" si="39"/>
        <v>F479G3T3</v>
      </c>
      <c r="G2507" s="14" t="s">
        <v>326</v>
      </c>
    </row>
    <row r="2508" spans="1:7">
      <c r="A2508">
        <v>49</v>
      </c>
      <c r="B2508">
        <v>9</v>
      </c>
      <c r="C2508">
        <v>3</v>
      </c>
      <c r="E2508">
        <v>3</v>
      </c>
      <c r="F2508" t="str">
        <f t="shared" si="39"/>
        <v>F499G3T3</v>
      </c>
      <c r="G2508" s="14" t="s">
        <v>326</v>
      </c>
    </row>
    <row r="2509" spans="1:7">
      <c r="A2509">
        <v>50</v>
      </c>
      <c r="B2509">
        <v>9</v>
      </c>
      <c r="C2509">
        <v>3</v>
      </c>
      <c r="E2509">
        <v>3</v>
      </c>
      <c r="F2509" t="str">
        <f t="shared" si="39"/>
        <v>F509G3T3</v>
      </c>
      <c r="G2509" s="14" t="s">
        <v>326</v>
      </c>
    </row>
    <row r="2510" spans="1:7">
      <c r="A2510">
        <v>52</v>
      </c>
      <c r="B2510">
        <v>9</v>
      </c>
      <c r="C2510">
        <v>3</v>
      </c>
      <c r="E2510">
        <v>3</v>
      </c>
      <c r="F2510" t="str">
        <f t="shared" si="39"/>
        <v>F529G3T3</v>
      </c>
      <c r="G2510" s="14" t="s">
        <v>326</v>
      </c>
    </row>
    <row r="2511" spans="1:7">
      <c r="A2511">
        <v>54</v>
      </c>
      <c r="B2511">
        <v>9</v>
      </c>
      <c r="C2511">
        <v>3</v>
      </c>
      <c r="E2511">
        <v>3</v>
      </c>
      <c r="F2511" t="str">
        <f t="shared" si="39"/>
        <v>F549G3T3</v>
      </c>
      <c r="G2511" s="14" t="s">
        <v>326</v>
      </c>
    </row>
    <row r="2512" spans="1:7">
      <c r="A2512">
        <v>59</v>
      </c>
      <c r="B2512">
        <v>9</v>
      </c>
      <c r="C2512">
        <v>3</v>
      </c>
      <c r="E2512">
        <v>3</v>
      </c>
      <c r="F2512" t="str">
        <f t="shared" si="39"/>
        <v>F599G3T3</v>
      </c>
      <c r="G2512" s="14" t="s">
        <v>326</v>
      </c>
    </row>
    <row r="2513" spans="1:7">
      <c r="A2513">
        <v>60</v>
      </c>
      <c r="B2513">
        <v>9</v>
      </c>
      <c r="C2513">
        <v>3</v>
      </c>
      <c r="E2513">
        <v>3</v>
      </c>
      <c r="F2513" t="str">
        <f t="shared" si="39"/>
        <v>F609G3T3</v>
      </c>
      <c r="G2513" s="14" t="s">
        <v>326</v>
      </c>
    </row>
    <row r="2514" spans="1:7">
      <c r="A2514">
        <v>61</v>
      </c>
      <c r="B2514">
        <v>9</v>
      </c>
      <c r="C2514">
        <v>3</v>
      </c>
      <c r="E2514">
        <v>3</v>
      </c>
      <c r="F2514" t="str">
        <f t="shared" si="39"/>
        <v>F619G3T3</v>
      </c>
      <c r="G2514" s="14" t="s">
        <v>326</v>
      </c>
    </row>
    <row r="2515" spans="1:7">
      <c r="A2515">
        <v>71</v>
      </c>
      <c r="B2515">
        <v>9</v>
      </c>
      <c r="C2515">
        <v>3</v>
      </c>
      <c r="E2515">
        <v>3</v>
      </c>
      <c r="F2515" t="str">
        <f t="shared" si="39"/>
        <v>F719G3T3</v>
      </c>
      <c r="G2515" s="14" t="s">
        <v>326</v>
      </c>
    </row>
    <row r="2516" spans="1:7">
      <c r="A2516">
        <v>72</v>
      </c>
      <c r="B2516">
        <v>9</v>
      </c>
      <c r="C2516">
        <v>3</v>
      </c>
      <c r="E2516">
        <v>3</v>
      </c>
      <c r="F2516" t="str">
        <f t="shared" si="39"/>
        <v>F729G3T3</v>
      </c>
      <c r="G2516" s="14" t="s">
        <v>326</v>
      </c>
    </row>
    <row r="2517" spans="1:7">
      <c r="A2517">
        <v>82</v>
      </c>
      <c r="B2517">
        <v>9</v>
      </c>
      <c r="C2517">
        <v>3</v>
      </c>
      <c r="E2517">
        <v>3</v>
      </c>
      <c r="F2517" t="str">
        <f t="shared" si="39"/>
        <v>F829G3T3</v>
      </c>
      <c r="G2517" s="14" t="s">
        <v>326</v>
      </c>
    </row>
    <row r="2518" spans="1:7">
      <c r="A2518">
        <v>83</v>
      </c>
      <c r="B2518">
        <v>9</v>
      </c>
      <c r="C2518">
        <v>3</v>
      </c>
      <c r="E2518">
        <v>3</v>
      </c>
      <c r="F2518" t="str">
        <f t="shared" si="39"/>
        <v>F839G3T3</v>
      </c>
      <c r="G2518" s="14" t="s">
        <v>326</v>
      </c>
    </row>
    <row r="2519" spans="1:7">
      <c r="A2519">
        <v>91</v>
      </c>
      <c r="B2519">
        <v>9</v>
      </c>
      <c r="C2519">
        <v>3</v>
      </c>
      <c r="E2519">
        <v>3</v>
      </c>
      <c r="F2519" t="str">
        <f t="shared" si="39"/>
        <v>F919G3T3</v>
      </c>
      <c r="G2519" s="14" t="s">
        <v>326</v>
      </c>
    </row>
    <row r="2520" spans="1:7">
      <c r="A2520">
        <v>94</v>
      </c>
      <c r="B2520">
        <v>9</v>
      </c>
      <c r="C2520">
        <v>3</v>
      </c>
      <c r="E2520">
        <v>3</v>
      </c>
      <c r="F2520" t="str">
        <f t="shared" si="39"/>
        <v>F949G3T3</v>
      </c>
      <c r="G2520" s="14" t="s">
        <v>326</v>
      </c>
    </row>
    <row r="2521" spans="1:7">
      <c r="A2521">
        <v>10</v>
      </c>
      <c r="B2521">
        <v>9</v>
      </c>
      <c r="C2521">
        <v>4</v>
      </c>
      <c r="E2521">
        <v>3</v>
      </c>
      <c r="F2521" t="str">
        <f t="shared" si="39"/>
        <v>F109G4T3</v>
      </c>
      <c r="G2521" s="14" t="s">
        <v>326</v>
      </c>
    </row>
    <row r="2522" spans="1:7">
      <c r="A2522">
        <v>13</v>
      </c>
      <c r="B2522">
        <v>9</v>
      </c>
      <c r="C2522">
        <v>4</v>
      </c>
      <c r="E2522">
        <v>3</v>
      </c>
      <c r="F2522" t="str">
        <f t="shared" si="39"/>
        <v>F139G4T3</v>
      </c>
      <c r="G2522" s="14" t="s">
        <v>326</v>
      </c>
    </row>
    <row r="2523" spans="1:7">
      <c r="A2523">
        <v>15</v>
      </c>
      <c r="B2523">
        <v>9</v>
      </c>
      <c r="C2523">
        <v>4</v>
      </c>
      <c r="E2523">
        <v>3</v>
      </c>
      <c r="F2523" t="str">
        <f t="shared" si="39"/>
        <v>F159G4T3</v>
      </c>
      <c r="G2523" s="14" t="s">
        <v>326</v>
      </c>
    </row>
    <row r="2524" spans="1:7">
      <c r="A2524">
        <v>26</v>
      </c>
      <c r="B2524">
        <v>9</v>
      </c>
      <c r="C2524">
        <v>4</v>
      </c>
      <c r="E2524">
        <v>3</v>
      </c>
      <c r="F2524" t="str">
        <f t="shared" si="39"/>
        <v>F269G4T3</v>
      </c>
      <c r="G2524" s="14" t="s">
        <v>326</v>
      </c>
    </row>
    <row r="2525" spans="1:7">
      <c r="A2525">
        <v>27</v>
      </c>
      <c r="B2525">
        <v>9</v>
      </c>
      <c r="C2525">
        <v>4</v>
      </c>
      <c r="E2525">
        <v>3</v>
      </c>
      <c r="F2525" t="str">
        <f t="shared" si="39"/>
        <v>F279G4T3</v>
      </c>
      <c r="G2525" s="14" t="s">
        <v>326</v>
      </c>
    </row>
    <row r="2526" spans="1:7">
      <c r="A2526">
        <v>29</v>
      </c>
      <c r="B2526">
        <v>9</v>
      </c>
      <c r="C2526">
        <v>4</v>
      </c>
      <c r="E2526">
        <v>3</v>
      </c>
      <c r="F2526" t="str">
        <f t="shared" si="39"/>
        <v>F299G4T3</v>
      </c>
      <c r="G2526" s="14" t="s">
        <v>326</v>
      </c>
    </row>
    <row r="2527" spans="1:7">
      <c r="A2527">
        <v>31</v>
      </c>
      <c r="B2527">
        <v>9</v>
      </c>
      <c r="C2527">
        <v>4</v>
      </c>
      <c r="E2527">
        <v>3</v>
      </c>
      <c r="F2527" t="str">
        <f t="shared" si="39"/>
        <v>F319G4T3</v>
      </c>
      <c r="G2527" s="14" t="s">
        <v>326</v>
      </c>
    </row>
    <row r="2528" spans="1:7">
      <c r="A2528">
        <v>32</v>
      </c>
      <c r="B2528">
        <v>9</v>
      </c>
      <c r="C2528">
        <v>4</v>
      </c>
      <c r="E2528">
        <v>3</v>
      </c>
      <c r="F2528" t="str">
        <f t="shared" si="39"/>
        <v>F329G4T3</v>
      </c>
      <c r="G2528" s="14" t="s">
        <v>326</v>
      </c>
    </row>
    <row r="2529" spans="1:7">
      <c r="A2529">
        <v>33</v>
      </c>
      <c r="B2529">
        <v>9</v>
      </c>
      <c r="C2529">
        <v>4</v>
      </c>
      <c r="E2529">
        <v>3</v>
      </c>
      <c r="F2529" t="str">
        <f t="shared" si="39"/>
        <v>F339G4T3</v>
      </c>
      <c r="G2529" s="14" t="s">
        <v>326</v>
      </c>
    </row>
    <row r="2530" spans="1:7">
      <c r="A2530">
        <v>39</v>
      </c>
      <c r="B2530">
        <v>9</v>
      </c>
      <c r="C2530">
        <v>4</v>
      </c>
      <c r="E2530">
        <v>3</v>
      </c>
      <c r="F2530" t="str">
        <f t="shared" si="39"/>
        <v>F399G4T3</v>
      </c>
      <c r="G2530" s="14" t="s">
        <v>326</v>
      </c>
    </row>
    <row r="2531" spans="1:7">
      <c r="A2531">
        <v>45</v>
      </c>
      <c r="B2531">
        <v>9</v>
      </c>
      <c r="C2531">
        <v>4</v>
      </c>
      <c r="E2531">
        <v>3</v>
      </c>
      <c r="F2531" t="str">
        <f t="shared" si="39"/>
        <v>F459G4T3</v>
      </c>
      <c r="G2531" s="14" t="s">
        <v>326</v>
      </c>
    </row>
    <row r="2532" spans="1:7">
      <c r="A2532">
        <v>47</v>
      </c>
      <c r="B2532">
        <v>9</v>
      </c>
      <c r="C2532">
        <v>4</v>
      </c>
      <c r="E2532">
        <v>3</v>
      </c>
      <c r="F2532" t="str">
        <f t="shared" si="39"/>
        <v>F479G4T3</v>
      </c>
      <c r="G2532" s="14" t="s">
        <v>326</v>
      </c>
    </row>
    <row r="2533" spans="1:7">
      <c r="A2533">
        <v>49</v>
      </c>
      <c r="B2533">
        <v>9</v>
      </c>
      <c r="C2533">
        <v>4</v>
      </c>
      <c r="E2533">
        <v>3</v>
      </c>
      <c r="F2533" t="str">
        <f t="shared" si="39"/>
        <v>F499G4T3</v>
      </c>
      <c r="G2533" s="14" t="s">
        <v>326</v>
      </c>
    </row>
    <row r="2534" spans="1:7">
      <c r="A2534">
        <v>50</v>
      </c>
      <c r="B2534">
        <v>9</v>
      </c>
      <c r="C2534">
        <v>4</v>
      </c>
      <c r="E2534">
        <v>3</v>
      </c>
      <c r="F2534" t="str">
        <f t="shared" si="39"/>
        <v>F509G4T3</v>
      </c>
      <c r="G2534" s="14" t="s">
        <v>326</v>
      </c>
    </row>
    <row r="2535" spans="1:7">
      <c r="A2535">
        <v>52</v>
      </c>
      <c r="B2535">
        <v>9</v>
      </c>
      <c r="C2535">
        <v>4</v>
      </c>
      <c r="E2535">
        <v>3</v>
      </c>
      <c r="F2535" t="str">
        <f t="shared" si="39"/>
        <v>F529G4T3</v>
      </c>
      <c r="G2535" s="14" t="s">
        <v>326</v>
      </c>
    </row>
    <row r="2536" spans="1:7">
      <c r="A2536">
        <v>54</v>
      </c>
      <c r="B2536">
        <v>9</v>
      </c>
      <c r="C2536">
        <v>4</v>
      </c>
      <c r="E2536">
        <v>3</v>
      </c>
      <c r="F2536" t="str">
        <f t="shared" si="39"/>
        <v>F549G4T3</v>
      </c>
      <c r="G2536" s="14" t="s">
        <v>326</v>
      </c>
    </row>
    <row r="2537" spans="1:7">
      <c r="A2537">
        <v>59</v>
      </c>
      <c r="B2537">
        <v>9</v>
      </c>
      <c r="C2537">
        <v>4</v>
      </c>
      <c r="E2537">
        <v>3</v>
      </c>
      <c r="F2537" t="str">
        <f t="shared" si="39"/>
        <v>F599G4T3</v>
      </c>
      <c r="G2537" s="14" t="s">
        <v>326</v>
      </c>
    </row>
    <row r="2538" spans="1:7">
      <c r="A2538">
        <v>60</v>
      </c>
      <c r="B2538">
        <v>9</v>
      </c>
      <c r="C2538">
        <v>4</v>
      </c>
      <c r="E2538">
        <v>3</v>
      </c>
      <c r="F2538" t="str">
        <f t="shared" si="39"/>
        <v>F609G4T3</v>
      </c>
      <c r="G2538" s="14" t="s">
        <v>326</v>
      </c>
    </row>
    <row r="2539" spans="1:7">
      <c r="A2539">
        <v>61</v>
      </c>
      <c r="B2539">
        <v>9</v>
      </c>
      <c r="C2539">
        <v>4</v>
      </c>
      <c r="E2539">
        <v>3</v>
      </c>
      <c r="F2539" t="str">
        <f t="shared" si="39"/>
        <v>F619G4T3</v>
      </c>
      <c r="G2539" s="14" t="s">
        <v>326</v>
      </c>
    </row>
    <row r="2540" spans="1:7">
      <c r="A2540">
        <v>71</v>
      </c>
      <c r="B2540">
        <v>9</v>
      </c>
      <c r="C2540">
        <v>4</v>
      </c>
      <c r="E2540">
        <v>3</v>
      </c>
      <c r="F2540" t="str">
        <f t="shared" si="39"/>
        <v>F719G4T3</v>
      </c>
      <c r="G2540" s="14" t="s">
        <v>326</v>
      </c>
    </row>
    <row r="2541" spans="1:7">
      <c r="A2541">
        <v>72</v>
      </c>
      <c r="B2541">
        <v>9</v>
      </c>
      <c r="C2541">
        <v>4</v>
      </c>
      <c r="E2541">
        <v>3</v>
      </c>
      <c r="F2541" t="str">
        <f t="shared" si="39"/>
        <v>F729G4T3</v>
      </c>
      <c r="G2541" s="14" t="s">
        <v>326</v>
      </c>
    </row>
    <row r="2542" spans="1:7">
      <c r="A2542">
        <v>82</v>
      </c>
      <c r="B2542">
        <v>9</v>
      </c>
      <c r="C2542">
        <v>4</v>
      </c>
      <c r="E2542">
        <v>3</v>
      </c>
      <c r="F2542" t="str">
        <f t="shared" si="39"/>
        <v>F829G4T3</v>
      </c>
      <c r="G2542" s="14" t="s">
        <v>326</v>
      </c>
    </row>
    <row r="2543" spans="1:7">
      <c r="A2543">
        <v>83</v>
      </c>
      <c r="B2543">
        <v>9</v>
      </c>
      <c r="C2543">
        <v>4</v>
      </c>
      <c r="E2543">
        <v>3</v>
      </c>
      <c r="F2543" t="str">
        <f t="shared" si="39"/>
        <v>F839G4T3</v>
      </c>
      <c r="G2543" s="14" t="s">
        <v>326</v>
      </c>
    </row>
    <row r="2544" spans="1:7">
      <c r="A2544">
        <v>91</v>
      </c>
      <c r="B2544">
        <v>9</v>
      </c>
      <c r="C2544">
        <v>4</v>
      </c>
      <c r="E2544">
        <v>3</v>
      </c>
      <c r="F2544" t="str">
        <f t="shared" si="39"/>
        <v>F919G4T3</v>
      </c>
      <c r="G2544" s="14" t="s">
        <v>326</v>
      </c>
    </row>
    <row r="2545" spans="1:7">
      <c r="A2545">
        <v>94</v>
      </c>
      <c r="B2545">
        <v>9</v>
      </c>
      <c r="C2545">
        <v>4</v>
      </c>
      <c r="E2545">
        <v>3</v>
      </c>
      <c r="F2545" t="str">
        <f t="shared" si="39"/>
        <v>F949G4T3</v>
      </c>
      <c r="G2545" s="14" t="s">
        <v>326</v>
      </c>
    </row>
    <row r="2546" spans="1:7">
      <c r="A2546">
        <v>10</v>
      </c>
      <c r="B2546">
        <v>9</v>
      </c>
      <c r="C2546">
        <v>1</v>
      </c>
      <c r="E2546">
        <v>3</v>
      </c>
      <c r="F2546" t="str">
        <f t="shared" si="39"/>
        <v>F109G1T3</v>
      </c>
      <c r="G2546" s="14" t="s">
        <v>326</v>
      </c>
    </row>
    <row r="2547" spans="1:7">
      <c r="A2547">
        <v>13</v>
      </c>
      <c r="B2547">
        <v>9</v>
      </c>
      <c r="C2547">
        <v>1</v>
      </c>
      <c r="E2547">
        <v>3</v>
      </c>
      <c r="F2547" t="str">
        <f t="shared" si="39"/>
        <v>F139G1T3</v>
      </c>
      <c r="G2547" s="14" t="s">
        <v>326</v>
      </c>
    </row>
    <row r="2548" spans="1:7">
      <c r="A2548">
        <v>15</v>
      </c>
      <c r="B2548">
        <v>9</v>
      </c>
      <c r="C2548">
        <v>1</v>
      </c>
      <c r="E2548">
        <v>3</v>
      </c>
      <c r="F2548" t="str">
        <f t="shared" si="39"/>
        <v>F159G1T3</v>
      </c>
      <c r="G2548" s="14" t="s">
        <v>326</v>
      </c>
    </row>
    <row r="2549" spans="1:7">
      <c r="A2549">
        <v>26</v>
      </c>
      <c r="B2549">
        <v>9</v>
      </c>
      <c r="C2549">
        <v>1</v>
      </c>
      <c r="E2549">
        <v>3</v>
      </c>
      <c r="F2549" t="str">
        <f t="shared" si="39"/>
        <v>F269G1T3</v>
      </c>
      <c r="G2549" s="14" t="s">
        <v>326</v>
      </c>
    </row>
    <row r="2550" spans="1:7">
      <c r="A2550">
        <v>27</v>
      </c>
      <c r="B2550">
        <v>9</v>
      </c>
      <c r="C2550">
        <v>1</v>
      </c>
      <c r="E2550">
        <v>3</v>
      </c>
      <c r="F2550" t="str">
        <f t="shared" si="39"/>
        <v>F279G1T3</v>
      </c>
      <c r="G2550" s="14" t="s">
        <v>326</v>
      </c>
    </row>
    <row r="2551" spans="1:7">
      <c r="A2551">
        <v>29</v>
      </c>
      <c r="B2551">
        <v>9</v>
      </c>
      <c r="C2551">
        <v>1</v>
      </c>
      <c r="E2551">
        <v>3</v>
      </c>
      <c r="F2551" t="str">
        <f t="shared" si="39"/>
        <v>F299G1T3</v>
      </c>
      <c r="G2551" s="14" t="s">
        <v>326</v>
      </c>
    </row>
    <row r="2552" spans="1:7">
      <c r="A2552">
        <v>31</v>
      </c>
      <c r="B2552">
        <v>9</v>
      </c>
      <c r="C2552">
        <v>1</v>
      </c>
      <c r="E2552">
        <v>3</v>
      </c>
      <c r="F2552" t="str">
        <f t="shared" si="39"/>
        <v>F319G1T3</v>
      </c>
      <c r="G2552" s="14" t="s">
        <v>326</v>
      </c>
    </row>
    <row r="2553" spans="1:7">
      <c r="A2553">
        <v>32</v>
      </c>
      <c r="B2553">
        <v>9</v>
      </c>
      <c r="C2553">
        <v>1</v>
      </c>
      <c r="E2553">
        <v>3</v>
      </c>
      <c r="F2553" t="str">
        <f t="shared" si="39"/>
        <v>F329G1T3</v>
      </c>
      <c r="G2553" s="14" t="s">
        <v>326</v>
      </c>
    </row>
    <row r="2554" spans="1:7">
      <c r="A2554">
        <v>33</v>
      </c>
      <c r="B2554">
        <v>9</v>
      </c>
      <c r="C2554">
        <v>1</v>
      </c>
      <c r="E2554">
        <v>3</v>
      </c>
      <c r="F2554" t="str">
        <f t="shared" si="39"/>
        <v>F339G1T3</v>
      </c>
      <c r="G2554" s="14" t="s">
        <v>326</v>
      </c>
    </row>
    <row r="2555" spans="1:7">
      <c r="A2555">
        <v>39</v>
      </c>
      <c r="B2555">
        <v>9</v>
      </c>
      <c r="C2555">
        <v>1</v>
      </c>
      <c r="E2555">
        <v>3</v>
      </c>
      <c r="F2555" t="str">
        <f t="shared" si="39"/>
        <v>F399G1T3</v>
      </c>
      <c r="G2555" s="14" t="s">
        <v>326</v>
      </c>
    </row>
    <row r="2556" spans="1:7">
      <c r="A2556">
        <v>45</v>
      </c>
      <c r="B2556">
        <v>9</v>
      </c>
      <c r="C2556">
        <v>1</v>
      </c>
      <c r="E2556">
        <v>3</v>
      </c>
      <c r="F2556" t="str">
        <f t="shared" si="39"/>
        <v>F459G1T3</v>
      </c>
      <c r="G2556" s="14" t="s">
        <v>326</v>
      </c>
    </row>
    <row r="2557" spans="1:7">
      <c r="A2557">
        <v>47</v>
      </c>
      <c r="B2557">
        <v>9</v>
      </c>
      <c r="C2557">
        <v>1</v>
      </c>
      <c r="E2557">
        <v>3</v>
      </c>
      <c r="F2557" t="str">
        <f t="shared" si="39"/>
        <v>F479G1T3</v>
      </c>
      <c r="G2557" s="14" t="s">
        <v>326</v>
      </c>
    </row>
    <row r="2558" spans="1:7">
      <c r="A2558">
        <v>49</v>
      </c>
      <c r="B2558">
        <v>9</v>
      </c>
      <c r="C2558">
        <v>1</v>
      </c>
      <c r="E2558">
        <v>3</v>
      </c>
      <c r="F2558" t="str">
        <f t="shared" si="39"/>
        <v>F499G1T3</v>
      </c>
      <c r="G2558" s="14" t="s">
        <v>326</v>
      </c>
    </row>
    <row r="2559" spans="1:7">
      <c r="A2559">
        <v>50</v>
      </c>
      <c r="B2559">
        <v>9</v>
      </c>
      <c r="C2559">
        <v>1</v>
      </c>
      <c r="E2559">
        <v>3</v>
      </c>
      <c r="F2559" t="str">
        <f t="shared" si="39"/>
        <v>F509G1T3</v>
      </c>
      <c r="G2559" s="14" t="s">
        <v>326</v>
      </c>
    </row>
    <row r="2560" spans="1:7">
      <c r="A2560">
        <v>52</v>
      </c>
      <c r="B2560">
        <v>9</v>
      </c>
      <c r="C2560">
        <v>1</v>
      </c>
      <c r="E2560">
        <v>3</v>
      </c>
      <c r="F2560" t="str">
        <f t="shared" si="39"/>
        <v>F529G1T3</v>
      </c>
      <c r="G2560" s="14" t="s">
        <v>326</v>
      </c>
    </row>
    <row r="2561" spans="1:7">
      <c r="A2561">
        <v>54</v>
      </c>
      <c r="B2561">
        <v>9</v>
      </c>
      <c r="C2561">
        <v>1</v>
      </c>
      <c r="E2561">
        <v>3</v>
      </c>
      <c r="F2561" t="str">
        <f t="shared" si="39"/>
        <v>F549G1T3</v>
      </c>
      <c r="G2561" s="14" t="s">
        <v>326</v>
      </c>
    </row>
    <row r="2562" spans="1:7">
      <c r="A2562">
        <v>59</v>
      </c>
      <c r="B2562">
        <v>9</v>
      </c>
      <c r="C2562">
        <v>1</v>
      </c>
      <c r="E2562">
        <v>3</v>
      </c>
      <c r="F2562" t="str">
        <f t="shared" si="39"/>
        <v>F599G1T3</v>
      </c>
      <c r="G2562" s="14" t="s">
        <v>326</v>
      </c>
    </row>
    <row r="2563" spans="1:7">
      <c r="A2563">
        <v>60</v>
      </c>
      <c r="B2563">
        <v>9</v>
      </c>
      <c r="C2563">
        <v>1</v>
      </c>
      <c r="E2563">
        <v>3</v>
      </c>
      <c r="F2563" t="str">
        <f t="shared" ref="F2563:F2626" si="40">CONCATENATE("F",A2563,B2563,"G",C2563,"T",E2563)</f>
        <v>F609G1T3</v>
      </c>
      <c r="G2563" s="14" t="s">
        <v>326</v>
      </c>
    </row>
    <row r="2564" spans="1:7">
      <c r="A2564">
        <v>61</v>
      </c>
      <c r="B2564">
        <v>9</v>
      </c>
      <c r="C2564">
        <v>1</v>
      </c>
      <c r="E2564">
        <v>3</v>
      </c>
      <c r="F2564" t="str">
        <f t="shared" si="40"/>
        <v>F619G1T3</v>
      </c>
      <c r="G2564" s="14" t="s">
        <v>326</v>
      </c>
    </row>
    <row r="2565" spans="1:7">
      <c r="A2565">
        <v>71</v>
      </c>
      <c r="B2565">
        <v>9</v>
      </c>
      <c r="C2565">
        <v>1</v>
      </c>
      <c r="E2565">
        <v>3</v>
      </c>
      <c r="F2565" t="str">
        <f t="shared" si="40"/>
        <v>F719G1T3</v>
      </c>
      <c r="G2565" s="14" t="s">
        <v>326</v>
      </c>
    </row>
    <row r="2566" spans="1:7">
      <c r="A2566">
        <v>72</v>
      </c>
      <c r="B2566">
        <v>9</v>
      </c>
      <c r="C2566">
        <v>1</v>
      </c>
      <c r="E2566">
        <v>3</v>
      </c>
      <c r="F2566" t="str">
        <f t="shared" si="40"/>
        <v>F729G1T3</v>
      </c>
      <c r="G2566" s="14" t="s">
        <v>326</v>
      </c>
    </row>
    <row r="2567" spans="1:7">
      <c r="A2567">
        <v>82</v>
      </c>
      <c r="B2567">
        <v>9</v>
      </c>
      <c r="C2567">
        <v>1</v>
      </c>
      <c r="E2567">
        <v>3</v>
      </c>
      <c r="F2567" t="str">
        <f t="shared" si="40"/>
        <v>F829G1T3</v>
      </c>
      <c r="G2567" s="14" t="s">
        <v>326</v>
      </c>
    </row>
    <row r="2568" spans="1:7">
      <c r="A2568">
        <v>83</v>
      </c>
      <c r="B2568">
        <v>9</v>
      </c>
      <c r="C2568">
        <v>1</v>
      </c>
      <c r="E2568">
        <v>3</v>
      </c>
      <c r="F2568" t="str">
        <f t="shared" si="40"/>
        <v>F839G1T3</v>
      </c>
      <c r="G2568" s="14" t="s">
        <v>326</v>
      </c>
    </row>
    <row r="2569" spans="1:7">
      <c r="A2569">
        <v>91</v>
      </c>
      <c r="B2569">
        <v>9</v>
      </c>
      <c r="C2569">
        <v>1</v>
      </c>
      <c r="E2569">
        <v>3</v>
      </c>
      <c r="F2569" t="str">
        <f t="shared" si="40"/>
        <v>F919G1T3</v>
      </c>
      <c r="G2569" s="14" t="s">
        <v>326</v>
      </c>
    </row>
    <row r="2570" spans="1:7">
      <c r="A2570">
        <v>94</v>
      </c>
      <c r="B2570">
        <v>9</v>
      </c>
      <c r="C2570">
        <v>1</v>
      </c>
      <c r="E2570">
        <v>3</v>
      </c>
      <c r="F2570" t="str">
        <f t="shared" si="40"/>
        <v>F949G1T3</v>
      </c>
      <c r="G2570" s="14" t="s">
        <v>326</v>
      </c>
    </row>
    <row r="2571" spans="1:7">
      <c r="A2571">
        <v>10</v>
      </c>
      <c r="B2571">
        <v>9</v>
      </c>
      <c r="C2571">
        <v>3</v>
      </c>
      <c r="E2571">
        <v>2</v>
      </c>
      <c r="F2571" t="str">
        <f t="shared" si="40"/>
        <v>F109G3T2</v>
      </c>
      <c r="G2571" s="14">
        <v>18</v>
      </c>
    </row>
    <row r="2572" spans="1:7">
      <c r="A2572">
        <v>13</v>
      </c>
      <c r="B2572">
        <v>9</v>
      </c>
      <c r="C2572">
        <v>3</v>
      </c>
      <c r="E2572">
        <v>2</v>
      </c>
      <c r="F2572" t="str">
        <f t="shared" si="40"/>
        <v>F139G3T2</v>
      </c>
      <c r="G2572" s="14">
        <v>18</v>
      </c>
    </row>
    <row r="2573" spans="1:7">
      <c r="A2573">
        <v>15</v>
      </c>
      <c r="B2573">
        <v>9</v>
      </c>
      <c r="C2573">
        <v>3</v>
      </c>
      <c r="E2573">
        <v>2</v>
      </c>
      <c r="F2573" t="str">
        <f t="shared" si="40"/>
        <v>F159G3T2</v>
      </c>
      <c r="G2573" s="14">
        <v>18</v>
      </c>
    </row>
    <row r="2574" spans="1:7">
      <c r="A2574">
        <v>26</v>
      </c>
      <c r="B2574">
        <v>9</v>
      </c>
      <c r="C2574">
        <v>3</v>
      </c>
      <c r="E2574">
        <v>2</v>
      </c>
      <c r="F2574" t="str">
        <f t="shared" si="40"/>
        <v>F269G3T2</v>
      </c>
      <c r="G2574" s="14">
        <v>18</v>
      </c>
    </row>
    <row r="2575" spans="1:7">
      <c r="A2575">
        <v>27</v>
      </c>
      <c r="B2575">
        <v>9</v>
      </c>
      <c r="C2575">
        <v>3</v>
      </c>
      <c r="E2575">
        <v>2</v>
      </c>
      <c r="F2575" t="str">
        <f t="shared" si="40"/>
        <v>F279G3T2</v>
      </c>
      <c r="G2575" s="14">
        <v>18</v>
      </c>
    </row>
    <row r="2576" spans="1:7">
      <c r="A2576">
        <v>29</v>
      </c>
      <c r="B2576">
        <v>9</v>
      </c>
      <c r="C2576">
        <v>3</v>
      </c>
      <c r="E2576">
        <v>2</v>
      </c>
      <c r="F2576" t="str">
        <f t="shared" si="40"/>
        <v>F299G3T2</v>
      </c>
      <c r="G2576" s="14">
        <v>18</v>
      </c>
    </row>
    <row r="2577" spans="1:7">
      <c r="A2577">
        <v>31</v>
      </c>
      <c r="B2577">
        <v>9</v>
      </c>
      <c r="C2577">
        <v>3</v>
      </c>
      <c r="E2577">
        <v>2</v>
      </c>
      <c r="F2577" t="str">
        <f t="shared" si="40"/>
        <v>F319G3T2</v>
      </c>
      <c r="G2577" s="14">
        <v>18</v>
      </c>
    </row>
    <row r="2578" spans="1:7">
      <c r="A2578">
        <v>32</v>
      </c>
      <c r="B2578">
        <v>9</v>
      </c>
      <c r="C2578">
        <v>3</v>
      </c>
      <c r="E2578">
        <v>2</v>
      </c>
      <c r="F2578" t="str">
        <f t="shared" si="40"/>
        <v>F329G3T2</v>
      </c>
      <c r="G2578" s="14">
        <v>18</v>
      </c>
    </row>
    <row r="2579" spans="1:7">
      <c r="A2579">
        <v>33</v>
      </c>
      <c r="B2579">
        <v>9</v>
      </c>
      <c r="C2579">
        <v>3</v>
      </c>
      <c r="E2579">
        <v>2</v>
      </c>
      <c r="F2579" t="str">
        <f t="shared" si="40"/>
        <v>F339G3T2</v>
      </c>
      <c r="G2579" s="14">
        <v>18</v>
      </c>
    </row>
    <row r="2580" spans="1:7">
      <c r="A2580">
        <v>39</v>
      </c>
      <c r="B2580">
        <v>9</v>
      </c>
      <c r="C2580">
        <v>3</v>
      </c>
      <c r="E2580">
        <v>2</v>
      </c>
      <c r="F2580" t="str">
        <f t="shared" si="40"/>
        <v>F399G3T2</v>
      </c>
      <c r="G2580" s="14">
        <v>18</v>
      </c>
    </row>
    <row r="2581" spans="1:7">
      <c r="A2581">
        <v>45</v>
      </c>
      <c r="B2581">
        <v>9</v>
      </c>
      <c r="C2581">
        <v>3</v>
      </c>
      <c r="E2581">
        <v>2</v>
      </c>
      <c r="F2581" t="str">
        <f t="shared" si="40"/>
        <v>F459G3T2</v>
      </c>
      <c r="G2581" s="14">
        <v>18</v>
      </c>
    </row>
    <row r="2582" spans="1:7">
      <c r="A2582">
        <v>47</v>
      </c>
      <c r="B2582">
        <v>9</v>
      </c>
      <c r="C2582">
        <v>3</v>
      </c>
      <c r="E2582">
        <v>2</v>
      </c>
      <c r="F2582" t="str">
        <f t="shared" si="40"/>
        <v>F479G3T2</v>
      </c>
      <c r="G2582" s="14">
        <v>18</v>
      </c>
    </row>
    <row r="2583" spans="1:7">
      <c r="A2583">
        <v>49</v>
      </c>
      <c r="B2583">
        <v>9</v>
      </c>
      <c r="C2583">
        <v>3</v>
      </c>
      <c r="E2583">
        <v>2</v>
      </c>
      <c r="F2583" t="str">
        <f t="shared" si="40"/>
        <v>F499G3T2</v>
      </c>
      <c r="G2583" s="14">
        <v>18</v>
      </c>
    </row>
    <row r="2584" spans="1:7">
      <c r="A2584">
        <v>50</v>
      </c>
      <c r="B2584">
        <v>9</v>
      </c>
      <c r="C2584">
        <v>3</v>
      </c>
      <c r="E2584">
        <v>2</v>
      </c>
      <c r="F2584" t="str">
        <f t="shared" si="40"/>
        <v>F509G3T2</v>
      </c>
      <c r="G2584" s="14">
        <v>18</v>
      </c>
    </row>
    <row r="2585" spans="1:7">
      <c r="A2585">
        <v>52</v>
      </c>
      <c r="B2585">
        <v>9</v>
      </c>
      <c r="C2585">
        <v>3</v>
      </c>
      <c r="E2585">
        <v>2</v>
      </c>
      <c r="F2585" t="str">
        <f t="shared" si="40"/>
        <v>F529G3T2</v>
      </c>
      <c r="G2585" s="14">
        <v>18</v>
      </c>
    </row>
    <row r="2586" spans="1:7">
      <c r="A2586">
        <v>54</v>
      </c>
      <c r="B2586">
        <v>9</v>
      </c>
      <c r="C2586">
        <v>3</v>
      </c>
      <c r="E2586">
        <v>2</v>
      </c>
      <c r="F2586" t="str">
        <f t="shared" si="40"/>
        <v>F549G3T2</v>
      </c>
      <c r="G2586" s="14">
        <v>18</v>
      </c>
    </row>
    <row r="2587" spans="1:7">
      <c r="A2587">
        <v>59</v>
      </c>
      <c r="B2587">
        <v>9</v>
      </c>
      <c r="C2587">
        <v>3</v>
      </c>
      <c r="E2587">
        <v>2</v>
      </c>
      <c r="F2587" t="str">
        <f t="shared" si="40"/>
        <v>F599G3T2</v>
      </c>
      <c r="G2587" s="14">
        <v>18</v>
      </c>
    </row>
    <row r="2588" spans="1:7">
      <c r="A2588">
        <v>60</v>
      </c>
      <c r="B2588">
        <v>9</v>
      </c>
      <c r="C2588">
        <v>3</v>
      </c>
      <c r="E2588">
        <v>2</v>
      </c>
      <c r="F2588" t="str">
        <f t="shared" si="40"/>
        <v>F609G3T2</v>
      </c>
      <c r="G2588" s="14">
        <v>18</v>
      </c>
    </row>
    <row r="2589" spans="1:7">
      <c r="A2589">
        <v>61</v>
      </c>
      <c r="B2589">
        <v>9</v>
      </c>
      <c r="C2589">
        <v>3</v>
      </c>
      <c r="E2589">
        <v>2</v>
      </c>
      <c r="F2589" t="str">
        <f t="shared" si="40"/>
        <v>F619G3T2</v>
      </c>
      <c r="G2589" s="14">
        <v>18</v>
      </c>
    </row>
    <row r="2590" spans="1:7">
      <c r="A2590">
        <v>71</v>
      </c>
      <c r="B2590">
        <v>9</v>
      </c>
      <c r="C2590">
        <v>3</v>
      </c>
      <c r="E2590">
        <v>2</v>
      </c>
      <c r="F2590" t="str">
        <f t="shared" si="40"/>
        <v>F719G3T2</v>
      </c>
      <c r="G2590" s="14">
        <v>18</v>
      </c>
    </row>
    <row r="2591" spans="1:7">
      <c r="A2591">
        <v>72</v>
      </c>
      <c r="B2591">
        <v>9</v>
      </c>
      <c r="C2591">
        <v>3</v>
      </c>
      <c r="E2591">
        <v>2</v>
      </c>
      <c r="F2591" t="str">
        <f t="shared" si="40"/>
        <v>F729G3T2</v>
      </c>
      <c r="G2591" s="14">
        <v>18</v>
      </c>
    </row>
    <row r="2592" spans="1:7">
      <c r="A2592">
        <v>82</v>
      </c>
      <c r="B2592">
        <v>9</v>
      </c>
      <c r="C2592">
        <v>3</v>
      </c>
      <c r="E2592">
        <v>2</v>
      </c>
      <c r="F2592" t="str">
        <f t="shared" si="40"/>
        <v>F829G3T2</v>
      </c>
      <c r="G2592" s="14">
        <v>18</v>
      </c>
    </row>
    <row r="2593" spans="1:7">
      <c r="A2593">
        <v>83</v>
      </c>
      <c r="B2593">
        <v>9</v>
      </c>
      <c r="C2593">
        <v>3</v>
      </c>
      <c r="E2593">
        <v>2</v>
      </c>
      <c r="F2593" t="str">
        <f t="shared" si="40"/>
        <v>F839G3T2</v>
      </c>
      <c r="G2593" s="14">
        <v>18</v>
      </c>
    </row>
    <row r="2594" spans="1:7">
      <c r="A2594">
        <v>91</v>
      </c>
      <c r="B2594">
        <v>9</v>
      </c>
      <c r="C2594">
        <v>3</v>
      </c>
      <c r="E2594">
        <v>2</v>
      </c>
      <c r="F2594" t="str">
        <f t="shared" si="40"/>
        <v>F919G3T2</v>
      </c>
      <c r="G2594" s="14">
        <v>18</v>
      </c>
    </row>
    <row r="2595" spans="1:7">
      <c r="A2595">
        <v>94</v>
      </c>
      <c r="B2595">
        <v>9</v>
      </c>
      <c r="C2595">
        <v>3</v>
      </c>
      <c r="E2595">
        <v>2</v>
      </c>
      <c r="F2595" t="str">
        <f t="shared" si="40"/>
        <v>F949G3T2</v>
      </c>
      <c r="G2595" s="14">
        <v>18</v>
      </c>
    </row>
    <row r="2596" spans="1:7">
      <c r="A2596">
        <v>10</v>
      </c>
      <c r="B2596">
        <v>9</v>
      </c>
      <c r="C2596">
        <v>4</v>
      </c>
      <c r="E2596">
        <v>2</v>
      </c>
      <c r="F2596" t="str">
        <f t="shared" si="40"/>
        <v>F109G4T2</v>
      </c>
      <c r="G2596" s="14">
        <v>18</v>
      </c>
    </row>
    <row r="2597" spans="1:7">
      <c r="A2597">
        <v>13</v>
      </c>
      <c r="B2597">
        <v>9</v>
      </c>
      <c r="C2597">
        <v>4</v>
      </c>
      <c r="E2597">
        <v>2</v>
      </c>
      <c r="F2597" t="str">
        <f t="shared" si="40"/>
        <v>F139G4T2</v>
      </c>
      <c r="G2597" s="14">
        <v>18</v>
      </c>
    </row>
    <row r="2598" spans="1:7">
      <c r="A2598">
        <v>15</v>
      </c>
      <c r="B2598">
        <v>9</v>
      </c>
      <c r="C2598">
        <v>4</v>
      </c>
      <c r="E2598">
        <v>2</v>
      </c>
      <c r="F2598" t="str">
        <f t="shared" si="40"/>
        <v>F159G4T2</v>
      </c>
      <c r="G2598" s="14">
        <v>18</v>
      </c>
    </row>
    <row r="2599" spans="1:7">
      <c r="A2599">
        <v>26</v>
      </c>
      <c r="B2599">
        <v>9</v>
      </c>
      <c r="C2599">
        <v>4</v>
      </c>
      <c r="E2599">
        <v>2</v>
      </c>
      <c r="F2599" t="str">
        <f t="shared" si="40"/>
        <v>F269G4T2</v>
      </c>
      <c r="G2599" s="14">
        <v>18</v>
      </c>
    </row>
    <row r="2600" spans="1:7">
      <c r="A2600">
        <v>27</v>
      </c>
      <c r="B2600">
        <v>9</v>
      </c>
      <c r="C2600">
        <v>4</v>
      </c>
      <c r="E2600">
        <v>2</v>
      </c>
      <c r="F2600" t="str">
        <f t="shared" si="40"/>
        <v>F279G4T2</v>
      </c>
      <c r="G2600" s="14">
        <v>18</v>
      </c>
    </row>
    <row r="2601" spans="1:7">
      <c r="A2601">
        <v>29</v>
      </c>
      <c r="B2601">
        <v>9</v>
      </c>
      <c r="C2601">
        <v>4</v>
      </c>
      <c r="E2601">
        <v>2</v>
      </c>
      <c r="F2601" t="str">
        <f t="shared" si="40"/>
        <v>F299G4T2</v>
      </c>
      <c r="G2601" s="14">
        <v>18</v>
      </c>
    </row>
    <row r="2602" spans="1:7">
      <c r="A2602">
        <v>31</v>
      </c>
      <c r="B2602">
        <v>9</v>
      </c>
      <c r="C2602">
        <v>4</v>
      </c>
      <c r="E2602">
        <v>2</v>
      </c>
      <c r="F2602" t="str">
        <f t="shared" si="40"/>
        <v>F319G4T2</v>
      </c>
      <c r="G2602" s="14">
        <v>18</v>
      </c>
    </row>
    <row r="2603" spans="1:7">
      <c r="A2603">
        <v>32</v>
      </c>
      <c r="B2603">
        <v>9</v>
      </c>
      <c r="C2603">
        <v>4</v>
      </c>
      <c r="E2603">
        <v>2</v>
      </c>
      <c r="F2603" t="str">
        <f t="shared" si="40"/>
        <v>F329G4T2</v>
      </c>
      <c r="G2603" s="14">
        <v>18</v>
      </c>
    </row>
    <row r="2604" spans="1:7">
      <c r="A2604">
        <v>33</v>
      </c>
      <c r="B2604">
        <v>9</v>
      </c>
      <c r="C2604">
        <v>4</v>
      </c>
      <c r="E2604">
        <v>2</v>
      </c>
      <c r="F2604" t="str">
        <f t="shared" si="40"/>
        <v>F339G4T2</v>
      </c>
      <c r="G2604" s="14">
        <v>18</v>
      </c>
    </row>
    <row r="2605" spans="1:7">
      <c r="A2605">
        <v>39</v>
      </c>
      <c r="B2605">
        <v>9</v>
      </c>
      <c r="C2605">
        <v>4</v>
      </c>
      <c r="E2605">
        <v>2</v>
      </c>
      <c r="F2605" t="str">
        <f t="shared" si="40"/>
        <v>F399G4T2</v>
      </c>
      <c r="G2605" s="14">
        <v>18</v>
      </c>
    </row>
    <row r="2606" spans="1:7">
      <c r="A2606">
        <v>45</v>
      </c>
      <c r="B2606">
        <v>9</v>
      </c>
      <c r="C2606">
        <v>4</v>
      </c>
      <c r="E2606">
        <v>2</v>
      </c>
      <c r="F2606" t="str">
        <f t="shared" si="40"/>
        <v>F459G4T2</v>
      </c>
      <c r="G2606" s="14">
        <v>18</v>
      </c>
    </row>
    <row r="2607" spans="1:7">
      <c r="A2607">
        <v>47</v>
      </c>
      <c r="B2607">
        <v>9</v>
      </c>
      <c r="C2607">
        <v>4</v>
      </c>
      <c r="E2607">
        <v>2</v>
      </c>
      <c r="F2607" t="str">
        <f t="shared" si="40"/>
        <v>F479G4T2</v>
      </c>
      <c r="G2607" s="14">
        <v>18</v>
      </c>
    </row>
    <row r="2608" spans="1:7">
      <c r="A2608">
        <v>49</v>
      </c>
      <c r="B2608">
        <v>9</v>
      </c>
      <c r="C2608">
        <v>4</v>
      </c>
      <c r="E2608">
        <v>2</v>
      </c>
      <c r="F2608" t="str">
        <f t="shared" si="40"/>
        <v>F499G4T2</v>
      </c>
      <c r="G2608" s="14">
        <v>18</v>
      </c>
    </row>
    <row r="2609" spans="1:7">
      <c r="A2609">
        <v>50</v>
      </c>
      <c r="B2609">
        <v>9</v>
      </c>
      <c r="C2609">
        <v>4</v>
      </c>
      <c r="E2609">
        <v>2</v>
      </c>
      <c r="F2609" t="str">
        <f t="shared" si="40"/>
        <v>F509G4T2</v>
      </c>
      <c r="G2609" s="14">
        <v>18</v>
      </c>
    </row>
    <row r="2610" spans="1:7">
      <c r="A2610">
        <v>52</v>
      </c>
      <c r="B2610">
        <v>9</v>
      </c>
      <c r="C2610">
        <v>4</v>
      </c>
      <c r="E2610">
        <v>2</v>
      </c>
      <c r="F2610" t="str">
        <f t="shared" si="40"/>
        <v>F529G4T2</v>
      </c>
      <c r="G2610" s="14">
        <v>18</v>
      </c>
    </row>
    <row r="2611" spans="1:7">
      <c r="A2611">
        <v>54</v>
      </c>
      <c r="B2611">
        <v>9</v>
      </c>
      <c r="C2611">
        <v>4</v>
      </c>
      <c r="E2611">
        <v>2</v>
      </c>
      <c r="F2611" t="str">
        <f t="shared" si="40"/>
        <v>F549G4T2</v>
      </c>
      <c r="G2611" s="14">
        <v>18</v>
      </c>
    </row>
    <row r="2612" spans="1:7">
      <c r="A2612">
        <v>59</v>
      </c>
      <c r="B2612">
        <v>9</v>
      </c>
      <c r="C2612">
        <v>4</v>
      </c>
      <c r="E2612">
        <v>2</v>
      </c>
      <c r="F2612" t="str">
        <f t="shared" si="40"/>
        <v>F599G4T2</v>
      </c>
      <c r="G2612" s="14">
        <v>18</v>
      </c>
    </row>
    <row r="2613" spans="1:7">
      <c r="A2613">
        <v>60</v>
      </c>
      <c r="B2613">
        <v>9</v>
      </c>
      <c r="C2613">
        <v>4</v>
      </c>
      <c r="E2613">
        <v>2</v>
      </c>
      <c r="F2613" t="str">
        <f t="shared" si="40"/>
        <v>F609G4T2</v>
      </c>
      <c r="G2613" s="14">
        <v>18</v>
      </c>
    </row>
    <row r="2614" spans="1:7">
      <c r="A2614">
        <v>61</v>
      </c>
      <c r="B2614">
        <v>9</v>
      </c>
      <c r="C2614">
        <v>4</v>
      </c>
      <c r="E2614">
        <v>2</v>
      </c>
      <c r="F2614" t="str">
        <f t="shared" si="40"/>
        <v>F619G4T2</v>
      </c>
      <c r="G2614" s="14">
        <v>18</v>
      </c>
    </row>
    <row r="2615" spans="1:7">
      <c r="A2615">
        <v>71</v>
      </c>
      <c r="B2615">
        <v>9</v>
      </c>
      <c r="C2615">
        <v>4</v>
      </c>
      <c r="E2615">
        <v>2</v>
      </c>
      <c r="F2615" t="str">
        <f t="shared" si="40"/>
        <v>F719G4T2</v>
      </c>
      <c r="G2615" s="14">
        <v>18</v>
      </c>
    </row>
    <row r="2616" spans="1:7">
      <c r="A2616">
        <v>72</v>
      </c>
      <c r="B2616">
        <v>9</v>
      </c>
      <c r="C2616">
        <v>4</v>
      </c>
      <c r="E2616">
        <v>2</v>
      </c>
      <c r="F2616" t="str">
        <f t="shared" si="40"/>
        <v>F729G4T2</v>
      </c>
      <c r="G2616" s="14">
        <v>18</v>
      </c>
    </row>
    <row r="2617" spans="1:7">
      <c r="A2617">
        <v>82</v>
      </c>
      <c r="B2617">
        <v>9</v>
      </c>
      <c r="C2617">
        <v>4</v>
      </c>
      <c r="E2617">
        <v>2</v>
      </c>
      <c r="F2617" t="str">
        <f t="shared" si="40"/>
        <v>F829G4T2</v>
      </c>
      <c r="G2617" s="14">
        <v>18</v>
      </c>
    </row>
    <row r="2618" spans="1:7">
      <c r="A2618">
        <v>83</v>
      </c>
      <c r="B2618">
        <v>9</v>
      </c>
      <c r="C2618">
        <v>4</v>
      </c>
      <c r="E2618">
        <v>2</v>
      </c>
      <c r="F2618" t="str">
        <f t="shared" si="40"/>
        <v>F839G4T2</v>
      </c>
      <c r="G2618" s="14">
        <v>18</v>
      </c>
    </row>
    <row r="2619" spans="1:7">
      <c r="A2619">
        <v>91</v>
      </c>
      <c r="B2619">
        <v>9</v>
      </c>
      <c r="C2619">
        <v>4</v>
      </c>
      <c r="E2619">
        <v>2</v>
      </c>
      <c r="F2619" t="str">
        <f t="shared" si="40"/>
        <v>F919G4T2</v>
      </c>
      <c r="G2619" s="14">
        <v>18</v>
      </c>
    </row>
    <row r="2620" spans="1:7">
      <c r="A2620">
        <v>94</v>
      </c>
      <c r="B2620">
        <v>9</v>
      </c>
      <c r="C2620">
        <v>4</v>
      </c>
      <c r="E2620">
        <v>2</v>
      </c>
      <c r="F2620" t="str">
        <f t="shared" si="40"/>
        <v>F949G4T2</v>
      </c>
      <c r="G2620" s="14">
        <v>18</v>
      </c>
    </row>
    <row r="2621" spans="1:7">
      <c r="A2621">
        <v>10</v>
      </c>
      <c r="B2621">
        <v>9</v>
      </c>
      <c r="C2621">
        <v>1</v>
      </c>
      <c r="E2621">
        <v>2</v>
      </c>
      <c r="F2621" t="str">
        <f t="shared" si="40"/>
        <v>F109G1T2</v>
      </c>
      <c r="G2621" s="14">
        <v>18</v>
      </c>
    </row>
    <row r="2622" spans="1:7">
      <c r="A2622">
        <v>13</v>
      </c>
      <c r="B2622">
        <v>9</v>
      </c>
      <c r="C2622">
        <v>1</v>
      </c>
      <c r="E2622">
        <v>2</v>
      </c>
      <c r="F2622" t="str">
        <f t="shared" si="40"/>
        <v>F139G1T2</v>
      </c>
      <c r="G2622" s="14">
        <v>18</v>
      </c>
    </row>
    <row r="2623" spans="1:7">
      <c r="A2623">
        <v>15</v>
      </c>
      <c r="B2623">
        <v>9</v>
      </c>
      <c r="C2623">
        <v>1</v>
      </c>
      <c r="E2623">
        <v>2</v>
      </c>
      <c r="F2623" t="str">
        <f t="shared" si="40"/>
        <v>F159G1T2</v>
      </c>
      <c r="G2623" s="14">
        <v>18</v>
      </c>
    </row>
    <row r="2624" spans="1:7">
      <c r="A2624">
        <v>26</v>
      </c>
      <c r="B2624">
        <v>9</v>
      </c>
      <c r="C2624">
        <v>1</v>
      </c>
      <c r="E2624">
        <v>2</v>
      </c>
      <c r="F2624" t="str">
        <f t="shared" si="40"/>
        <v>F269G1T2</v>
      </c>
      <c r="G2624" s="14">
        <v>18</v>
      </c>
    </row>
    <row r="2625" spans="1:7">
      <c r="A2625">
        <v>27</v>
      </c>
      <c r="B2625">
        <v>9</v>
      </c>
      <c r="C2625">
        <v>1</v>
      </c>
      <c r="E2625">
        <v>2</v>
      </c>
      <c r="F2625" t="str">
        <f t="shared" si="40"/>
        <v>F279G1T2</v>
      </c>
      <c r="G2625" s="14">
        <v>18</v>
      </c>
    </row>
    <row r="2626" spans="1:7">
      <c r="A2626">
        <v>29</v>
      </c>
      <c r="B2626">
        <v>9</v>
      </c>
      <c r="C2626">
        <v>1</v>
      </c>
      <c r="E2626">
        <v>2</v>
      </c>
      <c r="F2626" t="str">
        <f t="shared" si="40"/>
        <v>F299G1T2</v>
      </c>
      <c r="G2626" s="14">
        <v>18</v>
      </c>
    </row>
    <row r="2627" spans="1:7">
      <c r="A2627">
        <v>31</v>
      </c>
      <c r="B2627">
        <v>9</v>
      </c>
      <c r="C2627">
        <v>1</v>
      </c>
      <c r="E2627">
        <v>2</v>
      </c>
      <c r="F2627" t="str">
        <f t="shared" ref="F2627:F2690" si="41">CONCATENATE("F",A2627,B2627,"G",C2627,"T",E2627)</f>
        <v>F319G1T2</v>
      </c>
      <c r="G2627" s="14">
        <v>18</v>
      </c>
    </row>
    <row r="2628" spans="1:7">
      <c r="A2628">
        <v>32</v>
      </c>
      <c r="B2628">
        <v>9</v>
      </c>
      <c r="C2628">
        <v>1</v>
      </c>
      <c r="E2628">
        <v>2</v>
      </c>
      <c r="F2628" t="str">
        <f t="shared" si="41"/>
        <v>F329G1T2</v>
      </c>
      <c r="G2628" s="14">
        <v>18</v>
      </c>
    </row>
    <row r="2629" spans="1:7">
      <c r="A2629">
        <v>33</v>
      </c>
      <c r="B2629">
        <v>9</v>
      </c>
      <c r="C2629">
        <v>1</v>
      </c>
      <c r="E2629">
        <v>2</v>
      </c>
      <c r="F2629" t="str">
        <f t="shared" si="41"/>
        <v>F339G1T2</v>
      </c>
      <c r="G2629" s="14">
        <v>18</v>
      </c>
    </row>
    <row r="2630" spans="1:7">
      <c r="A2630">
        <v>39</v>
      </c>
      <c r="B2630">
        <v>9</v>
      </c>
      <c r="C2630">
        <v>1</v>
      </c>
      <c r="E2630">
        <v>2</v>
      </c>
      <c r="F2630" t="str">
        <f t="shared" si="41"/>
        <v>F399G1T2</v>
      </c>
      <c r="G2630" s="14">
        <v>18</v>
      </c>
    </row>
    <row r="2631" spans="1:7">
      <c r="A2631">
        <v>45</v>
      </c>
      <c r="B2631">
        <v>9</v>
      </c>
      <c r="C2631">
        <v>1</v>
      </c>
      <c r="E2631">
        <v>2</v>
      </c>
      <c r="F2631" t="str">
        <f t="shared" si="41"/>
        <v>F459G1T2</v>
      </c>
      <c r="G2631" s="14">
        <v>18</v>
      </c>
    </row>
    <row r="2632" spans="1:7">
      <c r="A2632">
        <v>47</v>
      </c>
      <c r="B2632">
        <v>9</v>
      </c>
      <c r="C2632">
        <v>1</v>
      </c>
      <c r="E2632">
        <v>2</v>
      </c>
      <c r="F2632" t="str">
        <f t="shared" si="41"/>
        <v>F479G1T2</v>
      </c>
      <c r="G2632" s="14">
        <v>18</v>
      </c>
    </row>
    <row r="2633" spans="1:7">
      <c r="A2633">
        <v>49</v>
      </c>
      <c r="B2633">
        <v>9</v>
      </c>
      <c r="C2633">
        <v>1</v>
      </c>
      <c r="E2633">
        <v>2</v>
      </c>
      <c r="F2633" t="str">
        <f t="shared" si="41"/>
        <v>F499G1T2</v>
      </c>
      <c r="G2633" s="14">
        <v>18</v>
      </c>
    </row>
    <row r="2634" spans="1:7">
      <c r="A2634">
        <v>50</v>
      </c>
      <c r="B2634">
        <v>9</v>
      </c>
      <c r="C2634">
        <v>1</v>
      </c>
      <c r="E2634">
        <v>2</v>
      </c>
      <c r="F2634" t="str">
        <f t="shared" si="41"/>
        <v>F509G1T2</v>
      </c>
      <c r="G2634" s="14">
        <v>18</v>
      </c>
    </row>
    <row r="2635" spans="1:7">
      <c r="A2635">
        <v>52</v>
      </c>
      <c r="B2635">
        <v>9</v>
      </c>
      <c r="C2635">
        <v>1</v>
      </c>
      <c r="E2635">
        <v>2</v>
      </c>
      <c r="F2635" t="str">
        <f t="shared" si="41"/>
        <v>F529G1T2</v>
      </c>
      <c r="G2635" s="14">
        <v>18</v>
      </c>
    </row>
    <row r="2636" spans="1:7">
      <c r="A2636">
        <v>54</v>
      </c>
      <c r="B2636">
        <v>9</v>
      </c>
      <c r="C2636">
        <v>1</v>
      </c>
      <c r="E2636">
        <v>2</v>
      </c>
      <c r="F2636" t="str">
        <f t="shared" si="41"/>
        <v>F549G1T2</v>
      </c>
      <c r="G2636" s="14">
        <v>18</v>
      </c>
    </row>
    <row r="2637" spans="1:7">
      <c r="A2637">
        <v>59</v>
      </c>
      <c r="B2637">
        <v>9</v>
      </c>
      <c r="C2637">
        <v>1</v>
      </c>
      <c r="E2637">
        <v>2</v>
      </c>
      <c r="F2637" t="str">
        <f t="shared" si="41"/>
        <v>F599G1T2</v>
      </c>
      <c r="G2637" s="14">
        <v>18</v>
      </c>
    </row>
    <row r="2638" spans="1:7">
      <c r="A2638">
        <v>60</v>
      </c>
      <c r="B2638">
        <v>9</v>
      </c>
      <c r="C2638">
        <v>1</v>
      </c>
      <c r="E2638">
        <v>2</v>
      </c>
      <c r="F2638" t="str">
        <f t="shared" si="41"/>
        <v>F609G1T2</v>
      </c>
      <c r="G2638" s="14">
        <v>18</v>
      </c>
    </row>
    <row r="2639" spans="1:7">
      <c r="A2639">
        <v>61</v>
      </c>
      <c r="B2639">
        <v>9</v>
      </c>
      <c r="C2639">
        <v>1</v>
      </c>
      <c r="E2639">
        <v>2</v>
      </c>
      <c r="F2639" t="str">
        <f t="shared" si="41"/>
        <v>F619G1T2</v>
      </c>
      <c r="G2639" s="14">
        <v>18</v>
      </c>
    </row>
    <row r="2640" spans="1:7">
      <c r="A2640">
        <v>71</v>
      </c>
      <c r="B2640">
        <v>9</v>
      </c>
      <c r="C2640">
        <v>1</v>
      </c>
      <c r="E2640">
        <v>2</v>
      </c>
      <c r="F2640" t="str">
        <f t="shared" si="41"/>
        <v>F719G1T2</v>
      </c>
      <c r="G2640" s="14">
        <v>18</v>
      </c>
    </row>
    <row r="2641" spans="1:7">
      <c r="A2641">
        <v>72</v>
      </c>
      <c r="B2641">
        <v>9</v>
      </c>
      <c r="C2641">
        <v>1</v>
      </c>
      <c r="E2641">
        <v>2</v>
      </c>
      <c r="F2641" t="str">
        <f t="shared" si="41"/>
        <v>F729G1T2</v>
      </c>
      <c r="G2641" s="14">
        <v>18</v>
      </c>
    </row>
    <row r="2642" spans="1:7">
      <c r="A2642">
        <v>82</v>
      </c>
      <c r="B2642">
        <v>9</v>
      </c>
      <c r="C2642">
        <v>1</v>
      </c>
      <c r="E2642">
        <v>2</v>
      </c>
      <c r="F2642" t="str">
        <f t="shared" si="41"/>
        <v>F829G1T2</v>
      </c>
      <c r="G2642" s="14">
        <v>18</v>
      </c>
    </row>
    <row r="2643" spans="1:7">
      <c r="A2643">
        <v>83</v>
      </c>
      <c r="B2643">
        <v>9</v>
      </c>
      <c r="C2643">
        <v>1</v>
      </c>
      <c r="E2643">
        <v>2</v>
      </c>
      <c r="F2643" t="str">
        <f t="shared" si="41"/>
        <v>F839G1T2</v>
      </c>
      <c r="G2643" s="14">
        <v>18</v>
      </c>
    </row>
    <row r="2644" spans="1:7">
      <c r="A2644">
        <v>91</v>
      </c>
      <c r="B2644">
        <v>9</v>
      </c>
      <c r="C2644">
        <v>1</v>
      </c>
      <c r="E2644">
        <v>2</v>
      </c>
      <c r="F2644" t="str">
        <f t="shared" si="41"/>
        <v>F919G1T2</v>
      </c>
      <c r="G2644" s="14">
        <v>18</v>
      </c>
    </row>
    <row r="2645" spans="1:7">
      <c r="A2645">
        <v>94</v>
      </c>
      <c r="B2645">
        <v>9</v>
      </c>
      <c r="C2645">
        <v>1</v>
      </c>
      <c r="E2645">
        <v>2</v>
      </c>
      <c r="F2645" t="str">
        <f t="shared" si="41"/>
        <v>F949G1T2</v>
      </c>
      <c r="G2645" s="14">
        <v>18</v>
      </c>
    </row>
    <row r="2646" spans="1:7">
      <c r="A2646">
        <v>10</v>
      </c>
      <c r="B2646">
        <v>8</v>
      </c>
      <c r="C2646">
        <v>3</v>
      </c>
      <c r="E2646">
        <v>1</v>
      </c>
      <c r="F2646" t="str">
        <f t="shared" si="41"/>
        <v>F108G3T1</v>
      </c>
      <c r="G2646" s="14">
        <v>53</v>
      </c>
    </row>
    <row r="2647" spans="1:7">
      <c r="A2647">
        <v>10</v>
      </c>
      <c r="B2647">
        <v>8</v>
      </c>
      <c r="C2647">
        <v>4</v>
      </c>
      <c r="E2647">
        <v>1</v>
      </c>
      <c r="F2647" t="str">
        <f t="shared" si="41"/>
        <v>F108G4T1</v>
      </c>
      <c r="G2647" s="14">
        <v>53</v>
      </c>
    </row>
    <row r="2648" spans="1:7">
      <c r="A2648">
        <v>10</v>
      </c>
      <c r="B2648">
        <v>8</v>
      </c>
      <c r="C2648">
        <v>3</v>
      </c>
      <c r="E2648">
        <v>4</v>
      </c>
      <c r="F2648" t="str">
        <f t="shared" si="41"/>
        <v>F108G3T4</v>
      </c>
      <c r="G2648" s="14">
        <v>53</v>
      </c>
    </row>
    <row r="2649" spans="1:7">
      <c r="A2649">
        <v>10</v>
      </c>
      <c r="B2649">
        <v>8</v>
      </c>
      <c r="C2649">
        <v>4</v>
      </c>
      <c r="E2649">
        <v>4</v>
      </c>
      <c r="F2649" t="str">
        <f t="shared" si="41"/>
        <v>F108G4T4</v>
      </c>
      <c r="G2649" s="14">
        <v>53</v>
      </c>
    </row>
    <row r="2650" spans="1:7">
      <c r="A2650">
        <v>95</v>
      </c>
      <c r="B2650">
        <v>1</v>
      </c>
      <c r="C2650">
        <v>1</v>
      </c>
      <c r="E2650">
        <v>1</v>
      </c>
      <c r="F2650" t="str">
        <f t="shared" si="41"/>
        <v>F951G1T1</v>
      </c>
      <c r="G2650" s="14" t="s">
        <v>56</v>
      </c>
    </row>
    <row r="2651" spans="1:7">
      <c r="A2651">
        <v>95</v>
      </c>
      <c r="B2651">
        <v>2</v>
      </c>
      <c r="C2651">
        <v>1</v>
      </c>
      <c r="E2651">
        <v>1</v>
      </c>
      <c r="F2651" t="str">
        <f t="shared" si="41"/>
        <v>F952G1T1</v>
      </c>
      <c r="G2651" s="14" t="s">
        <v>56</v>
      </c>
    </row>
    <row r="2652" spans="1:7">
      <c r="A2652">
        <v>95</v>
      </c>
      <c r="B2652">
        <v>4</v>
      </c>
      <c r="C2652">
        <v>1</v>
      </c>
      <c r="E2652">
        <v>1</v>
      </c>
      <c r="F2652" t="str">
        <f t="shared" si="41"/>
        <v>F954G1T1</v>
      </c>
      <c r="G2652" s="14" t="s">
        <v>56</v>
      </c>
    </row>
    <row r="2653" spans="1:7">
      <c r="A2653">
        <v>95</v>
      </c>
      <c r="B2653">
        <v>5</v>
      </c>
      <c r="C2653">
        <v>1</v>
      </c>
      <c r="E2653">
        <v>1</v>
      </c>
      <c r="F2653" t="str">
        <f t="shared" si="41"/>
        <v>F955G1T1</v>
      </c>
      <c r="G2653" s="14" t="s">
        <v>56</v>
      </c>
    </row>
    <row r="2654" spans="1:7">
      <c r="A2654">
        <v>95</v>
      </c>
      <c r="B2654">
        <v>6</v>
      </c>
      <c r="C2654">
        <v>1</v>
      </c>
      <c r="E2654">
        <v>1</v>
      </c>
      <c r="F2654" t="str">
        <f t="shared" si="41"/>
        <v>F956G1T1</v>
      </c>
      <c r="G2654" s="14" t="s">
        <v>56</v>
      </c>
    </row>
    <row r="2655" spans="1:7">
      <c r="A2655">
        <v>95</v>
      </c>
      <c r="B2655">
        <v>7</v>
      </c>
      <c r="C2655">
        <v>1</v>
      </c>
      <c r="E2655">
        <v>1</v>
      </c>
      <c r="F2655" t="str">
        <f t="shared" si="41"/>
        <v>F957G1T1</v>
      </c>
      <c r="G2655" s="14" t="s">
        <v>56</v>
      </c>
    </row>
    <row r="2656" spans="1:7">
      <c r="A2656">
        <v>95</v>
      </c>
      <c r="B2656">
        <v>8</v>
      </c>
      <c r="C2656">
        <v>1</v>
      </c>
      <c r="E2656">
        <v>1</v>
      </c>
      <c r="F2656" t="str">
        <f t="shared" si="41"/>
        <v>F958G1T1</v>
      </c>
      <c r="G2656" s="14" t="s">
        <v>56</v>
      </c>
    </row>
    <row r="2657" spans="1:7">
      <c r="A2657">
        <v>95</v>
      </c>
      <c r="B2657">
        <v>1</v>
      </c>
      <c r="C2657">
        <v>1</v>
      </c>
      <c r="E2657">
        <v>4</v>
      </c>
      <c r="F2657" t="str">
        <f t="shared" si="41"/>
        <v>F951G1T4</v>
      </c>
      <c r="G2657" s="14" t="s">
        <v>56</v>
      </c>
    </row>
    <row r="2658" spans="1:7">
      <c r="A2658">
        <v>95</v>
      </c>
      <c r="B2658">
        <v>2</v>
      </c>
      <c r="C2658">
        <v>1</v>
      </c>
      <c r="E2658">
        <v>4</v>
      </c>
      <c r="F2658" t="str">
        <f t="shared" si="41"/>
        <v>F952G1T4</v>
      </c>
      <c r="G2658" s="14" t="s">
        <v>56</v>
      </c>
    </row>
    <row r="2659" spans="1:7">
      <c r="A2659">
        <v>95</v>
      </c>
      <c r="B2659">
        <v>4</v>
      </c>
      <c r="C2659">
        <v>1</v>
      </c>
      <c r="E2659">
        <v>4</v>
      </c>
      <c r="F2659" t="str">
        <f t="shared" si="41"/>
        <v>F954G1T4</v>
      </c>
      <c r="G2659" s="14" t="s">
        <v>56</v>
      </c>
    </row>
    <row r="2660" spans="1:7">
      <c r="A2660">
        <v>95</v>
      </c>
      <c r="B2660">
        <v>5</v>
      </c>
      <c r="C2660">
        <v>1</v>
      </c>
      <c r="E2660">
        <v>4</v>
      </c>
      <c r="F2660" t="str">
        <f t="shared" si="41"/>
        <v>F955G1T4</v>
      </c>
      <c r="G2660" s="14" t="s">
        <v>56</v>
      </c>
    </row>
    <row r="2661" spans="1:7">
      <c r="A2661">
        <v>95</v>
      </c>
      <c r="B2661">
        <v>6</v>
      </c>
      <c r="C2661">
        <v>1</v>
      </c>
      <c r="E2661">
        <v>4</v>
      </c>
      <c r="F2661" t="str">
        <f t="shared" si="41"/>
        <v>F956G1T4</v>
      </c>
      <c r="G2661" s="14" t="s">
        <v>56</v>
      </c>
    </row>
    <row r="2662" spans="1:7">
      <c r="A2662">
        <v>95</v>
      </c>
      <c r="B2662">
        <v>7</v>
      </c>
      <c r="C2662">
        <v>1</v>
      </c>
      <c r="E2662">
        <v>4</v>
      </c>
      <c r="F2662" t="str">
        <f t="shared" si="41"/>
        <v>F957G1T4</v>
      </c>
      <c r="G2662" s="14" t="s">
        <v>56</v>
      </c>
    </row>
    <row r="2663" spans="1:7">
      <c r="A2663">
        <v>95</v>
      </c>
      <c r="B2663">
        <v>8</v>
      </c>
      <c r="C2663">
        <v>1</v>
      </c>
      <c r="E2663">
        <v>4</v>
      </c>
      <c r="F2663" t="str">
        <f t="shared" si="41"/>
        <v>F958G1T4</v>
      </c>
      <c r="G2663" s="14" t="s">
        <v>56</v>
      </c>
    </row>
    <row r="2664" spans="1:7">
      <c r="A2664">
        <v>95</v>
      </c>
      <c r="B2664">
        <v>1</v>
      </c>
      <c r="C2664">
        <v>1</v>
      </c>
      <c r="E2664">
        <v>3</v>
      </c>
      <c r="F2664" t="str">
        <f t="shared" si="41"/>
        <v>F951G1T3</v>
      </c>
      <c r="G2664" s="14" t="s">
        <v>322</v>
      </c>
    </row>
    <row r="2665" spans="1:7">
      <c r="A2665">
        <v>95</v>
      </c>
      <c r="B2665">
        <v>2</v>
      </c>
      <c r="C2665">
        <v>1</v>
      </c>
      <c r="E2665">
        <v>3</v>
      </c>
      <c r="F2665" t="str">
        <f t="shared" si="41"/>
        <v>F952G1T3</v>
      </c>
      <c r="G2665" s="14" t="s">
        <v>322</v>
      </c>
    </row>
    <row r="2666" spans="1:7">
      <c r="A2666">
        <v>95</v>
      </c>
      <c r="B2666">
        <v>5</v>
      </c>
      <c r="C2666">
        <v>1</v>
      </c>
      <c r="E2666">
        <v>3</v>
      </c>
      <c r="F2666" t="str">
        <f t="shared" si="41"/>
        <v>F955G1T3</v>
      </c>
      <c r="G2666" s="14" t="s">
        <v>322</v>
      </c>
    </row>
    <row r="2667" spans="1:7">
      <c r="A2667">
        <v>95</v>
      </c>
      <c r="B2667">
        <v>6</v>
      </c>
      <c r="C2667">
        <v>1</v>
      </c>
      <c r="E2667">
        <v>3</v>
      </c>
      <c r="F2667" t="str">
        <f t="shared" si="41"/>
        <v>F956G1T3</v>
      </c>
      <c r="G2667" s="14" t="s">
        <v>322</v>
      </c>
    </row>
    <row r="2668" spans="1:7">
      <c r="A2668">
        <v>95</v>
      </c>
      <c r="B2668">
        <v>7</v>
      </c>
      <c r="C2668">
        <v>1</v>
      </c>
      <c r="E2668">
        <v>3</v>
      </c>
      <c r="F2668" t="str">
        <f t="shared" si="41"/>
        <v>F957G1T3</v>
      </c>
      <c r="G2668" s="14" t="s">
        <v>322</v>
      </c>
    </row>
    <row r="2669" spans="1:7">
      <c r="A2669">
        <v>95</v>
      </c>
      <c r="B2669">
        <v>8</v>
      </c>
      <c r="C2669">
        <v>1</v>
      </c>
      <c r="E2669">
        <v>3</v>
      </c>
      <c r="F2669" t="str">
        <f t="shared" si="41"/>
        <v>F958G1T3</v>
      </c>
      <c r="G2669" s="14" t="s">
        <v>322</v>
      </c>
    </row>
    <row r="2670" spans="1:7">
      <c r="A2670">
        <v>95</v>
      </c>
      <c r="B2670">
        <v>1</v>
      </c>
      <c r="C2670">
        <v>1</v>
      </c>
      <c r="E2670">
        <v>2</v>
      </c>
      <c r="F2670" t="str">
        <f t="shared" si="41"/>
        <v>F951G1T2</v>
      </c>
      <c r="G2670" s="14" t="s">
        <v>62</v>
      </c>
    </row>
    <row r="2671" spans="1:7">
      <c r="A2671">
        <v>95</v>
      </c>
      <c r="B2671">
        <v>2</v>
      </c>
      <c r="C2671">
        <v>1</v>
      </c>
      <c r="E2671">
        <v>2</v>
      </c>
      <c r="F2671" t="str">
        <f t="shared" si="41"/>
        <v>F952G1T2</v>
      </c>
      <c r="G2671" s="14" t="s">
        <v>62</v>
      </c>
    </row>
    <row r="2672" spans="1:7">
      <c r="A2672">
        <v>95</v>
      </c>
      <c r="B2672">
        <v>5</v>
      </c>
      <c r="C2672">
        <v>1</v>
      </c>
      <c r="E2672">
        <v>2</v>
      </c>
      <c r="F2672" t="str">
        <f t="shared" si="41"/>
        <v>F955G1T2</v>
      </c>
      <c r="G2672" s="14" t="s">
        <v>62</v>
      </c>
    </row>
    <row r="2673" spans="1:7">
      <c r="A2673">
        <v>95</v>
      </c>
      <c r="B2673">
        <v>6</v>
      </c>
      <c r="C2673">
        <v>1</v>
      </c>
      <c r="E2673">
        <v>2</v>
      </c>
      <c r="F2673" t="str">
        <f t="shared" si="41"/>
        <v>F956G1T2</v>
      </c>
      <c r="G2673" s="14" t="s">
        <v>62</v>
      </c>
    </row>
    <row r="2674" spans="1:7">
      <c r="A2674">
        <v>95</v>
      </c>
      <c r="B2674">
        <v>7</v>
      </c>
      <c r="C2674">
        <v>1</v>
      </c>
      <c r="E2674">
        <v>2</v>
      </c>
      <c r="F2674" t="str">
        <f t="shared" si="41"/>
        <v>F957G1T2</v>
      </c>
      <c r="G2674" s="14" t="s">
        <v>62</v>
      </c>
    </row>
    <row r="2675" spans="1:7">
      <c r="A2675">
        <v>95</v>
      </c>
      <c r="B2675">
        <v>8</v>
      </c>
      <c r="C2675">
        <v>1</v>
      </c>
      <c r="E2675">
        <v>2</v>
      </c>
      <c r="F2675" t="str">
        <f t="shared" si="41"/>
        <v>F958G1T2</v>
      </c>
      <c r="G2675" s="14" t="s">
        <v>62</v>
      </c>
    </row>
    <row r="2676" spans="1:7">
      <c r="A2676">
        <v>95</v>
      </c>
      <c r="B2676">
        <v>1</v>
      </c>
      <c r="C2676">
        <v>3</v>
      </c>
      <c r="E2676">
        <v>1</v>
      </c>
      <c r="F2676" t="str">
        <f t="shared" si="41"/>
        <v>F951G3T1</v>
      </c>
      <c r="G2676" s="14" t="s">
        <v>323</v>
      </c>
    </row>
    <row r="2677" spans="1:7">
      <c r="A2677">
        <v>95</v>
      </c>
      <c r="B2677">
        <v>2</v>
      </c>
      <c r="C2677">
        <v>3</v>
      </c>
      <c r="E2677">
        <v>1</v>
      </c>
      <c r="F2677" t="str">
        <f t="shared" si="41"/>
        <v>F952G3T1</v>
      </c>
      <c r="G2677" s="14" t="s">
        <v>323</v>
      </c>
    </row>
    <row r="2678" spans="1:7">
      <c r="A2678">
        <v>95</v>
      </c>
      <c r="B2678">
        <v>4</v>
      </c>
      <c r="C2678">
        <v>3</v>
      </c>
      <c r="E2678">
        <v>1</v>
      </c>
      <c r="F2678" t="str">
        <f t="shared" si="41"/>
        <v>F954G3T1</v>
      </c>
      <c r="G2678" s="14" t="s">
        <v>323</v>
      </c>
    </row>
    <row r="2679" spans="1:7">
      <c r="A2679">
        <v>95</v>
      </c>
      <c r="B2679">
        <v>5</v>
      </c>
      <c r="C2679">
        <v>3</v>
      </c>
      <c r="E2679">
        <v>1</v>
      </c>
      <c r="F2679" t="str">
        <f t="shared" si="41"/>
        <v>F955G3T1</v>
      </c>
      <c r="G2679" s="14" t="s">
        <v>323</v>
      </c>
    </row>
    <row r="2680" spans="1:7">
      <c r="A2680">
        <v>95</v>
      </c>
      <c r="B2680">
        <v>6</v>
      </c>
      <c r="C2680">
        <v>3</v>
      </c>
      <c r="E2680">
        <v>1</v>
      </c>
      <c r="F2680" t="str">
        <f t="shared" si="41"/>
        <v>F956G3T1</v>
      </c>
      <c r="G2680" s="14" t="s">
        <v>323</v>
      </c>
    </row>
    <row r="2681" spans="1:7">
      <c r="A2681">
        <v>95</v>
      </c>
      <c r="B2681">
        <v>7</v>
      </c>
      <c r="C2681">
        <v>3</v>
      </c>
      <c r="E2681">
        <v>1</v>
      </c>
      <c r="F2681" t="str">
        <f t="shared" si="41"/>
        <v>F957G3T1</v>
      </c>
      <c r="G2681" s="14" t="s">
        <v>323</v>
      </c>
    </row>
    <row r="2682" spans="1:7">
      <c r="A2682">
        <v>95</v>
      </c>
      <c r="B2682">
        <v>1</v>
      </c>
      <c r="C2682">
        <v>4</v>
      </c>
      <c r="E2682">
        <v>1</v>
      </c>
      <c r="F2682" t="str">
        <f t="shared" si="41"/>
        <v>F951G4T1</v>
      </c>
      <c r="G2682" s="14" t="s">
        <v>323</v>
      </c>
    </row>
    <row r="2683" spans="1:7">
      <c r="A2683">
        <v>95</v>
      </c>
      <c r="B2683">
        <v>2</v>
      </c>
      <c r="C2683">
        <v>4</v>
      </c>
      <c r="E2683">
        <v>1</v>
      </c>
      <c r="F2683" t="str">
        <f t="shared" si="41"/>
        <v>F952G4T1</v>
      </c>
      <c r="G2683" s="14" t="s">
        <v>323</v>
      </c>
    </row>
    <row r="2684" spans="1:7">
      <c r="A2684">
        <v>95</v>
      </c>
      <c r="B2684">
        <v>4</v>
      </c>
      <c r="C2684">
        <v>4</v>
      </c>
      <c r="E2684">
        <v>1</v>
      </c>
      <c r="F2684" t="str">
        <f t="shared" si="41"/>
        <v>F954G4T1</v>
      </c>
      <c r="G2684" s="14" t="s">
        <v>323</v>
      </c>
    </row>
    <row r="2685" spans="1:7">
      <c r="A2685">
        <v>95</v>
      </c>
      <c r="B2685">
        <v>5</v>
      </c>
      <c r="C2685">
        <v>4</v>
      </c>
      <c r="E2685">
        <v>1</v>
      </c>
      <c r="F2685" t="str">
        <f t="shared" si="41"/>
        <v>F955G4T1</v>
      </c>
      <c r="G2685" s="14" t="s">
        <v>323</v>
      </c>
    </row>
    <row r="2686" spans="1:7">
      <c r="A2686">
        <v>95</v>
      </c>
      <c r="B2686">
        <v>6</v>
      </c>
      <c r="C2686">
        <v>4</v>
      </c>
      <c r="E2686">
        <v>1</v>
      </c>
      <c r="F2686" t="str">
        <f t="shared" si="41"/>
        <v>F956G4T1</v>
      </c>
      <c r="G2686" s="14" t="s">
        <v>323</v>
      </c>
    </row>
    <row r="2687" spans="1:7">
      <c r="A2687">
        <v>95</v>
      </c>
      <c r="B2687">
        <v>7</v>
      </c>
      <c r="C2687">
        <v>4</v>
      </c>
      <c r="E2687">
        <v>1</v>
      </c>
      <c r="F2687" t="str">
        <f t="shared" si="41"/>
        <v>F957G4T1</v>
      </c>
      <c r="G2687" s="14" t="s">
        <v>323</v>
      </c>
    </row>
    <row r="2688" spans="1:7">
      <c r="A2688">
        <v>95</v>
      </c>
      <c r="B2688">
        <v>1</v>
      </c>
      <c r="C2688">
        <v>5</v>
      </c>
      <c r="E2688">
        <v>1</v>
      </c>
      <c r="F2688" t="str">
        <f t="shared" si="41"/>
        <v>F951G5T1</v>
      </c>
      <c r="G2688" s="14" t="s">
        <v>323</v>
      </c>
    </row>
    <row r="2689" spans="1:7">
      <c r="A2689">
        <v>95</v>
      </c>
      <c r="B2689">
        <v>2</v>
      </c>
      <c r="C2689">
        <v>5</v>
      </c>
      <c r="E2689">
        <v>1</v>
      </c>
      <c r="F2689" t="str">
        <f t="shared" si="41"/>
        <v>F952G5T1</v>
      </c>
      <c r="G2689" s="14" t="s">
        <v>323</v>
      </c>
    </row>
    <row r="2690" spans="1:7">
      <c r="A2690">
        <v>95</v>
      </c>
      <c r="B2690">
        <v>4</v>
      </c>
      <c r="C2690">
        <v>5</v>
      </c>
      <c r="E2690">
        <v>1</v>
      </c>
      <c r="F2690" t="str">
        <f t="shared" si="41"/>
        <v>F954G5T1</v>
      </c>
      <c r="G2690" s="14" t="s">
        <v>323</v>
      </c>
    </row>
    <row r="2691" spans="1:7">
      <c r="A2691">
        <v>95</v>
      </c>
      <c r="B2691">
        <v>5</v>
      </c>
      <c r="C2691">
        <v>5</v>
      </c>
      <c r="E2691">
        <v>1</v>
      </c>
      <c r="F2691" t="str">
        <f t="shared" ref="F2691:F2754" si="42">CONCATENATE("F",A2691,B2691,"G",C2691,"T",E2691)</f>
        <v>F955G5T1</v>
      </c>
      <c r="G2691" s="14" t="s">
        <v>323</v>
      </c>
    </row>
    <row r="2692" spans="1:7">
      <c r="A2692">
        <v>95</v>
      </c>
      <c r="B2692">
        <v>6</v>
      </c>
      <c r="C2692">
        <v>5</v>
      </c>
      <c r="E2692">
        <v>1</v>
      </c>
      <c r="F2692" t="str">
        <f t="shared" si="42"/>
        <v>F956G5T1</v>
      </c>
      <c r="G2692" s="14" t="s">
        <v>323</v>
      </c>
    </row>
    <row r="2693" spans="1:7">
      <c r="A2693">
        <v>95</v>
      </c>
      <c r="B2693">
        <v>7</v>
      </c>
      <c r="C2693">
        <v>5</v>
      </c>
      <c r="E2693">
        <v>1</v>
      </c>
      <c r="F2693" t="str">
        <f t="shared" si="42"/>
        <v>F957G5T1</v>
      </c>
      <c r="G2693" s="14" t="s">
        <v>323</v>
      </c>
    </row>
    <row r="2694" spans="1:7">
      <c r="A2694">
        <v>95</v>
      </c>
      <c r="B2694">
        <v>1</v>
      </c>
      <c r="C2694">
        <v>3</v>
      </c>
      <c r="E2694">
        <v>4</v>
      </c>
      <c r="F2694" t="str">
        <f t="shared" si="42"/>
        <v>F951G3T4</v>
      </c>
      <c r="G2694" s="14" t="s">
        <v>323</v>
      </c>
    </row>
    <row r="2695" spans="1:7">
      <c r="A2695">
        <v>95</v>
      </c>
      <c r="B2695">
        <v>2</v>
      </c>
      <c r="C2695">
        <v>3</v>
      </c>
      <c r="E2695">
        <v>4</v>
      </c>
      <c r="F2695" t="str">
        <f t="shared" si="42"/>
        <v>F952G3T4</v>
      </c>
      <c r="G2695" s="14" t="s">
        <v>323</v>
      </c>
    </row>
    <row r="2696" spans="1:7">
      <c r="A2696">
        <v>95</v>
      </c>
      <c r="B2696">
        <v>4</v>
      </c>
      <c r="C2696">
        <v>3</v>
      </c>
      <c r="E2696">
        <v>4</v>
      </c>
      <c r="F2696" t="str">
        <f t="shared" si="42"/>
        <v>F954G3T4</v>
      </c>
      <c r="G2696" s="14" t="s">
        <v>323</v>
      </c>
    </row>
    <row r="2697" spans="1:7">
      <c r="A2697">
        <v>95</v>
      </c>
      <c r="B2697">
        <v>5</v>
      </c>
      <c r="C2697">
        <v>3</v>
      </c>
      <c r="E2697">
        <v>4</v>
      </c>
      <c r="F2697" t="str">
        <f t="shared" si="42"/>
        <v>F955G3T4</v>
      </c>
      <c r="G2697" s="14" t="s">
        <v>323</v>
      </c>
    </row>
    <row r="2698" spans="1:7">
      <c r="A2698">
        <v>95</v>
      </c>
      <c r="B2698">
        <v>6</v>
      </c>
      <c r="C2698">
        <v>3</v>
      </c>
      <c r="E2698">
        <v>4</v>
      </c>
      <c r="F2698" t="str">
        <f t="shared" si="42"/>
        <v>F956G3T4</v>
      </c>
      <c r="G2698" s="14" t="s">
        <v>323</v>
      </c>
    </row>
    <row r="2699" spans="1:7">
      <c r="A2699">
        <v>95</v>
      </c>
      <c r="B2699">
        <v>7</v>
      </c>
      <c r="C2699">
        <v>3</v>
      </c>
      <c r="E2699">
        <v>4</v>
      </c>
      <c r="F2699" t="str">
        <f t="shared" si="42"/>
        <v>F957G3T4</v>
      </c>
      <c r="G2699" s="14" t="s">
        <v>323</v>
      </c>
    </row>
    <row r="2700" spans="1:7">
      <c r="A2700">
        <v>95</v>
      </c>
      <c r="B2700">
        <v>1</v>
      </c>
      <c r="C2700">
        <v>4</v>
      </c>
      <c r="E2700">
        <v>4</v>
      </c>
      <c r="F2700" t="str">
        <f t="shared" si="42"/>
        <v>F951G4T4</v>
      </c>
      <c r="G2700" s="14" t="s">
        <v>323</v>
      </c>
    </row>
    <row r="2701" spans="1:7">
      <c r="A2701">
        <v>95</v>
      </c>
      <c r="B2701">
        <v>2</v>
      </c>
      <c r="C2701">
        <v>4</v>
      </c>
      <c r="E2701">
        <v>4</v>
      </c>
      <c r="F2701" t="str">
        <f t="shared" si="42"/>
        <v>F952G4T4</v>
      </c>
      <c r="G2701" s="14" t="s">
        <v>323</v>
      </c>
    </row>
    <row r="2702" spans="1:7">
      <c r="A2702">
        <v>95</v>
      </c>
      <c r="B2702">
        <v>4</v>
      </c>
      <c r="C2702">
        <v>4</v>
      </c>
      <c r="E2702">
        <v>4</v>
      </c>
      <c r="F2702" t="str">
        <f t="shared" si="42"/>
        <v>F954G4T4</v>
      </c>
      <c r="G2702" s="14" t="s">
        <v>323</v>
      </c>
    </row>
    <row r="2703" spans="1:7">
      <c r="A2703">
        <v>95</v>
      </c>
      <c r="B2703">
        <v>5</v>
      </c>
      <c r="C2703">
        <v>4</v>
      </c>
      <c r="E2703">
        <v>4</v>
      </c>
      <c r="F2703" t="str">
        <f t="shared" si="42"/>
        <v>F955G4T4</v>
      </c>
      <c r="G2703" s="14" t="s">
        <v>323</v>
      </c>
    </row>
    <row r="2704" spans="1:7">
      <c r="A2704">
        <v>95</v>
      </c>
      <c r="B2704">
        <v>6</v>
      </c>
      <c r="C2704">
        <v>4</v>
      </c>
      <c r="E2704">
        <v>4</v>
      </c>
      <c r="F2704" t="str">
        <f t="shared" si="42"/>
        <v>F956G4T4</v>
      </c>
      <c r="G2704" s="14" t="s">
        <v>323</v>
      </c>
    </row>
    <row r="2705" spans="1:7">
      <c r="A2705">
        <v>95</v>
      </c>
      <c r="B2705">
        <v>7</v>
      </c>
      <c r="C2705">
        <v>4</v>
      </c>
      <c r="E2705">
        <v>4</v>
      </c>
      <c r="F2705" t="str">
        <f t="shared" si="42"/>
        <v>F957G4T4</v>
      </c>
      <c r="G2705" s="14" t="s">
        <v>323</v>
      </c>
    </row>
    <row r="2706" spans="1:7">
      <c r="A2706">
        <v>95</v>
      </c>
      <c r="B2706">
        <v>1</v>
      </c>
      <c r="C2706">
        <v>5</v>
      </c>
      <c r="E2706">
        <v>4</v>
      </c>
      <c r="F2706" t="str">
        <f t="shared" si="42"/>
        <v>F951G5T4</v>
      </c>
      <c r="G2706" s="14" t="s">
        <v>323</v>
      </c>
    </row>
    <row r="2707" spans="1:7">
      <c r="A2707">
        <v>95</v>
      </c>
      <c r="B2707">
        <v>2</v>
      </c>
      <c r="C2707">
        <v>5</v>
      </c>
      <c r="E2707">
        <v>4</v>
      </c>
      <c r="F2707" t="str">
        <f t="shared" si="42"/>
        <v>F952G5T4</v>
      </c>
      <c r="G2707" s="14" t="s">
        <v>323</v>
      </c>
    </row>
    <row r="2708" spans="1:7">
      <c r="A2708">
        <v>95</v>
      </c>
      <c r="B2708">
        <v>4</v>
      </c>
      <c r="C2708">
        <v>5</v>
      </c>
      <c r="E2708">
        <v>4</v>
      </c>
      <c r="F2708" t="str">
        <f t="shared" si="42"/>
        <v>F954G5T4</v>
      </c>
      <c r="G2708" s="14" t="s">
        <v>323</v>
      </c>
    </row>
    <row r="2709" spans="1:7">
      <c r="A2709">
        <v>95</v>
      </c>
      <c r="B2709">
        <v>5</v>
      </c>
      <c r="C2709">
        <v>5</v>
      </c>
      <c r="E2709">
        <v>4</v>
      </c>
      <c r="F2709" t="str">
        <f t="shared" si="42"/>
        <v>F955G5T4</v>
      </c>
      <c r="G2709" s="14" t="s">
        <v>323</v>
      </c>
    </row>
    <row r="2710" spans="1:7">
      <c r="A2710">
        <v>95</v>
      </c>
      <c r="B2710">
        <v>6</v>
      </c>
      <c r="C2710">
        <v>5</v>
      </c>
      <c r="E2710">
        <v>4</v>
      </c>
      <c r="F2710" t="str">
        <f t="shared" si="42"/>
        <v>F956G5T4</v>
      </c>
      <c r="G2710" s="14" t="s">
        <v>323</v>
      </c>
    </row>
    <row r="2711" spans="1:7">
      <c r="A2711">
        <v>95</v>
      </c>
      <c r="B2711">
        <v>7</v>
      </c>
      <c r="C2711">
        <v>5</v>
      </c>
      <c r="E2711">
        <v>4</v>
      </c>
      <c r="F2711" t="str">
        <f t="shared" si="42"/>
        <v>F957G5T4</v>
      </c>
      <c r="G2711" s="14" t="s">
        <v>323</v>
      </c>
    </row>
    <row r="2712" spans="1:7">
      <c r="A2712">
        <v>95</v>
      </c>
      <c r="B2712">
        <v>1</v>
      </c>
      <c r="C2712">
        <v>3</v>
      </c>
      <c r="E2712">
        <v>2</v>
      </c>
      <c r="F2712" t="str">
        <f t="shared" si="42"/>
        <v>F951G3T2</v>
      </c>
      <c r="G2712" s="14" t="s">
        <v>70</v>
      </c>
    </row>
    <row r="2713" spans="1:7">
      <c r="A2713">
        <v>95</v>
      </c>
      <c r="B2713">
        <v>2</v>
      </c>
      <c r="C2713">
        <v>3</v>
      </c>
      <c r="E2713">
        <v>2</v>
      </c>
      <c r="F2713" t="str">
        <f t="shared" si="42"/>
        <v>F952G3T2</v>
      </c>
      <c r="G2713" s="14" t="s">
        <v>70</v>
      </c>
    </row>
    <row r="2714" spans="1:7">
      <c r="A2714">
        <v>95</v>
      </c>
      <c r="B2714">
        <v>5</v>
      </c>
      <c r="C2714">
        <v>3</v>
      </c>
      <c r="E2714">
        <v>2</v>
      </c>
      <c r="F2714" t="str">
        <f t="shared" si="42"/>
        <v>F955G3T2</v>
      </c>
      <c r="G2714" s="14" t="s">
        <v>70</v>
      </c>
    </row>
    <row r="2715" spans="1:7">
      <c r="A2715">
        <v>95</v>
      </c>
      <c r="B2715">
        <v>6</v>
      </c>
      <c r="C2715">
        <v>3</v>
      </c>
      <c r="E2715">
        <v>2</v>
      </c>
      <c r="F2715" t="str">
        <f t="shared" si="42"/>
        <v>F956G3T2</v>
      </c>
      <c r="G2715" s="14" t="s">
        <v>70</v>
      </c>
    </row>
    <row r="2716" spans="1:7">
      <c r="A2716">
        <v>95</v>
      </c>
      <c r="B2716">
        <v>7</v>
      </c>
      <c r="C2716">
        <v>3</v>
      </c>
      <c r="E2716">
        <v>2</v>
      </c>
      <c r="F2716" t="str">
        <f t="shared" si="42"/>
        <v>F957G3T2</v>
      </c>
      <c r="G2716" s="14" t="s">
        <v>70</v>
      </c>
    </row>
    <row r="2717" spans="1:7">
      <c r="A2717">
        <v>95</v>
      </c>
      <c r="B2717">
        <v>1</v>
      </c>
      <c r="C2717">
        <v>4</v>
      </c>
      <c r="E2717">
        <v>2</v>
      </c>
      <c r="F2717" t="str">
        <f t="shared" si="42"/>
        <v>F951G4T2</v>
      </c>
      <c r="G2717" s="14" t="s">
        <v>70</v>
      </c>
    </row>
    <row r="2718" spans="1:7">
      <c r="A2718">
        <v>95</v>
      </c>
      <c r="B2718">
        <v>2</v>
      </c>
      <c r="C2718">
        <v>4</v>
      </c>
      <c r="E2718">
        <v>2</v>
      </c>
      <c r="F2718" t="str">
        <f t="shared" si="42"/>
        <v>F952G4T2</v>
      </c>
      <c r="G2718" s="14" t="s">
        <v>70</v>
      </c>
    </row>
    <row r="2719" spans="1:7">
      <c r="A2719">
        <v>95</v>
      </c>
      <c r="B2719">
        <v>5</v>
      </c>
      <c r="C2719">
        <v>4</v>
      </c>
      <c r="E2719">
        <v>2</v>
      </c>
      <c r="F2719" t="str">
        <f t="shared" si="42"/>
        <v>F955G4T2</v>
      </c>
      <c r="G2719" s="14" t="s">
        <v>70</v>
      </c>
    </row>
    <row r="2720" spans="1:7">
      <c r="A2720">
        <v>95</v>
      </c>
      <c r="B2720">
        <v>6</v>
      </c>
      <c r="C2720">
        <v>4</v>
      </c>
      <c r="E2720">
        <v>2</v>
      </c>
      <c r="F2720" t="str">
        <f t="shared" si="42"/>
        <v>F956G4T2</v>
      </c>
      <c r="G2720" s="14" t="s">
        <v>70</v>
      </c>
    </row>
    <row r="2721" spans="1:7">
      <c r="A2721">
        <v>95</v>
      </c>
      <c r="B2721">
        <v>7</v>
      </c>
      <c r="C2721">
        <v>4</v>
      </c>
      <c r="E2721">
        <v>2</v>
      </c>
      <c r="F2721" t="str">
        <f t="shared" si="42"/>
        <v>F957G4T2</v>
      </c>
      <c r="G2721" s="14" t="s">
        <v>70</v>
      </c>
    </row>
    <row r="2722" spans="1:7">
      <c r="A2722">
        <v>95</v>
      </c>
      <c r="B2722">
        <v>1</v>
      </c>
      <c r="C2722">
        <v>5</v>
      </c>
      <c r="E2722">
        <v>2</v>
      </c>
      <c r="F2722" t="str">
        <f t="shared" si="42"/>
        <v>F951G5T2</v>
      </c>
      <c r="G2722" s="14" t="s">
        <v>70</v>
      </c>
    </row>
    <row r="2723" spans="1:7">
      <c r="A2723">
        <v>95</v>
      </c>
      <c r="B2723">
        <v>2</v>
      </c>
      <c r="C2723">
        <v>5</v>
      </c>
      <c r="E2723">
        <v>2</v>
      </c>
      <c r="F2723" t="str">
        <f t="shared" si="42"/>
        <v>F952G5T2</v>
      </c>
      <c r="G2723" s="14" t="s">
        <v>70</v>
      </c>
    </row>
    <row r="2724" spans="1:7">
      <c r="A2724">
        <v>95</v>
      </c>
      <c r="B2724">
        <v>5</v>
      </c>
      <c r="C2724">
        <v>5</v>
      </c>
      <c r="E2724">
        <v>2</v>
      </c>
      <c r="F2724" t="str">
        <f t="shared" si="42"/>
        <v>F955G5T2</v>
      </c>
      <c r="G2724" s="14" t="s">
        <v>70</v>
      </c>
    </row>
    <row r="2725" spans="1:7">
      <c r="A2725">
        <v>95</v>
      </c>
      <c r="B2725">
        <v>6</v>
      </c>
      <c r="C2725">
        <v>5</v>
      </c>
      <c r="E2725">
        <v>2</v>
      </c>
      <c r="F2725" t="str">
        <f t="shared" si="42"/>
        <v>F956G5T2</v>
      </c>
      <c r="G2725" s="14" t="s">
        <v>70</v>
      </c>
    </row>
    <row r="2726" spans="1:7">
      <c r="A2726">
        <v>95</v>
      </c>
      <c r="B2726">
        <v>7</v>
      </c>
      <c r="C2726">
        <v>5</v>
      </c>
      <c r="E2726">
        <v>2</v>
      </c>
      <c r="F2726" t="str">
        <f t="shared" si="42"/>
        <v>F957G5T2</v>
      </c>
      <c r="G2726" s="14" t="s">
        <v>70</v>
      </c>
    </row>
    <row r="2727" spans="1:7">
      <c r="A2727">
        <v>95</v>
      </c>
      <c r="B2727">
        <v>1</v>
      </c>
      <c r="C2727">
        <v>3</v>
      </c>
      <c r="E2727">
        <v>3</v>
      </c>
      <c r="F2727" t="str">
        <f t="shared" si="42"/>
        <v>F951G3T3</v>
      </c>
      <c r="G2727" s="14" t="s">
        <v>324</v>
      </c>
    </row>
    <row r="2728" spans="1:7">
      <c r="A2728">
        <v>95</v>
      </c>
      <c r="B2728">
        <v>2</v>
      </c>
      <c r="C2728">
        <v>3</v>
      </c>
      <c r="E2728">
        <v>3</v>
      </c>
      <c r="F2728" t="str">
        <f t="shared" si="42"/>
        <v>F952G3T3</v>
      </c>
      <c r="G2728" s="14" t="s">
        <v>324</v>
      </c>
    </row>
    <row r="2729" spans="1:7">
      <c r="A2729">
        <v>95</v>
      </c>
      <c r="B2729">
        <v>5</v>
      </c>
      <c r="C2729">
        <v>3</v>
      </c>
      <c r="E2729">
        <v>3</v>
      </c>
      <c r="F2729" t="str">
        <f t="shared" si="42"/>
        <v>F955G3T3</v>
      </c>
      <c r="G2729" s="14" t="s">
        <v>324</v>
      </c>
    </row>
    <row r="2730" spans="1:7">
      <c r="A2730">
        <v>95</v>
      </c>
      <c r="B2730">
        <v>6</v>
      </c>
      <c r="C2730">
        <v>3</v>
      </c>
      <c r="E2730">
        <v>3</v>
      </c>
      <c r="F2730" t="str">
        <f t="shared" si="42"/>
        <v>F956G3T3</v>
      </c>
      <c r="G2730" s="14" t="s">
        <v>324</v>
      </c>
    </row>
    <row r="2731" spans="1:7">
      <c r="A2731">
        <v>95</v>
      </c>
      <c r="B2731">
        <v>7</v>
      </c>
      <c r="C2731">
        <v>3</v>
      </c>
      <c r="E2731">
        <v>3</v>
      </c>
      <c r="F2731" t="str">
        <f t="shared" si="42"/>
        <v>F957G3T3</v>
      </c>
      <c r="G2731" s="14" t="s">
        <v>324</v>
      </c>
    </row>
    <row r="2732" spans="1:7">
      <c r="A2732">
        <v>95</v>
      </c>
      <c r="B2732">
        <v>1</v>
      </c>
      <c r="C2732">
        <v>4</v>
      </c>
      <c r="E2732">
        <v>3</v>
      </c>
      <c r="F2732" t="str">
        <f t="shared" si="42"/>
        <v>F951G4T3</v>
      </c>
      <c r="G2732" s="14" t="s">
        <v>324</v>
      </c>
    </row>
    <row r="2733" spans="1:7">
      <c r="A2733">
        <v>95</v>
      </c>
      <c r="B2733">
        <v>2</v>
      </c>
      <c r="C2733">
        <v>4</v>
      </c>
      <c r="E2733">
        <v>3</v>
      </c>
      <c r="F2733" t="str">
        <f t="shared" si="42"/>
        <v>F952G4T3</v>
      </c>
      <c r="G2733" s="14" t="s">
        <v>324</v>
      </c>
    </row>
    <row r="2734" spans="1:7">
      <c r="A2734">
        <v>95</v>
      </c>
      <c r="B2734">
        <v>5</v>
      </c>
      <c r="C2734">
        <v>4</v>
      </c>
      <c r="E2734">
        <v>3</v>
      </c>
      <c r="F2734" t="str">
        <f t="shared" si="42"/>
        <v>F955G4T3</v>
      </c>
      <c r="G2734" s="14" t="s">
        <v>324</v>
      </c>
    </row>
    <row r="2735" spans="1:7">
      <c r="A2735">
        <v>95</v>
      </c>
      <c r="B2735">
        <v>6</v>
      </c>
      <c r="C2735">
        <v>4</v>
      </c>
      <c r="E2735">
        <v>3</v>
      </c>
      <c r="F2735" t="str">
        <f t="shared" si="42"/>
        <v>F956G4T3</v>
      </c>
      <c r="G2735" s="14" t="s">
        <v>324</v>
      </c>
    </row>
    <row r="2736" spans="1:7">
      <c r="A2736">
        <v>95</v>
      </c>
      <c r="B2736">
        <v>7</v>
      </c>
      <c r="C2736">
        <v>4</v>
      </c>
      <c r="E2736">
        <v>3</v>
      </c>
      <c r="F2736" t="str">
        <f t="shared" si="42"/>
        <v>F957G4T3</v>
      </c>
      <c r="G2736" s="14" t="s">
        <v>324</v>
      </c>
    </row>
    <row r="2737" spans="1:7">
      <c r="A2737">
        <v>95</v>
      </c>
      <c r="B2737">
        <v>1</v>
      </c>
      <c r="C2737">
        <v>5</v>
      </c>
      <c r="E2737">
        <v>3</v>
      </c>
      <c r="F2737" t="str">
        <f t="shared" si="42"/>
        <v>F951G5T3</v>
      </c>
      <c r="G2737" s="14" t="s">
        <v>324</v>
      </c>
    </row>
    <row r="2738" spans="1:7">
      <c r="A2738">
        <v>95</v>
      </c>
      <c r="B2738">
        <v>2</v>
      </c>
      <c r="C2738">
        <v>5</v>
      </c>
      <c r="E2738">
        <v>3</v>
      </c>
      <c r="F2738" t="str">
        <f t="shared" si="42"/>
        <v>F952G5T3</v>
      </c>
      <c r="G2738" s="14" t="s">
        <v>324</v>
      </c>
    </row>
    <row r="2739" spans="1:7">
      <c r="A2739">
        <v>95</v>
      </c>
      <c r="B2739">
        <v>5</v>
      </c>
      <c r="C2739">
        <v>5</v>
      </c>
      <c r="E2739">
        <v>3</v>
      </c>
      <c r="F2739" t="str">
        <f t="shared" si="42"/>
        <v>F955G5T3</v>
      </c>
      <c r="G2739" s="14" t="s">
        <v>324</v>
      </c>
    </row>
    <row r="2740" spans="1:7">
      <c r="A2740">
        <v>95</v>
      </c>
      <c r="B2740">
        <v>6</v>
      </c>
      <c r="C2740">
        <v>5</v>
      </c>
      <c r="E2740">
        <v>3</v>
      </c>
      <c r="F2740" t="str">
        <f t="shared" si="42"/>
        <v>F956G5T3</v>
      </c>
      <c r="G2740" s="14" t="s">
        <v>324</v>
      </c>
    </row>
    <row r="2741" spans="1:7">
      <c r="A2741">
        <v>95</v>
      </c>
      <c r="B2741">
        <v>7</v>
      </c>
      <c r="C2741">
        <v>5</v>
      </c>
      <c r="E2741">
        <v>3</v>
      </c>
      <c r="F2741" t="str">
        <f t="shared" si="42"/>
        <v>F957G5T3</v>
      </c>
      <c r="G2741" s="14" t="s">
        <v>324</v>
      </c>
    </row>
    <row r="2742" spans="1:7">
      <c r="A2742">
        <v>95</v>
      </c>
      <c r="B2742">
        <v>9</v>
      </c>
      <c r="C2742">
        <v>3</v>
      </c>
      <c r="E2742">
        <v>1</v>
      </c>
      <c r="F2742" t="str">
        <f t="shared" si="42"/>
        <v>F959G3T1</v>
      </c>
      <c r="G2742" s="14" t="s">
        <v>325</v>
      </c>
    </row>
    <row r="2743" spans="1:7">
      <c r="A2743">
        <v>95</v>
      </c>
      <c r="B2743">
        <v>9</v>
      </c>
      <c r="C2743">
        <v>4</v>
      </c>
      <c r="E2743">
        <v>1</v>
      </c>
      <c r="F2743" t="str">
        <f t="shared" si="42"/>
        <v>F959G4T1</v>
      </c>
      <c r="G2743" s="14" t="s">
        <v>325</v>
      </c>
    </row>
    <row r="2744" spans="1:7">
      <c r="A2744">
        <v>95</v>
      </c>
      <c r="B2744">
        <v>9</v>
      </c>
      <c r="C2744">
        <v>1</v>
      </c>
      <c r="E2744">
        <v>1</v>
      </c>
      <c r="F2744" t="str">
        <f t="shared" si="42"/>
        <v>F959G1T1</v>
      </c>
      <c r="G2744" s="14" t="s">
        <v>325</v>
      </c>
    </row>
    <row r="2745" spans="1:7">
      <c r="A2745">
        <v>95</v>
      </c>
      <c r="B2745">
        <v>9</v>
      </c>
      <c r="C2745">
        <v>3</v>
      </c>
      <c r="E2745">
        <v>4</v>
      </c>
      <c r="F2745" t="str">
        <f t="shared" si="42"/>
        <v>F959G3T4</v>
      </c>
      <c r="G2745" s="14" t="s">
        <v>325</v>
      </c>
    </row>
    <row r="2746" spans="1:7">
      <c r="A2746">
        <v>95</v>
      </c>
      <c r="B2746">
        <v>9</v>
      </c>
      <c r="C2746">
        <v>4</v>
      </c>
      <c r="E2746">
        <v>4</v>
      </c>
      <c r="F2746" t="str">
        <f t="shared" si="42"/>
        <v>F959G4T4</v>
      </c>
      <c r="G2746" s="14" t="s">
        <v>325</v>
      </c>
    </row>
    <row r="2747" spans="1:7">
      <c r="A2747">
        <v>95</v>
      </c>
      <c r="B2747">
        <v>9</v>
      </c>
      <c r="C2747">
        <v>1</v>
      </c>
      <c r="E2747">
        <v>4</v>
      </c>
      <c r="F2747" t="str">
        <f t="shared" si="42"/>
        <v>F959G1T4</v>
      </c>
      <c r="G2747" s="14" t="s">
        <v>325</v>
      </c>
    </row>
    <row r="2748" spans="1:7">
      <c r="A2748">
        <v>95</v>
      </c>
      <c r="B2748">
        <v>9</v>
      </c>
      <c r="C2748">
        <v>3</v>
      </c>
      <c r="E2748">
        <v>3</v>
      </c>
      <c r="F2748" t="str">
        <f t="shared" si="42"/>
        <v>F959G3T3</v>
      </c>
      <c r="G2748" s="14" t="s">
        <v>326</v>
      </c>
    </row>
    <row r="2749" spans="1:7">
      <c r="A2749">
        <v>95</v>
      </c>
      <c r="B2749">
        <v>9</v>
      </c>
      <c r="C2749">
        <v>4</v>
      </c>
      <c r="E2749">
        <v>3</v>
      </c>
      <c r="F2749" t="str">
        <f t="shared" si="42"/>
        <v>F959G4T3</v>
      </c>
      <c r="G2749" s="14" t="s">
        <v>326</v>
      </c>
    </row>
    <row r="2750" spans="1:7">
      <c r="A2750">
        <v>95</v>
      </c>
      <c r="B2750">
        <v>9</v>
      </c>
      <c r="C2750">
        <v>1</v>
      </c>
      <c r="E2750">
        <v>3</v>
      </c>
      <c r="F2750" t="str">
        <f t="shared" si="42"/>
        <v>F959G1T3</v>
      </c>
      <c r="G2750" s="14" t="s">
        <v>326</v>
      </c>
    </row>
    <row r="2751" spans="1:7">
      <c r="A2751">
        <v>95</v>
      </c>
      <c r="B2751">
        <v>9</v>
      </c>
      <c r="C2751">
        <v>3</v>
      </c>
      <c r="E2751">
        <v>2</v>
      </c>
      <c r="F2751" t="str">
        <f t="shared" si="42"/>
        <v>F959G3T2</v>
      </c>
      <c r="G2751" s="14">
        <v>18</v>
      </c>
    </row>
    <row r="2752" spans="1:7">
      <c r="A2752">
        <v>95</v>
      </c>
      <c r="B2752">
        <v>9</v>
      </c>
      <c r="C2752">
        <v>4</v>
      </c>
      <c r="E2752">
        <v>2</v>
      </c>
      <c r="F2752" t="str">
        <f t="shared" si="42"/>
        <v>F959G4T2</v>
      </c>
      <c r="G2752" s="14">
        <v>18</v>
      </c>
    </row>
    <row r="2753" spans="1:7">
      <c r="A2753">
        <v>95</v>
      </c>
      <c r="B2753">
        <v>9</v>
      </c>
      <c r="C2753">
        <v>1</v>
      </c>
      <c r="E2753">
        <v>2</v>
      </c>
      <c r="F2753" t="str">
        <f t="shared" si="42"/>
        <v>F959G1T2</v>
      </c>
      <c r="G2753" s="14">
        <v>18</v>
      </c>
    </row>
    <row r="2754" spans="1:7">
      <c r="A2754">
        <v>21</v>
      </c>
      <c r="B2754">
        <v>1</v>
      </c>
      <c r="C2754">
        <v>1</v>
      </c>
      <c r="E2754">
        <v>1</v>
      </c>
      <c r="F2754" t="str">
        <f t="shared" si="42"/>
        <v>F211G1T1</v>
      </c>
      <c r="G2754" s="14" t="s">
        <v>56</v>
      </c>
    </row>
    <row r="2755" spans="1:7">
      <c r="A2755">
        <v>21</v>
      </c>
      <c r="B2755">
        <v>2</v>
      </c>
      <c r="C2755">
        <v>1</v>
      </c>
      <c r="E2755">
        <v>1</v>
      </c>
      <c r="F2755" t="str">
        <f t="shared" ref="F2755:F2818" si="43">CONCATENATE("F",A2755,B2755,"G",C2755,"T",E2755)</f>
        <v>F212G1T1</v>
      </c>
      <c r="G2755" s="14" t="s">
        <v>56</v>
      </c>
    </row>
    <row r="2756" spans="1:7">
      <c r="A2756">
        <v>21</v>
      </c>
      <c r="B2756">
        <v>4</v>
      </c>
      <c r="C2756">
        <v>1</v>
      </c>
      <c r="E2756">
        <v>1</v>
      </c>
      <c r="F2756" t="str">
        <f t="shared" si="43"/>
        <v>F214G1T1</v>
      </c>
      <c r="G2756" s="14" t="s">
        <v>56</v>
      </c>
    </row>
    <row r="2757" spans="1:7">
      <c r="A2757">
        <v>21</v>
      </c>
      <c r="B2757">
        <v>5</v>
      </c>
      <c r="C2757">
        <v>1</v>
      </c>
      <c r="E2757">
        <v>1</v>
      </c>
      <c r="F2757" t="str">
        <f t="shared" si="43"/>
        <v>F215G1T1</v>
      </c>
      <c r="G2757" s="14" t="s">
        <v>56</v>
      </c>
    </row>
    <row r="2758" spans="1:7">
      <c r="A2758">
        <v>21</v>
      </c>
      <c r="B2758">
        <v>6</v>
      </c>
      <c r="C2758">
        <v>1</v>
      </c>
      <c r="E2758">
        <v>1</v>
      </c>
      <c r="F2758" t="str">
        <f t="shared" si="43"/>
        <v>F216G1T1</v>
      </c>
      <c r="G2758" s="14" t="s">
        <v>56</v>
      </c>
    </row>
    <row r="2759" spans="1:7">
      <c r="A2759">
        <v>21</v>
      </c>
      <c r="B2759">
        <v>7</v>
      </c>
      <c r="C2759">
        <v>1</v>
      </c>
      <c r="E2759">
        <v>1</v>
      </c>
      <c r="F2759" t="str">
        <f t="shared" si="43"/>
        <v>F217G1T1</v>
      </c>
      <c r="G2759" s="14" t="s">
        <v>56</v>
      </c>
    </row>
    <row r="2760" spans="1:7">
      <c r="A2760">
        <v>21</v>
      </c>
      <c r="B2760">
        <v>8</v>
      </c>
      <c r="C2760">
        <v>1</v>
      </c>
      <c r="E2760">
        <v>1</v>
      </c>
      <c r="F2760" t="str">
        <f t="shared" si="43"/>
        <v>F218G1T1</v>
      </c>
      <c r="G2760" s="14" t="s">
        <v>56</v>
      </c>
    </row>
    <row r="2761" spans="1:7">
      <c r="A2761">
        <v>21</v>
      </c>
      <c r="B2761">
        <v>1</v>
      </c>
      <c r="C2761">
        <v>1</v>
      </c>
      <c r="E2761">
        <v>4</v>
      </c>
      <c r="F2761" t="str">
        <f t="shared" si="43"/>
        <v>F211G1T4</v>
      </c>
      <c r="G2761" s="14" t="s">
        <v>56</v>
      </c>
    </row>
    <row r="2762" spans="1:7">
      <c r="A2762">
        <v>21</v>
      </c>
      <c r="B2762">
        <v>2</v>
      </c>
      <c r="C2762">
        <v>1</v>
      </c>
      <c r="E2762">
        <v>4</v>
      </c>
      <c r="F2762" t="str">
        <f t="shared" si="43"/>
        <v>F212G1T4</v>
      </c>
      <c r="G2762" s="14" t="s">
        <v>56</v>
      </c>
    </row>
    <row r="2763" spans="1:7">
      <c r="A2763">
        <v>21</v>
      </c>
      <c r="B2763">
        <v>4</v>
      </c>
      <c r="C2763">
        <v>1</v>
      </c>
      <c r="E2763">
        <v>4</v>
      </c>
      <c r="F2763" t="str">
        <f t="shared" si="43"/>
        <v>F214G1T4</v>
      </c>
      <c r="G2763" s="14" t="s">
        <v>56</v>
      </c>
    </row>
    <row r="2764" spans="1:7">
      <c r="A2764">
        <v>21</v>
      </c>
      <c r="B2764">
        <v>5</v>
      </c>
      <c r="C2764">
        <v>1</v>
      </c>
      <c r="E2764">
        <v>4</v>
      </c>
      <c r="F2764" t="str">
        <f t="shared" si="43"/>
        <v>F215G1T4</v>
      </c>
      <c r="G2764" s="14" t="s">
        <v>56</v>
      </c>
    </row>
    <row r="2765" spans="1:7">
      <c r="A2765">
        <v>21</v>
      </c>
      <c r="B2765">
        <v>6</v>
      </c>
      <c r="C2765">
        <v>1</v>
      </c>
      <c r="E2765">
        <v>4</v>
      </c>
      <c r="F2765" t="str">
        <f t="shared" si="43"/>
        <v>F216G1T4</v>
      </c>
      <c r="G2765" s="14" t="s">
        <v>56</v>
      </c>
    </row>
    <row r="2766" spans="1:7">
      <c r="A2766">
        <v>21</v>
      </c>
      <c r="B2766">
        <v>7</v>
      </c>
      <c r="C2766">
        <v>1</v>
      </c>
      <c r="E2766">
        <v>4</v>
      </c>
      <c r="F2766" t="str">
        <f t="shared" si="43"/>
        <v>F217G1T4</v>
      </c>
      <c r="G2766" s="14" t="s">
        <v>56</v>
      </c>
    </row>
    <row r="2767" spans="1:7">
      <c r="A2767">
        <v>21</v>
      </c>
      <c r="B2767">
        <v>8</v>
      </c>
      <c r="C2767">
        <v>1</v>
      </c>
      <c r="E2767">
        <v>4</v>
      </c>
      <c r="F2767" t="str">
        <f t="shared" si="43"/>
        <v>F218G1T4</v>
      </c>
      <c r="G2767" s="14" t="s">
        <v>56</v>
      </c>
    </row>
    <row r="2768" spans="1:7">
      <c r="A2768">
        <v>23</v>
      </c>
      <c r="B2768">
        <v>1</v>
      </c>
      <c r="C2768">
        <v>1</v>
      </c>
      <c r="E2768">
        <v>1</v>
      </c>
      <c r="F2768" t="str">
        <f t="shared" si="43"/>
        <v>F231G1T1</v>
      </c>
      <c r="G2768" s="14" t="s">
        <v>56</v>
      </c>
    </row>
    <row r="2769" spans="1:7">
      <c r="A2769">
        <v>23</v>
      </c>
      <c r="B2769">
        <v>2</v>
      </c>
      <c r="C2769">
        <v>1</v>
      </c>
      <c r="E2769">
        <v>1</v>
      </c>
      <c r="F2769" t="str">
        <f t="shared" si="43"/>
        <v>F232G1T1</v>
      </c>
      <c r="G2769" s="14" t="s">
        <v>56</v>
      </c>
    </row>
    <row r="2770" spans="1:7">
      <c r="A2770">
        <v>23</v>
      </c>
      <c r="B2770">
        <v>4</v>
      </c>
      <c r="C2770">
        <v>1</v>
      </c>
      <c r="E2770">
        <v>1</v>
      </c>
      <c r="F2770" t="str">
        <f t="shared" si="43"/>
        <v>F234G1T1</v>
      </c>
      <c r="G2770" s="14" t="s">
        <v>56</v>
      </c>
    </row>
    <row r="2771" spans="1:7">
      <c r="A2771">
        <v>23</v>
      </c>
      <c r="B2771">
        <v>5</v>
      </c>
      <c r="C2771">
        <v>1</v>
      </c>
      <c r="E2771">
        <v>1</v>
      </c>
      <c r="F2771" t="str">
        <f t="shared" si="43"/>
        <v>F235G1T1</v>
      </c>
      <c r="G2771" s="14" t="s">
        <v>56</v>
      </c>
    </row>
    <row r="2772" spans="1:7">
      <c r="A2772">
        <v>23</v>
      </c>
      <c r="B2772">
        <v>6</v>
      </c>
      <c r="C2772">
        <v>1</v>
      </c>
      <c r="E2772">
        <v>1</v>
      </c>
      <c r="F2772" t="str">
        <f t="shared" si="43"/>
        <v>F236G1T1</v>
      </c>
      <c r="G2772" s="14" t="s">
        <v>56</v>
      </c>
    </row>
    <row r="2773" spans="1:7">
      <c r="A2773">
        <v>23</v>
      </c>
      <c r="B2773">
        <v>7</v>
      </c>
      <c r="C2773">
        <v>1</v>
      </c>
      <c r="E2773">
        <v>1</v>
      </c>
      <c r="F2773" t="str">
        <f t="shared" si="43"/>
        <v>F237G1T1</v>
      </c>
      <c r="G2773" s="14" t="s">
        <v>56</v>
      </c>
    </row>
    <row r="2774" spans="1:7">
      <c r="A2774">
        <v>23</v>
      </c>
      <c r="B2774">
        <v>8</v>
      </c>
      <c r="C2774">
        <v>1</v>
      </c>
      <c r="E2774">
        <v>1</v>
      </c>
      <c r="F2774" t="str">
        <f t="shared" si="43"/>
        <v>F238G1T1</v>
      </c>
      <c r="G2774" s="14" t="s">
        <v>56</v>
      </c>
    </row>
    <row r="2775" spans="1:7">
      <c r="A2775">
        <v>23</v>
      </c>
      <c r="B2775">
        <v>1</v>
      </c>
      <c r="C2775">
        <v>1</v>
      </c>
      <c r="E2775">
        <v>4</v>
      </c>
      <c r="F2775" t="str">
        <f t="shared" si="43"/>
        <v>F231G1T4</v>
      </c>
      <c r="G2775" s="14" t="s">
        <v>56</v>
      </c>
    </row>
    <row r="2776" spans="1:7">
      <c r="A2776">
        <v>23</v>
      </c>
      <c r="B2776">
        <v>2</v>
      </c>
      <c r="C2776">
        <v>1</v>
      </c>
      <c r="E2776">
        <v>4</v>
      </c>
      <c r="F2776" t="str">
        <f t="shared" si="43"/>
        <v>F232G1T4</v>
      </c>
      <c r="G2776" s="14" t="s">
        <v>56</v>
      </c>
    </row>
    <row r="2777" spans="1:7">
      <c r="A2777">
        <v>23</v>
      </c>
      <c r="B2777">
        <v>4</v>
      </c>
      <c r="C2777">
        <v>1</v>
      </c>
      <c r="E2777">
        <v>4</v>
      </c>
      <c r="F2777" t="str">
        <f t="shared" si="43"/>
        <v>F234G1T4</v>
      </c>
      <c r="G2777" s="14" t="s">
        <v>56</v>
      </c>
    </row>
    <row r="2778" spans="1:7">
      <c r="A2778">
        <v>23</v>
      </c>
      <c r="B2778">
        <v>5</v>
      </c>
      <c r="C2778">
        <v>1</v>
      </c>
      <c r="E2778">
        <v>4</v>
      </c>
      <c r="F2778" t="str">
        <f t="shared" si="43"/>
        <v>F235G1T4</v>
      </c>
      <c r="G2778" s="14" t="s">
        <v>56</v>
      </c>
    </row>
    <row r="2779" spans="1:7">
      <c r="A2779">
        <v>23</v>
      </c>
      <c r="B2779">
        <v>6</v>
      </c>
      <c r="C2779">
        <v>1</v>
      </c>
      <c r="E2779">
        <v>4</v>
      </c>
      <c r="F2779" t="str">
        <f t="shared" si="43"/>
        <v>F236G1T4</v>
      </c>
      <c r="G2779" s="14" t="s">
        <v>56</v>
      </c>
    </row>
    <row r="2780" spans="1:7">
      <c r="A2780">
        <v>23</v>
      </c>
      <c r="B2780">
        <v>7</v>
      </c>
      <c r="C2780">
        <v>1</v>
      </c>
      <c r="E2780">
        <v>4</v>
      </c>
      <c r="F2780" t="str">
        <f t="shared" si="43"/>
        <v>F237G1T4</v>
      </c>
      <c r="G2780" s="14" t="s">
        <v>56</v>
      </c>
    </row>
    <row r="2781" spans="1:7">
      <c r="A2781">
        <v>23</v>
      </c>
      <c r="B2781">
        <v>8</v>
      </c>
      <c r="C2781">
        <v>1</v>
      </c>
      <c r="E2781">
        <v>4</v>
      </c>
      <c r="F2781" t="str">
        <f t="shared" si="43"/>
        <v>F238G1T4</v>
      </c>
      <c r="G2781" s="14" t="s">
        <v>56</v>
      </c>
    </row>
    <row r="2782" spans="1:7">
      <c r="A2782">
        <v>24</v>
      </c>
      <c r="B2782">
        <v>1</v>
      </c>
      <c r="C2782">
        <v>1</v>
      </c>
      <c r="E2782">
        <v>1</v>
      </c>
      <c r="F2782" t="str">
        <f t="shared" si="43"/>
        <v>F241G1T1</v>
      </c>
      <c r="G2782" s="14" t="s">
        <v>56</v>
      </c>
    </row>
    <row r="2783" spans="1:7">
      <c r="A2783">
        <v>24</v>
      </c>
      <c r="B2783">
        <v>2</v>
      </c>
      <c r="C2783">
        <v>1</v>
      </c>
      <c r="E2783">
        <v>1</v>
      </c>
      <c r="F2783" t="str">
        <f t="shared" si="43"/>
        <v>F242G1T1</v>
      </c>
      <c r="G2783" s="14" t="s">
        <v>56</v>
      </c>
    </row>
    <row r="2784" spans="1:7">
      <c r="A2784">
        <v>24</v>
      </c>
      <c r="B2784">
        <v>4</v>
      </c>
      <c r="C2784">
        <v>1</v>
      </c>
      <c r="E2784">
        <v>1</v>
      </c>
      <c r="F2784" t="str">
        <f t="shared" si="43"/>
        <v>F244G1T1</v>
      </c>
      <c r="G2784" s="14" t="s">
        <v>56</v>
      </c>
    </row>
    <row r="2785" spans="1:7">
      <c r="A2785">
        <v>24</v>
      </c>
      <c r="B2785">
        <v>5</v>
      </c>
      <c r="C2785">
        <v>1</v>
      </c>
      <c r="E2785">
        <v>1</v>
      </c>
      <c r="F2785" t="str">
        <f t="shared" si="43"/>
        <v>F245G1T1</v>
      </c>
      <c r="G2785" s="14" t="s">
        <v>56</v>
      </c>
    </row>
    <row r="2786" spans="1:7">
      <c r="A2786">
        <v>24</v>
      </c>
      <c r="B2786">
        <v>6</v>
      </c>
      <c r="C2786">
        <v>1</v>
      </c>
      <c r="E2786">
        <v>1</v>
      </c>
      <c r="F2786" t="str">
        <f t="shared" si="43"/>
        <v>F246G1T1</v>
      </c>
      <c r="G2786" s="14" t="s">
        <v>56</v>
      </c>
    </row>
    <row r="2787" spans="1:7">
      <c r="A2787">
        <v>24</v>
      </c>
      <c r="B2787">
        <v>7</v>
      </c>
      <c r="C2787">
        <v>1</v>
      </c>
      <c r="E2787">
        <v>1</v>
      </c>
      <c r="F2787" t="str">
        <f t="shared" si="43"/>
        <v>F247G1T1</v>
      </c>
      <c r="G2787" s="14" t="s">
        <v>56</v>
      </c>
    </row>
    <row r="2788" spans="1:7">
      <c r="A2788">
        <v>24</v>
      </c>
      <c r="B2788">
        <v>8</v>
      </c>
      <c r="C2788">
        <v>1</v>
      </c>
      <c r="E2788">
        <v>1</v>
      </c>
      <c r="F2788" t="str">
        <f t="shared" si="43"/>
        <v>F248G1T1</v>
      </c>
      <c r="G2788" s="14" t="s">
        <v>56</v>
      </c>
    </row>
    <row r="2789" spans="1:7">
      <c r="A2789">
        <v>24</v>
      </c>
      <c r="B2789">
        <v>1</v>
      </c>
      <c r="C2789">
        <v>1</v>
      </c>
      <c r="E2789">
        <v>4</v>
      </c>
      <c r="F2789" t="str">
        <f t="shared" si="43"/>
        <v>F241G1T4</v>
      </c>
      <c r="G2789" s="14" t="s">
        <v>56</v>
      </c>
    </row>
    <row r="2790" spans="1:7">
      <c r="A2790">
        <v>24</v>
      </c>
      <c r="B2790">
        <v>2</v>
      </c>
      <c r="C2790">
        <v>1</v>
      </c>
      <c r="E2790">
        <v>4</v>
      </c>
      <c r="F2790" t="str">
        <f t="shared" si="43"/>
        <v>F242G1T4</v>
      </c>
      <c r="G2790" s="14" t="s">
        <v>56</v>
      </c>
    </row>
    <row r="2791" spans="1:7">
      <c r="A2791">
        <v>24</v>
      </c>
      <c r="B2791">
        <v>4</v>
      </c>
      <c r="C2791">
        <v>1</v>
      </c>
      <c r="E2791">
        <v>4</v>
      </c>
      <c r="F2791" t="str">
        <f t="shared" si="43"/>
        <v>F244G1T4</v>
      </c>
      <c r="G2791" s="14" t="s">
        <v>56</v>
      </c>
    </row>
    <row r="2792" spans="1:7">
      <c r="A2792">
        <v>24</v>
      </c>
      <c r="B2792">
        <v>5</v>
      </c>
      <c r="C2792">
        <v>1</v>
      </c>
      <c r="E2792">
        <v>4</v>
      </c>
      <c r="F2792" t="str">
        <f t="shared" si="43"/>
        <v>F245G1T4</v>
      </c>
      <c r="G2792" s="14" t="s">
        <v>56</v>
      </c>
    </row>
    <row r="2793" spans="1:7">
      <c r="A2793">
        <v>24</v>
      </c>
      <c r="B2793">
        <v>6</v>
      </c>
      <c r="C2793">
        <v>1</v>
      </c>
      <c r="E2793">
        <v>4</v>
      </c>
      <c r="F2793" t="str">
        <f t="shared" si="43"/>
        <v>F246G1T4</v>
      </c>
      <c r="G2793" s="14" t="s">
        <v>56</v>
      </c>
    </row>
    <row r="2794" spans="1:7">
      <c r="A2794">
        <v>24</v>
      </c>
      <c r="B2794">
        <v>7</v>
      </c>
      <c r="C2794">
        <v>1</v>
      </c>
      <c r="E2794">
        <v>4</v>
      </c>
      <c r="F2794" t="str">
        <f t="shared" si="43"/>
        <v>F247G1T4</v>
      </c>
      <c r="G2794" s="14" t="s">
        <v>56</v>
      </c>
    </row>
    <row r="2795" spans="1:7">
      <c r="A2795">
        <v>24</v>
      </c>
      <c r="B2795">
        <v>8</v>
      </c>
      <c r="C2795">
        <v>1</v>
      </c>
      <c r="E2795">
        <v>4</v>
      </c>
      <c r="F2795" t="str">
        <f t="shared" si="43"/>
        <v>F248G1T4</v>
      </c>
      <c r="G2795" s="14" t="s">
        <v>56</v>
      </c>
    </row>
    <row r="2796" spans="1:7">
      <c r="A2796">
        <v>25</v>
      </c>
      <c r="B2796">
        <v>1</v>
      </c>
      <c r="C2796">
        <v>1</v>
      </c>
      <c r="E2796">
        <v>1</v>
      </c>
      <c r="F2796" t="str">
        <f t="shared" si="43"/>
        <v>F251G1T1</v>
      </c>
      <c r="G2796" s="14" t="s">
        <v>56</v>
      </c>
    </row>
    <row r="2797" spans="1:7">
      <c r="A2797">
        <v>25</v>
      </c>
      <c r="B2797">
        <v>2</v>
      </c>
      <c r="C2797">
        <v>1</v>
      </c>
      <c r="E2797">
        <v>1</v>
      </c>
      <c r="F2797" t="str">
        <f t="shared" si="43"/>
        <v>F252G1T1</v>
      </c>
      <c r="G2797" s="14" t="s">
        <v>56</v>
      </c>
    </row>
    <row r="2798" spans="1:7">
      <c r="A2798">
        <v>25</v>
      </c>
      <c r="B2798">
        <v>4</v>
      </c>
      <c r="C2798">
        <v>1</v>
      </c>
      <c r="E2798">
        <v>1</v>
      </c>
      <c r="F2798" t="str">
        <f t="shared" si="43"/>
        <v>F254G1T1</v>
      </c>
      <c r="G2798" s="14" t="s">
        <v>56</v>
      </c>
    </row>
    <row r="2799" spans="1:7">
      <c r="A2799">
        <v>25</v>
      </c>
      <c r="B2799">
        <v>5</v>
      </c>
      <c r="C2799">
        <v>1</v>
      </c>
      <c r="E2799">
        <v>1</v>
      </c>
      <c r="F2799" t="str">
        <f t="shared" si="43"/>
        <v>F255G1T1</v>
      </c>
      <c r="G2799" s="14" t="s">
        <v>56</v>
      </c>
    </row>
    <row r="2800" spans="1:7">
      <c r="A2800">
        <v>25</v>
      </c>
      <c r="B2800">
        <v>6</v>
      </c>
      <c r="C2800">
        <v>1</v>
      </c>
      <c r="E2800">
        <v>1</v>
      </c>
      <c r="F2800" t="str">
        <f t="shared" si="43"/>
        <v>F256G1T1</v>
      </c>
      <c r="G2800" s="14" t="s">
        <v>56</v>
      </c>
    </row>
    <row r="2801" spans="1:7">
      <c r="A2801">
        <v>25</v>
      </c>
      <c r="B2801">
        <v>7</v>
      </c>
      <c r="C2801">
        <v>1</v>
      </c>
      <c r="E2801">
        <v>1</v>
      </c>
      <c r="F2801" t="str">
        <f t="shared" si="43"/>
        <v>F257G1T1</v>
      </c>
      <c r="G2801" s="14" t="s">
        <v>56</v>
      </c>
    </row>
    <row r="2802" spans="1:7">
      <c r="A2802">
        <v>25</v>
      </c>
      <c r="B2802">
        <v>8</v>
      </c>
      <c r="C2802">
        <v>1</v>
      </c>
      <c r="E2802">
        <v>1</v>
      </c>
      <c r="F2802" t="str">
        <f t="shared" si="43"/>
        <v>F258G1T1</v>
      </c>
      <c r="G2802" s="14" t="s">
        <v>56</v>
      </c>
    </row>
    <row r="2803" spans="1:7">
      <c r="A2803">
        <v>25</v>
      </c>
      <c r="B2803">
        <v>1</v>
      </c>
      <c r="C2803">
        <v>1</v>
      </c>
      <c r="E2803">
        <v>4</v>
      </c>
      <c r="F2803" t="str">
        <f t="shared" si="43"/>
        <v>F251G1T4</v>
      </c>
      <c r="G2803" s="14" t="s">
        <v>56</v>
      </c>
    </row>
    <row r="2804" spans="1:7">
      <c r="A2804">
        <v>25</v>
      </c>
      <c r="B2804">
        <v>2</v>
      </c>
      <c r="C2804">
        <v>1</v>
      </c>
      <c r="E2804">
        <v>4</v>
      </c>
      <c r="F2804" t="str">
        <f t="shared" si="43"/>
        <v>F252G1T4</v>
      </c>
      <c r="G2804" s="14" t="s">
        <v>56</v>
      </c>
    </row>
    <row r="2805" spans="1:7">
      <c r="A2805">
        <v>25</v>
      </c>
      <c r="B2805">
        <v>4</v>
      </c>
      <c r="C2805">
        <v>1</v>
      </c>
      <c r="E2805">
        <v>4</v>
      </c>
      <c r="F2805" t="str">
        <f t="shared" si="43"/>
        <v>F254G1T4</v>
      </c>
      <c r="G2805" s="14" t="s">
        <v>56</v>
      </c>
    </row>
    <row r="2806" spans="1:7">
      <c r="A2806">
        <v>25</v>
      </c>
      <c r="B2806">
        <v>5</v>
      </c>
      <c r="C2806">
        <v>1</v>
      </c>
      <c r="E2806">
        <v>4</v>
      </c>
      <c r="F2806" t="str">
        <f t="shared" si="43"/>
        <v>F255G1T4</v>
      </c>
      <c r="G2806" s="14" t="s">
        <v>56</v>
      </c>
    </row>
    <row r="2807" spans="1:7">
      <c r="A2807">
        <v>25</v>
      </c>
      <c r="B2807">
        <v>6</v>
      </c>
      <c r="C2807">
        <v>1</v>
      </c>
      <c r="E2807">
        <v>4</v>
      </c>
      <c r="F2807" t="str">
        <f t="shared" si="43"/>
        <v>F256G1T4</v>
      </c>
      <c r="G2807" s="14" t="s">
        <v>56</v>
      </c>
    </row>
    <row r="2808" spans="1:7">
      <c r="A2808">
        <v>25</v>
      </c>
      <c r="B2808">
        <v>7</v>
      </c>
      <c r="C2808">
        <v>1</v>
      </c>
      <c r="E2808">
        <v>4</v>
      </c>
      <c r="F2808" t="str">
        <f t="shared" si="43"/>
        <v>F257G1T4</v>
      </c>
      <c r="G2808" s="14" t="s">
        <v>56</v>
      </c>
    </row>
    <row r="2809" spans="1:7">
      <c r="A2809">
        <v>25</v>
      </c>
      <c r="B2809">
        <v>8</v>
      </c>
      <c r="C2809">
        <v>1</v>
      </c>
      <c r="E2809">
        <v>4</v>
      </c>
      <c r="F2809" t="str">
        <f t="shared" si="43"/>
        <v>F258G1T4</v>
      </c>
      <c r="G2809" s="14" t="s">
        <v>56</v>
      </c>
    </row>
    <row r="2810" spans="1:7">
      <c r="A2810">
        <v>36</v>
      </c>
      <c r="B2810">
        <v>1</v>
      </c>
      <c r="C2810">
        <v>1</v>
      </c>
      <c r="E2810">
        <v>1</v>
      </c>
      <c r="F2810" t="str">
        <f t="shared" si="43"/>
        <v>F361G1T1</v>
      </c>
      <c r="G2810" s="14" t="s">
        <v>56</v>
      </c>
    </row>
    <row r="2811" spans="1:7">
      <c r="A2811">
        <v>36</v>
      </c>
      <c r="B2811">
        <v>2</v>
      </c>
      <c r="C2811">
        <v>1</v>
      </c>
      <c r="E2811">
        <v>1</v>
      </c>
      <c r="F2811" t="str">
        <f t="shared" si="43"/>
        <v>F362G1T1</v>
      </c>
      <c r="G2811" s="14" t="s">
        <v>56</v>
      </c>
    </row>
    <row r="2812" spans="1:7">
      <c r="A2812">
        <v>36</v>
      </c>
      <c r="B2812">
        <v>4</v>
      </c>
      <c r="C2812">
        <v>1</v>
      </c>
      <c r="E2812">
        <v>1</v>
      </c>
      <c r="F2812" t="str">
        <f t="shared" si="43"/>
        <v>F364G1T1</v>
      </c>
      <c r="G2812" s="14" t="s">
        <v>56</v>
      </c>
    </row>
    <row r="2813" spans="1:7">
      <c r="A2813">
        <v>36</v>
      </c>
      <c r="B2813">
        <v>5</v>
      </c>
      <c r="C2813">
        <v>1</v>
      </c>
      <c r="E2813">
        <v>1</v>
      </c>
      <c r="F2813" t="str">
        <f t="shared" si="43"/>
        <v>F365G1T1</v>
      </c>
      <c r="G2813" s="14" t="s">
        <v>56</v>
      </c>
    </row>
    <row r="2814" spans="1:7">
      <c r="A2814">
        <v>36</v>
      </c>
      <c r="B2814">
        <v>6</v>
      </c>
      <c r="C2814">
        <v>1</v>
      </c>
      <c r="E2814">
        <v>1</v>
      </c>
      <c r="F2814" t="str">
        <f t="shared" si="43"/>
        <v>F366G1T1</v>
      </c>
      <c r="G2814" s="14" t="s">
        <v>56</v>
      </c>
    </row>
    <row r="2815" spans="1:7">
      <c r="A2815">
        <v>36</v>
      </c>
      <c r="B2815">
        <v>7</v>
      </c>
      <c r="C2815">
        <v>1</v>
      </c>
      <c r="E2815">
        <v>1</v>
      </c>
      <c r="F2815" t="str">
        <f t="shared" si="43"/>
        <v>F367G1T1</v>
      </c>
      <c r="G2815" s="14" t="s">
        <v>56</v>
      </c>
    </row>
    <row r="2816" spans="1:7">
      <c r="A2816">
        <v>36</v>
      </c>
      <c r="B2816">
        <v>8</v>
      </c>
      <c r="C2816">
        <v>1</v>
      </c>
      <c r="E2816">
        <v>1</v>
      </c>
      <c r="F2816" t="str">
        <f t="shared" si="43"/>
        <v>F368G1T1</v>
      </c>
      <c r="G2816" s="14" t="s">
        <v>56</v>
      </c>
    </row>
    <row r="2817" spans="1:7">
      <c r="A2817">
        <v>36</v>
      </c>
      <c r="B2817">
        <v>1</v>
      </c>
      <c r="C2817">
        <v>1</v>
      </c>
      <c r="E2817">
        <v>4</v>
      </c>
      <c r="F2817" t="str">
        <f t="shared" si="43"/>
        <v>F361G1T4</v>
      </c>
      <c r="G2817" s="14" t="s">
        <v>56</v>
      </c>
    </row>
    <row r="2818" spans="1:7">
      <c r="A2818">
        <v>36</v>
      </c>
      <c r="B2818">
        <v>2</v>
      </c>
      <c r="C2818">
        <v>1</v>
      </c>
      <c r="E2818">
        <v>4</v>
      </c>
      <c r="F2818" t="str">
        <f t="shared" si="43"/>
        <v>F362G1T4</v>
      </c>
      <c r="G2818" s="14" t="s">
        <v>56</v>
      </c>
    </row>
    <row r="2819" spans="1:7">
      <c r="A2819">
        <v>36</v>
      </c>
      <c r="B2819">
        <v>4</v>
      </c>
      <c r="C2819">
        <v>1</v>
      </c>
      <c r="E2819">
        <v>4</v>
      </c>
      <c r="F2819" t="str">
        <f t="shared" ref="F2819:F2882" si="44">CONCATENATE("F",A2819,B2819,"G",C2819,"T",E2819)</f>
        <v>F364G1T4</v>
      </c>
      <c r="G2819" s="14" t="s">
        <v>56</v>
      </c>
    </row>
    <row r="2820" spans="1:7">
      <c r="A2820">
        <v>36</v>
      </c>
      <c r="B2820">
        <v>5</v>
      </c>
      <c r="C2820">
        <v>1</v>
      </c>
      <c r="E2820">
        <v>4</v>
      </c>
      <c r="F2820" t="str">
        <f t="shared" si="44"/>
        <v>F365G1T4</v>
      </c>
      <c r="G2820" s="14" t="s">
        <v>56</v>
      </c>
    </row>
    <row r="2821" spans="1:7">
      <c r="A2821">
        <v>36</v>
      </c>
      <c r="B2821">
        <v>6</v>
      </c>
      <c r="C2821">
        <v>1</v>
      </c>
      <c r="E2821">
        <v>4</v>
      </c>
      <c r="F2821" t="str">
        <f t="shared" si="44"/>
        <v>F366G1T4</v>
      </c>
      <c r="G2821" s="14" t="s">
        <v>56</v>
      </c>
    </row>
    <row r="2822" spans="1:7">
      <c r="A2822">
        <v>36</v>
      </c>
      <c r="B2822">
        <v>7</v>
      </c>
      <c r="C2822">
        <v>1</v>
      </c>
      <c r="E2822">
        <v>4</v>
      </c>
      <c r="F2822" t="str">
        <f t="shared" si="44"/>
        <v>F367G1T4</v>
      </c>
      <c r="G2822" s="14" t="s">
        <v>56</v>
      </c>
    </row>
    <row r="2823" spans="1:7">
      <c r="A2823">
        <v>36</v>
      </c>
      <c r="B2823">
        <v>8</v>
      </c>
      <c r="C2823">
        <v>1</v>
      </c>
      <c r="E2823">
        <v>4</v>
      </c>
      <c r="F2823" t="str">
        <f t="shared" si="44"/>
        <v>F368G1T4</v>
      </c>
      <c r="G2823" s="14" t="s">
        <v>56</v>
      </c>
    </row>
    <row r="2824" spans="1:7">
      <c r="A2824">
        <v>38</v>
      </c>
      <c r="B2824">
        <v>1</v>
      </c>
      <c r="C2824">
        <v>1</v>
      </c>
      <c r="E2824">
        <v>1</v>
      </c>
      <c r="F2824" t="str">
        <f t="shared" si="44"/>
        <v>F381G1T1</v>
      </c>
      <c r="G2824" s="14" t="s">
        <v>56</v>
      </c>
    </row>
    <row r="2825" spans="1:7">
      <c r="A2825">
        <v>38</v>
      </c>
      <c r="B2825">
        <v>2</v>
      </c>
      <c r="C2825">
        <v>1</v>
      </c>
      <c r="E2825">
        <v>1</v>
      </c>
      <c r="F2825" t="str">
        <f t="shared" si="44"/>
        <v>F382G1T1</v>
      </c>
      <c r="G2825" s="14" t="s">
        <v>56</v>
      </c>
    </row>
    <row r="2826" spans="1:7">
      <c r="A2826">
        <v>38</v>
      </c>
      <c r="B2826">
        <v>4</v>
      </c>
      <c r="C2826">
        <v>1</v>
      </c>
      <c r="E2826">
        <v>1</v>
      </c>
      <c r="F2826" t="str">
        <f t="shared" si="44"/>
        <v>F384G1T1</v>
      </c>
      <c r="G2826" s="14" t="s">
        <v>56</v>
      </c>
    </row>
    <row r="2827" spans="1:7">
      <c r="A2827">
        <v>38</v>
      </c>
      <c r="B2827">
        <v>5</v>
      </c>
      <c r="C2827">
        <v>1</v>
      </c>
      <c r="E2827">
        <v>1</v>
      </c>
      <c r="F2827" t="str">
        <f t="shared" si="44"/>
        <v>F385G1T1</v>
      </c>
      <c r="G2827" s="14" t="s">
        <v>56</v>
      </c>
    </row>
    <row r="2828" spans="1:7">
      <c r="A2828">
        <v>38</v>
      </c>
      <c r="B2828">
        <v>6</v>
      </c>
      <c r="C2828">
        <v>1</v>
      </c>
      <c r="E2828">
        <v>1</v>
      </c>
      <c r="F2828" t="str">
        <f t="shared" si="44"/>
        <v>F386G1T1</v>
      </c>
      <c r="G2828" s="14" t="s">
        <v>56</v>
      </c>
    </row>
    <row r="2829" spans="1:7">
      <c r="A2829">
        <v>38</v>
      </c>
      <c r="B2829">
        <v>7</v>
      </c>
      <c r="C2829">
        <v>1</v>
      </c>
      <c r="E2829">
        <v>1</v>
      </c>
      <c r="F2829" t="str">
        <f t="shared" si="44"/>
        <v>F387G1T1</v>
      </c>
      <c r="G2829" s="14" t="s">
        <v>56</v>
      </c>
    </row>
    <row r="2830" spans="1:7">
      <c r="A2830">
        <v>38</v>
      </c>
      <c r="B2830">
        <v>8</v>
      </c>
      <c r="C2830">
        <v>1</v>
      </c>
      <c r="E2830">
        <v>1</v>
      </c>
      <c r="F2830" t="str">
        <f t="shared" si="44"/>
        <v>F388G1T1</v>
      </c>
      <c r="G2830" s="14" t="s">
        <v>56</v>
      </c>
    </row>
    <row r="2831" spans="1:7">
      <c r="A2831">
        <v>38</v>
      </c>
      <c r="B2831">
        <v>1</v>
      </c>
      <c r="C2831">
        <v>1</v>
      </c>
      <c r="E2831">
        <v>4</v>
      </c>
      <c r="F2831" t="str">
        <f t="shared" si="44"/>
        <v>F381G1T4</v>
      </c>
      <c r="G2831" s="14" t="s">
        <v>56</v>
      </c>
    </row>
    <row r="2832" spans="1:7">
      <c r="A2832">
        <v>38</v>
      </c>
      <c r="B2832">
        <v>2</v>
      </c>
      <c r="C2832">
        <v>1</v>
      </c>
      <c r="E2832">
        <v>4</v>
      </c>
      <c r="F2832" t="str">
        <f t="shared" si="44"/>
        <v>F382G1T4</v>
      </c>
      <c r="G2832" s="14" t="s">
        <v>56</v>
      </c>
    </row>
    <row r="2833" spans="1:7">
      <c r="A2833">
        <v>38</v>
      </c>
      <c r="B2833">
        <v>4</v>
      </c>
      <c r="C2833">
        <v>1</v>
      </c>
      <c r="E2833">
        <v>4</v>
      </c>
      <c r="F2833" t="str">
        <f t="shared" si="44"/>
        <v>F384G1T4</v>
      </c>
      <c r="G2833" s="14" t="s">
        <v>56</v>
      </c>
    </row>
    <row r="2834" spans="1:7">
      <c r="A2834">
        <v>38</v>
      </c>
      <c r="B2834">
        <v>5</v>
      </c>
      <c r="C2834">
        <v>1</v>
      </c>
      <c r="E2834">
        <v>4</v>
      </c>
      <c r="F2834" t="str">
        <f t="shared" si="44"/>
        <v>F385G1T4</v>
      </c>
      <c r="G2834" s="14" t="s">
        <v>56</v>
      </c>
    </row>
    <row r="2835" spans="1:7">
      <c r="A2835">
        <v>38</v>
      </c>
      <c r="B2835">
        <v>6</v>
      </c>
      <c r="C2835">
        <v>1</v>
      </c>
      <c r="E2835">
        <v>4</v>
      </c>
      <c r="F2835" t="str">
        <f t="shared" si="44"/>
        <v>F386G1T4</v>
      </c>
      <c r="G2835" s="14" t="s">
        <v>56</v>
      </c>
    </row>
    <row r="2836" spans="1:7">
      <c r="A2836">
        <v>38</v>
      </c>
      <c r="B2836">
        <v>7</v>
      </c>
      <c r="C2836">
        <v>1</v>
      </c>
      <c r="E2836">
        <v>4</v>
      </c>
      <c r="F2836" t="str">
        <f t="shared" si="44"/>
        <v>F387G1T4</v>
      </c>
      <c r="G2836" s="14" t="s">
        <v>56</v>
      </c>
    </row>
    <row r="2837" spans="1:7">
      <c r="A2837">
        <v>38</v>
      </c>
      <c r="B2837">
        <v>8</v>
      </c>
      <c r="C2837">
        <v>1</v>
      </c>
      <c r="E2837">
        <v>4</v>
      </c>
      <c r="F2837" t="str">
        <f t="shared" si="44"/>
        <v>F388G1T4</v>
      </c>
      <c r="G2837" s="14" t="s">
        <v>56</v>
      </c>
    </row>
    <row r="2838" spans="1:7">
      <c r="A2838">
        <v>42</v>
      </c>
      <c r="B2838">
        <v>1</v>
      </c>
      <c r="C2838">
        <v>1</v>
      </c>
      <c r="E2838">
        <v>1</v>
      </c>
      <c r="F2838" t="str">
        <f t="shared" si="44"/>
        <v>F421G1T1</v>
      </c>
      <c r="G2838" s="14" t="s">
        <v>56</v>
      </c>
    </row>
    <row r="2839" spans="1:7">
      <c r="A2839">
        <v>42</v>
      </c>
      <c r="B2839">
        <v>2</v>
      </c>
      <c r="C2839">
        <v>1</v>
      </c>
      <c r="E2839">
        <v>1</v>
      </c>
      <c r="F2839" t="str">
        <f t="shared" si="44"/>
        <v>F422G1T1</v>
      </c>
      <c r="G2839" s="14" t="s">
        <v>56</v>
      </c>
    </row>
    <row r="2840" spans="1:7">
      <c r="A2840">
        <v>42</v>
      </c>
      <c r="B2840">
        <v>4</v>
      </c>
      <c r="C2840">
        <v>1</v>
      </c>
      <c r="E2840">
        <v>1</v>
      </c>
      <c r="F2840" t="str">
        <f t="shared" si="44"/>
        <v>F424G1T1</v>
      </c>
      <c r="G2840" s="14" t="s">
        <v>56</v>
      </c>
    </row>
    <row r="2841" spans="1:7">
      <c r="A2841">
        <v>42</v>
      </c>
      <c r="B2841">
        <v>5</v>
      </c>
      <c r="C2841">
        <v>1</v>
      </c>
      <c r="E2841">
        <v>1</v>
      </c>
      <c r="F2841" t="str">
        <f t="shared" si="44"/>
        <v>F425G1T1</v>
      </c>
      <c r="G2841" s="14" t="s">
        <v>56</v>
      </c>
    </row>
    <row r="2842" spans="1:7">
      <c r="A2842">
        <v>42</v>
      </c>
      <c r="B2842">
        <v>6</v>
      </c>
      <c r="C2842">
        <v>1</v>
      </c>
      <c r="E2842">
        <v>1</v>
      </c>
      <c r="F2842" t="str">
        <f t="shared" si="44"/>
        <v>F426G1T1</v>
      </c>
      <c r="G2842" s="14" t="s">
        <v>56</v>
      </c>
    </row>
    <row r="2843" spans="1:7">
      <c r="A2843">
        <v>42</v>
      </c>
      <c r="B2843">
        <v>7</v>
      </c>
      <c r="C2843">
        <v>1</v>
      </c>
      <c r="E2843">
        <v>1</v>
      </c>
      <c r="F2843" t="str">
        <f t="shared" si="44"/>
        <v>F427G1T1</v>
      </c>
      <c r="G2843" s="14" t="s">
        <v>56</v>
      </c>
    </row>
    <row r="2844" spans="1:7">
      <c r="A2844">
        <v>42</v>
      </c>
      <c r="B2844">
        <v>8</v>
      </c>
      <c r="C2844">
        <v>1</v>
      </c>
      <c r="E2844">
        <v>1</v>
      </c>
      <c r="F2844" t="str">
        <f t="shared" si="44"/>
        <v>F428G1T1</v>
      </c>
      <c r="G2844" s="14" t="s">
        <v>56</v>
      </c>
    </row>
    <row r="2845" spans="1:7">
      <c r="A2845">
        <v>42</v>
      </c>
      <c r="B2845">
        <v>1</v>
      </c>
      <c r="C2845">
        <v>1</v>
      </c>
      <c r="E2845">
        <v>4</v>
      </c>
      <c r="F2845" t="str">
        <f t="shared" si="44"/>
        <v>F421G1T4</v>
      </c>
      <c r="G2845" s="14" t="s">
        <v>56</v>
      </c>
    </row>
    <row r="2846" spans="1:7">
      <c r="A2846">
        <v>42</v>
      </c>
      <c r="B2846">
        <v>2</v>
      </c>
      <c r="C2846">
        <v>1</v>
      </c>
      <c r="E2846">
        <v>4</v>
      </c>
      <c r="F2846" t="str">
        <f t="shared" si="44"/>
        <v>F422G1T4</v>
      </c>
      <c r="G2846" s="14" t="s">
        <v>56</v>
      </c>
    </row>
    <row r="2847" spans="1:7">
      <c r="A2847">
        <v>42</v>
      </c>
      <c r="B2847">
        <v>4</v>
      </c>
      <c r="C2847">
        <v>1</v>
      </c>
      <c r="E2847">
        <v>4</v>
      </c>
      <c r="F2847" t="str">
        <f t="shared" si="44"/>
        <v>F424G1T4</v>
      </c>
      <c r="G2847" s="14" t="s">
        <v>56</v>
      </c>
    </row>
    <row r="2848" spans="1:7">
      <c r="A2848">
        <v>42</v>
      </c>
      <c r="B2848">
        <v>5</v>
      </c>
      <c r="C2848">
        <v>1</v>
      </c>
      <c r="E2848">
        <v>4</v>
      </c>
      <c r="F2848" t="str">
        <f t="shared" si="44"/>
        <v>F425G1T4</v>
      </c>
      <c r="G2848" s="14" t="s">
        <v>56</v>
      </c>
    </row>
    <row r="2849" spans="1:7">
      <c r="A2849">
        <v>42</v>
      </c>
      <c r="B2849">
        <v>6</v>
      </c>
      <c r="C2849">
        <v>1</v>
      </c>
      <c r="E2849">
        <v>4</v>
      </c>
      <c r="F2849" t="str">
        <f t="shared" si="44"/>
        <v>F426G1T4</v>
      </c>
      <c r="G2849" s="14" t="s">
        <v>56</v>
      </c>
    </row>
    <row r="2850" spans="1:7">
      <c r="A2850">
        <v>42</v>
      </c>
      <c r="B2850">
        <v>7</v>
      </c>
      <c r="C2850">
        <v>1</v>
      </c>
      <c r="E2850">
        <v>4</v>
      </c>
      <c r="F2850" t="str">
        <f t="shared" si="44"/>
        <v>F427G1T4</v>
      </c>
      <c r="G2850" s="14" t="s">
        <v>56</v>
      </c>
    </row>
    <row r="2851" spans="1:7">
      <c r="A2851">
        <v>42</v>
      </c>
      <c r="B2851">
        <v>8</v>
      </c>
      <c r="C2851">
        <v>1</v>
      </c>
      <c r="E2851">
        <v>4</v>
      </c>
      <c r="F2851" t="str">
        <f t="shared" si="44"/>
        <v>F428G1T4</v>
      </c>
      <c r="G2851" s="14" t="s">
        <v>56</v>
      </c>
    </row>
    <row r="2852" spans="1:7">
      <c r="A2852">
        <v>43</v>
      </c>
      <c r="B2852">
        <v>1</v>
      </c>
      <c r="C2852">
        <v>1</v>
      </c>
      <c r="E2852">
        <v>1</v>
      </c>
      <c r="F2852" t="str">
        <f t="shared" si="44"/>
        <v>F431G1T1</v>
      </c>
      <c r="G2852" s="14" t="s">
        <v>56</v>
      </c>
    </row>
    <row r="2853" spans="1:7">
      <c r="A2853">
        <v>43</v>
      </c>
      <c r="B2853">
        <v>2</v>
      </c>
      <c r="C2853">
        <v>1</v>
      </c>
      <c r="E2853">
        <v>1</v>
      </c>
      <c r="F2853" t="str">
        <f t="shared" si="44"/>
        <v>F432G1T1</v>
      </c>
      <c r="G2853" s="14" t="s">
        <v>56</v>
      </c>
    </row>
    <row r="2854" spans="1:7">
      <c r="A2854">
        <v>43</v>
      </c>
      <c r="B2854">
        <v>4</v>
      </c>
      <c r="C2854">
        <v>1</v>
      </c>
      <c r="E2854">
        <v>1</v>
      </c>
      <c r="F2854" t="str">
        <f t="shared" si="44"/>
        <v>F434G1T1</v>
      </c>
      <c r="G2854" s="14" t="s">
        <v>56</v>
      </c>
    </row>
    <row r="2855" spans="1:7">
      <c r="A2855">
        <v>43</v>
      </c>
      <c r="B2855">
        <v>5</v>
      </c>
      <c r="C2855">
        <v>1</v>
      </c>
      <c r="E2855">
        <v>1</v>
      </c>
      <c r="F2855" t="str">
        <f t="shared" si="44"/>
        <v>F435G1T1</v>
      </c>
      <c r="G2855" s="14" t="s">
        <v>56</v>
      </c>
    </row>
    <row r="2856" spans="1:7">
      <c r="A2856">
        <v>43</v>
      </c>
      <c r="B2856">
        <v>6</v>
      </c>
      <c r="C2856">
        <v>1</v>
      </c>
      <c r="E2856">
        <v>1</v>
      </c>
      <c r="F2856" t="str">
        <f t="shared" si="44"/>
        <v>F436G1T1</v>
      </c>
      <c r="G2856" s="14" t="s">
        <v>56</v>
      </c>
    </row>
    <row r="2857" spans="1:7">
      <c r="A2857">
        <v>43</v>
      </c>
      <c r="B2857">
        <v>7</v>
      </c>
      <c r="C2857">
        <v>1</v>
      </c>
      <c r="E2857">
        <v>1</v>
      </c>
      <c r="F2857" t="str">
        <f t="shared" si="44"/>
        <v>F437G1T1</v>
      </c>
      <c r="G2857" s="14" t="s">
        <v>56</v>
      </c>
    </row>
    <row r="2858" spans="1:7">
      <c r="A2858">
        <v>43</v>
      </c>
      <c r="B2858">
        <v>8</v>
      </c>
      <c r="C2858">
        <v>1</v>
      </c>
      <c r="E2858">
        <v>1</v>
      </c>
      <c r="F2858" t="str">
        <f t="shared" si="44"/>
        <v>F438G1T1</v>
      </c>
      <c r="G2858" s="14" t="s">
        <v>56</v>
      </c>
    </row>
    <row r="2859" spans="1:7">
      <c r="A2859">
        <v>43</v>
      </c>
      <c r="B2859">
        <v>1</v>
      </c>
      <c r="C2859">
        <v>1</v>
      </c>
      <c r="E2859">
        <v>4</v>
      </c>
      <c r="F2859" t="str">
        <f t="shared" si="44"/>
        <v>F431G1T4</v>
      </c>
      <c r="G2859" s="14" t="s">
        <v>56</v>
      </c>
    </row>
    <row r="2860" spans="1:7">
      <c r="A2860">
        <v>43</v>
      </c>
      <c r="B2860">
        <v>2</v>
      </c>
      <c r="C2860">
        <v>1</v>
      </c>
      <c r="E2860">
        <v>4</v>
      </c>
      <c r="F2860" t="str">
        <f t="shared" si="44"/>
        <v>F432G1T4</v>
      </c>
      <c r="G2860" s="14" t="s">
        <v>56</v>
      </c>
    </row>
    <row r="2861" spans="1:7">
      <c r="A2861">
        <v>43</v>
      </c>
      <c r="B2861">
        <v>4</v>
      </c>
      <c r="C2861">
        <v>1</v>
      </c>
      <c r="E2861">
        <v>4</v>
      </c>
      <c r="F2861" t="str">
        <f t="shared" si="44"/>
        <v>F434G1T4</v>
      </c>
      <c r="G2861" s="14" t="s">
        <v>56</v>
      </c>
    </row>
    <row r="2862" spans="1:7">
      <c r="A2862">
        <v>43</v>
      </c>
      <c r="B2862">
        <v>5</v>
      </c>
      <c r="C2862">
        <v>1</v>
      </c>
      <c r="E2862">
        <v>4</v>
      </c>
      <c r="F2862" t="str">
        <f t="shared" si="44"/>
        <v>F435G1T4</v>
      </c>
      <c r="G2862" s="14" t="s">
        <v>56</v>
      </c>
    </row>
    <row r="2863" spans="1:7">
      <c r="A2863">
        <v>43</v>
      </c>
      <c r="B2863">
        <v>6</v>
      </c>
      <c r="C2863">
        <v>1</v>
      </c>
      <c r="E2863">
        <v>4</v>
      </c>
      <c r="F2863" t="str">
        <f t="shared" si="44"/>
        <v>F436G1T4</v>
      </c>
      <c r="G2863" s="14" t="s">
        <v>56</v>
      </c>
    </row>
    <row r="2864" spans="1:7">
      <c r="A2864">
        <v>43</v>
      </c>
      <c r="B2864">
        <v>7</v>
      </c>
      <c r="C2864">
        <v>1</v>
      </c>
      <c r="E2864">
        <v>4</v>
      </c>
      <c r="F2864" t="str">
        <f t="shared" si="44"/>
        <v>F437G1T4</v>
      </c>
      <c r="G2864" s="14" t="s">
        <v>56</v>
      </c>
    </row>
    <row r="2865" spans="1:7">
      <c r="A2865">
        <v>43</v>
      </c>
      <c r="B2865">
        <v>8</v>
      </c>
      <c r="C2865">
        <v>1</v>
      </c>
      <c r="E2865">
        <v>4</v>
      </c>
      <c r="F2865" t="str">
        <f t="shared" si="44"/>
        <v>F438G1T4</v>
      </c>
      <c r="G2865" s="14" t="s">
        <v>56</v>
      </c>
    </row>
    <row r="2866" spans="1:7">
      <c r="A2866">
        <v>46</v>
      </c>
      <c r="B2866">
        <v>1</v>
      </c>
      <c r="C2866">
        <v>1</v>
      </c>
      <c r="E2866">
        <v>1</v>
      </c>
      <c r="F2866" t="str">
        <f t="shared" si="44"/>
        <v>F461G1T1</v>
      </c>
      <c r="G2866" s="14" t="s">
        <v>56</v>
      </c>
    </row>
    <row r="2867" spans="1:7">
      <c r="A2867">
        <v>46</v>
      </c>
      <c r="B2867">
        <v>2</v>
      </c>
      <c r="C2867">
        <v>1</v>
      </c>
      <c r="E2867">
        <v>1</v>
      </c>
      <c r="F2867" t="str">
        <f t="shared" si="44"/>
        <v>F462G1T1</v>
      </c>
      <c r="G2867" s="14" t="s">
        <v>56</v>
      </c>
    </row>
    <row r="2868" spans="1:7">
      <c r="A2868">
        <v>46</v>
      </c>
      <c r="B2868">
        <v>4</v>
      </c>
      <c r="C2868">
        <v>1</v>
      </c>
      <c r="E2868">
        <v>1</v>
      </c>
      <c r="F2868" t="str">
        <f t="shared" si="44"/>
        <v>F464G1T1</v>
      </c>
      <c r="G2868" s="14" t="s">
        <v>56</v>
      </c>
    </row>
    <row r="2869" spans="1:7">
      <c r="A2869">
        <v>46</v>
      </c>
      <c r="B2869">
        <v>5</v>
      </c>
      <c r="C2869">
        <v>1</v>
      </c>
      <c r="E2869">
        <v>1</v>
      </c>
      <c r="F2869" t="str">
        <f t="shared" si="44"/>
        <v>F465G1T1</v>
      </c>
      <c r="G2869" s="14" t="s">
        <v>56</v>
      </c>
    </row>
    <row r="2870" spans="1:7">
      <c r="A2870">
        <v>46</v>
      </c>
      <c r="B2870">
        <v>6</v>
      </c>
      <c r="C2870">
        <v>1</v>
      </c>
      <c r="E2870">
        <v>1</v>
      </c>
      <c r="F2870" t="str">
        <f t="shared" si="44"/>
        <v>F466G1T1</v>
      </c>
      <c r="G2870" s="14" t="s">
        <v>56</v>
      </c>
    </row>
    <row r="2871" spans="1:7">
      <c r="A2871">
        <v>46</v>
      </c>
      <c r="B2871">
        <v>7</v>
      </c>
      <c r="C2871">
        <v>1</v>
      </c>
      <c r="E2871">
        <v>1</v>
      </c>
      <c r="F2871" t="str">
        <f t="shared" si="44"/>
        <v>F467G1T1</v>
      </c>
      <c r="G2871" s="14" t="s">
        <v>56</v>
      </c>
    </row>
    <row r="2872" spans="1:7">
      <c r="A2872">
        <v>46</v>
      </c>
      <c r="B2872">
        <v>8</v>
      </c>
      <c r="C2872">
        <v>1</v>
      </c>
      <c r="E2872">
        <v>1</v>
      </c>
      <c r="F2872" t="str">
        <f t="shared" si="44"/>
        <v>F468G1T1</v>
      </c>
      <c r="G2872" s="14" t="s">
        <v>56</v>
      </c>
    </row>
    <row r="2873" spans="1:7">
      <c r="A2873">
        <v>46</v>
      </c>
      <c r="B2873">
        <v>1</v>
      </c>
      <c r="C2873">
        <v>1</v>
      </c>
      <c r="E2873">
        <v>4</v>
      </c>
      <c r="F2873" t="str">
        <f t="shared" si="44"/>
        <v>F461G1T4</v>
      </c>
      <c r="G2873" s="14" t="s">
        <v>56</v>
      </c>
    </row>
    <row r="2874" spans="1:7">
      <c r="A2874">
        <v>46</v>
      </c>
      <c r="B2874">
        <v>2</v>
      </c>
      <c r="C2874">
        <v>1</v>
      </c>
      <c r="E2874">
        <v>4</v>
      </c>
      <c r="F2874" t="str">
        <f t="shared" si="44"/>
        <v>F462G1T4</v>
      </c>
      <c r="G2874" s="14" t="s">
        <v>56</v>
      </c>
    </row>
    <row r="2875" spans="1:7">
      <c r="A2875">
        <v>46</v>
      </c>
      <c r="B2875">
        <v>4</v>
      </c>
      <c r="C2875">
        <v>1</v>
      </c>
      <c r="E2875">
        <v>4</v>
      </c>
      <c r="F2875" t="str">
        <f t="shared" si="44"/>
        <v>F464G1T4</v>
      </c>
      <c r="G2875" s="14" t="s">
        <v>56</v>
      </c>
    </row>
    <row r="2876" spans="1:7">
      <c r="A2876">
        <v>46</v>
      </c>
      <c r="B2876">
        <v>5</v>
      </c>
      <c r="C2876">
        <v>1</v>
      </c>
      <c r="E2876">
        <v>4</v>
      </c>
      <c r="F2876" t="str">
        <f t="shared" si="44"/>
        <v>F465G1T4</v>
      </c>
      <c r="G2876" s="14" t="s">
        <v>56</v>
      </c>
    </row>
    <row r="2877" spans="1:7">
      <c r="A2877">
        <v>46</v>
      </c>
      <c r="B2877">
        <v>6</v>
      </c>
      <c r="C2877">
        <v>1</v>
      </c>
      <c r="E2877">
        <v>4</v>
      </c>
      <c r="F2877" t="str">
        <f t="shared" si="44"/>
        <v>F466G1T4</v>
      </c>
      <c r="G2877" s="14" t="s">
        <v>56</v>
      </c>
    </row>
    <row r="2878" spans="1:7">
      <c r="A2878">
        <v>46</v>
      </c>
      <c r="B2878">
        <v>7</v>
      </c>
      <c r="C2878">
        <v>1</v>
      </c>
      <c r="E2878">
        <v>4</v>
      </c>
      <c r="F2878" t="str">
        <f t="shared" si="44"/>
        <v>F467G1T4</v>
      </c>
      <c r="G2878" s="14" t="s">
        <v>56</v>
      </c>
    </row>
    <row r="2879" spans="1:7">
      <c r="A2879">
        <v>46</v>
      </c>
      <c r="B2879">
        <v>8</v>
      </c>
      <c r="C2879">
        <v>1</v>
      </c>
      <c r="E2879">
        <v>4</v>
      </c>
      <c r="F2879" t="str">
        <f t="shared" si="44"/>
        <v>F468G1T4</v>
      </c>
      <c r="G2879" s="14" t="s">
        <v>56</v>
      </c>
    </row>
    <row r="2880" spans="1:7">
      <c r="A2880">
        <v>56</v>
      </c>
      <c r="B2880">
        <v>1</v>
      </c>
      <c r="C2880">
        <v>1</v>
      </c>
      <c r="E2880">
        <v>1</v>
      </c>
      <c r="F2880" t="str">
        <f t="shared" si="44"/>
        <v>F561G1T1</v>
      </c>
      <c r="G2880" s="14" t="s">
        <v>56</v>
      </c>
    </row>
    <row r="2881" spans="1:7">
      <c r="A2881">
        <v>56</v>
      </c>
      <c r="B2881">
        <v>2</v>
      </c>
      <c r="C2881">
        <v>1</v>
      </c>
      <c r="E2881">
        <v>1</v>
      </c>
      <c r="F2881" t="str">
        <f t="shared" si="44"/>
        <v>F562G1T1</v>
      </c>
      <c r="G2881" s="14" t="s">
        <v>56</v>
      </c>
    </row>
    <row r="2882" spans="1:7">
      <c r="A2882">
        <v>56</v>
      </c>
      <c r="B2882">
        <v>4</v>
      </c>
      <c r="C2882">
        <v>1</v>
      </c>
      <c r="E2882">
        <v>1</v>
      </c>
      <c r="F2882" t="str">
        <f t="shared" si="44"/>
        <v>F564G1T1</v>
      </c>
      <c r="G2882" s="14" t="s">
        <v>56</v>
      </c>
    </row>
    <row r="2883" spans="1:7">
      <c r="A2883">
        <v>56</v>
      </c>
      <c r="B2883">
        <v>5</v>
      </c>
      <c r="C2883">
        <v>1</v>
      </c>
      <c r="E2883">
        <v>1</v>
      </c>
      <c r="F2883" t="str">
        <f t="shared" ref="F2883:F2946" si="45">CONCATENATE("F",A2883,B2883,"G",C2883,"T",E2883)</f>
        <v>F565G1T1</v>
      </c>
      <c r="G2883" s="14" t="s">
        <v>56</v>
      </c>
    </row>
    <row r="2884" spans="1:7">
      <c r="A2884">
        <v>56</v>
      </c>
      <c r="B2884">
        <v>6</v>
      </c>
      <c r="C2884">
        <v>1</v>
      </c>
      <c r="E2884">
        <v>1</v>
      </c>
      <c r="F2884" t="str">
        <f t="shared" si="45"/>
        <v>F566G1T1</v>
      </c>
      <c r="G2884" s="14" t="s">
        <v>56</v>
      </c>
    </row>
    <row r="2885" spans="1:7">
      <c r="A2885">
        <v>56</v>
      </c>
      <c r="B2885">
        <v>7</v>
      </c>
      <c r="C2885">
        <v>1</v>
      </c>
      <c r="E2885">
        <v>1</v>
      </c>
      <c r="F2885" t="str">
        <f t="shared" si="45"/>
        <v>F567G1T1</v>
      </c>
      <c r="G2885" s="14" t="s">
        <v>56</v>
      </c>
    </row>
    <row r="2886" spans="1:7">
      <c r="A2886">
        <v>56</v>
      </c>
      <c r="B2886">
        <v>8</v>
      </c>
      <c r="C2886">
        <v>1</v>
      </c>
      <c r="E2886">
        <v>1</v>
      </c>
      <c r="F2886" t="str">
        <f t="shared" si="45"/>
        <v>F568G1T1</v>
      </c>
      <c r="G2886" s="14" t="s">
        <v>56</v>
      </c>
    </row>
    <row r="2887" spans="1:7">
      <c r="A2887">
        <v>56</v>
      </c>
      <c r="B2887">
        <v>1</v>
      </c>
      <c r="C2887">
        <v>1</v>
      </c>
      <c r="E2887">
        <v>4</v>
      </c>
      <c r="F2887" t="str">
        <f t="shared" si="45"/>
        <v>F561G1T4</v>
      </c>
      <c r="G2887" s="14" t="s">
        <v>56</v>
      </c>
    </row>
    <row r="2888" spans="1:7">
      <c r="A2888">
        <v>56</v>
      </c>
      <c r="B2888">
        <v>2</v>
      </c>
      <c r="C2888">
        <v>1</v>
      </c>
      <c r="E2888">
        <v>4</v>
      </c>
      <c r="F2888" t="str">
        <f t="shared" si="45"/>
        <v>F562G1T4</v>
      </c>
      <c r="G2888" s="14" t="s">
        <v>56</v>
      </c>
    </row>
    <row r="2889" spans="1:7">
      <c r="A2889">
        <v>56</v>
      </c>
      <c r="B2889">
        <v>4</v>
      </c>
      <c r="C2889">
        <v>1</v>
      </c>
      <c r="E2889">
        <v>4</v>
      </c>
      <c r="F2889" t="str">
        <f t="shared" si="45"/>
        <v>F564G1T4</v>
      </c>
      <c r="G2889" s="14" t="s">
        <v>56</v>
      </c>
    </row>
    <row r="2890" spans="1:7">
      <c r="A2890">
        <v>56</v>
      </c>
      <c r="B2890">
        <v>5</v>
      </c>
      <c r="C2890">
        <v>1</v>
      </c>
      <c r="E2890">
        <v>4</v>
      </c>
      <c r="F2890" t="str">
        <f t="shared" si="45"/>
        <v>F565G1T4</v>
      </c>
      <c r="G2890" s="14" t="s">
        <v>56</v>
      </c>
    </row>
    <row r="2891" spans="1:7">
      <c r="A2891">
        <v>56</v>
      </c>
      <c r="B2891">
        <v>6</v>
      </c>
      <c r="C2891">
        <v>1</v>
      </c>
      <c r="E2891">
        <v>4</v>
      </c>
      <c r="F2891" t="str">
        <f t="shared" si="45"/>
        <v>F566G1T4</v>
      </c>
      <c r="G2891" s="14" t="s">
        <v>56</v>
      </c>
    </row>
    <row r="2892" spans="1:7">
      <c r="A2892">
        <v>56</v>
      </c>
      <c r="B2892">
        <v>7</v>
      </c>
      <c r="C2892">
        <v>1</v>
      </c>
      <c r="E2892">
        <v>4</v>
      </c>
      <c r="F2892" t="str">
        <f t="shared" si="45"/>
        <v>F567G1T4</v>
      </c>
      <c r="G2892" s="14" t="s">
        <v>56</v>
      </c>
    </row>
    <row r="2893" spans="1:7">
      <c r="A2893">
        <v>56</v>
      </c>
      <c r="B2893">
        <v>8</v>
      </c>
      <c r="C2893">
        <v>1</v>
      </c>
      <c r="E2893">
        <v>4</v>
      </c>
      <c r="F2893" t="str">
        <f t="shared" si="45"/>
        <v>F568G1T4</v>
      </c>
      <c r="G2893" s="14" t="s">
        <v>56</v>
      </c>
    </row>
    <row r="2894" spans="1:7">
      <c r="A2894">
        <v>67</v>
      </c>
      <c r="B2894">
        <v>1</v>
      </c>
      <c r="C2894">
        <v>1</v>
      </c>
      <c r="E2894">
        <v>1</v>
      </c>
      <c r="F2894" t="str">
        <f t="shared" si="45"/>
        <v>F671G1T1</v>
      </c>
      <c r="G2894" s="14" t="s">
        <v>56</v>
      </c>
    </row>
    <row r="2895" spans="1:7">
      <c r="A2895">
        <v>67</v>
      </c>
      <c r="B2895">
        <v>2</v>
      </c>
      <c r="C2895">
        <v>1</v>
      </c>
      <c r="E2895">
        <v>1</v>
      </c>
      <c r="F2895" t="str">
        <f t="shared" si="45"/>
        <v>F672G1T1</v>
      </c>
      <c r="G2895" s="14" t="s">
        <v>56</v>
      </c>
    </row>
    <row r="2896" spans="1:7">
      <c r="A2896">
        <v>67</v>
      </c>
      <c r="B2896">
        <v>4</v>
      </c>
      <c r="C2896">
        <v>1</v>
      </c>
      <c r="E2896">
        <v>1</v>
      </c>
      <c r="F2896" t="str">
        <f t="shared" si="45"/>
        <v>F674G1T1</v>
      </c>
      <c r="G2896" s="14" t="s">
        <v>56</v>
      </c>
    </row>
    <row r="2897" spans="1:7">
      <c r="A2897">
        <v>67</v>
      </c>
      <c r="B2897">
        <v>5</v>
      </c>
      <c r="C2897">
        <v>1</v>
      </c>
      <c r="E2897">
        <v>1</v>
      </c>
      <c r="F2897" t="str">
        <f t="shared" si="45"/>
        <v>F675G1T1</v>
      </c>
      <c r="G2897" s="14" t="s">
        <v>56</v>
      </c>
    </row>
    <row r="2898" spans="1:7">
      <c r="A2898">
        <v>67</v>
      </c>
      <c r="B2898">
        <v>6</v>
      </c>
      <c r="C2898">
        <v>1</v>
      </c>
      <c r="E2898">
        <v>1</v>
      </c>
      <c r="F2898" t="str">
        <f t="shared" si="45"/>
        <v>F676G1T1</v>
      </c>
      <c r="G2898" s="14" t="s">
        <v>56</v>
      </c>
    </row>
    <row r="2899" spans="1:7">
      <c r="A2899">
        <v>67</v>
      </c>
      <c r="B2899">
        <v>7</v>
      </c>
      <c r="C2899">
        <v>1</v>
      </c>
      <c r="E2899">
        <v>1</v>
      </c>
      <c r="F2899" t="str">
        <f t="shared" si="45"/>
        <v>F677G1T1</v>
      </c>
      <c r="G2899" s="14" t="s">
        <v>56</v>
      </c>
    </row>
    <row r="2900" spans="1:7">
      <c r="A2900">
        <v>67</v>
      </c>
      <c r="B2900">
        <v>8</v>
      </c>
      <c r="C2900">
        <v>1</v>
      </c>
      <c r="E2900">
        <v>1</v>
      </c>
      <c r="F2900" t="str">
        <f t="shared" si="45"/>
        <v>F678G1T1</v>
      </c>
      <c r="G2900" s="14" t="s">
        <v>56</v>
      </c>
    </row>
    <row r="2901" spans="1:7">
      <c r="A2901">
        <v>67</v>
      </c>
      <c r="B2901">
        <v>1</v>
      </c>
      <c r="C2901">
        <v>1</v>
      </c>
      <c r="E2901">
        <v>4</v>
      </c>
      <c r="F2901" t="str">
        <f t="shared" si="45"/>
        <v>F671G1T4</v>
      </c>
      <c r="G2901" s="14" t="s">
        <v>56</v>
      </c>
    </row>
    <row r="2902" spans="1:7">
      <c r="A2902">
        <v>67</v>
      </c>
      <c r="B2902">
        <v>2</v>
      </c>
      <c r="C2902">
        <v>1</v>
      </c>
      <c r="E2902">
        <v>4</v>
      </c>
      <c r="F2902" t="str">
        <f t="shared" si="45"/>
        <v>F672G1T4</v>
      </c>
      <c r="G2902" s="14" t="s">
        <v>56</v>
      </c>
    </row>
    <row r="2903" spans="1:7">
      <c r="A2903">
        <v>67</v>
      </c>
      <c r="B2903">
        <v>4</v>
      </c>
      <c r="C2903">
        <v>1</v>
      </c>
      <c r="E2903">
        <v>4</v>
      </c>
      <c r="F2903" t="str">
        <f t="shared" si="45"/>
        <v>F674G1T4</v>
      </c>
      <c r="G2903" s="14" t="s">
        <v>56</v>
      </c>
    </row>
    <row r="2904" spans="1:7">
      <c r="A2904">
        <v>67</v>
      </c>
      <c r="B2904">
        <v>5</v>
      </c>
      <c r="C2904">
        <v>1</v>
      </c>
      <c r="E2904">
        <v>4</v>
      </c>
      <c r="F2904" t="str">
        <f t="shared" si="45"/>
        <v>F675G1T4</v>
      </c>
      <c r="G2904" s="14" t="s">
        <v>56</v>
      </c>
    </row>
    <row r="2905" spans="1:7">
      <c r="A2905">
        <v>67</v>
      </c>
      <c r="B2905">
        <v>6</v>
      </c>
      <c r="C2905">
        <v>1</v>
      </c>
      <c r="E2905">
        <v>4</v>
      </c>
      <c r="F2905" t="str">
        <f t="shared" si="45"/>
        <v>F676G1T4</v>
      </c>
      <c r="G2905" s="14" t="s">
        <v>56</v>
      </c>
    </row>
    <row r="2906" spans="1:7">
      <c r="A2906">
        <v>67</v>
      </c>
      <c r="B2906">
        <v>7</v>
      </c>
      <c r="C2906">
        <v>1</v>
      </c>
      <c r="E2906">
        <v>4</v>
      </c>
      <c r="F2906" t="str">
        <f t="shared" si="45"/>
        <v>F677G1T4</v>
      </c>
      <c r="G2906" s="14" t="s">
        <v>56</v>
      </c>
    </row>
    <row r="2907" spans="1:7">
      <c r="A2907">
        <v>67</v>
      </c>
      <c r="B2907">
        <v>8</v>
      </c>
      <c r="C2907">
        <v>1</v>
      </c>
      <c r="E2907">
        <v>4</v>
      </c>
      <c r="F2907" t="str">
        <f t="shared" si="45"/>
        <v>F678G1T4</v>
      </c>
      <c r="G2907" s="14" t="s">
        <v>56</v>
      </c>
    </row>
    <row r="2908" spans="1:7">
      <c r="A2908">
        <v>70</v>
      </c>
      <c r="B2908">
        <v>1</v>
      </c>
      <c r="C2908">
        <v>1</v>
      </c>
      <c r="E2908">
        <v>1</v>
      </c>
      <c r="F2908" t="str">
        <f t="shared" si="45"/>
        <v>F701G1T1</v>
      </c>
      <c r="G2908" s="14" t="s">
        <v>56</v>
      </c>
    </row>
    <row r="2909" spans="1:7">
      <c r="A2909">
        <v>70</v>
      </c>
      <c r="B2909">
        <v>2</v>
      </c>
      <c r="C2909">
        <v>1</v>
      </c>
      <c r="E2909">
        <v>1</v>
      </c>
      <c r="F2909" t="str">
        <f t="shared" si="45"/>
        <v>F702G1T1</v>
      </c>
      <c r="G2909" s="14" t="s">
        <v>56</v>
      </c>
    </row>
    <row r="2910" spans="1:7">
      <c r="A2910">
        <v>70</v>
      </c>
      <c r="B2910">
        <v>4</v>
      </c>
      <c r="C2910">
        <v>1</v>
      </c>
      <c r="E2910">
        <v>1</v>
      </c>
      <c r="F2910" t="str">
        <f t="shared" si="45"/>
        <v>F704G1T1</v>
      </c>
      <c r="G2910" s="14" t="s">
        <v>56</v>
      </c>
    </row>
    <row r="2911" spans="1:7">
      <c r="A2911">
        <v>70</v>
      </c>
      <c r="B2911">
        <v>5</v>
      </c>
      <c r="C2911">
        <v>1</v>
      </c>
      <c r="E2911">
        <v>1</v>
      </c>
      <c r="F2911" t="str">
        <f t="shared" si="45"/>
        <v>F705G1T1</v>
      </c>
      <c r="G2911" s="14" t="s">
        <v>56</v>
      </c>
    </row>
    <row r="2912" spans="1:7">
      <c r="A2912">
        <v>70</v>
      </c>
      <c r="B2912">
        <v>6</v>
      </c>
      <c r="C2912">
        <v>1</v>
      </c>
      <c r="E2912">
        <v>1</v>
      </c>
      <c r="F2912" t="str">
        <f t="shared" si="45"/>
        <v>F706G1T1</v>
      </c>
      <c r="G2912" s="14" t="s">
        <v>56</v>
      </c>
    </row>
    <row r="2913" spans="1:7">
      <c r="A2913">
        <v>70</v>
      </c>
      <c r="B2913">
        <v>7</v>
      </c>
      <c r="C2913">
        <v>1</v>
      </c>
      <c r="E2913">
        <v>1</v>
      </c>
      <c r="F2913" t="str">
        <f t="shared" si="45"/>
        <v>F707G1T1</v>
      </c>
      <c r="G2913" s="14" t="s">
        <v>56</v>
      </c>
    </row>
    <row r="2914" spans="1:7">
      <c r="A2914">
        <v>70</v>
      </c>
      <c r="B2914">
        <v>8</v>
      </c>
      <c r="C2914">
        <v>1</v>
      </c>
      <c r="E2914">
        <v>1</v>
      </c>
      <c r="F2914" t="str">
        <f t="shared" si="45"/>
        <v>F708G1T1</v>
      </c>
      <c r="G2914" s="14" t="s">
        <v>56</v>
      </c>
    </row>
    <row r="2915" spans="1:7">
      <c r="A2915">
        <v>70</v>
      </c>
      <c r="B2915">
        <v>1</v>
      </c>
      <c r="C2915">
        <v>1</v>
      </c>
      <c r="E2915">
        <v>4</v>
      </c>
      <c r="F2915" t="str">
        <f t="shared" si="45"/>
        <v>F701G1T4</v>
      </c>
      <c r="G2915" s="14" t="s">
        <v>56</v>
      </c>
    </row>
    <row r="2916" spans="1:7">
      <c r="A2916">
        <v>70</v>
      </c>
      <c r="B2916">
        <v>2</v>
      </c>
      <c r="C2916">
        <v>1</v>
      </c>
      <c r="E2916">
        <v>4</v>
      </c>
      <c r="F2916" t="str">
        <f t="shared" si="45"/>
        <v>F702G1T4</v>
      </c>
      <c r="G2916" s="14" t="s">
        <v>56</v>
      </c>
    </row>
    <row r="2917" spans="1:7">
      <c r="A2917">
        <v>70</v>
      </c>
      <c r="B2917">
        <v>4</v>
      </c>
      <c r="C2917">
        <v>1</v>
      </c>
      <c r="E2917">
        <v>4</v>
      </c>
      <c r="F2917" t="str">
        <f t="shared" si="45"/>
        <v>F704G1T4</v>
      </c>
      <c r="G2917" s="14" t="s">
        <v>56</v>
      </c>
    </row>
    <row r="2918" spans="1:7">
      <c r="A2918">
        <v>70</v>
      </c>
      <c r="B2918">
        <v>5</v>
      </c>
      <c r="C2918">
        <v>1</v>
      </c>
      <c r="E2918">
        <v>4</v>
      </c>
      <c r="F2918" t="str">
        <f t="shared" si="45"/>
        <v>F705G1T4</v>
      </c>
      <c r="G2918" s="14" t="s">
        <v>56</v>
      </c>
    </row>
    <row r="2919" spans="1:7">
      <c r="A2919">
        <v>70</v>
      </c>
      <c r="B2919">
        <v>6</v>
      </c>
      <c r="C2919">
        <v>1</v>
      </c>
      <c r="E2919">
        <v>4</v>
      </c>
      <c r="F2919" t="str">
        <f t="shared" si="45"/>
        <v>F706G1T4</v>
      </c>
      <c r="G2919" s="14" t="s">
        <v>56</v>
      </c>
    </row>
    <row r="2920" spans="1:7">
      <c r="A2920">
        <v>70</v>
      </c>
      <c r="B2920">
        <v>7</v>
      </c>
      <c r="C2920">
        <v>1</v>
      </c>
      <c r="E2920">
        <v>4</v>
      </c>
      <c r="F2920" t="str">
        <f t="shared" si="45"/>
        <v>F707G1T4</v>
      </c>
      <c r="G2920" s="14" t="s">
        <v>56</v>
      </c>
    </row>
    <row r="2921" spans="1:7">
      <c r="A2921">
        <v>70</v>
      </c>
      <c r="B2921">
        <v>8</v>
      </c>
      <c r="C2921">
        <v>1</v>
      </c>
      <c r="E2921">
        <v>4</v>
      </c>
      <c r="F2921" t="str">
        <f t="shared" si="45"/>
        <v>F708G1T4</v>
      </c>
      <c r="G2921" s="14" t="s">
        <v>56</v>
      </c>
    </row>
    <row r="2922" spans="1:7">
      <c r="A2922">
        <v>77</v>
      </c>
      <c r="B2922">
        <v>1</v>
      </c>
      <c r="C2922">
        <v>1</v>
      </c>
      <c r="E2922">
        <v>1</v>
      </c>
      <c r="F2922" t="str">
        <f t="shared" si="45"/>
        <v>F771G1T1</v>
      </c>
      <c r="G2922" s="14" t="s">
        <v>56</v>
      </c>
    </row>
    <row r="2923" spans="1:7">
      <c r="A2923">
        <v>77</v>
      </c>
      <c r="B2923">
        <v>2</v>
      </c>
      <c r="C2923">
        <v>1</v>
      </c>
      <c r="E2923">
        <v>1</v>
      </c>
      <c r="F2923" t="str">
        <f t="shared" si="45"/>
        <v>F772G1T1</v>
      </c>
      <c r="G2923" s="14" t="s">
        <v>56</v>
      </c>
    </row>
    <row r="2924" spans="1:7">
      <c r="A2924">
        <v>77</v>
      </c>
      <c r="B2924">
        <v>4</v>
      </c>
      <c r="C2924">
        <v>1</v>
      </c>
      <c r="E2924">
        <v>1</v>
      </c>
      <c r="F2924" t="str">
        <f t="shared" si="45"/>
        <v>F774G1T1</v>
      </c>
      <c r="G2924" s="14" t="s">
        <v>56</v>
      </c>
    </row>
    <row r="2925" spans="1:7">
      <c r="A2925">
        <v>77</v>
      </c>
      <c r="B2925">
        <v>5</v>
      </c>
      <c r="C2925">
        <v>1</v>
      </c>
      <c r="E2925">
        <v>1</v>
      </c>
      <c r="F2925" t="str">
        <f t="shared" si="45"/>
        <v>F775G1T1</v>
      </c>
      <c r="G2925" s="14" t="s">
        <v>56</v>
      </c>
    </row>
    <row r="2926" spans="1:7">
      <c r="A2926">
        <v>77</v>
      </c>
      <c r="B2926">
        <v>6</v>
      </c>
      <c r="C2926">
        <v>1</v>
      </c>
      <c r="E2926">
        <v>1</v>
      </c>
      <c r="F2926" t="str">
        <f t="shared" si="45"/>
        <v>F776G1T1</v>
      </c>
      <c r="G2926" s="14" t="s">
        <v>56</v>
      </c>
    </row>
    <row r="2927" spans="1:7">
      <c r="A2927">
        <v>77</v>
      </c>
      <c r="B2927">
        <v>7</v>
      </c>
      <c r="C2927">
        <v>1</v>
      </c>
      <c r="E2927">
        <v>1</v>
      </c>
      <c r="F2927" t="str">
        <f t="shared" si="45"/>
        <v>F777G1T1</v>
      </c>
      <c r="G2927" s="14" t="s">
        <v>56</v>
      </c>
    </row>
    <row r="2928" spans="1:7">
      <c r="A2928">
        <v>77</v>
      </c>
      <c r="B2928">
        <v>8</v>
      </c>
      <c r="C2928">
        <v>1</v>
      </c>
      <c r="E2928">
        <v>1</v>
      </c>
      <c r="F2928" t="str">
        <f t="shared" si="45"/>
        <v>F778G1T1</v>
      </c>
      <c r="G2928" s="14" t="s">
        <v>56</v>
      </c>
    </row>
    <row r="2929" spans="1:7">
      <c r="A2929">
        <v>77</v>
      </c>
      <c r="B2929">
        <v>1</v>
      </c>
      <c r="C2929">
        <v>1</v>
      </c>
      <c r="E2929">
        <v>4</v>
      </c>
      <c r="F2929" t="str">
        <f t="shared" si="45"/>
        <v>F771G1T4</v>
      </c>
      <c r="G2929" s="14" t="s">
        <v>56</v>
      </c>
    </row>
    <row r="2930" spans="1:7">
      <c r="A2930">
        <v>77</v>
      </c>
      <c r="B2930">
        <v>2</v>
      </c>
      <c r="C2930">
        <v>1</v>
      </c>
      <c r="E2930">
        <v>4</v>
      </c>
      <c r="F2930" t="str">
        <f t="shared" si="45"/>
        <v>F772G1T4</v>
      </c>
      <c r="G2930" s="14" t="s">
        <v>56</v>
      </c>
    </row>
    <row r="2931" spans="1:7">
      <c r="A2931">
        <v>77</v>
      </c>
      <c r="B2931">
        <v>4</v>
      </c>
      <c r="C2931">
        <v>1</v>
      </c>
      <c r="E2931">
        <v>4</v>
      </c>
      <c r="F2931" t="str">
        <f t="shared" si="45"/>
        <v>F774G1T4</v>
      </c>
      <c r="G2931" s="14" t="s">
        <v>56</v>
      </c>
    </row>
    <row r="2932" spans="1:7">
      <c r="A2932">
        <v>77</v>
      </c>
      <c r="B2932">
        <v>5</v>
      </c>
      <c r="C2932">
        <v>1</v>
      </c>
      <c r="E2932">
        <v>4</v>
      </c>
      <c r="F2932" t="str">
        <f t="shared" si="45"/>
        <v>F775G1T4</v>
      </c>
      <c r="G2932" s="14" t="s">
        <v>56</v>
      </c>
    </row>
    <row r="2933" spans="1:7">
      <c r="A2933">
        <v>77</v>
      </c>
      <c r="B2933">
        <v>6</v>
      </c>
      <c r="C2933">
        <v>1</v>
      </c>
      <c r="E2933">
        <v>4</v>
      </c>
      <c r="F2933" t="str">
        <f t="shared" si="45"/>
        <v>F776G1T4</v>
      </c>
      <c r="G2933" s="14" t="s">
        <v>56</v>
      </c>
    </row>
    <row r="2934" spans="1:7">
      <c r="A2934">
        <v>77</v>
      </c>
      <c r="B2934">
        <v>7</v>
      </c>
      <c r="C2934">
        <v>1</v>
      </c>
      <c r="E2934">
        <v>4</v>
      </c>
      <c r="F2934" t="str">
        <f t="shared" si="45"/>
        <v>F777G1T4</v>
      </c>
      <c r="G2934" s="14" t="s">
        <v>56</v>
      </c>
    </row>
    <row r="2935" spans="1:7">
      <c r="A2935">
        <v>77</v>
      </c>
      <c r="B2935">
        <v>8</v>
      </c>
      <c r="C2935">
        <v>1</v>
      </c>
      <c r="E2935">
        <v>4</v>
      </c>
      <c r="F2935" t="str">
        <f t="shared" si="45"/>
        <v>F778G1T4</v>
      </c>
      <c r="G2935" s="14" t="s">
        <v>56</v>
      </c>
    </row>
    <row r="2936" spans="1:7">
      <c r="A2936">
        <v>78</v>
      </c>
      <c r="B2936">
        <v>1</v>
      </c>
      <c r="C2936">
        <v>1</v>
      </c>
      <c r="E2936">
        <v>1</v>
      </c>
      <c r="F2936" t="str">
        <f t="shared" si="45"/>
        <v>F781G1T1</v>
      </c>
      <c r="G2936" s="14" t="s">
        <v>56</v>
      </c>
    </row>
    <row r="2937" spans="1:7">
      <c r="A2937">
        <v>78</v>
      </c>
      <c r="B2937">
        <v>2</v>
      </c>
      <c r="C2937">
        <v>1</v>
      </c>
      <c r="E2937">
        <v>1</v>
      </c>
      <c r="F2937" t="str">
        <f t="shared" si="45"/>
        <v>F782G1T1</v>
      </c>
      <c r="G2937" s="14" t="s">
        <v>56</v>
      </c>
    </row>
    <row r="2938" spans="1:7">
      <c r="A2938">
        <v>78</v>
      </c>
      <c r="B2938">
        <v>4</v>
      </c>
      <c r="C2938">
        <v>1</v>
      </c>
      <c r="E2938">
        <v>1</v>
      </c>
      <c r="F2938" t="str">
        <f t="shared" si="45"/>
        <v>F784G1T1</v>
      </c>
      <c r="G2938" s="14" t="s">
        <v>56</v>
      </c>
    </row>
    <row r="2939" spans="1:7">
      <c r="A2939">
        <v>78</v>
      </c>
      <c r="B2939">
        <v>5</v>
      </c>
      <c r="C2939">
        <v>1</v>
      </c>
      <c r="E2939">
        <v>1</v>
      </c>
      <c r="F2939" t="str">
        <f t="shared" si="45"/>
        <v>F785G1T1</v>
      </c>
      <c r="G2939" s="14" t="s">
        <v>56</v>
      </c>
    </row>
    <row r="2940" spans="1:7">
      <c r="A2940">
        <v>78</v>
      </c>
      <c r="B2940">
        <v>6</v>
      </c>
      <c r="C2940">
        <v>1</v>
      </c>
      <c r="E2940">
        <v>1</v>
      </c>
      <c r="F2940" t="str">
        <f t="shared" si="45"/>
        <v>F786G1T1</v>
      </c>
      <c r="G2940" s="14" t="s">
        <v>56</v>
      </c>
    </row>
    <row r="2941" spans="1:7">
      <c r="A2941">
        <v>78</v>
      </c>
      <c r="B2941">
        <v>7</v>
      </c>
      <c r="C2941">
        <v>1</v>
      </c>
      <c r="E2941">
        <v>1</v>
      </c>
      <c r="F2941" t="str">
        <f t="shared" si="45"/>
        <v>F787G1T1</v>
      </c>
      <c r="G2941" s="14" t="s">
        <v>56</v>
      </c>
    </row>
    <row r="2942" spans="1:7">
      <c r="A2942">
        <v>78</v>
      </c>
      <c r="B2942">
        <v>8</v>
      </c>
      <c r="C2942">
        <v>1</v>
      </c>
      <c r="E2942">
        <v>1</v>
      </c>
      <c r="F2942" t="str">
        <f t="shared" si="45"/>
        <v>F788G1T1</v>
      </c>
      <c r="G2942" s="14" t="s">
        <v>56</v>
      </c>
    </row>
    <row r="2943" spans="1:7">
      <c r="A2943">
        <v>78</v>
      </c>
      <c r="B2943">
        <v>1</v>
      </c>
      <c r="C2943">
        <v>1</v>
      </c>
      <c r="E2943">
        <v>4</v>
      </c>
      <c r="F2943" t="str">
        <f t="shared" si="45"/>
        <v>F781G1T4</v>
      </c>
      <c r="G2943" s="14" t="s">
        <v>56</v>
      </c>
    </row>
    <row r="2944" spans="1:7">
      <c r="A2944">
        <v>78</v>
      </c>
      <c r="B2944">
        <v>2</v>
      </c>
      <c r="C2944">
        <v>1</v>
      </c>
      <c r="E2944">
        <v>4</v>
      </c>
      <c r="F2944" t="str">
        <f t="shared" si="45"/>
        <v>F782G1T4</v>
      </c>
      <c r="G2944" s="14" t="s">
        <v>56</v>
      </c>
    </row>
    <row r="2945" spans="1:7">
      <c r="A2945">
        <v>78</v>
      </c>
      <c r="B2945">
        <v>4</v>
      </c>
      <c r="C2945">
        <v>1</v>
      </c>
      <c r="E2945">
        <v>4</v>
      </c>
      <c r="F2945" t="str">
        <f t="shared" si="45"/>
        <v>F784G1T4</v>
      </c>
      <c r="G2945" s="14" t="s">
        <v>56</v>
      </c>
    </row>
    <row r="2946" spans="1:7">
      <c r="A2946">
        <v>78</v>
      </c>
      <c r="B2946">
        <v>5</v>
      </c>
      <c r="C2946">
        <v>1</v>
      </c>
      <c r="E2946">
        <v>4</v>
      </c>
      <c r="F2946" t="str">
        <f t="shared" si="45"/>
        <v>F785G1T4</v>
      </c>
      <c r="G2946" s="14" t="s">
        <v>56</v>
      </c>
    </row>
    <row r="2947" spans="1:7">
      <c r="A2947">
        <v>78</v>
      </c>
      <c r="B2947">
        <v>6</v>
      </c>
      <c r="C2947">
        <v>1</v>
      </c>
      <c r="E2947">
        <v>4</v>
      </c>
      <c r="F2947" t="str">
        <f t="shared" ref="F2947:F3010" si="46">CONCATENATE("F",A2947,B2947,"G",C2947,"T",E2947)</f>
        <v>F786G1T4</v>
      </c>
      <c r="G2947" s="14" t="s">
        <v>56</v>
      </c>
    </row>
    <row r="2948" spans="1:7">
      <c r="A2948">
        <v>78</v>
      </c>
      <c r="B2948">
        <v>7</v>
      </c>
      <c r="C2948">
        <v>1</v>
      </c>
      <c r="E2948">
        <v>4</v>
      </c>
      <c r="F2948" t="str">
        <f t="shared" si="46"/>
        <v>F787G1T4</v>
      </c>
      <c r="G2948" s="14" t="s">
        <v>56</v>
      </c>
    </row>
    <row r="2949" spans="1:7">
      <c r="A2949">
        <v>78</v>
      </c>
      <c r="B2949">
        <v>8</v>
      </c>
      <c r="C2949">
        <v>1</v>
      </c>
      <c r="E2949">
        <v>4</v>
      </c>
      <c r="F2949" t="str">
        <f t="shared" si="46"/>
        <v>F788G1T4</v>
      </c>
      <c r="G2949" s="14" t="s">
        <v>56</v>
      </c>
    </row>
    <row r="2950" spans="1:7">
      <c r="A2950">
        <v>51</v>
      </c>
      <c r="B2950">
        <v>1</v>
      </c>
      <c r="C2950">
        <v>1</v>
      </c>
      <c r="E2950">
        <v>1</v>
      </c>
      <c r="F2950" t="str">
        <f t="shared" si="46"/>
        <v>F511G1T1</v>
      </c>
      <c r="G2950" s="14" t="s">
        <v>56</v>
      </c>
    </row>
    <row r="2951" spans="1:7">
      <c r="A2951">
        <v>51</v>
      </c>
      <c r="B2951">
        <v>2</v>
      </c>
      <c r="C2951">
        <v>1</v>
      </c>
      <c r="E2951">
        <v>1</v>
      </c>
      <c r="F2951" t="str">
        <f t="shared" si="46"/>
        <v>F512G1T1</v>
      </c>
      <c r="G2951" s="14" t="s">
        <v>56</v>
      </c>
    </row>
    <row r="2952" spans="1:7">
      <c r="A2952">
        <v>51</v>
      </c>
      <c r="B2952">
        <v>4</v>
      </c>
      <c r="C2952">
        <v>1</v>
      </c>
      <c r="E2952">
        <v>1</v>
      </c>
      <c r="F2952" t="str">
        <f t="shared" si="46"/>
        <v>F514G1T1</v>
      </c>
      <c r="G2952" s="14" t="s">
        <v>56</v>
      </c>
    </row>
    <row r="2953" spans="1:7">
      <c r="A2953">
        <v>51</v>
      </c>
      <c r="B2953">
        <v>5</v>
      </c>
      <c r="C2953">
        <v>1</v>
      </c>
      <c r="E2953">
        <v>1</v>
      </c>
      <c r="F2953" t="str">
        <f t="shared" si="46"/>
        <v>F515G1T1</v>
      </c>
      <c r="G2953" s="14" t="s">
        <v>56</v>
      </c>
    </row>
    <row r="2954" spans="1:7">
      <c r="A2954">
        <v>51</v>
      </c>
      <c r="B2954">
        <v>6</v>
      </c>
      <c r="C2954">
        <v>1</v>
      </c>
      <c r="E2954">
        <v>1</v>
      </c>
      <c r="F2954" t="str">
        <f t="shared" si="46"/>
        <v>F516G1T1</v>
      </c>
      <c r="G2954" s="14" t="s">
        <v>56</v>
      </c>
    </row>
    <row r="2955" spans="1:7">
      <c r="A2955">
        <v>51</v>
      </c>
      <c r="B2955">
        <v>7</v>
      </c>
      <c r="C2955">
        <v>1</v>
      </c>
      <c r="E2955">
        <v>1</v>
      </c>
      <c r="F2955" t="str">
        <f t="shared" si="46"/>
        <v>F517G1T1</v>
      </c>
      <c r="G2955" s="14" t="s">
        <v>56</v>
      </c>
    </row>
    <row r="2956" spans="1:7">
      <c r="A2956">
        <v>51</v>
      </c>
      <c r="B2956">
        <v>8</v>
      </c>
      <c r="C2956">
        <v>1</v>
      </c>
      <c r="E2956">
        <v>1</v>
      </c>
      <c r="F2956" t="str">
        <f t="shared" si="46"/>
        <v>F518G1T1</v>
      </c>
      <c r="G2956" s="14" t="s">
        <v>56</v>
      </c>
    </row>
    <row r="2957" spans="1:7">
      <c r="A2957">
        <v>51</v>
      </c>
      <c r="B2957">
        <v>1</v>
      </c>
      <c r="C2957">
        <v>1</v>
      </c>
      <c r="E2957">
        <v>4</v>
      </c>
      <c r="F2957" t="str">
        <f t="shared" si="46"/>
        <v>F511G1T4</v>
      </c>
      <c r="G2957" s="14" t="s">
        <v>56</v>
      </c>
    </row>
    <row r="2958" spans="1:7">
      <c r="A2958">
        <v>51</v>
      </c>
      <c r="B2958">
        <v>2</v>
      </c>
      <c r="C2958">
        <v>1</v>
      </c>
      <c r="E2958">
        <v>4</v>
      </c>
      <c r="F2958" t="str">
        <f t="shared" si="46"/>
        <v>F512G1T4</v>
      </c>
      <c r="G2958" s="14" t="s">
        <v>56</v>
      </c>
    </row>
    <row r="2959" spans="1:7">
      <c r="A2959">
        <v>51</v>
      </c>
      <c r="B2959">
        <v>4</v>
      </c>
      <c r="C2959">
        <v>1</v>
      </c>
      <c r="E2959">
        <v>4</v>
      </c>
      <c r="F2959" t="str">
        <f t="shared" si="46"/>
        <v>F514G1T4</v>
      </c>
      <c r="G2959" s="14" t="s">
        <v>56</v>
      </c>
    </row>
    <row r="2960" spans="1:7">
      <c r="A2960">
        <v>51</v>
      </c>
      <c r="B2960">
        <v>5</v>
      </c>
      <c r="C2960">
        <v>1</v>
      </c>
      <c r="E2960">
        <v>4</v>
      </c>
      <c r="F2960" t="str">
        <f t="shared" si="46"/>
        <v>F515G1T4</v>
      </c>
      <c r="G2960" s="14" t="s">
        <v>56</v>
      </c>
    </row>
    <row r="2961" spans="1:7">
      <c r="A2961">
        <v>51</v>
      </c>
      <c r="B2961">
        <v>6</v>
      </c>
      <c r="C2961">
        <v>1</v>
      </c>
      <c r="E2961">
        <v>4</v>
      </c>
      <c r="F2961" t="str">
        <f t="shared" si="46"/>
        <v>F516G1T4</v>
      </c>
      <c r="G2961" s="14" t="s">
        <v>56</v>
      </c>
    </row>
    <row r="2962" spans="1:7">
      <c r="A2962">
        <v>51</v>
      </c>
      <c r="B2962">
        <v>7</v>
      </c>
      <c r="C2962">
        <v>1</v>
      </c>
      <c r="E2962">
        <v>4</v>
      </c>
      <c r="F2962" t="str">
        <f t="shared" si="46"/>
        <v>F517G1T4</v>
      </c>
      <c r="G2962" s="14" t="s">
        <v>56</v>
      </c>
    </row>
    <row r="2963" spans="1:7">
      <c r="A2963">
        <v>51</v>
      </c>
      <c r="B2963">
        <v>8</v>
      </c>
      <c r="C2963">
        <v>1</v>
      </c>
      <c r="E2963">
        <v>4</v>
      </c>
      <c r="F2963" t="str">
        <f t="shared" si="46"/>
        <v>F518G1T4</v>
      </c>
      <c r="G2963" s="14" t="s">
        <v>56</v>
      </c>
    </row>
    <row r="2964" spans="1:7">
      <c r="A2964">
        <v>21</v>
      </c>
      <c r="B2964">
        <v>1</v>
      </c>
      <c r="C2964">
        <v>1</v>
      </c>
      <c r="E2964">
        <v>3</v>
      </c>
      <c r="F2964" t="str">
        <f t="shared" si="46"/>
        <v>F211G1T3</v>
      </c>
      <c r="G2964" s="14" t="s">
        <v>322</v>
      </c>
    </row>
    <row r="2965" spans="1:7">
      <c r="A2965">
        <v>21</v>
      </c>
      <c r="B2965">
        <v>2</v>
      </c>
      <c r="C2965">
        <v>1</v>
      </c>
      <c r="E2965">
        <v>3</v>
      </c>
      <c r="F2965" t="str">
        <f t="shared" si="46"/>
        <v>F212G1T3</v>
      </c>
      <c r="G2965" s="14" t="s">
        <v>322</v>
      </c>
    </row>
    <row r="2966" spans="1:7">
      <c r="A2966">
        <v>21</v>
      </c>
      <c r="B2966">
        <v>5</v>
      </c>
      <c r="C2966">
        <v>1</v>
      </c>
      <c r="E2966">
        <v>3</v>
      </c>
      <c r="F2966" t="str">
        <f t="shared" si="46"/>
        <v>F215G1T3</v>
      </c>
      <c r="G2966" s="14" t="s">
        <v>322</v>
      </c>
    </row>
    <row r="2967" spans="1:7">
      <c r="A2967">
        <v>21</v>
      </c>
      <c r="B2967">
        <v>6</v>
      </c>
      <c r="C2967">
        <v>1</v>
      </c>
      <c r="E2967">
        <v>3</v>
      </c>
      <c r="F2967" t="str">
        <f t="shared" si="46"/>
        <v>F216G1T3</v>
      </c>
      <c r="G2967" s="14" t="s">
        <v>322</v>
      </c>
    </row>
    <row r="2968" spans="1:7">
      <c r="A2968">
        <v>21</v>
      </c>
      <c r="B2968">
        <v>7</v>
      </c>
      <c r="C2968">
        <v>1</v>
      </c>
      <c r="E2968">
        <v>3</v>
      </c>
      <c r="F2968" t="str">
        <f t="shared" si="46"/>
        <v>F217G1T3</v>
      </c>
      <c r="G2968" s="14" t="s">
        <v>322</v>
      </c>
    </row>
    <row r="2969" spans="1:7">
      <c r="A2969">
        <v>21</v>
      </c>
      <c r="B2969">
        <v>8</v>
      </c>
      <c r="C2969">
        <v>1</v>
      </c>
      <c r="E2969">
        <v>3</v>
      </c>
      <c r="F2969" t="str">
        <f t="shared" si="46"/>
        <v>F218G1T3</v>
      </c>
      <c r="G2969" s="14" t="s">
        <v>322</v>
      </c>
    </row>
    <row r="2970" spans="1:7">
      <c r="A2970">
        <v>21</v>
      </c>
      <c r="B2970">
        <v>1</v>
      </c>
      <c r="C2970">
        <v>1</v>
      </c>
      <c r="E2970">
        <v>2</v>
      </c>
      <c r="F2970" t="str">
        <f t="shared" si="46"/>
        <v>F211G1T2</v>
      </c>
      <c r="G2970" s="14" t="s">
        <v>62</v>
      </c>
    </row>
    <row r="2971" spans="1:7">
      <c r="A2971">
        <v>21</v>
      </c>
      <c r="B2971">
        <v>2</v>
      </c>
      <c r="C2971">
        <v>1</v>
      </c>
      <c r="E2971">
        <v>2</v>
      </c>
      <c r="F2971" t="str">
        <f t="shared" si="46"/>
        <v>F212G1T2</v>
      </c>
      <c r="G2971" s="14" t="s">
        <v>62</v>
      </c>
    </row>
    <row r="2972" spans="1:7">
      <c r="A2972">
        <v>21</v>
      </c>
      <c r="B2972">
        <v>5</v>
      </c>
      <c r="C2972">
        <v>1</v>
      </c>
      <c r="E2972">
        <v>2</v>
      </c>
      <c r="F2972" t="str">
        <f t="shared" si="46"/>
        <v>F215G1T2</v>
      </c>
      <c r="G2972" s="14" t="s">
        <v>62</v>
      </c>
    </row>
    <row r="2973" spans="1:7">
      <c r="A2973">
        <v>21</v>
      </c>
      <c r="B2973">
        <v>6</v>
      </c>
      <c r="C2973">
        <v>1</v>
      </c>
      <c r="E2973">
        <v>2</v>
      </c>
      <c r="F2973" t="str">
        <f t="shared" si="46"/>
        <v>F216G1T2</v>
      </c>
      <c r="G2973" s="14" t="s">
        <v>62</v>
      </c>
    </row>
    <row r="2974" spans="1:7">
      <c r="A2974">
        <v>21</v>
      </c>
      <c r="B2974">
        <v>7</v>
      </c>
      <c r="C2974">
        <v>1</v>
      </c>
      <c r="E2974">
        <v>2</v>
      </c>
      <c r="F2974" t="str">
        <f t="shared" si="46"/>
        <v>F217G1T2</v>
      </c>
      <c r="G2974" s="14" t="s">
        <v>62</v>
      </c>
    </row>
    <row r="2975" spans="1:7">
      <c r="A2975">
        <v>21</v>
      </c>
      <c r="B2975">
        <v>8</v>
      </c>
      <c r="C2975">
        <v>1</v>
      </c>
      <c r="E2975">
        <v>2</v>
      </c>
      <c r="F2975" t="str">
        <f t="shared" si="46"/>
        <v>F218G1T2</v>
      </c>
      <c r="G2975" s="14" t="s">
        <v>62</v>
      </c>
    </row>
    <row r="2976" spans="1:7">
      <c r="A2976">
        <v>23</v>
      </c>
      <c r="B2976">
        <v>1</v>
      </c>
      <c r="C2976">
        <v>1</v>
      </c>
      <c r="E2976">
        <v>3</v>
      </c>
      <c r="F2976" t="str">
        <f t="shared" si="46"/>
        <v>F231G1T3</v>
      </c>
      <c r="G2976" s="14" t="s">
        <v>322</v>
      </c>
    </row>
    <row r="2977" spans="1:7">
      <c r="A2977">
        <v>23</v>
      </c>
      <c r="B2977">
        <v>2</v>
      </c>
      <c r="C2977">
        <v>1</v>
      </c>
      <c r="E2977">
        <v>3</v>
      </c>
      <c r="F2977" t="str">
        <f t="shared" si="46"/>
        <v>F232G1T3</v>
      </c>
      <c r="G2977" s="14" t="s">
        <v>322</v>
      </c>
    </row>
    <row r="2978" spans="1:7">
      <c r="A2978">
        <v>23</v>
      </c>
      <c r="B2978">
        <v>5</v>
      </c>
      <c r="C2978">
        <v>1</v>
      </c>
      <c r="E2978">
        <v>3</v>
      </c>
      <c r="F2978" t="str">
        <f t="shared" si="46"/>
        <v>F235G1T3</v>
      </c>
      <c r="G2978" s="14" t="s">
        <v>322</v>
      </c>
    </row>
    <row r="2979" spans="1:7">
      <c r="A2979">
        <v>23</v>
      </c>
      <c r="B2979">
        <v>6</v>
      </c>
      <c r="C2979">
        <v>1</v>
      </c>
      <c r="E2979">
        <v>3</v>
      </c>
      <c r="F2979" t="str">
        <f t="shared" si="46"/>
        <v>F236G1T3</v>
      </c>
      <c r="G2979" s="14" t="s">
        <v>322</v>
      </c>
    </row>
    <row r="2980" spans="1:7">
      <c r="A2980">
        <v>23</v>
      </c>
      <c r="B2980">
        <v>7</v>
      </c>
      <c r="C2980">
        <v>1</v>
      </c>
      <c r="E2980">
        <v>3</v>
      </c>
      <c r="F2980" t="str">
        <f t="shared" si="46"/>
        <v>F237G1T3</v>
      </c>
      <c r="G2980" s="14" t="s">
        <v>322</v>
      </c>
    </row>
    <row r="2981" spans="1:7">
      <c r="A2981">
        <v>23</v>
      </c>
      <c r="B2981">
        <v>8</v>
      </c>
      <c r="C2981">
        <v>1</v>
      </c>
      <c r="E2981">
        <v>3</v>
      </c>
      <c r="F2981" t="str">
        <f t="shared" si="46"/>
        <v>F238G1T3</v>
      </c>
      <c r="G2981" s="14" t="s">
        <v>322</v>
      </c>
    </row>
    <row r="2982" spans="1:7">
      <c r="A2982">
        <v>23</v>
      </c>
      <c r="B2982">
        <v>1</v>
      </c>
      <c r="C2982">
        <v>1</v>
      </c>
      <c r="E2982">
        <v>2</v>
      </c>
      <c r="F2982" t="str">
        <f t="shared" si="46"/>
        <v>F231G1T2</v>
      </c>
      <c r="G2982" s="14" t="s">
        <v>62</v>
      </c>
    </row>
    <row r="2983" spans="1:7">
      <c r="A2983">
        <v>23</v>
      </c>
      <c r="B2983">
        <v>2</v>
      </c>
      <c r="C2983">
        <v>1</v>
      </c>
      <c r="E2983">
        <v>2</v>
      </c>
      <c r="F2983" t="str">
        <f t="shared" si="46"/>
        <v>F232G1T2</v>
      </c>
      <c r="G2983" s="14" t="s">
        <v>62</v>
      </c>
    </row>
    <row r="2984" spans="1:7">
      <c r="A2984">
        <v>23</v>
      </c>
      <c r="B2984">
        <v>5</v>
      </c>
      <c r="C2984">
        <v>1</v>
      </c>
      <c r="E2984">
        <v>2</v>
      </c>
      <c r="F2984" t="str">
        <f t="shared" si="46"/>
        <v>F235G1T2</v>
      </c>
      <c r="G2984" s="14" t="s">
        <v>62</v>
      </c>
    </row>
    <row r="2985" spans="1:7">
      <c r="A2985">
        <v>23</v>
      </c>
      <c r="B2985">
        <v>6</v>
      </c>
      <c r="C2985">
        <v>1</v>
      </c>
      <c r="E2985">
        <v>2</v>
      </c>
      <c r="F2985" t="str">
        <f t="shared" si="46"/>
        <v>F236G1T2</v>
      </c>
      <c r="G2985" s="14" t="s">
        <v>62</v>
      </c>
    </row>
    <row r="2986" spans="1:7">
      <c r="A2986">
        <v>23</v>
      </c>
      <c r="B2986">
        <v>7</v>
      </c>
      <c r="C2986">
        <v>1</v>
      </c>
      <c r="E2986">
        <v>2</v>
      </c>
      <c r="F2986" t="str">
        <f t="shared" si="46"/>
        <v>F237G1T2</v>
      </c>
      <c r="G2986" s="14" t="s">
        <v>62</v>
      </c>
    </row>
    <row r="2987" spans="1:7">
      <c r="A2987">
        <v>23</v>
      </c>
      <c r="B2987">
        <v>8</v>
      </c>
      <c r="C2987">
        <v>1</v>
      </c>
      <c r="E2987">
        <v>2</v>
      </c>
      <c r="F2987" t="str">
        <f t="shared" si="46"/>
        <v>F238G1T2</v>
      </c>
      <c r="G2987" s="14" t="s">
        <v>62</v>
      </c>
    </row>
    <row r="2988" spans="1:7">
      <c r="A2988">
        <v>24</v>
      </c>
      <c r="B2988">
        <v>1</v>
      </c>
      <c r="C2988">
        <v>1</v>
      </c>
      <c r="E2988">
        <v>3</v>
      </c>
      <c r="F2988" t="str">
        <f t="shared" si="46"/>
        <v>F241G1T3</v>
      </c>
      <c r="G2988" s="14" t="s">
        <v>322</v>
      </c>
    </row>
    <row r="2989" spans="1:7">
      <c r="A2989">
        <v>24</v>
      </c>
      <c r="B2989">
        <v>2</v>
      </c>
      <c r="C2989">
        <v>1</v>
      </c>
      <c r="E2989">
        <v>3</v>
      </c>
      <c r="F2989" t="str">
        <f t="shared" si="46"/>
        <v>F242G1T3</v>
      </c>
      <c r="G2989" s="14" t="s">
        <v>322</v>
      </c>
    </row>
    <row r="2990" spans="1:7">
      <c r="A2990">
        <v>24</v>
      </c>
      <c r="B2990">
        <v>5</v>
      </c>
      <c r="C2990">
        <v>1</v>
      </c>
      <c r="E2990">
        <v>3</v>
      </c>
      <c r="F2990" t="str">
        <f t="shared" si="46"/>
        <v>F245G1T3</v>
      </c>
      <c r="G2990" s="14" t="s">
        <v>322</v>
      </c>
    </row>
    <row r="2991" spans="1:7">
      <c r="A2991">
        <v>24</v>
      </c>
      <c r="B2991">
        <v>6</v>
      </c>
      <c r="C2991">
        <v>1</v>
      </c>
      <c r="E2991">
        <v>3</v>
      </c>
      <c r="F2991" t="str">
        <f t="shared" si="46"/>
        <v>F246G1T3</v>
      </c>
      <c r="G2991" s="14" t="s">
        <v>322</v>
      </c>
    </row>
    <row r="2992" spans="1:7">
      <c r="A2992">
        <v>24</v>
      </c>
      <c r="B2992">
        <v>7</v>
      </c>
      <c r="C2992">
        <v>1</v>
      </c>
      <c r="E2992">
        <v>3</v>
      </c>
      <c r="F2992" t="str">
        <f t="shared" si="46"/>
        <v>F247G1T3</v>
      </c>
      <c r="G2992" s="14" t="s">
        <v>322</v>
      </c>
    </row>
    <row r="2993" spans="1:7">
      <c r="A2993">
        <v>24</v>
      </c>
      <c r="B2993">
        <v>8</v>
      </c>
      <c r="C2993">
        <v>1</v>
      </c>
      <c r="E2993">
        <v>3</v>
      </c>
      <c r="F2993" t="str">
        <f t="shared" si="46"/>
        <v>F248G1T3</v>
      </c>
      <c r="G2993" s="14" t="s">
        <v>322</v>
      </c>
    </row>
    <row r="2994" spans="1:7">
      <c r="A2994">
        <v>24</v>
      </c>
      <c r="B2994">
        <v>1</v>
      </c>
      <c r="C2994">
        <v>1</v>
      </c>
      <c r="E2994">
        <v>2</v>
      </c>
      <c r="F2994" t="str">
        <f t="shared" si="46"/>
        <v>F241G1T2</v>
      </c>
      <c r="G2994" s="14" t="s">
        <v>62</v>
      </c>
    </row>
    <row r="2995" spans="1:7">
      <c r="A2995">
        <v>24</v>
      </c>
      <c r="B2995">
        <v>2</v>
      </c>
      <c r="C2995">
        <v>1</v>
      </c>
      <c r="E2995">
        <v>2</v>
      </c>
      <c r="F2995" t="str">
        <f t="shared" si="46"/>
        <v>F242G1T2</v>
      </c>
      <c r="G2995" s="14" t="s">
        <v>62</v>
      </c>
    </row>
    <row r="2996" spans="1:7">
      <c r="A2996">
        <v>24</v>
      </c>
      <c r="B2996">
        <v>5</v>
      </c>
      <c r="C2996">
        <v>1</v>
      </c>
      <c r="E2996">
        <v>2</v>
      </c>
      <c r="F2996" t="str">
        <f t="shared" si="46"/>
        <v>F245G1T2</v>
      </c>
      <c r="G2996" s="14" t="s">
        <v>62</v>
      </c>
    </row>
    <row r="2997" spans="1:7">
      <c r="A2997">
        <v>24</v>
      </c>
      <c r="B2997">
        <v>6</v>
      </c>
      <c r="C2997">
        <v>1</v>
      </c>
      <c r="E2997">
        <v>2</v>
      </c>
      <c r="F2997" t="str">
        <f t="shared" si="46"/>
        <v>F246G1T2</v>
      </c>
      <c r="G2997" s="14" t="s">
        <v>62</v>
      </c>
    </row>
    <row r="2998" spans="1:7">
      <c r="A2998">
        <v>24</v>
      </c>
      <c r="B2998">
        <v>7</v>
      </c>
      <c r="C2998">
        <v>1</v>
      </c>
      <c r="E2998">
        <v>2</v>
      </c>
      <c r="F2998" t="str">
        <f t="shared" si="46"/>
        <v>F247G1T2</v>
      </c>
      <c r="G2998" s="14" t="s">
        <v>62</v>
      </c>
    </row>
    <row r="2999" spans="1:7">
      <c r="A2999">
        <v>24</v>
      </c>
      <c r="B2999">
        <v>8</v>
      </c>
      <c r="C2999">
        <v>1</v>
      </c>
      <c r="E2999">
        <v>2</v>
      </c>
      <c r="F2999" t="str">
        <f t="shared" si="46"/>
        <v>F248G1T2</v>
      </c>
      <c r="G2999" s="14" t="s">
        <v>62</v>
      </c>
    </row>
    <row r="3000" spans="1:7">
      <c r="A3000">
        <v>25</v>
      </c>
      <c r="B3000">
        <v>1</v>
      </c>
      <c r="C3000">
        <v>1</v>
      </c>
      <c r="E3000">
        <v>3</v>
      </c>
      <c r="F3000" t="str">
        <f t="shared" si="46"/>
        <v>F251G1T3</v>
      </c>
      <c r="G3000" s="14" t="s">
        <v>322</v>
      </c>
    </row>
    <row r="3001" spans="1:7">
      <c r="A3001">
        <v>25</v>
      </c>
      <c r="B3001">
        <v>2</v>
      </c>
      <c r="C3001">
        <v>1</v>
      </c>
      <c r="E3001">
        <v>3</v>
      </c>
      <c r="F3001" t="str">
        <f t="shared" si="46"/>
        <v>F252G1T3</v>
      </c>
      <c r="G3001" s="14" t="s">
        <v>322</v>
      </c>
    </row>
    <row r="3002" spans="1:7">
      <c r="A3002">
        <v>25</v>
      </c>
      <c r="B3002">
        <v>5</v>
      </c>
      <c r="C3002">
        <v>1</v>
      </c>
      <c r="E3002">
        <v>3</v>
      </c>
      <c r="F3002" t="str">
        <f t="shared" si="46"/>
        <v>F255G1T3</v>
      </c>
      <c r="G3002" s="14" t="s">
        <v>322</v>
      </c>
    </row>
    <row r="3003" spans="1:7">
      <c r="A3003">
        <v>25</v>
      </c>
      <c r="B3003">
        <v>6</v>
      </c>
      <c r="C3003">
        <v>1</v>
      </c>
      <c r="E3003">
        <v>3</v>
      </c>
      <c r="F3003" t="str">
        <f t="shared" si="46"/>
        <v>F256G1T3</v>
      </c>
      <c r="G3003" s="14" t="s">
        <v>322</v>
      </c>
    </row>
    <row r="3004" spans="1:7">
      <c r="A3004">
        <v>25</v>
      </c>
      <c r="B3004">
        <v>7</v>
      </c>
      <c r="C3004">
        <v>1</v>
      </c>
      <c r="E3004">
        <v>3</v>
      </c>
      <c r="F3004" t="str">
        <f t="shared" si="46"/>
        <v>F257G1T3</v>
      </c>
      <c r="G3004" s="14" t="s">
        <v>322</v>
      </c>
    </row>
    <row r="3005" spans="1:7">
      <c r="A3005">
        <v>25</v>
      </c>
      <c r="B3005">
        <v>8</v>
      </c>
      <c r="C3005">
        <v>1</v>
      </c>
      <c r="E3005">
        <v>3</v>
      </c>
      <c r="F3005" t="str">
        <f t="shared" si="46"/>
        <v>F258G1T3</v>
      </c>
      <c r="G3005" s="14" t="s">
        <v>322</v>
      </c>
    </row>
    <row r="3006" spans="1:7">
      <c r="A3006">
        <v>25</v>
      </c>
      <c r="B3006">
        <v>1</v>
      </c>
      <c r="C3006">
        <v>1</v>
      </c>
      <c r="E3006">
        <v>2</v>
      </c>
      <c r="F3006" t="str">
        <f t="shared" si="46"/>
        <v>F251G1T2</v>
      </c>
      <c r="G3006" s="14" t="s">
        <v>62</v>
      </c>
    </row>
    <row r="3007" spans="1:7">
      <c r="A3007">
        <v>25</v>
      </c>
      <c r="B3007">
        <v>2</v>
      </c>
      <c r="C3007">
        <v>1</v>
      </c>
      <c r="E3007">
        <v>2</v>
      </c>
      <c r="F3007" t="str">
        <f t="shared" si="46"/>
        <v>F252G1T2</v>
      </c>
      <c r="G3007" s="14" t="s">
        <v>62</v>
      </c>
    </row>
    <row r="3008" spans="1:7">
      <c r="A3008">
        <v>25</v>
      </c>
      <c r="B3008">
        <v>5</v>
      </c>
      <c r="C3008">
        <v>1</v>
      </c>
      <c r="E3008">
        <v>2</v>
      </c>
      <c r="F3008" t="str">
        <f t="shared" si="46"/>
        <v>F255G1T2</v>
      </c>
      <c r="G3008" s="14" t="s">
        <v>62</v>
      </c>
    </row>
    <row r="3009" spans="1:7">
      <c r="A3009">
        <v>25</v>
      </c>
      <c r="B3009">
        <v>6</v>
      </c>
      <c r="C3009">
        <v>1</v>
      </c>
      <c r="E3009">
        <v>2</v>
      </c>
      <c r="F3009" t="str">
        <f t="shared" si="46"/>
        <v>F256G1T2</v>
      </c>
      <c r="G3009" s="14" t="s">
        <v>62</v>
      </c>
    </row>
    <row r="3010" spans="1:7">
      <c r="A3010">
        <v>25</v>
      </c>
      <c r="B3010">
        <v>7</v>
      </c>
      <c r="C3010">
        <v>1</v>
      </c>
      <c r="E3010">
        <v>2</v>
      </c>
      <c r="F3010" t="str">
        <f t="shared" si="46"/>
        <v>F257G1T2</v>
      </c>
      <c r="G3010" s="14" t="s">
        <v>62</v>
      </c>
    </row>
    <row r="3011" spans="1:7">
      <c r="A3011">
        <v>25</v>
      </c>
      <c r="B3011">
        <v>8</v>
      </c>
      <c r="C3011">
        <v>1</v>
      </c>
      <c r="E3011">
        <v>2</v>
      </c>
      <c r="F3011" t="str">
        <f t="shared" ref="F3011:F3074" si="47">CONCATENATE("F",A3011,B3011,"G",C3011,"T",E3011)</f>
        <v>F258G1T2</v>
      </c>
      <c r="G3011" s="14" t="s">
        <v>62</v>
      </c>
    </row>
    <row r="3012" spans="1:7">
      <c r="A3012">
        <v>36</v>
      </c>
      <c r="B3012">
        <v>1</v>
      </c>
      <c r="C3012">
        <v>1</v>
      </c>
      <c r="E3012">
        <v>3</v>
      </c>
      <c r="F3012" t="str">
        <f t="shared" si="47"/>
        <v>F361G1T3</v>
      </c>
      <c r="G3012" s="14" t="s">
        <v>322</v>
      </c>
    </row>
    <row r="3013" spans="1:7">
      <c r="A3013">
        <v>36</v>
      </c>
      <c r="B3013">
        <v>2</v>
      </c>
      <c r="C3013">
        <v>1</v>
      </c>
      <c r="E3013">
        <v>3</v>
      </c>
      <c r="F3013" t="str">
        <f t="shared" si="47"/>
        <v>F362G1T3</v>
      </c>
      <c r="G3013" s="14" t="s">
        <v>322</v>
      </c>
    </row>
    <row r="3014" spans="1:7">
      <c r="A3014">
        <v>36</v>
      </c>
      <c r="B3014">
        <v>5</v>
      </c>
      <c r="C3014">
        <v>1</v>
      </c>
      <c r="E3014">
        <v>3</v>
      </c>
      <c r="F3014" t="str">
        <f t="shared" si="47"/>
        <v>F365G1T3</v>
      </c>
      <c r="G3014" s="14" t="s">
        <v>322</v>
      </c>
    </row>
    <row r="3015" spans="1:7">
      <c r="A3015">
        <v>36</v>
      </c>
      <c r="B3015">
        <v>6</v>
      </c>
      <c r="C3015">
        <v>1</v>
      </c>
      <c r="E3015">
        <v>3</v>
      </c>
      <c r="F3015" t="str">
        <f t="shared" si="47"/>
        <v>F366G1T3</v>
      </c>
      <c r="G3015" s="14" t="s">
        <v>322</v>
      </c>
    </row>
    <row r="3016" spans="1:7">
      <c r="A3016">
        <v>36</v>
      </c>
      <c r="B3016">
        <v>7</v>
      </c>
      <c r="C3016">
        <v>1</v>
      </c>
      <c r="E3016">
        <v>3</v>
      </c>
      <c r="F3016" t="str">
        <f t="shared" si="47"/>
        <v>F367G1T3</v>
      </c>
      <c r="G3016" s="14" t="s">
        <v>322</v>
      </c>
    </row>
    <row r="3017" spans="1:7">
      <c r="A3017">
        <v>36</v>
      </c>
      <c r="B3017">
        <v>8</v>
      </c>
      <c r="C3017">
        <v>1</v>
      </c>
      <c r="E3017">
        <v>3</v>
      </c>
      <c r="F3017" t="str">
        <f t="shared" si="47"/>
        <v>F368G1T3</v>
      </c>
      <c r="G3017" s="14" t="s">
        <v>322</v>
      </c>
    </row>
    <row r="3018" spans="1:7">
      <c r="A3018">
        <v>36</v>
      </c>
      <c r="B3018">
        <v>1</v>
      </c>
      <c r="C3018">
        <v>1</v>
      </c>
      <c r="E3018">
        <v>2</v>
      </c>
      <c r="F3018" t="str">
        <f t="shared" si="47"/>
        <v>F361G1T2</v>
      </c>
      <c r="G3018" s="14" t="s">
        <v>62</v>
      </c>
    </row>
    <row r="3019" spans="1:7">
      <c r="A3019">
        <v>36</v>
      </c>
      <c r="B3019">
        <v>2</v>
      </c>
      <c r="C3019">
        <v>1</v>
      </c>
      <c r="E3019">
        <v>2</v>
      </c>
      <c r="F3019" t="str">
        <f t="shared" si="47"/>
        <v>F362G1T2</v>
      </c>
      <c r="G3019" s="14" t="s">
        <v>62</v>
      </c>
    </row>
    <row r="3020" spans="1:7">
      <c r="A3020">
        <v>36</v>
      </c>
      <c r="B3020">
        <v>5</v>
      </c>
      <c r="C3020">
        <v>1</v>
      </c>
      <c r="E3020">
        <v>2</v>
      </c>
      <c r="F3020" t="str">
        <f t="shared" si="47"/>
        <v>F365G1T2</v>
      </c>
      <c r="G3020" s="14" t="s">
        <v>62</v>
      </c>
    </row>
    <row r="3021" spans="1:7">
      <c r="A3021">
        <v>36</v>
      </c>
      <c r="B3021">
        <v>6</v>
      </c>
      <c r="C3021">
        <v>1</v>
      </c>
      <c r="E3021">
        <v>2</v>
      </c>
      <c r="F3021" t="str">
        <f t="shared" si="47"/>
        <v>F366G1T2</v>
      </c>
      <c r="G3021" s="14" t="s">
        <v>62</v>
      </c>
    </row>
    <row r="3022" spans="1:7">
      <c r="A3022">
        <v>36</v>
      </c>
      <c r="B3022">
        <v>7</v>
      </c>
      <c r="C3022">
        <v>1</v>
      </c>
      <c r="E3022">
        <v>2</v>
      </c>
      <c r="F3022" t="str">
        <f t="shared" si="47"/>
        <v>F367G1T2</v>
      </c>
      <c r="G3022" s="14" t="s">
        <v>62</v>
      </c>
    </row>
    <row r="3023" spans="1:7">
      <c r="A3023">
        <v>36</v>
      </c>
      <c r="B3023">
        <v>8</v>
      </c>
      <c r="C3023">
        <v>1</v>
      </c>
      <c r="E3023">
        <v>2</v>
      </c>
      <c r="F3023" t="str">
        <f t="shared" si="47"/>
        <v>F368G1T2</v>
      </c>
      <c r="G3023" s="14" t="s">
        <v>62</v>
      </c>
    </row>
    <row r="3024" spans="1:7">
      <c r="A3024">
        <v>38</v>
      </c>
      <c r="B3024">
        <v>1</v>
      </c>
      <c r="C3024">
        <v>1</v>
      </c>
      <c r="E3024">
        <v>3</v>
      </c>
      <c r="F3024" t="str">
        <f t="shared" si="47"/>
        <v>F381G1T3</v>
      </c>
      <c r="G3024" s="14" t="s">
        <v>322</v>
      </c>
    </row>
    <row r="3025" spans="1:7">
      <c r="A3025">
        <v>38</v>
      </c>
      <c r="B3025">
        <v>2</v>
      </c>
      <c r="C3025">
        <v>1</v>
      </c>
      <c r="E3025">
        <v>3</v>
      </c>
      <c r="F3025" t="str">
        <f t="shared" si="47"/>
        <v>F382G1T3</v>
      </c>
      <c r="G3025" s="14" t="s">
        <v>322</v>
      </c>
    </row>
    <row r="3026" spans="1:7">
      <c r="A3026">
        <v>38</v>
      </c>
      <c r="B3026">
        <v>5</v>
      </c>
      <c r="C3026">
        <v>1</v>
      </c>
      <c r="E3026">
        <v>3</v>
      </c>
      <c r="F3026" t="str">
        <f t="shared" si="47"/>
        <v>F385G1T3</v>
      </c>
      <c r="G3026" s="14" t="s">
        <v>322</v>
      </c>
    </row>
    <row r="3027" spans="1:7">
      <c r="A3027">
        <v>38</v>
      </c>
      <c r="B3027">
        <v>6</v>
      </c>
      <c r="C3027">
        <v>1</v>
      </c>
      <c r="E3027">
        <v>3</v>
      </c>
      <c r="F3027" t="str">
        <f t="shared" si="47"/>
        <v>F386G1T3</v>
      </c>
      <c r="G3027" s="14" t="s">
        <v>322</v>
      </c>
    </row>
    <row r="3028" spans="1:7">
      <c r="A3028">
        <v>38</v>
      </c>
      <c r="B3028">
        <v>7</v>
      </c>
      <c r="C3028">
        <v>1</v>
      </c>
      <c r="E3028">
        <v>3</v>
      </c>
      <c r="F3028" t="str">
        <f t="shared" si="47"/>
        <v>F387G1T3</v>
      </c>
      <c r="G3028" s="14" t="s">
        <v>322</v>
      </c>
    </row>
    <row r="3029" spans="1:7">
      <c r="A3029">
        <v>38</v>
      </c>
      <c r="B3029">
        <v>8</v>
      </c>
      <c r="C3029">
        <v>1</v>
      </c>
      <c r="E3029">
        <v>3</v>
      </c>
      <c r="F3029" t="str">
        <f t="shared" si="47"/>
        <v>F388G1T3</v>
      </c>
      <c r="G3029" s="14" t="s">
        <v>322</v>
      </c>
    </row>
    <row r="3030" spans="1:7">
      <c r="A3030">
        <v>38</v>
      </c>
      <c r="B3030">
        <v>1</v>
      </c>
      <c r="C3030">
        <v>1</v>
      </c>
      <c r="E3030">
        <v>2</v>
      </c>
      <c r="F3030" t="str">
        <f t="shared" si="47"/>
        <v>F381G1T2</v>
      </c>
      <c r="G3030" s="14" t="s">
        <v>62</v>
      </c>
    </row>
    <row r="3031" spans="1:7">
      <c r="A3031">
        <v>38</v>
      </c>
      <c r="B3031">
        <v>2</v>
      </c>
      <c r="C3031">
        <v>1</v>
      </c>
      <c r="E3031">
        <v>2</v>
      </c>
      <c r="F3031" t="str">
        <f t="shared" si="47"/>
        <v>F382G1T2</v>
      </c>
      <c r="G3031" s="14" t="s">
        <v>62</v>
      </c>
    </row>
    <row r="3032" spans="1:7">
      <c r="A3032">
        <v>38</v>
      </c>
      <c r="B3032">
        <v>5</v>
      </c>
      <c r="C3032">
        <v>1</v>
      </c>
      <c r="E3032">
        <v>2</v>
      </c>
      <c r="F3032" t="str">
        <f t="shared" si="47"/>
        <v>F385G1T2</v>
      </c>
      <c r="G3032" s="14" t="s">
        <v>62</v>
      </c>
    </row>
    <row r="3033" spans="1:7">
      <c r="A3033">
        <v>38</v>
      </c>
      <c r="B3033">
        <v>6</v>
      </c>
      <c r="C3033">
        <v>1</v>
      </c>
      <c r="E3033">
        <v>2</v>
      </c>
      <c r="F3033" t="str">
        <f t="shared" si="47"/>
        <v>F386G1T2</v>
      </c>
      <c r="G3033" s="14" t="s">
        <v>62</v>
      </c>
    </row>
    <row r="3034" spans="1:7">
      <c r="A3034">
        <v>38</v>
      </c>
      <c r="B3034">
        <v>7</v>
      </c>
      <c r="C3034">
        <v>1</v>
      </c>
      <c r="E3034">
        <v>2</v>
      </c>
      <c r="F3034" t="str">
        <f t="shared" si="47"/>
        <v>F387G1T2</v>
      </c>
      <c r="G3034" s="14" t="s">
        <v>62</v>
      </c>
    </row>
    <row r="3035" spans="1:7">
      <c r="A3035">
        <v>38</v>
      </c>
      <c r="B3035">
        <v>8</v>
      </c>
      <c r="C3035">
        <v>1</v>
      </c>
      <c r="E3035">
        <v>2</v>
      </c>
      <c r="F3035" t="str">
        <f t="shared" si="47"/>
        <v>F388G1T2</v>
      </c>
      <c r="G3035" s="14" t="s">
        <v>62</v>
      </c>
    </row>
    <row r="3036" spans="1:7">
      <c r="A3036">
        <v>42</v>
      </c>
      <c r="B3036">
        <v>1</v>
      </c>
      <c r="C3036">
        <v>1</v>
      </c>
      <c r="E3036">
        <v>3</v>
      </c>
      <c r="F3036" t="str">
        <f t="shared" si="47"/>
        <v>F421G1T3</v>
      </c>
      <c r="G3036" s="14" t="s">
        <v>322</v>
      </c>
    </row>
    <row r="3037" spans="1:7">
      <c r="A3037">
        <v>42</v>
      </c>
      <c r="B3037">
        <v>2</v>
      </c>
      <c r="C3037">
        <v>1</v>
      </c>
      <c r="E3037">
        <v>3</v>
      </c>
      <c r="F3037" t="str">
        <f t="shared" si="47"/>
        <v>F422G1T3</v>
      </c>
      <c r="G3037" s="14" t="s">
        <v>322</v>
      </c>
    </row>
    <row r="3038" spans="1:7">
      <c r="A3038">
        <v>42</v>
      </c>
      <c r="B3038">
        <v>5</v>
      </c>
      <c r="C3038">
        <v>1</v>
      </c>
      <c r="E3038">
        <v>3</v>
      </c>
      <c r="F3038" t="str">
        <f t="shared" si="47"/>
        <v>F425G1T3</v>
      </c>
      <c r="G3038" s="14" t="s">
        <v>322</v>
      </c>
    </row>
    <row r="3039" spans="1:7">
      <c r="A3039">
        <v>42</v>
      </c>
      <c r="B3039">
        <v>6</v>
      </c>
      <c r="C3039">
        <v>1</v>
      </c>
      <c r="E3039">
        <v>3</v>
      </c>
      <c r="F3039" t="str">
        <f t="shared" si="47"/>
        <v>F426G1T3</v>
      </c>
      <c r="G3039" s="14" t="s">
        <v>322</v>
      </c>
    </row>
    <row r="3040" spans="1:7">
      <c r="A3040">
        <v>42</v>
      </c>
      <c r="B3040">
        <v>7</v>
      </c>
      <c r="C3040">
        <v>1</v>
      </c>
      <c r="E3040">
        <v>3</v>
      </c>
      <c r="F3040" t="str">
        <f t="shared" si="47"/>
        <v>F427G1T3</v>
      </c>
      <c r="G3040" s="14" t="s">
        <v>322</v>
      </c>
    </row>
    <row r="3041" spans="1:7">
      <c r="A3041">
        <v>42</v>
      </c>
      <c r="B3041">
        <v>8</v>
      </c>
      <c r="C3041">
        <v>1</v>
      </c>
      <c r="E3041">
        <v>3</v>
      </c>
      <c r="F3041" t="str">
        <f t="shared" si="47"/>
        <v>F428G1T3</v>
      </c>
      <c r="G3041" s="14" t="s">
        <v>322</v>
      </c>
    </row>
    <row r="3042" spans="1:7">
      <c r="A3042">
        <v>42</v>
      </c>
      <c r="B3042">
        <v>1</v>
      </c>
      <c r="C3042">
        <v>1</v>
      </c>
      <c r="E3042">
        <v>2</v>
      </c>
      <c r="F3042" t="str">
        <f t="shared" si="47"/>
        <v>F421G1T2</v>
      </c>
      <c r="G3042" s="14" t="s">
        <v>62</v>
      </c>
    </row>
    <row r="3043" spans="1:7">
      <c r="A3043">
        <v>42</v>
      </c>
      <c r="B3043">
        <v>2</v>
      </c>
      <c r="C3043">
        <v>1</v>
      </c>
      <c r="E3043">
        <v>2</v>
      </c>
      <c r="F3043" t="str">
        <f t="shared" si="47"/>
        <v>F422G1T2</v>
      </c>
      <c r="G3043" s="14" t="s">
        <v>62</v>
      </c>
    </row>
    <row r="3044" spans="1:7">
      <c r="A3044">
        <v>42</v>
      </c>
      <c r="B3044">
        <v>5</v>
      </c>
      <c r="C3044">
        <v>1</v>
      </c>
      <c r="E3044">
        <v>2</v>
      </c>
      <c r="F3044" t="str">
        <f t="shared" si="47"/>
        <v>F425G1T2</v>
      </c>
      <c r="G3044" s="14" t="s">
        <v>62</v>
      </c>
    </row>
    <row r="3045" spans="1:7">
      <c r="A3045">
        <v>42</v>
      </c>
      <c r="B3045">
        <v>6</v>
      </c>
      <c r="C3045">
        <v>1</v>
      </c>
      <c r="E3045">
        <v>2</v>
      </c>
      <c r="F3045" t="str">
        <f t="shared" si="47"/>
        <v>F426G1T2</v>
      </c>
      <c r="G3045" s="14" t="s">
        <v>62</v>
      </c>
    </row>
    <row r="3046" spans="1:7">
      <c r="A3046">
        <v>42</v>
      </c>
      <c r="B3046">
        <v>7</v>
      </c>
      <c r="C3046">
        <v>1</v>
      </c>
      <c r="E3046">
        <v>2</v>
      </c>
      <c r="F3046" t="str">
        <f t="shared" si="47"/>
        <v>F427G1T2</v>
      </c>
      <c r="G3046" s="14" t="s">
        <v>62</v>
      </c>
    </row>
    <row r="3047" spans="1:7">
      <c r="A3047">
        <v>42</v>
      </c>
      <c r="B3047">
        <v>8</v>
      </c>
      <c r="C3047">
        <v>1</v>
      </c>
      <c r="E3047">
        <v>2</v>
      </c>
      <c r="F3047" t="str">
        <f t="shared" si="47"/>
        <v>F428G1T2</v>
      </c>
      <c r="G3047" s="14" t="s">
        <v>62</v>
      </c>
    </row>
    <row r="3048" spans="1:7">
      <c r="A3048">
        <v>43</v>
      </c>
      <c r="B3048">
        <v>1</v>
      </c>
      <c r="C3048">
        <v>1</v>
      </c>
      <c r="E3048">
        <v>3</v>
      </c>
      <c r="F3048" t="str">
        <f t="shared" si="47"/>
        <v>F431G1T3</v>
      </c>
      <c r="G3048" s="14" t="s">
        <v>322</v>
      </c>
    </row>
    <row r="3049" spans="1:7">
      <c r="A3049">
        <v>43</v>
      </c>
      <c r="B3049">
        <v>2</v>
      </c>
      <c r="C3049">
        <v>1</v>
      </c>
      <c r="E3049">
        <v>3</v>
      </c>
      <c r="F3049" t="str">
        <f t="shared" si="47"/>
        <v>F432G1T3</v>
      </c>
      <c r="G3049" s="14" t="s">
        <v>322</v>
      </c>
    </row>
    <row r="3050" spans="1:7">
      <c r="A3050">
        <v>43</v>
      </c>
      <c r="B3050">
        <v>5</v>
      </c>
      <c r="C3050">
        <v>1</v>
      </c>
      <c r="E3050">
        <v>3</v>
      </c>
      <c r="F3050" t="str">
        <f t="shared" si="47"/>
        <v>F435G1T3</v>
      </c>
      <c r="G3050" s="14" t="s">
        <v>322</v>
      </c>
    </row>
    <row r="3051" spans="1:7">
      <c r="A3051">
        <v>43</v>
      </c>
      <c r="B3051">
        <v>6</v>
      </c>
      <c r="C3051">
        <v>1</v>
      </c>
      <c r="E3051">
        <v>3</v>
      </c>
      <c r="F3051" t="str">
        <f t="shared" si="47"/>
        <v>F436G1T3</v>
      </c>
      <c r="G3051" s="14" t="s">
        <v>322</v>
      </c>
    </row>
    <row r="3052" spans="1:7">
      <c r="A3052">
        <v>43</v>
      </c>
      <c r="B3052">
        <v>7</v>
      </c>
      <c r="C3052">
        <v>1</v>
      </c>
      <c r="E3052">
        <v>3</v>
      </c>
      <c r="F3052" t="str">
        <f t="shared" si="47"/>
        <v>F437G1T3</v>
      </c>
      <c r="G3052" s="14" t="s">
        <v>322</v>
      </c>
    </row>
    <row r="3053" spans="1:7">
      <c r="A3053">
        <v>43</v>
      </c>
      <c r="B3053">
        <v>8</v>
      </c>
      <c r="C3053">
        <v>1</v>
      </c>
      <c r="E3053">
        <v>3</v>
      </c>
      <c r="F3053" t="str">
        <f t="shared" si="47"/>
        <v>F438G1T3</v>
      </c>
      <c r="G3053" s="14" t="s">
        <v>322</v>
      </c>
    </row>
    <row r="3054" spans="1:7">
      <c r="A3054">
        <v>43</v>
      </c>
      <c r="B3054">
        <v>1</v>
      </c>
      <c r="C3054">
        <v>1</v>
      </c>
      <c r="E3054">
        <v>2</v>
      </c>
      <c r="F3054" t="str">
        <f t="shared" si="47"/>
        <v>F431G1T2</v>
      </c>
      <c r="G3054" s="14" t="s">
        <v>62</v>
      </c>
    </row>
    <row r="3055" spans="1:7">
      <c r="A3055">
        <v>43</v>
      </c>
      <c r="B3055">
        <v>2</v>
      </c>
      <c r="C3055">
        <v>1</v>
      </c>
      <c r="E3055">
        <v>2</v>
      </c>
      <c r="F3055" t="str">
        <f t="shared" si="47"/>
        <v>F432G1T2</v>
      </c>
      <c r="G3055" s="14" t="s">
        <v>62</v>
      </c>
    </row>
    <row r="3056" spans="1:7">
      <c r="A3056">
        <v>43</v>
      </c>
      <c r="B3056">
        <v>5</v>
      </c>
      <c r="C3056">
        <v>1</v>
      </c>
      <c r="E3056">
        <v>2</v>
      </c>
      <c r="F3056" t="str">
        <f t="shared" si="47"/>
        <v>F435G1T2</v>
      </c>
      <c r="G3056" s="14" t="s">
        <v>62</v>
      </c>
    </row>
    <row r="3057" spans="1:7">
      <c r="A3057">
        <v>43</v>
      </c>
      <c r="B3057">
        <v>6</v>
      </c>
      <c r="C3057">
        <v>1</v>
      </c>
      <c r="E3057">
        <v>2</v>
      </c>
      <c r="F3057" t="str">
        <f t="shared" si="47"/>
        <v>F436G1T2</v>
      </c>
      <c r="G3057" s="14" t="s">
        <v>62</v>
      </c>
    </row>
    <row r="3058" spans="1:7">
      <c r="A3058">
        <v>43</v>
      </c>
      <c r="B3058">
        <v>7</v>
      </c>
      <c r="C3058">
        <v>1</v>
      </c>
      <c r="E3058">
        <v>2</v>
      </c>
      <c r="F3058" t="str">
        <f t="shared" si="47"/>
        <v>F437G1T2</v>
      </c>
      <c r="G3058" s="14" t="s">
        <v>62</v>
      </c>
    </row>
    <row r="3059" spans="1:7">
      <c r="A3059">
        <v>43</v>
      </c>
      <c r="B3059">
        <v>8</v>
      </c>
      <c r="C3059">
        <v>1</v>
      </c>
      <c r="E3059">
        <v>2</v>
      </c>
      <c r="F3059" t="str">
        <f t="shared" si="47"/>
        <v>F438G1T2</v>
      </c>
      <c r="G3059" s="14" t="s">
        <v>62</v>
      </c>
    </row>
    <row r="3060" spans="1:7">
      <c r="A3060">
        <v>46</v>
      </c>
      <c r="B3060">
        <v>1</v>
      </c>
      <c r="C3060">
        <v>1</v>
      </c>
      <c r="E3060">
        <v>3</v>
      </c>
      <c r="F3060" t="str">
        <f t="shared" si="47"/>
        <v>F461G1T3</v>
      </c>
      <c r="G3060" s="14" t="s">
        <v>322</v>
      </c>
    </row>
    <row r="3061" spans="1:7">
      <c r="A3061">
        <v>46</v>
      </c>
      <c r="B3061">
        <v>2</v>
      </c>
      <c r="C3061">
        <v>1</v>
      </c>
      <c r="E3061">
        <v>3</v>
      </c>
      <c r="F3061" t="str">
        <f t="shared" si="47"/>
        <v>F462G1T3</v>
      </c>
      <c r="G3061" s="14" t="s">
        <v>322</v>
      </c>
    </row>
    <row r="3062" spans="1:7">
      <c r="A3062">
        <v>46</v>
      </c>
      <c r="B3062">
        <v>5</v>
      </c>
      <c r="C3062">
        <v>1</v>
      </c>
      <c r="E3062">
        <v>3</v>
      </c>
      <c r="F3062" t="str">
        <f t="shared" si="47"/>
        <v>F465G1T3</v>
      </c>
      <c r="G3062" s="14" t="s">
        <v>322</v>
      </c>
    </row>
    <row r="3063" spans="1:7">
      <c r="A3063">
        <v>46</v>
      </c>
      <c r="B3063">
        <v>6</v>
      </c>
      <c r="C3063">
        <v>1</v>
      </c>
      <c r="E3063">
        <v>3</v>
      </c>
      <c r="F3063" t="str">
        <f t="shared" si="47"/>
        <v>F466G1T3</v>
      </c>
      <c r="G3063" s="14" t="s">
        <v>322</v>
      </c>
    </row>
    <row r="3064" spans="1:7">
      <c r="A3064">
        <v>46</v>
      </c>
      <c r="B3064">
        <v>7</v>
      </c>
      <c r="C3064">
        <v>1</v>
      </c>
      <c r="E3064">
        <v>3</v>
      </c>
      <c r="F3064" t="str">
        <f t="shared" si="47"/>
        <v>F467G1T3</v>
      </c>
      <c r="G3064" s="14" t="s">
        <v>322</v>
      </c>
    </row>
    <row r="3065" spans="1:7">
      <c r="A3065">
        <v>46</v>
      </c>
      <c r="B3065">
        <v>8</v>
      </c>
      <c r="C3065">
        <v>1</v>
      </c>
      <c r="E3065">
        <v>3</v>
      </c>
      <c r="F3065" t="str">
        <f t="shared" si="47"/>
        <v>F468G1T3</v>
      </c>
      <c r="G3065" s="14" t="s">
        <v>322</v>
      </c>
    </row>
    <row r="3066" spans="1:7">
      <c r="A3066">
        <v>46</v>
      </c>
      <c r="B3066">
        <v>1</v>
      </c>
      <c r="C3066">
        <v>1</v>
      </c>
      <c r="E3066">
        <v>2</v>
      </c>
      <c r="F3066" t="str">
        <f t="shared" si="47"/>
        <v>F461G1T2</v>
      </c>
      <c r="G3066" s="14" t="s">
        <v>62</v>
      </c>
    </row>
    <row r="3067" spans="1:7">
      <c r="A3067">
        <v>46</v>
      </c>
      <c r="B3067">
        <v>2</v>
      </c>
      <c r="C3067">
        <v>1</v>
      </c>
      <c r="E3067">
        <v>2</v>
      </c>
      <c r="F3067" t="str">
        <f t="shared" si="47"/>
        <v>F462G1T2</v>
      </c>
      <c r="G3067" s="14" t="s">
        <v>62</v>
      </c>
    </row>
    <row r="3068" spans="1:7">
      <c r="A3068">
        <v>46</v>
      </c>
      <c r="B3068">
        <v>5</v>
      </c>
      <c r="C3068">
        <v>1</v>
      </c>
      <c r="E3068">
        <v>2</v>
      </c>
      <c r="F3068" t="str">
        <f t="shared" si="47"/>
        <v>F465G1T2</v>
      </c>
      <c r="G3068" s="14" t="s">
        <v>62</v>
      </c>
    </row>
    <row r="3069" spans="1:7">
      <c r="A3069">
        <v>46</v>
      </c>
      <c r="B3069">
        <v>6</v>
      </c>
      <c r="C3069">
        <v>1</v>
      </c>
      <c r="E3069">
        <v>2</v>
      </c>
      <c r="F3069" t="str">
        <f t="shared" si="47"/>
        <v>F466G1T2</v>
      </c>
      <c r="G3069" s="14" t="s">
        <v>62</v>
      </c>
    </row>
    <row r="3070" spans="1:7">
      <c r="A3070">
        <v>46</v>
      </c>
      <c r="B3070">
        <v>7</v>
      </c>
      <c r="C3070">
        <v>1</v>
      </c>
      <c r="E3070">
        <v>2</v>
      </c>
      <c r="F3070" t="str">
        <f t="shared" si="47"/>
        <v>F467G1T2</v>
      </c>
      <c r="G3070" s="14" t="s">
        <v>62</v>
      </c>
    </row>
    <row r="3071" spans="1:7">
      <c r="A3071">
        <v>46</v>
      </c>
      <c r="B3071">
        <v>8</v>
      </c>
      <c r="C3071">
        <v>1</v>
      </c>
      <c r="E3071">
        <v>2</v>
      </c>
      <c r="F3071" t="str">
        <f t="shared" si="47"/>
        <v>F468G1T2</v>
      </c>
      <c r="G3071" s="14" t="s">
        <v>62</v>
      </c>
    </row>
    <row r="3072" spans="1:7">
      <c r="A3072">
        <v>56</v>
      </c>
      <c r="B3072">
        <v>1</v>
      </c>
      <c r="C3072">
        <v>1</v>
      </c>
      <c r="E3072">
        <v>3</v>
      </c>
      <c r="F3072" t="str">
        <f t="shared" si="47"/>
        <v>F561G1T3</v>
      </c>
      <c r="G3072" s="14" t="s">
        <v>322</v>
      </c>
    </row>
    <row r="3073" spans="1:7">
      <c r="A3073">
        <v>56</v>
      </c>
      <c r="B3073">
        <v>2</v>
      </c>
      <c r="C3073">
        <v>1</v>
      </c>
      <c r="E3073">
        <v>3</v>
      </c>
      <c r="F3073" t="str">
        <f t="shared" si="47"/>
        <v>F562G1T3</v>
      </c>
      <c r="G3073" s="14" t="s">
        <v>322</v>
      </c>
    </row>
    <row r="3074" spans="1:7">
      <c r="A3074">
        <v>56</v>
      </c>
      <c r="B3074">
        <v>5</v>
      </c>
      <c r="C3074">
        <v>1</v>
      </c>
      <c r="E3074">
        <v>3</v>
      </c>
      <c r="F3074" t="str">
        <f t="shared" si="47"/>
        <v>F565G1T3</v>
      </c>
      <c r="G3074" s="14" t="s">
        <v>322</v>
      </c>
    </row>
    <row r="3075" spans="1:7">
      <c r="A3075">
        <v>56</v>
      </c>
      <c r="B3075">
        <v>6</v>
      </c>
      <c r="C3075">
        <v>1</v>
      </c>
      <c r="E3075">
        <v>3</v>
      </c>
      <c r="F3075" t="str">
        <f t="shared" ref="F3075:F3138" si="48">CONCATENATE("F",A3075,B3075,"G",C3075,"T",E3075)</f>
        <v>F566G1T3</v>
      </c>
      <c r="G3075" s="14" t="s">
        <v>322</v>
      </c>
    </row>
    <row r="3076" spans="1:7">
      <c r="A3076">
        <v>56</v>
      </c>
      <c r="B3076">
        <v>7</v>
      </c>
      <c r="C3076">
        <v>1</v>
      </c>
      <c r="E3076">
        <v>3</v>
      </c>
      <c r="F3076" t="str">
        <f t="shared" si="48"/>
        <v>F567G1T3</v>
      </c>
      <c r="G3076" s="14" t="s">
        <v>322</v>
      </c>
    </row>
    <row r="3077" spans="1:7">
      <c r="A3077">
        <v>56</v>
      </c>
      <c r="B3077">
        <v>8</v>
      </c>
      <c r="C3077">
        <v>1</v>
      </c>
      <c r="E3077">
        <v>3</v>
      </c>
      <c r="F3077" t="str">
        <f t="shared" si="48"/>
        <v>F568G1T3</v>
      </c>
      <c r="G3077" s="14" t="s">
        <v>322</v>
      </c>
    </row>
    <row r="3078" spans="1:7">
      <c r="A3078">
        <v>56</v>
      </c>
      <c r="B3078">
        <v>1</v>
      </c>
      <c r="C3078">
        <v>1</v>
      </c>
      <c r="E3078">
        <v>2</v>
      </c>
      <c r="F3078" t="str">
        <f t="shared" si="48"/>
        <v>F561G1T2</v>
      </c>
      <c r="G3078" s="14" t="s">
        <v>62</v>
      </c>
    </row>
    <row r="3079" spans="1:7">
      <c r="A3079">
        <v>56</v>
      </c>
      <c r="B3079">
        <v>2</v>
      </c>
      <c r="C3079">
        <v>1</v>
      </c>
      <c r="E3079">
        <v>2</v>
      </c>
      <c r="F3079" t="str">
        <f t="shared" si="48"/>
        <v>F562G1T2</v>
      </c>
      <c r="G3079" s="14" t="s">
        <v>62</v>
      </c>
    </row>
    <row r="3080" spans="1:7">
      <c r="A3080">
        <v>56</v>
      </c>
      <c r="B3080">
        <v>5</v>
      </c>
      <c r="C3080">
        <v>1</v>
      </c>
      <c r="E3080">
        <v>2</v>
      </c>
      <c r="F3080" t="str">
        <f t="shared" si="48"/>
        <v>F565G1T2</v>
      </c>
      <c r="G3080" s="14" t="s">
        <v>62</v>
      </c>
    </row>
    <row r="3081" spans="1:7">
      <c r="A3081">
        <v>56</v>
      </c>
      <c r="B3081">
        <v>6</v>
      </c>
      <c r="C3081">
        <v>1</v>
      </c>
      <c r="E3081">
        <v>2</v>
      </c>
      <c r="F3081" t="str">
        <f t="shared" si="48"/>
        <v>F566G1T2</v>
      </c>
      <c r="G3081" s="14" t="s">
        <v>62</v>
      </c>
    </row>
    <row r="3082" spans="1:7">
      <c r="A3082">
        <v>56</v>
      </c>
      <c r="B3082">
        <v>7</v>
      </c>
      <c r="C3082">
        <v>1</v>
      </c>
      <c r="E3082">
        <v>2</v>
      </c>
      <c r="F3082" t="str">
        <f t="shared" si="48"/>
        <v>F567G1T2</v>
      </c>
      <c r="G3082" s="14" t="s">
        <v>62</v>
      </c>
    </row>
    <row r="3083" spans="1:7">
      <c r="A3083">
        <v>56</v>
      </c>
      <c r="B3083">
        <v>8</v>
      </c>
      <c r="C3083">
        <v>1</v>
      </c>
      <c r="E3083">
        <v>2</v>
      </c>
      <c r="F3083" t="str">
        <f t="shared" si="48"/>
        <v>F568G1T2</v>
      </c>
      <c r="G3083" s="14" t="s">
        <v>62</v>
      </c>
    </row>
    <row r="3084" spans="1:7">
      <c r="A3084">
        <v>67</v>
      </c>
      <c r="B3084">
        <v>1</v>
      </c>
      <c r="C3084">
        <v>1</v>
      </c>
      <c r="E3084">
        <v>3</v>
      </c>
      <c r="F3084" t="str">
        <f t="shared" si="48"/>
        <v>F671G1T3</v>
      </c>
      <c r="G3084" s="14" t="s">
        <v>322</v>
      </c>
    </row>
    <row r="3085" spans="1:7">
      <c r="A3085">
        <v>67</v>
      </c>
      <c r="B3085">
        <v>2</v>
      </c>
      <c r="C3085">
        <v>1</v>
      </c>
      <c r="E3085">
        <v>3</v>
      </c>
      <c r="F3085" t="str">
        <f t="shared" si="48"/>
        <v>F672G1T3</v>
      </c>
      <c r="G3085" s="14" t="s">
        <v>322</v>
      </c>
    </row>
    <row r="3086" spans="1:7">
      <c r="A3086">
        <v>67</v>
      </c>
      <c r="B3086">
        <v>5</v>
      </c>
      <c r="C3086">
        <v>1</v>
      </c>
      <c r="E3086">
        <v>3</v>
      </c>
      <c r="F3086" t="str">
        <f t="shared" si="48"/>
        <v>F675G1T3</v>
      </c>
      <c r="G3086" s="14" t="s">
        <v>322</v>
      </c>
    </row>
    <row r="3087" spans="1:7">
      <c r="A3087">
        <v>67</v>
      </c>
      <c r="B3087">
        <v>6</v>
      </c>
      <c r="C3087">
        <v>1</v>
      </c>
      <c r="E3087">
        <v>3</v>
      </c>
      <c r="F3087" t="str">
        <f t="shared" si="48"/>
        <v>F676G1T3</v>
      </c>
      <c r="G3087" s="14" t="s">
        <v>322</v>
      </c>
    </row>
    <row r="3088" spans="1:7">
      <c r="A3088">
        <v>67</v>
      </c>
      <c r="B3088">
        <v>7</v>
      </c>
      <c r="C3088">
        <v>1</v>
      </c>
      <c r="E3088">
        <v>3</v>
      </c>
      <c r="F3088" t="str">
        <f t="shared" si="48"/>
        <v>F677G1T3</v>
      </c>
      <c r="G3088" s="14" t="s">
        <v>322</v>
      </c>
    </row>
    <row r="3089" spans="1:7">
      <c r="A3089">
        <v>67</v>
      </c>
      <c r="B3089">
        <v>8</v>
      </c>
      <c r="C3089">
        <v>1</v>
      </c>
      <c r="E3089">
        <v>3</v>
      </c>
      <c r="F3089" t="str">
        <f t="shared" si="48"/>
        <v>F678G1T3</v>
      </c>
      <c r="G3089" s="14" t="s">
        <v>322</v>
      </c>
    </row>
    <row r="3090" spans="1:7">
      <c r="A3090">
        <v>67</v>
      </c>
      <c r="B3090">
        <v>1</v>
      </c>
      <c r="C3090">
        <v>1</v>
      </c>
      <c r="E3090">
        <v>2</v>
      </c>
      <c r="F3090" t="str">
        <f t="shared" si="48"/>
        <v>F671G1T2</v>
      </c>
      <c r="G3090" s="14" t="s">
        <v>62</v>
      </c>
    </row>
    <row r="3091" spans="1:7">
      <c r="A3091">
        <v>67</v>
      </c>
      <c r="B3091">
        <v>2</v>
      </c>
      <c r="C3091">
        <v>1</v>
      </c>
      <c r="E3091">
        <v>2</v>
      </c>
      <c r="F3091" t="str">
        <f t="shared" si="48"/>
        <v>F672G1T2</v>
      </c>
      <c r="G3091" s="14" t="s">
        <v>62</v>
      </c>
    </row>
    <row r="3092" spans="1:7">
      <c r="A3092">
        <v>67</v>
      </c>
      <c r="B3092">
        <v>5</v>
      </c>
      <c r="C3092">
        <v>1</v>
      </c>
      <c r="E3092">
        <v>2</v>
      </c>
      <c r="F3092" t="str">
        <f t="shared" si="48"/>
        <v>F675G1T2</v>
      </c>
      <c r="G3092" s="14" t="s">
        <v>62</v>
      </c>
    </row>
    <row r="3093" spans="1:7">
      <c r="A3093">
        <v>67</v>
      </c>
      <c r="B3093">
        <v>6</v>
      </c>
      <c r="C3093">
        <v>1</v>
      </c>
      <c r="E3093">
        <v>2</v>
      </c>
      <c r="F3093" t="str">
        <f t="shared" si="48"/>
        <v>F676G1T2</v>
      </c>
      <c r="G3093" s="14" t="s">
        <v>62</v>
      </c>
    </row>
    <row r="3094" spans="1:7">
      <c r="A3094">
        <v>67</v>
      </c>
      <c r="B3094">
        <v>7</v>
      </c>
      <c r="C3094">
        <v>1</v>
      </c>
      <c r="E3094">
        <v>2</v>
      </c>
      <c r="F3094" t="str">
        <f t="shared" si="48"/>
        <v>F677G1T2</v>
      </c>
      <c r="G3094" s="14" t="s">
        <v>62</v>
      </c>
    </row>
    <row r="3095" spans="1:7">
      <c r="A3095">
        <v>67</v>
      </c>
      <c r="B3095">
        <v>8</v>
      </c>
      <c r="C3095">
        <v>1</v>
      </c>
      <c r="E3095">
        <v>2</v>
      </c>
      <c r="F3095" t="str">
        <f t="shared" si="48"/>
        <v>F678G1T2</v>
      </c>
      <c r="G3095" s="14" t="s">
        <v>62</v>
      </c>
    </row>
    <row r="3096" spans="1:7">
      <c r="A3096">
        <v>70</v>
      </c>
      <c r="B3096">
        <v>1</v>
      </c>
      <c r="C3096">
        <v>1</v>
      </c>
      <c r="E3096">
        <v>3</v>
      </c>
      <c r="F3096" t="str">
        <f t="shared" si="48"/>
        <v>F701G1T3</v>
      </c>
      <c r="G3096" s="14" t="s">
        <v>322</v>
      </c>
    </row>
    <row r="3097" spans="1:7">
      <c r="A3097">
        <v>70</v>
      </c>
      <c r="B3097">
        <v>2</v>
      </c>
      <c r="C3097">
        <v>1</v>
      </c>
      <c r="E3097">
        <v>3</v>
      </c>
      <c r="F3097" t="str">
        <f t="shared" si="48"/>
        <v>F702G1T3</v>
      </c>
      <c r="G3097" s="14" t="s">
        <v>322</v>
      </c>
    </row>
    <row r="3098" spans="1:7">
      <c r="A3098">
        <v>70</v>
      </c>
      <c r="B3098">
        <v>5</v>
      </c>
      <c r="C3098">
        <v>1</v>
      </c>
      <c r="E3098">
        <v>3</v>
      </c>
      <c r="F3098" t="str">
        <f t="shared" si="48"/>
        <v>F705G1T3</v>
      </c>
      <c r="G3098" s="14" t="s">
        <v>322</v>
      </c>
    </row>
    <row r="3099" spans="1:7">
      <c r="A3099">
        <v>70</v>
      </c>
      <c r="B3099">
        <v>6</v>
      </c>
      <c r="C3099">
        <v>1</v>
      </c>
      <c r="E3099">
        <v>3</v>
      </c>
      <c r="F3099" t="str">
        <f t="shared" si="48"/>
        <v>F706G1T3</v>
      </c>
      <c r="G3099" s="14" t="s">
        <v>322</v>
      </c>
    </row>
    <row r="3100" spans="1:7">
      <c r="A3100">
        <v>70</v>
      </c>
      <c r="B3100">
        <v>7</v>
      </c>
      <c r="C3100">
        <v>1</v>
      </c>
      <c r="E3100">
        <v>3</v>
      </c>
      <c r="F3100" t="str">
        <f t="shared" si="48"/>
        <v>F707G1T3</v>
      </c>
      <c r="G3100" s="14" t="s">
        <v>322</v>
      </c>
    </row>
    <row r="3101" spans="1:7">
      <c r="A3101">
        <v>70</v>
      </c>
      <c r="B3101">
        <v>8</v>
      </c>
      <c r="C3101">
        <v>1</v>
      </c>
      <c r="E3101">
        <v>3</v>
      </c>
      <c r="F3101" t="str">
        <f t="shared" si="48"/>
        <v>F708G1T3</v>
      </c>
      <c r="G3101" s="14" t="s">
        <v>322</v>
      </c>
    </row>
    <row r="3102" spans="1:7">
      <c r="A3102">
        <v>70</v>
      </c>
      <c r="B3102">
        <v>1</v>
      </c>
      <c r="C3102">
        <v>1</v>
      </c>
      <c r="E3102">
        <v>2</v>
      </c>
      <c r="F3102" t="str">
        <f t="shared" si="48"/>
        <v>F701G1T2</v>
      </c>
      <c r="G3102" s="14" t="s">
        <v>62</v>
      </c>
    </row>
    <row r="3103" spans="1:7">
      <c r="A3103">
        <v>70</v>
      </c>
      <c r="B3103">
        <v>2</v>
      </c>
      <c r="C3103">
        <v>1</v>
      </c>
      <c r="E3103">
        <v>2</v>
      </c>
      <c r="F3103" t="str">
        <f t="shared" si="48"/>
        <v>F702G1T2</v>
      </c>
      <c r="G3103" s="14" t="s">
        <v>62</v>
      </c>
    </row>
    <row r="3104" spans="1:7">
      <c r="A3104">
        <v>70</v>
      </c>
      <c r="B3104">
        <v>5</v>
      </c>
      <c r="C3104">
        <v>1</v>
      </c>
      <c r="E3104">
        <v>2</v>
      </c>
      <c r="F3104" t="str">
        <f t="shared" si="48"/>
        <v>F705G1T2</v>
      </c>
      <c r="G3104" s="14" t="s">
        <v>62</v>
      </c>
    </row>
    <row r="3105" spans="1:7">
      <c r="A3105">
        <v>70</v>
      </c>
      <c r="B3105">
        <v>6</v>
      </c>
      <c r="C3105">
        <v>1</v>
      </c>
      <c r="E3105">
        <v>2</v>
      </c>
      <c r="F3105" t="str">
        <f t="shared" si="48"/>
        <v>F706G1T2</v>
      </c>
      <c r="G3105" s="14" t="s">
        <v>62</v>
      </c>
    </row>
    <row r="3106" spans="1:7">
      <c r="A3106">
        <v>70</v>
      </c>
      <c r="B3106">
        <v>7</v>
      </c>
      <c r="C3106">
        <v>1</v>
      </c>
      <c r="E3106">
        <v>2</v>
      </c>
      <c r="F3106" t="str">
        <f t="shared" si="48"/>
        <v>F707G1T2</v>
      </c>
      <c r="G3106" s="14" t="s">
        <v>62</v>
      </c>
    </row>
    <row r="3107" spans="1:7">
      <c r="A3107">
        <v>70</v>
      </c>
      <c r="B3107">
        <v>8</v>
      </c>
      <c r="C3107">
        <v>1</v>
      </c>
      <c r="E3107">
        <v>2</v>
      </c>
      <c r="F3107" t="str">
        <f t="shared" si="48"/>
        <v>F708G1T2</v>
      </c>
      <c r="G3107" s="14" t="s">
        <v>62</v>
      </c>
    </row>
    <row r="3108" spans="1:7">
      <c r="A3108">
        <v>77</v>
      </c>
      <c r="B3108">
        <v>1</v>
      </c>
      <c r="C3108">
        <v>1</v>
      </c>
      <c r="E3108">
        <v>3</v>
      </c>
      <c r="F3108" t="str">
        <f t="shared" si="48"/>
        <v>F771G1T3</v>
      </c>
      <c r="G3108" s="14" t="s">
        <v>322</v>
      </c>
    </row>
    <row r="3109" spans="1:7">
      <c r="A3109">
        <v>77</v>
      </c>
      <c r="B3109">
        <v>2</v>
      </c>
      <c r="C3109">
        <v>1</v>
      </c>
      <c r="E3109">
        <v>3</v>
      </c>
      <c r="F3109" t="str">
        <f t="shared" si="48"/>
        <v>F772G1T3</v>
      </c>
      <c r="G3109" s="14" t="s">
        <v>322</v>
      </c>
    </row>
    <row r="3110" spans="1:7">
      <c r="A3110">
        <v>77</v>
      </c>
      <c r="B3110">
        <v>5</v>
      </c>
      <c r="C3110">
        <v>1</v>
      </c>
      <c r="E3110">
        <v>3</v>
      </c>
      <c r="F3110" t="str">
        <f t="shared" si="48"/>
        <v>F775G1T3</v>
      </c>
      <c r="G3110" s="14" t="s">
        <v>322</v>
      </c>
    </row>
    <row r="3111" spans="1:7">
      <c r="A3111">
        <v>77</v>
      </c>
      <c r="B3111">
        <v>6</v>
      </c>
      <c r="C3111">
        <v>1</v>
      </c>
      <c r="E3111">
        <v>3</v>
      </c>
      <c r="F3111" t="str">
        <f t="shared" si="48"/>
        <v>F776G1T3</v>
      </c>
      <c r="G3111" s="14" t="s">
        <v>322</v>
      </c>
    </row>
    <row r="3112" spans="1:7">
      <c r="A3112">
        <v>77</v>
      </c>
      <c r="B3112">
        <v>7</v>
      </c>
      <c r="C3112">
        <v>1</v>
      </c>
      <c r="E3112">
        <v>3</v>
      </c>
      <c r="F3112" t="str">
        <f t="shared" si="48"/>
        <v>F777G1T3</v>
      </c>
      <c r="G3112" s="14" t="s">
        <v>322</v>
      </c>
    </row>
    <row r="3113" spans="1:7">
      <c r="A3113">
        <v>77</v>
      </c>
      <c r="B3113">
        <v>8</v>
      </c>
      <c r="C3113">
        <v>1</v>
      </c>
      <c r="E3113">
        <v>3</v>
      </c>
      <c r="F3113" t="str">
        <f t="shared" si="48"/>
        <v>F778G1T3</v>
      </c>
      <c r="G3113" s="14" t="s">
        <v>322</v>
      </c>
    </row>
    <row r="3114" spans="1:7">
      <c r="A3114">
        <v>77</v>
      </c>
      <c r="B3114">
        <v>1</v>
      </c>
      <c r="C3114">
        <v>1</v>
      </c>
      <c r="E3114">
        <v>2</v>
      </c>
      <c r="F3114" t="str">
        <f t="shared" si="48"/>
        <v>F771G1T2</v>
      </c>
      <c r="G3114" s="14" t="s">
        <v>62</v>
      </c>
    </row>
    <row r="3115" spans="1:7">
      <c r="A3115">
        <v>77</v>
      </c>
      <c r="B3115">
        <v>2</v>
      </c>
      <c r="C3115">
        <v>1</v>
      </c>
      <c r="E3115">
        <v>2</v>
      </c>
      <c r="F3115" t="str">
        <f t="shared" si="48"/>
        <v>F772G1T2</v>
      </c>
      <c r="G3115" s="14" t="s">
        <v>62</v>
      </c>
    </row>
    <row r="3116" spans="1:7">
      <c r="A3116">
        <v>77</v>
      </c>
      <c r="B3116">
        <v>5</v>
      </c>
      <c r="C3116">
        <v>1</v>
      </c>
      <c r="E3116">
        <v>2</v>
      </c>
      <c r="F3116" t="str">
        <f t="shared" si="48"/>
        <v>F775G1T2</v>
      </c>
      <c r="G3116" s="14" t="s">
        <v>62</v>
      </c>
    </row>
    <row r="3117" spans="1:7">
      <c r="A3117">
        <v>77</v>
      </c>
      <c r="B3117">
        <v>6</v>
      </c>
      <c r="C3117">
        <v>1</v>
      </c>
      <c r="E3117">
        <v>2</v>
      </c>
      <c r="F3117" t="str">
        <f t="shared" si="48"/>
        <v>F776G1T2</v>
      </c>
      <c r="G3117" s="14" t="s">
        <v>62</v>
      </c>
    </row>
    <row r="3118" spans="1:7">
      <c r="A3118">
        <v>77</v>
      </c>
      <c r="B3118">
        <v>7</v>
      </c>
      <c r="C3118">
        <v>1</v>
      </c>
      <c r="E3118">
        <v>2</v>
      </c>
      <c r="F3118" t="str">
        <f t="shared" si="48"/>
        <v>F777G1T2</v>
      </c>
      <c r="G3118" s="14" t="s">
        <v>62</v>
      </c>
    </row>
    <row r="3119" spans="1:7">
      <c r="A3119">
        <v>77</v>
      </c>
      <c r="B3119">
        <v>8</v>
      </c>
      <c r="C3119">
        <v>1</v>
      </c>
      <c r="E3119">
        <v>2</v>
      </c>
      <c r="F3119" t="str">
        <f t="shared" si="48"/>
        <v>F778G1T2</v>
      </c>
      <c r="G3119" s="14" t="s">
        <v>62</v>
      </c>
    </row>
    <row r="3120" spans="1:7">
      <c r="A3120">
        <v>78</v>
      </c>
      <c r="B3120">
        <v>1</v>
      </c>
      <c r="C3120">
        <v>1</v>
      </c>
      <c r="E3120">
        <v>3</v>
      </c>
      <c r="F3120" t="str">
        <f t="shared" si="48"/>
        <v>F781G1T3</v>
      </c>
      <c r="G3120" s="14" t="s">
        <v>322</v>
      </c>
    </row>
    <row r="3121" spans="1:7">
      <c r="A3121">
        <v>78</v>
      </c>
      <c r="B3121">
        <v>2</v>
      </c>
      <c r="C3121">
        <v>1</v>
      </c>
      <c r="E3121">
        <v>3</v>
      </c>
      <c r="F3121" t="str">
        <f t="shared" si="48"/>
        <v>F782G1T3</v>
      </c>
      <c r="G3121" s="14" t="s">
        <v>322</v>
      </c>
    </row>
    <row r="3122" spans="1:7">
      <c r="A3122">
        <v>78</v>
      </c>
      <c r="B3122">
        <v>5</v>
      </c>
      <c r="C3122">
        <v>1</v>
      </c>
      <c r="E3122">
        <v>3</v>
      </c>
      <c r="F3122" t="str">
        <f t="shared" si="48"/>
        <v>F785G1T3</v>
      </c>
      <c r="G3122" s="14" t="s">
        <v>322</v>
      </c>
    </row>
    <row r="3123" spans="1:7">
      <c r="A3123">
        <v>78</v>
      </c>
      <c r="B3123">
        <v>6</v>
      </c>
      <c r="C3123">
        <v>1</v>
      </c>
      <c r="E3123">
        <v>3</v>
      </c>
      <c r="F3123" t="str">
        <f t="shared" si="48"/>
        <v>F786G1T3</v>
      </c>
      <c r="G3123" s="14" t="s">
        <v>322</v>
      </c>
    </row>
    <row r="3124" spans="1:7">
      <c r="A3124">
        <v>78</v>
      </c>
      <c r="B3124">
        <v>7</v>
      </c>
      <c r="C3124">
        <v>1</v>
      </c>
      <c r="E3124">
        <v>3</v>
      </c>
      <c r="F3124" t="str">
        <f t="shared" si="48"/>
        <v>F787G1T3</v>
      </c>
      <c r="G3124" s="14" t="s">
        <v>322</v>
      </c>
    </row>
    <row r="3125" spans="1:7">
      <c r="A3125">
        <v>78</v>
      </c>
      <c r="B3125">
        <v>8</v>
      </c>
      <c r="C3125">
        <v>1</v>
      </c>
      <c r="E3125">
        <v>3</v>
      </c>
      <c r="F3125" t="str">
        <f t="shared" si="48"/>
        <v>F788G1T3</v>
      </c>
      <c r="G3125" s="14" t="s">
        <v>322</v>
      </c>
    </row>
    <row r="3126" spans="1:7">
      <c r="A3126">
        <v>78</v>
      </c>
      <c r="B3126">
        <v>1</v>
      </c>
      <c r="C3126">
        <v>1</v>
      </c>
      <c r="E3126">
        <v>2</v>
      </c>
      <c r="F3126" t="str">
        <f t="shared" si="48"/>
        <v>F781G1T2</v>
      </c>
      <c r="G3126" s="14" t="s">
        <v>62</v>
      </c>
    </row>
    <row r="3127" spans="1:7">
      <c r="A3127">
        <v>78</v>
      </c>
      <c r="B3127">
        <v>2</v>
      </c>
      <c r="C3127">
        <v>1</v>
      </c>
      <c r="E3127">
        <v>2</v>
      </c>
      <c r="F3127" t="str">
        <f t="shared" si="48"/>
        <v>F782G1T2</v>
      </c>
      <c r="G3127" s="14" t="s">
        <v>62</v>
      </c>
    </row>
    <row r="3128" spans="1:7">
      <c r="A3128">
        <v>78</v>
      </c>
      <c r="B3128">
        <v>5</v>
      </c>
      <c r="C3128">
        <v>1</v>
      </c>
      <c r="E3128">
        <v>2</v>
      </c>
      <c r="F3128" t="str">
        <f t="shared" si="48"/>
        <v>F785G1T2</v>
      </c>
      <c r="G3128" s="14" t="s">
        <v>62</v>
      </c>
    </row>
    <row r="3129" spans="1:7">
      <c r="A3129">
        <v>78</v>
      </c>
      <c r="B3129">
        <v>6</v>
      </c>
      <c r="C3129">
        <v>1</v>
      </c>
      <c r="E3129">
        <v>2</v>
      </c>
      <c r="F3129" t="str">
        <f t="shared" si="48"/>
        <v>F786G1T2</v>
      </c>
      <c r="G3129" s="14" t="s">
        <v>62</v>
      </c>
    </row>
    <row r="3130" spans="1:7">
      <c r="A3130">
        <v>78</v>
      </c>
      <c r="B3130">
        <v>7</v>
      </c>
      <c r="C3130">
        <v>1</v>
      </c>
      <c r="E3130">
        <v>2</v>
      </c>
      <c r="F3130" t="str">
        <f t="shared" si="48"/>
        <v>F787G1T2</v>
      </c>
      <c r="G3130" s="14" t="s">
        <v>62</v>
      </c>
    </row>
    <row r="3131" spans="1:7">
      <c r="A3131">
        <v>78</v>
      </c>
      <c r="B3131">
        <v>8</v>
      </c>
      <c r="C3131">
        <v>1</v>
      </c>
      <c r="E3131">
        <v>2</v>
      </c>
      <c r="F3131" t="str">
        <f t="shared" si="48"/>
        <v>F788G1T2</v>
      </c>
      <c r="G3131" s="14" t="s">
        <v>62</v>
      </c>
    </row>
    <row r="3132" spans="1:7">
      <c r="A3132">
        <v>51</v>
      </c>
      <c r="B3132">
        <v>1</v>
      </c>
      <c r="C3132">
        <v>1</v>
      </c>
      <c r="E3132">
        <v>3</v>
      </c>
      <c r="F3132" t="str">
        <f t="shared" si="48"/>
        <v>F511G1T3</v>
      </c>
      <c r="G3132" s="14" t="s">
        <v>322</v>
      </c>
    </row>
    <row r="3133" spans="1:7">
      <c r="A3133">
        <v>51</v>
      </c>
      <c r="B3133">
        <v>2</v>
      </c>
      <c r="C3133">
        <v>1</v>
      </c>
      <c r="E3133">
        <v>3</v>
      </c>
      <c r="F3133" t="str">
        <f t="shared" si="48"/>
        <v>F512G1T3</v>
      </c>
      <c r="G3133" s="14" t="s">
        <v>322</v>
      </c>
    </row>
    <row r="3134" spans="1:7">
      <c r="A3134">
        <v>51</v>
      </c>
      <c r="B3134">
        <v>5</v>
      </c>
      <c r="C3134">
        <v>1</v>
      </c>
      <c r="E3134">
        <v>3</v>
      </c>
      <c r="F3134" t="str">
        <f t="shared" si="48"/>
        <v>F515G1T3</v>
      </c>
      <c r="G3134" s="14" t="s">
        <v>322</v>
      </c>
    </row>
    <row r="3135" spans="1:7">
      <c r="A3135">
        <v>51</v>
      </c>
      <c r="B3135">
        <v>6</v>
      </c>
      <c r="C3135">
        <v>1</v>
      </c>
      <c r="E3135">
        <v>3</v>
      </c>
      <c r="F3135" t="str">
        <f t="shared" si="48"/>
        <v>F516G1T3</v>
      </c>
      <c r="G3135" s="14" t="s">
        <v>322</v>
      </c>
    </row>
    <row r="3136" spans="1:7">
      <c r="A3136">
        <v>51</v>
      </c>
      <c r="B3136">
        <v>7</v>
      </c>
      <c r="C3136">
        <v>1</v>
      </c>
      <c r="E3136">
        <v>3</v>
      </c>
      <c r="F3136" t="str">
        <f t="shared" si="48"/>
        <v>F517G1T3</v>
      </c>
      <c r="G3136" s="14" t="s">
        <v>322</v>
      </c>
    </row>
    <row r="3137" spans="1:7">
      <c r="A3137">
        <v>51</v>
      </c>
      <c r="B3137">
        <v>8</v>
      </c>
      <c r="C3137">
        <v>1</v>
      </c>
      <c r="E3137">
        <v>3</v>
      </c>
      <c r="F3137" t="str">
        <f t="shared" si="48"/>
        <v>F518G1T3</v>
      </c>
      <c r="G3137" s="14" t="s">
        <v>322</v>
      </c>
    </row>
    <row r="3138" spans="1:7">
      <c r="A3138">
        <v>51</v>
      </c>
      <c r="B3138">
        <v>1</v>
      </c>
      <c r="C3138">
        <v>1</v>
      </c>
      <c r="E3138">
        <v>2</v>
      </c>
      <c r="F3138" t="str">
        <f t="shared" si="48"/>
        <v>F511G1T2</v>
      </c>
      <c r="G3138" s="14" t="s">
        <v>62</v>
      </c>
    </row>
    <row r="3139" spans="1:7">
      <c r="A3139">
        <v>51</v>
      </c>
      <c r="B3139">
        <v>2</v>
      </c>
      <c r="C3139">
        <v>1</v>
      </c>
      <c r="E3139">
        <v>2</v>
      </c>
      <c r="F3139" t="str">
        <f t="shared" ref="F3139:F3202" si="49">CONCATENATE("F",A3139,B3139,"G",C3139,"T",E3139)</f>
        <v>F512G1T2</v>
      </c>
      <c r="G3139" s="14" t="s">
        <v>62</v>
      </c>
    </row>
    <row r="3140" spans="1:7">
      <c r="A3140">
        <v>51</v>
      </c>
      <c r="B3140">
        <v>5</v>
      </c>
      <c r="C3140">
        <v>1</v>
      </c>
      <c r="E3140">
        <v>2</v>
      </c>
      <c r="F3140" t="str">
        <f t="shared" si="49"/>
        <v>F515G1T2</v>
      </c>
      <c r="G3140" s="14" t="s">
        <v>62</v>
      </c>
    </row>
    <row r="3141" spans="1:7">
      <c r="A3141">
        <v>51</v>
      </c>
      <c r="B3141">
        <v>6</v>
      </c>
      <c r="C3141">
        <v>1</v>
      </c>
      <c r="E3141">
        <v>2</v>
      </c>
      <c r="F3141" t="str">
        <f t="shared" si="49"/>
        <v>F516G1T2</v>
      </c>
      <c r="G3141" s="14" t="s">
        <v>62</v>
      </c>
    </row>
    <row r="3142" spans="1:7">
      <c r="A3142">
        <v>51</v>
      </c>
      <c r="B3142">
        <v>7</v>
      </c>
      <c r="C3142">
        <v>1</v>
      </c>
      <c r="E3142">
        <v>2</v>
      </c>
      <c r="F3142" t="str">
        <f t="shared" si="49"/>
        <v>F517G1T2</v>
      </c>
      <c r="G3142" s="14" t="s">
        <v>62</v>
      </c>
    </row>
    <row r="3143" spans="1:7">
      <c r="A3143">
        <v>51</v>
      </c>
      <c r="B3143">
        <v>8</v>
      </c>
      <c r="C3143">
        <v>1</v>
      </c>
      <c r="E3143">
        <v>2</v>
      </c>
      <c r="F3143" t="str">
        <f t="shared" si="49"/>
        <v>F518G1T2</v>
      </c>
      <c r="G3143" s="14" t="s">
        <v>62</v>
      </c>
    </row>
    <row r="3144" spans="1:7">
      <c r="A3144">
        <v>21</v>
      </c>
      <c r="B3144">
        <v>1</v>
      </c>
      <c r="C3144">
        <v>3</v>
      </c>
      <c r="E3144">
        <v>1</v>
      </c>
      <c r="F3144" t="str">
        <f t="shared" si="49"/>
        <v>F211G3T1</v>
      </c>
      <c r="G3144" s="14" t="s">
        <v>323</v>
      </c>
    </row>
    <row r="3145" spans="1:7">
      <c r="A3145">
        <v>21</v>
      </c>
      <c r="B3145">
        <v>2</v>
      </c>
      <c r="C3145">
        <v>3</v>
      </c>
      <c r="E3145">
        <v>1</v>
      </c>
      <c r="F3145" t="str">
        <f t="shared" si="49"/>
        <v>F212G3T1</v>
      </c>
      <c r="G3145" s="14" t="s">
        <v>323</v>
      </c>
    </row>
    <row r="3146" spans="1:7">
      <c r="A3146">
        <v>21</v>
      </c>
      <c r="B3146">
        <v>4</v>
      </c>
      <c r="C3146">
        <v>3</v>
      </c>
      <c r="E3146">
        <v>1</v>
      </c>
      <c r="F3146" t="str">
        <f t="shared" si="49"/>
        <v>F214G3T1</v>
      </c>
      <c r="G3146" s="14" t="s">
        <v>323</v>
      </c>
    </row>
    <row r="3147" spans="1:7">
      <c r="A3147">
        <v>21</v>
      </c>
      <c r="B3147">
        <v>5</v>
      </c>
      <c r="C3147">
        <v>3</v>
      </c>
      <c r="E3147">
        <v>1</v>
      </c>
      <c r="F3147" t="str">
        <f t="shared" si="49"/>
        <v>F215G3T1</v>
      </c>
      <c r="G3147" s="14" t="s">
        <v>323</v>
      </c>
    </row>
    <row r="3148" spans="1:7">
      <c r="A3148">
        <v>21</v>
      </c>
      <c r="B3148">
        <v>6</v>
      </c>
      <c r="C3148">
        <v>3</v>
      </c>
      <c r="E3148">
        <v>1</v>
      </c>
      <c r="F3148" t="str">
        <f t="shared" si="49"/>
        <v>F216G3T1</v>
      </c>
      <c r="G3148" s="14" t="s">
        <v>323</v>
      </c>
    </row>
    <row r="3149" spans="1:7">
      <c r="A3149">
        <v>21</v>
      </c>
      <c r="B3149">
        <v>7</v>
      </c>
      <c r="C3149">
        <v>3</v>
      </c>
      <c r="E3149">
        <v>1</v>
      </c>
      <c r="F3149" t="str">
        <f t="shared" si="49"/>
        <v>F217G3T1</v>
      </c>
      <c r="G3149" s="14" t="s">
        <v>323</v>
      </c>
    </row>
    <row r="3150" spans="1:7">
      <c r="A3150">
        <v>21</v>
      </c>
      <c r="B3150">
        <v>1</v>
      </c>
      <c r="C3150">
        <v>4</v>
      </c>
      <c r="E3150">
        <v>1</v>
      </c>
      <c r="F3150" t="str">
        <f t="shared" si="49"/>
        <v>F211G4T1</v>
      </c>
      <c r="G3150" s="14" t="s">
        <v>323</v>
      </c>
    </row>
    <row r="3151" spans="1:7">
      <c r="A3151">
        <v>21</v>
      </c>
      <c r="B3151">
        <v>2</v>
      </c>
      <c r="C3151">
        <v>4</v>
      </c>
      <c r="E3151">
        <v>1</v>
      </c>
      <c r="F3151" t="str">
        <f t="shared" si="49"/>
        <v>F212G4T1</v>
      </c>
      <c r="G3151" s="14" t="s">
        <v>323</v>
      </c>
    </row>
    <row r="3152" spans="1:7">
      <c r="A3152">
        <v>21</v>
      </c>
      <c r="B3152">
        <v>4</v>
      </c>
      <c r="C3152">
        <v>4</v>
      </c>
      <c r="E3152">
        <v>1</v>
      </c>
      <c r="F3152" t="str">
        <f t="shared" si="49"/>
        <v>F214G4T1</v>
      </c>
      <c r="G3152" s="14" t="s">
        <v>323</v>
      </c>
    </row>
    <row r="3153" spans="1:7">
      <c r="A3153">
        <v>21</v>
      </c>
      <c r="B3153">
        <v>5</v>
      </c>
      <c r="C3153">
        <v>4</v>
      </c>
      <c r="E3153">
        <v>1</v>
      </c>
      <c r="F3153" t="str">
        <f t="shared" si="49"/>
        <v>F215G4T1</v>
      </c>
      <c r="G3153" s="14" t="s">
        <v>323</v>
      </c>
    </row>
    <row r="3154" spans="1:7">
      <c r="A3154">
        <v>21</v>
      </c>
      <c r="B3154">
        <v>6</v>
      </c>
      <c r="C3154">
        <v>4</v>
      </c>
      <c r="E3154">
        <v>1</v>
      </c>
      <c r="F3154" t="str">
        <f t="shared" si="49"/>
        <v>F216G4T1</v>
      </c>
      <c r="G3154" s="14" t="s">
        <v>323</v>
      </c>
    </row>
    <row r="3155" spans="1:7">
      <c r="A3155">
        <v>21</v>
      </c>
      <c r="B3155">
        <v>7</v>
      </c>
      <c r="C3155">
        <v>4</v>
      </c>
      <c r="E3155">
        <v>1</v>
      </c>
      <c r="F3155" t="str">
        <f t="shared" si="49"/>
        <v>F217G4T1</v>
      </c>
      <c r="G3155" s="14" t="s">
        <v>323</v>
      </c>
    </row>
    <row r="3156" spans="1:7">
      <c r="A3156">
        <v>21</v>
      </c>
      <c r="B3156">
        <v>1</v>
      </c>
      <c r="C3156">
        <v>5</v>
      </c>
      <c r="E3156">
        <v>1</v>
      </c>
      <c r="F3156" t="str">
        <f t="shared" si="49"/>
        <v>F211G5T1</v>
      </c>
      <c r="G3156" s="14" t="s">
        <v>323</v>
      </c>
    </row>
    <row r="3157" spans="1:7">
      <c r="A3157">
        <v>21</v>
      </c>
      <c r="B3157">
        <v>2</v>
      </c>
      <c r="C3157">
        <v>5</v>
      </c>
      <c r="E3157">
        <v>1</v>
      </c>
      <c r="F3157" t="str">
        <f t="shared" si="49"/>
        <v>F212G5T1</v>
      </c>
      <c r="G3157" s="14" t="s">
        <v>323</v>
      </c>
    </row>
    <row r="3158" spans="1:7">
      <c r="A3158">
        <v>21</v>
      </c>
      <c r="B3158">
        <v>4</v>
      </c>
      <c r="C3158">
        <v>5</v>
      </c>
      <c r="E3158">
        <v>1</v>
      </c>
      <c r="F3158" t="str">
        <f t="shared" si="49"/>
        <v>F214G5T1</v>
      </c>
      <c r="G3158" s="14" t="s">
        <v>323</v>
      </c>
    </row>
    <row r="3159" spans="1:7">
      <c r="A3159">
        <v>21</v>
      </c>
      <c r="B3159">
        <v>5</v>
      </c>
      <c r="C3159">
        <v>5</v>
      </c>
      <c r="E3159">
        <v>1</v>
      </c>
      <c r="F3159" t="str">
        <f t="shared" si="49"/>
        <v>F215G5T1</v>
      </c>
      <c r="G3159" s="14" t="s">
        <v>323</v>
      </c>
    </row>
    <row r="3160" spans="1:7">
      <c r="A3160">
        <v>21</v>
      </c>
      <c r="B3160">
        <v>6</v>
      </c>
      <c r="C3160">
        <v>5</v>
      </c>
      <c r="E3160">
        <v>1</v>
      </c>
      <c r="F3160" t="str">
        <f t="shared" si="49"/>
        <v>F216G5T1</v>
      </c>
      <c r="G3160" s="14" t="s">
        <v>323</v>
      </c>
    </row>
    <row r="3161" spans="1:7">
      <c r="A3161">
        <v>21</v>
      </c>
      <c r="B3161">
        <v>7</v>
      </c>
      <c r="C3161">
        <v>5</v>
      </c>
      <c r="E3161">
        <v>1</v>
      </c>
      <c r="F3161" t="str">
        <f t="shared" si="49"/>
        <v>F217G5T1</v>
      </c>
      <c r="G3161" s="14" t="s">
        <v>323</v>
      </c>
    </row>
    <row r="3162" spans="1:7">
      <c r="A3162">
        <v>21</v>
      </c>
      <c r="B3162">
        <v>1</v>
      </c>
      <c r="C3162">
        <v>3</v>
      </c>
      <c r="E3162">
        <v>4</v>
      </c>
      <c r="F3162" t="str">
        <f t="shared" si="49"/>
        <v>F211G3T4</v>
      </c>
      <c r="G3162" s="14" t="s">
        <v>323</v>
      </c>
    </row>
    <row r="3163" spans="1:7">
      <c r="A3163">
        <v>21</v>
      </c>
      <c r="B3163">
        <v>2</v>
      </c>
      <c r="C3163">
        <v>3</v>
      </c>
      <c r="E3163">
        <v>4</v>
      </c>
      <c r="F3163" t="str">
        <f t="shared" si="49"/>
        <v>F212G3T4</v>
      </c>
      <c r="G3163" s="14" t="s">
        <v>323</v>
      </c>
    </row>
    <row r="3164" spans="1:7">
      <c r="A3164">
        <v>21</v>
      </c>
      <c r="B3164">
        <v>4</v>
      </c>
      <c r="C3164">
        <v>3</v>
      </c>
      <c r="E3164">
        <v>4</v>
      </c>
      <c r="F3164" t="str">
        <f t="shared" si="49"/>
        <v>F214G3T4</v>
      </c>
      <c r="G3164" s="14" t="s">
        <v>323</v>
      </c>
    </row>
    <row r="3165" spans="1:7">
      <c r="A3165">
        <v>21</v>
      </c>
      <c r="B3165">
        <v>5</v>
      </c>
      <c r="C3165">
        <v>3</v>
      </c>
      <c r="E3165">
        <v>4</v>
      </c>
      <c r="F3165" t="str">
        <f t="shared" si="49"/>
        <v>F215G3T4</v>
      </c>
      <c r="G3165" s="14" t="s">
        <v>323</v>
      </c>
    </row>
    <row r="3166" spans="1:7">
      <c r="A3166">
        <v>21</v>
      </c>
      <c r="B3166">
        <v>6</v>
      </c>
      <c r="C3166">
        <v>3</v>
      </c>
      <c r="E3166">
        <v>4</v>
      </c>
      <c r="F3166" t="str">
        <f t="shared" si="49"/>
        <v>F216G3T4</v>
      </c>
      <c r="G3166" s="14" t="s">
        <v>323</v>
      </c>
    </row>
    <row r="3167" spans="1:7">
      <c r="A3167">
        <v>21</v>
      </c>
      <c r="B3167">
        <v>7</v>
      </c>
      <c r="C3167">
        <v>3</v>
      </c>
      <c r="E3167">
        <v>4</v>
      </c>
      <c r="F3167" t="str">
        <f t="shared" si="49"/>
        <v>F217G3T4</v>
      </c>
      <c r="G3167" s="14" t="s">
        <v>323</v>
      </c>
    </row>
    <row r="3168" spans="1:7">
      <c r="A3168">
        <v>21</v>
      </c>
      <c r="B3168">
        <v>1</v>
      </c>
      <c r="C3168">
        <v>4</v>
      </c>
      <c r="E3168">
        <v>4</v>
      </c>
      <c r="F3168" t="str">
        <f t="shared" si="49"/>
        <v>F211G4T4</v>
      </c>
      <c r="G3168" s="14" t="s">
        <v>323</v>
      </c>
    </row>
    <row r="3169" spans="1:7">
      <c r="A3169">
        <v>21</v>
      </c>
      <c r="B3169">
        <v>2</v>
      </c>
      <c r="C3169">
        <v>4</v>
      </c>
      <c r="E3169">
        <v>4</v>
      </c>
      <c r="F3169" t="str">
        <f t="shared" si="49"/>
        <v>F212G4T4</v>
      </c>
      <c r="G3169" s="14" t="s">
        <v>323</v>
      </c>
    </row>
    <row r="3170" spans="1:7">
      <c r="A3170">
        <v>21</v>
      </c>
      <c r="B3170">
        <v>4</v>
      </c>
      <c r="C3170">
        <v>4</v>
      </c>
      <c r="E3170">
        <v>4</v>
      </c>
      <c r="F3170" t="str">
        <f t="shared" si="49"/>
        <v>F214G4T4</v>
      </c>
      <c r="G3170" s="14" t="s">
        <v>323</v>
      </c>
    </row>
    <row r="3171" spans="1:7">
      <c r="A3171">
        <v>21</v>
      </c>
      <c r="B3171">
        <v>5</v>
      </c>
      <c r="C3171">
        <v>4</v>
      </c>
      <c r="E3171">
        <v>4</v>
      </c>
      <c r="F3171" t="str">
        <f t="shared" si="49"/>
        <v>F215G4T4</v>
      </c>
      <c r="G3171" s="14" t="s">
        <v>323</v>
      </c>
    </row>
    <row r="3172" spans="1:7">
      <c r="A3172">
        <v>21</v>
      </c>
      <c r="B3172">
        <v>6</v>
      </c>
      <c r="C3172">
        <v>4</v>
      </c>
      <c r="E3172">
        <v>4</v>
      </c>
      <c r="F3172" t="str">
        <f t="shared" si="49"/>
        <v>F216G4T4</v>
      </c>
      <c r="G3172" s="14" t="s">
        <v>323</v>
      </c>
    </row>
    <row r="3173" spans="1:7">
      <c r="A3173">
        <v>21</v>
      </c>
      <c r="B3173">
        <v>7</v>
      </c>
      <c r="C3173">
        <v>4</v>
      </c>
      <c r="E3173">
        <v>4</v>
      </c>
      <c r="F3173" t="str">
        <f t="shared" si="49"/>
        <v>F217G4T4</v>
      </c>
      <c r="G3173" s="14" t="s">
        <v>323</v>
      </c>
    </row>
    <row r="3174" spans="1:7">
      <c r="A3174">
        <v>21</v>
      </c>
      <c r="B3174">
        <v>1</v>
      </c>
      <c r="C3174">
        <v>5</v>
      </c>
      <c r="E3174">
        <v>4</v>
      </c>
      <c r="F3174" t="str">
        <f t="shared" si="49"/>
        <v>F211G5T4</v>
      </c>
      <c r="G3174" s="14" t="s">
        <v>323</v>
      </c>
    </row>
    <row r="3175" spans="1:7">
      <c r="A3175">
        <v>21</v>
      </c>
      <c r="B3175">
        <v>2</v>
      </c>
      <c r="C3175">
        <v>5</v>
      </c>
      <c r="E3175">
        <v>4</v>
      </c>
      <c r="F3175" t="str">
        <f t="shared" si="49"/>
        <v>F212G5T4</v>
      </c>
      <c r="G3175" s="14" t="s">
        <v>323</v>
      </c>
    </row>
    <row r="3176" spans="1:7">
      <c r="A3176">
        <v>21</v>
      </c>
      <c r="B3176">
        <v>4</v>
      </c>
      <c r="C3176">
        <v>5</v>
      </c>
      <c r="E3176">
        <v>4</v>
      </c>
      <c r="F3176" t="str">
        <f t="shared" si="49"/>
        <v>F214G5T4</v>
      </c>
      <c r="G3176" s="14" t="s">
        <v>323</v>
      </c>
    </row>
    <row r="3177" spans="1:7">
      <c r="A3177">
        <v>21</v>
      </c>
      <c r="B3177">
        <v>5</v>
      </c>
      <c r="C3177">
        <v>5</v>
      </c>
      <c r="E3177">
        <v>4</v>
      </c>
      <c r="F3177" t="str">
        <f t="shared" si="49"/>
        <v>F215G5T4</v>
      </c>
      <c r="G3177" s="14" t="s">
        <v>323</v>
      </c>
    </row>
    <row r="3178" spans="1:7">
      <c r="A3178">
        <v>21</v>
      </c>
      <c r="B3178">
        <v>6</v>
      </c>
      <c r="C3178">
        <v>5</v>
      </c>
      <c r="E3178">
        <v>4</v>
      </c>
      <c r="F3178" t="str">
        <f t="shared" si="49"/>
        <v>F216G5T4</v>
      </c>
      <c r="G3178" s="14" t="s">
        <v>323</v>
      </c>
    </row>
    <row r="3179" spans="1:7">
      <c r="A3179">
        <v>21</v>
      </c>
      <c r="B3179">
        <v>7</v>
      </c>
      <c r="C3179">
        <v>5</v>
      </c>
      <c r="E3179">
        <v>4</v>
      </c>
      <c r="F3179" t="str">
        <f t="shared" si="49"/>
        <v>F217G5T4</v>
      </c>
      <c r="G3179" s="14" t="s">
        <v>323</v>
      </c>
    </row>
    <row r="3180" spans="1:7">
      <c r="A3180">
        <v>23</v>
      </c>
      <c r="B3180">
        <v>1</v>
      </c>
      <c r="C3180">
        <v>3</v>
      </c>
      <c r="E3180">
        <v>1</v>
      </c>
      <c r="F3180" t="str">
        <f t="shared" si="49"/>
        <v>F231G3T1</v>
      </c>
      <c r="G3180" s="14" t="s">
        <v>323</v>
      </c>
    </row>
    <row r="3181" spans="1:7">
      <c r="A3181">
        <v>23</v>
      </c>
      <c r="B3181">
        <v>2</v>
      </c>
      <c r="C3181">
        <v>3</v>
      </c>
      <c r="E3181">
        <v>1</v>
      </c>
      <c r="F3181" t="str">
        <f t="shared" si="49"/>
        <v>F232G3T1</v>
      </c>
      <c r="G3181" s="14" t="s">
        <v>323</v>
      </c>
    </row>
    <row r="3182" spans="1:7">
      <c r="A3182">
        <v>23</v>
      </c>
      <c r="B3182">
        <v>4</v>
      </c>
      <c r="C3182">
        <v>3</v>
      </c>
      <c r="E3182">
        <v>1</v>
      </c>
      <c r="F3182" t="str">
        <f t="shared" si="49"/>
        <v>F234G3T1</v>
      </c>
      <c r="G3182" s="14" t="s">
        <v>323</v>
      </c>
    </row>
    <row r="3183" spans="1:7">
      <c r="A3183">
        <v>23</v>
      </c>
      <c r="B3183">
        <v>5</v>
      </c>
      <c r="C3183">
        <v>3</v>
      </c>
      <c r="E3183">
        <v>1</v>
      </c>
      <c r="F3183" t="str">
        <f t="shared" si="49"/>
        <v>F235G3T1</v>
      </c>
      <c r="G3183" s="14" t="s">
        <v>323</v>
      </c>
    </row>
    <row r="3184" spans="1:7">
      <c r="A3184">
        <v>23</v>
      </c>
      <c r="B3184">
        <v>6</v>
      </c>
      <c r="C3184">
        <v>3</v>
      </c>
      <c r="E3184">
        <v>1</v>
      </c>
      <c r="F3184" t="str">
        <f t="shared" si="49"/>
        <v>F236G3T1</v>
      </c>
      <c r="G3184" s="14" t="s">
        <v>323</v>
      </c>
    </row>
    <row r="3185" spans="1:7">
      <c r="A3185">
        <v>23</v>
      </c>
      <c r="B3185">
        <v>7</v>
      </c>
      <c r="C3185">
        <v>3</v>
      </c>
      <c r="E3185">
        <v>1</v>
      </c>
      <c r="F3185" t="str">
        <f t="shared" si="49"/>
        <v>F237G3T1</v>
      </c>
      <c r="G3185" s="14" t="s">
        <v>323</v>
      </c>
    </row>
    <row r="3186" spans="1:7">
      <c r="A3186">
        <v>23</v>
      </c>
      <c r="B3186">
        <v>1</v>
      </c>
      <c r="C3186">
        <v>4</v>
      </c>
      <c r="E3186">
        <v>1</v>
      </c>
      <c r="F3186" t="str">
        <f t="shared" si="49"/>
        <v>F231G4T1</v>
      </c>
      <c r="G3186" s="14" t="s">
        <v>323</v>
      </c>
    </row>
    <row r="3187" spans="1:7">
      <c r="A3187">
        <v>23</v>
      </c>
      <c r="B3187">
        <v>2</v>
      </c>
      <c r="C3187">
        <v>4</v>
      </c>
      <c r="E3187">
        <v>1</v>
      </c>
      <c r="F3187" t="str">
        <f t="shared" si="49"/>
        <v>F232G4T1</v>
      </c>
      <c r="G3187" s="14" t="s">
        <v>323</v>
      </c>
    </row>
    <row r="3188" spans="1:7">
      <c r="A3188">
        <v>23</v>
      </c>
      <c r="B3188">
        <v>4</v>
      </c>
      <c r="C3188">
        <v>4</v>
      </c>
      <c r="E3188">
        <v>1</v>
      </c>
      <c r="F3188" t="str">
        <f t="shared" si="49"/>
        <v>F234G4T1</v>
      </c>
      <c r="G3188" s="14" t="s">
        <v>323</v>
      </c>
    </row>
    <row r="3189" spans="1:7">
      <c r="A3189">
        <v>23</v>
      </c>
      <c r="B3189">
        <v>5</v>
      </c>
      <c r="C3189">
        <v>4</v>
      </c>
      <c r="E3189">
        <v>1</v>
      </c>
      <c r="F3189" t="str">
        <f t="shared" si="49"/>
        <v>F235G4T1</v>
      </c>
      <c r="G3189" s="14" t="s">
        <v>323</v>
      </c>
    </row>
    <row r="3190" spans="1:7">
      <c r="A3190">
        <v>23</v>
      </c>
      <c r="B3190">
        <v>6</v>
      </c>
      <c r="C3190">
        <v>4</v>
      </c>
      <c r="E3190">
        <v>1</v>
      </c>
      <c r="F3190" t="str">
        <f t="shared" si="49"/>
        <v>F236G4T1</v>
      </c>
      <c r="G3190" s="14" t="s">
        <v>323</v>
      </c>
    </row>
    <row r="3191" spans="1:7">
      <c r="A3191">
        <v>23</v>
      </c>
      <c r="B3191">
        <v>7</v>
      </c>
      <c r="C3191">
        <v>4</v>
      </c>
      <c r="E3191">
        <v>1</v>
      </c>
      <c r="F3191" t="str">
        <f t="shared" si="49"/>
        <v>F237G4T1</v>
      </c>
      <c r="G3191" s="14" t="s">
        <v>323</v>
      </c>
    </row>
    <row r="3192" spans="1:7">
      <c r="A3192">
        <v>23</v>
      </c>
      <c r="B3192">
        <v>1</v>
      </c>
      <c r="C3192">
        <v>5</v>
      </c>
      <c r="E3192">
        <v>1</v>
      </c>
      <c r="F3192" t="str">
        <f t="shared" si="49"/>
        <v>F231G5T1</v>
      </c>
      <c r="G3192" s="14" t="s">
        <v>323</v>
      </c>
    </row>
    <row r="3193" spans="1:7">
      <c r="A3193">
        <v>23</v>
      </c>
      <c r="B3193">
        <v>2</v>
      </c>
      <c r="C3193">
        <v>5</v>
      </c>
      <c r="E3193">
        <v>1</v>
      </c>
      <c r="F3193" t="str">
        <f t="shared" si="49"/>
        <v>F232G5T1</v>
      </c>
      <c r="G3193" s="14" t="s">
        <v>323</v>
      </c>
    </row>
    <row r="3194" spans="1:7">
      <c r="A3194">
        <v>23</v>
      </c>
      <c r="B3194">
        <v>4</v>
      </c>
      <c r="C3194">
        <v>5</v>
      </c>
      <c r="E3194">
        <v>1</v>
      </c>
      <c r="F3194" t="str">
        <f t="shared" si="49"/>
        <v>F234G5T1</v>
      </c>
      <c r="G3194" s="14" t="s">
        <v>323</v>
      </c>
    </row>
    <row r="3195" spans="1:7">
      <c r="A3195">
        <v>23</v>
      </c>
      <c r="B3195">
        <v>5</v>
      </c>
      <c r="C3195">
        <v>5</v>
      </c>
      <c r="E3195">
        <v>1</v>
      </c>
      <c r="F3195" t="str">
        <f t="shared" si="49"/>
        <v>F235G5T1</v>
      </c>
      <c r="G3195" s="14" t="s">
        <v>323</v>
      </c>
    </row>
    <row r="3196" spans="1:7">
      <c r="A3196">
        <v>23</v>
      </c>
      <c r="B3196">
        <v>6</v>
      </c>
      <c r="C3196">
        <v>5</v>
      </c>
      <c r="E3196">
        <v>1</v>
      </c>
      <c r="F3196" t="str">
        <f t="shared" si="49"/>
        <v>F236G5T1</v>
      </c>
      <c r="G3196" s="14" t="s">
        <v>323</v>
      </c>
    </row>
    <row r="3197" spans="1:7">
      <c r="A3197">
        <v>23</v>
      </c>
      <c r="B3197">
        <v>7</v>
      </c>
      <c r="C3197">
        <v>5</v>
      </c>
      <c r="E3197">
        <v>1</v>
      </c>
      <c r="F3197" t="str">
        <f t="shared" si="49"/>
        <v>F237G5T1</v>
      </c>
      <c r="G3197" s="14" t="s">
        <v>323</v>
      </c>
    </row>
    <row r="3198" spans="1:7">
      <c r="A3198">
        <v>23</v>
      </c>
      <c r="B3198">
        <v>1</v>
      </c>
      <c r="C3198">
        <v>3</v>
      </c>
      <c r="E3198">
        <v>4</v>
      </c>
      <c r="F3198" t="str">
        <f t="shared" si="49"/>
        <v>F231G3T4</v>
      </c>
      <c r="G3198" s="14" t="s">
        <v>323</v>
      </c>
    </row>
    <row r="3199" spans="1:7">
      <c r="A3199">
        <v>23</v>
      </c>
      <c r="B3199">
        <v>2</v>
      </c>
      <c r="C3199">
        <v>3</v>
      </c>
      <c r="E3199">
        <v>4</v>
      </c>
      <c r="F3199" t="str">
        <f t="shared" si="49"/>
        <v>F232G3T4</v>
      </c>
      <c r="G3199" s="14" t="s">
        <v>323</v>
      </c>
    </row>
    <row r="3200" spans="1:7">
      <c r="A3200">
        <v>23</v>
      </c>
      <c r="B3200">
        <v>4</v>
      </c>
      <c r="C3200">
        <v>3</v>
      </c>
      <c r="E3200">
        <v>4</v>
      </c>
      <c r="F3200" t="str">
        <f t="shared" si="49"/>
        <v>F234G3T4</v>
      </c>
      <c r="G3200" s="14" t="s">
        <v>323</v>
      </c>
    </row>
    <row r="3201" spans="1:7">
      <c r="A3201">
        <v>23</v>
      </c>
      <c r="B3201">
        <v>5</v>
      </c>
      <c r="C3201">
        <v>3</v>
      </c>
      <c r="E3201">
        <v>4</v>
      </c>
      <c r="F3201" t="str">
        <f t="shared" si="49"/>
        <v>F235G3T4</v>
      </c>
      <c r="G3201" s="14" t="s">
        <v>323</v>
      </c>
    </row>
    <row r="3202" spans="1:7">
      <c r="A3202">
        <v>23</v>
      </c>
      <c r="B3202">
        <v>6</v>
      </c>
      <c r="C3202">
        <v>3</v>
      </c>
      <c r="E3202">
        <v>4</v>
      </c>
      <c r="F3202" t="str">
        <f t="shared" si="49"/>
        <v>F236G3T4</v>
      </c>
      <c r="G3202" s="14" t="s">
        <v>323</v>
      </c>
    </row>
    <row r="3203" spans="1:7">
      <c r="A3203">
        <v>23</v>
      </c>
      <c r="B3203">
        <v>7</v>
      </c>
      <c r="C3203">
        <v>3</v>
      </c>
      <c r="E3203">
        <v>4</v>
      </c>
      <c r="F3203" t="str">
        <f t="shared" ref="F3203:F3266" si="50">CONCATENATE("F",A3203,B3203,"G",C3203,"T",E3203)</f>
        <v>F237G3T4</v>
      </c>
      <c r="G3203" s="14" t="s">
        <v>323</v>
      </c>
    </row>
    <row r="3204" spans="1:7">
      <c r="A3204">
        <v>23</v>
      </c>
      <c r="B3204">
        <v>1</v>
      </c>
      <c r="C3204">
        <v>4</v>
      </c>
      <c r="E3204">
        <v>4</v>
      </c>
      <c r="F3204" t="str">
        <f t="shared" si="50"/>
        <v>F231G4T4</v>
      </c>
      <c r="G3204" s="14" t="s">
        <v>323</v>
      </c>
    </row>
    <row r="3205" spans="1:7">
      <c r="A3205">
        <v>23</v>
      </c>
      <c r="B3205">
        <v>2</v>
      </c>
      <c r="C3205">
        <v>4</v>
      </c>
      <c r="E3205">
        <v>4</v>
      </c>
      <c r="F3205" t="str">
        <f t="shared" si="50"/>
        <v>F232G4T4</v>
      </c>
      <c r="G3205" s="14" t="s">
        <v>323</v>
      </c>
    </row>
    <row r="3206" spans="1:7">
      <c r="A3206">
        <v>23</v>
      </c>
      <c r="B3206">
        <v>4</v>
      </c>
      <c r="C3206">
        <v>4</v>
      </c>
      <c r="E3206">
        <v>4</v>
      </c>
      <c r="F3206" t="str">
        <f t="shared" si="50"/>
        <v>F234G4T4</v>
      </c>
      <c r="G3206" s="14" t="s">
        <v>323</v>
      </c>
    </row>
    <row r="3207" spans="1:7">
      <c r="A3207">
        <v>23</v>
      </c>
      <c r="B3207">
        <v>5</v>
      </c>
      <c r="C3207">
        <v>4</v>
      </c>
      <c r="E3207">
        <v>4</v>
      </c>
      <c r="F3207" t="str">
        <f t="shared" si="50"/>
        <v>F235G4T4</v>
      </c>
      <c r="G3207" s="14" t="s">
        <v>323</v>
      </c>
    </row>
    <row r="3208" spans="1:7">
      <c r="A3208">
        <v>23</v>
      </c>
      <c r="B3208">
        <v>6</v>
      </c>
      <c r="C3208">
        <v>4</v>
      </c>
      <c r="E3208">
        <v>4</v>
      </c>
      <c r="F3208" t="str">
        <f t="shared" si="50"/>
        <v>F236G4T4</v>
      </c>
      <c r="G3208" s="14" t="s">
        <v>323</v>
      </c>
    </row>
    <row r="3209" spans="1:7">
      <c r="A3209">
        <v>23</v>
      </c>
      <c r="B3209">
        <v>7</v>
      </c>
      <c r="C3209">
        <v>4</v>
      </c>
      <c r="E3209">
        <v>4</v>
      </c>
      <c r="F3209" t="str">
        <f t="shared" si="50"/>
        <v>F237G4T4</v>
      </c>
      <c r="G3209" s="14" t="s">
        <v>323</v>
      </c>
    </row>
    <row r="3210" spans="1:7">
      <c r="A3210">
        <v>23</v>
      </c>
      <c r="B3210">
        <v>1</v>
      </c>
      <c r="C3210">
        <v>5</v>
      </c>
      <c r="E3210">
        <v>4</v>
      </c>
      <c r="F3210" t="str">
        <f t="shared" si="50"/>
        <v>F231G5T4</v>
      </c>
      <c r="G3210" s="14" t="s">
        <v>323</v>
      </c>
    </row>
    <row r="3211" spans="1:7">
      <c r="A3211">
        <v>23</v>
      </c>
      <c r="B3211">
        <v>2</v>
      </c>
      <c r="C3211">
        <v>5</v>
      </c>
      <c r="E3211">
        <v>4</v>
      </c>
      <c r="F3211" t="str">
        <f t="shared" si="50"/>
        <v>F232G5T4</v>
      </c>
      <c r="G3211" s="14" t="s">
        <v>323</v>
      </c>
    </row>
    <row r="3212" spans="1:7">
      <c r="A3212">
        <v>23</v>
      </c>
      <c r="B3212">
        <v>4</v>
      </c>
      <c r="C3212">
        <v>5</v>
      </c>
      <c r="E3212">
        <v>4</v>
      </c>
      <c r="F3212" t="str">
        <f t="shared" si="50"/>
        <v>F234G5T4</v>
      </c>
      <c r="G3212" s="14" t="s">
        <v>323</v>
      </c>
    </row>
    <row r="3213" spans="1:7">
      <c r="A3213">
        <v>23</v>
      </c>
      <c r="B3213">
        <v>5</v>
      </c>
      <c r="C3213">
        <v>5</v>
      </c>
      <c r="E3213">
        <v>4</v>
      </c>
      <c r="F3213" t="str">
        <f t="shared" si="50"/>
        <v>F235G5T4</v>
      </c>
      <c r="G3213" s="14" t="s">
        <v>323</v>
      </c>
    </row>
    <row r="3214" spans="1:7">
      <c r="A3214">
        <v>23</v>
      </c>
      <c r="B3214">
        <v>6</v>
      </c>
      <c r="C3214">
        <v>5</v>
      </c>
      <c r="E3214">
        <v>4</v>
      </c>
      <c r="F3214" t="str">
        <f t="shared" si="50"/>
        <v>F236G5T4</v>
      </c>
      <c r="G3214" s="14" t="s">
        <v>323</v>
      </c>
    </row>
    <row r="3215" spans="1:7">
      <c r="A3215">
        <v>23</v>
      </c>
      <c r="B3215">
        <v>7</v>
      </c>
      <c r="C3215">
        <v>5</v>
      </c>
      <c r="E3215">
        <v>4</v>
      </c>
      <c r="F3215" t="str">
        <f t="shared" si="50"/>
        <v>F237G5T4</v>
      </c>
      <c r="G3215" s="14" t="s">
        <v>323</v>
      </c>
    </row>
    <row r="3216" spans="1:7">
      <c r="A3216">
        <v>24</v>
      </c>
      <c r="B3216">
        <v>1</v>
      </c>
      <c r="C3216">
        <v>3</v>
      </c>
      <c r="E3216">
        <v>1</v>
      </c>
      <c r="F3216" t="str">
        <f t="shared" si="50"/>
        <v>F241G3T1</v>
      </c>
      <c r="G3216" s="14" t="s">
        <v>323</v>
      </c>
    </row>
    <row r="3217" spans="1:7">
      <c r="A3217">
        <v>24</v>
      </c>
      <c r="B3217">
        <v>2</v>
      </c>
      <c r="C3217">
        <v>3</v>
      </c>
      <c r="E3217">
        <v>1</v>
      </c>
      <c r="F3217" t="str">
        <f t="shared" si="50"/>
        <v>F242G3T1</v>
      </c>
      <c r="G3217" s="14" t="s">
        <v>323</v>
      </c>
    </row>
    <row r="3218" spans="1:7">
      <c r="A3218">
        <v>24</v>
      </c>
      <c r="B3218">
        <v>4</v>
      </c>
      <c r="C3218">
        <v>3</v>
      </c>
      <c r="E3218">
        <v>1</v>
      </c>
      <c r="F3218" t="str">
        <f t="shared" si="50"/>
        <v>F244G3T1</v>
      </c>
      <c r="G3218" s="14" t="s">
        <v>323</v>
      </c>
    </row>
    <row r="3219" spans="1:7">
      <c r="A3219">
        <v>24</v>
      </c>
      <c r="B3219">
        <v>5</v>
      </c>
      <c r="C3219">
        <v>3</v>
      </c>
      <c r="E3219">
        <v>1</v>
      </c>
      <c r="F3219" t="str">
        <f t="shared" si="50"/>
        <v>F245G3T1</v>
      </c>
      <c r="G3219" s="14" t="s">
        <v>323</v>
      </c>
    </row>
    <row r="3220" spans="1:7">
      <c r="A3220">
        <v>24</v>
      </c>
      <c r="B3220">
        <v>6</v>
      </c>
      <c r="C3220">
        <v>3</v>
      </c>
      <c r="E3220">
        <v>1</v>
      </c>
      <c r="F3220" t="str">
        <f t="shared" si="50"/>
        <v>F246G3T1</v>
      </c>
      <c r="G3220" s="14" t="s">
        <v>323</v>
      </c>
    </row>
    <row r="3221" spans="1:7">
      <c r="A3221">
        <v>24</v>
      </c>
      <c r="B3221">
        <v>7</v>
      </c>
      <c r="C3221">
        <v>3</v>
      </c>
      <c r="E3221">
        <v>1</v>
      </c>
      <c r="F3221" t="str">
        <f t="shared" si="50"/>
        <v>F247G3T1</v>
      </c>
      <c r="G3221" s="14" t="s">
        <v>323</v>
      </c>
    </row>
    <row r="3222" spans="1:7">
      <c r="A3222">
        <v>24</v>
      </c>
      <c r="B3222">
        <v>1</v>
      </c>
      <c r="C3222">
        <v>4</v>
      </c>
      <c r="E3222">
        <v>1</v>
      </c>
      <c r="F3222" t="str">
        <f t="shared" si="50"/>
        <v>F241G4T1</v>
      </c>
      <c r="G3222" s="14" t="s">
        <v>323</v>
      </c>
    </row>
    <row r="3223" spans="1:7">
      <c r="A3223">
        <v>24</v>
      </c>
      <c r="B3223">
        <v>2</v>
      </c>
      <c r="C3223">
        <v>4</v>
      </c>
      <c r="E3223">
        <v>1</v>
      </c>
      <c r="F3223" t="str">
        <f t="shared" si="50"/>
        <v>F242G4T1</v>
      </c>
      <c r="G3223" s="14" t="s">
        <v>323</v>
      </c>
    </row>
    <row r="3224" spans="1:7">
      <c r="A3224">
        <v>24</v>
      </c>
      <c r="B3224">
        <v>4</v>
      </c>
      <c r="C3224">
        <v>4</v>
      </c>
      <c r="E3224">
        <v>1</v>
      </c>
      <c r="F3224" t="str">
        <f t="shared" si="50"/>
        <v>F244G4T1</v>
      </c>
      <c r="G3224" s="14" t="s">
        <v>323</v>
      </c>
    </row>
    <row r="3225" spans="1:7">
      <c r="A3225">
        <v>24</v>
      </c>
      <c r="B3225">
        <v>5</v>
      </c>
      <c r="C3225">
        <v>4</v>
      </c>
      <c r="E3225">
        <v>1</v>
      </c>
      <c r="F3225" t="str">
        <f t="shared" si="50"/>
        <v>F245G4T1</v>
      </c>
      <c r="G3225" s="14" t="s">
        <v>323</v>
      </c>
    </row>
    <row r="3226" spans="1:7">
      <c r="A3226">
        <v>24</v>
      </c>
      <c r="B3226">
        <v>6</v>
      </c>
      <c r="C3226">
        <v>4</v>
      </c>
      <c r="E3226">
        <v>1</v>
      </c>
      <c r="F3226" t="str">
        <f t="shared" si="50"/>
        <v>F246G4T1</v>
      </c>
      <c r="G3226" s="14" t="s">
        <v>323</v>
      </c>
    </row>
    <row r="3227" spans="1:7">
      <c r="A3227">
        <v>24</v>
      </c>
      <c r="B3227">
        <v>7</v>
      </c>
      <c r="C3227">
        <v>4</v>
      </c>
      <c r="E3227">
        <v>1</v>
      </c>
      <c r="F3227" t="str">
        <f t="shared" si="50"/>
        <v>F247G4T1</v>
      </c>
      <c r="G3227" s="14" t="s">
        <v>323</v>
      </c>
    </row>
    <row r="3228" spans="1:7">
      <c r="A3228">
        <v>24</v>
      </c>
      <c r="B3228">
        <v>1</v>
      </c>
      <c r="C3228">
        <v>5</v>
      </c>
      <c r="E3228">
        <v>1</v>
      </c>
      <c r="F3228" t="str">
        <f t="shared" si="50"/>
        <v>F241G5T1</v>
      </c>
      <c r="G3228" s="14" t="s">
        <v>323</v>
      </c>
    </row>
    <row r="3229" spans="1:7">
      <c r="A3229">
        <v>24</v>
      </c>
      <c r="B3229">
        <v>2</v>
      </c>
      <c r="C3229">
        <v>5</v>
      </c>
      <c r="E3229">
        <v>1</v>
      </c>
      <c r="F3229" t="str">
        <f t="shared" si="50"/>
        <v>F242G5T1</v>
      </c>
      <c r="G3229" s="14" t="s">
        <v>323</v>
      </c>
    </row>
    <row r="3230" spans="1:7">
      <c r="A3230">
        <v>24</v>
      </c>
      <c r="B3230">
        <v>4</v>
      </c>
      <c r="C3230">
        <v>5</v>
      </c>
      <c r="E3230">
        <v>1</v>
      </c>
      <c r="F3230" t="str">
        <f t="shared" si="50"/>
        <v>F244G5T1</v>
      </c>
      <c r="G3230" s="14" t="s">
        <v>323</v>
      </c>
    </row>
    <row r="3231" spans="1:7">
      <c r="A3231">
        <v>24</v>
      </c>
      <c r="B3231">
        <v>5</v>
      </c>
      <c r="C3231">
        <v>5</v>
      </c>
      <c r="E3231">
        <v>1</v>
      </c>
      <c r="F3231" t="str">
        <f t="shared" si="50"/>
        <v>F245G5T1</v>
      </c>
      <c r="G3231" s="14" t="s">
        <v>323</v>
      </c>
    </row>
    <row r="3232" spans="1:7">
      <c r="A3232">
        <v>24</v>
      </c>
      <c r="B3232">
        <v>6</v>
      </c>
      <c r="C3232">
        <v>5</v>
      </c>
      <c r="E3232">
        <v>1</v>
      </c>
      <c r="F3232" t="str">
        <f t="shared" si="50"/>
        <v>F246G5T1</v>
      </c>
      <c r="G3232" s="14" t="s">
        <v>323</v>
      </c>
    </row>
    <row r="3233" spans="1:7">
      <c r="A3233">
        <v>24</v>
      </c>
      <c r="B3233">
        <v>7</v>
      </c>
      <c r="C3233">
        <v>5</v>
      </c>
      <c r="E3233">
        <v>1</v>
      </c>
      <c r="F3233" t="str">
        <f t="shared" si="50"/>
        <v>F247G5T1</v>
      </c>
      <c r="G3233" s="14" t="s">
        <v>323</v>
      </c>
    </row>
    <row r="3234" spans="1:7">
      <c r="A3234">
        <v>24</v>
      </c>
      <c r="B3234">
        <v>1</v>
      </c>
      <c r="C3234">
        <v>3</v>
      </c>
      <c r="E3234">
        <v>4</v>
      </c>
      <c r="F3234" t="str">
        <f t="shared" si="50"/>
        <v>F241G3T4</v>
      </c>
      <c r="G3234" s="14" t="s">
        <v>323</v>
      </c>
    </row>
    <row r="3235" spans="1:7">
      <c r="A3235">
        <v>24</v>
      </c>
      <c r="B3235">
        <v>2</v>
      </c>
      <c r="C3235">
        <v>3</v>
      </c>
      <c r="E3235">
        <v>4</v>
      </c>
      <c r="F3235" t="str">
        <f t="shared" si="50"/>
        <v>F242G3T4</v>
      </c>
      <c r="G3235" s="14" t="s">
        <v>323</v>
      </c>
    </row>
    <row r="3236" spans="1:7">
      <c r="A3236">
        <v>24</v>
      </c>
      <c r="B3236">
        <v>4</v>
      </c>
      <c r="C3236">
        <v>3</v>
      </c>
      <c r="E3236">
        <v>4</v>
      </c>
      <c r="F3236" t="str">
        <f t="shared" si="50"/>
        <v>F244G3T4</v>
      </c>
      <c r="G3236" s="14" t="s">
        <v>323</v>
      </c>
    </row>
    <row r="3237" spans="1:7">
      <c r="A3237">
        <v>24</v>
      </c>
      <c r="B3237">
        <v>5</v>
      </c>
      <c r="C3237">
        <v>3</v>
      </c>
      <c r="E3237">
        <v>4</v>
      </c>
      <c r="F3237" t="str">
        <f t="shared" si="50"/>
        <v>F245G3T4</v>
      </c>
      <c r="G3237" s="14" t="s">
        <v>323</v>
      </c>
    </row>
    <row r="3238" spans="1:7">
      <c r="A3238">
        <v>24</v>
      </c>
      <c r="B3238">
        <v>6</v>
      </c>
      <c r="C3238">
        <v>3</v>
      </c>
      <c r="E3238">
        <v>4</v>
      </c>
      <c r="F3238" t="str">
        <f t="shared" si="50"/>
        <v>F246G3T4</v>
      </c>
      <c r="G3238" s="14" t="s">
        <v>323</v>
      </c>
    </row>
    <row r="3239" spans="1:7">
      <c r="A3239">
        <v>24</v>
      </c>
      <c r="B3239">
        <v>7</v>
      </c>
      <c r="C3239">
        <v>3</v>
      </c>
      <c r="E3239">
        <v>4</v>
      </c>
      <c r="F3239" t="str">
        <f t="shared" si="50"/>
        <v>F247G3T4</v>
      </c>
      <c r="G3239" s="14" t="s">
        <v>323</v>
      </c>
    </row>
    <row r="3240" spans="1:7">
      <c r="A3240">
        <v>24</v>
      </c>
      <c r="B3240">
        <v>1</v>
      </c>
      <c r="C3240">
        <v>4</v>
      </c>
      <c r="E3240">
        <v>4</v>
      </c>
      <c r="F3240" t="str">
        <f t="shared" si="50"/>
        <v>F241G4T4</v>
      </c>
      <c r="G3240" s="14" t="s">
        <v>323</v>
      </c>
    </row>
    <row r="3241" spans="1:7">
      <c r="A3241">
        <v>24</v>
      </c>
      <c r="B3241">
        <v>2</v>
      </c>
      <c r="C3241">
        <v>4</v>
      </c>
      <c r="E3241">
        <v>4</v>
      </c>
      <c r="F3241" t="str">
        <f t="shared" si="50"/>
        <v>F242G4T4</v>
      </c>
      <c r="G3241" s="14" t="s">
        <v>323</v>
      </c>
    </row>
    <row r="3242" spans="1:7">
      <c r="A3242">
        <v>24</v>
      </c>
      <c r="B3242">
        <v>4</v>
      </c>
      <c r="C3242">
        <v>4</v>
      </c>
      <c r="E3242">
        <v>4</v>
      </c>
      <c r="F3242" t="str">
        <f t="shared" si="50"/>
        <v>F244G4T4</v>
      </c>
      <c r="G3242" s="14" t="s">
        <v>323</v>
      </c>
    </row>
    <row r="3243" spans="1:7">
      <c r="A3243">
        <v>24</v>
      </c>
      <c r="B3243">
        <v>5</v>
      </c>
      <c r="C3243">
        <v>4</v>
      </c>
      <c r="E3243">
        <v>4</v>
      </c>
      <c r="F3243" t="str">
        <f t="shared" si="50"/>
        <v>F245G4T4</v>
      </c>
      <c r="G3243" s="14" t="s">
        <v>323</v>
      </c>
    </row>
    <row r="3244" spans="1:7">
      <c r="A3244">
        <v>24</v>
      </c>
      <c r="B3244">
        <v>6</v>
      </c>
      <c r="C3244">
        <v>4</v>
      </c>
      <c r="E3244">
        <v>4</v>
      </c>
      <c r="F3244" t="str">
        <f t="shared" si="50"/>
        <v>F246G4T4</v>
      </c>
      <c r="G3244" s="14" t="s">
        <v>323</v>
      </c>
    </row>
    <row r="3245" spans="1:7">
      <c r="A3245">
        <v>24</v>
      </c>
      <c r="B3245">
        <v>7</v>
      </c>
      <c r="C3245">
        <v>4</v>
      </c>
      <c r="E3245">
        <v>4</v>
      </c>
      <c r="F3245" t="str">
        <f t="shared" si="50"/>
        <v>F247G4T4</v>
      </c>
      <c r="G3245" s="14" t="s">
        <v>323</v>
      </c>
    </row>
    <row r="3246" spans="1:7">
      <c r="A3246">
        <v>24</v>
      </c>
      <c r="B3246">
        <v>1</v>
      </c>
      <c r="C3246">
        <v>5</v>
      </c>
      <c r="E3246">
        <v>4</v>
      </c>
      <c r="F3246" t="str">
        <f t="shared" si="50"/>
        <v>F241G5T4</v>
      </c>
      <c r="G3246" s="14" t="s">
        <v>323</v>
      </c>
    </row>
    <row r="3247" spans="1:7">
      <c r="A3247">
        <v>24</v>
      </c>
      <c r="B3247">
        <v>2</v>
      </c>
      <c r="C3247">
        <v>5</v>
      </c>
      <c r="E3247">
        <v>4</v>
      </c>
      <c r="F3247" t="str">
        <f t="shared" si="50"/>
        <v>F242G5T4</v>
      </c>
      <c r="G3247" s="14" t="s">
        <v>323</v>
      </c>
    </row>
    <row r="3248" spans="1:7">
      <c r="A3248">
        <v>24</v>
      </c>
      <c r="B3248">
        <v>4</v>
      </c>
      <c r="C3248">
        <v>5</v>
      </c>
      <c r="E3248">
        <v>4</v>
      </c>
      <c r="F3248" t="str">
        <f t="shared" si="50"/>
        <v>F244G5T4</v>
      </c>
      <c r="G3248" s="14" t="s">
        <v>323</v>
      </c>
    </row>
    <row r="3249" spans="1:7">
      <c r="A3249">
        <v>24</v>
      </c>
      <c r="B3249">
        <v>5</v>
      </c>
      <c r="C3249">
        <v>5</v>
      </c>
      <c r="E3249">
        <v>4</v>
      </c>
      <c r="F3249" t="str">
        <f t="shared" si="50"/>
        <v>F245G5T4</v>
      </c>
      <c r="G3249" s="14" t="s">
        <v>323</v>
      </c>
    </row>
    <row r="3250" spans="1:7">
      <c r="A3250">
        <v>24</v>
      </c>
      <c r="B3250">
        <v>6</v>
      </c>
      <c r="C3250">
        <v>5</v>
      </c>
      <c r="E3250">
        <v>4</v>
      </c>
      <c r="F3250" t="str">
        <f t="shared" si="50"/>
        <v>F246G5T4</v>
      </c>
      <c r="G3250" s="14" t="s">
        <v>323</v>
      </c>
    </row>
    <row r="3251" spans="1:7">
      <c r="A3251">
        <v>24</v>
      </c>
      <c r="B3251">
        <v>7</v>
      </c>
      <c r="C3251">
        <v>5</v>
      </c>
      <c r="E3251">
        <v>4</v>
      </c>
      <c r="F3251" t="str">
        <f t="shared" si="50"/>
        <v>F247G5T4</v>
      </c>
      <c r="G3251" s="14" t="s">
        <v>323</v>
      </c>
    </row>
    <row r="3252" spans="1:7">
      <c r="A3252">
        <v>25</v>
      </c>
      <c r="B3252">
        <v>1</v>
      </c>
      <c r="C3252">
        <v>3</v>
      </c>
      <c r="E3252">
        <v>1</v>
      </c>
      <c r="F3252" t="str">
        <f t="shared" si="50"/>
        <v>F251G3T1</v>
      </c>
      <c r="G3252" s="14" t="s">
        <v>323</v>
      </c>
    </row>
    <row r="3253" spans="1:7">
      <c r="A3253">
        <v>25</v>
      </c>
      <c r="B3253">
        <v>2</v>
      </c>
      <c r="C3253">
        <v>3</v>
      </c>
      <c r="E3253">
        <v>1</v>
      </c>
      <c r="F3253" t="str">
        <f t="shared" si="50"/>
        <v>F252G3T1</v>
      </c>
      <c r="G3253" s="14" t="s">
        <v>323</v>
      </c>
    </row>
    <row r="3254" spans="1:7">
      <c r="A3254">
        <v>25</v>
      </c>
      <c r="B3254">
        <v>4</v>
      </c>
      <c r="C3254">
        <v>3</v>
      </c>
      <c r="E3254">
        <v>1</v>
      </c>
      <c r="F3254" t="str">
        <f t="shared" si="50"/>
        <v>F254G3T1</v>
      </c>
      <c r="G3254" s="14" t="s">
        <v>323</v>
      </c>
    </row>
    <row r="3255" spans="1:7">
      <c r="A3255">
        <v>25</v>
      </c>
      <c r="B3255">
        <v>5</v>
      </c>
      <c r="C3255">
        <v>3</v>
      </c>
      <c r="E3255">
        <v>1</v>
      </c>
      <c r="F3255" t="str">
        <f t="shared" si="50"/>
        <v>F255G3T1</v>
      </c>
      <c r="G3255" s="14" t="s">
        <v>323</v>
      </c>
    </row>
    <row r="3256" spans="1:7">
      <c r="A3256">
        <v>25</v>
      </c>
      <c r="B3256">
        <v>6</v>
      </c>
      <c r="C3256">
        <v>3</v>
      </c>
      <c r="E3256">
        <v>1</v>
      </c>
      <c r="F3256" t="str">
        <f t="shared" si="50"/>
        <v>F256G3T1</v>
      </c>
      <c r="G3256" s="14" t="s">
        <v>323</v>
      </c>
    </row>
    <row r="3257" spans="1:7">
      <c r="A3257">
        <v>25</v>
      </c>
      <c r="B3257">
        <v>7</v>
      </c>
      <c r="C3257">
        <v>3</v>
      </c>
      <c r="E3257">
        <v>1</v>
      </c>
      <c r="F3257" t="str">
        <f t="shared" si="50"/>
        <v>F257G3T1</v>
      </c>
      <c r="G3257" s="14" t="s">
        <v>323</v>
      </c>
    </row>
    <row r="3258" spans="1:7">
      <c r="A3258">
        <v>25</v>
      </c>
      <c r="B3258">
        <v>1</v>
      </c>
      <c r="C3258">
        <v>4</v>
      </c>
      <c r="E3258">
        <v>1</v>
      </c>
      <c r="F3258" t="str">
        <f t="shared" si="50"/>
        <v>F251G4T1</v>
      </c>
      <c r="G3258" s="14" t="s">
        <v>323</v>
      </c>
    </row>
    <row r="3259" spans="1:7">
      <c r="A3259">
        <v>25</v>
      </c>
      <c r="B3259">
        <v>2</v>
      </c>
      <c r="C3259">
        <v>4</v>
      </c>
      <c r="E3259">
        <v>1</v>
      </c>
      <c r="F3259" t="str">
        <f t="shared" si="50"/>
        <v>F252G4T1</v>
      </c>
      <c r="G3259" s="14" t="s">
        <v>323</v>
      </c>
    </row>
    <row r="3260" spans="1:7">
      <c r="A3260">
        <v>25</v>
      </c>
      <c r="B3260">
        <v>4</v>
      </c>
      <c r="C3260">
        <v>4</v>
      </c>
      <c r="E3260">
        <v>1</v>
      </c>
      <c r="F3260" t="str">
        <f t="shared" si="50"/>
        <v>F254G4T1</v>
      </c>
      <c r="G3260" s="14" t="s">
        <v>323</v>
      </c>
    </row>
    <row r="3261" spans="1:7">
      <c r="A3261">
        <v>25</v>
      </c>
      <c r="B3261">
        <v>5</v>
      </c>
      <c r="C3261">
        <v>4</v>
      </c>
      <c r="E3261">
        <v>1</v>
      </c>
      <c r="F3261" t="str">
        <f t="shared" si="50"/>
        <v>F255G4T1</v>
      </c>
      <c r="G3261" s="14" t="s">
        <v>323</v>
      </c>
    </row>
    <row r="3262" spans="1:7">
      <c r="A3262">
        <v>25</v>
      </c>
      <c r="B3262">
        <v>6</v>
      </c>
      <c r="C3262">
        <v>4</v>
      </c>
      <c r="E3262">
        <v>1</v>
      </c>
      <c r="F3262" t="str">
        <f t="shared" si="50"/>
        <v>F256G4T1</v>
      </c>
      <c r="G3262" s="14" t="s">
        <v>323</v>
      </c>
    </row>
    <row r="3263" spans="1:7">
      <c r="A3263">
        <v>25</v>
      </c>
      <c r="B3263">
        <v>7</v>
      </c>
      <c r="C3263">
        <v>4</v>
      </c>
      <c r="E3263">
        <v>1</v>
      </c>
      <c r="F3263" t="str">
        <f t="shared" si="50"/>
        <v>F257G4T1</v>
      </c>
      <c r="G3263" s="14" t="s">
        <v>323</v>
      </c>
    </row>
    <row r="3264" spans="1:7">
      <c r="A3264">
        <v>25</v>
      </c>
      <c r="B3264">
        <v>1</v>
      </c>
      <c r="C3264">
        <v>5</v>
      </c>
      <c r="E3264">
        <v>1</v>
      </c>
      <c r="F3264" t="str">
        <f t="shared" si="50"/>
        <v>F251G5T1</v>
      </c>
      <c r="G3264" s="14" t="s">
        <v>323</v>
      </c>
    </row>
    <row r="3265" spans="1:7">
      <c r="A3265">
        <v>25</v>
      </c>
      <c r="B3265">
        <v>2</v>
      </c>
      <c r="C3265">
        <v>5</v>
      </c>
      <c r="E3265">
        <v>1</v>
      </c>
      <c r="F3265" t="str">
        <f t="shared" si="50"/>
        <v>F252G5T1</v>
      </c>
      <c r="G3265" s="14" t="s">
        <v>323</v>
      </c>
    </row>
    <row r="3266" spans="1:7">
      <c r="A3266">
        <v>25</v>
      </c>
      <c r="B3266">
        <v>4</v>
      </c>
      <c r="C3266">
        <v>5</v>
      </c>
      <c r="E3266">
        <v>1</v>
      </c>
      <c r="F3266" t="str">
        <f t="shared" si="50"/>
        <v>F254G5T1</v>
      </c>
      <c r="G3266" s="14" t="s">
        <v>323</v>
      </c>
    </row>
    <row r="3267" spans="1:7">
      <c r="A3267">
        <v>25</v>
      </c>
      <c r="B3267">
        <v>5</v>
      </c>
      <c r="C3267">
        <v>5</v>
      </c>
      <c r="E3267">
        <v>1</v>
      </c>
      <c r="F3267" t="str">
        <f t="shared" ref="F3267:F3330" si="51">CONCATENATE("F",A3267,B3267,"G",C3267,"T",E3267)</f>
        <v>F255G5T1</v>
      </c>
      <c r="G3267" s="14" t="s">
        <v>323</v>
      </c>
    </row>
    <row r="3268" spans="1:7">
      <c r="A3268">
        <v>25</v>
      </c>
      <c r="B3268">
        <v>6</v>
      </c>
      <c r="C3268">
        <v>5</v>
      </c>
      <c r="E3268">
        <v>1</v>
      </c>
      <c r="F3268" t="str">
        <f t="shared" si="51"/>
        <v>F256G5T1</v>
      </c>
      <c r="G3268" s="14" t="s">
        <v>323</v>
      </c>
    </row>
    <row r="3269" spans="1:7">
      <c r="A3269">
        <v>25</v>
      </c>
      <c r="B3269">
        <v>7</v>
      </c>
      <c r="C3269">
        <v>5</v>
      </c>
      <c r="E3269">
        <v>1</v>
      </c>
      <c r="F3269" t="str">
        <f t="shared" si="51"/>
        <v>F257G5T1</v>
      </c>
      <c r="G3269" s="14" t="s">
        <v>323</v>
      </c>
    </row>
    <row r="3270" spans="1:7">
      <c r="A3270">
        <v>25</v>
      </c>
      <c r="B3270">
        <v>1</v>
      </c>
      <c r="C3270">
        <v>3</v>
      </c>
      <c r="E3270">
        <v>4</v>
      </c>
      <c r="F3270" t="str">
        <f t="shared" si="51"/>
        <v>F251G3T4</v>
      </c>
      <c r="G3270" s="14" t="s">
        <v>323</v>
      </c>
    </row>
    <row r="3271" spans="1:7">
      <c r="A3271">
        <v>25</v>
      </c>
      <c r="B3271">
        <v>2</v>
      </c>
      <c r="C3271">
        <v>3</v>
      </c>
      <c r="E3271">
        <v>4</v>
      </c>
      <c r="F3271" t="str">
        <f t="shared" si="51"/>
        <v>F252G3T4</v>
      </c>
      <c r="G3271" s="14" t="s">
        <v>323</v>
      </c>
    </row>
    <row r="3272" spans="1:7">
      <c r="A3272">
        <v>25</v>
      </c>
      <c r="B3272">
        <v>4</v>
      </c>
      <c r="C3272">
        <v>3</v>
      </c>
      <c r="E3272">
        <v>4</v>
      </c>
      <c r="F3272" t="str">
        <f t="shared" si="51"/>
        <v>F254G3T4</v>
      </c>
      <c r="G3272" s="14" t="s">
        <v>323</v>
      </c>
    </row>
    <row r="3273" spans="1:7">
      <c r="A3273">
        <v>25</v>
      </c>
      <c r="B3273">
        <v>5</v>
      </c>
      <c r="C3273">
        <v>3</v>
      </c>
      <c r="E3273">
        <v>4</v>
      </c>
      <c r="F3273" t="str">
        <f t="shared" si="51"/>
        <v>F255G3T4</v>
      </c>
      <c r="G3273" s="14" t="s">
        <v>323</v>
      </c>
    </row>
    <row r="3274" spans="1:7">
      <c r="A3274">
        <v>25</v>
      </c>
      <c r="B3274">
        <v>6</v>
      </c>
      <c r="C3274">
        <v>3</v>
      </c>
      <c r="E3274">
        <v>4</v>
      </c>
      <c r="F3274" t="str">
        <f t="shared" si="51"/>
        <v>F256G3T4</v>
      </c>
      <c r="G3274" s="14" t="s">
        <v>323</v>
      </c>
    </row>
    <row r="3275" spans="1:7">
      <c r="A3275">
        <v>25</v>
      </c>
      <c r="B3275">
        <v>7</v>
      </c>
      <c r="C3275">
        <v>3</v>
      </c>
      <c r="E3275">
        <v>4</v>
      </c>
      <c r="F3275" t="str">
        <f t="shared" si="51"/>
        <v>F257G3T4</v>
      </c>
      <c r="G3275" s="14" t="s">
        <v>323</v>
      </c>
    </row>
    <row r="3276" spans="1:7">
      <c r="A3276">
        <v>25</v>
      </c>
      <c r="B3276">
        <v>1</v>
      </c>
      <c r="C3276">
        <v>4</v>
      </c>
      <c r="E3276">
        <v>4</v>
      </c>
      <c r="F3276" t="str">
        <f t="shared" si="51"/>
        <v>F251G4T4</v>
      </c>
      <c r="G3276" s="14" t="s">
        <v>323</v>
      </c>
    </row>
    <row r="3277" spans="1:7">
      <c r="A3277">
        <v>25</v>
      </c>
      <c r="B3277">
        <v>2</v>
      </c>
      <c r="C3277">
        <v>4</v>
      </c>
      <c r="E3277">
        <v>4</v>
      </c>
      <c r="F3277" t="str">
        <f t="shared" si="51"/>
        <v>F252G4T4</v>
      </c>
      <c r="G3277" s="14" t="s">
        <v>323</v>
      </c>
    </row>
    <row r="3278" spans="1:7">
      <c r="A3278">
        <v>25</v>
      </c>
      <c r="B3278">
        <v>4</v>
      </c>
      <c r="C3278">
        <v>4</v>
      </c>
      <c r="E3278">
        <v>4</v>
      </c>
      <c r="F3278" t="str">
        <f t="shared" si="51"/>
        <v>F254G4T4</v>
      </c>
      <c r="G3278" s="14" t="s">
        <v>323</v>
      </c>
    </row>
    <row r="3279" spans="1:7">
      <c r="A3279">
        <v>25</v>
      </c>
      <c r="B3279">
        <v>5</v>
      </c>
      <c r="C3279">
        <v>4</v>
      </c>
      <c r="E3279">
        <v>4</v>
      </c>
      <c r="F3279" t="str">
        <f t="shared" si="51"/>
        <v>F255G4T4</v>
      </c>
      <c r="G3279" s="14" t="s">
        <v>323</v>
      </c>
    </row>
    <row r="3280" spans="1:7">
      <c r="A3280">
        <v>25</v>
      </c>
      <c r="B3280">
        <v>6</v>
      </c>
      <c r="C3280">
        <v>4</v>
      </c>
      <c r="E3280">
        <v>4</v>
      </c>
      <c r="F3280" t="str">
        <f t="shared" si="51"/>
        <v>F256G4T4</v>
      </c>
      <c r="G3280" s="14" t="s">
        <v>323</v>
      </c>
    </row>
    <row r="3281" spans="1:7">
      <c r="A3281">
        <v>25</v>
      </c>
      <c r="B3281">
        <v>7</v>
      </c>
      <c r="C3281">
        <v>4</v>
      </c>
      <c r="E3281">
        <v>4</v>
      </c>
      <c r="F3281" t="str">
        <f t="shared" si="51"/>
        <v>F257G4T4</v>
      </c>
      <c r="G3281" s="14" t="s">
        <v>323</v>
      </c>
    </row>
    <row r="3282" spans="1:7">
      <c r="A3282">
        <v>25</v>
      </c>
      <c r="B3282">
        <v>1</v>
      </c>
      <c r="C3282">
        <v>5</v>
      </c>
      <c r="E3282">
        <v>4</v>
      </c>
      <c r="F3282" t="str">
        <f t="shared" si="51"/>
        <v>F251G5T4</v>
      </c>
      <c r="G3282" s="14" t="s">
        <v>323</v>
      </c>
    </row>
    <row r="3283" spans="1:7">
      <c r="A3283">
        <v>25</v>
      </c>
      <c r="B3283">
        <v>2</v>
      </c>
      <c r="C3283">
        <v>5</v>
      </c>
      <c r="E3283">
        <v>4</v>
      </c>
      <c r="F3283" t="str">
        <f t="shared" si="51"/>
        <v>F252G5T4</v>
      </c>
      <c r="G3283" s="14" t="s">
        <v>323</v>
      </c>
    </row>
    <row r="3284" spans="1:7">
      <c r="A3284">
        <v>25</v>
      </c>
      <c r="B3284">
        <v>4</v>
      </c>
      <c r="C3284">
        <v>5</v>
      </c>
      <c r="E3284">
        <v>4</v>
      </c>
      <c r="F3284" t="str">
        <f t="shared" si="51"/>
        <v>F254G5T4</v>
      </c>
      <c r="G3284" s="14" t="s">
        <v>323</v>
      </c>
    </row>
    <row r="3285" spans="1:7">
      <c r="A3285">
        <v>25</v>
      </c>
      <c r="B3285">
        <v>5</v>
      </c>
      <c r="C3285">
        <v>5</v>
      </c>
      <c r="E3285">
        <v>4</v>
      </c>
      <c r="F3285" t="str">
        <f t="shared" si="51"/>
        <v>F255G5T4</v>
      </c>
      <c r="G3285" s="14" t="s">
        <v>323</v>
      </c>
    </row>
    <row r="3286" spans="1:7">
      <c r="A3286">
        <v>25</v>
      </c>
      <c r="B3286">
        <v>6</v>
      </c>
      <c r="C3286">
        <v>5</v>
      </c>
      <c r="E3286">
        <v>4</v>
      </c>
      <c r="F3286" t="str">
        <f t="shared" si="51"/>
        <v>F256G5T4</v>
      </c>
      <c r="G3286" s="14" t="s">
        <v>323</v>
      </c>
    </row>
    <row r="3287" spans="1:7">
      <c r="A3287">
        <v>25</v>
      </c>
      <c r="B3287">
        <v>7</v>
      </c>
      <c r="C3287">
        <v>5</v>
      </c>
      <c r="E3287">
        <v>4</v>
      </c>
      <c r="F3287" t="str">
        <f t="shared" si="51"/>
        <v>F257G5T4</v>
      </c>
      <c r="G3287" s="14" t="s">
        <v>323</v>
      </c>
    </row>
    <row r="3288" spans="1:7">
      <c r="A3288">
        <v>36</v>
      </c>
      <c r="B3288">
        <v>1</v>
      </c>
      <c r="C3288">
        <v>3</v>
      </c>
      <c r="E3288">
        <v>1</v>
      </c>
      <c r="F3288" t="str">
        <f t="shared" si="51"/>
        <v>F361G3T1</v>
      </c>
      <c r="G3288" s="14" t="s">
        <v>323</v>
      </c>
    </row>
    <row r="3289" spans="1:7">
      <c r="A3289">
        <v>36</v>
      </c>
      <c r="B3289">
        <v>2</v>
      </c>
      <c r="C3289">
        <v>3</v>
      </c>
      <c r="E3289">
        <v>1</v>
      </c>
      <c r="F3289" t="str">
        <f t="shared" si="51"/>
        <v>F362G3T1</v>
      </c>
      <c r="G3289" s="14" t="s">
        <v>323</v>
      </c>
    </row>
    <row r="3290" spans="1:7">
      <c r="A3290">
        <v>36</v>
      </c>
      <c r="B3290">
        <v>4</v>
      </c>
      <c r="C3290">
        <v>3</v>
      </c>
      <c r="E3290">
        <v>1</v>
      </c>
      <c r="F3290" t="str">
        <f t="shared" si="51"/>
        <v>F364G3T1</v>
      </c>
      <c r="G3290" s="14" t="s">
        <v>323</v>
      </c>
    </row>
    <row r="3291" spans="1:7">
      <c r="A3291">
        <v>36</v>
      </c>
      <c r="B3291">
        <v>5</v>
      </c>
      <c r="C3291">
        <v>3</v>
      </c>
      <c r="E3291">
        <v>1</v>
      </c>
      <c r="F3291" t="str">
        <f t="shared" si="51"/>
        <v>F365G3T1</v>
      </c>
      <c r="G3291" s="14" t="s">
        <v>323</v>
      </c>
    </row>
    <row r="3292" spans="1:7">
      <c r="A3292">
        <v>36</v>
      </c>
      <c r="B3292">
        <v>6</v>
      </c>
      <c r="C3292">
        <v>3</v>
      </c>
      <c r="E3292">
        <v>1</v>
      </c>
      <c r="F3292" t="str">
        <f t="shared" si="51"/>
        <v>F366G3T1</v>
      </c>
      <c r="G3292" s="14" t="s">
        <v>323</v>
      </c>
    </row>
    <row r="3293" spans="1:7">
      <c r="A3293">
        <v>36</v>
      </c>
      <c r="B3293">
        <v>7</v>
      </c>
      <c r="C3293">
        <v>3</v>
      </c>
      <c r="E3293">
        <v>1</v>
      </c>
      <c r="F3293" t="str">
        <f t="shared" si="51"/>
        <v>F367G3T1</v>
      </c>
      <c r="G3293" s="14" t="s">
        <v>323</v>
      </c>
    </row>
    <row r="3294" spans="1:7">
      <c r="A3294">
        <v>36</v>
      </c>
      <c r="B3294">
        <v>1</v>
      </c>
      <c r="C3294">
        <v>4</v>
      </c>
      <c r="E3294">
        <v>1</v>
      </c>
      <c r="F3294" t="str">
        <f t="shared" si="51"/>
        <v>F361G4T1</v>
      </c>
      <c r="G3294" s="14" t="s">
        <v>323</v>
      </c>
    </row>
    <row r="3295" spans="1:7">
      <c r="A3295">
        <v>36</v>
      </c>
      <c r="B3295">
        <v>2</v>
      </c>
      <c r="C3295">
        <v>4</v>
      </c>
      <c r="E3295">
        <v>1</v>
      </c>
      <c r="F3295" t="str">
        <f t="shared" si="51"/>
        <v>F362G4T1</v>
      </c>
      <c r="G3295" s="14" t="s">
        <v>323</v>
      </c>
    </row>
    <row r="3296" spans="1:7">
      <c r="A3296">
        <v>36</v>
      </c>
      <c r="B3296">
        <v>4</v>
      </c>
      <c r="C3296">
        <v>4</v>
      </c>
      <c r="E3296">
        <v>1</v>
      </c>
      <c r="F3296" t="str">
        <f t="shared" si="51"/>
        <v>F364G4T1</v>
      </c>
      <c r="G3296" s="14" t="s">
        <v>323</v>
      </c>
    </row>
    <row r="3297" spans="1:7">
      <c r="A3297">
        <v>36</v>
      </c>
      <c r="B3297">
        <v>5</v>
      </c>
      <c r="C3297">
        <v>4</v>
      </c>
      <c r="E3297">
        <v>1</v>
      </c>
      <c r="F3297" t="str">
        <f t="shared" si="51"/>
        <v>F365G4T1</v>
      </c>
      <c r="G3297" s="14" t="s">
        <v>323</v>
      </c>
    </row>
    <row r="3298" spans="1:7">
      <c r="A3298">
        <v>36</v>
      </c>
      <c r="B3298">
        <v>6</v>
      </c>
      <c r="C3298">
        <v>4</v>
      </c>
      <c r="E3298">
        <v>1</v>
      </c>
      <c r="F3298" t="str">
        <f t="shared" si="51"/>
        <v>F366G4T1</v>
      </c>
      <c r="G3298" s="14" t="s">
        <v>323</v>
      </c>
    </row>
    <row r="3299" spans="1:7">
      <c r="A3299">
        <v>36</v>
      </c>
      <c r="B3299">
        <v>7</v>
      </c>
      <c r="C3299">
        <v>4</v>
      </c>
      <c r="E3299">
        <v>1</v>
      </c>
      <c r="F3299" t="str">
        <f t="shared" si="51"/>
        <v>F367G4T1</v>
      </c>
      <c r="G3299" s="14" t="s">
        <v>323</v>
      </c>
    </row>
    <row r="3300" spans="1:7">
      <c r="A3300">
        <v>36</v>
      </c>
      <c r="B3300">
        <v>1</v>
      </c>
      <c r="C3300">
        <v>5</v>
      </c>
      <c r="E3300">
        <v>1</v>
      </c>
      <c r="F3300" t="str">
        <f t="shared" si="51"/>
        <v>F361G5T1</v>
      </c>
      <c r="G3300" s="14" t="s">
        <v>323</v>
      </c>
    </row>
    <row r="3301" spans="1:7">
      <c r="A3301">
        <v>36</v>
      </c>
      <c r="B3301">
        <v>2</v>
      </c>
      <c r="C3301">
        <v>5</v>
      </c>
      <c r="E3301">
        <v>1</v>
      </c>
      <c r="F3301" t="str">
        <f t="shared" si="51"/>
        <v>F362G5T1</v>
      </c>
      <c r="G3301" s="14" t="s">
        <v>323</v>
      </c>
    </row>
    <row r="3302" spans="1:7">
      <c r="A3302">
        <v>36</v>
      </c>
      <c r="B3302">
        <v>4</v>
      </c>
      <c r="C3302">
        <v>5</v>
      </c>
      <c r="E3302">
        <v>1</v>
      </c>
      <c r="F3302" t="str">
        <f t="shared" si="51"/>
        <v>F364G5T1</v>
      </c>
      <c r="G3302" s="14" t="s">
        <v>323</v>
      </c>
    </row>
    <row r="3303" spans="1:7">
      <c r="A3303">
        <v>36</v>
      </c>
      <c r="B3303">
        <v>5</v>
      </c>
      <c r="C3303">
        <v>5</v>
      </c>
      <c r="E3303">
        <v>1</v>
      </c>
      <c r="F3303" t="str">
        <f t="shared" si="51"/>
        <v>F365G5T1</v>
      </c>
      <c r="G3303" s="14" t="s">
        <v>323</v>
      </c>
    </row>
    <row r="3304" spans="1:7">
      <c r="A3304">
        <v>36</v>
      </c>
      <c r="B3304">
        <v>6</v>
      </c>
      <c r="C3304">
        <v>5</v>
      </c>
      <c r="E3304">
        <v>1</v>
      </c>
      <c r="F3304" t="str">
        <f t="shared" si="51"/>
        <v>F366G5T1</v>
      </c>
      <c r="G3304" s="14" t="s">
        <v>323</v>
      </c>
    </row>
    <row r="3305" spans="1:7">
      <c r="A3305">
        <v>36</v>
      </c>
      <c r="B3305">
        <v>7</v>
      </c>
      <c r="C3305">
        <v>5</v>
      </c>
      <c r="E3305">
        <v>1</v>
      </c>
      <c r="F3305" t="str">
        <f t="shared" si="51"/>
        <v>F367G5T1</v>
      </c>
      <c r="G3305" s="14" t="s">
        <v>323</v>
      </c>
    </row>
    <row r="3306" spans="1:7">
      <c r="A3306">
        <v>36</v>
      </c>
      <c r="B3306">
        <v>1</v>
      </c>
      <c r="C3306">
        <v>3</v>
      </c>
      <c r="E3306">
        <v>4</v>
      </c>
      <c r="F3306" t="str">
        <f t="shared" si="51"/>
        <v>F361G3T4</v>
      </c>
      <c r="G3306" s="14" t="s">
        <v>323</v>
      </c>
    </row>
    <row r="3307" spans="1:7">
      <c r="A3307">
        <v>36</v>
      </c>
      <c r="B3307">
        <v>2</v>
      </c>
      <c r="C3307">
        <v>3</v>
      </c>
      <c r="E3307">
        <v>4</v>
      </c>
      <c r="F3307" t="str">
        <f t="shared" si="51"/>
        <v>F362G3T4</v>
      </c>
      <c r="G3307" s="14" t="s">
        <v>323</v>
      </c>
    </row>
    <row r="3308" spans="1:7">
      <c r="A3308">
        <v>36</v>
      </c>
      <c r="B3308">
        <v>4</v>
      </c>
      <c r="C3308">
        <v>3</v>
      </c>
      <c r="E3308">
        <v>4</v>
      </c>
      <c r="F3308" t="str">
        <f t="shared" si="51"/>
        <v>F364G3T4</v>
      </c>
      <c r="G3308" s="14" t="s">
        <v>323</v>
      </c>
    </row>
    <row r="3309" spans="1:7">
      <c r="A3309">
        <v>36</v>
      </c>
      <c r="B3309">
        <v>5</v>
      </c>
      <c r="C3309">
        <v>3</v>
      </c>
      <c r="E3309">
        <v>4</v>
      </c>
      <c r="F3309" t="str">
        <f t="shared" si="51"/>
        <v>F365G3T4</v>
      </c>
      <c r="G3309" s="14" t="s">
        <v>323</v>
      </c>
    </row>
    <row r="3310" spans="1:7">
      <c r="A3310">
        <v>36</v>
      </c>
      <c r="B3310">
        <v>6</v>
      </c>
      <c r="C3310">
        <v>3</v>
      </c>
      <c r="E3310">
        <v>4</v>
      </c>
      <c r="F3310" t="str">
        <f t="shared" si="51"/>
        <v>F366G3T4</v>
      </c>
      <c r="G3310" s="14" t="s">
        <v>323</v>
      </c>
    </row>
    <row r="3311" spans="1:7">
      <c r="A3311">
        <v>36</v>
      </c>
      <c r="B3311">
        <v>7</v>
      </c>
      <c r="C3311">
        <v>3</v>
      </c>
      <c r="E3311">
        <v>4</v>
      </c>
      <c r="F3311" t="str">
        <f t="shared" si="51"/>
        <v>F367G3T4</v>
      </c>
      <c r="G3311" s="14" t="s">
        <v>323</v>
      </c>
    </row>
    <row r="3312" spans="1:7">
      <c r="A3312">
        <v>36</v>
      </c>
      <c r="B3312">
        <v>1</v>
      </c>
      <c r="C3312">
        <v>4</v>
      </c>
      <c r="E3312">
        <v>4</v>
      </c>
      <c r="F3312" t="str">
        <f t="shared" si="51"/>
        <v>F361G4T4</v>
      </c>
      <c r="G3312" s="14" t="s">
        <v>323</v>
      </c>
    </row>
    <row r="3313" spans="1:7">
      <c r="A3313">
        <v>36</v>
      </c>
      <c r="B3313">
        <v>2</v>
      </c>
      <c r="C3313">
        <v>4</v>
      </c>
      <c r="E3313">
        <v>4</v>
      </c>
      <c r="F3313" t="str">
        <f t="shared" si="51"/>
        <v>F362G4T4</v>
      </c>
      <c r="G3313" s="14" t="s">
        <v>323</v>
      </c>
    </row>
    <row r="3314" spans="1:7">
      <c r="A3314">
        <v>36</v>
      </c>
      <c r="B3314">
        <v>4</v>
      </c>
      <c r="C3314">
        <v>4</v>
      </c>
      <c r="E3314">
        <v>4</v>
      </c>
      <c r="F3314" t="str">
        <f t="shared" si="51"/>
        <v>F364G4T4</v>
      </c>
      <c r="G3314" s="14" t="s">
        <v>323</v>
      </c>
    </row>
    <row r="3315" spans="1:7">
      <c r="A3315">
        <v>36</v>
      </c>
      <c r="B3315">
        <v>5</v>
      </c>
      <c r="C3315">
        <v>4</v>
      </c>
      <c r="E3315">
        <v>4</v>
      </c>
      <c r="F3315" t="str">
        <f t="shared" si="51"/>
        <v>F365G4T4</v>
      </c>
      <c r="G3315" s="14" t="s">
        <v>323</v>
      </c>
    </row>
    <row r="3316" spans="1:7">
      <c r="A3316">
        <v>36</v>
      </c>
      <c r="B3316">
        <v>6</v>
      </c>
      <c r="C3316">
        <v>4</v>
      </c>
      <c r="E3316">
        <v>4</v>
      </c>
      <c r="F3316" t="str">
        <f t="shared" si="51"/>
        <v>F366G4T4</v>
      </c>
      <c r="G3316" s="14" t="s">
        <v>323</v>
      </c>
    </row>
    <row r="3317" spans="1:7">
      <c r="A3317">
        <v>36</v>
      </c>
      <c r="B3317">
        <v>7</v>
      </c>
      <c r="C3317">
        <v>4</v>
      </c>
      <c r="E3317">
        <v>4</v>
      </c>
      <c r="F3317" t="str">
        <f t="shared" si="51"/>
        <v>F367G4T4</v>
      </c>
      <c r="G3317" s="14" t="s">
        <v>323</v>
      </c>
    </row>
    <row r="3318" spans="1:7">
      <c r="A3318">
        <v>36</v>
      </c>
      <c r="B3318">
        <v>1</v>
      </c>
      <c r="C3318">
        <v>5</v>
      </c>
      <c r="E3318">
        <v>4</v>
      </c>
      <c r="F3318" t="str">
        <f t="shared" si="51"/>
        <v>F361G5T4</v>
      </c>
      <c r="G3318" s="14" t="s">
        <v>323</v>
      </c>
    </row>
    <row r="3319" spans="1:7">
      <c r="A3319">
        <v>36</v>
      </c>
      <c r="B3319">
        <v>2</v>
      </c>
      <c r="C3319">
        <v>5</v>
      </c>
      <c r="E3319">
        <v>4</v>
      </c>
      <c r="F3319" t="str">
        <f t="shared" si="51"/>
        <v>F362G5T4</v>
      </c>
      <c r="G3319" s="14" t="s">
        <v>323</v>
      </c>
    </row>
    <row r="3320" spans="1:7">
      <c r="A3320">
        <v>36</v>
      </c>
      <c r="B3320">
        <v>4</v>
      </c>
      <c r="C3320">
        <v>5</v>
      </c>
      <c r="E3320">
        <v>4</v>
      </c>
      <c r="F3320" t="str">
        <f t="shared" si="51"/>
        <v>F364G5T4</v>
      </c>
      <c r="G3320" s="14" t="s">
        <v>323</v>
      </c>
    </row>
    <row r="3321" spans="1:7">
      <c r="A3321">
        <v>36</v>
      </c>
      <c r="B3321">
        <v>5</v>
      </c>
      <c r="C3321">
        <v>5</v>
      </c>
      <c r="E3321">
        <v>4</v>
      </c>
      <c r="F3321" t="str">
        <f t="shared" si="51"/>
        <v>F365G5T4</v>
      </c>
      <c r="G3321" s="14" t="s">
        <v>323</v>
      </c>
    </row>
    <row r="3322" spans="1:7">
      <c r="A3322">
        <v>36</v>
      </c>
      <c r="B3322">
        <v>6</v>
      </c>
      <c r="C3322">
        <v>5</v>
      </c>
      <c r="E3322">
        <v>4</v>
      </c>
      <c r="F3322" t="str">
        <f t="shared" si="51"/>
        <v>F366G5T4</v>
      </c>
      <c r="G3322" s="14" t="s">
        <v>323</v>
      </c>
    </row>
    <row r="3323" spans="1:7">
      <c r="A3323">
        <v>36</v>
      </c>
      <c r="B3323">
        <v>7</v>
      </c>
      <c r="C3323">
        <v>5</v>
      </c>
      <c r="E3323">
        <v>4</v>
      </c>
      <c r="F3323" t="str">
        <f t="shared" si="51"/>
        <v>F367G5T4</v>
      </c>
      <c r="G3323" s="14" t="s">
        <v>323</v>
      </c>
    </row>
    <row r="3324" spans="1:7">
      <c r="A3324">
        <v>38</v>
      </c>
      <c r="B3324">
        <v>1</v>
      </c>
      <c r="C3324">
        <v>3</v>
      </c>
      <c r="E3324">
        <v>1</v>
      </c>
      <c r="F3324" t="str">
        <f t="shared" si="51"/>
        <v>F381G3T1</v>
      </c>
      <c r="G3324" s="14" t="s">
        <v>323</v>
      </c>
    </row>
    <row r="3325" spans="1:7">
      <c r="A3325">
        <v>38</v>
      </c>
      <c r="B3325">
        <v>2</v>
      </c>
      <c r="C3325">
        <v>3</v>
      </c>
      <c r="E3325">
        <v>1</v>
      </c>
      <c r="F3325" t="str">
        <f t="shared" si="51"/>
        <v>F382G3T1</v>
      </c>
      <c r="G3325" s="14" t="s">
        <v>323</v>
      </c>
    </row>
    <row r="3326" spans="1:7">
      <c r="A3326">
        <v>38</v>
      </c>
      <c r="B3326">
        <v>4</v>
      </c>
      <c r="C3326">
        <v>3</v>
      </c>
      <c r="E3326">
        <v>1</v>
      </c>
      <c r="F3326" t="str">
        <f t="shared" si="51"/>
        <v>F384G3T1</v>
      </c>
      <c r="G3326" s="14" t="s">
        <v>323</v>
      </c>
    </row>
    <row r="3327" spans="1:7">
      <c r="A3327">
        <v>38</v>
      </c>
      <c r="B3327">
        <v>5</v>
      </c>
      <c r="C3327">
        <v>3</v>
      </c>
      <c r="E3327">
        <v>1</v>
      </c>
      <c r="F3327" t="str">
        <f t="shared" si="51"/>
        <v>F385G3T1</v>
      </c>
      <c r="G3327" s="14" t="s">
        <v>323</v>
      </c>
    </row>
    <row r="3328" spans="1:7">
      <c r="A3328">
        <v>38</v>
      </c>
      <c r="B3328">
        <v>6</v>
      </c>
      <c r="C3328">
        <v>3</v>
      </c>
      <c r="E3328">
        <v>1</v>
      </c>
      <c r="F3328" t="str">
        <f t="shared" si="51"/>
        <v>F386G3T1</v>
      </c>
      <c r="G3328" s="14" t="s">
        <v>323</v>
      </c>
    </row>
    <row r="3329" spans="1:7">
      <c r="A3329">
        <v>38</v>
      </c>
      <c r="B3329">
        <v>7</v>
      </c>
      <c r="C3329">
        <v>3</v>
      </c>
      <c r="E3329">
        <v>1</v>
      </c>
      <c r="F3329" t="str">
        <f t="shared" si="51"/>
        <v>F387G3T1</v>
      </c>
      <c r="G3329" s="14" t="s">
        <v>323</v>
      </c>
    </row>
    <row r="3330" spans="1:7">
      <c r="A3330">
        <v>38</v>
      </c>
      <c r="B3330">
        <v>1</v>
      </c>
      <c r="C3330">
        <v>4</v>
      </c>
      <c r="E3330">
        <v>1</v>
      </c>
      <c r="F3330" t="str">
        <f t="shared" si="51"/>
        <v>F381G4T1</v>
      </c>
      <c r="G3330" s="14" t="s">
        <v>323</v>
      </c>
    </row>
    <row r="3331" spans="1:7">
      <c r="A3331">
        <v>38</v>
      </c>
      <c r="B3331">
        <v>2</v>
      </c>
      <c r="C3331">
        <v>4</v>
      </c>
      <c r="E3331">
        <v>1</v>
      </c>
      <c r="F3331" t="str">
        <f t="shared" ref="F3331:F3394" si="52">CONCATENATE("F",A3331,B3331,"G",C3331,"T",E3331)</f>
        <v>F382G4T1</v>
      </c>
      <c r="G3331" s="14" t="s">
        <v>323</v>
      </c>
    </row>
    <row r="3332" spans="1:7">
      <c r="A3332">
        <v>38</v>
      </c>
      <c r="B3332">
        <v>4</v>
      </c>
      <c r="C3332">
        <v>4</v>
      </c>
      <c r="E3332">
        <v>1</v>
      </c>
      <c r="F3332" t="str">
        <f t="shared" si="52"/>
        <v>F384G4T1</v>
      </c>
      <c r="G3332" s="14" t="s">
        <v>323</v>
      </c>
    </row>
    <row r="3333" spans="1:7">
      <c r="A3333">
        <v>38</v>
      </c>
      <c r="B3333">
        <v>5</v>
      </c>
      <c r="C3333">
        <v>4</v>
      </c>
      <c r="E3333">
        <v>1</v>
      </c>
      <c r="F3333" t="str">
        <f t="shared" si="52"/>
        <v>F385G4T1</v>
      </c>
      <c r="G3333" s="14" t="s">
        <v>323</v>
      </c>
    </row>
    <row r="3334" spans="1:7">
      <c r="A3334">
        <v>38</v>
      </c>
      <c r="B3334">
        <v>6</v>
      </c>
      <c r="C3334">
        <v>4</v>
      </c>
      <c r="E3334">
        <v>1</v>
      </c>
      <c r="F3334" t="str">
        <f t="shared" si="52"/>
        <v>F386G4T1</v>
      </c>
      <c r="G3334" s="14" t="s">
        <v>323</v>
      </c>
    </row>
    <row r="3335" spans="1:7">
      <c r="A3335">
        <v>38</v>
      </c>
      <c r="B3335">
        <v>7</v>
      </c>
      <c r="C3335">
        <v>4</v>
      </c>
      <c r="E3335">
        <v>1</v>
      </c>
      <c r="F3335" t="str">
        <f t="shared" si="52"/>
        <v>F387G4T1</v>
      </c>
      <c r="G3335" s="14" t="s">
        <v>323</v>
      </c>
    </row>
    <row r="3336" spans="1:7">
      <c r="A3336">
        <v>38</v>
      </c>
      <c r="B3336">
        <v>1</v>
      </c>
      <c r="C3336">
        <v>5</v>
      </c>
      <c r="E3336">
        <v>1</v>
      </c>
      <c r="F3336" t="str">
        <f t="shared" si="52"/>
        <v>F381G5T1</v>
      </c>
      <c r="G3336" s="14" t="s">
        <v>323</v>
      </c>
    </row>
    <row r="3337" spans="1:7">
      <c r="A3337">
        <v>38</v>
      </c>
      <c r="B3337">
        <v>2</v>
      </c>
      <c r="C3337">
        <v>5</v>
      </c>
      <c r="E3337">
        <v>1</v>
      </c>
      <c r="F3337" t="str">
        <f t="shared" si="52"/>
        <v>F382G5T1</v>
      </c>
      <c r="G3337" s="14" t="s">
        <v>323</v>
      </c>
    </row>
    <row r="3338" spans="1:7">
      <c r="A3338">
        <v>38</v>
      </c>
      <c r="B3338">
        <v>4</v>
      </c>
      <c r="C3338">
        <v>5</v>
      </c>
      <c r="E3338">
        <v>1</v>
      </c>
      <c r="F3338" t="str">
        <f t="shared" si="52"/>
        <v>F384G5T1</v>
      </c>
      <c r="G3338" s="14" t="s">
        <v>323</v>
      </c>
    </row>
    <row r="3339" spans="1:7">
      <c r="A3339">
        <v>38</v>
      </c>
      <c r="B3339">
        <v>5</v>
      </c>
      <c r="C3339">
        <v>5</v>
      </c>
      <c r="E3339">
        <v>1</v>
      </c>
      <c r="F3339" t="str">
        <f t="shared" si="52"/>
        <v>F385G5T1</v>
      </c>
      <c r="G3339" s="14" t="s">
        <v>323</v>
      </c>
    </row>
    <row r="3340" spans="1:7">
      <c r="A3340">
        <v>38</v>
      </c>
      <c r="B3340">
        <v>6</v>
      </c>
      <c r="C3340">
        <v>5</v>
      </c>
      <c r="E3340">
        <v>1</v>
      </c>
      <c r="F3340" t="str">
        <f t="shared" si="52"/>
        <v>F386G5T1</v>
      </c>
      <c r="G3340" s="14" t="s">
        <v>323</v>
      </c>
    </row>
    <row r="3341" spans="1:7">
      <c r="A3341">
        <v>38</v>
      </c>
      <c r="B3341">
        <v>7</v>
      </c>
      <c r="C3341">
        <v>5</v>
      </c>
      <c r="E3341">
        <v>1</v>
      </c>
      <c r="F3341" t="str">
        <f t="shared" si="52"/>
        <v>F387G5T1</v>
      </c>
      <c r="G3341" s="14" t="s">
        <v>323</v>
      </c>
    </row>
    <row r="3342" spans="1:7">
      <c r="A3342">
        <v>38</v>
      </c>
      <c r="B3342">
        <v>1</v>
      </c>
      <c r="C3342">
        <v>3</v>
      </c>
      <c r="E3342">
        <v>4</v>
      </c>
      <c r="F3342" t="str">
        <f t="shared" si="52"/>
        <v>F381G3T4</v>
      </c>
      <c r="G3342" s="14" t="s">
        <v>323</v>
      </c>
    </row>
    <row r="3343" spans="1:7">
      <c r="A3343">
        <v>38</v>
      </c>
      <c r="B3343">
        <v>2</v>
      </c>
      <c r="C3343">
        <v>3</v>
      </c>
      <c r="E3343">
        <v>4</v>
      </c>
      <c r="F3343" t="str">
        <f t="shared" si="52"/>
        <v>F382G3T4</v>
      </c>
      <c r="G3343" s="14" t="s">
        <v>323</v>
      </c>
    </row>
    <row r="3344" spans="1:7">
      <c r="A3344">
        <v>38</v>
      </c>
      <c r="B3344">
        <v>4</v>
      </c>
      <c r="C3344">
        <v>3</v>
      </c>
      <c r="E3344">
        <v>4</v>
      </c>
      <c r="F3344" t="str">
        <f t="shared" si="52"/>
        <v>F384G3T4</v>
      </c>
      <c r="G3344" s="14" t="s">
        <v>323</v>
      </c>
    </row>
    <row r="3345" spans="1:7">
      <c r="A3345">
        <v>38</v>
      </c>
      <c r="B3345">
        <v>5</v>
      </c>
      <c r="C3345">
        <v>3</v>
      </c>
      <c r="E3345">
        <v>4</v>
      </c>
      <c r="F3345" t="str">
        <f t="shared" si="52"/>
        <v>F385G3T4</v>
      </c>
      <c r="G3345" s="14" t="s">
        <v>323</v>
      </c>
    </row>
    <row r="3346" spans="1:7">
      <c r="A3346">
        <v>38</v>
      </c>
      <c r="B3346">
        <v>6</v>
      </c>
      <c r="C3346">
        <v>3</v>
      </c>
      <c r="E3346">
        <v>4</v>
      </c>
      <c r="F3346" t="str">
        <f t="shared" si="52"/>
        <v>F386G3T4</v>
      </c>
      <c r="G3346" s="14" t="s">
        <v>323</v>
      </c>
    </row>
    <row r="3347" spans="1:7">
      <c r="A3347">
        <v>38</v>
      </c>
      <c r="B3347">
        <v>7</v>
      </c>
      <c r="C3347">
        <v>3</v>
      </c>
      <c r="E3347">
        <v>4</v>
      </c>
      <c r="F3347" t="str">
        <f t="shared" si="52"/>
        <v>F387G3T4</v>
      </c>
      <c r="G3347" s="14" t="s">
        <v>323</v>
      </c>
    </row>
    <row r="3348" spans="1:7">
      <c r="A3348">
        <v>38</v>
      </c>
      <c r="B3348">
        <v>1</v>
      </c>
      <c r="C3348">
        <v>4</v>
      </c>
      <c r="E3348">
        <v>4</v>
      </c>
      <c r="F3348" t="str">
        <f t="shared" si="52"/>
        <v>F381G4T4</v>
      </c>
      <c r="G3348" s="14" t="s">
        <v>323</v>
      </c>
    </row>
    <row r="3349" spans="1:7">
      <c r="A3349">
        <v>38</v>
      </c>
      <c r="B3349">
        <v>2</v>
      </c>
      <c r="C3349">
        <v>4</v>
      </c>
      <c r="E3349">
        <v>4</v>
      </c>
      <c r="F3349" t="str">
        <f t="shared" si="52"/>
        <v>F382G4T4</v>
      </c>
      <c r="G3349" s="14" t="s">
        <v>323</v>
      </c>
    </row>
    <row r="3350" spans="1:7">
      <c r="A3350">
        <v>38</v>
      </c>
      <c r="B3350">
        <v>4</v>
      </c>
      <c r="C3350">
        <v>4</v>
      </c>
      <c r="E3350">
        <v>4</v>
      </c>
      <c r="F3350" t="str">
        <f t="shared" si="52"/>
        <v>F384G4T4</v>
      </c>
      <c r="G3350" s="14" t="s">
        <v>323</v>
      </c>
    </row>
    <row r="3351" spans="1:7">
      <c r="A3351">
        <v>38</v>
      </c>
      <c r="B3351">
        <v>5</v>
      </c>
      <c r="C3351">
        <v>4</v>
      </c>
      <c r="E3351">
        <v>4</v>
      </c>
      <c r="F3351" t="str">
        <f t="shared" si="52"/>
        <v>F385G4T4</v>
      </c>
      <c r="G3351" s="14" t="s">
        <v>323</v>
      </c>
    </row>
    <row r="3352" spans="1:7">
      <c r="A3352">
        <v>38</v>
      </c>
      <c r="B3352">
        <v>6</v>
      </c>
      <c r="C3352">
        <v>4</v>
      </c>
      <c r="E3352">
        <v>4</v>
      </c>
      <c r="F3352" t="str">
        <f t="shared" si="52"/>
        <v>F386G4T4</v>
      </c>
      <c r="G3352" s="14" t="s">
        <v>323</v>
      </c>
    </row>
    <row r="3353" spans="1:7">
      <c r="A3353">
        <v>38</v>
      </c>
      <c r="B3353">
        <v>7</v>
      </c>
      <c r="C3353">
        <v>4</v>
      </c>
      <c r="E3353">
        <v>4</v>
      </c>
      <c r="F3353" t="str">
        <f t="shared" si="52"/>
        <v>F387G4T4</v>
      </c>
      <c r="G3353" s="14" t="s">
        <v>323</v>
      </c>
    </row>
    <row r="3354" spans="1:7">
      <c r="A3354">
        <v>38</v>
      </c>
      <c r="B3354">
        <v>1</v>
      </c>
      <c r="C3354">
        <v>5</v>
      </c>
      <c r="E3354">
        <v>4</v>
      </c>
      <c r="F3354" t="str">
        <f t="shared" si="52"/>
        <v>F381G5T4</v>
      </c>
      <c r="G3354" s="14" t="s">
        <v>323</v>
      </c>
    </row>
    <row r="3355" spans="1:7">
      <c r="A3355">
        <v>38</v>
      </c>
      <c r="B3355">
        <v>2</v>
      </c>
      <c r="C3355">
        <v>5</v>
      </c>
      <c r="E3355">
        <v>4</v>
      </c>
      <c r="F3355" t="str">
        <f t="shared" si="52"/>
        <v>F382G5T4</v>
      </c>
      <c r="G3355" s="14" t="s">
        <v>323</v>
      </c>
    </row>
    <row r="3356" spans="1:7">
      <c r="A3356">
        <v>38</v>
      </c>
      <c r="B3356">
        <v>4</v>
      </c>
      <c r="C3356">
        <v>5</v>
      </c>
      <c r="E3356">
        <v>4</v>
      </c>
      <c r="F3356" t="str">
        <f t="shared" si="52"/>
        <v>F384G5T4</v>
      </c>
      <c r="G3356" s="14" t="s">
        <v>323</v>
      </c>
    </row>
    <row r="3357" spans="1:7">
      <c r="A3357">
        <v>38</v>
      </c>
      <c r="B3357">
        <v>5</v>
      </c>
      <c r="C3357">
        <v>5</v>
      </c>
      <c r="E3357">
        <v>4</v>
      </c>
      <c r="F3357" t="str">
        <f t="shared" si="52"/>
        <v>F385G5T4</v>
      </c>
      <c r="G3357" s="14" t="s">
        <v>323</v>
      </c>
    </row>
    <row r="3358" spans="1:7">
      <c r="A3358">
        <v>38</v>
      </c>
      <c r="B3358">
        <v>6</v>
      </c>
      <c r="C3358">
        <v>5</v>
      </c>
      <c r="E3358">
        <v>4</v>
      </c>
      <c r="F3358" t="str">
        <f t="shared" si="52"/>
        <v>F386G5T4</v>
      </c>
      <c r="G3358" s="14" t="s">
        <v>323</v>
      </c>
    </row>
    <row r="3359" spans="1:7">
      <c r="A3359">
        <v>38</v>
      </c>
      <c r="B3359">
        <v>7</v>
      </c>
      <c r="C3359">
        <v>5</v>
      </c>
      <c r="E3359">
        <v>4</v>
      </c>
      <c r="F3359" t="str">
        <f t="shared" si="52"/>
        <v>F387G5T4</v>
      </c>
      <c r="G3359" s="14" t="s">
        <v>323</v>
      </c>
    </row>
    <row r="3360" spans="1:7">
      <c r="A3360">
        <v>42</v>
      </c>
      <c r="B3360">
        <v>1</v>
      </c>
      <c r="C3360">
        <v>3</v>
      </c>
      <c r="E3360">
        <v>1</v>
      </c>
      <c r="F3360" t="str">
        <f t="shared" si="52"/>
        <v>F421G3T1</v>
      </c>
      <c r="G3360" s="14" t="s">
        <v>323</v>
      </c>
    </row>
    <row r="3361" spans="1:7">
      <c r="A3361">
        <v>42</v>
      </c>
      <c r="B3361">
        <v>2</v>
      </c>
      <c r="C3361">
        <v>3</v>
      </c>
      <c r="E3361">
        <v>1</v>
      </c>
      <c r="F3361" t="str">
        <f t="shared" si="52"/>
        <v>F422G3T1</v>
      </c>
      <c r="G3361" s="14" t="s">
        <v>323</v>
      </c>
    </row>
    <row r="3362" spans="1:7">
      <c r="A3362">
        <v>42</v>
      </c>
      <c r="B3362">
        <v>4</v>
      </c>
      <c r="C3362">
        <v>3</v>
      </c>
      <c r="E3362">
        <v>1</v>
      </c>
      <c r="F3362" t="str">
        <f t="shared" si="52"/>
        <v>F424G3T1</v>
      </c>
      <c r="G3362" s="14" t="s">
        <v>323</v>
      </c>
    </row>
    <row r="3363" spans="1:7">
      <c r="A3363">
        <v>42</v>
      </c>
      <c r="B3363">
        <v>5</v>
      </c>
      <c r="C3363">
        <v>3</v>
      </c>
      <c r="E3363">
        <v>1</v>
      </c>
      <c r="F3363" t="str">
        <f t="shared" si="52"/>
        <v>F425G3T1</v>
      </c>
      <c r="G3363" s="14" t="s">
        <v>323</v>
      </c>
    </row>
    <row r="3364" spans="1:7">
      <c r="A3364">
        <v>42</v>
      </c>
      <c r="B3364">
        <v>6</v>
      </c>
      <c r="C3364">
        <v>3</v>
      </c>
      <c r="E3364">
        <v>1</v>
      </c>
      <c r="F3364" t="str">
        <f t="shared" si="52"/>
        <v>F426G3T1</v>
      </c>
      <c r="G3364" s="14" t="s">
        <v>323</v>
      </c>
    </row>
    <row r="3365" spans="1:7">
      <c r="A3365">
        <v>42</v>
      </c>
      <c r="B3365">
        <v>7</v>
      </c>
      <c r="C3365">
        <v>3</v>
      </c>
      <c r="E3365">
        <v>1</v>
      </c>
      <c r="F3365" t="str">
        <f t="shared" si="52"/>
        <v>F427G3T1</v>
      </c>
      <c r="G3365" s="14" t="s">
        <v>323</v>
      </c>
    </row>
    <row r="3366" spans="1:7">
      <c r="A3366">
        <v>42</v>
      </c>
      <c r="B3366">
        <v>1</v>
      </c>
      <c r="C3366">
        <v>4</v>
      </c>
      <c r="E3366">
        <v>1</v>
      </c>
      <c r="F3366" t="str">
        <f t="shared" si="52"/>
        <v>F421G4T1</v>
      </c>
      <c r="G3366" s="14" t="s">
        <v>323</v>
      </c>
    </row>
    <row r="3367" spans="1:7">
      <c r="A3367">
        <v>42</v>
      </c>
      <c r="B3367">
        <v>2</v>
      </c>
      <c r="C3367">
        <v>4</v>
      </c>
      <c r="E3367">
        <v>1</v>
      </c>
      <c r="F3367" t="str">
        <f t="shared" si="52"/>
        <v>F422G4T1</v>
      </c>
      <c r="G3367" s="14" t="s">
        <v>323</v>
      </c>
    </row>
    <row r="3368" spans="1:7">
      <c r="A3368">
        <v>42</v>
      </c>
      <c r="B3368">
        <v>4</v>
      </c>
      <c r="C3368">
        <v>4</v>
      </c>
      <c r="E3368">
        <v>1</v>
      </c>
      <c r="F3368" t="str">
        <f t="shared" si="52"/>
        <v>F424G4T1</v>
      </c>
      <c r="G3368" s="14" t="s">
        <v>323</v>
      </c>
    </row>
    <row r="3369" spans="1:7">
      <c r="A3369">
        <v>42</v>
      </c>
      <c r="B3369">
        <v>5</v>
      </c>
      <c r="C3369">
        <v>4</v>
      </c>
      <c r="E3369">
        <v>1</v>
      </c>
      <c r="F3369" t="str">
        <f t="shared" si="52"/>
        <v>F425G4T1</v>
      </c>
      <c r="G3369" s="14" t="s">
        <v>323</v>
      </c>
    </row>
    <row r="3370" spans="1:7">
      <c r="A3370">
        <v>42</v>
      </c>
      <c r="B3370">
        <v>6</v>
      </c>
      <c r="C3370">
        <v>4</v>
      </c>
      <c r="E3370">
        <v>1</v>
      </c>
      <c r="F3370" t="str">
        <f t="shared" si="52"/>
        <v>F426G4T1</v>
      </c>
      <c r="G3370" s="14" t="s">
        <v>323</v>
      </c>
    </row>
    <row r="3371" spans="1:7">
      <c r="A3371">
        <v>42</v>
      </c>
      <c r="B3371">
        <v>7</v>
      </c>
      <c r="C3371">
        <v>4</v>
      </c>
      <c r="E3371">
        <v>1</v>
      </c>
      <c r="F3371" t="str">
        <f t="shared" si="52"/>
        <v>F427G4T1</v>
      </c>
      <c r="G3371" s="14" t="s">
        <v>323</v>
      </c>
    </row>
    <row r="3372" spans="1:7">
      <c r="A3372">
        <v>42</v>
      </c>
      <c r="B3372">
        <v>1</v>
      </c>
      <c r="C3372">
        <v>5</v>
      </c>
      <c r="E3372">
        <v>1</v>
      </c>
      <c r="F3372" t="str">
        <f t="shared" si="52"/>
        <v>F421G5T1</v>
      </c>
      <c r="G3372" s="14" t="s">
        <v>323</v>
      </c>
    </row>
    <row r="3373" spans="1:7">
      <c r="A3373">
        <v>42</v>
      </c>
      <c r="B3373">
        <v>2</v>
      </c>
      <c r="C3373">
        <v>5</v>
      </c>
      <c r="E3373">
        <v>1</v>
      </c>
      <c r="F3373" t="str">
        <f t="shared" si="52"/>
        <v>F422G5T1</v>
      </c>
      <c r="G3373" s="14" t="s">
        <v>323</v>
      </c>
    </row>
    <row r="3374" spans="1:7">
      <c r="A3374">
        <v>42</v>
      </c>
      <c r="B3374">
        <v>4</v>
      </c>
      <c r="C3374">
        <v>5</v>
      </c>
      <c r="E3374">
        <v>1</v>
      </c>
      <c r="F3374" t="str">
        <f t="shared" si="52"/>
        <v>F424G5T1</v>
      </c>
      <c r="G3374" s="14" t="s">
        <v>323</v>
      </c>
    </row>
    <row r="3375" spans="1:7">
      <c r="A3375">
        <v>42</v>
      </c>
      <c r="B3375">
        <v>5</v>
      </c>
      <c r="C3375">
        <v>5</v>
      </c>
      <c r="E3375">
        <v>1</v>
      </c>
      <c r="F3375" t="str">
        <f t="shared" si="52"/>
        <v>F425G5T1</v>
      </c>
      <c r="G3375" s="14" t="s">
        <v>323</v>
      </c>
    </row>
    <row r="3376" spans="1:7">
      <c r="A3376">
        <v>42</v>
      </c>
      <c r="B3376">
        <v>6</v>
      </c>
      <c r="C3376">
        <v>5</v>
      </c>
      <c r="E3376">
        <v>1</v>
      </c>
      <c r="F3376" t="str">
        <f t="shared" si="52"/>
        <v>F426G5T1</v>
      </c>
      <c r="G3376" s="14" t="s">
        <v>323</v>
      </c>
    </row>
    <row r="3377" spans="1:7">
      <c r="A3377">
        <v>42</v>
      </c>
      <c r="B3377">
        <v>7</v>
      </c>
      <c r="C3377">
        <v>5</v>
      </c>
      <c r="E3377">
        <v>1</v>
      </c>
      <c r="F3377" t="str">
        <f t="shared" si="52"/>
        <v>F427G5T1</v>
      </c>
      <c r="G3377" s="14" t="s">
        <v>323</v>
      </c>
    </row>
    <row r="3378" spans="1:7">
      <c r="A3378">
        <v>42</v>
      </c>
      <c r="B3378">
        <v>1</v>
      </c>
      <c r="C3378">
        <v>3</v>
      </c>
      <c r="E3378">
        <v>4</v>
      </c>
      <c r="F3378" t="str">
        <f t="shared" si="52"/>
        <v>F421G3T4</v>
      </c>
      <c r="G3378" s="14" t="s">
        <v>323</v>
      </c>
    </row>
    <row r="3379" spans="1:7">
      <c r="A3379">
        <v>42</v>
      </c>
      <c r="B3379">
        <v>2</v>
      </c>
      <c r="C3379">
        <v>3</v>
      </c>
      <c r="E3379">
        <v>4</v>
      </c>
      <c r="F3379" t="str">
        <f t="shared" si="52"/>
        <v>F422G3T4</v>
      </c>
      <c r="G3379" s="14" t="s">
        <v>323</v>
      </c>
    </row>
    <row r="3380" spans="1:7">
      <c r="A3380">
        <v>42</v>
      </c>
      <c r="B3380">
        <v>4</v>
      </c>
      <c r="C3380">
        <v>3</v>
      </c>
      <c r="E3380">
        <v>4</v>
      </c>
      <c r="F3380" t="str">
        <f t="shared" si="52"/>
        <v>F424G3T4</v>
      </c>
      <c r="G3380" s="14" t="s">
        <v>323</v>
      </c>
    </row>
    <row r="3381" spans="1:7">
      <c r="A3381">
        <v>42</v>
      </c>
      <c r="B3381">
        <v>5</v>
      </c>
      <c r="C3381">
        <v>3</v>
      </c>
      <c r="E3381">
        <v>4</v>
      </c>
      <c r="F3381" t="str">
        <f t="shared" si="52"/>
        <v>F425G3T4</v>
      </c>
      <c r="G3381" s="14" t="s">
        <v>323</v>
      </c>
    </row>
    <row r="3382" spans="1:7">
      <c r="A3382">
        <v>42</v>
      </c>
      <c r="B3382">
        <v>6</v>
      </c>
      <c r="C3382">
        <v>3</v>
      </c>
      <c r="E3382">
        <v>4</v>
      </c>
      <c r="F3382" t="str">
        <f t="shared" si="52"/>
        <v>F426G3T4</v>
      </c>
      <c r="G3382" s="14" t="s">
        <v>323</v>
      </c>
    </row>
    <row r="3383" spans="1:7">
      <c r="A3383">
        <v>42</v>
      </c>
      <c r="B3383">
        <v>7</v>
      </c>
      <c r="C3383">
        <v>3</v>
      </c>
      <c r="E3383">
        <v>4</v>
      </c>
      <c r="F3383" t="str">
        <f t="shared" si="52"/>
        <v>F427G3T4</v>
      </c>
      <c r="G3383" s="14" t="s">
        <v>323</v>
      </c>
    </row>
    <row r="3384" spans="1:7">
      <c r="A3384">
        <v>42</v>
      </c>
      <c r="B3384">
        <v>1</v>
      </c>
      <c r="C3384">
        <v>4</v>
      </c>
      <c r="E3384">
        <v>4</v>
      </c>
      <c r="F3384" t="str">
        <f t="shared" si="52"/>
        <v>F421G4T4</v>
      </c>
      <c r="G3384" s="14" t="s">
        <v>323</v>
      </c>
    </row>
    <row r="3385" spans="1:7">
      <c r="A3385">
        <v>42</v>
      </c>
      <c r="B3385">
        <v>2</v>
      </c>
      <c r="C3385">
        <v>4</v>
      </c>
      <c r="E3385">
        <v>4</v>
      </c>
      <c r="F3385" t="str">
        <f t="shared" si="52"/>
        <v>F422G4T4</v>
      </c>
      <c r="G3385" s="14" t="s">
        <v>323</v>
      </c>
    </row>
    <row r="3386" spans="1:7">
      <c r="A3386">
        <v>42</v>
      </c>
      <c r="B3386">
        <v>4</v>
      </c>
      <c r="C3386">
        <v>4</v>
      </c>
      <c r="E3386">
        <v>4</v>
      </c>
      <c r="F3386" t="str">
        <f t="shared" si="52"/>
        <v>F424G4T4</v>
      </c>
      <c r="G3386" s="14" t="s">
        <v>323</v>
      </c>
    </row>
    <row r="3387" spans="1:7">
      <c r="A3387">
        <v>42</v>
      </c>
      <c r="B3387">
        <v>5</v>
      </c>
      <c r="C3387">
        <v>4</v>
      </c>
      <c r="E3387">
        <v>4</v>
      </c>
      <c r="F3387" t="str">
        <f t="shared" si="52"/>
        <v>F425G4T4</v>
      </c>
      <c r="G3387" s="14" t="s">
        <v>323</v>
      </c>
    </row>
    <row r="3388" spans="1:7">
      <c r="A3388">
        <v>42</v>
      </c>
      <c r="B3388">
        <v>6</v>
      </c>
      <c r="C3388">
        <v>4</v>
      </c>
      <c r="E3388">
        <v>4</v>
      </c>
      <c r="F3388" t="str">
        <f t="shared" si="52"/>
        <v>F426G4T4</v>
      </c>
      <c r="G3388" s="14" t="s">
        <v>323</v>
      </c>
    </row>
    <row r="3389" spans="1:7">
      <c r="A3389">
        <v>42</v>
      </c>
      <c r="B3389">
        <v>7</v>
      </c>
      <c r="C3389">
        <v>4</v>
      </c>
      <c r="E3389">
        <v>4</v>
      </c>
      <c r="F3389" t="str">
        <f t="shared" si="52"/>
        <v>F427G4T4</v>
      </c>
      <c r="G3389" s="14" t="s">
        <v>323</v>
      </c>
    </row>
    <row r="3390" spans="1:7">
      <c r="A3390">
        <v>42</v>
      </c>
      <c r="B3390">
        <v>1</v>
      </c>
      <c r="C3390">
        <v>5</v>
      </c>
      <c r="E3390">
        <v>4</v>
      </c>
      <c r="F3390" t="str">
        <f t="shared" si="52"/>
        <v>F421G5T4</v>
      </c>
      <c r="G3390" s="14" t="s">
        <v>323</v>
      </c>
    </row>
    <row r="3391" spans="1:7">
      <c r="A3391">
        <v>42</v>
      </c>
      <c r="B3391">
        <v>2</v>
      </c>
      <c r="C3391">
        <v>5</v>
      </c>
      <c r="E3391">
        <v>4</v>
      </c>
      <c r="F3391" t="str">
        <f t="shared" si="52"/>
        <v>F422G5T4</v>
      </c>
      <c r="G3391" s="14" t="s">
        <v>323</v>
      </c>
    </row>
    <row r="3392" spans="1:7">
      <c r="A3392">
        <v>42</v>
      </c>
      <c r="B3392">
        <v>4</v>
      </c>
      <c r="C3392">
        <v>5</v>
      </c>
      <c r="E3392">
        <v>4</v>
      </c>
      <c r="F3392" t="str">
        <f t="shared" si="52"/>
        <v>F424G5T4</v>
      </c>
      <c r="G3392" s="14" t="s">
        <v>323</v>
      </c>
    </row>
    <row r="3393" spans="1:7">
      <c r="A3393">
        <v>42</v>
      </c>
      <c r="B3393">
        <v>5</v>
      </c>
      <c r="C3393">
        <v>5</v>
      </c>
      <c r="E3393">
        <v>4</v>
      </c>
      <c r="F3393" t="str">
        <f t="shared" si="52"/>
        <v>F425G5T4</v>
      </c>
      <c r="G3393" s="14" t="s">
        <v>323</v>
      </c>
    </row>
    <row r="3394" spans="1:7">
      <c r="A3394">
        <v>42</v>
      </c>
      <c r="B3394">
        <v>6</v>
      </c>
      <c r="C3394">
        <v>5</v>
      </c>
      <c r="E3394">
        <v>4</v>
      </c>
      <c r="F3394" t="str">
        <f t="shared" si="52"/>
        <v>F426G5T4</v>
      </c>
      <c r="G3394" s="14" t="s">
        <v>323</v>
      </c>
    </row>
    <row r="3395" spans="1:7">
      <c r="A3395">
        <v>42</v>
      </c>
      <c r="B3395">
        <v>7</v>
      </c>
      <c r="C3395">
        <v>5</v>
      </c>
      <c r="E3395">
        <v>4</v>
      </c>
      <c r="F3395" t="str">
        <f t="shared" ref="F3395:F3458" si="53">CONCATENATE("F",A3395,B3395,"G",C3395,"T",E3395)</f>
        <v>F427G5T4</v>
      </c>
      <c r="G3395" s="14" t="s">
        <v>323</v>
      </c>
    </row>
    <row r="3396" spans="1:7">
      <c r="A3396">
        <v>43</v>
      </c>
      <c r="B3396">
        <v>1</v>
      </c>
      <c r="C3396">
        <v>3</v>
      </c>
      <c r="E3396">
        <v>1</v>
      </c>
      <c r="F3396" t="str">
        <f t="shared" si="53"/>
        <v>F431G3T1</v>
      </c>
      <c r="G3396" s="14" t="s">
        <v>323</v>
      </c>
    </row>
    <row r="3397" spans="1:7">
      <c r="A3397">
        <v>43</v>
      </c>
      <c r="B3397">
        <v>2</v>
      </c>
      <c r="C3397">
        <v>3</v>
      </c>
      <c r="E3397">
        <v>1</v>
      </c>
      <c r="F3397" t="str">
        <f t="shared" si="53"/>
        <v>F432G3T1</v>
      </c>
      <c r="G3397" s="14" t="s">
        <v>323</v>
      </c>
    </row>
    <row r="3398" spans="1:7">
      <c r="A3398">
        <v>43</v>
      </c>
      <c r="B3398">
        <v>4</v>
      </c>
      <c r="C3398">
        <v>3</v>
      </c>
      <c r="E3398">
        <v>1</v>
      </c>
      <c r="F3398" t="str">
        <f t="shared" si="53"/>
        <v>F434G3T1</v>
      </c>
      <c r="G3398" s="14" t="s">
        <v>323</v>
      </c>
    </row>
    <row r="3399" spans="1:7">
      <c r="A3399">
        <v>43</v>
      </c>
      <c r="B3399">
        <v>5</v>
      </c>
      <c r="C3399">
        <v>3</v>
      </c>
      <c r="E3399">
        <v>1</v>
      </c>
      <c r="F3399" t="str">
        <f t="shared" si="53"/>
        <v>F435G3T1</v>
      </c>
      <c r="G3399" s="14" t="s">
        <v>323</v>
      </c>
    </row>
    <row r="3400" spans="1:7">
      <c r="A3400">
        <v>43</v>
      </c>
      <c r="B3400">
        <v>6</v>
      </c>
      <c r="C3400">
        <v>3</v>
      </c>
      <c r="E3400">
        <v>1</v>
      </c>
      <c r="F3400" t="str">
        <f t="shared" si="53"/>
        <v>F436G3T1</v>
      </c>
      <c r="G3400" s="14" t="s">
        <v>323</v>
      </c>
    </row>
    <row r="3401" spans="1:7">
      <c r="A3401">
        <v>43</v>
      </c>
      <c r="B3401">
        <v>7</v>
      </c>
      <c r="C3401">
        <v>3</v>
      </c>
      <c r="E3401">
        <v>1</v>
      </c>
      <c r="F3401" t="str">
        <f t="shared" si="53"/>
        <v>F437G3T1</v>
      </c>
      <c r="G3401" s="14" t="s">
        <v>323</v>
      </c>
    </row>
    <row r="3402" spans="1:7">
      <c r="A3402">
        <v>43</v>
      </c>
      <c r="B3402">
        <v>1</v>
      </c>
      <c r="C3402">
        <v>4</v>
      </c>
      <c r="E3402">
        <v>1</v>
      </c>
      <c r="F3402" t="str">
        <f t="shared" si="53"/>
        <v>F431G4T1</v>
      </c>
      <c r="G3402" s="14" t="s">
        <v>323</v>
      </c>
    </row>
    <row r="3403" spans="1:7">
      <c r="A3403">
        <v>43</v>
      </c>
      <c r="B3403">
        <v>2</v>
      </c>
      <c r="C3403">
        <v>4</v>
      </c>
      <c r="E3403">
        <v>1</v>
      </c>
      <c r="F3403" t="str">
        <f t="shared" si="53"/>
        <v>F432G4T1</v>
      </c>
      <c r="G3403" s="14" t="s">
        <v>323</v>
      </c>
    </row>
    <row r="3404" spans="1:7">
      <c r="A3404">
        <v>43</v>
      </c>
      <c r="B3404">
        <v>4</v>
      </c>
      <c r="C3404">
        <v>4</v>
      </c>
      <c r="E3404">
        <v>1</v>
      </c>
      <c r="F3404" t="str">
        <f t="shared" si="53"/>
        <v>F434G4T1</v>
      </c>
      <c r="G3404" s="14" t="s">
        <v>323</v>
      </c>
    </row>
    <row r="3405" spans="1:7">
      <c r="A3405">
        <v>43</v>
      </c>
      <c r="B3405">
        <v>5</v>
      </c>
      <c r="C3405">
        <v>4</v>
      </c>
      <c r="E3405">
        <v>1</v>
      </c>
      <c r="F3405" t="str">
        <f t="shared" si="53"/>
        <v>F435G4T1</v>
      </c>
      <c r="G3405" s="14" t="s">
        <v>323</v>
      </c>
    </row>
    <row r="3406" spans="1:7">
      <c r="A3406">
        <v>43</v>
      </c>
      <c r="B3406">
        <v>6</v>
      </c>
      <c r="C3406">
        <v>4</v>
      </c>
      <c r="E3406">
        <v>1</v>
      </c>
      <c r="F3406" t="str">
        <f t="shared" si="53"/>
        <v>F436G4T1</v>
      </c>
      <c r="G3406" s="14" t="s">
        <v>323</v>
      </c>
    </row>
    <row r="3407" spans="1:7">
      <c r="A3407">
        <v>43</v>
      </c>
      <c r="B3407">
        <v>7</v>
      </c>
      <c r="C3407">
        <v>4</v>
      </c>
      <c r="E3407">
        <v>1</v>
      </c>
      <c r="F3407" t="str">
        <f t="shared" si="53"/>
        <v>F437G4T1</v>
      </c>
      <c r="G3407" s="14" t="s">
        <v>323</v>
      </c>
    </row>
    <row r="3408" spans="1:7">
      <c r="A3408">
        <v>43</v>
      </c>
      <c r="B3408">
        <v>1</v>
      </c>
      <c r="C3408">
        <v>5</v>
      </c>
      <c r="E3408">
        <v>1</v>
      </c>
      <c r="F3408" t="str">
        <f t="shared" si="53"/>
        <v>F431G5T1</v>
      </c>
      <c r="G3408" s="14" t="s">
        <v>323</v>
      </c>
    </row>
    <row r="3409" spans="1:7">
      <c r="A3409">
        <v>43</v>
      </c>
      <c r="B3409">
        <v>2</v>
      </c>
      <c r="C3409">
        <v>5</v>
      </c>
      <c r="E3409">
        <v>1</v>
      </c>
      <c r="F3409" t="str">
        <f t="shared" si="53"/>
        <v>F432G5T1</v>
      </c>
      <c r="G3409" s="14" t="s">
        <v>323</v>
      </c>
    </row>
    <row r="3410" spans="1:7">
      <c r="A3410">
        <v>43</v>
      </c>
      <c r="B3410">
        <v>4</v>
      </c>
      <c r="C3410">
        <v>5</v>
      </c>
      <c r="E3410">
        <v>1</v>
      </c>
      <c r="F3410" t="str">
        <f t="shared" si="53"/>
        <v>F434G5T1</v>
      </c>
      <c r="G3410" s="14" t="s">
        <v>323</v>
      </c>
    </row>
    <row r="3411" spans="1:7">
      <c r="A3411">
        <v>43</v>
      </c>
      <c r="B3411">
        <v>5</v>
      </c>
      <c r="C3411">
        <v>5</v>
      </c>
      <c r="E3411">
        <v>1</v>
      </c>
      <c r="F3411" t="str">
        <f t="shared" si="53"/>
        <v>F435G5T1</v>
      </c>
      <c r="G3411" s="14" t="s">
        <v>323</v>
      </c>
    </row>
    <row r="3412" spans="1:7">
      <c r="A3412">
        <v>43</v>
      </c>
      <c r="B3412">
        <v>6</v>
      </c>
      <c r="C3412">
        <v>5</v>
      </c>
      <c r="E3412">
        <v>1</v>
      </c>
      <c r="F3412" t="str">
        <f t="shared" si="53"/>
        <v>F436G5T1</v>
      </c>
      <c r="G3412" s="14" t="s">
        <v>323</v>
      </c>
    </row>
    <row r="3413" spans="1:7">
      <c r="A3413">
        <v>43</v>
      </c>
      <c r="B3413">
        <v>7</v>
      </c>
      <c r="C3413">
        <v>5</v>
      </c>
      <c r="E3413">
        <v>1</v>
      </c>
      <c r="F3413" t="str">
        <f t="shared" si="53"/>
        <v>F437G5T1</v>
      </c>
      <c r="G3413" s="14" t="s">
        <v>323</v>
      </c>
    </row>
    <row r="3414" spans="1:7">
      <c r="A3414">
        <v>43</v>
      </c>
      <c r="B3414">
        <v>1</v>
      </c>
      <c r="C3414">
        <v>3</v>
      </c>
      <c r="E3414">
        <v>4</v>
      </c>
      <c r="F3414" t="str">
        <f t="shared" si="53"/>
        <v>F431G3T4</v>
      </c>
      <c r="G3414" s="14" t="s">
        <v>323</v>
      </c>
    </row>
    <row r="3415" spans="1:7">
      <c r="A3415">
        <v>43</v>
      </c>
      <c r="B3415">
        <v>2</v>
      </c>
      <c r="C3415">
        <v>3</v>
      </c>
      <c r="E3415">
        <v>4</v>
      </c>
      <c r="F3415" t="str">
        <f t="shared" si="53"/>
        <v>F432G3T4</v>
      </c>
      <c r="G3415" s="14" t="s">
        <v>323</v>
      </c>
    </row>
    <row r="3416" spans="1:7">
      <c r="A3416">
        <v>43</v>
      </c>
      <c r="B3416">
        <v>4</v>
      </c>
      <c r="C3416">
        <v>3</v>
      </c>
      <c r="E3416">
        <v>4</v>
      </c>
      <c r="F3416" t="str">
        <f t="shared" si="53"/>
        <v>F434G3T4</v>
      </c>
      <c r="G3416" s="14" t="s">
        <v>323</v>
      </c>
    </row>
    <row r="3417" spans="1:7">
      <c r="A3417">
        <v>43</v>
      </c>
      <c r="B3417">
        <v>5</v>
      </c>
      <c r="C3417">
        <v>3</v>
      </c>
      <c r="E3417">
        <v>4</v>
      </c>
      <c r="F3417" t="str">
        <f t="shared" si="53"/>
        <v>F435G3T4</v>
      </c>
      <c r="G3417" s="14" t="s">
        <v>323</v>
      </c>
    </row>
    <row r="3418" spans="1:7">
      <c r="A3418">
        <v>43</v>
      </c>
      <c r="B3418">
        <v>6</v>
      </c>
      <c r="C3418">
        <v>3</v>
      </c>
      <c r="E3418">
        <v>4</v>
      </c>
      <c r="F3418" t="str">
        <f t="shared" si="53"/>
        <v>F436G3T4</v>
      </c>
      <c r="G3418" s="14" t="s">
        <v>323</v>
      </c>
    </row>
    <row r="3419" spans="1:7">
      <c r="A3419">
        <v>43</v>
      </c>
      <c r="B3419">
        <v>7</v>
      </c>
      <c r="C3419">
        <v>3</v>
      </c>
      <c r="E3419">
        <v>4</v>
      </c>
      <c r="F3419" t="str">
        <f t="shared" si="53"/>
        <v>F437G3T4</v>
      </c>
      <c r="G3419" s="14" t="s">
        <v>323</v>
      </c>
    </row>
    <row r="3420" spans="1:7">
      <c r="A3420">
        <v>43</v>
      </c>
      <c r="B3420">
        <v>1</v>
      </c>
      <c r="C3420">
        <v>4</v>
      </c>
      <c r="E3420">
        <v>4</v>
      </c>
      <c r="F3420" t="str">
        <f t="shared" si="53"/>
        <v>F431G4T4</v>
      </c>
      <c r="G3420" s="14" t="s">
        <v>323</v>
      </c>
    </row>
    <row r="3421" spans="1:7">
      <c r="A3421">
        <v>43</v>
      </c>
      <c r="B3421">
        <v>2</v>
      </c>
      <c r="C3421">
        <v>4</v>
      </c>
      <c r="E3421">
        <v>4</v>
      </c>
      <c r="F3421" t="str">
        <f t="shared" si="53"/>
        <v>F432G4T4</v>
      </c>
      <c r="G3421" s="14" t="s">
        <v>323</v>
      </c>
    </row>
    <row r="3422" spans="1:7">
      <c r="A3422">
        <v>43</v>
      </c>
      <c r="B3422">
        <v>4</v>
      </c>
      <c r="C3422">
        <v>4</v>
      </c>
      <c r="E3422">
        <v>4</v>
      </c>
      <c r="F3422" t="str">
        <f t="shared" si="53"/>
        <v>F434G4T4</v>
      </c>
      <c r="G3422" s="14" t="s">
        <v>323</v>
      </c>
    </row>
    <row r="3423" spans="1:7">
      <c r="A3423">
        <v>43</v>
      </c>
      <c r="B3423">
        <v>5</v>
      </c>
      <c r="C3423">
        <v>4</v>
      </c>
      <c r="E3423">
        <v>4</v>
      </c>
      <c r="F3423" t="str">
        <f t="shared" si="53"/>
        <v>F435G4T4</v>
      </c>
      <c r="G3423" s="14" t="s">
        <v>323</v>
      </c>
    </row>
    <row r="3424" spans="1:7">
      <c r="A3424">
        <v>43</v>
      </c>
      <c r="B3424">
        <v>6</v>
      </c>
      <c r="C3424">
        <v>4</v>
      </c>
      <c r="E3424">
        <v>4</v>
      </c>
      <c r="F3424" t="str">
        <f t="shared" si="53"/>
        <v>F436G4T4</v>
      </c>
      <c r="G3424" s="14" t="s">
        <v>323</v>
      </c>
    </row>
    <row r="3425" spans="1:7">
      <c r="A3425">
        <v>43</v>
      </c>
      <c r="B3425">
        <v>7</v>
      </c>
      <c r="C3425">
        <v>4</v>
      </c>
      <c r="E3425">
        <v>4</v>
      </c>
      <c r="F3425" t="str">
        <f t="shared" si="53"/>
        <v>F437G4T4</v>
      </c>
      <c r="G3425" s="14" t="s">
        <v>323</v>
      </c>
    </row>
    <row r="3426" spans="1:7">
      <c r="A3426">
        <v>43</v>
      </c>
      <c r="B3426">
        <v>1</v>
      </c>
      <c r="C3426">
        <v>5</v>
      </c>
      <c r="E3426">
        <v>4</v>
      </c>
      <c r="F3426" t="str">
        <f t="shared" si="53"/>
        <v>F431G5T4</v>
      </c>
      <c r="G3426" s="14" t="s">
        <v>323</v>
      </c>
    </row>
    <row r="3427" spans="1:7">
      <c r="A3427">
        <v>43</v>
      </c>
      <c r="B3427">
        <v>2</v>
      </c>
      <c r="C3427">
        <v>5</v>
      </c>
      <c r="E3427">
        <v>4</v>
      </c>
      <c r="F3427" t="str">
        <f t="shared" si="53"/>
        <v>F432G5T4</v>
      </c>
      <c r="G3427" s="14" t="s">
        <v>323</v>
      </c>
    </row>
    <row r="3428" spans="1:7">
      <c r="A3428">
        <v>43</v>
      </c>
      <c r="B3428">
        <v>4</v>
      </c>
      <c r="C3428">
        <v>5</v>
      </c>
      <c r="E3428">
        <v>4</v>
      </c>
      <c r="F3428" t="str">
        <f t="shared" si="53"/>
        <v>F434G5T4</v>
      </c>
      <c r="G3428" s="14" t="s">
        <v>323</v>
      </c>
    </row>
    <row r="3429" spans="1:7">
      <c r="A3429">
        <v>43</v>
      </c>
      <c r="B3429">
        <v>5</v>
      </c>
      <c r="C3429">
        <v>5</v>
      </c>
      <c r="E3429">
        <v>4</v>
      </c>
      <c r="F3429" t="str">
        <f t="shared" si="53"/>
        <v>F435G5T4</v>
      </c>
      <c r="G3429" s="14" t="s">
        <v>323</v>
      </c>
    </row>
    <row r="3430" spans="1:7">
      <c r="A3430">
        <v>43</v>
      </c>
      <c r="B3430">
        <v>6</v>
      </c>
      <c r="C3430">
        <v>5</v>
      </c>
      <c r="E3430">
        <v>4</v>
      </c>
      <c r="F3430" t="str">
        <f t="shared" si="53"/>
        <v>F436G5T4</v>
      </c>
      <c r="G3430" s="14" t="s">
        <v>323</v>
      </c>
    </row>
    <row r="3431" spans="1:7">
      <c r="A3431">
        <v>43</v>
      </c>
      <c r="B3431">
        <v>7</v>
      </c>
      <c r="C3431">
        <v>5</v>
      </c>
      <c r="E3431">
        <v>4</v>
      </c>
      <c r="F3431" t="str">
        <f t="shared" si="53"/>
        <v>F437G5T4</v>
      </c>
      <c r="G3431" s="14" t="s">
        <v>323</v>
      </c>
    </row>
    <row r="3432" spans="1:7">
      <c r="A3432">
        <v>46</v>
      </c>
      <c r="B3432">
        <v>1</v>
      </c>
      <c r="C3432">
        <v>3</v>
      </c>
      <c r="E3432">
        <v>1</v>
      </c>
      <c r="F3432" t="str">
        <f t="shared" si="53"/>
        <v>F461G3T1</v>
      </c>
      <c r="G3432" s="14" t="s">
        <v>323</v>
      </c>
    </row>
    <row r="3433" spans="1:7">
      <c r="A3433">
        <v>46</v>
      </c>
      <c r="B3433">
        <v>2</v>
      </c>
      <c r="C3433">
        <v>3</v>
      </c>
      <c r="E3433">
        <v>1</v>
      </c>
      <c r="F3433" t="str">
        <f t="shared" si="53"/>
        <v>F462G3T1</v>
      </c>
      <c r="G3433" s="14" t="s">
        <v>323</v>
      </c>
    </row>
    <row r="3434" spans="1:7">
      <c r="A3434">
        <v>46</v>
      </c>
      <c r="B3434">
        <v>4</v>
      </c>
      <c r="C3434">
        <v>3</v>
      </c>
      <c r="E3434">
        <v>1</v>
      </c>
      <c r="F3434" t="str">
        <f t="shared" si="53"/>
        <v>F464G3T1</v>
      </c>
      <c r="G3434" s="14" t="s">
        <v>323</v>
      </c>
    </row>
    <row r="3435" spans="1:7">
      <c r="A3435">
        <v>46</v>
      </c>
      <c r="B3435">
        <v>5</v>
      </c>
      <c r="C3435">
        <v>3</v>
      </c>
      <c r="E3435">
        <v>1</v>
      </c>
      <c r="F3435" t="str">
        <f t="shared" si="53"/>
        <v>F465G3T1</v>
      </c>
      <c r="G3435" s="14" t="s">
        <v>323</v>
      </c>
    </row>
    <row r="3436" spans="1:7">
      <c r="A3436">
        <v>46</v>
      </c>
      <c r="B3436">
        <v>6</v>
      </c>
      <c r="C3436">
        <v>3</v>
      </c>
      <c r="E3436">
        <v>1</v>
      </c>
      <c r="F3436" t="str">
        <f t="shared" si="53"/>
        <v>F466G3T1</v>
      </c>
      <c r="G3436" s="14" t="s">
        <v>323</v>
      </c>
    </row>
    <row r="3437" spans="1:7">
      <c r="A3437">
        <v>46</v>
      </c>
      <c r="B3437">
        <v>7</v>
      </c>
      <c r="C3437">
        <v>3</v>
      </c>
      <c r="E3437">
        <v>1</v>
      </c>
      <c r="F3437" t="str">
        <f t="shared" si="53"/>
        <v>F467G3T1</v>
      </c>
      <c r="G3437" s="14" t="s">
        <v>323</v>
      </c>
    </row>
    <row r="3438" spans="1:7">
      <c r="A3438">
        <v>46</v>
      </c>
      <c r="B3438">
        <v>1</v>
      </c>
      <c r="C3438">
        <v>4</v>
      </c>
      <c r="E3438">
        <v>1</v>
      </c>
      <c r="F3438" t="str">
        <f t="shared" si="53"/>
        <v>F461G4T1</v>
      </c>
      <c r="G3438" s="14" t="s">
        <v>323</v>
      </c>
    </row>
    <row r="3439" spans="1:7">
      <c r="A3439">
        <v>46</v>
      </c>
      <c r="B3439">
        <v>2</v>
      </c>
      <c r="C3439">
        <v>4</v>
      </c>
      <c r="E3439">
        <v>1</v>
      </c>
      <c r="F3439" t="str">
        <f t="shared" si="53"/>
        <v>F462G4T1</v>
      </c>
      <c r="G3439" s="14" t="s">
        <v>323</v>
      </c>
    </row>
    <row r="3440" spans="1:7">
      <c r="A3440">
        <v>46</v>
      </c>
      <c r="B3440">
        <v>4</v>
      </c>
      <c r="C3440">
        <v>4</v>
      </c>
      <c r="E3440">
        <v>1</v>
      </c>
      <c r="F3440" t="str">
        <f t="shared" si="53"/>
        <v>F464G4T1</v>
      </c>
      <c r="G3440" s="14" t="s">
        <v>323</v>
      </c>
    </row>
    <row r="3441" spans="1:7">
      <c r="A3441">
        <v>46</v>
      </c>
      <c r="B3441">
        <v>5</v>
      </c>
      <c r="C3441">
        <v>4</v>
      </c>
      <c r="E3441">
        <v>1</v>
      </c>
      <c r="F3441" t="str">
        <f t="shared" si="53"/>
        <v>F465G4T1</v>
      </c>
      <c r="G3441" s="14" t="s">
        <v>323</v>
      </c>
    </row>
    <row r="3442" spans="1:7">
      <c r="A3442">
        <v>46</v>
      </c>
      <c r="B3442">
        <v>6</v>
      </c>
      <c r="C3442">
        <v>4</v>
      </c>
      <c r="E3442">
        <v>1</v>
      </c>
      <c r="F3442" t="str">
        <f t="shared" si="53"/>
        <v>F466G4T1</v>
      </c>
      <c r="G3442" s="14" t="s">
        <v>323</v>
      </c>
    </row>
    <row r="3443" spans="1:7">
      <c r="A3443">
        <v>46</v>
      </c>
      <c r="B3443">
        <v>7</v>
      </c>
      <c r="C3443">
        <v>4</v>
      </c>
      <c r="E3443">
        <v>1</v>
      </c>
      <c r="F3443" t="str">
        <f t="shared" si="53"/>
        <v>F467G4T1</v>
      </c>
      <c r="G3443" s="14" t="s">
        <v>323</v>
      </c>
    </row>
    <row r="3444" spans="1:7">
      <c r="A3444">
        <v>46</v>
      </c>
      <c r="B3444">
        <v>1</v>
      </c>
      <c r="C3444">
        <v>5</v>
      </c>
      <c r="E3444">
        <v>1</v>
      </c>
      <c r="F3444" t="str">
        <f t="shared" si="53"/>
        <v>F461G5T1</v>
      </c>
      <c r="G3444" s="14" t="s">
        <v>323</v>
      </c>
    </row>
    <row r="3445" spans="1:7">
      <c r="A3445">
        <v>46</v>
      </c>
      <c r="B3445">
        <v>2</v>
      </c>
      <c r="C3445">
        <v>5</v>
      </c>
      <c r="E3445">
        <v>1</v>
      </c>
      <c r="F3445" t="str">
        <f t="shared" si="53"/>
        <v>F462G5T1</v>
      </c>
      <c r="G3445" s="14" t="s">
        <v>323</v>
      </c>
    </row>
    <row r="3446" spans="1:7">
      <c r="A3446">
        <v>46</v>
      </c>
      <c r="B3446">
        <v>4</v>
      </c>
      <c r="C3446">
        <v>5</v>
      </c>
      <c r="E3446">
        <v>1</v>
      </c>
      <c r="F3446" t="str">
        <f t="shared" si="53"/>
        <v>F464G5T1</v>
      </c>
      <c r="G3446" s="14" t="s">
        <v>323</v>
      </c>
    </row>
    <row r="3447" spans="1:7">
      <c r="A3447">
        <v>46</v>
      </c>
      <c r="B3447">
        <v>5</v>
      </c>
      <c r="C3447">
        <v>5</v>
      </c>
      <c r="E3447">
        <v>1</v>
      </c>
      <c r="F3447" t="str">
        <f t="shared" si="53"/>
        <v>F465G5T1</v>
      </c>
      <c r="G3447" s="14" t="s">
        <v>323</v>
      </c>
    </row>
    <row r="3448" spans="1:7">
      <c r="A3448">
        <v>46</v>
      </c>
      <c r="B3448">
        <v>6</v>
      </c>
      <c r="C3448">
        <v>5</v>
      </c>
      <c r="E3448">
        <v>1</v>
      </c>
      <c r="F3448" t="str">
        <f t="shared" si="53"/>
        <v>F466G5T1</v>
      </c>
      <c r="G3448" s="14" t="s">
        <v>323</v>
      </c>
    </row>
    <row r="3449" spans="1:7">
      <c r="A3449">
        <v>46</v>
      </c>
      <c r="B3449">
        <v>7</v>
      </c>
      <c r="C3449">
        <v>5</v>
      </c>
      <c r="E3449">
        <v>1</v>
      </c>
      <c r="F3449" t="str">
        <f t="shared" si="53"/>
        <v>F467G5T1</v>
      </c>
      <c r="G3449" s="14" t="s">
        <v>323</v>
      </c>
    </row>
    <row r="3450" spans="1:7">
      <c r="A3450">
        <v>46</v>
      </c>
      <c r="B3450">
        <v>1</v>
      </c>
      <c r="C3450">
        <v>3</v>
      </c>
      <c r="E3450">
        <v>4</v>
      </c>
      <c r="F3450" t="str">
        <f t="shared" si="53"/>
        <v>F461G3T4</v>
      </c>
      <c r="G3450" s="14" t="s">
        <v>323</v>
      </c>
    </row>
    <row r="3451" spans="1:7">
      <c r="A3451">
        <v>46</v>
      </c>
      <c r="B3451">
        <v>2</v>
      </c>
      <c r="C3451">
        <v>3</v>
      </c>
      <c r="E3451">
        <v>4</v>
      </c>
      <c r="F3451" t="str">
        <f t="shared" si="53"/>
        <v>F462G3T4</v>
      </c>
      <c r="G3451" s="14" t="s">
        <v>323</v>
      </c>
    </row>
    <row r="3452" spans="1:7">
      <c r="A3452">
        <v>46</v>
      </c>
      <c r="B3452">
        <v>4</v>
      </c>
      <c r="C3452">
        <v>3</v>
      </c>
      <c r="E3452">
        <v>4</v>
      </c>
      <c r="F3452" t="str">
        <f t="shared" si="53"/>
        <v>F464G3T4</v>
      </c>
      <c r="G3452" s="14" t="s">
        <v>323</v>
      </c>
    </row>
    <row r="3453" spans="1:7">
      <c r="A3453">
        <v>46</v>
      </c>
      <c r="B3453">
        <v>5</v>
      </c>
      <c r="C3453">
        <v>3</v>
      </c>
      <c r="E3453">
        <v>4</v>
      </c>
      <c r="F3453" t="str">
        <f t="shared" si="53"/>
        <v>F465G3T4</v>
      </c>
      <c r="G3453" s="14" t="s">
        <v>323</v>
      </c>
    </row>
    <row r="3454" spans="1:7">
      <c r="A3454">
        <v>46</v>
      </c>
      <c r="B3454">
        <v>6</v>
      </c>
      <c r="C3454">
        <v>3</v>
      </c>
      <c r="E3454">
        <v>4</v>
      </c>
      <c r="F3454" t="str">
        <f t="shared" si="53"/>
        <v>F466G3T4</v>
      </c>
      <c r="G3454" s="14" t="s">
        <v>323</v>
      </c>
    </row>
    <row r="3455" spans="1:7">
      <c r="A3455">
        <v>46</v>
      </c>
      <c r="B3455">
        <v>7</v>
      </c>
      <c r="C3455">
        <v>3</v>
      </c>
      <c r="E3455">
        <v>4</v>
      </c>
      <c r="F3455" t="str">
        <f t="shared" si="53"/>
        <v>F467G3T4</v>
      </c>
      <c r="G3455" s="14" t="s">
        <v>323</v>
      </c>
    </row>
    <row r="3456" spans="1:7">
      <c r="A3456">
        <v>46</v>
      </c>
      <c r="B3456">
        <v>1</v>
      </c>
      <c r="C3456">
        <v>4</v>
      </c>
      <c r="E3456">
        <v>4</v>
      </c>
      <c r="F3456" t="str">
        <f t="shared" si="53"/>
        <v>F461G4T4</v>
      </c>
      <c r="G3456" s="14" t="s">
        <v>323</v>
      </c>
    </row>
    <row r="3457" spans="1:7">
      <c r="A3457">
        <v>46</v>
      </c>
      <c r="B3457">
        <v>2</v>
      </c>
      <c r="C3457">
        <v>4</v>
      </c>
      <c r="E3457">
        <v>4</v>
      </c>
      <c r="F3457" t="str">
        <f t="shared" si="53"/>
        <v>F462G4T4</v>
      </c>
      <c r="G3457" s="14" t="s">
        <v>323</v>
      </c>
    </row>
    <row r="3458" spans="1:7">
      <c r="A3458">
        <v>46</v>
      </c>
      <c r="B3458">
        <v>4</v>
      </c>
      <c r="C3458">
        <v>4</v>
      </c>
      <c r="E3458">
        <v>4</v>
      </c>
      <c r="F3458" t="str">
        <f t="shared" si="53"/>
        <v>F464G4T4</v>
      </c>
      <c r="G3458" s="14" t="s">
        <v>323</v>
      </c>
    </row>
    <row r="3459" spans="1:7">
      <c r="A3459">
        <v>46</v>
      </c>
      <c r="B3459">
        <v>5</v>
      </c>
      <c r="C3459">
        <v>4</v>
      </c>
      <c r="E3459">
        <v>4</v>
      </c>
      <c r="F3459" t="str">
        <f t="shared" ref="F3459:F3522" si="54">CONCATENATE("F",A3459,B3459,"G",C3459,"T",E3459)</f>
        <v>F465G4T4</v>
      </c>
      <c r="G3459" s="14" t="s">
        <v>323</v>
      </c>
    </row>
    <row r="3460" spans="1:7">
      <c r="A3460">
        <v>46</v>
      </c>
      <c r="B3460">
        <v>6</v>
      </c>
      <c r="C3460">
        <v>4</v>
      </c>
      <c r="E3460">
        <v>4</v>
      </c>
      <c r="F3460" t="str">
        <f t="shared" si="54"/>
        <v>F466G4T4</v>
      </c>
      <c r="G3460" s="14" t="s">
        <v>323</v>
      </c>
    </row>
    <row r="3461" spans="1:7">
      <c r="A3461">
        <v>46</v>
      </c>
      <c r="B3461">
        <v>7</v>
      </c>
      <c r="C3461">
        <v>4</v>
      </c>
      <c r="E3461">
        <v>4</v>
      </c>
      <c r="F3461" t="str">
        <f t="shared" si="54"/>
        <v>F467G4T4</v>
      </c>
      <c r="G3461" s="14" t="s">
        <v>323</v>
      </c>
    </row>
    <row r="3462" spans="1:7">
      <c r="A3462">
        <v>46</v>
      </c>
      <c r="B3462">
        <v>1</v>
      </c>
      <c r="C3462">
        <v>5</v>
      </c>
      <c r="E3462">
        <v>4</v>
      </c>
      <c r="F3462" t="str">
        <f t="shared" si="54"/>
        <v>F461G5T4</v>
      </c>
      <c r="G3462" s="14" t="s">
        <v>323</v>
      </c>
    </row>
    <row r="3463" spans="1:7">
      <c r="A3463">
        <v>46</v>
      </c>
      <c r="B3463">
        <v>2</v>
      </c>
      <c r="C3463">
        <v>5</v>
      </c>
      <c r="E3463">
        <v>4</v>
      </c>
      <c r="F3463" t="str">
        <f t="shared" si="54"/>
        <v>F462G5T4</v>
      </c>
      <c r="G3463" s="14" t="s">
        <v>323</v>
      </c>
    </row>
    <row r="3464" spans="1:7">
      <c r="A3464">
        <v>46</v>
      </c>
      <c r="B3464">
        <v>4</v>
      </c>
      <c r="C3464">
        <v>5</v>
      </c>
      <c r="E3464">
        <v>4</v>
      </c>
      <c r="F3464" t="str">
        <f t="shared" si="54"/>
        <v>F464G5T4</v>
      </c>
      <c r="G3464" s="14" t="s">
        <v>323</v>
      </c>
    </row>
    <row r="3465" spans="1:7">
      <c r="A3465">
        <v>46</v>
      </c>
      <c r="B3465">
        <v>5</v>
      </c>
      <c r="C3465">
        <v>5</v>
      </c>
      <c r="E3465">
        <v>4</v>
      </c>
      <c r="F3465" t="str">
        <f t="shared" si="54"/>
        <v>F465G5T4</v>
      </c>
      <c r="G3465" s="14" t="s">
        <v>323</v>
      </c>
    </row>
    <row r="3466" spans="1:7">
      <c r="A3466">
        <v>46</v>
      </c>
      <c r="B3466">
        <v>6</v>
      </c>
      <c r="C3466">
        <v>5</v>
      </c>
      <c r="E3466">
        <v>4</v>
      </c>
      <c r="F3466" t="str">
        <f t="shared" si="54"/>
        <v>F466G5T4</v>
      </c>
      <c r="G3466" s="14" t="s">
        <v>323</v>
      </c>
    </row>
    <row r="3467" spans="1:7">
      <c r="A3467">
        <v>46</v>
      </c>
      <c r="B3467">
        <v>7</v>
      </c>
      <c r="C3467">
        <v>5</v>
      </c>
      <c r="E3467">
        <v>4</v>
      </c>
      <c r="F3467" t="str">
        <f t="shared" si="54"/>
        <v>F467G5T4</v>
      </c>
      <c r="G3467" s="14" t="s">
        <v>323</v>
      </c>
    </row>
    <row r="3468" spans="1:7">
      <c r="A3468">
        <v>56</v>
      </c>
      <c r="B3468">
        <v>1</v>
      </c>
      <c r="C3468">
        <v>3</v>
      </c>
      <c r="E3468">
        <v>1</v>
      </c>
      <c r="F3468" t="str">
        <f t="shared" si="54"/>
        <v>F561G3T1</v>
      </c>
      <c r="G3468" s="14" t="s">
        <v>323</v>
      </c>
    </row>
    <row r="3469" spans="1:7">
      <c r="A3469">
        <v>56</v>
      </c>
      <c r="B3469">
        <v>2</v>
      </c>
      <c r="C3469">
        <v>3</v>
      </c>
      <c r="E3469">
        <v>1</v>
      </c>
      <c r="F3469" t="str">
        <f t="shared" si="54"/>
        <v>F562G3T1</v>
      </c>
      <c r="G3469" s="14" t="s">
        <v>323</v>
      </c>
    </row>
    <row r="3470" spans="1:7">
      <c r="A3470">
        <v>56</v>
      </c>
      <c r="B3470">
        <v>4</v>
      </c>
      <c r="C3470">
        <v>3</v>
      </c>
      <c r="E3470">
        <v>1</v>
      </c>
      <c r="F3470" t="str">
        <f t="shared" si="54"/>
        <v>F564G3T1</v>
      </c>
      <c r="G3470" s="14" t="s">
        <v>323</v>
      </c>
    </row>
    <row r="3471" spans="1:7">
      <c r="A3471">
        <v>56</v>
      </c>
      <c r="B3471">
        <v>5</v>
      </c>
      <c r="C3471">
        <v>3</v>
      </c>
      <c r="E3471">
        <v>1</v>
      </c>
      <c r="F3471" t="str">
        <f t="shared" si="54"/>
        <v>F565G3T1</v>
      </c>
      <c r="G3471" s="14" t="s">
        <v>323</v>
      </c>
    </row>
    <row r="3472" spans="1:7">
      <c r="A3472">
        <v>56</v>
      </c>
      <c r="B3472">
        <v>6</v>
      </c>
      <c r="C3472">
        <v>3</v>
      </c>
      <c r="E3472">
        <v>1</v>
      </c>
      <c r="F3472" t="str">
        <f t="shared" si="54"/>
        <v>F566G3T1</v>
      </c>
      <c r="G3472" s="14" t="s">
        <v>323</v>
      </c>
    </row>
    <row r="3473" spans="1:7">
      <c r="A3473">
        <v>56</v>
      </c>
      <c r="B3473">
        <v>7</v>
      </c>
      <c r="C3473">
        <v>3</v>
      </c>
      <c r="E3473">
        <v>1</v>
      </c>
      <c r="F3473" t="str">
        <f t="shared" si="54"/>
        <v>F567G3T1</v>
      </c>
      <c r="G3473" s="14" t="s">
        <v>323</v>
      </c>
    </row>
    <row r="3474" spans="1:7">
      <c r="A3474">
        <v>56</v>
      </c>
      <c r="B3474">
        <v>1</v>
      </c>
      <c r="C3474">
        <v>4</v>
      </c>
      <c r="E3474">
        <v>1</v>
      </c>
      <c r="F3474" t="str">
        <f t="shared" si="54"/>
        <v>F561G4T1</v>
      </c>
      <c r="G3474" s="14" t="s">
        <v>323</v>
      </c>
    </row>
    <row r="3475" spans="1:7">
      <c r="A3475">
        <v>56</v>
      </c>
      <c r="B3475">
        <v>2</v>
      </c>
      <c r="C3475">
        <v>4</v>
      </c>
      <c r="E3475">
        <v>1</v>
      </c>
      <c r="F3475" t="str">
        <f t="shared" si="54"/>
        <v>F562G4T1</v>
      </c>
      <c r="G3475" s="14" t="s">
        <v>323</v>
      </c>
    </row>
    <row r="3476" spans="1:7">
      <c r="A3476">
        <v>56</v>
      </c>
      <c r="B3476">
        <v>4</v>
      </c>
      <c r="C3476">
        <v>4</v>
      </c>
      <c r="E3476">
        <v>1</v>
      </c>
      <c r="F3476" t="str">
        <f t="shared" si="54"/>
        <v>F564G4T1</v>
      </c>
      <c r="G3476" s="14" t="s">
        <v>323</v>
      </c>
    </row>
    <row r="3477" spans="1:7">
      <c r="A3477">
        <v>56</v>
      </c>
      <c r="B3477">
        <v>5</v>
      </c>
      <c r="C3477">
        <v>4</v>
      </c>
      <c r="E3477">
        <v>1</v>
      </c>
      <c r="F3477" t="str">
        <f t="shared" si="54"/>
        <v>F565G4T1</v>
      </c>
      <c r="G3477" s="14" t="s">
        <v>323</v>
      </c>
    </row>
    <row r="3478" spans="1:7">
      <c r="A3478">
        <v>56</v>
      </c>
      <c r="B3478">
        <v>6</v>
      </c>
      <c r="C3478">
        <v>4</v>
      </c>
      <c r="E3478">
        <v>1</v>
      </c>
      <c r="F3478" t="str">
        <f t="shared" si="54"/>
        <v>F566G4T1</v>
      </c>
      <c r="G3478" s="14" t="s">
        <v>323</v>
      </c>
    </row>
    <row r="3479" spans="1:7">
      <c r="A3479">
        <v>56</v>
      </c>
      <c r="B3479">
        <v>7</v>
      </c>
      <c r="C3479">
        <v>4</v>
      </c>
      <c r="E3479">
        <v>1</v>
      </c>
      <c r="F3479" t="str">
        <f t="shared" si="54"/>
        <v>F567G4T1</v>
      </c>
      <c r="G3479" s="14" t="s">
        <v>323</v>
      </c>
    </row>
    <row r="3480" spans="1:7">
      <c r="A3480">
        <v>56</v>
      </c>
      <c r="B3480">
        <v>1</v>
      </c>
      <c r="C3480">
        <v>5</v>
      </c>
      <c r="E3480">
        <v>1</v>
      </c>
      <c r="F3480" t="str">
        <f t="shared" si="54"/>
        <v>F561G5T1</v>
      </c>
      <c r="G3480" s="14" t="s">
        <v>323</v>
      </c>
    </row>
    <row r="3481" spans="1:7">
      <c r="A3481">
        <v>56</v>
      </c>
      <c r="B3481">
        <v>2</v>
      </c>
      <c r="C3481">
        <v>5</v>
      </c>
      <c r="E3481">
        <v>1</v>
      </c>
      <c r="F3481" t="str">
        <f t="shared" si="54"/>
        <v>F562G5T1</v>
      </c>
      <c r="G3481" s="14" t="s">
        <v>323</v>
      </c>
    </row>
    <row r="3482" spans="1:7">
      <c r="A3482">
        <v>56</v>
      </c>
      <c r="B3482">
        <v>4</v>
      </c>
      <c r="C3482">
        <v>5</v>
      </c>
      <c r="E3482">
        <v>1</v>
      </c>
      <c r="F3482" t="str">
        <f t="shared" si="54"/>
        <v>F564G5T1</v>
      </c>
      <c r="G3482" s="14" t="s">
        <v>323</v>
      </c>
    </row>
    <row r="3483" spans="1:7">
      <c r="A3483">
        <v>56</v>
      </c>
      <c r="B3483">
        <v>5</v>
      </c>
      <c r="C3483">
        <v>5</v>
      </c>
      <c r="E3483">
        <v>1</v>
      </c>
      <c r="F3483" t="str">
        <f t="shared" si="54"/>
        <v>F565G5T1</v>
      </c>
      <c r="G3483" s="14" t="s">
        <v>323</v>
      </c>
    </row>
    <row r="3484" spans="1:7">
      <c r="A3484">
        <v>56</v>
      </c>
      <c r="B3484">
        <v>6</v>
      </c>
      <c r="C3484">
        <v>5</v>
      </c>
      <c r="E3484">
        <v>1</v>
      </c>
      <c r="F3484" t="str">
        <f t="shared" si="54"/>
        <v>F566G5T1</v>
      </c>
      <c r="G3484" s="14" t="s">
        <v>323</v>
      </c>
    </row>
    <row r="3485" spans="1:7">
      <c r="A3485">
        <v>56</v>
      </c>
      <c r="B3485">
        <v>7</v>
      </c>
      <c r="C3485">
        <v>5</v>
      </c>
      <c r="E3485">
        <v>1</v>
      </c>
      <c r="F3485" t="str">
        <f t="shared" si="54"/>
        <v>F567G5T1</v>
      </c>
      <c r="G3485" s="14" t="s">
        <v>323</v>
      </c>
    </row>
    <row r="3486" spans="1:7">
      <c r="A3486">
        <v>56</v>
      </c>
      <c r="B3486">
        <v>1</v>
      </c>
      <c r="C3486">
        <v>3</v>
      </c>
      <c r="E3486">
        <v>4</v>
      </c>
      <c r="F3486" t="str">
        <f t="shared" si="54"/>
        <v>F561G3T4</v>
      </c>
      <c r="G3486" s="14" t="s">
        <v>323</v>
      </c>
    </row>
    <row r="3487" spans="1:7">
      <c r="A3487">
        <v>56</v>
      </c>
      <c r="B3487">
        <v>2</v>
      </c>
      <c r="C3487">
        <v>3</v>
      </c>
      <c r="E3487">
        <v>4</v>
      </c>
      <c r="F3487" t="str">
        <f t="shared" si="54"/>
        <v>F562G3T4</v>
      </c>
      <c r="G3487" s="14" t="s">
        <v>323</v>
      </c>
    </row>
    <row r="3488" spans="1:7">
      <c r="A3488">
        <v>56</v>
      </c>
      <c r="B3488">
        <v>4</v>
      </c>
      <c r="C3488">
        <v>3</v>
      </c>
      <c r="E3488">
        <v>4</v>
      </c>
      <c r="F3488" t="str">
        <f t="shared" si="54"/>
        <v>F564G3T4</v>
      </c>
      <c r="G3488" s="14" t="s">
        <v>323</v>
      </c>
    </row>
    <row r="3489" spans="1:7">
      <c r="A3489">
        <v>56</v>
      </c>
      <c r="B3489">
        <v>5</v>
      </c>
      <c r="C3489">
        <v>3</v>
      </c>
      <c r="E3489">
        <v>4</v>
      </c>
      <c r="F3489" t="str">
        <f t="shared" si="54"/>
        <v>F565G3T4</v>
      </c>
      <c r="G3489" s="14" t="s">
        <v>323</v>
      </c>
    </row>
    <row r="3490" spans="1:7">
      <c r="A3490">
        <v>56</v>
      </c>
      <c r="B3490">
        <v>6</v>
      </c>
      <c r="C3490">
        <v>3</v>
      </c>
      <c r="E3490">
        <v>4</v>
      </c>
      <c r="F3490" t="str">
        <f t="shared" si="54"/>
        <v>F566G3T4</v>
      </c>
      <c r="G3490" s="14" t="s">
        <v>323</v>
      </c>
    </row>
    <row r="3491" spans="1:7">
      <c r="A3491">
        <v>56</v>
      </c>
      <c r="B3491">
        <v>7</v>
      </c>
      <c r="C3491">
        <v>3</v>
      </c>
      <c r="E3491">
        <v>4</v>
      </c>
      <c r="F3491" t="str">
        <f t="shared" si="54"/>
        <v>F567G3T4</v>
      </c>
      <c r="G3491" s="14" t="s">
        <v>323</v>
      </c>
    </row>
    <row r="3492" spans="1:7">
      <c r="A3492">
        <v>56</v>
      </c>
      <c r="B3492">
        <v>1</v>
      </c>
      <c r="C3492">
        <v>4</v>
      </c>
      <c r="E3492">
        <v>4</v>
      </c>
      <c r="F3492" t="str">
        <f t="shared" si="54"/>
        <v>F561G4T4</v>
      </c>
      <c r="G3492" s="14" t="s">
        <v>323</v>
      </c>
    </row>
    <row r="3493" spans="1:7">
      <c r="A3493">
        <v>56</v>
      </c>
      <c r="B3493">
        <v>2</v>
      </c>
      <c r="C3493">
        <v>4</v>
      </c>
      <c r="E3493">
        <v>4</v>
      </c>
      <c r="F3493" t="str">
        <f t="shared" si="54"/>
        <v>F562G4T4</v>
      </c>
      <c r="G3493" s="14" t="s">
        <v>323</v>
      </c>
    </row>
    <row r="3494" spans="1:7">
      <c r="A3494">
        <v>56</v>
      </c>
      <c r="B3494">
        <v>4</v>
      </c>
      <c r="C3494">
        <v>4</v>
      </c>
      <c r="E3494">
        <v>4</v>
      </c>
      <c r="F3494" t="str">
        <f t="shared" si="54"/>
        <v>F564G4T4</v>
      </c>
      <c r="G3494" s="14" t="s">
        <v>323</v>
      </c>
    </row>
    <row r="3495" spans="1:7">
      <c r="A3495">
        <v>56</v>
      </c>
      <c r="B3495">
        <v>5</v>
      </c>
      <c r="C3495">
        <v>4</v>
      </c>
      <c r="E3495">
        <v>4</v>
      </c>
      <c r="F3495" t="str">
        <f t="shared" si="54"/>
        <v>F565G4T4</v>
      </c>
      <c r="G3495" s="14" t="s">
        <v>323</v>
      </c>
    </row>
    <row r="3496" spans="1:7">
      <c r="A3496">
        <v>56</v>
      </c>
      <c r="B3496">
        <v>6</v>
      </c>
      <c r="C3496">
        <v>4</v>
      </c>
      <c r="E3496">
        <v>4</v>
      </c>
      <c r="F3496" t="str">
        <f t="shared" si="54"/>
        <v>F566G4T4</v>
      </c>
      <c r="G3496" s="14" t="s">
        <v>323</v>
      </c>
    </row>
    <row r="3497" spans="1:7">
      <c r="A3497">
        <v>56</v>
      </c>
      <c r="B3497">
        <v>7</v>
      </c>
      <c r="C3497">
        <v>4</v>
      </c>
      <c r="E3497">
        <v>4</v>
      </c>
      <c r="F3497" t="str">
        <f t="shared" si="54"/>
        <v>F567G4T4</v>
      </c>
      <c r="G3497" s="14" t="s">
        <v>323</v>
      </c>
    </row>
    <row r="3498" spans="1:7">
      <c r="A3498">
        <v>56</v>
      </c>
      <c r="B3498">
        <v>1</v>
      </c>
      <c r="C3498">
        <v>5</v>
      </c>
      <c r="E3498">
        <v>4</v>
      </c>
      <c r="F3498" t="str">
        <f t="shared" si="54"/>
        <v>F561G5T4</v>
      </c>
      <c r="G3498" s="14" t="s">
        <v>323</v>
      </c>
    </row>
    <row r="3499" spans="1:7">
      <c r="A3499">
        <v>56</v>
      </c>
      <c r="B3499">
        <v>2</v>
      </c>
      <c r="C3499">
        <v>5</v>
      </c>
      <c r="E3499">
        <v>4</v>
      </c>
      <c r="F3499" t="str">
        <f t="shared" si="54"/>
        <v>F562G5T4</v>
      </c>
      <c r="G3499" s="14" t="s">
        <v>323</v>
      </c>
    </row>
    <row r="3500" spans="1:7">
      <c r="A3500">
        <v>56</v>
      </c>
      <c r="B3500">
        <v>4</v>
      </c>
      <c r="C3500">
        <v>5</v>
      </c>
      <c r="E3500">
        <v>4</v>
      </c>
      <c r="F3500" t="str">
        <f t="shared" si="54"/>
        <v>F564G5T4</v>
      </c>
      <c r="G3500" s="14" t="s">
        <v>323</v>
      </c>
    </row>
    <row r="3501" spans="1:7">
      <c r="A3501">
        <v>56</v>
      </c>
      <c r="B3501">
        <v>5</v>
      </c>
      <c r="C3501">
        <v>5</v>
      </c>
      <c r="E3501">
        <v>4</v>
      </c>
      <c r="F3501" t="str">
        <f t="shared" si="54"/>
        <v>F565G5T4</v>
      </c>
      <c r="G3501" s="14" t="s">
        <v>323</v>
      </c>
    </row>
    <row r="3502" spans="1:7">
      <c r="A3502">
        <v>56</v>
      </c>
      <c r="B3502">
        <v>6</v>
      </c>
      <c r="C3502">
        <v>5</v>
      </c>
      <c r="E3502">
        <v>4</v>
      </c>
      <c r="F3502" t="str">
        <f t="shared" si="54"/>
        <v>F566G5T4</v>
      </c>
      <c r="G3502" s="14" t="s">
        <v>323</v>
      </c>
    </row>
    <row r="3503" spans="1:7">
      <c r="A3503">
        <v>56</v>
      </c>
      <c r="B3503">
        <v>7</v>
      </c>
      <c r="C3503">
        <v>5</v>
      </c>
      <c r="E3503">
        <v>4</v>
      </c>
      <c r="F3503" t="str">
        <f t="shared" si="54"/>
        <v>F567G5T4</v>
      </c>
      <c r="G3503" s="14" t="s">
        <v>323</v>
      </c>
    </row>
    <row r="3504" spans="1:7">
      <c r="A3504">
        <v>67</v>
      </c>
      <c r="B3504">
        <v>1</v>
      </c>
      <c r="C3504">
        <v>3</v>
      </c>
      <c r="E3504">
        <v>1</v>
      </c>
      <c r="F3504" t="str">
        <f t="shared" si="54"/>
        <v>F671G3T1</v>
      </c>
      <c r="G3504" s="14" t="s">
        <v>323</v>
      </c>
    </row>
    <row r="3505" spans="1:7">
      <c r="A3505">
        <v>67</v>
      </c>
      <c r="B3505">
        <v>2</v>
      </c>
      <c r="C3505">
        <v>3</v>
      </c>
      <c r="E3505">
        <v>1</v>
      </c>
      <c r="F3505" t="str">
        <f t="shared" si="54"/>
        <v>F672G3T1</v>
      </c>
      <c r="G3505" s="14" t="s">
        <v>323</v>
      </c>
    </row>
    <row r="3506" spans="1:7">
      <c r="A3506">
        <v>67</v>
      </c>
      <c r="B3506">
        <v>4</v>
      </c>
      <c r="C3506">
        <v>3</v>
      </c>
      <c r="E3506">
        <v>1</v>
      </c>
      <c r="F3506" t="str">
        <f t="shared" si="54"/>
        <v>F674G3T1</v>
      </c>
      <c r="G3506" s="14" t="s">
        <v>323</v>
      </c>
    </row>
    <row r="3507" spans="1:7">
      <c r="A3507">
        <v>67</v>
      </c>
      <c r="B3507">
        <v>5</v>
      </c>
      <c r="C3507">
        <v>3</v>
      </c>
      <c r="E3507">
        <v>1</v>
      </c>
      <c r="F3507" t="str">
        <f t="shared" si="54"/>
        <v>F675G3T1</v>
      </c>
      <c r="G3507" s="14" t="s">
        <v>323</v>
      </c>
    </row>
    <row r="3508" spans="1:7">
      <c r="A3508">
        <v>67</v>
      </c>
      <c r="B3508">
        <v>6</v>
      </c>
      <c r="C3508">
        <v>3</v>
      </c>
      <c r="E3508">
        <v>1</v>
      </c>
      <c r="F3508" t="str">
        <f t="shared" si="54"/>
        <v>F676G3T1</v>
      </c>
      <c r="G3508" s="14" t="s">
        <v>323</v>
      </c>
    </row>
    <row r="3509" spans="1:7">
      <c r="A3509">
        <v>67</v>
      </c>
      <c r="B3509">
        <v>7</v>
      </c>
      <c r="C3509">
        <v>3</v>
      </c>
      <c r="E3509">
        <v>1</v>
      </c>
      <c r="F3509" t="str">
        <f t="shared" si="54"/>
        <v>F677G3T1</v>
      </c>
      <c r="G3509" s="14" t="s">
        <v>323</v>
      </c>
    </row>
    <row r="3510" spans="1:7">
      <c r="A3510">
        <v>67</v>
      </c>
      <c r="B3510">
        <v>1</v>
      </c>
      <c r="C3510">
        <v>4</v>
      </c>
      <c r="E3510">
        <v>1</v>
      </c>
      <c r="F3510" t="str">
        <f t="shared" si="54"/>
        <v>F671G4T1</v>
      </c>
      <c r="G3510" s="14" t="s">
        <v>323</v>
      </c>
    </row>
    <row r="3511" spans="1:7">
      <c r="A3511">
        <v>67</v>
      </c>
      <c r="B3511">
        <v>2</v>
      </c>
      <c r="C3511">
        <v>4</v>
      </c>
      <c r="E3511">
        <v>1</v>
      </c>
      <c r="F3511" t="str">
        <f t="shared" si="54"/>
        <v>F672G4T1</v>
      </c>
      <c r="G3511" s="14" t="s">
        <v>323</v>
      </c>
    </row>
    <row r="3512" spans="1:7">
      <c r="A3512">
        <v>67</v>
      </c>
      <c r="B3512">
        <v>4</v>
      </c>
      <c r="C3512">
        <v>4</v>
      </c>
      <c r="E3512">
        <v>1</v>
      </c>
      <c r="F3512" t="str">
        <f t="shared" si="54"/>
        <v>F674G4T1</v>
      </c>
      <c r="G3512" s="14" t="s">
        <v>323</v>
      </c>
    </row>
    <row r="3513" spans="1:7">
      <c r="A3513">
        <v>67</v>
      </c>
      <c r="B3513">
        <v>5</v>
      </c>
      <c r="C3513">
        <v>4</v>
      </c>
      <c r="E3513">
        <v>1</v>
      </c>
      <c r="F3513" t="str">
        <f t="shared" si="54"/>
        <v>F675G4T1</v>
      </c>
      <c r="G3513" s="14" t="s">
        <v>323</v>
      </c>
    </row>
    <row r="3514" spans="1:7">
      <c r="A3514">
        <v>67</v>
      </c>
      <c r="B3514">
        <v>6</v>
      </c>
      <c r="C3514">
        <v>4</v>
      </c>
      <c r="E3514">
        <v>1</v>
      </c>
      <c r="F3514" t="str">
        <f t="shared" si="54"/>
        <v>F676G4T1</v>
      </c>
      <c r="G3514" s="14" t="s">
        <v>323</v>
      </c>
    </row>
    <row r="3515" spans="1:7">
      <c r="A3515">
        <v>67</v>
      </c>
      <c r="B3515">
        <v>7</v>
      </c>
      <c r="C3515">
        <v>4</v>
      </c>
      <c r="E3515">
        <v>1</v>
      </c>
      <c r="F3515" t="str">
        <f t="shared" si="54"/>
        <v>F677G4T1</v>
      </c>
      <c r="G3515" s="14" t="s">
        <v>323</v>
      </c>
    </row>
    <row r="3516" spans="1:7">
      <c r="A3516">
        <v>67</v>
      </c>
      <c r="B3516">
        <v>1</v>
      </c>
      <c r="C3516">
        <v>5</v>
      </c>
      <c r="E3516">
        <v>1</v>
      </c>
      <c r="F3516" t="str">
        <f t="shared" si="54"/>
        <v>F671G5T1</v>
      </c>
      <c r="G3516" s="14" t="s">
        <v>323</v>
      </c>
    </row>
    <row r="3517" spans="1:7">
      <c r="A3517">
        <v>67</v>
      </c>
      <c r="B3517">
        <v>2</v>
      </c>
      <c r="C3517">
        <v>5</v>
      </c>
      <c r="E3517">
        <v>1</v>
      </c>
      <c r="F3517" t="str">
        <f t="shared" si="54"/>
        <v>F672G5T1</v>
      </c>
      <c r="G3517" s="14" t="s">
        <v>323</v>
      </c>
    </row>
    <row r="3518" spans="1:7">
      <c r="A3518">
        <v>67</v>
      </c>
      <c r="B3518">
        <v>4</v>
      </c>
      <c r="C3518">
        <v>5</v>
      </c>
      <c r="E3518">
        <v>1</v>
      </c>
      <c r="F3518" t="str">
        <f t="shared" si="54"/>
        <v>F674G5T1</v>
      </c>
      <c r="G3518" s="14" t="s">
        <v>323</v>
      </c>
    </row>
    <row r="3519" spans="1:7">
      <c r="A3519">
        <v>67</v>
      </c>
      <c r="B3519">
        <v>5</v>
      </c>
      <c r="C3519">
        <v>5</v>
      </c>
      <c r="E3519">
        <v>1</v>
      </c>
      <c r="F3519" t="str">
        <f t="shared" si="54"/>
        <v>F675G5T1</v>
      </c>
      <c r="G3519" s="14" t="s">
        <v>323</v>
      </c>
    </row>
    <row r="3520" spans="1:7">
      <c r="A3520">
        <v>67</v>
      </c>
      <c r="B3520">
        <v>6</v>
      </c>
      <c r="C3520">
        <v>5</v>
      </c>
      <c r="E3520">
        <v>1</v>
      </c>
      <c r="F3520" t="str">
        <f t="shared" si="54"/>
        <v>F676G5T1</v>
      </c>
      <c r="G3520" s="14" t="s">
        <v>323</v>
      </c>
    </row>
    <row r="3521" spans="1:7">
      <c r="A3521">
        <v>67</v>
      </c>
      <c r="B3521">
        <v>7</v>
      </c>
      <c r="C3521">
        <v>5</v>
      </c>
      <c r="E3521">
        <v>1</v>
      </c>
      <c r="F3521" t="str">
        <f t="shared" si="54"/>
        <v>F677G5T1</v>
      </c>
      <c r="G3521" s="14" t="s">
        <v>323</v>
      </c>
    </row>
    <row r="3522" spans="1:7">
      <c r="A3522">
        <v>67</v>
      </c>
      <c r="B3522">
        <v>1</v>
      </c>
      <c r="C3522">
        <v>3</v>
      </c>
      <c r="E3522">
        <v>4</v>
      </c>
      <c r="F3522" t="str">
        <f t="shared" si="54"/>
        <v>F671G3T4</v>
      </c>
      <c r="G3522" s="14" t="s">
        <v>323</v>
      </c>
    </row>
    <row r="3523" spans="1:7">
      <c r="A3523">
        <v>67</v>
      </c>
      <c r="B3523">
        <v>2</v>
      </c>
      <c r="C3523">
        <v>3</v>
      </c>
      <c r="E3523">
        <v>4</v>
      </c>
      <c r="F3523" t="str">
        <f t="shared" ref="F3523:F3586" si="55">CONCATENATE("F",A3523,B3523,"G",C3523,"T",E3523)</f>
        <v>F672G3T4</v>
      </c>
      <c r="G3523" s="14" t="s">
        <v>323</v>
      </c>
    </row>
    <row r="3524" spans="1:7">
      <c r="A3524">
        <v>67</v>
      </c>
      <c r="B3524">
        <v>4</v>
      </c>
      <c r="C3524">
        <v>3</v>
      </c>
      <c r="E3524">
        <v>4</v>
      </c>
      <c r="F3524" t="str">
        <f t="shared" si="55"/>
        <v>F674G3T4</v>
      </c>
      <c r="G3524" s="14" t="s">
        <v>323</v>
      </c>
    </row>
    <row r="3525" spans="1:7">
      <c r="A3525">
        <v>67</v>
      </c>
      <c r="B3525">
        <v>5</v>
      </c>
      <c r="C3525">
        <v>3</v>
      </c>
      <c r="E3525">
        <v>4</v>
      </c>
      <c r="F3525" t="str">
        <f t="shared" si="55"/>
        <v>F675G3T4</v>
      </c>
      <c r="G3525" s="14" t="s">
        <v>323</v>
      </c>
    </row>
    <row r="3526" spans="1:7">
      <c r="A3526">
        <v>67</v>
      </c>
      <c r="B3526">
        <v>6</v>
      </c>
      <c r="C3526">
        <v>3</v>
      </c>
      <c r="E3526">
        <v>4</v>
      </c>
      <c r="F3526" t="str">
        <f t="shared" si="55"/>
        <v>F676G3T4</v>
      </c>
      <c r="G3526" s="14" t="s">
        <v>323</v>
      </c>
    </row>
    <row r="3527" spans="1:7">
      <c r="A3527">
        <v>67</v>
      </c>
      <c r="B3527">
        <v>7</v>
      </c>
      <c r="C3527">
        <v>3</v>
      </c>
      <c r="E3527">
        <v>4</v>
      </c>
      <c r="F3527" t="str">
        <f t="shared" si="55"/>
        <v>F677G3T4</v>
      </c>
      <c r="G3527" s="14" t="s">
        <v>323</v>
      </c>
    </row>
    <row r="3528" spans="1:7">
      <c r="A3528">
        <v>67</v>
      </c>
      <c r="B3528">
        <v>1</v>
      </c>
      <c r="C3528">
        <v>4</v>
      </c>
      <c r="E3528">
        <v>4</v>
      </c>
      <c r="F3528" t="str">
        <f t="shared" si="55"/>
        <v>F671G4T4</v>
      </c>
      <c r="G3528" s="14" t="s">
        <v>323</v>
      </c>
    </row>
    <row r="3529" spans="1:7">
      <c r="A3529">
        <v>67</v>
      </c>
      <c r="B3529">
        <v>2</v>
      </c>
      <c r="C3529">
        <v>4</v>
      </c>
      <c r="E3529">
        <v>4</v>
      </c>
      <c r="F3529" t="str">
        <f t="shared" si="55"/>
        <v>F672G4T4</v>
      </c>
      <c r="G3529" s="14" t="s">
        <v>323</v>
      </c>
    </row>
    <row r="3530" spans="1:7">
      <c r="A3530">
        <v>67</v>
      </c>
      <c r="B3530">
        <v>4</v>
      </c>
      <c r="C3530">
        <v>4</v>
      </c>
      <c r="E3530">
        <v>4</v>
      </c>
      <c r="F3530" t="str">
        <f t="shared" si="55"/>
        <v>F674G4T4</v>
      </c>
      <c r="G3530" s="14" t="s">
        <v>323</v>
      </c>
    </row>
    <row r="3531" spans="1:7">
      <c r="A3531">
        <v>67</v>
      </c>
      <c r="B3531">
        <v>5</v>
      </c>
      <c r="C3531">
        <v>4</v>
      </c>
      <c r="E3531">
        <v>4</v>
      </c>
      <c r="F3531" t="str">
        <f t="shared" si="55"/>
        <v>F675G4T4</v>
      </c>
      <c r="G3531" s="14" t="s">
        <v>323</v>
      </c>
    </row>
    <row r="3532" spans="1:7">
      <c r="A3532">
        <v>67</v>
      </c>
      <c r="B3532">
        <v>6</v>
      </c>
      <c r="C3532">
        <v>4</v>
      </c>
      <c r="E3532">
        <v>4</v>
      </c>
      <c r="F3532" t="str">
        <f t="shared" si="55"/>
        <v>F676G4T4</v>
      </c>
      <c r="G3532" s="14" t="s">
        <v>323</v>
      </c>
    </row>
    <row r="3533" spans="1:7">
      <c r="A3533">
        <v>67</v>
      </c>
      <c r="B3533">
        <v>7</v>
      </c>
      <c r="C3533">
        <v>4</v>
      </c>
      <c r="E3533">
        <v>4</v>
      </c>
      <c r="F3533" t="str">
        <f t="shared" si="55"/>
        <v>F677G4T4</v>
      </c>
      <c r="G3533" s="14" t="s">
        <v>323</v>
      </c>
    </row>
    <row r="3534" spans="1:7">
      <c r="A3534">
        <v>67</v>
      </c>
      <c r="B3534">
        <v>1</v>
      </c>
      <c r="C3534">
        <v>5</v>
      </c>
      <c r="E3534">
        <v>4</v>
      </c>
      <c r="F3534" t="str">
        <f t="shared" si="55"/>
        <v>F671G5T4</v>
      </c>
      <c r="G3534" s="14" t="s">
        <v>323</v>
      </c>
    </row>
    <row r="3535" spans="1:7">
      <c r="A3535">
        <v>67</v>
      </c>
      <c r="B3535">
        <v>2</v>
      </c>
      <c r="C3535">
        <v>5</v>
      </c>
      <c r="E3535">
        <v>4</v>
      </c>
      <c r="F3535" t="str">
        <f t="shared" si="55"/>
        <v>F672G5T4</v>
      </c>
      <c r="G3535" s="14" t="s">
        <v>323</v>
      </c>
    </row>
    <row r="3536" spans="1:7">
      <c r="A3536">
        <v>67</v>
      </c>
      <c r="B3536">
        <v>4</v>
      </c>
      <c r="C3536">
        <v>5</v>
      </c>
      <c r="E3536">
        <v>4</v>
      </c>
      <c r="F3536" t="str">
        <f t="shared" si="55"/>
        <v>F674G5T4</v>
      </c>
      <c r="G3536" s="14" t="s">
        <v>323</v>
      </c>
    </row>
    <row r="3537" spans="1:7">
      <c r="A3537">
        <v>67</v>
      </c>
      <c r="B3537">
        <v>5</v>
      </c>
      <c r="C3537">
        <v>5</v>
      </c>
      <c r="E3537">
        <v>4</v>
      </c>
      <c r="F3537" t="str">
        <f t="shared" si="55"/>
        <v>F675G5T4</v>
      </c>
      <c r="G3537" s="14" t="s">
        <v>323</v>
      </c>
    </row>
    <row r="3538" spans="1:7">
      <c r="A3538">
        <v>67</v>
      </c>
      <c r="B3538">
        <v>6</v>
      </c>
      <c r="C3538">
        <v>5</v>
      </c>
      <c r="E3538">
        <v>4</v>
      </c>
      <c r="F3538" t="str">
        <f t="shared" si="55"/>
        <v>F676G5T4</v>
      </c>
      <c r="G3538" s="14" t="s">
        <v>323</v>
      </c>
    </row>
    <row r="3539" spans="1:7">
      <c r="A3539">
        <v>67</v>
      </c>
      <c r="B3539">
        <v>7</v>
      </c>
      <c r="C3539">
        <v>5</v>
      </c>
      <c r="E3539">
        <v>4</v>
      </c>
      <c r="F3539" t="str">
        <f t="shared" si="55"/>
        <v>F677G5T4</v>
      </c>
      <c r="G3539" s="14" t="s">
        <v>323</v>
      </c>
    </row>
    <row r="3540" spans="1:7">
      <c r="A3540">
        <v>70</v>
      </c>
      <c r="B3540">
        <v>1</v>
      </c>
      <c r="C3540">
        <v>3</v>
      </c>
      <c r="E3540">
        <v>1</v>
      </c>
      <c r="F3540" t="str">
        <f t="shared" si="55"/>
        <v>F701G3T1</v>
      </c>
      <c r="G3540" s="14" t="s">
        <v>323</v>
      </c>
    </row>
    <row r="3541" spans="1:7">
      <c r="A3541">
        <v>70</v>
      </c>
      <c r="B3541">
        <v>2</v>
      </c>
      <c r="C3541">
        <v>3</v>
      </c>
      <c r="E3541">
        <v>1</v>
      </c>
      <c r="F3541" t="str">
        <f t="shared" si="55"/>
        <v>F702G3T1</v>
      </c>
      <c r="G3541" s="14" t="s">
        <v>323</v>
      </c>
    </row>
    <row r="3542" spans="1:7">
      <c r="A3542">
        <v>70</v>
      </c>
      <c r="B3542">
        <v>4</v>
      </c>
      <c r="C3542">
        <v>3</v>
      </c>
      <c r="E3542">
        <v>1</v>
      </c>
      <c r="F3542" t="str">
        <f t="shared" si="55"/>
        <v>F704G3T1</v>
      </c>
      <c r="G3542" s="14" t="s">
        <v>323</v>
      </c>
    </row>
    <row r="3543" spans="1:7">
      <c r="A3543">
        <v>70</v>
      </c>
      <c r="B3543">
        <v>5</v>
      </c>
      <c r="C3543">
        <v>3</v>
      </c>
      <c r="E3543">
        <v>1</v>
      </c>
      <c r="F3543" t="str">
        <f t="shared" si="55"/>
        <v>F705G3T1</v>
      </c>
      <c r="G3543" s="14" t="s">
        <v>323</v>
      </c>
    </row>
    <row r="3544" spans="1:7">
      <c r="A3544">
        <v>70</v>
      </c>
      <c r="B3544">
        <v>6</v>
      </c>
      <c r="C3544">
        <v>3</v>
      </c>
      <c r="E3544">
        <v>1</v>
      </c>
      <c r="F3544" t="str">
        <f t="shared" si="55"/>
        <v>F706G3T1</v>
      </c>
      <c r="G3544" s="14" t="s">
        <v>323</v>
      </c>
    </row>
    <row r="3545" spans="1:7">
      <c r="A3545">
        <v>70</v>
      </c>
      <c r="B3545">
        <v>7</v>
      </c>
      <c r="C3545">
        <v>3</v>
      </c>
      <c r="E3545">
        <v>1</v>
      </c>
      <c r="F3545" t="str">
        <f t="shared" si="55"/>
        <v>F707G3T1</v>
      </c>
      <c r="G3545" s="14" t="s">
        <v>323</v>
      </c>
    </row>
    <row r="3546" spans="1:7">
      <c r="A3546">
        <v>70</v>
      </c>
      <c r="B3546">
        <v>1</v>
      </c>
      <c r="C3546">
        <v>4</v>
      </c>
      <c r="E3546">
        <v>1</v>
      </c>
      <c r="F3546" t="str">
        <f t="shared" si="55"/>
        <v>F701G4T1</v>
      </c>
      <c r="G3546" s="14" t="s">
        <v>323</v>
      </c>
    </row>
    <row r="3547" spans="1:7">
      <c r="A3547">
        <v>70</v>
      </c>
      <c r="B3547">
        <v>2</v>
      </c>
      <c r="C3547">
        <v>4</v>
      </c>
      <c r="E3547">
        <v>1</v>
      </c>
      <c r="F3547" t="str">
        <f t="shared" si="55"/>
        <v>F702G4T1</v>
      </c>
      <c r="G3547" s="14" t="s">
        <v>323</v>
      </c>
    </row>
    <row r="3548" spans="1:7">
      <c r="A3548">
        <v>70</v>
      </c>
      <c r="B3548">
        <v>4</v>
      </c>
      <c r="C3548">
        <v>4</v>
      </c>
      <c r="E3548">
        <v>1</v>
      </c>
      <c r="F3548" t="str">
        <f t="shared" si="55"/>
        <v>F704G4T1</v>
      </c>
      <c r="G3548" s="14" t="s">
        <v>323</v>
      </c>
    </row>
    <row r="3549" spans="1:7">
      <c r="A3549">
        <v>70</v>
      </c>
      <c r="B3549">
        <v>5</v>
      </c>
      <c r="C3549">
        <v>4</v>
      </c>
      <c r="E3549">
        <v>1</v>
      </c>
      <c r="F3549" t="str">
        <f t="shared" si="55"/>
        <v>F705G4T1</v>
      </c>
      <c r="G3549" s="14" t="s">
        <v>323</v>
      </c>
    </row>
    <row r="3550" spans="1:7">
      <c r="A3550">
        <v>70</v>
      </c>
      <c r="B3550">
        <v>6</v>
      </c>
      <c r="C3550">
        <v>4</v>
      </c>
      <c r="E3550">
        <v>1</v>
      </c>
      <c r="F3550" t="str">
        <f t="shared" si="55"/>
        <v>F706G4T1</v>
      </c>
      <c r="G3550" s="14" t="s">
        <v>323</v>
      </c>
    </row>
    <row r="3551" spans="1:7">
      <c r="A3551">
        <v>70</v>
      </c>
      <c r="B3551">
        <v>7</v>
      </c>
      <c r="C3551">
        <v>4</v>
      </c>
      <c r="E3551">
        <v>1</v>
      </c>
      <c r="F3551" t="str">
        <f t="shared" si="55"/>
        <v>F707G4T1</v>
      </c>
      <c r="G3551" s="14" t="s">
        <v>323</v>
      </c>
    </row>
    <row r="3552" spans="1:7">
      <c r="A3552">
        <v>70</v>
      </c>
      <c r="B3552">
        <v>1</v>
      </c>
      <c r="C3552">
        <v>5</v>
      </c>
      <c r="E3552">
        <v>1</v>
      </c>
      <c r="F3552" t="str">
        <f t="shared" si="55"/>
        <v>F701G5T1</v>
      </c>
      <c r="G3552" s="14" t="s">
        <v>323</v>
      </c>
    </row>
    <row r="3553" spans="1:7">
      <c r="A3553">
        <v>70</v>
      </c>
      <c r="B3553">
        <v>2</v>
      </c>
      <c r="C3553">
        <v>5</v>
      </c>
      <c r="E3553">
        <v>1</v>
      </c>
      <c r="F3553" t="str">
        <f t="shared" si="55"/>
        <v>F702G5T1</v>
      </c>
      <c r="G3553" s="14" t="s">
        <v>323</v>
      </c>
    </row>
    <row r="3554" spans="1:7">
      <c r="A3554">
        <v>70</v>
      </c>
      <c r="B3554">
        <v>4</v>
      </c>
      <c r="C3554">
        <v>5</v>
      </c>
      <c r="E3554">
        <v>1</v>
      </c>
      <c r="F3554" t="str">
        <f t="shared" si="55"/>
        <v>F704G5T1</v>
      </c>
      <c r="G3554" s="14" t="s">
        <v>323</v>
      </c>
    </row>
    <row r="3555" spans="1:7">
      <c r="A3555">
        <v>70</v>
      </c>
      <c r="B3555">
        <v>5</v>
      </c>
      <c r="C3555">
        <v>5</v>
      </c>
      <c r="E3555">
        <v>1</v>
      </c>
      <c r="F3555" t="str">
        <f t="shared" si="55"/>
        <v>F705G5T1</v>
      </c>
      <c r="G3555" s="14" t="s">
        <v>323</v>
      </c>
    </row>
    <row r="3556" spans="1:7">
      <c r="A3556">
        <v>70</v>
      </c>
      <c r="B3556">
        <v>6</v>
      </c>
      <c r="C3556">
        <v>5</v>
      </c>
      <c r="E3556">
        <v>1</v>
      </c>
      <c r="F3556" t="str">
        <f t="shared" si="55"/>
        <v>F706G5T1</v>
      </c>
      <c r="G3556" s="14" t="s">
        <v>323</v>
      </c>
    </row>
    <row r="3557" spans="1:7">
      <c r="A3557">
        <v>70</v>
      </c>
      <c r="B3557">
        <v>7</v>
      </c>
      <c r="C3557">
        <v>5</v>
      </c>
      <c r="E3557">
        <v>1</v>
      </c>
      <c r="F3557" t="str">
        <f t="shared" si="55"/>
        <v>F707G5T1</v>
      </c>
      <c r="G3557" s="14" t="s">
        <v>323</v>
      </c>
    </row>
    <row r="3558" spans="1:7">
      <c r="A3558">
        <v>70</v>
      </c>
      <c r="B3558">
        <v>1</v>
      </c>
      <c r="C3558">
        <v>3</v>
      </c>
      <c r="E3558">
        <v>4</v>
      </c>
      <c r="F3558" t="str">
        <f t="shared" si="55"/>
        <v>F701G3T4</v>
      </c>
      <c r="G3558" s="14" t="s">
        <v>323</v>
      </c>
    </row>
    <row r="3559" spans="1:7">
      <c r="A3559">
        <v>70</v>
      </c>
      <c r="B3559">
        <v>2</v>
      </c>
      <c r="C3559">
        <v>3</v>
      </c>
      <c r="E3559">
        <v>4</v>
      </c>
      <c r="F3559" t="str">
        <f t="shared" si="55"/>
        <v>F702G3T4</v>
      </c>
      <c r="G3559" s="14" t="s">
        <v>323</v>
      </c>
    </row>
    <row r="3560" spans="1:7">
      <c r="A3560">
        <v>70</v>
      </c>
      <c r="B3560">
        <v>4</v>
      </c>
      <c r="C3560">
        <v>3</v>
      </c>
      <c r="E3560">
        <v>4</v>
      </c>
      <c r="F3560" t="str">
        <f t="shared" si="55"/>
        <v>F704G3T4</v>
      </c>
      <c r="G3560" s="14" t="s">
        <v>323</v>
      </c>
    </row>
    <row r="3561" spans="1:7">
      <c r="A3561">
        <v>70</v>
      </c>
      <c r="B3561">
        <v>5</v>
      </c>
      <c r="C3561">
        <v>3</v>
      </c>
      <c r="E3561">
        <v>4</v>
      </c>
      <c r="F3561" t="str">
        <f t="shared" si="55"/>
        <v>F705G3T4</v>
      </c>
      <c r="G3561" s="14" t="s">
        <v>323</v>
      </c>
    </row>
    <row r="3562" spans="1:7">
      <c r="A3562">
        <v>70</v>
      </c>
      <c r="B3562">
        <v>6</v>
      </c>
      <c r="C3562">
        <v>3</v>
      </c>
      <c r="E3562">
        <v>4</v>
      </c>
      <c r="F3562" t="str">
        <f t="shared" si="55"/>
        <v>F706G3T4</v>
      </c>
      <c r="G3562" s="14" t="s">
        <v>323</v>
      </c>
    </row>
    <row r="3563" spans="1:7">
      <c r="A3563">
        <v>70</v>
      </c>
      <c r="B3563">
        <v>7</v>
      </c>
      <c r="C3563">
        <v>3</v>
      </c>
      <c r="E3563">
        <v>4</v>
      </c>
      <c r="F3563" t="str">
        <f t="shared" si="55"/>
        <v>F707G3T4</v>
      </c>
      <c r="G3563" s="14" t="s">
        <v>323</v>
      </c>
    </row>
    <row r="3564" spans="1:7">
      <c r="A3564">
        <v>70</v>
      </c>
      <c r="B3564">
        <v>1</v>
      </c>
      <c r="C3564">
        <v>4</v>
      </c>
      <c r="E3564">
        <v>4</v>
      </c>
      <c r="F3564" t="str">
        <f t="shared" si="55"/>
        <v>F701G4T4</v>
      </c>
      <c r="G3564" s="14" t="s">
        <v>323</v>
      </c>
    </row>
    <row r="3565" spans="1:7">
      <c r="A3565">
        <v>70</v>
      </c>
      <c r="B3565">
        <v>2</v>
      </c>
      <c r="C3565">
        <v>4</v>
      </c>
      <c r="E3565">
        <v>4</v>
      </c>
      <c r="F3565" t="str">
        <f t="shared" si="55"/>
        <v>F702G4T4</v>
      </c>
      <c r="G3565" s="14" t="s">
        <v>323</v>
      </c>
    </row>
    <row r="3566" spans="1:7">
      <c r="A3566">
        <v>70</v>
      </c>
      <c r="B3566">
        <v>4</v>
      </c>
      <c r="C3566">
        <v>4</v>
      </c>
      <c r="E3566">
        <v>4</v>
      </c>
      <c r="F3566" t="str">
        <f t="shared" si="55"/>
        <v>F704G4T4</v>
      </c>
      <c r="G3566" s="14" t="s">
        <v>323</v>
      </c>
    </row>
    <row r="3567" spans="1:7">
      <c r="A3567">
        <v>70</v>
      </c>
      <c r="B3567">
        <v>5</v>
      </c>
      <c r="C3567">
        <v>4</v>
      </c>
      <c r="E3567">
        <v>4</v>
      </c>
      <c r="F3567" t="str">
        <f t="shared" si="55"/>
        <v>F705G4T4</v>
      </c>
      <c r="G3567" s="14" t="s">
        <v>323</v>
      </c>
    </row>
    <row r="3568" spans="1:7">
      <c r="A3568">
        <v>70</v>
      </c>
      <c r="B3568">
        <v>6</v>
      </c>
      <c r="C3568">
        <v>4</v>
      </c>
      <c r="E3568">
        <v>4</v>
      </c>
      <c r="F3568" t="str">
        <f t="shared" si="55"/>
        <v>F706G4T4</v>
      </c>
      <c r="G3568" s="14" t="s">
        <v>323</v>
      </c>
    </row>
    <row r="3569" spans="1:7">
      <c r="A3569">
        <v>70</v>
      </c>
      <c r="B3569">
        <v>7</v>
      </c>
      <c r="C3569">
        <v>4</v>
      </c>
      <c r="E3569">
        <v>4</v>
      </c>
      <c r="F3569" t="str">
        <f t="shared" si="55"/>
        <v>F707G4T4</v>
      </c>
      <c r="G3569" s="14" t="s">
        <v>323</v>
      </c>
    </row>
    <row r="3570" spans="1:7">
      <c r="A3570">
        <v>70</v>
      </c>
      <c r="B3570">
        <v>1</v>
      </c>
      <c r="C3570">
        <v>5</v>
      </c>
      <c r="E3570">
        <v>4</v>
      </c>
      <c r="F3570" t="str">
        <f t="shared" si="55"/>
        <v>F701G5T4</v>
      </c>
      <c r="G3570" s="14" t="s">
        <v>323</v>
      </c>
    </row>
    <row r="3571" spans="1:7">
      <c r="A3571">
        <v>70</v>
      </c>
      <c r="B3571">
        <v>2</v>
      </c>
      <c r="C3571">
        <v>5</v>
      </c>
      <c r="E3571">
        <v>4</v>
      </c>
      <c r="F3571" t="str">
        <f t="shared" si="55"/>
        <v>F702G5T4</v>
      </c>
      <c r="G3571" s="14" t="s">
        <v>323</v>
      </c>
    </row>
    <row r="3572" spans="1:7">
      <c r="A3572">
        <v>70</v>
      </c>
      <c r="B3572">
        <v>4</v>
      </c>
      <c r="C3572">
        <v>5</v>
      </c>
      <c r="E3572">
        <v>4</v>
      </c>
      <c r="F3572" t="str">
        <f t="shared" si="55"/>
        <v>F704G5T4</v>
      </c>
      <c r="G3572" s="14" t="s">
        <v>323</v>
      </c>
    </row>
    <row r="3573" spans="1:7">
      <c r="A3573">
        <v>70</v>
      </c>
      <c r="B3573">
        <v>5</v>
      </c>
      <c r="C3573">
        <v>5</v>
      </c>
      <c r="E3573">
        <v>4</v>
      </c>
      <c r="F3573" t="str">
        <f t="shared" si="55"/>
        <v>F705G5T4</v>
      </c>
      <c r="G3573" s="14" t="s">
        <v>323</v>
      </c>
    </row>
    <row r="3574" spans="1:7">
      <c r="A3574">
        <v>70</v>
      </c>
      <c r="B3574">
        <v>6</v>
      </c>
      <c r="C3574">
        <v>5</v>
      </c>
      <c r="E3574">
        <v>4</v>
      </c>
      <c r="F3574" t="str">
        <f t="shared" si="55"/>
        <v>F706G5T4</v>
      </c>
      <c r="G3574" s="14" t="s">
        <v>323</v>
      </c>
    </row>
    <row r="3575" spans="1:7">
      <c r="A3575">
        <v>70</v>
      </c>
      <c r="B3575">
        <v>7</v>
      </c>
      <c r="C3575">
        <v>5</v>
      </c>
      <c r="E3575">
        <v>4</v>
      </c>
      <c r="F3575" t="str">
        <f t="shared" si="55"/>
        <v>F707G5T4</v>
      </c>
      <c r="G3575" s="14" t="s">
        <v>323</v>
      </c>
    </row>
    <row r="3576" spans="1:7">
      <c r="A3576">
        <v>77</v>
      </c>
      <c r="B3576">
        <v>1</v>
      </c>
      <c r="C3576">
        <v>3</v>
      </c>
      <c r="E3576">
        <v>1</v>
      </c>
      <c r="F3576" t="str">
        <f t="shared" si="55"/>
        <v>F771G3T1</v>
      </c>
      <c r="G3576" s="14" t="s">
        <v>323</v>
      </c>
    </row>
    <row r="3577" spans="1:7">
      <c r="A3577">
        <v>77</v>
      </c>
      <c r="B3577">
        <v>2</v>
      </c>
      <c r="C3577">
        <v>3</v>
      </c>
      <c r="E3577">
        <v>1</v>
      </c>
      <c r="F3577" t="str">
        <f t="shared" si="55"/>
        <v>F772G3T1</v>
      </c>
      <c r="G3577" s="14" t="s">
        <v>323</v>
      </c>
    </row>
    <row r="3578" spans="1:7">
      <c r="A3578">
        <v>77</v>
      </c>
      <c r="B3578">
        <v>4</v>
      </c>
      <c r="C3578">
        <v>3</v>
      </c>
      <c r="E3578">
        <v>1</v>
      </c>
      <c r="F3578" t="str">
        <f t="shared" si="55"/>
        <v>F774G3T1</v>
      </c>
      <c r="G3578" s="14" t="s">
        <v>323</v>
      </c>
    </row>
    <row r="3579" spans="1:7">
      <c r="A3579">
        <v>77</v>
      </c>
      <c r="B3579">
        <v>5</v>
      </c>
      <c r="C3579">
        <v>3</v>
      </c>
      <c r="E3579">
        <v>1</v>
      </c>
      <c r="F3579" t="str">
        <f t="shared" si="55"/>
        <v>F775G3T1</v>
      </c>
      <c r="G3579" s="14" t="s">
        <v>323</v>
      </c>
    </row>
    <row r="3580" spans="1:7">
      <c r="A3580">
        <v>77</v>
      </c>
      <c r="B3580">
        <v>6</v>
      </c>
      <c r="C3580">
        <v>3</v>
      </c>
      <c r="E3580">
        <v>1</v>
      </c>
      <c r="F3580" t="str">
        <f t="shared" si="55"/>
        <v>F776G3T1</v>
      </c>
      <c r="G3580" s="14" t="s">
        <v>323</v>
      </c>
    </row>
    <row r="3581" spans="1:7">
      <c r="A3581">
        <v>77</v>
      </c>
      <c r="B3581">
        <v>7</v>
      </c>
      <c r="C3581">
        <v>3</v>
      </c>
      <c r="E3581">
        <v>1</v>
      </c>
      <c r="F3581" t="str">
        <f t="shared" si="55"/>
        <v>F777G3T1</v>
      </c>
      <c r="G3581" s="14" t="s">
        <v>323</v>
      </c>
    </row>
    <row r="3582" spans="1:7">
      <c r="A3582">
        <v>77</v>
      </c>
      <c r="B3582">
        <v>1</v>
      </c>
      <c r="C3582">
        <v>4</v>
      </c>
      <c r="E3582">
        <v>1</v>
      </c>
      <c r="F3582" t="str">
        <f t="shared" si="55"/>
        <v>F771G4T1</v>
      </c>
      <c r="G3582" s="14" t="s">
        <v>323</v>
      </c>
    </row>
    <row r="3583" spans="1:7">
      <c r="A3583">
        <v>77</v>
      </c>
      <c r="B3583">
        <v>2</v>
      </c>
      <c r="C3583">
        <v>4</v>
      </c>
      <c r="E3583">
        <v>1</v>
      </c>
      <c r="F3583" t="str">
        <f t="shared" si="55"/>
        <v>F772G4T1</v>
      </c>
      <c r="G3583" s="14" t="s">
        <v>323</v>
      </c>
    </row>
    <row r="3584" spans="1:7">
      <c r="A3584">
        <v>77</v>
      </c>
      <c r="B3584">
        <v>4</v>
      </c>
      <c r="C3584">
        <v>4</v>
      </c>
      <c r="E3584">
        <v>1</v>
      </c>
      <c r="F3584" t="str">
        <f t="shared" si="55"/>
        <v>F774G4T1</v>
      </c>
      <c r="G3584" s="14" t="s">
        <v>323</v>
      </c>
    </row>
    <row r="3585" spans="1:7">
      <c r="A3585">
        <v>77</v>
      </c>
      <c r="B3585">
        <v>5</v>
      </c>
      <c r="C3585">
        <v>4</v>
      </c>
      <c r="E3585">
        <v>1</v>
      </c>
      <c r="F3585" t="str">
        <f t="shared" si="55"/>
        <v>F775G4T1</v>
      </c>
      <c r="G3585" s="14" t="s">
        <v>323</v>
      </c>
    </row>
    <row r="3586" spans="1:7">
      <c r="A3586">
        <v>77</v>
      </c>
      <c r="B3586">
        <v>6</v>
      </c>
      <c r="C3586">
        <v>4</v>
      </c>
      <c r="E3586">
        <v>1</v>
      </c>
      <c r="F3586" t="str">
        <f t="shared" si="55"/>
        <v>F776G4T1</v>
      </c>
      <c r="G3586" s="14" t="s">
        <v>323</v>
      </c>
    </row>
    <row r="3587" spans="1:7">
      <c r="A3587">
        <v>77</v>
      </c>
      <c r="B3587">
        <v>7</v>
      </c>
      <c r="C3587">
        <v>4</v>
      </c>
      <c r="E3587">
        <v>1</v>
      </c>
      <c r="F3587" t="str">
        <f t="shared" ref="F3587:F3650" si="56">CONCATENATE("F",A3587,B3587,"G",C3587,"T",E3587)</f>
        <v>F777G4T1</v>
      </c>
      <c r="G3587" s="14" t="s">
        <v>323</v>
      </c>
    </row>
    <row r="3588" spans="1:7">
      <c r="A3588">
        <v>77</v>
      </c>
      <c r="B3588">
        <v>1</v>
      </c>
      <c r="C3588">
        <v>5</v>
      </c>
      <c r="E3588">
        <v>1</v>
      </c>
      <c r="F3588" t="str">
        <f t="shared" si="56"/>
        <v>F771G5T1</v>
      </c>
      <c r="G3588" s="14" t="s">
        <v>323</v>
      </c>
    </row>
    <row r="3589" spans="1:7">
      <c r="A3589">
        <v>77</v>
      </c>
      <c r="B3589">
        <v>2</v>
      </c>
      <c r="C3589">
        <v>5</v>
      </c>
      <c r="E3589">
        <v>1</v>
      </c>
      <c r="F3589" t="str">
        <f t="shared" si="56"/>
        <v>F772G5T1</v>
      </c>
      <c r="G3589" s="14" t="s">
        <v>323</v>
      </c>
    </row>
    <row r="3590" spans="1:7">
      <c r="A3590">
        <v>77</v>
      </c>
      <c r="B3590">
        <v>4</v>
      </c>
      <c r="C3590">
        <v>5</v>
      </c>
      <c r="E3590">
        <v>1</v>
      </c>
      <c r="F3590" t="str">
        <f t="shared" si="56"/>
        <v>F774G5T1</v>
      </c>
      <c r="G3590" s="14" t="s">
        <v>323</v>
      </c>
    </row>
    <row r="3591" spans="1:7">
      <c r="A3591">
        <v>77</v>
      </c>
      <c r="B3591">
        <v>5</v>
      </c>
      <c r="C3591">
        <v>5</v>
      </c>
      <c r="E3591">
        <v>1</v>
      </c>
      <c r="F3591" t="str">
        <f t="shared" si="56"/>
        <v>F775G5T1</v>
      </c>
      <c r="G3591" s="14" t="s">
        <v>323</v>
      </c>
    </row>
    <row r="3592" spans="1:7">
      <c r="A3592">
        <v>77</v>
      </c>
      <c r="B3592">
        <v>6</v>
      </c>
      <c r="C3592">
        <v>5</v>
      </c>
      <c r="E3592">
        <v>1</v>
      </c>
      <c r="F3592" t="str">
        <f t="shared" si="56"/>
        <v>F776G5T1</v>
      </c>
      <c r="G3592" s="14" t="s">
        <v>323</v>
      </c>
    </row>
    <row r="3593" spans="1:7">
      <c r="A3593">
        <v>77</v>
      </c>
      <c r="B3593">
        <v>7</v>
      </c>
      <c r="C3593">
        <v>5</v>
      </c>
      <c r="E3593">
        <v>1</v>
      </c>
      <c r="F3593" t="str">
        <f t="shared" si="56"/>
        <v>F777G5T1</v>
      </c>
      <c r="G3593" s="14" t="s">
        <v>323</v>
      </c>
    </row>
    <row r="3594" spans="1:7">
      <c r="A3594">
        <v>77</v>
      </c>
      <c r="B3594">
        <v>1</v>
      </c>
      <c r="C3594">
        <v>3</v>
      </c>
      <c r="E3594">
        <v>4</v>
      </c>
      <c r="F3594" t="str">
        <f t="shared" si="56"/>
        <v>F771G3T4</v>
      </c>
      <c r="G3594" s="14" t="s">
        <v>323</v>
      </c>
    </row>
    <row r="3595" spans="1:7">
      <c r="A3595">
        <v>77</v>
      </c>
      <c r="B3595">
        <v>2</v>
      </c>
      <c r="C3595">
        <v>3</v>
      </c>
      <c r="E3595">
        <v>4</v>
      </c>
      <c r="F3595" t="str">
        <f t="shared" si="56"/>
        <v>F772G3T4</v>
      </c>
      <c r="G3595" s="14" t="s">
        <v>323</v>
      </c>
    </row>
    <row r="3596" spans="1:7">
      <c r="A3596">
        <v>77</v>
      </c>
      <c r="B3596">
        <v>4</v>
      </c>
      <c r="C3596">
        <v>3</v>
      </c>
      <c r="E3596">
        <v>4</v>
      </c>
      <c r="F3596" t="str">
        <f t="shared" si="56"/>
        <v>F774G3T4</v>
      </c>
      <c r="G3596" s="14" t="s">
        <v>323</v>
      </c>
    </row>
    <row r="3597" spans="1:7">
      <c r="A3597">
        <v>77</v>
      </c>
      <c r="B3597">
        <v>5</v>
      </c>
      <c r="C3597">
        <v>3</v>
      </c>
      <c r="E3597">
        <v>4</v>
      </c>
      <c r="F3597" t="str">
        <f t="shared" si="56"/>
        <v>F775G3T4</v>
      </c>
      <c r="G3597" s="14" t="s">
        <v>323</v>
      </c>
    </row>
    <row r="3598" spans="1:7">
      <c r="A3598">
        <v>77</v>
      </c>
      <c r="B3598">
        <v>6</v>
      </c>
      <c r="C3598">
        <v>3</v>
      </c>
      <c r="E3598">
        <v>4</v>
      </c>
      <c r="F3598" t="str">
        <f t="shared" si="56"/>
        <v>F776G3T4</v>
      </c>
      <c r="G3598" s="14" t="s">
        <v>323</v>
      </c>
    </row>
    <row r="3599" spans="1:7">
      <c r="A3599">
        <v>77</v>
      </c>
      <c r="B3599">
        <v>7</v>
      </c>
      <c r="C3599">
        <v>3</v>
      </c>
      <c r="E3599">
        <v>4</v>
      </c>
      <c r="F3599" t="str">
        <f t="shared" si="56"/>
        <v>F777G3T4</v>
      </c>
      <c r="G3599" s="14" t="s">
        <v>323</v>
      </c>
    </row>
    <row r="3600" spans="1:7">
      <c r="A3600">
        <v>77</v>
      </c>
      <c r="B3600">
        <v>1</v>
      </c>
      <c r="C3600">
        <v>4</v>
      </c>
      <c r="E3600">
        <v>4</v>
      </c>
      <c r="F3600" t="str">
        <f t="shared" si="56"/>
        <v>F771G4T4</v>
      </c>
      <c r="G3600" s="14" t="s">
        <v>323</v>
      </c>
    </row>
    <row r="3601" spans="1:7">
      <c r="A3601">
        <v>77</v>
      </c>
      <c r="B3601">
        <v>2</v>
      </c>
      <c r="C3601">
        <v>4</v>
      </c>
      <c r="E3601">
        <v>4</v>
      </c>
      <c r="F3601" t="str">
        <f t="shared" si="56"/>
        <v>F772G4T4</v>
      </c>
      <c r="G3601" s="14" t="s">
        <v>323</v>
      </c>
    </row>
    <row r="3602" spans="1:7">
      <c r="A3602">
        <v>77</v>
      </c>
      <c r="B3602">
        <v>4</v>
      </c>
      <c r="C3602">
        <v>4</v>
      </c>
      <c r="E3602">
        <v>4</v>
      </c>
      <c r="F3602" t="str">
        <f t="shared" si="56"/>
        <v>F774G4T4</v>
      </c>
      <c r="G3602" s="14" t="s">
        <v>323</v>
      </c>
    </row>
    <row r="3603" spans="1:7">
      <c r="A3603">
        <v>77</v>
      </c>
      <c r="B3603">
        <v>5</v>
      </c>
      <c r="C3603">
        <v>4</v>
      </c>
      <c r="E3603">
        <v>4</v>
      </c>
      <c r="F3603" t="str">
        <f t="shared" si="56"/>
        <v>F775G4T4</v>
      </c>
      <c r="G3603" s="14" t="s">
        <v>323</v>
      </c>
    </row>
    <row r="3604" spans="1:7">
      <c r="A3604">
        <v>77</v>
      </c>
      <c r="B3604">
        <v>6</v>
      </c>
      <c r="C3604">
        <v>4</v>
      </c>
      <c r="E3604">
        <v>4</v>
      </c>
      <c r="F3604" t="str">
        <f t="shared" si="56"/>
        <v>F776G4T4</v>
      </c>
      <c r="G3604" s="14" t="s">
        <v>323</v>
      </c>
    </row>
    <row r="3605" spans="1:7">
      <c r="A3605">
        <v>77</v>
      </c>
      <c r="B3605">
        <v>7</v>
      </c>
      <c r="C3605">
        <v>4</v>
      </c>
      <c r="E3605">
        <v>4</v>
      </c>
      <c r="F3605" t="str">
        <f t="shared" si="56"/>
        <v>F777G4T4</v>
      </c>
      <c r="G3605" s="14" t="s">
        <v>323</v>
      </c>
    </row>
    <row r="3606" spans="1:7">
      <c r="A3606">
        <v>77</v>
      </c>
      <c r="B3606">
        <v>1</v>
      </c>
      <c r="C3606">
        <v>5</v>
      </c>
      <c r="E3606">
        <v>4</v>
      </c>
      <c r="F3606" t="str">
        <f t="shared" si="56"/>
        <v>F771G5T4</v>
      </c>
      <c r="G3606" s="14" t="s">
        <v>323</v>
      </c>
    </row>
    <row r="3607" spans="1:7">
      <c r="A3607">
        <v>77</v>
      </c>
      <c r="B3607">
        <v>2</v>
      </c>
      <c r="C3607">
        <v>5</v>
      </c>
      <c r="E3607">
        <v>4</v>
      </c>
      <c r="F3607" t="str">
        <f t="shared" si="56"/>
        <v>F772G5T4</v>
      </c>
      <c r="G3607" s="14" t="s">
        <v>323</v>
      </c>
    </row>
    <row r="3608" spans="1:7">
      <c r="A3608">
        <v>77</v>
      </c>
      <c r="B3608">
        <v>4</v>
      </c>
      <c r="C3608">
        <v>5</v>
      </c>
      <c r="E3608">
        <v>4</v>
      </c>
      <c r="F3608" t="str">
        <f t="shared" si="56"/>
        <v>F774G5T4</v>
      </c>
      <c r="G3608" s="14" t="s">
        <v>323</v>
      </c>
    </row>
    <row r="3609" spans="1:7">
      <c r="A3609">
        <v>77</v>
      </c>
      <c r="B3609">
        <v>5</v>
      </c>
      <c r="C3609">
        <v>5</v>
      </c>
      <c r="E3609">
        <v>4</v>
      </c>
      <c r="F3609" t="str">
        <f t="shared" si="56"/>
        <v>F775G5T4</v>
      </c>
      <c r="G3609" s="14" t="s">
        <v>323</v>
      </c>
    </row>
    <row r="3610" spans="1:7">
      <c r="A3610">
        <v>77</v>
      </c>
      <c r="B3610">
        <v>6</v>
      </c>
      <c r="C3610">
        <v>5</v>
      </c>
      <c r="E3610">
        <v>4</v>
      </c>
      <c r="F3610" t="str">
        <f t="shared" si="56"/>
        <v>F776G5T4</v>
      </c>
      <c r="G3610" s="14" t="s">
        <v>323</v>
      </c>
    </row>
    <row r="3611" spans="1:7">
      <c r="A3611">
        <v>77</v>
      </c>
      <c r="B3611">
        <v>7</v>
      </c>
      <c r="C3611">
        <v>5</v>
      </c>
      <c r="E3611">
        <v>4</v>
      </c>
      <c r="F3611" t="str">
        <f t="shared" si="56"/>
        <v>F777G5T4</v>
      </c>
      <c r="G3611" s="14" t="s">
        <v>323</v>
      </c>
    </row>
    <row r="3612" spans="1:7">
      <c r="A3612">
        <v>78</v>
      </c>
      <c r="B3612">
        <v>1</v>
      </c>
      <c r="C3612">
        <v>3</v>
      </c>
      <c r="E3612">
        <v>1</v>
      </c>
      <c r="F3612" t="str">
        <f t="shared" si="56"/>
        <v>F781G3T1</v>
      </c>
      <c r="G3612" s="14" t="s">
        <v>323</v>
      </c>
    </row>
    <row r="3613" spans="1:7">
      <c r="A3613">
        <v>78</v>
      </c>
      <c r="B3613">
        <v>2</v>
      </c>
      <c r="C3613">
        <v>3</v>
      </c>
      <c r="E3613">
        <v>1</v>
      </c>
      <c r="F3613" t="str">
        <f t="shared" si="56"/>
        <v>F782G3T1</v>
      </c>
      <c r="G3613" s="14" t="s">
        <v>323</v>
      </c>
    </row>
    <row r="3614" spans="1:7">
      <c r="A3614">
        <v>78</v>
      </c>
      <c r="B3614">
        <v>4</v>
      </c>
      <c r="C3614">
        <v>3</v>
      </c>
      <c r="E3614">
        <v>1</v>
      </c>
      <c r="F3614" t="str">
        <f t="shared" si="56"/>
        <v>F784G3T1</v>
      </c>
      <c r="G3614" s="14" t="s">
        <v>323</v>
      </c>
    </row>
    <row r="3615" spans="1:7">
      <c r="A3615">
        <v>78</v>
      </c>
      <c r="B3615">
        <v>5</v>
      </c>
      <c r="C3615">
        <v>3</v>
      </c>
      <c r="E3615">
        <v>1</v>
      </c>
      <c r="F3615" t="str">
        <f t="shared" si="56"/>
        <v>F785G3T1</v>
      </c>
      <c r="G3615" s="14" t="s">
        <v>323</v>
      </c>
    </row>
    <row r="3616" spans="1:7">
      <c r="A3616">
        <v>78</v>
      </c>
      <c r="B3616">
        <v>6</v>
      </c>
      <c r="C3616">
        <v>3</v>
      </c>
      <c r="E3616">
        <v>1</v>
      </c>
      <c r="F3616" t="str">
        <f t="shared" si="56"/>
        <v>F786G3T1</v>
      </c>
      <c r="G3616" s="14" t="s">
        <v>323</v>
      </c>
    </row>
    <row r="3617" spans="1:7">
      <c r="A3617">
        <v>78</v>
      </c>
      <c r="B3617">
        <v>7</v>
      </c>
      <c r="C3617">
        <v>3</v>
      </c>
      <c r="E3617">
        <v>1</v>
      </c>
      <c r="F3617" t="str">
        <f t="shared" si="56"/>
        <v>F787G3T1</v>
      </c>
      <c r="G3617" s="14" t="s">
        <v>323</v>
      </c>
    </row>
    <row r="3618" spans="1:7">
      <c r="A3618">
        <v>78</v>
      </c>
      <c r="B3618">
        <v>1</v>
      </c>
      <c r="C3618">
        <v>4</v>
      </c>
      <c r="E3618">
        <v>1</v>
      </c>
      <c r="F3618" t="str">
        <f t="shared" si="56"/>
        <v>F781G4T1</v>
      </c>
      <c r="G3618" s="14" t="s">
        <v>323</v>
      </c>
    </row>
    <row r="3619" spans="1:7">
      <c r="A3619">
        <v>78</v>
      </c>
      <c r="B3619">
        <v>2</v>
      </c>
      <c r="C3619">
        <v>4</v>
      </c>
      <c r="E3619">
        <v>1</v>
      </c>
      <c r="F3619" t="str">
        <f t="shared" si="56"/>
        <v>F782G4T1</v>
      </c>
      <c r="G3619" s="14" t="s">
        <v>323</v>
      </c>
    </row>
    <row r="3620" spans="1:7">
      <c r="A3620">
        <v>78</v>
      </c>
      <c r="B3620">
        <v>4</v>
      </c>
      <c r="C3620">
        <v>4</v>
      </c>
      <c r="E3620">
        <v>1</v>
      </c>
      <c r="F3620" t="str">
        <f t="shared" si="56"/>
        <v>F784G4T1</v>
      </c>
      <c r="G3620" s="14" t="s">
        <v>323</v>
      </c>
    </row>
    <row r="3621" spans="1:7">
      <c r="A3621">
        <v>78</v>
      </c>
      <c r="B3621">
        <v>5</v>
      </c>
      <c r="C3621">
        <v>4</v>
      </c>
      <c r="E3621">
        <v>1</v>
      </c>
      <c r="F3621" t="str">
        <f t="shared" si="56"/>
        <v>F785G4T1</v>
      </c>
      <c r="G3621" s="14" t="s">
        <v>323</v>
      </c>
    </row>
    <row r="3622" spans="1:7">
      <c r="A3622">
        <v>78</v>
      </c>
      <c r="B3622">
        <v>6</v>
      </c>
      <c r="C3622">
        <v>4</v>
      </c>
      <c r="E3622">
        <v>1</v>
      </c>
      <c r="F3622" t="str">
        <f t="shared" si="56"/>
        <v>F786G4T1</v>
      </c>
      <c r="G3622" s="14" t="s">
        <v>323</v>
      </c>
    </row>
    <row r="3623" spans="1:7">
      <c r="A3623">
        <v>78</v>
      </c>
      <c r="B3623">
        <v>7</v>
      </c>
      <c r="C3623">
        <v>4</v>
      </c>
      <c r="E3623">
        <v>1</v>
      </c>
      <c r="F3623" t="str">
        <f t="shared" si="56"/>
        <v>F787G4T1</v>
      </c>
      <c r="G3623" s="14" t="s">
        <v>323</v>
      </c>
    </row>
    <row r="3624" spans="1:7">
      <c r="A3624">
        <v>78</v>
      </c>
      <c r="B3624">
        <v>1</v>
      </c>
      <c r="C3624">
        <v>5</v>
      </c>
      <c r="E3624">
        <v>1</v>
      </c>
      <c r="F3624" t="str">
        <f t="shared" si="56"/>
        <v>F781G5T1</v>
      </c>
      <c r="G3624" s="14" t="s">
        <v>323</v>
      </c>
    </row>
    <row r="3625" spans="1:7">
      <c r="A3625">
        <v>78</v>
      </c>
      <c r="B3625">
        <v>2</v>
      </c>
      <c r="C3625">
        <v>5</v>
      </c>
      <c r="E3625">
        <v>1</v>
      </c>
      <c r="F3625" t="str">
        <f t="shared" si="56"/>
        <v>F782G5T1</v>
      </c>
      <c r="G3625" s="14" t="s">
        <v>323</v>
      </c>
    </row>
    <row r="3626" spans="1:7">
      <c r="A3626">
        <v>78</v>
      </c>
      <c r="B3626">
        <v>4</v>
      </c>
      <c r="C3626">
        <v>5</v>
      </c>
      <c r="E3626">
        <v>1</v>
      </c>
      <c r="F3626" t="str">
        <f t="shared" si="56"/>
        <v>F784G5T1</v>
      </c>
      <c r="G3626" s="14" t="s">
        <v>323</v>
      </c>
    </row>
    <row r="3627" spans="1:7">
      <c r="A3627">
        <v>78</v>
      </c>
      <c r="B3627">
        <v>5</v>
      </c>
      <c r="C3627">
        <v>5</v>
      </c>
      <c r="E3627">
        <v>1</v>
      </c>
      <c r="F3627" t="str">
        <f t="shared" si="56"/>
        <v>F785G5T1</v>
      </c>
      <c r="G3627" s="14" t="s">
        <v>323</v>
      </c>
    </row>
    <row r="3628" spans="1:7">
      <c r="A3628">
        <v>78</v>
      </c>
      <c r="B3628">
        <v>6</v>
      </c>
      <c r="C3628">
        <v>5</v>
      </c>
      <c r="E3628">
        <v>1</v>
      </c>
      <c r="F3628" t="str">
        <f t="shared" si="56"/>
        <v>F786G5T1</v>
      </c>
      <c r="G3628" s="14" t="s">
        <v>323</v>
      </c>
    </row>
    <row r="3629" spans="1:7">
      <c r="A3629">
        <v>78</v>
      </c>
      <c r="B3629">
        <v>7</v>
      </c>
      <c r="C3629">
        <v>5</v>
      </c>
      <c r="E3629">
        <v>1</v>
      </c>
      <c r="F3629" t="str">
        <f t="shared" si="56"/>
        <v>F787G5T1</v>
      </c>
      <c r="G3629" s="14" t="s">
        <v>323</v>
      </c>
    </row>
    <row r="3630" spans="1:7">
      <c r="A3630">
        <v>78</v>
      </c>
      <c r="B3630">
        <v>1</v>
      </c>
      <c r="C3630">
        <v>3</v>
      </c>
      <c r="E3630">
        <v>4</v>
      </c>
      <c r="F3630" t="str">
        <f t="shared" si="56"/>
        <v>F781G3T4</v>
      </c>
      <c r="G3630" s="14" t="s">
        <v>323</v>
      </c>
    </row>
    <row r="3631" spans="1:7">
      <c r="A3631">
        <v>78</v>
      </c>
      <c r="B3631">
        <v>2</v>
      </c>
      <c r="C3631">
        <v>3</v>
      </c>
      <c r="E3631">
        <v>4</v>
      </c>
      <c r="F3631" t="str">
        <f t="shared" si="56"/>
        <v>F782G3T4</v>
      </c>
      <c r="G3631" s="14" t="s">
        <v>323</v>
      </c>
    </row>
    <row r="3632" spans="1:7">
      <c r="A3632">
        <v>78</v>
      </c>
      <c r="B3632">
        <v>4</v>
      </c>
      <c r="C3632">
        <v>3</v>
      </c>
      <c r="E3632">
        <v>4</v>
      </c>
      <c r="F3632" t="str">
        <f t="shared" si="56"/>
        <v>F784G3T4</v>
      </c>
      <c r="G3632" s="14" t="s">
        <v>323</v>
      </c>
    </row>
    <row r="3633" spans="1:7">
      <c r="A3633">
        <v>78</v>
      </c>
      <c r="B3633">
        <v>5</v>
      </c>
      <c r="C3633">
        <v>3</v>
      </c>
      <c r="E3633">
        <v>4</v>
      </c>
      <c r="F3633" t="str">
        <f t="shared" si="56"/>
        <v>F785G3T4</v>
      </c>
      <c r="G3633" s="14" t="s">
        <v>323</v>
      </c>
    </row>
    <row r="3634" spans="1:7">
      <c r="A3634">
        <v>78</v>
      </c>
      <c r="B3634">
        <v>6</v>
      </c>
      <c r="C3634">
        <v>3</v>
      </c>
      <c r="E3634">
        <v>4</v>
      </c>
      <c r="F3634" t="str">
        <f t="shared" si="56"/>
        <v>F786G3T4</v>
      </c>
      <c r="G3634" s="14" t="s">
        <v>323</v>
      </c>
    </row>
    <row r="3635" spans="1:7">
      <c r="A3635">
        <v>78</v>
      </c>
      <c r="B3635">
        <v>7</v>
      </c>
      <c r="C3635">
        <v>3</v>
      </c>
      <c r="E3635">
        <v>4</v>
      </c>
      <c r="F3635" t="str">
        <f t="shared" si="56"/>
        <v>F787G3T4</v>
      </c>
      <c r="G3635" s="14" t="s">
        <v>323</v>
      </c>
    </row>
    <row r="3636" spans="1:7">
      <c r="A3636">
        <v>78</v>
      </c>
      <c r="B3636">
        <v>1</v>
      </c>
      <c r="C3636">
        <v>4</v>
      </c>
      <c r="E3636">
        <v>4</v>
      </c>
      <c r="F3636" t="str">
        <f t="shared" si="56"/>
        <v>F781G4T4</v>
      </c>
      <c r="G3636" s="14" t="s">
        <v>323</v>
      </c>
    </row>
    <row r="3637" spans="1:7">
      <c r="A3637">
        <v>78</v>
      </c>
      <c r="B3637">
        <v>2</v>
      </c>
      <c r="C3637">
        <v>4</v>
      </c>
      <c r="E3637">
        <v>4</v>
      </c>
      <c r="F3637" t="str">
        <f t="shared" si="56"/>
        <v>F782G4T4</v>
      </c>
      <c r="G3637" s="14" t="s">
        <v>323</v>
      </c>
    </row>
    <row r="3638" spans="1:7">
      <c r="A3638">
        <v>78</v>
      </c>
      <c r="B3638">
        <v>4</v>
      </c>
      <c r="C3638">
        <v>4</v>
      </c>
      <c r="E3638">
        <v>4</v>
      </c>
      <c r="F3638" t="str">
        <f t="shared" si="56"/>
        <v>F784G4T4</v>
      </c>
      <c r="G3638" s="14" t="s">
        <v>323</v>
      </c>
    </row>
    <row r="3639" spans="1:7">
      <c r="A3639">
        <v>78</v>
      </c>
      <c r="B3639">
        <v>5</v>
      </c>
      <c r="C3639">
        <v>4</v>
      </c>
      <c r="E3639">
        <v>4</v>
      </c>
      <c r="F3639" t="str">
        <f t="shared" si="56"/>
        <v>F785G4T4</v>
      </c>
      <c r="G3639" s="14" t="s">
        <v>323</v>
      </c>
    </row>
    <row r="3640" spans="1:7">
      <c r="A3640">
        <v>78</v>
      </c>
      <c r="B3640">
        <v>6</v>
      </c>
      <c r="C3640">
        <v>4</v>
      </c>
      <c r="E3640">
        <v>4</v>
      </c>
      <c r="F3640" t="str">
        <f t="shared" si="56"/>
        <v>F786G4T4</v>
      </c>
      <c r="G3640" s="14" t="s">
        <v>323</v>
      </c>
    </row>
    <row r="3641" spans="1:7">
      <c r="A3641">
        <v>78</v>
      </c>
      <c r="B3641">
        <v>7</v>
      </c>
      <c r="C3641">
        <v>4</v>
      </c>
      <c r="E3641">
        <v>4</v>
      </c>
      <c r="F3641" t="str">
        <f t="shared" si="56"/>
        <v>F787G4T4</v>
      </c>
      <c r="G3641" s="14" t="s">
        <v>323</v>
      </c>
    </row>
    <row r="3642" spans="1:7">
      <c r="A3642">
        <v>78</v>
      </c>
      <c r="B3642">
        <v>1</v>
      </c>
      <c r="C3642">
        <v>5</v>
      </c>
      <c r="E3642">
        <v>4</v>
      </c>
      <c r="F3642" t="str">
        <f t="shared" si="56"/>
        <v>F781G5T4</v>
      </c>
      <c r="G3642" s="14" t="s">
        <v>323</v>
      </c>
    </row>
    <row r="3643" spans="1:7">
      <c r="A3643">
        <v>78</v>
      </c>
      <c r="B3643">
        <v>2</v>
      </c>
      <c r="C3643">
        <v>5</v>
      </c>
      <c r="E3643">
        <v>4</v>
      </c>
      <c r="F3643" t="str">
        <f t="shared" si="56"/>
        <v>F782G5T4</v>
      </c>
      <c r="G3643" s="14" t="s">
        <v>323</v>
      </c>
    </row>
    <row r="3644" spans="1:7">
      <c r="A3644">
        <v>78</v>
      </c>
      <c r="B3644">
        <v>4</v>
      </c>
      <c r="C3644">
        <v>5</v>
      </c>
      <c r="E3644">
        <v>4</v>
      </c>
      <c r="F3644" t="str">
        <f t="shared" si="56"/>
        <v>F784G5T4</v>
      </c>
      <c r="G3644" s="14" t="s">
        <v>323</v>
      </c>
    </row>
    <row r="3645" spans="1:7">
      <c r="A3645">
        <v>78</v>
      </c>
      <c r="B3645">
        <v>5</v>
      </c>
      <c r="C3645">
        <v>5</v>
      </c>
      <c r="E3645">
        <v>4</v>
      </c>
      <c r="F3645" t="str">
        <f t="shared" si="56"/>
        <v>F785G5T4</v>
      </c>
      <c r="G3645" s="14" t="s">
        <v>323</v>
      </c>
    </row>
    <row r="3646" spans="1:7">
      <c r="A3646">
        <v>78</v>
      </c>
      <c r="B3646">
        <v>6</v>
      </c>
      <c r="C3646">
        <v>5</v>
      </c>
      <c r="E3646">
        <v>4</v>
      </c>
      <c r="F3646" t="str">
        <f t="shared" si="56"/>
        <v>F786G5T4</v>
      </c>
      <c r="G3646" s="14" t="s">
        <v>323</v>
      </c>
    </row>
    <row r="3647" spans="1:7">
      <c r="A3647">
        <v>78</v>
      </c>
      <c r="B3647">
        <v>7</v>
      </c>
      <c r="C3647">
        <v>5</v>
      </c>
      <c r="E3647">
        <v>4</v>
      </c>
      <c r="F3647" t="str">
        <f t="shared" si="56"/>
        <v>F787G5T4</v>
      </c>
      <c r="G3647" s="14" t="s">
        <v>323</v>
      </c>
    </row>
    <row r="3648" spans="1:7">
      <c r="A3648">
        <v>51</v>
      </c>
      <c r="B3648">
        <v>1</v>
      </c>
      <c r="C3648">
        <v>3</v>
      </c>
      <c r="E3648">
        <v>1</v>
      </c>
      <c r="F3648" t="str">
        <f t="shared" si="56"/>
        <v>F511G3T1</v>
      </c>
      <c r="G3648" s="14" t="s">
        <v>323</v>
      </c>
    </row>
    <row r="3649" spans="1:7">
      <c r="A3649">
        <v>51</v>
      </c>
      <c r="B3649">
        <v>2</v>
      </c>
      <c r="C3649">
        <v>3</v>
      </c>
      <c r="E3649">
        <v>1</v>
      </c>
      <c r="F3649" t="str">
        <f t="shared" si="56"/>
        <v>F512G3T1</v>
      </c>
      <c r="G3649" s="14" t="s">
        <v>323</v>
      </c>
    </row>
    <row r="3650" spans="1:7">
      <c r="A3650">
        <v>51</v>
      </c>
      <c r="B3650">
        <v>4</v>
      </c>
      <c r="C3650">
        <v>3</v>
      </c>
      <c r="E3650">
        <v>1</v>
      </c>
      <c r="F3650" t="str">
        <f t="shared" si="56"/>
        <v>F514G3T1</v>
      </c>
      <c r="G3650" s="14" t="s">
        <v>323</v>
      </c>
    </row>
    <row r="3651" spans="1:7">
      <c r="A3651">
        <v>51</v>
      </c>
      <c r="B3651">
        <v>5</v>
      </c>
      <c r="C3651">
        <v>3</v>
      </c>
      <c r="E3651">
        <v>1</v>
      </c>
      <c r="F3651" t="str">
        <f t="shared" ref="F3651:F3714" si="57">CONCATENATE("F",A3651,B3651,"G",C3651,"T",E3651)</f>
        <v>F515G3T1</v>
      </c>
      <c r="G3651" s="14" t="s">
        <v>323</v>
      </c>
    </row>
    <row r="3652" spans="1:7">
      <c r="A3652">
        <v>51</v>
      </c>
      <c r="B3652">
        <v>6</v>
      </c>
      <c r="C3652">
        <v>3</v>
      </c>
      <c r="E3652">
        <v>1</v>
      </c>
      <c r="F3652" t="str">
        <f t="shared" si="57"/>
        <v>F516G3T1</v>
      </c>
      <c r="G3652" s="14" t="s">
        <v>323</v>
      </c>
    </row>
    <row r="3653" spans="1:7">
      <c r="A3653">
        <v>51</v>
      </c>
      <c r="B3653">
        <v>7</v>
      </c>
      <c r="C3653">
        <v>3</v>
      </c>
      <c r="E3653">
        <v>1</v>
      </c>
      <c r="F3653" t="str">
        <f t="shared" si="57"/>
        <v>F517G3T1</v>
      </c>
      <c r="G3653" s="14" t="s">
        <v>323</v>
      </c>
    </row>
    <row r="3654" spans="1:7">
      <c r="A3654">
        <v>51</v>
      </c>
      <c r="B3654">
        <v>1</v>
      </c>
      <c r="C3654">
        <v>4</v>
      </c>
      <c r="E3654">
        <v>1</v>
      </c>
      <c r="F3654" t="str">
        <f t="shared" si="57"/>
        <v>F511G4T1</v>
      </c>
      <c r="G3654" s="14" t="s">
        <v>323</v>
      </c>
    </row>
    <row r="3655" spans="1:7">
      <c r="A3655">
        <v>51</v>
      </c>
      <c r="B3655">
        <v>2</v>
      </c>
      <c r="C3655">
        <v>4</v>
      </c>
      <c r="E3655">
        <v>1</v>
      </c>
      <c r="F3655" t="str">
        <f t="shared" si="57"/>
        <v>F512G4T1</v>
      </c>
      <c r="G3655" s="14" t="s">
        <v>323</v>
      </c>
    </row>
    <row r="3656" spans="1:7">
      <c r="A3656">
        <v>51</v>
      </c>
      <c r="B3656">
        <v>4</v>
      </c>
      <c r="C3656">
        <v>4</v>
      </c>
      <c r="E3656">
        <v>1</v>
      </c>
      <c r="F3656" t="str">
        <f t="shared" si="57"/>
        <v>F514G4T1</v>
      </c>
      <c r="G3656" s="14" t="s">
        <v>323</v>
      </c>
    </row>
    <row r="3657" spans="1:7">
      <c r="A3657">
        <v>51</v>
      </c>
      <c r="B3657">
        <v>5</v>
      </c>
      <c r="C3657">
        <v>4</v>
      </c>
      <c r="E3657">
        <v>1</v>
      </c>
      <c r="F3657" t="str">
        <f t="shared" si="57"/>
        <v>F515G4T1</v>
      </c>
      <c r="G3657" s="14" t="s">
        <v>323</v>
      </c>
    </row>
    <row r="3658" spans="1:7">
      <c r="A3658">
        <v>51</v>
      </c>
      <c r="B3658">
        <v>6</v>
      </c>
      <c r="C3658">
        <v>4</v>
      </c>
      <c r="E3658">
        <v>1</v>
      </c>
      <c r="F3658" t="str">
        <f t="shared" si="57"/>
        <v>F516G4T1</v>
      </c>
      <c r="G3658" s="14" t="s">
        <v>323</v>
      </c>
    </row>
    <row r="3659" spans="1:7">
      <c r="A3659">
        <v>51</v>
      </c>
      <c r="B3659">
        <v>7</v>
      </c>
      <c r="C3659">
        <v>4</v>
      </c>
      <c r="E3659">
        <v>1</v>
      </c>
      <c r="F3659" t="str">
        <f t="shared" si="57"/>
        <v>F517G4T1</v>
      </c>
      <c r="G3659" s="14" t="s">
        <v>323</v>
      </c>
    </row>
    <row r="3660" spans="1:7">
      <c r="A3660">
        <v>51</v>
      </c>
      <c r="B3660">
        <v>1</v>
      </c>
      <c r="C3660">
        <v>5</v>
      </c>
      <c r="E3660">
        <v>1</v>
      </c>
      <c r="F3660" t="str">
        <f t="shared" si="57"/>
        <v>F511G5T1</v>
      </c>
      <c r="G3660" s="14" t="s">
        <v>323</v>
      </c>
    </row>
    <row r="3661" spans="1:7">
      <c r="A3661">
        <v>51</v>
      </c>
      <c r="B3661">
        <v>2</v>
      </c>
      <c r="C3661">
        <v>5</v>
      </c>
      <c r="E3661">
        <v>1</v>
      </c>
      <c r="F3661" t="str">
        <f t="shared" si="57"/>
        <v>F512G5T1</v>
      </c>
      <c r="G3661" s="14" t="s">
        <v>323</v>
      </c>
    </row>
    <row r="3662" spans="1:7">
      <c r="A3662">
        <v>51</v>
      </c>
      <c r="B3662">
        <v>4</v>
      </c>
      <c r="C3662">
        <v>5</v>
      </c>
      <c r="E3662">
        <v>1</v>
      </c>
      <c r="F3662" t="str">
        <f t="shared" si="57"/>
        <v>F514G5T1</v>
      </c>
      <c r="G3662" s="14" t="s">
        <v>323</v>
      </c>
    </row>
    <row r="3663" spans="1:7">
      <c r="A3663">
        <v>51</v>
      </c>
      <c r="B3663">
        <v>5</v>
      </c>
      <c r="C3663">
        <v>5</v>
      </c>
      <c r="E3663">
        <v>1</v>
      </c>
      <c r="F3663" t="str">
        <f t="shared" si="57"/>
        <v>F515G5T1</v>
      </c>
      <c r="G3663" s="14" t="s">
        <v>323</v>
      </c>
    </row>
    <row r="3664" spans="1:7">
      <c r="A3664">
        <v>51</v>
      </c>
      <c r="B3664">
        <v>6</v>
      </c>
      <c r="C3664">
        <v>5</v>
      </c>
      <c r="E3664">
        <v>1</v>
      </c>
      <c r="F3664" t="str">
        <f t="shared" si="57"/>
        <v>F516G5T1</v>
      </c>
      <c r="G3664" s="14" t="s">
        <v>323</v>
      </c>
    </row>
    <row r="3665" spans="1:7">
      <c r="A3665">
        <v>51</v>
      </c>
      <c r="B3665">
        <v>7</v>
      </c>
      <c r="C3665">
        <v>5</v>
      </c>
      <c r="E3665">
        <v>1</v>
      </c>
      <c r="F3665" t="str">
        <f t="shared" si="57"/>
        <v>F517G5T1</v>
      </c>
      <c r="G3665" s="14" t="s">
        <v>323</v>
      </c>
    </row>
    <row r="3666" spans="1:7">
      <c r="A3666">
        <v>51</v>
      </c>
      <c r="B3666">
        <v>1</v>
      </c>
      <c r="C3666">
        <v>3</v>
      </c>
      <c r="E3666">
        <v>4</v>
      </c>
      <c r="F3666" t="str">
        <f t="shared" si="57"/>
        <v>F511G3T4</v>
      </c>
      <c r="G3666" s="14" t="s">
        <v>323</v>
      </c>
    </row>
    <row r="3667" spans="1:7">
      <c r="A3667">
        <v>51</v>
      </c>
      <c r="B3667">
        <v>2</v>
      </c>
      <c r="C3667">
        <v>3</v>
      </c>
      <c r="E3667">
        <v>4</v>
      </c>
      <c r="F3667" t="str">
        <f t="shared" si="57"/>
        <v>F512G3T4</v>
      </c>
      <c r="G3667" s="14" t="s">
        <v>323</v>
      </c>
    </row>
    <row r="3668" spans="1:7">
      <c r="A3668">
        <v>51</v>
      </c>
      <c r="B3668">
        <v>4</v>
      </c>
      <c r="C3668">
        <v>3</v>
      </c>
      <c r="E3668">
        <v>4</v>
      </c>
      <c r="F3668" t="str">
        <f t="shared" si="57"/>
        <v>F514G3T4</v>
      </c>
      <c r="G3668" s="14" t="s">
        <v>323</v>
      </c>
    </row>
    <row r="3669" spans="1:7">
      <c r="A3669">
        <v>51</v>
      </c>
      <c r="B3669">
        <v>5</v>
      </c>
      <c r="C3669">
        <v>3</v>
      </c>
      <c r="E3669">
        <v>4</v>
      </c>
      <c r="F3669" t="str">
        <f t="shared" si="57"/>
        <v>F515G3T4</v>
      </c>
      <c r="G3669" s="14" t="s">
        <v>323</v>
      </c>
    </row>
    <row r="3670" spans="1:7">
      <c r="A3670">
        <v>51</v>
      </c>
      <c r="B3670">
        <v>6</v>
      </c>
      <c r="C3670">
        <v>3</v>
      </c>
      <c r="E3670">
        <v>4</v>
      </c>
      <c r="F3670" t="str">
        <f t="shared" si="57"/>
        <v>F516G3T4</v>
      </c>
      <c r="G3670" s="14" t="s">
        <v>323</v>
      </c>
    </row>
    <row r="3671" spans="1:7">
      <c r="A3671">
        <v>51</v>
      </c>
      <c r="B3671">
        <v>7</v>
      </c>
      <c r="C3671">
        <v>3</v>
      </c>
      <c r="E3671">
        <v>4</v>
      </c>
      <c r="F3671" t="str">
        <f t="shared" si="57"/>
        <v>F517G3T4</v>
      </c>
      <c r="G3671" s="14" t="s">
        <v>323</v>
      </c>
    </row>
    <row r="3672" spans="1:7">
      <c r="A3672">
        <v>51</v>
      </c>
      <c r="B3672">
        <v>1</v>
      </c>
      <c r="C3672">
        <v>4</v>
      </c>
      <c r="E3672">
        <v>4</v>
      </c>
      <c r="F3672" t="str">
        <f t="shared" si="57"/>
        <v>F511G4T4</v>
      </c>
      <c r="G3672" s="14" t="s">
        <v>323</v>
      </c>
    </row>
    <row r="3673" spans="1:7">
      <c r="A3673">
        <v>51</v>
      </c>
      <c r="B3673">
        <v>2</v>
      </c>
      <c r="C3673">
        <v>4</v>
      </c>
      <c r="E3673">
        <v>4</v>
      </c>
      <c r="F3673" t="str">
        <f t="shared" si="57"/>
        <v>F512G4T4</v>
      </c>
      <c r="G3673" s="14" t="s">
        <v>323</v>
      </c>
    </row>
    <row r="3674" spans="1:7">
      <c r="A3674">
        <v>51</v>
      </c>
      <c r="B3674">
        <v>4</v>
      </c>
      <c r="C3674">
        <v>4</v>
      </c>
      <c r="E3674">
        <v>4</v>
      </c>
      <c r="F3674" t="str">
        <f t="shared" si="57"/>
        <v>F514G4T4</v>
      </c>
      <c r="G3674" s="14" t="s">
        <v>323</v>
      </c>
    </row>
    <row r="3675" spans="1:7">
      <c r="A3675">
        <v>51</v>
      </c>
      <c r="B3675">
        <v>5</v>
      </c>
      <c r="C3675">
        <v>4</v>
      </c>
      <c r="E3675">
        <v>4</v>
      </c>
      <c r="F3675" t="str">
        <f t="shared" si="57"/>
        <v>F515G4T4</v>
      </c>
      <c r="G3675" s="14" t="s">
        <v>323</v>
      </c>
    </row>
    <row r="3676" spans="1:7">
      <c r="A3676">
        <v>51</v>
      </c>
      <c r="B3676">
        <v>6</v>
      </c>
      <c r="C3676">
        <v>4</v>
      </c>
      <c r="E3676">
        <v>4</v>
      </c>
      <c r="F3676" t="str">
        <f t="shared" si="57"/>
        <v>F516G4T4</v>
      </c>
      <c r="G3676" s="14" t="s">
        <v>323</v>
      </c>
    </row>
    <row r="3677" spans="1:7">
      <c r="A3677">
        <v>51</v>
      </c>
      <c r="B3677">
        <v>7</v>
      </c>
      <c r="C3677">
        <v>4</v>
      </c>
      <c r="E3677">
        <v>4</v>
      </c>
      <c r="F3677" t="str">
        <f t="shared" si="57"/>
        <v>F517G4T4</v>
      </c>
      <c r="G3677" s="14" t="s">
        <v>323</v>
      </c>
    </row>
    <row r="3678" spans="1:7">
      <c r="A3678">
        <v>51</v>
      </c>
      <c r="B3678">
        <v>1</v>
      </c>
      <c r="C3678">
        <v>5</v>
      </c>
      <c r="E3678">
        <v>4</v>
      </c>
      <c r="F3678" t="str">
        <f t="shared" si="57"/>
        <v>F511G5T4</v>
      </c>
      <c r="G3678" s="14" t="s">
        <v>323</v>
      </c>
    </row>
    <row r="3679" spans="1:7">
      <c r="A3679">
        <v>51</v>
      </c>
      <c r="B3679">
        <v>2</v>
      </c>
      <c r="C3679">
        <v>5</v>
      </c>
      <c r="E3679">
        <v>4</v>
      </c>
      <c r="F3679" t="str">
        <f t="shared" si="57"/>
        <v>F512G5T4</v>
      </c>
      <c r="G3679" s="14" t="s">
        <v>323</v>
      </c>
    </row>
    <row r="3680" spans="1:7">
      <c r="A3680">
        <v>51</v>
      </c>
      <c r="B3680">
        <v>4</v>
      </c>
      <c r="C3680">
        <v>5</v>
      </c>
      <c r="E3680">
        <v>4</v>
      </c>
      <c r="F3680" t="str">
        <f t="shared" si="57"/>
        <v>F514G5T4</v>
      </c>
      <c r="G3680" s="14" t="s">
        <v>323</v>
      </c>
    </row>
    <row r="3681" spans="1:7">
      <c r="A3681">
        <v>51</v>
      </c>
      <c r="B3681">
        <v>5</v>
      </c>
      <c r="C3681">
        <v>5</v>
      </c>
      <c r="E3681">
        <v>4</v>
      </c>
      <c r="F3681" t="str">
        <f t="shared" si="57"/>
        <v>F515G5T4</v>
      </c>
      <c r="G3681" s="14" t="s">
        <v>323</v>
      </c>
    </row>
    <row r="3682" spans="1:7">
      <c r="A3682">
        <v>51</v>
      </c>
      <c r="B3682">
        <v>6</v>
      </c>
      <c r="C3682">
        <v>5</v>
      </c>
      <c r="E3682">
        <v>4</v>
      </c>
      <c r="F3682" t="str">
        <f t="shared" si="57"/>
        <v>F516G5T4</v>
      </c>
      <c r="G3682" s="14" t="s">
        <v>323</v>
      </c>
    </row>
    <row r="3683" spans="1:7">
      <c r="A3683">
        <v>51</v>
      </c>
      <c r="B3683">
        <v>7</v>
      </c>
      <c r="C3683">
        <v>5</v>
      </c>
      <c r="E3683">
        <v>4</v>
      </c>
      <c r="F3683" t="str">
        <f t="shared" si="57"/>
        <v>F517G5T4</v>
      </c>
      <c r="G3683" s="14" t="s">
        <v>323</v>
      </c>
    </row>
    <row r="3684" spans="1:7">
      <c r="A3684">
        <v>21</v>
      </c>
      <c r="B3684">
        <v>1</v>
      </c>
      <c r="C3684">
        <v>3</v>
      </c>
      <c r="E3684">
        <v>2</v>
      </c>
      <c r="F3684" t="str">
        <f t="shared" si="57"/>
        <v>F211G3T2</v>
      </c>
      <c r="G3684" s="14" t="s">
        <v>70</v>
      </c>
    </row>
    <row r="3685" spans="1:7">
      <c r="A3685">
        <v>21</v>
      </c>
      <c r="B3685">
        <v>2</v>
      </c>
      <c r="C3685">
        <v>3</v>
      </c>
      <c r="E3685">
        <v>2</v>
      </c>
      <c r="F3685" t="str">
        <f t="shared" si="57"/>
        <v>F212G3T2</v>
      </c>
      <c r="G3685" s="14" t="s">
        <v>70</v>
      </c>
    </row>
    <row r="3686" spans="1:7">
      <c r="A3686">
        <v>21</v>
      </c>
      <c r="B3686">
        <v>5</v>
      </c>
      <c r="C3686">
        <v>3</v>
      </c>
      <c r="E3686">
        <v>2</v>
      </c>
      <c r="F3686" t="str">
        <f t="shared" si="57"/>
        <v>F215G3T2</v>
      </c>
      <c r="G3686" s="14" t="s">
        <v>70</v>
      </c>
    </row>
    <row r="3687" spans="1:7">
      <c r="A3687">
        <v>21</v>
      </c>
      <c r="B3687">
        <v>6</v>
      </c>
      <c r="C3687">
        <v>3</v>
      </c>
      <c r="E3687">
        <v>2</v>
      </c>
      <c r="F3687" t="str">
        <f t="shared" si="57"/>
        <v>F216G3T2</v>
      </c>
      <c r="G3687" s="14" t="s">
        <v>70</v>
      </c>
    </row>
    <row r="3688" spans="1:7">
      <c r="A3688">
        <v>21</v>
      </c>
      <c r="B3688">
        <v>7</v>
      </c>
      <c r="C3688">
        <v>3</v>
      </c>
      <c r="E3688">
        <v>2</v>
      </c>
      <c r="F3688" t="str">
        <f t="shared" si="57"/>
        <v>F217G3T2</v>
      </c>
      <c r="G3688" s="14" t="s">
        <v>70</v>
      </c>
    </row>
    <row r="3689" spans="1:7">
      <c r="A3689">
        <v>21</v>
      </c>
      <c r="B3689">
        <v>1</v>
      </c>
      <c r="C3689">
        <v>4</v>
      </c>
      <c r="E3689">
        <v>2</v>
      </c>
      <c r="F3689" t="str">
        <f t="shared" si="57"/>
        <v>F211G4T2</v>
      </c>
      <c r="G3689" s="14" t="s">
        <v>70</v>
      </c>
    </row>
    <row r="3690" spans="1:7">
      <c r="A3690">
        <v>21</v>
      </c>
      <c r="B3690">
        <v>2</v>
      </c>
      <c r="C3690">
        <v>4</v>
      </c>
      <c r="E3690">
        <v>2</v>
      </c>
      <c r="F3690" t="str">
        <f t="shared" si="57"/>
        <v>F212G4T2</v>
      </c>
      <c r="G3690" s="14" t="s">
        <v>70</v>
      </c>
    </row>
    <row r="3691" spans="1:7">
      <c r="A3691">
        <v>21</v>
      </c>
      <c r="B3691">
        <v>5</v>
      </c>
      <c r="C3691">
        <v>4</v>
      </c>
      <c r="E3691">
        <v>2</v>
      </c>
      <c r="F3691" t="str">
        <f t="shared" si="57"/>
        <v>F215G4T2</v>
      </c>
      <c r="G3691" s="14" t="s">
        <v>70</v>
      </c>
    </row>
    <row r="3692" spans="1:7">
      <c r="A3692">
        <v>21</v>
      </c>
      <c r="B3692">
        <v>6</v>
      </c>
      <c r="C3692">
        <v>4</v>
      </c>
      <c r="E3692">
        <v>2</v>
      </c>
      <c r="F3692" t="str">
        <f t="shared" si="57"/>
        <v>F216G4T2</v>
      </c>
      <c r="G3692" s="14" t="s">
        <v>70</v>
      </c>
    </row>
    <row r="3693" spans="1:7">
      <c r="A3693">
        <v>21</v>
      </c>
      <c r="B3693">
        <v>7</v>
      </c>
      <c r="C3693">
        <v>4</v>
      </c>
      <c r="E3693">
        <v>2</v>
      </c>
      <c r="F3693" t="str">
        <f t="shared" si="57"/>
        <v>F217G4T2</v>
      </c>
      <c r="G3693" s="14" t="s">
        <v>70</v>
      </c>
    </row>
    <row r="3694" spans="1:7">
      <c r="A3694">
        <v>21</v>
      </c>
      <c r="B3694">
        <v>1</v>
      </c>
      <c r="C3694">
        <v>5</v>
      </c>
      <c r="E3694">
        <v>2</v>
      </c>
      <c r="F3694" t="str">
        <f t="shared" si="57"/>
        <v>F211G5T2</v>
      </c>
      <c r="G3694" s="14" t="s">
        <v>70</v>
      </c>
    </row>
    <row r="3695" spans="1:7">
      <c r="A3695">
        <v>21</v>
      </c>
      <c r="B3695">
        <v>2</v>
      </c>
      <c r="C3695">
        <v>5</v>
      </c>
      <c r="E3695">
        <v>2</v>
      </c>
      <c r="F3695" t="str">
        <f t="shared" si="57"/>
        <v>F212G5T2</v>
      </c>
      <c r="G3695" s="14" t="s">
        <v>70</v>
      </c>
    </row>
    <row r="3696" spans="1:7">
      <c r="A3696">
        <v>21</v>
      </c>
      <c r="B3696">
        <v>5</v>
      </c>
      <c r="C3696">
        <v>5</v>
      </c>
      <c r="E3696">
        <v>2</v>
      </c>
      <c r="F3696" t="str">
        <f t="shared" si="57"/>
        <v>F215G5T2</v>
      </c>
      <c r="G3696" s="14" t="s">
        <v>70</v>
      </c>
    </row>
    <row r="3697" spans="1:7">
      <c r="A3697">
        <v>21</v>
      </c>
      <c r="B3697">
        <v>6</v>
      </c>
      <c r="C3697">
        <v>5</v>
      </c>
      <c r="E3697">
        <v>2</v>
      </c>
      <c r="F3697" t="str">
        <f t="shared" si="57"/>
        <v>F216G5T2</v>
      </c>
      <c r="G3697" s="14" t="s">
        <v>70</v>
      </c>
    </row>
    <row r="3698" spans="1:7">
      <c r="A3698">
        <v>21</v>
      </c>
      <c r="B3698">
        <v>7</v>
      </c>
      <c r="C3698">
        <v>5</v>
      </c>
      <c r="E3698">
        <v>2</v>
      </c>
      <c r="F3698" t="str">
        <f t="shared" si="57"/>
        <v>F217G5T2</v>
      </c>
      <c r="G3698" s="14" t="s">
        <v>70</v>
      </c>
    </row>
    <row r="3699" spans="1:7">
      <c r="A3699">
        <v>21</v>
      </c>
      <c r="B3699">
        <v>1</v>
      </c>
      <c r="C3699">
        <v>3</v>
      </c>
      <c r="E3699">
        <v>3</v>
      </c>
      <c r="F3699" t="str">
        <f t="shared" si="57"/>
        <v>F211G3T3</v>
      </c>
      <c r="G3699" s="14" t="s">
        <v>324</v>
      </c>
    </row>
    <row r="3700" spans="1:7">
      <c r="A3700">
        <v>21</v>
      </c>
      <c r="B3700">
        <v>2</v>
      </c>
      <c r="C3700">
        <v>3</v>
      </c>
      <c r="E3700">
        <v>3</v>
      </c>
      <c r="F3700" t="str">
        <f t="shared" si="57"/>
        <v>F212G3T3</v>
      </c>
      <c r="G3700" s="14" t="s">
        <v>324</v>
      </c>
    </row>
    <row r="3701" spans="1:7">
      <c r="A3701">
        <v>21</v>
      </c>
      <c r="B3701">
        <v>5</v>
      </c>
      <c r="C3701">
        <v>3</v>
      </c>
      <c r="E3701">
        <v>3</v>
      </c>
      <c r="F3701" t="str">
        <f t="shared" si="57"/>
        <v>F215G3T3</v>
      </c>
      <c r="G3701" s="14" t="s">
        <v>324</v>
      </c>
    </row>
    <row r="3702" spans="1:7">
      <c r="A3702">
        <v>21</v>
      </c>
      <c r="B3702">
        <v>6</v>
      </c>
      <c r="C3702">
        <v>3</v>
      </c>
      <c r="E3702">
        <v>3</v>
      </c>
      <c r="F3702" t="str">
        <f t="shared" si="57"/>
        <v>F216G3T3</v>
      </c>
      <c r="G3702" s="14" t="s">
        <v>324</v>
      </c>
    </row>
    <row r="3703" spans="1:7">
      <c r="A3703">
        <v>21</v>
      </c>
      <c r="B3703">
        <v>7</v>
      </c>
      <c r="C3703">
        <v>3</v>
      </c>
      <c r="E3703">
        <v>3</v>
      </c>
      <c r="F3703" t="str">
        <f t="shared" si="57"/>
        <v>F217G3T3</v>
      </c>
      <c r="G3703" s="14" t="s">
        <v>324</v>
      </c>
    </row>
    <row r="3704" spans="1:7">
      <c r="A3704">
        <v>21</v>
      </c>
      <c r="B3704">
        <v>1</v>
      </c>
      <c r="C3704">
        <v>4</v>
      </c>
      <c r="E3704">
        <v>3</v>
      </c>
      <c r="F3704" t="str">
        <f t="shared" si="57"/>
        <v>F211G4T3</v>
      </c>
      <c r="G3704" s="14" t="s">
        <v>324</v>
      </c>
    </row>
    <row r="3705" spans="1:7">
      <c r="A3705">
        <v>21</v>
      </c>
      <c r="B3705">
        <v>2</v>
      </c>
      <c r="C3705">
        <v>4</v>
      </c>
      <c r="E3705">
        <v>3</v>
      </c>
      <c r="F3705" t="str">
        <f t="shared" si="57"/>
        <v>F212G4T3</v>
      </c>
      <c r="G3705" s="14" t="s">
        <v>324</v>
      </c>
    </row>
    <row r="3706" spans="1:7">
      <c r="A3706">
        <v>21</v>
      </c>
      <c r="B3706">
        <v>5</v>
      </c>
      <c r="C3706">
        <v>4</v>
      </c>
      <c r="E3706">
        <v>3</v>
      </c>
      <c r="F3706" t="str">
        <f t="shared" si="57"/>
        <v>F215G4T3</v>
      </c>
      <c r="G3706" s="14" t="s">
        <v>324</v>
      </c>
    </row>
    <row r="3707" spans="1:7">
      <c r="A3707">
        <v>21</v>
      </c>
      <c r="B3707">
        <v>6</v>
      </c>
      <c r="C3707">
        <v>4</v>
      </c>
      <c r="E3707">
        <v>3</v>
      </c>
      <c r="F3707" t="str">
        <f t="shared" si="57"/>
        <v>F216G4T3</v>
      </c>
      <c r="G3707" s="14" t="s">
        <v>324</v>
      </c>
    </row>
    <row r="3708" spans="1:7">
      <c r="A3708">
        <v>21</v>
      </c>
      <c r="B3708">
        <v>7</v>
      </c>
      <c r="C3708">
        <v>4</v>
      </c>
      <c r="E3708">
        <v>3</v>
      </c>
      <c r="F3708" t="str">
        <f t="shared" si="57"/>
        <v>F217G4T3</v>
      </c>
      <c r="G3708" s="14" t="s">
        <v>324</v>
      </c>
    </row>
    <row r="3709" spans="1:7">
      <c r="A3709">
        <v>21</v>
      </c>
      <c r="B3709">
        <v>1</v>
      </c>
      <c r="C3709">
        <v>5</v>
      </c>
      <c r="E3709">
        <v>3</v>
      </c>
      <c r="F3709" t="str">
        <f t="shared" si="57"/>
        <v>F211G5T3</v>
      </c>
      <c r="G3709" s="14" t="s">
        <v>324</v>
      </c>
    </row>
    <row r="3710" spans="1:7">
      <c r="A3710">
        <v>21</v>
      </c>
      <c r="B3710">
        <v>2</v>
      </c>
      <c r="C3710">
        <v>5</v>
      </c>
      <c r="E3710">
        <v>3</v>
      </c>
      <c r="F3710" t="str">
        <f t="shared" si="57"/>
        <v>F212G5T3</v>
      </c>
      <c r="G3710" s="14" t="s">
        <v>324</v>
      </c>
    </row>
    <row r="3711" spans="1:7">
      <c r="A3711">
        <v>21</v>
      </c>
      <c r="B3711">
        <v>5</v>
      </c>
      <c r="C3711">
        <v>5</v>
      </c>
      <c r="E3711">
        <v>3</v>
      </c>
      <c r="F3711" t="str">
        <f t="shared" si="57"/>
        <v>F215G5T3</v>
      </c>
      <c r="G3711" s="14" t="s">
        <v>324</v>
      </c>
    </row>
    <row r="3712" spans="1:7">
      <c r="A3712">
        <v>21</v>
      </c>
      <c r="B3712">
        <v>6</v>
      </c>
      <c r="C3712">
        <v>5</v>
      </c>
      <c r="E3712">
        <v>3</v>
      </c>
      <c r="F3712" t="str">
        <f t="shared" si="57"/>
        <v>F216G5T3</v>
      </c>
      <c r="G3712" s="14" t="s">
        <v>324</v>
      </c>
    </row>
    <row r="3713" spans="1:7">
      <c r="A3713">
        <v>21</v>
      </c>
      <c r="B3713">
        <v>7</v>
      </c>
      <c r="C3713">
        <v>5</v>
      </c>
      <c r="E3713">
        <v>3</v>
      </c>
      <c r="F3713" t="str">
        <f t="shared" si="57"/>
        <v>F217G5T3</v>
      </c>
      <c r="G3713" s="14" t="s">
        <v>324</v>
      </c>
    </row>
    <row r="3714" spans="1:7">
      <c r="A3714">
        <v>23</v>
      </c>
      <c r="B3714">
        <v>1</v>
      </c>
      <c r="C3714">
        <v>3</v>
      </c>
      <c r="E3714">
        <v>2</v>
      </c>
      <c r="F3714" t="str">
        <f t="shared" si="57"/>
        <v>F231G3T2</v>
      </c>
      <c r="G3714" s="14" t="s">
        <v>70</v>
      </c>
    </row>
    <row r="3715" spans="1:7">
      <c r="A3715">
        <v>23</v>
      </c>
      <c r="B3715">
        <v>2</v>
      </c>
      <c r="C3715">
        <v>3</v>
      </c>
      <c r="E3715">
        <v>2</v>
      </c>
      <c r="F3715" t="str">
        <f t="shared" ref="F3715:F3778" si="58">CONCATENATE("F",A3715,B3715,"G",C3715,"T",E3715)</f>
        <v>F232G3T2</v>
      </c>
      <c r="G3715" s="14" t="s">
        <v>70</v>
      </c>
    </row>
    <row r="3716" spans="1:7">
      <c r="A3716">
        <v>23</v>
      </c>
      <c r="B3716">
        <v>5</v>
      </c>
      <c r="C3716">
        <v>3</v>
      </c>
      <c r="E3716">
        <v>2</v>
      </c>
      <c r="F3716" t="str">
        <f t="shared" si="58"/>
        <v>F235G3T2</v>
      </c>
      <c r="G3716" s="14" t="s">
        <v>70</v>
      </c>
    </row>
    <row r="3717" spans="1:7">
      <c r="A3717">
        <v>23</v>
      </c>
      <c r="B3717">
        <v>6</v>
      </c>
      <c r="C3717">
        <v>3</v>
      </c>
      <c r="E3717">
        <v>2</v>
      </c>
      <c r="F3717" t="str">
        <f t="shared" si="58"/>
        <v>F236G3T2</v>
      </c>
      <c r="G3717" s="14" t="s">
        <v>70</v>
      </c>
    </row>
    <row r="3718" spans="1:7">
      <c r="A3718">
        <v>23</v>
      </c>
      <c r="B3718">
        <v>7</v>
      </c>
      <c r="C3718">
        <v>3</v>
      </c>
      <c r="E3718">
        <v>2</v>
      </c>
      <c r="F3718" t="str">
        <f t="shared" si="58"/>
        <v>F237G3T2</v>
      </c>
      <c r="G3718" s="14" t="s">
        <v>70</v>
      </c>
    </row>
    <row r="3719" spans="1:7">
      <c r="A3719">
        <v>23</v>
      </c>
      <c r="B3719">
        <v>1</v>
      </c>
      <c r="C3719">
        <v>4</v>
      </c>
      <c r="E3719">
        <v>2</v>
      </c>
      <c r="F3719" t="str">
        <f t="shared" si="58"/>
        <v>F231G4T2</v>
      </c>
      <c r="G3719" s="14" t="s">
        <v>70</v>
      </c>
    </row>
    <row r="3720" spans="1:7">
      <c r="A3720">
        <v>23</v>
      </c>
      <c r="B3720">
        <v>2</v>
      </c>
      <c r="C3720">
        <v>4</v>
      </c>
      <c r="E3720">
        <v>2</v>
      </c>
      <c r="F3720" t="str">
        <f t="shared" si="58"/>
        <v>F232G4T2</v>
      </c>
      <c r="G3720" s="14" t="s">
        <v>70</v>
      </c>
    </row>
    <row r="3721" spans="1:7">
      <c r="A3721">
        <v>23</v>
      </c>
      <c r="B3721">
        <v>5</v>
      </c>
      <c r="C3721">
        <v>4</v>
      </c>
      <c r="E3721">
        <v>2</v>
      </c>
      <c r="F3721" t="str">
        <f t="shared" si="58"/>
        <v>F235G4T2</v>
      </c>
      <c r="G3721" s="14" t="s">
        <v>70</v>
      </c>
    </row>
    <row r="3722" spans="1:7">
      <c r="A3722">
        <v>23</v>
      </c>
      <c r="B3722">
        <v>6</v>
      </c>
      <c r="C3722">
        <v>4</v>
      </c>
      <c r="E3722">
        <v>2</v>
      </c>
      <c r="F3722" t="str">
        <f t="shared" si="58"/>
        <v>F236G4T2</v>
      </c>
      <c r="G3722" s="14" t="s">
        <v>70</v>
      </c>
    </row>
    <row r="3723" spans="1:7">
      <c r="A3723">
        <v>23</v>
      </c>
      <c r="B3723">
        <v>7</v>
      </c>
      <c r="C3723">
        <v>4</v>
      </c>
      <c r="E3723">
        <v>2</v>
      </c>
      <c r="F3723" t="str">
        <f t="shared" si="58"/>
        <v>F237G4T2</v>
      </c>
      <c r="G3723" s="14" t="s">
        <v>70</v>
      </c>
    </row>
    <row r="3724" spans="1:7">
      <c r="A3724">
        <v>23</v>
      </c>
      <c r="B3724">
        <v>1</v>
      </c>
      <c r="C3724">
        <v>5</v>
      </c>
      <c r="E3724">
        <v>2</v>
      </c>
      <c r="F3724" t="str">
        <f t="shared" si="58"/>
        <v>F231G5T2</v>
      </c>
      <c r="G3724" s="14" t="s">
        <v>70</v>
      </c>
    </row>
    <row r="3725" spans="1:7">
      <c r="A3725">
        <v>23</v>
      </c>
      <c r="B3725">
        <v>2</v>
      </c>
      <c r="C3725">
        <v>5</v>
      </c>
      <c r="E3725">
        <v>2</v>
      </c>
      <c r="F3725" t="str">
        <f t="shared" si="58"/>
        <v>F232G5T2</v>
      </c>
      <c r="G3725" s="14" t="s">
        <v>70</v>
      </c>
    </row>
    <row r="3726" spans="1:7">
      <c r="A3726">
        <v>23</v>
      </c>
      <c r="B3726">
        <v>5</v>
      </c>
      <c r="C3726">
        <v>5</v>
      </c>
      <c r="E3726">
        <v>2</v>
      </c>
      <c r="F3726" t="str">
        <f t="shared" si="58"/>
        <v>F235G5T2</v>
      </c>
      <c r="G3726" s="14" t="s">
        <v>70</v>
      </c>
    </row>
    <row r="3727" spans="1:7">
      <c r="A3727">
        <v>23</v>
      </c>
      <c r="B3727">
        <v>6</v>
      </c>
      <c r="C3727">
        <v>5</v>
      </c>
      <c r="E3727">
        <v>2</v>
      </c>
      <c r="F3727" t="str">
        <f t="shared" si="58"/>
        <v>F236G5T2</v>
      </c>
      <c r="G3727" s="14" t="s">
        <v>70</v>
      </c>
    </row>
    <row r="3728" spans="1:7">
      <c r="A3728">
        <v>23</v>
      </c>
      <c r="B3728">
        <v>7</v>
      </c>
      <c r="C3728">
        <v>5</v>
      </c>
      <c r="E3728">
        <v>2</v>
      </c>
      <c r="F3728" t="str">
        <f t="shared" si="58"/>
        <v>F237G5T2</v>
      </c>
      <c r="G3728" s="14" t="s">
        <v>70</v>
      </c>
    </row>
    <row r="3729" spans="1:7">
      <c r="A3729">
        <v>23</v>
      </c>
      <c r="B3729">
        <v>1</v>
      </c>
      <c r="C3729">
        <v>3</v>
      </c>
      <c r="E3729">
        <v>3</v>
      </c>
      <c r="F3729" t="str">
        <f t="shared" si="58"/>
        <v>F231G3T3</v>
      </c>
      <c r="G3729" s="14" t="s">
        <v>324</v>
      </c>
    </row>
    <row r="3730" spans="1:7">
      <c r="A3730">
        <v>23</v>
      </c>
      <c r="B3730">
        <v>2</v>
      </c>
      <c r="C3730">
        <v>3</v>
      </c>
      <c r="E3730">
        <v>3</v>
      </c>
      <c r="F3730" t="str">
        <f t="shared" si="58"/>
        <v>F232G3T3</v>
      </c>
      <c r="G3730" s="14" t="s">
        <v>324</v>
      </c>
    </row>
    <row r="3731" spans="1:7">
      <c r="A3731">
        <v>23</v>
      </c>
      <c r="B3731">
        <v>5</v>
      </c>
      <c r="C3731">
        <v>3</v>
      </c>
      <c r="E3731">
        <v>3</v>
      </c>
      <c r="F3731" t="str">
        <f t="shared" si="58"/>
        <v>F235G3T3</v>
      </c>
      <c r="G3731" s="14" t="s">
        <v>324</v>
      </c>
    </row>
    <row r="3732" spans="1:7">
      <c r="A3732">
        <v>23</v>
      </c>
      <c r="B3732">
        <v>6</v>
      </c>
      <c r="C3732">
        <v>3</v>
      </c>
      <c r="E3732">
        <v>3</v>
      </c>
      <c r="F3732" t="str">
        <f t="shared" si="58"/>
        <v>F236G3T3</v>
      </c>
      <c r="G3732" s="14" t="s">
        <v>324</v>
      </c>
    </row>
    <row r="3733" spans="1:7">
      <c r="A3733">
        <v>23</v>
      </c>
      <c r="B3733">
        <v>7</v>
      </c>
      <c r="C3733">
        <v>3</v>
      </c>
      <c r="E3733">
        <v>3</v>
      </c>
      <c r="F3733" t="str">
        <f t="shared" si="58"/>
        <v>F237G3T3</v>
      </c>
      <c r="G3733" s="14" t="s">
        <v>324</v>
      </c>
    </row>
    <row r="3734" spans="1:7">
      <c r="A3734">
        <v>23</v>
      </c>
      <c r="B3734">
        <v>1</v>
      </c>
      <c r="C3734">
        <v>4</v>
      </c>
      <c r="E3734">
        <v>3</v>
      </c>
      <c r="F3734" t="str">
        <f t="shared" si="58"/>
        <v>F231G4T3</v>
      </c>
      <c r="G3734" s="14" t="s">
        <v>324</v>
      </c>
    </row>
    <row r="3735" spans="1:7">
      <c r="A3735">
        <v>23</v>
      </c>
      <c r="B3735">
        <v>2</v>
      </c>
      <c r="C3735">
        <v>4</v>
      </c>
      <c r="E3735">
        <v>3</v>
      </c>
      <c r="F3735" t="str">
        <f t="shared" si="58"/>
        <v>F232G4T3</v>
      </c>
      <c r="G3735" s="14" t="s">
        <v>324</v>
      </c>
    </row>
    <row r="3736" spans="1:7">
      <c r="A3736">
        <v>23</v>
      </c>
      <c r="B3736">
        <v>5</v>
      </c>
      <c r="C3736">
        <v>4</v>
      </c>
      <c r="E3736">
        <v>3</v>
      </c>
      <c r="F3736" t="str">
        <f t="shared" si="58"/>
        <v>F235G4T3</v>
      </c>
      <c r="G3736" s="14" t="s">
        <v>324</v>
      </c>
    </row>
    <row r="3737" spans="1:7">
      <c r="A3737">
        <v>23</v>
      </c>
      <c r="B3737">
        <v>6</v>
      </c>
      <c r="C3737">
        <v>4</v>
      </c>
      <c r="E3737">
        <v>3</v>
      </c>
      <c r="F3737" t="str">
        <f t="shared" si="58"/>
        <v>F236G4T3</v>
      </c>
      <c r="G3737" s="14" t="s">
        <v>324</v>
      </c>
    </row>
    <row r="3738" spans="1:7">
      <c r="A3738">
        <v>23</v>
      </c>
      <c r="B3738">
        <v>7</v>
      </c>
      <c r="C3738">
        <v>4</v>
      </c>
      <c r="E3738">
        <v>3</v>
      </c>
      <c r="F3738" t="str">
        <f t="shared" si="58"/>
        <v>F237G4T3</v>
      </c>
      <c r="G3738" s="14" t="s">
        <v>324</v>
      </c>
    </row>
    <row r="3739" spans="1:7">
      <c r="A3739">
        <v>23</v>
      </c>
      <c r="B3739">
        <v>1</v>
      </c>
      <c r="C3739">
        <v>5</v>
      </c>
      <c r="E3739">
        <v>3</v>
      </c>
      <c r="F3739" t="str">
        <f t="shared" si="58"/>
        <v>F231G5T3</v>
      </c>
      <c r="G3739" s="14" t="s">
        <v>324</v>
      </c>
    </row>
    <row r="3740" spans="1:7">
      <c r="A3740">
        <v>23</v>
      </c>
      <c r="B3740">
        <v>2</v>
      </c>
      <c r="C3740">
        <v>5</v>
      </c>
      <c r="E3740">
        <v>3</v>
      </c>
      <c r="F3740" t="str">
        <f t="shared" si="58"/>
        <v>F232G5T3</v>
      </c>
      <c r="G3740" s="14" t="s">
        <v>324</v>
      </c>
    </row>
    <row r="3741" spans="1:7">
      <c r="A3741">
        <v>23</v>
      </c>
      <c r="B3741">
        <v>5</v>
      </c>
      <c r="C3741">
        <v>5</v>
      </c>
      <c r="E3741">
        <v>3</v>
      </c>
      <c r="F3741" t="str">
        <f t="shared" si="58"/>
        <v>F235G5T3</v>
      </c>
      <c r="G3741" s="14" t="s">
        <v>324</v>
      </c>
    </row>
    <row r="3742" spans="1:7">
      <c r="A3742">
        <v>23</v>
      </c>
      <c r="B3742">
        <v>6</v>
      </c>
      <c r="C3742">
        <v>5</v>
      </c>
      <c r="E3742">
        <v>3</v>
      </c>
      <c r="F3742" t="str">
        <f t="shared" si="58"/>
        <v>F236G5T3</v>
      </c>
      <c r="G3742" s="14" t="s">
        <v>324</v>
      </c>
    </row>
    <row r="3743" spans="1:7">
      <c r="A3743">
        <v>23</v>
      </c>
      <c r="B3743">
        <v>7</v>
      </c>
      <c r="C3743">
        <v>5</v>
      </c>
      <c r="E3743">
        <v>3</v>
      </c>
      <c r="F3743" t="str">
        <f t="shared" si="58"/>
        <v>F237G5T3</v>
      </c>
      <c r="G3743" s="14" t="s">
        <v>324</v>
      </c>
    </row>
    <row r="3744" spans="1:7">
      <c r="A3744">
        <v>24</v>
      </c>
      <c r="B3744">
        <v>1</v>
      </c>
      <c r="C3744">
        <v>3</v>
      </c>
      <c r="E3744">
        <v>2</v>
      </c>
      <c r="F3744" t="str">
        <f t="shared" si="58"/>
        <v>F241G3T2</v>
      </c>
      <c r="G3744" s="14" t="s">
        <v>70</v>
      </c>
    </row>
    <row r="3745" spans="1:7">
      <c r="A3745">
        <v>24</v>
      </c>
      <c r="B3745">
        <v>2</v>
      </c>
      <c r="C3745">
        <v>3</v>
      </c>
      <c r="E3745">
        <v>2</v>
      </c>
      <c r="F3745" t="str">
        <f t="shared" si="58"/>
        <v>F242G3T2</v>
      </c>
      <c r="G3745" s="14" t="s">
        <v>70</v>
      </c>
    </row>
    <row r="3746" spans="1:7">
      <c r="A3746">
        <v>24</v>
      </c>
      <c r="B3746">
        <v>5</v>
      </c>
      <c r="C3746">
        <v>3</v>
      </c>
      <c r="E3746">
        <v>2</v>
      </c>
      <c r="F3746" t="str">
        <f t="shared" si="58"/>
        <v>F245G3T2</v>
      </c>
      <c r="G3746" s="14" t="s">
        <v>70</v>
      </c>
    </row>
    <row r="3747" spans="1:7">
      <c r="A3747">
        <v>24</v>
      </c>
      <c r="B3747">
        <v>6</v>
      </c>
      <c r="C3747">
        <v>3</v>
      </c>
      <c r="E3747">
        <v>2</v>
      </c>
      <c r="F3747" t="str">
        <f t="shared" si="58"/>
        <v>F246G3T2</v>
      </c>
      <c r="G3747" s="14" t="s">
        <v>70</v>
      </c>
    </row>
    <row r="3748" spans="1:7">
      <c r="A3748">
        <v>24</v>
      </c>
      <c r="B3748">
        <v>7</v>
      </c>
      <c r="C3748">
        <v>3</v>
      </c>
      <c r="E3748">
        <v>2</v>
      </c>
      <c r="F3748" t="str">
        <f t="shared" si="58"/>
        <v>F247G3T2</v>
      </c>
      <c r="G3748" s="14" t="s">
        <v>70</v>
      </c>
    </row>
    <row r="3749" spans="1:7">
      <c r="A3749">
        <v>24</v>
      </c>
      <c r="B3749">
        <v>1</v>
      </c>
      <c r="C3749">
        <v>4</v>
      </c>
      <c r="E3749">
        <v>2</v>
      </c>
      <c r="F3749" t="str">
        <f t="shared" si="58"/>
        <v>F241G4T2</v>
      </c>
      <c r="G3749" s="14" t="s">
        <v>70</v>
      </c>
    </row>
    <row r="3750" spans="1:7">
      <c r="A3750">
        <v>24</v>
      </c>
      <c r="B3750">
        <v>2</v>
      </c>
      <c r="C3750">
        <v>4</v>
      </c>
      <c r="E3750">
        <v>2</v>
      </c>
      <c r="F3750" t="str">
        <f t="shared" si="58"/>
        <v>F242G4T2</v>
      </c>
      <c r="G3750" s="14" t="s">
        <v>70</v>
      </c>
    </row>
    <row r="3751" spans="1:7">
      <c r="A3751">
        <v>24</v>
      </c>
      <c r="B3751">
        <v>5</v>
      </c>
      <c r="C3751">
        <v>4</v>
      </c>
      <c r="E3751">
        <v>2</v>
      </c>
      <c r="F3751" t="str">
        <f t="shared" si="58"/>
        <v>F245G4T2</v>
      </c>
      <c r="G3751" s="14" t="s">
        <v>70</v>
      </c>
    </row>
    <row r="3752" spans="1:7">
      <c r="A3752">
        <v>24</v>
      </c>
      <c r="B3752">
        <v>6</v>
      </c>
      <c r="C3752">
        <v>4</v>
      </c>
      <c r="E3752">
        <v>2</v>
      </c>
      <c r="F3752" t="str">
        <f t="shared" si="58"/>
        <v>F246G4T2</v>
      </c>
      <c r="G3752" s="14" t="s">
        <v>70</v>
      </c>
    </row>
    <row r="3753" spans="1:7">
      <c r="A3753">
        <v>24</v>
      </c>
      <c r="B3753">
        <v>7</v>
      </c>
      <c r="C3753">
        <v>4</v>
      </c>
      <c r="E3753">
        <v>2</v>
      </c>
      <c r="F3753" t="str">
        <f t="shared" si="58"/>
        <v>F247G4T2</v>
      </c>
      <c r="G3753" s="14" t="s">
        <v>70</v>
      </c>
    </row>
    <row r="3754" spans="1:7">
      <c r="A3754">
        <v>24</v>
      </c>
      <c r="B3754">
        <v>1</v>
      </c>
      <c r="C3754">
        <v>5</v>
      </c>
      <c r="E3754">
        <v>2</v>
      </c>
      <c r="F3754" t="str">
        <f t="shared" si="58"/>
        <v>F241G5T2</v>
      </c>
      <c r="G3754" s="14" t="s">
        <v>70</v>
      </c>
    </row>
    <row r="3755" spans="1:7">
      <c r="A3755">
        <v>24</v>
      </c>
      <c r="B3755">
        <v>2</v>
      </c>
      <c r="C3755">
        <v>5</v>
      </c>
      <c r="E3755">
        <v>2</v>
      </c>
      <c r="F3755" t="str">
        <f t="shared" si="58"/>
        <v>F242G5T2</v>
      </c>
      <c r="G3755" s="14" t="s">
        <v>70</v>
      </c>
    </row>
    <row r="3756" spans="1:7">
      <c r="A3756">
        <v>24</v>
      </c>
      <c r="B3756">
        <v>5</v>
      </c>
      <c r="C3756">
        <v>5</v>
      </c>
      <c r="E3756">
        <v>2</v>
      </c>
      <c r="F3756" t="str">
        <f t="shared" si="58"/>
        <v>F245G5T2</v>
      </c>
      <c r="G3756" s="14" t="s">
        <v>70</v>
      </c>
    </row>
    <row r="3757" spans="1:7">
      <c r="A3757">
        <v>24</v>
      </c>
      <c r="B3757">
        <v>6</v>
      </c>
      <c r="C3757">
        <v>5</v>
      </c>
      <c r="E3757">
        <v>2</v>
      </c>
      <c r="F3757" t="str">
        <f t="shared" si="58"/>
        <v>F246G5T2</v>
      </c>
      <c r="G3757" s="14" t="s">
        <v>70</v>
      </c>
    </row>
    <row r="3758" spans="1:7">
      <c r="A3758">
        <v>24</v>
      </c>
      <c r="B3758">
        <v>7</v>
      </c>
      <c r="C3758">
        <v>5</v>
      </c>
      <c r="E3758">
        <v>2</v>
      </c>
      <c r="F3758" t="str">
        <f t="shared" si="58"/>
        <v>F247G5T2</v>
      </c>
      <c r="G3758" s="14" t="s">
        <v>70</v>
      </c>
    </row>
    <row r="3759" spans="1:7">
      <c r="A3759">
        <v>24</v>
      </c>
      <c r="B3759">
        <v>1</v>
      </c>
      <c r="C3759">
        <v>3</v>
      </c>
      <c r="E3759">
        <v>3</v>
      </c>
      <c r="F3759" t="str">
        <f t="shared" si="58"/>
        <v>F241G3T3</v>
      </c>
      <c r="G3759" s="14" t="s">
        <v>324</v>
      </c>
    </row>
    <row r="3760" spans="1:7">
      <c r="A3760">
        <v>24</v>
      </c>
      <c r="B3760">
        <v>2</v>
      </c>
      <c r="C3760">
        <v>3</v>
      </c>
      <c r="E3760">
        <v>3</v>
      </c>
      <c r="F3760" t="str">
        <f t="shared" si="58"/>
        <v>F242G3T3</v>
      </c>
      <c r="G3760" s="14" t="s">
        <v>324</v>
      </c>
    </row>
    <row r="3761" spans="1:7">
      <c r="A3761">
        <v>24</v>
      </c>
      <c r="B3761">
        <v>5</v>
      </c>
      <c r="C3761">
        <v>3</v>
      </c>
      <c r="E3761">
        <v>3</v>
      </c>
      <c r="F3761" t="str">
        <f t="shared" si="58"/>
        <v>F245G3T3</v>
      </c>
      <c r="G3761" s="14" t="s">
        <v>324</v>
      </c>
    </row>
    <row r="3762" spans="1:7">
      <c r="A3762">
        <v>24</v>
      </c>
      <c r="B3762">
        <v>6</v>
      </c>
      <c r="C3762">
        <v>3</v>
      </c>
      <c r="E3762">
        <v>3</v>
      </c>
      <c r="F3762" t="str">
        <f t="shared" si="58"/>
        <v>F246G3T3</v>
      </c>
      <c r="G3762" s="14" t="s">
        <v>324</v>
      </c>
    </row>
    <row r="3763" spans="1:7">
      <c r="A3763">
        <v>24</v>
      </c>
      <c r="B3763">
        <v>7</v>
      </c>
      <c r="C3763">
        <v>3</v>
      </c>
      <c r="E3763">
        <v>3</v>
      </c>
      <c r="F3763" t="str">
        <f t="shared" si="58"/>
        <v>F247G3T3</v>
      </c>
      <c r="G3763" s="14" t="s">
        <v>324</v>
      </c>
    </row>
    <row r="3764" spans="1:7">
      <c r="A3764">
        <v>24</v>
      </c>
      <c r="B3764">
        <v>1</v>
      </c>
      <c r="C3764">
        <v>4</v>
      </c>
      <c r="E3764">
        <v>3</v>
      </c>
      <c r="F3764" t="str">
        <f t="shared" si="58"/>
        <v>F241G4T3</v>
      </c>
      <c r="G3764" s="14" t="s">
        <v>324</v>
      </c>
    </row>
    <row r="3765" spans="1:7">
      <c r="A3765">
        <v>24</v>
      </c>
      <c r="B3765">
        <v>2</v>
      </c>
      <c r="C3765">
        <v>4</v>
      </c>
      <c r="E3765">
        <v>3</v>
      </c>
      <c r="F3765" t="str">
        <f t="shared" si="58"/>
        <v>F242G4T3</v>
      </c>
      <c r="G3765" s="14" t="s">
        <v>324</v>
      </c>
    </row>
    <row r="3766" spans="1:7">
      <c r="A3766">
        <v>24</v>
      </c>
      <c r="B3766">
        <v>5</v>
      </c>
      <c r="C3766">
        <v>4</v>
      </c>
      <c r="E3766">
        <v>3</v>
      </c>
      <c r="F3766" t="str">
        <f t="shared" si="58"/>
        <v>F245G4T3</v>
      </c>
      <c r="G3766" s="14" t="s">
        <v>324</v>
      </c>
    </row>
    <row r="3767" spans="1:7">
      <c r="A3767">
        <v>24</v>
      </c>
      <c r="B3767">
        <v>6</v>
      </c>
      <c r="C3767">
        <v>4</v>
      </c>
      <c r="E3767">
        <v>3</v>
      </c>
      <c r="F3767" t="str">
        <f t="shared" si="58"/>
        <v>F246G4T3</v>
      </c>
      <c r="G3767" s="14" t="s">
        <v>324</v>
      </c>
    </row>
    <row r="3768" spans="1:7">
      <c r="A3768">
        <v>24</v>
      </c>
      <c r="B3768">
        <v>7</v>
      </c>
      <c r="C3768">
        <v>4</v>
      </c>
      <c r="E3768">
        <v>3</v>
      </c>
      <c r="F3768" t="str">
        <f t="shared" si="58"/>
        <v>F247G4T3</v>
      </c>
      <c r="G3768" s="14" t="s">
        <v>324</v>
      </c>
    </row>
    <row r="3769" spans="1:7">
      <c r="A3769">
        <v>24</v>
      </c>
      <c r="B3769">
        <v>1</v>
      </c>
      <c r="C3769">
        <v>5</v>
      </c>
      <c r="E3769">
        <v>3</v>
      </c>
      <c r="F3769" t="str">
        <f t="shared" si="58"/>
        <v>F241G5T3</v>
      </c>
      <c r="G3769" s="14" t="s">
        <v>324</v>
      </c>
    </row>
    <row r="3770" spans="1:7">
      <c r="A3770">
        <v>24</v>
      </c>
      <c r="B3770">
        <v>2</v>
      </c>
      <c r="C3770">
        <v>5</v>
      </c>
      <c r="E3770">
        <v>3</v>
      </c>
      <c r="F3770" t="str">
        <f t="shared" si="58"/>
        <v>F242G5T3</v>
      </c>
      <c r="G3770" s="14" t="s">
        <v>324</v>
      </c>
    </row>
    <row r="3771" spans="1:7">
      <c r="A3771">
        <v>24</v>
      </c>
      <c r="B3771">
        <v>5</v>
      </c>
      <c r="C3771">
        <v>5</v>
      </c>
      <c r="E3771">
        <v>3</v>
      </c>
      <c r="F3771" t="str">
        <f t="shared" si="58"/>
        <v>F245G5T3</v>
      </c>
      <c r="G3771" s="14" t="s">
        <v>324</v>
      </c>
    </row>
    <row r="3772" spans="1:7">
      <c r="A3772">
        <v>24</v>
      </c>
      <c r="B3772">
        <v>6</v>
      </c>
      <c r="C3772">
        <v>5</v>
      </c>
      <c r="E3772">
        <v>3</v>
      </c>
      <c r="F3772" t="str">
        <f t="shared" si="58"/>
        <v>F246G5T3</v>
      </c>
      <c r="G3772" s="14" t="s">
        <v>324</v>
      </c>
    </row>
    <row r="3773" spans="1:7">
      <c r="A3773">
        <v>24</v>
      </c>
      <c r="B3773">
        <v>7</v>
      </c>
      <c r="C3773">
        <v>5</v>
      </c>
      <c r="E3773">
        <v>3</v>
      </c>
      <c r="F3773" t="str">
        <f t="shared" si="58"/>
        <v>F247G5T3</v>
      </c>
      <c r="G3773" s="14" t="s">
        <v>324</v>
      </c>
    </row>
    <row r="3774" spans="1:7">
      <c r="A3774">
        <v>25</v>
      </c>
      <c r="B3774">
        <v>1</v>
      </c>
      <c r="C3774">
        <v>3</v>
      </c>
      <c r="E3774">
        <v>2</v>
      </c>
      <c r="F3774" t="str">
        <f t="shared" si="58"/>
        <v>F251G3T2</v>
      </c>
      <c r="G3774" s="14" t="s">
        <v>70</v>
      </c>
    </row>
    <row r="3775" spans="1:7">
      <c r="A3775">
        <v>25</v>
      </c>
      <c r="B3775">
        <v>2</v>
      </c>
      <c r="C3775">
        <v>3</v>
      </c>
      <c r="E3775">
        <v>2</v>
      </c>
      <c r="F3775" t="str">
        <f t="shared" si="58"/>
        <v>F252G3T2</v>
      </c>
      <c r="G3775" s="14" t="s">
        <v>70</v>
      </c>
    </row>
    <row r="3776" spans="1:7">
      <c r="A3776">
        <v>25</v>
      </c>
      <c r="B3776">
        <v>5</v>
      </c>
      <c r="C3776">
        <v>3</v>
      </c>
      <c r="E3776">
        <v>2</v>
      </c>
      <c r="F3776" t="str">
        <f t="shared" si="58"/>
        <v>F255G3T2</v>
      </c>
      <c r="G3776" s="14" t="s">
        <v>70</v>
      </c>
    </row>
    <row r="3777" spans="1:7">
      <c r="A3777">
        <v>25</v>
      </c>
      <c r="B3777">
        <v>6</v>
      </c>
      <c r="C3777">
        <v>3</v>
      </c>
      <c r="E3777">
        <v>2</v>
      </c>
      <c r="F3777" t="str">
        <f t="shared" si="58"/>
        <v>F256G3T2</v>
      </c>
      <c r="G3777" s="14" t="s">
        <v>70</v>
      </c>
    </row>
    <row r="3778" spans="1:7">
      <c r="A3778">
        <v>25</v>
      </c>
      <c r="B3778">
        <v>7</v>
      </c>
      <c r="C3778">
        <v>3</v>
      </c>
      <c r="E3778">
        <v>2</v>
      </c>
      <c r="F3778" t="str">
        <f t="shared" si="58"/>
        <v>F257G3T2</v>
      </c>
      <c r="G3778" s="14" t="s">
        <v>70</v>
      </c>
    </row>
    <row r="3779" spans="1:7">
      <c r="A3779">
        <v>25</v>
      </c>
      <c r="B3779">
        <v>1</v>
      </c>
      <c r="C3779">
        <v>4</v>
      </c>
      <c r="E3779">
        <v>2</v>
      </c>
      <c r="F3779" t="str">
        <f t="shared" ref="F3779:F3842" si="59">CONCATENATE("F",A3779,B3779,"G",C3779,"T",E3779)</f>
        <v>F251G4T2</v>
      </c>
      <c r="G3779" s="14" t="s">
        <v>70</v>
      </c>
    </row>
    <row r="3780" spans="1:7">
      <c r="A3780">
        <v>25</v>
      </c>
      <c r="B3780">
        <v>2</v>
      </c>
      <c r="C3780">
        <v>4</v>
      </c>
      <c r="E3780">
        <v>2</v>
      </c>
      <c r="F3780" t="str">
        <f t="shared" si="59"/>
        <v>F252G4T2</v>
      </c>
      <c r="G3780" s="14" t="s">
        <v>70</v>
      </c>
    </row>
    <row r="3781" spans="1:7">
      <c r="A3781">
        <v>25</v>
      </c>
      <c r="B3781">
        <v>5</v>
      </c>
      <c r="C3781">
        <v>4</v>
      </c>
      <c r="E3781">
        <v>2</v>
      </c>
      <c r="F3781" t="str">
        <f t="shared" si="59"/>
        <v>F255G4T2</v>
      </c>
      <c r="G3781" s="14" t="s">
        <v>70</v>
      </c>
    </row>
    <row r="3782" spans="1:7">
      <c r="A3782">
        <v>25</v>
      </c>
      <c r="B3782">
        <v>6</v>
      </c>
      <c r="C3782">
        <v>4</v>
      </c>
      <c r="E3782">
        <v>2</v>
      </c>
      <c r="F3782" t="str">
        <f t="shared" si="59"/>
        <v>F256G4T2</v>
      </c>
      <c r="G3782" s="14" t="s">
        <v>70</v>
      </c>
    </row>
    <row r="3783" spans="1:7">
      <c r="A3783">
        <v>25</v>
      </c>
      <c r="B3783">
        <v>7</v>
      </c>
      <c r="C3783">
        <v>4</v>
      </c>
      <c r="E3783">
        <v>2</v>
      </c>
      <c r="F3783" t="str">
        <f t="shared" si="59"/>
        <v>F257G4T2</v>
      </c>
      <c r="G3783" s="14" t="s">
        <v>70</v>
      </c>
    </row>
    <row r="3784" spans="1:7">
      <c r="A3784">
        <v>25</v>
      </c>
      <c r="B3784">
        <v>1</v>
      </c>
      <c r="C3784">
        <v>5</v>
      </c>
      <c r="E3784">
        <v>2</v>
      </c>
      <c r="F3784" t="str">
        <f t="shared" si="59"/>
        <v>F251G5T2</v>
      </c>
      <c r="G3784" s="14" t="s">
        <v>70</v>
      </c>
    </row>
    <row r="3785" spans="1:7">
      <c r="A3785">
        <v>25</v>
      </c>
      <c r="B3785">
        <v>2</v>
      </c>
      <c r="C3785">
        <v>5</v>
      </c>
      <c r="E3785">
        <v>2</v>
      </c>
      <c r="F3785" t="str">
        <f t="shared" si="59"/>
        <v>F252G5T2</v>
      </c>
      <c r="G3785" s="14" t="s">
        <v>70</v>
      </c>
    </row>
    <row r="3786" spans="1:7">
      <c r="A3786">
        <v>25</v>
      </c>
      <c r="B3786">
        <v>5</v>
      </c>
      <c r="C3786">
        <v>5</v>
      </c>
      <c r="E3786">
        <v>2</v>
      </c>
      <c r="F3786" t="str">
        <f t="shared" si="59"/>
        <v>F255G5T2</v>
      </c>
      <c r="G3786" s="14" t="s">
        <v>70</v>
      </c>
    </row>
    <row r="3787" spans="1:7">
      <c r="A3787">
        <v>25</v>
      </c>
      <c r="B3787">
        <v>6</v>
      </c>
      <c r="C3787">
        <v>5</v>
      </c>
      <c r="E3787">
        <v>2</v>
      </c>
      <c r="F3787" t="str">
        <f t="shared" si="59"/>
        <v>F256G5T2</v>
      </c>
      <c r="G3787" s="14" t="s">
        <v>70</v>
      </c>
    </row>
    <row r="3788" spans="1:7">
      <c r="A3788">
        <v>25</v>
      </c>
      <c r="B3788">
        <v>7</v>
      </c>
      <c r="C3788">
        <v>5</v>
      </c>
      <c r="E3788">
        <v>2</v>
      </c>
      <c r="F3788" t="str">
        <f t="shared" si="59"/>
        <v>F257G5T2</v>
      </c>
      <c r="G3788" s="14" t="s">
        <v>70</v>
      </c>
    </row>
    <row r="3789" spans="1:7">
      <c r="A3789">
        <v>25</v>
      </c>
      <c r="B3789">
        <v>1</v>
      </c>
      <c r="C3789">
        <v>3</v>
      </c>
      <c r="E3789">
        <v>3</v>
      </c>
      <c r="F3789" t="str">
        <f t="shared" si="59"/>
        <v>F251G3T3</v>
      </c>
      <c r="G3789" s="14" t="s">
        <v>324</v>
      </c>
    </row>
    <row r="3790" spans="1:7">
      <c r="A3790">
        <v>25</v>
      </c>
      <c r="B3790">
        <v>2</v>
      </c>
      <c r="C3790">
        <v>3</v>
      </c>
      <c r="E3790">
        <v>3</v>
      </c>
      <c r="F3790" t="str">
        <f t="shared" si="59"/>
        <v>F252G3T3</v>
      </c>
      <c r="G3790" s="14" t="s">
        <v>324</v>
      </c>
    </row>
    <row r="3791" spans="1:7">
      <c r="A3791">
        <v>25</v>
      </c>
      <c r="B3791">
        <v>5</v>
      </c>
      <c r="C3791">
        <v>3</v>
      </c>
      <c r="E3791">
        <v>3</v>
      </c>
      <c r="F3791" t="str">
        <f t="shared" si="59"/>
        <v>F255G3T3</v>
      </c>
      <c r="G3791" s="14" t="s">
        <v>324</v>
      </c>
    </row>
    <row r="3792" spans="1:7">
      <c r="A3792">
        <v>25</v>
      </c>
      <c r="B3792">
        <v>6</v>
      </c>
      <c r="C3792">
        <v>3</v>
      </c>
      <c r="E3792">
        <v>3</v>
      </c>
      <c r="F3792" t="str">
        <f t="shared" si="59"/>
        <v>F256G3T3</v>
      </c>
      <c r="G3792" s="14" t="s">
        <v>324</v>
      </c>
    </row>
    <row r="3793" spans="1:7">
      <c r="A3793">
        <v>25</v>
      </c>
      <c r="B3793">
        <v>7</v>
      </c>
      <c r="C3793">
        <v>3</v>
      </c>
      <c r="E3793">
        <v>3</v>
      </c>
      <c r="F3793" t="str">
        <f t="shared" si="59"/>
        <v>F257G3T3</v>
      </c>
      <c r="G3793" s="14" t="s">
        <v>324</v>
      </c>
    </row>
    <row r="3794" spans="1:7">
      <c r="A3794">
        <v>25</v>
      </c>
      <c r="B3794">
        <v>1</v>
      </c>
      <c r="C3794">
        <v>4</v>
      </c>
      <c r="E3794">
        <v>3</v>
      </c>
      <c r="F3794" t="str">
        <f t="shared" si="59"/>
        <v>F251G4T3</v>
      </c>
      <c r="G3794" s="14" t="s">
        <v>324</v>
      </c>
    </row>
    <row r="3795" spans="1:7">
      <c r="A3795">
        <v>25</v>
      </c>
      <c r="B3795">
        <v>2</v>
      </c>
      <c r="C3795">
        <v>4</v>
      </c>
      <c r="E3795">
        <v>3</v>
      </c>
      <c r="F3795" t="str">
        <f t="shared" si="59"/>
        <v>F252G4T3</v>
      </c>
      <c r="G3795" s="14" t="s">
        <v>324</v>
      </c>
    </row>
    <row r="3796" spans="1:7">
      <c r="A3796">
        <v>25</v>
      </c>
      <c r="B3796">
        <v>5</v>
      </c>
      <c r="C3796">
        <v>4</v>
      </c>
      <c r="E3796">
        <v>3</v>
      </c>
      <c r="F3796" t="str">
        <f t="shared" si="59"/>
        <v>F255G4T3</v>
      </c>
      <c r="G3796" s="14" t="s">
        <v>324</v>
      </c>
    </row>
    <row r="3797" spans="1:7">
      <c r="A3797">
        <v>25</v>
      </c>
      <c r="B3797">
        <v>6</v>
      </c>
      <c r="C3797">
        <v>4</v>
      </c>
      <c r="E3797">
        <v>3</v>
      </c>
      <c r="F3797" t="str">
        <f t="shared" si="59"/>
        <v>F256G4T3</v>
      </c>
      <c r="G3797" s="14" t="s">
        <v>324</v>
      </c>
    </row>
    <row r="3798" spans="1:7">
      <c r="A3798">
        <v>25</v>
      </c>
      <c r="B3798">
        <v>7</v>
      </c>
      <c r="C3798">
        <v>4</v>
      </c>
      <c r="E3798">
        <v>3</v>
      </c>
      <c r="F3798" t="str">
        <f t="shared" si="59"/>
        <v>F257G4T3</v>
      </c>
      <c r="G3798" s="14" t="s">
        <v>324</v>
      </c>
    </row>
    <row r="3799" spans="1:7">
      <c r="A3799">
        <v>25</v>
      </c>
      <c r="B3799">
        <v>1</v>
      </c>
      <c r="C3799">
        <v>5</v>
      </c>
      <c r="E3799">
        <v>3</v>
      </c>
      <c r="F3799" t="str">
        <f t="shared" si="59"/>
        <v>F251G5T3</v>
      </c>
      <c r="G3799" s="14" t="s">
        <v>324</v>
      </c>
    </row>
    <row r="3800" spans="1:7">
      <c r="A3800">
        <v>25</v>
      </c>
      <c r="B3800">
        <v>2</v>
      </c>
      <c r="C3800">
        <v>5</v>
      </c>
      <c r="E3800">
        <v>3</v>
      </c>
      <c r="F3800" t="str">
        <f t="shared" si="59"/>
        <v>F252G5T3</v>
      </c>
      <c r="G3800" s="14" t="s">
        <v>324</v>
      </c>
    </row>
    <row r="3801" spans="1:7">
      <c r="A3801">
        <v>25</v>
      </c>
      <c r="B3801">
        <v>5</v>
      </c>
      <c r="C3801">
        <v>5</v>
      </c>
      <c r="E3801">
        <v>3</v>
      </c>
      <c r="F3801" t="str">
        <f t="shared" si="59"/>
        <v>F255G5T3</v>
      </c>
      <c r="G3801" s="14" t="s">
        <v>324</v>
      </c>
    </row>
    <row r="3802" spans="1:7">
      <c r="A3802">
        <v>25</v>
      </c>
      <c r="B3802">
        <v>6</v>
      </c>
      <c r="C3802">
        <v>5</v>
      </c>
      <c r="E3802">
        <v>3</v>
      </c>
      <c r="F3802" t="str">
        <f t="shared" si="59"/>
        <v>F256G5T3</v>
      </c>
      <c r="G3802" s="14" t="s">
        <v>324</v>
      </c>
    </row>
    <row r="3803" spans="1:7">
      <c r="A3803">
        <v>25</v>
      </c>
      <c r="B3803">
        <v>7</v>
      </c>
      <c r="C3803">
        <v>5</v>
      </c>
      <c r="E3803">
        <v>3</v>
      </c>
      <c r="F3803" t="str">
        <f t="shared" si="59"/>
        <v>F257G5T3</v>
      </c>
      <c r="G3803" s="14" t="s">
        <v>324</v>
      </c>
    </row>
    <row r="3804" spans="1:7">
      <c r="A3804">
        <v>36</v>
      </c>
      <c r="B3804">
        <v>1</v>
      </c>
      <c r="C3804">
        <v>3</v>
      </c>
      <c r="E3804">
        <v>2</v>
      </c>
      <c r="F3804" t="str">
        <f t="shared" si="59"/>
        <v>F361G3T2</v>
      </c>
      <c r="G3804" s="14" t="s">
        <v>70</v>
      </c>
    </row>
    <row r="3805" spans="1:7">
      <c r="A3805">
        <v>36</v>
      </c>
      <c r="B3805">
        <v>2</v>
      </c>
      <c r="C3805">
        <v>3</v>
      </c>
      <c r="E3805">
        <v>2</v>
      </c>
      <c r="F3805" t="str">
        <f t="shared" si="59"/>
        <v>F362G3T2</v>
      </c>
      <c r="G3805" s="14" t="s">
        <v>70</v>
      </c>
    </row>
    <row r="3806" spans="1:7">
      <c r="A3806">
        <v>36</v>
      </c>
      <c r="B3806">
        <v>5</v>
      </c>
      <c r="C3806">
        <v>3</v>
      </c>
      <c r="E3806">
        <v>2</v>
      </c>
      <c r="F3806" t="str">
        <f t="shared" si="59"/>
        <v>F365G3T2</v>
      </c>
      <c r="G3806" s="14" t="s">
        <v>70</v>
      </c>
    </row>
    <row r="3807" spans="1:7">
      <c r="A3807">
        <v>36</v>
      </c>
      <c r="B3807">
        <v>6</v>
      </c>
      <c r="C3807">
        <v>3</v>
      </c>
      <c r="E3807">
        <v>2</v>
      </c>
      <c r="F3807" t="str">
        <f t="shared" si="59"/>
        <v>F366G3T2</v>
      </c>
      <c r="G3807" s="14" t="s">
        <v>70</v>
      </c>
    </row>
    <row r="3808" spans="1:7">
      <c r="A3808">
        <v>36</v>
      </c>
      <c r="B3808">
        <v>7</v>
      </c>
      <c r="C3808">
        <v>3</v>
      </c>
      <c r="E3808">
        <v>2</v>
      </c>
      <c r="F3808" t="str">
        <f t="shared" si="59"/>
        <v>F367G3T2</v>
      </c>
      <c r="G3808" s="14" t="s">
        <v>70</v>
      </c>
    </row>
    <row r="3809" spans="1:7">
      <c r="A3809">
        <v>36</v>
      </c>
      <c r="B3809">
        <v>1</v>
      </c>
      <c r="C3809">
        <v>4</v>
      </c>
      <c r="E3809">
        <v>2</v>
      </c>
      <c r="F3809" t="str">
        <f t="shared" si="59"/>
        <v>F361G4T2</v>
      </c>
      <c r="G3809" s="14" t="s">
        <v>70</v>
      </c>
    </row>
    <row r="3810" spans="1:7">
      <c r="A3810">
        <v>36</v>
      </c>
      <c r="B3810">
        <v>2</v>
      </c>
      <c r="C3810">
        <v>4</v>
      </c>
      <c r="E3810">
        <v>2</v>
      </c>
      <c r="F3810" t="str">
        <f t="shared" si="59"/>
        <v>F362G4T2</v>
      </c>
      <c r="G3810" s="14" t="s">
        <v>70</v>
      </c>
    </row>
    <row r="3811" spans="1:7">
      <c r="A3811">
        <v>36</v>
      </c>
      <c r="B3811">
        <v>5</v>
      </c>
      <c r="C3811">
        <v>4</v>
      </c>
      <c r="E3811">
        <v>2</v>
      </c>
      <c r="F3811" t="str">
        <f t="shared" si="59"/>
        <v>F365G4T2</v>
      </c>
      <c r="G3811" s="14" t="s">
        <v>70</v>
      </c>
    </row>
    <row r="3812" spans="1:7">
      <c r="A3812">
        <v>36</v>
      </c>
      <c r="B3812">
        <v>6</v>
      </c>
      <c r="C3812">
        <v>4</v>
      </c>
      <c r="E3812">
        <v>2</v>
      </c>
      <c r="F3812" t="str">
        <f t="shared" si="59"/>
        <v>F366G4T2</v>
      </c>
      <c r="G3812" s="14" t="s">
        <v>70</v>
      </c>
    </row>
    <row r="3813" spans="1:7">
      <c r="A3813">
        <v>36</v>
      </c>
      <c r="B3813">
        <v>7</v>
      </c>
      <c r="C3813">
        <v>4</v>
      </c>
      <c r="E3813">
        <v>2</v>
      </c>
      <c r="F3813" t="str">
        <f t="shared" si="59"/>
        <v>F367G4T2</v>
      </c>
      <c r="G3813" s="14" t="s">
        <v>70</v>
      </c>
    </row>
    <row r="3814" spans="1:7">
      <c r="A3814">
        <v>36</v>
      </c>
      <c r="B3814">
        <v>1</v>
      </c>
      <c r="C3814">
        <v>5</v>
      </c>
      <c r="E3814">
        <v>2</v>
      </c>
      <c r="F3814" t="str">
        <f t="shared" si="59"/>
        <v>F361G5T2</v>
      </c>
      <c r="G3814" s="14" t="s">
        <v>70</v>
      </c>
    </row>
    <row r="3815" spans="1:7">
      <c r="A3815">
        <v>36</v>
      </c>
      <c r="B3815">
        <v>2</v>
      </c>
      <c r="C3815">
        <v>5</v>
      </c>
      <c r="E3815">
        <v>2</v>
      </c>
      <c r="F3815" t="str">
        <f t="shared" si="59"/>
        <v>F362G5T2</v>
      </c>
      <c r="G3815" s="14" t="s">
        <v>70</v>
      </c>
    </row>
    <row r="3816" spans="1:7">
      <c r="A3816">
        <v>36</v>
      </c>
      <c r="B3816">
        <v>5</v>
      </c>
      <c r="C3816">
        <v>5</v>
      </c>
      <c r="E3816">
        <v>2</v>
      </c>
      <c r="F3816" t="str">
        <f t="shared" si="59"/>
        <v>F365G5T2</v>
      </c>
      <c r="G3816" s="14" t="s">
        <v>70</v>
      </c>
    </row>
    <row r="3817" spans="1:7">
      <c r="A3817">
        <v>36</v>
      </c>
      <c r="B3817">
        <v>6</v>
      </c>
      <c r="C3817">
        <v>5</v>
      </c>
      <c r="E3817">
        <v>2</v>
      </c>
      <c r="F3817" t="str">
        <f t="shared" si="59"/>
        <v>F366G5T2</v>
      </c>
      <c r="G3817" s="14" t="s">
        <v>70</v>
      </c>
    </row>
    <row r="3818" spans="1:7">
      <c r="A3818">
        <v>36</v>
      </c>
      <c r="B3818">
        <v>7</v>
      </c>
      <c r="C3818">
        <v>5</v>
      </c>
      <c r="E3818">
        <v>2</v>
      </c>
      <c r="F3818" t="str">
        <f t="shared" si="59"/>
        <v>F367G5T2</v>
      </c>
      <c r="G3818" s="14" t="s">
        <v>70</v>
      </c>
    </row>
    <row r="3819" spans="1:7">
      <c r="A3819">
        <v>36</v>
      </c>
      <c r="B3819">
        <v>1</v>
      </c>
      <c r="C3819">
        <v>3</v>
      </c>
      <c r="E3819">
        <v>3</v>
      </c>
      <c r="F3819" t="str">
        <f t="shared" si="59"/>
        <v>F361G3T3</v>
      </c>
      <c r="G3819" s="14" t="s">
        <v>324</v>
      </c>
    </row>
    <row r="3820" spans="1:7">
      <c r="A3820">
        <v>36</v>
      </c>
      <c r="B3820">
        <v>2</v>
      </c>
      <c r="C3820">
        <v>3</v>
      </c>
      <c r="E3820">
        <v>3</v>
      </c>
      <c r="F3820" t="str">
        <f t="shared" si="59"/>
        <v>F362G3T3</v>
      </c>
      <c r="G3820" s="14" t="s">
        <v>324</v>
      </c>
    </row>
    <row r="3821" spans="1:7">
      <c r="A3821">
        <v>36</v>
      </c>
      <c r="B3821">
        <v>5</v>
      </c>
      <c r="C3821">
        <v>3</v>
      </c>
      <c r="E3821">
        <v>3</v>
      </c>
      <c r="F3821" t="str">
        <f t="shared" si="59"/>
        <v>F365G3T3</v>
      </c>
      <c r="G3821" s="14" t="s">
        <v>324</v>
      </c>
    </row>
    <row r="3822" spans="1:7">
      <c r="A3822">
        <v>36</v>
      </c>
      <c r="B3822">
        <v>6</v>
      </c>
      <c r="C3822">
        <v>3</v>
      </c>
      <c r="E3822">
        <v>3</v>
      </c>
      <c r="F3822" t="str">
        <f t="shared" si="59"/>
        <v>F366G3T3</v>
      </c>
      <c r="G3822" s="14" t="s">
        <v>324</v>
      </c>
    </row>
    <row r="3823" spans="1:7">
      <c r="A3823">
        <v>36</v>
      </c>
      <c r="B3823">
        <v>7</v>
      </c>
      <c r="C3823">
        <v>3</v>
      </c>
      <c r="E3823">
        <v>3</v>
      </c>
      <c r="F3823" t="str">
        <f t="shared" si="59"/>
        <v>F367G3T3</v>
      </c>
      <c r="G3823" s="14" t="s">
        <v>324</v>
      </c>
    </row>
    <row r="3824" spans="1:7">
      <c r="A3824">
        <v>36</v>
      </c>
      <c r="B3824">
        <v>1</v>
      </c>
      <c r="C3824">
        <v>4</v>
      </c>
      <c r="E3824">
        <v>3</v>
      </c>
      <c r="F3824" t="str">
        <f t="shared" si="59"/>
        <v>F361G4T3</v>
      </c>
      <c r="G3824" s="14" t="s">
        <v>324</v>
      </c>
    </row>
    <row r="3825" spans="1:7">
      <c r="A3825">
        <v>36</v>
      </c>
      <c r="B3825">
        <v>2</v>
      </c>
      <c r="C3825">
        <v>4</v>
      </c>
      <c r="E3825">
        <v>3</v>
      </c>
      <c r="F3825" t="str">
        <f t="shared" si="59"/>
        <v>F362G4T3</v>
      </c>
      <c r="G3825" s="14" t="s">
        <v>324</v>
      </c>
    </row>
    <row r="3826" spans="1:7">
      <c r="A3826">
        <v>36</v>
      </c>
      <c r="B3826">
        <v>5</v>
      </c>
      <c r="C3826">
        <v>4</v>
      </c>
      <c r="E3826">
        <v>3</v>
      </c>
      <c r="F3826" t="str">
        <f t="shared" si="59"/>
        <v>F365G4T3</v>
      </c>
      <c r="G3826" s="14" t="s">
        <v>324</v>
      </c>
    </row>
    <row r="3827" spans="1:7">
      <c r="A3827">
        <v>36</v>
      </c>
      <c r="B3827">
        <v>6</v>
      </c>
      <c r="C3827">
        <v>4</v>
      </c>
      <c r="E3827">
        <v>3</v>
      </c>
      <c r="F3827" t="str">
        <f t="shared" si="59"/>
        <v>F366G4T3</v>
      </c>
      <c r="G3827" s="14" t="s">
        <v>324</v>
      </c>
    </row>
    <row r="3828" spans="1:7">
      <c r="A3828">
        <v>36</v>
      </c>
      <c r="B3828">
        <v>7</v>
      </c>
      <c r="C3828">
        <v>4</v>
      </c>
      <c r="E3828">
        <v>3</v>
      </c>
      <c r="F3828" t="str">
        <f t="shared" si="59"/>
        <v>F367G4T3</v>
      </c>
      <c r="G3828" s="14" t="s">
        <v>324</v>
      </c>
    </row>
    <row r="3829" spans="1:7">
      <c r="A3829">
        <v>36</v>
      </c>
      <c r="B3829">
        <v>1</v>
      </c>
      <c r="C3829">
        <v>5</v>
      </c>
      <c r="E3829">
        <v>3</v>
      </c>
      <c r="F3829" t="str">
        <f t="shared" si="59"/>
        <v>F361G5T3</v>
      </c>
      <c r="G3829" s="14" t="s">
        <v>324</v>
      </c>
    </row>
    <row r="3830" spans="1:7">
      <c r="A3830">
        <v>36</v>
      </c>
      <c r="B3830">
        <v>2</v>
      </c>
      <c r="C3830">
        <v>5</v>
      </c>
      <c r="E3830">
        <v>3</v>
      </c>
      <c r="F3830" t="str">
        <f t="shared" si="59"/>
        <v>F362G5T3</v>
      </c>
      <c r="G3830" s="14" t="s">
        <v>324</v>
      </c>
    </row>
    <row r="3831" spans="1:7">
      <c r="A3831">
        <v>36</v>
      </c>
      <c r="B3831">
        <v>5</v>
      </c>
      <c r="C3831">
        <v>5</v>
      </c>
      <c r="E3831">
        <v>3</v>
      </c>
      <c r="F3831" t="str">
        <f t="shared" si="59"/>
        <v>F365G5T3</v>
      </c>
      <c r="G3831" s="14" t="s">
        <v>324</v>
      </c>
    </row>
    <row r="3832" spans="1:7">
      <c r="A3832">
        <v>36</v>
      </c>
      <c r="B3832">
        <v>6</v>
      </c>
      <c r="C3832">
        <v>5</v>
      </c>
      <c r="E3832">
        <v>3</v>
      </c>
      <c r="F3832" t="str">
        <f t="shared" si="59"/>
        <v>F366G5T3</v>
      </c>
      <c r="G3832" s="14" t="s">
        <v>324</v>
      </c>
    </row>
    <row r="3833" spans="1:7">
      <c r="A3833">
        <v>36</v>
      </c>
      <c r="B3833">
        <v>7</v>
      </c>
      <c r="C3833">
        <v>5</v>
      </c>
      <c r="E3833">
        <v>3</v>
      </c>
      <c r="F3833" t="str">
        <f t="shared" si="59"/>
        <v>F367G5T3</v>
      </c>
      <c r="G3833" s="14" t="s">
        <v>324</v>
      </c>
    </row>
    <row r="3834" spans="1:7">
      <c r="A3834">
        <v>38</v>
      </c>
      <c r="B3834">
        <v>1</v>
      </c>
      <c r="C3834">
        <v>3</v>
      </c>
      <c r="E3834">
        <v>2</v>
      </c>
      <c r="F3834" t="str">
        <f t="shared" si="59"/>
        <v>F381G3T2</v>
      </c>
      <c r="G3834" s="14" t="s">
        <v>70</v>
      </c>
    </row>
    <row r="3835" spans="1:7">
      <c r="A3835">
        <v>38</v>
      </c>
      <c r="B3835">
        <v>2</v>
      </c>
      <c r="C3835">
        <v>3</v>
      </c>
      <c r="E3835">
        <v>2</v>
      </c>
      <c r="F3835" t="str">
        <f t="shared" si="59"/>
        <v>F382G3T2</v>
      </c>
      <c r="G3835" s="14" t="s">
        <v>70</v>
      </c>
    </row>
    <row r="3836" spans="1:7">
      <c r="A3836">
        <v>38</v>
      </c>
      <c r="B3836">
        <v>5</v>
      </c>
      <c r="C3836">
        <v>3</v>
      </c>
      <c r="E3836">
        <v>2</v>
      </c>
      <c r="F3836" t="str">
        <f t="shared" si="59"/>
        <v>F385G3T2</v>
      </c>
      <c r="G3836" s="14" t="s">
        <v>70</v>
      </c>
    </row>
    <row r="3837" spans="1:7">
      <c r="A3837">
        <v>38</v>
      </c>
      <c r="B3837">
        <v>6</v>
      </c>
      <c r="C3837">
        <v>3</v>
      </c>
      <c r="E3837">
        <v>2</v>
      </c>
      <c r="F3837" t="str">
        <f t="shared" si="59"/>
        <v>F386G3T2</v>
      </c>
      <c r="G3837" s="14" t="s">
        <v>70</v>
      </c>
    </row>
    <row r="3838" spans="1:7">
      <c r="A3838">
        <v>38</v>
      </c>
      <c r="B3838">
        <v>7</v>
      </c>
      <c r="C3838">
        <v>3</v>
      </c>
      <c r="E3838">
        <v>2</v>
      </c>
      <c r="F3838" t="str">
        <f t="shared" si="59"/>
        <v>F387G3T2</v>
      </c>
      <c r="G3838" s="14" t="s">
        <v>70</v>
      </c>
    </row>
    <row r="3839" spans="1:7">
      <c r="A3839">
        <v>38</v>
      </c>
      <c r="B3839">
        <v>1</v>
      </c>
      <c r="C3839">
        <v>4</v>
      </c>
      <c r="E3839">
        <v>2</v>
      </c>
      <c r="F3839" t="str">
        <f t="shared" si="59"/>
        <v>F381G4T2</v>
      </c>
      <c r="G3839" s="14" t="s">
        <v>70</v>
      </c>
    </row>
    <row r="3840" spans="1:7">
      <c r="A3840">
        <v>38</v>
      </c>
      <c r="B3840">
        <v>2</v>
      </c>
      <c r="C3840">
        <v>4</v>
      </c>
      <c r="E3840">
        <v>2</v>
      </c>
      <c r="F3840" t="str">
        <f t="shared" si="59"/>
        <v>F382G4T2</v>
      </c>
      <c r="G3840" s="14" t="s">
        <v>70</v>
      </c>
    </row>
    <row r="3841" spans="1:7">
      <c r="A3841">
        <v>38</v>
      </c>
      <c r="B3841">
        <v>5</v>
      </c>
      <c r="C3841">
        <v>4</v>
      </c>
      <c r="E3841">
        <v>2</v>
      </c>
      <c r="F3841" t="str">
        <f t="shared" si="59"/>
        <v>F385G4T2</v>
      </c>
      <c r="G3841" s="14" t="s">
        <v>70</v>
      </c>
    </row>
    <row r="3842" spans="1:7">
      <c r="A3842">
        <v>38</v>
      </c>
      <c r="B3842">
        <v>6</v>
      </c>
      <c r="C3842">
        <v>4</v>
      </c>
      <c r="E3842">
        <v>2</v>
      </c>
      <c r="F3842" t="str">
        <f t="shared" si="59"/>
        <v>F386G4T2</v>
      </c>
      <c r="G3842" s="14" t="s">
        <v>70</v>
      </c>
    </row>
    <row r="3843" spans="1:7">
      <c r="A3843">
        <v>38</v>
      </c>
      <c r="B3843">
        <v>7</v>
      </c>
      <c r="C3843">
        <v>4</v>
      </c>
      <c r="E3843">
        <v>2</v>
      </c>
      <c r="F3843" t="str">
        <f t="shared" ref="F3843:F3906" si="60">CONCATENATE("F",A3843,B3843,"G",C3843,"T",E3843)</f>
        <v>F387G4T2</v>
      </c>
      <c r="G3843" s="14" t="s">
        <v>70</v>
      </c>
    </row>
    <row r="3844" spans="1:7">
      <c r="A3844">
        <v>38</v>
      </c>
      <c r="B3844">
        <v>1</v>
      </c>
      <c r="C3844">
        <v>5</v>
      </c>
      <c r="E3844">
        <v>2</v>
      </c>
      <c r="F3844" t="str">
        <f t="shared" si="60"/>
        <v>F381G5T2</v>
      </c>
      <c r="G3844" s="14" t="s">
        <v>70</v>
      </c>
    </row>
    <row r="3845" spans="1:7">
      <c r="A3845">
        <v>38</v>
      </c>
      <c r="B3845">
        <v>2</v>
      </c>
      <c r="C3845">
        <v>5</v>
      </c>
      <c r="E3845">
        <v>2</v>
      </c>
      <c r="F3845" t="str">
        <f t="shared" si="60"/>
        <v>F382G5T2</v>
      </c>
      <c r="G3845" s="14" t="s">
        <v>70</v>
      </c>
    </row>
    <row r="3846" spans="1:7">
      <c r="A3846">
        <v>38</v>
      </c>
      <c r="B3846">
        <v>5</v>
      </c>
      <c r="C3846">
        <v>5</v>
      </c>
      <c r="E3846">
        <v>2</v>
      </c>
      <c r="F3846" t="str">
        <f t="shared" si="60"/>
        <v>F385G5T2</v>
      </c>
      <c r="G3846" s="14" t="s">
        <v>70</v>
      </c>
    </row>
    <row r="3847" spans="1:7">
      <c r="A3847">
        <v>38</v>
      </c>
      <c r="B3847">
        <v>6</v>
      </c>
      <c r="C3847">
        <v>5</v>
      </c>
      <c r="E3847">
        <v>2</v>
      </c>
      <c r="F3847" t="str">
        <f t="shared" si="60"/>
        <v>F386G5T2</v>
      </c>
      <c r="G3847" s="14" t="s">
        <v>70</v>
      </c>
    </row>
    <row r="3848" spans="1:7">
      <c r="A3848">
        <v>38</v>
      </c>
      <c r="B3848">
        <v>7</v>
      </c>
      <c r="C3848">
        <v>5</v>
      </c>
      <c r="E3848">
        <v>2</v>
      </c>
      <c r="F3848" t="str">
        <f t="shared" si="60"/>
        <v>F387G5T2</v>
      </c>
      <c r="G3848" s="14" t="s">
        <v>70</v>
      </c>
    </row>
    <row r="3849" spans="1:7">
      <c r="A3849">
        <v>38</v>
      </c>
      <c r="B3849">
        <v>1</v>
      </c>
      <c r="C3849">
        <v>3</v>
      </c>
      <c r="E3849">
        <v>3</v>
      </c>
      <c r="F3849" t="str">
        <f t="shared" si="60"/>
        <v>F381G3T3</v>
      </c>
      <c r="G3849" s="14" t="s">
        <v>324</v>
      </c>
    </row>
    <row r="3850" spans="1:7">
      <c r="A3850">
        <v>38</v>
      </c>
      <c r="B3850">
        <v>2</v>
      </c>
      <c r="C3850">
        <v>3</v>
      </c>
      <c r="E3850">
        <v>3</v>
      </c>
      <c r="F3850" t="str">
        <f t="shared" si="60"/>
        <v>F382G3T3</v>
      </c>
      <c r="G3850" s="14" t="s">
        <v>324</v>
      </c>
    </row>
    <row r="3851" spans="1:7">
      <c r="A3851">
        <v>38</v>
      </c>
      <c r="B3851">
        <v>5</v>
      </c>
      <c r="C3851">
        <v>3</v>
      </c>
      <c r="E3851">
        <v>3</v>
      </c>
      <c r="F3851" t="str">
        <f t="shared" si="60"/>
        <v>F385G3T3</v>
      </c>
      <c r="G3851" s="14" t="s">
        <v>324</v>
      </c>
    </row>
    <row r="3852" spans="1:7">
      <c r="A3852">
        <v>38</v>
      </c>
      <c r="B3852">
        <v>6</v>
      </c>
      <c r="C3852">
        <v>3</v>
      </c>
      <c r="E3852">
        <v>3</v>
      </c>
      <c r="F3852" t="str">
        <f t="shared" si="60"/>
        <v>F386G3T3</v>
      </c>
      <c r="G3852" s="14" t="s">
        <v>324</v>
      </c>
    </row>
    <row r="3853" spans="1:7">
      <c r="A3853">
        <v>38</v>
      </c>
      <c r="B3853">
        <v>7</v>
      </c>
      <c r="C3853">
        <v>3</v>
      </c>
      <c r="E3853">
        <v>3</v>
      </c>
      <c r="F3853" t="str">
        <f t="shared" si="60"/>
        <v>F387G3T3</v>
      </c>
      <c r="G3853" s="14" t="s">
        <v>324</v>
      </c>
    </row>
    <row r="3854" spans="1:7">
      <c r="A3854">
        <v>38</v>
      </c>
      <c r="B3854">
        <v>1</v>
      </c>
      <c r="C3854">
        <v>4</v>
      </c>
      <c r="E3854">
        <v>3</v>
      </c>
      <c r="F3854" t="str">
        <f t="shared" si="60"/>
        <v>F381G4T3</v>
      </c>
      <c r="G3854" s="14" t="s">
        <v>324</v>
      </c>
    </row>
    <row r="3855" spans="1:7">
      <c r="A3855">
        <v>38</v>
      </c>
      <c r="B3855">
        <v>2</v>
      </c>
      <c r="C3855">
        <v>4</v>
      </c>
      <c r="E3855">
        <v>3</v>
      </c>
      <c r="F3855" t="str">
        <f t="shared" si="60"/>
        <v>F382G4T3</v>
      </c>
      <c r="G3855" s="14" t="s">
        <v>324</v>
      </c>
    </row>
    <row r="3856" spans="1:7">
      <c r="A3856">
        <v>38</v>
      </c>
      <c r="B3856">
        <v>5</v>
      </c>
      <c r="C3856">
        <v>4</v>
      </c>
      <c r="E3856">
        <v>3</v>
      </c>
      <c r="F3856" t="str">
        <f t="shared" si="60"/>
        <v>F385G4T3</v>
      </c>
      <c r="G3856" s="14" t="s">
        <v>324</v>
      </c>
    </row>
    <row r="3857" spans="1:7">
      <c r="A3857">
        <v>38</v>
      </c>
      <c r="B3857">
        <v>6</v>
      </c>
      <c r="C3857">
        <v>4</v>
      </c>
      <c r="E3857">
        <v>3</v>
      </c>
      <c r="F3857" t="str">
        <f t="shared" si="60"/>
        <v>F386G4T3</v>
      </c>
      <c r="G3857" s="14" t="s">
        <v>324</v>
      </c>
    </row>
    <row r="3858" spans="1:7">
      <c r="A3858">
        <v>38</v>
      </c>
      <c r="B3858">
        <v>7</v>
      </c>
      <c r="C3858">
        <v>4</v>
      </c>
      <c r="E3858">
        <v>3</v>
      </c>
      <c r="F3858" t="str">
        <f t="shared" si="60"/>
        <v>F387G4T3</v>
      </c>
      <c r="G3858" s="14" t="s">
        <v>324</v>
      </c>
    </row>
    <row r="3859" spans="1:7">
      <c r="A3859">
        <v>38</v>
      </c>
      <c r="B3859">
        <v>1</v>
      </c>
      <c r="C3859">
        <v>5</v>
      </c>
      <c r="E3859">
        <v>3</v>
      </c>
      <c r="F3859" t="str">
        <f t="shared" si="60"/>
        <v>F381G5T3</v>
      </c>
      <c r="G3859" s="14" t="s">
        <v>324</v>
      </c>
    </row>
    <row r="3860" spans="1:7">
      <c r="A3860">
        <v>38</v>
      </c>
      <c r="B3860">
        <v>2</v>
      </c>
      <c r="C3860">
        <v>5</v>
      </c>
      <c r="E3860">
        <v>3</v>
      </c>
      <c r="F3860" t="str">
        <f t="shared" si="60"/>
        <v>F382G5T3</v>
      </c>
      <c r="G3860" s="14" t="s">
        <v>324</v>
      </c>
    </row>
    <row r="3861" spans="1:7">
      <c r="A3861">
        <v>38</v>
      </c>
      <c r="B3861">
        <v>5</v>
      </c>
      <c r="C3861">
        <v>5</v>
      </c>
      <c r="E3861">
        <v>3</v>
      </c>
      <c r="F3861" t="str">
        <f t="shared" si="60"/>
        <v>F385G5T3</v>
      </c>
      <c r="G3861" s="14" t="s">
        <v>324</v>
      </c>
    </row>
    <row r="3862" spans="1:7">
      <c r="A3862">
        <v>38</v>
      </c>
      <c r="B3862">
        <v>6</v>
      </c>
      <c r="C3862">
        <v>5</v>
      </c>
      <c r="E3862">
        <v>3</v>
      </c>
      <c r="F3862" t="str">
        <f t="shared" si="60"/>
        <v>F386G5T3</v>
      </c>
      <c r="G3862" s="14" t="s">
        <v>324</v>
      </c>
    </row>
    <row r="3863" spans="1:7">
      <c r="A3863">
        <v>38</v>
      </c>
      <c r="B3863">
        <v>7</v>
      </c>
      <c r="C3863">
        <v>5</v>
      </c>
      <c r="E3863">
        <v>3</v>
      </c>
      <c r="F3863" t="str">
        <f t="shared" si="60"/>
        <v>F387G5T3</v>
      </c>
      <c r="G3863" s="14" t="s">
        <v>324</v>
      </c>
    </row>
    <row r="3864" spans="1:7">
      <c r="A3864">
        <v>42</v>
      </c>
      <c r="B3864">
        <v>1</v>
      </c>
      <c r="C3864">
        <v>3</v>
      </c>
      <c r="E3864">
        <v>2</v>
      </c>
      <c r="F3864" t="str">
        <f t="shared" si="60"/>
        <v>F421G3T2</v>
      </c>
      <c r="G3864" s="14" t="s">
        <v>70</v>
      </c>
    </row>
    <row r="3865" spans="1:7">
      <c r="A3865">
        <v>42</v>
      </c>
      <c r="B3865">
        <v>2</v>
      </c>
      <c r="C3865">
        <v>3</v>
      </c>
      <c r="E3865">
        <v>2</v>
      </c>
      <c r="F3865" t="str">
        <f t="shared" si="60"/>
        <v>F422G3T2</v>
      </c>
      <c r="G3865" s="14" t="s">
        <v>70</v>
      </c>
    </row>
    <row r="3866" spans="1:7">
      <c r="A3866">
        <v>42</v>
      </c>
      <c r="B3866">
        <v>5</v>
      </c>
      <c r="C3866">
        <v>3</v>
      </c>
      <c r="E3866">
        <v>2</v>
      </c>
      <c r="F3866" t="str">
        <f t="shared" si="60"/>
        <v>F425G3T2</v>
      </c>
      <c r="G3866" s="14" t="s">
        <v>70</v>
      </c>
    </row>
    <row r="3867" spans="1:7">
      <c r="A3867">
        <v>42</v>
      </c>
      <c r="B3867">
        <v>6</v>
      </c>
      <c r="C3867">
        <v>3</v>
      </c>
      <c r="E3867">
        <v>2</v>
      </c>
      <c r="F3867" t="str">
        <f t="shared" si="60"/>
        <v>F426G3T2</v>
      </c>
      <c r="G3867" s="14" t="s">
        <v>70</v>
      </c>
    </row>
    <row r="3868" spans="1:7">
      <c r="A3868">
        <v>42</v>
      </c>
      <c r="B3868">
        <v>7</v>
      </c>
      <c r="C3868">
        <v>3</v>
      </c>
      <c r="E3868">
        <v>2</v>
      </c>
      <c r="F3868" t="str">
        <f t="shared" si="60"/>
        <v>F427G3T2</v>
      </c>
      <c r="G3868" s="14" t="s">
        <v>70</v>
      </c>
    </row>
    <row r="3869" spans="1:7">
      <c r="A3869">
        <v>42</v>
      </c>
      <c r="B3869">
        <v>1</v>
      </c>
      <c r="C3869">
        <v>4</v>
      </c>
      <c r="E3869">
        <v>2</v>
      </c>
      <c r="F3869" t="str">
        <f t="shared" si="60"/>
        <v>F421G4T2</v>
      </c>
      <c r="G3869" s="14" t="s">
        <v>70</v>
      </c>
    </row>
    <row r="3870" spans="1:7">
      <c r="A3870">
        <v>42</v>
      </c>
      <c r="B3870">
        <v>2</v>
      </c>
      <c r="C3870">
        <v>4</v>
      </c>
      <c r="E3870">
        <v>2</v>
      </c>
      <c r="F3870" t="str">
        <f t="shared" si="60"/>
        <v>F422G4T2</v>
      </c>
      <c r="G3870" s="14" t="s">
        <v>70</v>
      </c>
    </row>
    <row r="3871" spans="1:7">
      <c r="A3871">
        <v>42</v>
      </c>
      <c r="B3871">
        <v>5</v>
      </c>
      <c r="C3871">
        <v>4</v>
      </c>
      <c r="E3871">
        <v>2</v>
      </c>
      <c r="F3871" t="str">
        <f t="shared" si="60"/>
        <v>F425G4T2</v>
      </c>
      <c r="G3871" s="14" t="s">
        <v>70</v>
      </c>
    </row>
    <row r="3872" spans="1:7">
      <c r="A3872">
        <v>42</v>
      </c>
      <c r="B3872">
        <v>6</v>
      </c>
      <c r="C3872">
        <v>4</v>
      </c>
      <c r="E3872">
        <v>2</v>
      </c>
      <c r="F3872" t="str">
        <f t="shared" si="60"/>
        <v>F426G4T2</v>
      </c>
      <c r="G3872" s="14" t="s">
        <v>70</v>
      </c>
    </row>
    <row r="3873" spans="1:7">
      <c r="A3873">
        <v>42</v>
      </c>
      <c r="B3873">
        <v>7</v>
      </c>
      <c r="C3873">
        <v>4</v>
      </c>
      <c r="E3873">
        <v>2</v>
      </c>
      <c r="F3873" t="str">
        <f t="shared" si="60"/>
        <v>F427G4T2</v>
      </c>
      <c r="G3873" s="14" t="s">
        <v>70</v>
      </c>
    </row>
    <row r="3874" spans="1:7">
      <c r="A3874">
        <v>42</v>
      </c>
      <c r="B3874">
        <v>1</v>
      </c>
      <c r="C3874">
        <v>5</v>
      </c>
      <c r="E3874">
        <v>2</v>
      </c>
      <c r="F3874" t="str">
        <f t="shared" si="60"/>
        <v>F421G5T2</v>
      </c>
      <c r="G3874" s="14" t="s">
        <v>70</v>
      </c>
    </row>
    <row r="3875" spans="1:7">
      <c r="A3875">
        <v>42</v>
      </c>
      <c r="B3875">
        <v>2</v>
      </c>
      <c r="C3875">
        <v>5</v>
      </c>
      <c r="E3875">
        <v>2</v>
      </c>
      <c r="F3875" t="str">
        <f t="shared" si="60"/>
        <v>F422G5T2</v>
      </c>
      <c r="G3875" s="14" t="s">
        <v>70</v>
      </c>
    </row>
    <row r="3876" spans="1:7">
      <c r="A3876">
        <v>42</v>
      </c>
      <c r="B3876">
        <v>5</v>
      </c>
      <c r="C3876">
        <v>5</v>
      </c>
      <c r="E3876">
        <v>2</v>
      </c>
      <c r="F3876" t="str">
        <f t="shared" si="60"/>
        <v>F425G5T2</v>
      </c>
      <c r="G3876" s="14" t="s">
        <v>70</v>
      </c>
    </row>
    <row r="3877" spans="1:7">
      <c r="A3877">
        <v>42</v>
      </c>
      <c r="B3877">
        <v>6</v>
      </c>
      <c r="C3877">
        <v>5</v>
      </c>
      <c r="E3877">
        <v>2</v>
      </c>
      <c r="F3877" t="str">
        <f t="shared" si="60"/>
        <v>F426G5T2</v>
      </c>
      <c r="G3877" s="14" t="s">
        <v>70</v>
      </c>
    </row>
    <row r="3878" spans="1:7">
      <c r="A3878">
        <v>42</v>
      </c>
      <c r="B3878">
        <v>7</v>
      </c>
      <c r="C3878">
        <v>5</v>
      </c>
      <c r="E3878">
        <v>2</v>
      </c>
      <c r="F3878" t="str">
        <f t="shared" si="60"/>
        <v>F427G5T2</v>
      </c>
      <c r="G3878" s="14" t="s">
        <v>70</v>
      </c>
    </row>
    <row r="3879" spans="1:7">
      <c r="A3879">
        <v>42</v>
      </c>
      <c r="B3879">
        <v>1</v>
      </c>
      <c r="C3879">
        <v>3</v>
      </c>
      <c r="E3879">
        <v>3</v>
      </c>
      <c r="F3879" t="str">
        <f t="shared" si="60"/>
        <v>F421G3T3</v>
      </c>
      <c r="G3879" s="14" t="s">
        <v>324</v>
      </c>
    </row>
    <row r="3880" spans="1:7">
      <c r="A3880">
        <v>42</v>
      </c>
      <c r="B3880">
        <v>2</v>
      </c>
      <c r="C3880">
        <v>3</v>
      </c>
      <c r="E3880">
        <v>3</v>
      </c>
      <c r="F3880" t="str">
        <f t="shared" si="60"/>
        <v>F422G3T3</v>
      </c>
      <c r="G3880" s="14" t="s">
        <v>324</v>
      </c>
    </row>
    <row r="3881" spans="1:7">
      <c r="A3881">
        <v>42</v>
      </c>
      <c r="B3881">
        <v>5</v>
      </c>
      <c r="C3881">
        <v>3</v>
      </c>
      <c r="E3881">
        <v>3</v>
      </c>
      <c r="F3881" t="str">
        <f t="shared" si="60"/>
        <v>F425G3T3</v>
      </c>
      <c r="G3881" s="14" t="s">
        <v>324</v>
      </c>
    </row>
    <row r="3882" spans="1:7">
      <c r="A3882">
        <v>42</v>
      </c>
      <c r="B3882">
        <v>6</v>
      </c>
      <c r="C3882">
        <v>3</v>
      </c>
      <c r="E3882">
        <v>3</v>
      </c>
      <c r="F3882" t="str">
        <f t="shared" si="60"/>
        <v>F426G3T3</v>
      </c>
      <c r="G3882" s="14" t="s">
        <v>324</v>
      </c>
    </row>
    <row r="3883" spans="1:7">
      <c r="A3883">
        <v>42</v>
      </c>
      <c r="B3883">
        <v>7</v>
      </c>
      <c r="C3883">
        <v>3</v>
      </c>
      <c r="E3883">
        <v>3</v>
      </c>
      <c r="F3883" t="str">
        <f t="shared" si="60"/>
        <v>F427G3T3</v>
      </c>
      <c r="G3883" s="14" t="s">
        <v>324</v>
      </c>
    </row>
    <row r="3884" spans="1:7">
      <c r="A3884">
        <v>42</v>
      </c>
      <c r="B3884">
        <v>1</v>
      </c>
      <c r="C3884">
        <v>4</v>
      </c>
      <c r="E3884">
        <v>3</v>
      </c>
      <c r="F3884" t="str">
        <f t="shared" si="60"/>
        <v>F421G4T3</v>
      </c>
      <c r="G3884" s="14" t="s">
        <v>324</v>
      </c>
    </row>
    <row r="3885" spans="1:7">
      <c r="A3885">
        <v>42</v>
      </c>
      <c r="B3885">
        <v>2</v>
      </c>
      <c r="C3885">
        <v>4</v>
      </c>
      <c r="E3885">
        <v>3</v>
      </c>
      <c r="F3885" t="str">
        <f t="shared" si="60"/>
        <v>F422G4T3</v>
      </c>
      <c r="G3885" s="14" t="s">
        <v>324</v>
      </c>
    </row>
    <row r="3886" spans="1:7">
      <c r="A3886">
        <v>42</v>
      </c>
      <c r="B3886">
        <v>5</v>
      </c>
      <c r="C3886">
        <v>4</v>
      </c>
      <c r="E3886">
        <v>3</v>
      </c>
      <c r="F3886" t="str">
        <f t="shared" si="60"/>
        <v>F425G4T3</v>
      </c>
      <c r="G3886" s="14" t="s">
        <v>324</v>
      </c>
    </row>
    <row r="3887" spans="1:7">
      <c r="A3887">
        <v>42</v>
      </c>
      <c r="B3887">
        <v>6</v>
      </c>
      <c r="C3887">
        <v>4</v>
      </c>
      <c r="E3887">
        <v>3</v>
      </c>
      <c r="F3887" t="str">
        <f t="shared" si="60"/>
        <v>F426G4T3</v>
      </c>
      <c r="G3887" s="14" t="s">
        <v>324</v>
      </c>
    </row>
    <row r="3888" spans="1:7">
      <c r="A3888">
        <v>42</v>
      </c>
      <c r="B3888">
        <v>7</v>
      </c>
      <c r="C3888">
        <v>4</v>
      </c>
      <c r="E3888">
        <v>3</v>
      </c>
      <c r="F3888" t="str">
        <f t="shared" si="60"/>
        <v>F427G4T3</v>
      </c>
      <c r="G3888" s="14" t="s">
        <v>324</v>
      </c>
    </row>
    <row r="3889" spans="1:7">
      <c r="A3889">
        <v>42</v>
      </c>
      <c r="B3889">
        <v>1</v>
      </c>
      <c r="C3889">
        <v>5</v>
      </c>
      <c r="E3889">
        <v>3</v>
      </c>
      <c r="F3889" t="str">
        <f t="shared" si="60"/>
        <v>F421G5T3</v>
      </c>
      <c r="G3889" s="14" t="s">
        <v>324</v>
      </c>
    </row>
    <row r="3890" spans="1:7">
      <c r="A3890">
        <v>42</v>
      </c>
      <c r="B3890">
        <v>2</v>
      </c>
      <c r="C3890">
        <v>5</v>
      </c>
      <c r="E3890">
        <v>3</v>
      </c>
      <c r="F3890" t="str">
        <f t="shared" si="60"/>
        <v>F422G5T3</v>
      </c>
      <c r="G3890" s="14" t="s">
        <v>324</v>
      </c>
    </row>
    <row r="3891" spans="1:7">
      <c r="A3891">
        <v>42</v>
      </c>
      <c r="B3891">
        <v>5</v>
      </c>
      <c r="C3891">
        <v>5</v>
      </c>
      <c r="E3891">
        <v>3</v>
      </c>
      <c r="F3891" t="str">
        <f t="shared" si="60"/>
        <v>F425G5T3</v>
      </c>
      <c r="G3891" s="14" t="s">
        <v>324</v>
      </c>
    </row>
    <row r="3892" spans="1:7">
      <c r="A3892">
        <v>42</v>
      </c>
      <c r="B3892">
        <v>6</v>
      </c>
      <c r="C3892">
        <v>5</v>
      </c>
      <c r="E3892">
        <v>3</v>
      </c>
      <c r="F3892" t="str">
        <f t="shared" si="60"/>
        <v>F426G5T3</v>
      </c>
      <c r="G3892" s="14" t="s">
        <v>324</v>
      </c>
    </row>
    <row r="3893" spans="1:7">
      <c r="A3893">
        <v>42</v>
      </c>
      <c r="B3893">
        <v>7</v>
      </c>
      <c r="C3893">
        <v>5</v>
      </c>
      <c r="E3893">
        <v>3</v>
      </c>
      <c r="F3893" t="str">
        <f t="shared" si="60"/>
        <v>F427G5T3</v>
      </c>
      <c r="G3893" s="14" t="s">
        <v>324</v>
      </c>
    </row>
    <row r="3894" spans="1:7">
      <c r="A3894">
        <v>43</v>
      </c>
      <c r="B3894">
        <v>1</v>
      </c>
      <c r="C3894">
        <v>3</v>
      </c>
      <c r="E3894">
        <v>2</v>
      </c>
      <c r="F3894" t="str">
        <f t="shared" si="60"/>
        <v>F431G3T2</v>
      </c>
      <c r="G3894" s="14" t="s">
        <v>70</v>
      </c>
    </row>
    <row r="3895" spans="1:7">
      <c r="A3895">
        <v>43</v>
      </c>
      <c r="B3895">
        <v>2</v>
      </c>
      <c r="C3895">
        <v>3</v>
      </c>
      <c r="E3895">
        <v>2</v>
      </c>
      <c r="F3895" t="str">
        <f t="shared" si="60"/>
        <v>F432G3T2</v>
      </c>
      <c r="G3895" s="14" t="s">
        <v>70</v>
      </c>
    </row>
    <row r="3896" spans="1:7">
      <c r="A3896">
        <v>43</v>
      </c>
      <c r="B3896">
        <v>5</v>
      </c>
      <c r="C3896">
        <v>3</v>
      </c>
      <c r="E3896">
        <v>2</v>
      </c>
      <c r="F3896" t="str">
        <f t="shared" si="60"/>
        <v>F435G3T2</v>
      </c>
      <c r="G3896" s="14" t="s">
        <v>70</v>
      </c>
    </row>
    <row r="3897" spans="1:7">
      <c r="A3897">
        <v>43</v>
      </c>
      <c r="B3897">
        <v>6</v>
      </c>
      <c r="C3897">
        <v>3</v>
      </c>
      <c r="E3897">
        <v>2</v>
      </c>
      <c r="F3897" t="str">
        <f t="shared" si="60"/>
        <v>F436G3T2</v>
      </c>
      <c r="G3897" s="14" t="s">
        <v>70</v>
      </c>
    </row>
    <row r="3898" spans="1:7">
      <c r="A3898">
        <v>43</v>
      </c>
      <c r="B3898">
        <v>7</v>
      </c>
      <c r="C3898">
        <v>3</v>
      </c>
      <c r="E3898">
        <v>2</v>
      </c>
      <c r="F3898" t="str">
        <f t="shared" si="60"/>
        <v>F437G3T2</v>
      </c>
      <c r="G3898" s="14" t="s">
        <v>70</v>
      </c>
    </row>
    <row r="3899" spans="1:7">
      <c r="A3899">
        <v>43</v>
      </c>
      <c r="B3899">
        <v>1</v>
      </c>
      <c r="C3899">
        <v>4</v>
      </c>
      <c r="E3899">
        <v>2</v>
      </c>
      <c r="F3899" t="str">
        <f t="shared" si="60"/>
        <v>F431G4T2</v>
      </c>
      <c r="G3899" s="14" t="s">
        <v>70</v>
      </c>
    </row>
    <row r="3900" spans="1:7">
      <c r="A3900">
        <v>43</v>
      </c>
      <c r="B3900">
        <v>2</v>
      </c>
      <c r="C3900">
        <v>4</v>
      </c>
      <c r="E3900">
        <v>2</v>
      </c>
      <c r="F3900" t="str">
        <f t="shared" si="60"/>
        <v>F432G4T2</v>
      </c>
      <c r="G3900" s="14" t="s">
        <v>70</v>
      </c>
    </row>
    <row r="3901" spans="1:7">
      <c r="A3901">
        <v>43</v>
      </c>
      <c r="B3901">
        <v>5</v>
      </c>
      <c r="C3901">
        <v>4</v>
      </c>
      <c r="E3901">
        <v>2</v>
      </c>
      <c r="F3901" t="str">
        <f t="shared" si="60"/>
        <v>F435G4T2</v>
      </c>
      <c r="G3901" s="14" t="s">
        <v>70</v>
      </c>
    </row>
    <row r="3902" spans="1:7">
      <c r="A3902">
        <v>43</v>
      </c>
      <c r="B3902">
        <v>6</v>
      </c>
      <c r="C3902">
        <v>4</v>
      </c>
      <c r="E3902">
        <v>2</v>
      </c>
      <c r="F3902" t="str">
        <f t="shared" si="60"/>
        <v>F436G4T2</v>
      </c>
      <c r="G3902" s="14" t="s">
        <v>70</v>
      </c>
    </row>
    <row r="3903" spans="1:7">
      <c r="A3903">
        <v>43</v>
      </c>
      <c r="B3903">
        <v>7</v>
      </c>
      <c r="C3903">
        <v>4</v>
      </c>
      <c r="E3903">
        <v>2</v>
      </c>
      <c r="F3903" t="str">
        <f t="shared" si="60"/>
        <v>F437G4T2</v>
      </c>
      <c r="G3903" s="14" t="s">
        <v>70</v>
      </c>
    </row>
    <row r="3904" spans="1:7">
      <c r="A3904">
        <v>43</v>
      </c>
      <c r="B3904">
        <v>1</v>
      </c>
      <c r="C3904">
        <v>5</v>
      </c>
      <c r="E3904">
        <v>2</v>
      </c>
      <c r="F3904" t="str">
        <f t="shared" si="60"/>
        <v>F431G5T2</v>
      </c>
      <c r="G3904" s="14" t="s">
        <v>70</v>
      </c>
    </row>
    <row r="3905" spans="1:7">
      <c r="A3905">
        <v>43</v>
      </c>
      <c r="B3905">
        <v>2</v>
      </c>
      <c r="C3905">
        <v>5</v>
      </c>
      <c r="E3905">
        <v>2</v>
      </c>
      <c r="F3905" t="str">
        <f t="shared" si="60"/>
        <v>F432G5T2</v>
      </c>
      <c r="G3905" s="14" t="s">
        <v>70</v>
      </c>
    </row>
    <row r="3906" spans="1:7">
      <c r="A3906">
        <v>43</v>
      </c>
      <c r="B3906">
        <v>5</v>
      </c>
      <c r="C3906">
        <v>5</v>
      </c>
      <c r="E3906">
        <v>2</v>
      </c>
      <c r="F3906" t="str">
        <f t="shared" si="60"/>
        <v>F435G5T2</v>
      </c>
      <c r="G3906" s="14" t="s">
        <v>70</v>
      </c>
    </row>
    <row r="3907" spans="1:7">
      <c r="A3907">
        <v>43</v>
      </c>
      <c r="B3907">
        <v>6</v>
      </c>
      <c r="C3907">
        <v>5</v>
      </c>
      <c r="E3907">
        <v>2</v>
      </c>
      <c r="F3907" t="str">
        <f t="shared" ref="F3907:F3970" si="61">CONCATENATE("F",A3907,B3907,"G",C3907,"T",E3907)</f>
        <v>F436G5T2</v>
      </c>
      <c r="G3907" s="14" t="s">
        <v>70</v>
      </c>
    </row>
    <row r="3908" spans="1:7">
      <c r="A3908">
        <v>43</v>
      </c>
      <c r="B3908">
        <v>7</v>
      </c>
      <c r="C3908">
        <v>5</v>
      </c>
      <c r="E3908">
        <v>2</v>
      </c>
      <c r="F3908" t="str">
        <f t="shared" si="61"/>
        <v>F437G5T2</v>
      </c>
      <c r="G3908" s="14" t="s">
        <v>70</v>
      </c>
    </row>
    <row r="3909" spans="1:7">
      <c r="A3909">
        <v>43</v>
      </c>
      <c r="B3909">
        <v>1</v>
      </c>
      <c r="C3909">
        <v>3</v>
      </c>
      <c r="E3909">
        <v>3</v>
      </c>
      <c r="F3909" t="str">
        <f t="shared" si="61"/>
        <v>F431G3T3</v>
      </c>
      <c r="G3909" s="14" t="s">
        <v>324</v>
      </c>
    </row>
    <row r="3910" spans="1:7">
      <c r="A3910">
        <v>43</v>
      </c>
      <c r="B3910">
        <v>2</v>
      </c>
      <c r="C3910">
        <v>3</v>
      </c>
      <c r="E3910">
        <v>3</v>
      </c>
      <c r="F3910" t="str">
        <f t="shared" si="61"/>
        <v>F432G3T3</v>
      </c>
      <c r="G3910" s="14" t="s">
        <v>324</v>
      </c>
    </row>
    <row r="3911" spans="1:7">
      <c r="A3911">
        <v>43</v>
      </c>
      <c r="B3911">
        <v>5</v>
      </c>
      <c r="C3911">
        <v>3</v>
      </c>
      <c r="E3911">
        <v>3</v>
      </c>
      <c r="F3911" t="str">
        <f t="shared" si="61"/>
        <v>F435G3T3</v>
      </c>
      <c r="G3911" s="14" t="s">
        <v>324</v>
      </c>
    </row>
    <row r="3912" spans="1:7">
      <c r="A3912">
        <v>43</v>
      </c>
      <c r="B3912">
        <v>6</v>
      </c>
      <c r="C3912">
        <v>3</v>
      </c>
      <c r="E3912">
        <v>3</v>
      </c>
      <c r="F3912" t="str">
        <f t="shared" si="61"/>
        <v>F436G3T3</v>
      </c>
      <c r="G3912" s="14" t="s">
        <v>324</v>
      </c>
    </row>
    <row r="3913" spans="1:7">
      <c r="A3913">
        <v>43</v>
      </c>
      <c r="B3913">
        <v>7</v>
      </c>
      <c r="C3913">
        <v>3</v>
      </c>
      <c r="E3913">
        <v>3</v>
      </c>
      <c r="F3913" t="str">
        <f t="shared" si="61"/>
        <v>F437G3T3</v>
      </c>
      <c r="G3913" s="14" t="s">
        <v>324</v>
      </c>
    </row>
    <row r="3914" spans="1:7">
      <c r="A3914">
        <v>43</v>
      </c>
      <c r="B3914">
        <v>1</v>
      </c>
      <c r="C3914">
        <v>4</v>
      </c>
      <c r="E3914">
        <v>3</v>
      </c>
      <c r="F3914" t="str">
        <f t="shared" si="61"/>
        <v>F431G4T3</v>
      </c>
      <c r="G3914" s="14" t="s">
        <v>324</v>
      </c>
    </row>
    <row r="3915" spans="1:7">
      <c r="A3915">
        <v>43</v>
      </c>
      <c r="B3915">
        <v>2</v>
      </c>
      <c r="C3915">
        <v>4</v>
      </c>
      <c r="E3915">
        <v>3</v>
      </c>
      <c r="F3915" t="str">
        <f t="shared" si="61"/>
        <v>F432G4T3</v>
      </c>
      <c r="G3915" s="14" t="s">
        <v>324</v>
      </c>
    </row>
    <row r="3916" spans="1:7">
      <c r="A3916">
        <v>43</v>
      </c>
      <c r="B3916">
        <v>5</v>
      </c>
      <c r="C3916">
        <v>4</v>
      </c>
      <c r="E3916">
        <v>3</v>
      </c>
      <c r="F3916" t="str">
        <f t="shared" si="61"/>
        <v>F435G4T3</v>
      </c>
      <c r="G3916" s="14" t="s">
        <v>324</v>
      </c>
    </row>
    <row r="3917" spans="1:7">
      <c r="A3917">
        <v>43</v>
      </c>
      <c r="B3917">
        <v>6</v>
      </c>
      <c r="C3917">
        <v>4</v>
      </c>
      <c r="E3917">
        <v>3</v>
      </c>
      <c r="F3917" t="str">
        <f t="shared" si="61"/>
        <v>F436G4T3</v>
      </c>
      <c r="G3917" s="14" t="s">
        <v>324</v>
      </c>
    </row>
    <row r="3918" spans="1:7">
      <c r="A3918">
        <v>43</v>
      </c>
      <c r="B3918">
        <v>7</v>
      </c>
      <c r="C3918">
        <v>4</v>
      </c>
      <c r="E3918">
        <v>3</v>
      </c>
      <c r="F3918" t="str">
        <f t="shared" si="61"/>
        <v>F437G4T3</v>
      </c>
      <c r="G3918" s="14" t="s">
        <v>324</v>
      </c>
    </row>
    <row r="3919" spans="1:7">
      <c r="A3919">
        <v>43</v>
      </c>
      <c r="B3919">
        <v>1</v>
      </c>
      <c r="C3919">
        <v>5</v>
      </c>
      <c r="E3919">
        <v>3</v>
      </c>
      <c r="F3919" t="str">
        <f t="shared" si="61"/>
        <v>F431G5T3</v>
      </c>
      <c r="G3919" s="14" t="s">
        <v>324</v>
      </c>
    </row>
    <row r="3920" spans="1:7">
      <c r="A3920">
        <v>43</v>
      </c>
      <c r="B3920">
        <v>2</v>
      </c>
      <c r="C3920">
        <v>5</v>
      </c>
      <c r="E3920">
        <v>3</v>
      </c>
      <c r="F3920" t="str">
        <f t="shared" si="61"/>
        <v>F432G5T3</v>
      </c>
      <c r="G3920" s="14" t="s">
        <v>324</v>
      </c>
    </row>
    <row r="3921" spans="1:7">
      <c r="A3921">
        <v>43</v>
      </c>
      <c r="B3921">
        <v>5</v>
      </c>
      <c r="C3921">
        <v>5</v>
      </c>
      <c r="E3921">
        <v>3</v>
      </c>
      <c r="F3921" t="str">
        <f t="shared" si="61"/>
        <v>F435G5T3</v>
      </c>
      <c r="G3921" s="14" t="s">
        <v>324</v>
      </c>
    </row>
    <row r="3922" spans="1:7">
      <c r="A3922">
        <v>43</v>
      </c>
      <c r="B3922">
        <v>6</v>
      </c>
      <c r="C3922">
        <v>5</v>
      </c>
      <c r="E3922">
        <v>3</v>
      </c>
      <c r="F3922" t="str">
        <f t="shared" si="61"/>
        <v>F436G5T3</v>
      </c>
      <c r="G3922" s="14" t="s">
        <v>324</v>
      </c>
    </row>
    <row r="3923" spans="1:7">
      <c r="A3923">
        <v>43</v>
      </c>
      <c r="B3923">
        <v>7</v>
      </c>
      <c r="C3923">
        <v>5</v>
      </c>
      <c r="E3923">
        <v>3</v>
      </c>
      <c r="F3923" t="str">
        <f t="shared" si="61"/>
        <v>F437G5T3</v>
      </c>
      <c r="G3923" s="14" t="s">
        <v>324</v>
      </c>
    </row>
    <row r="3924" spans="1:7">
      <c r="A3924">
        <v>46</v>
      </c>
      <c r="B3924">
        <v>1</v>
      </c>
      <c r="C3924">
        <v>3</v>
      </c>
      <c r="E3924">
        <v>2</v>
      </c>
      <c r="F3924" t="str">
        <f t="shared" si="61"/>
        <v>F461G3T2</v>
      </c>
      <c r="G3924" s="14" t="s">
        <v>70</v>
      </c>
    </row>
    <row r="3925" spans="1:7">
      <c r="A3925">
        <v>46</v>
      </c>
      <c r="B3925">
        <v>2</v>
      </c>
      <c r="C3925">
        <v>3</v>
      </c>
      <c r="E3925">
        <v>2</v>
      </c>
      <c r="F3925" t="str">
        <f t="shared" si="61"/>
        <v>F462G3T2</v>
      </c>
      <c r="G3925" s="14" t="s">
        <v>70</v>
      </c>
    </row>
    <row r="3926" spans="1:7">
      <c r="A3926">
        <v>46</v>
      </c>
      <c r="B3926">
        <v>5</v>
      </c>
      <c r="C3926">
        <v>3</v>
      </c>
      <c r="E3926">
        <v>2</v>
      </c>
      <c r="F3926" t="str">
        <f t="shared" si="61"/>
        <v>F465G3T2</v>
      </c>
      <c r="G3926" s="14" t="s">
        <v>70</v>
      </c>
    </row>
    <row r="3927" spans="1:7">
      <c r="A3927">
        <v>46</v>
      </c>
      <c r="B3927">
        <v>6</v>
      </c>
      <c r="C3927">
        <v>3</v>
      </c>
      <c r="E3927">
        <v>2</v>
      </c>
      <c r="F3927" t="str">
        <f t="shared" si="61"/>
        <v>F466G3T2</v>
      </c>
      <c r="G3927" s="14" t="s">
        <v>70</v>
      </c>
    </row>
    <row r="3928" spans="1:7">
      <c r="A3928">
        <v>46</v>
      </c>
      <c r="B3928">
        <v>7</v>
      </c>
      <c r="C3928">
        <v>3</v>
      </c>
      <c r="E3928">
        <v>2</v>
      </c>
      <c r="F3928" t="str">
        <f t="shared" si="61"/>
        <v>F467G3T2</v>
      </c>
      <c r="G3928" s="14" t="s">
        <v>70</v>
      </c>
    </row>
    <row r="3929" spans="1:7">
      <c r="A3929">
        <v>46</v>
      </c>
      <c r="B3929">
        <v>1</v>
      </c>
      <c r="C3929">
        <v>4</v>
      </c>
      <c r="E3929">
        <v>2</v>
      </c>
      <c r="F3929" t="str">
        <f t="shared" si="61"/>
        <v>F461G4T2</v>
      </c>
      <c r="G3929" s="14" t="s">
        <v>70</v>
      </c>
    </row>
    <row r="3930" spans="1:7">
      <c r="A3930">
        <v>46</v>
      </c>
      <c r="B3930">
        <v>2</v>
      </c>
      <c r="C3930">
        <v>4</v>
      </c>
      <c r="E3930">
        <v>2</v>
      </c>
      <c r="F3930" t="str">
        <f t="shared" si="61"/>
        <v>F462G4T2</v>
      </c>
      <c r="G3930" s="14" t="s">
        <v>70</v>
      </c>
    </row>
    <row r="3931" spans="1:7">
      <c r="A3931">
        <v>46</v>
      </c>
      <c r="B3931">
        <v>5</v>
      </c>
      <c r="C3931">
        <v>4</v>
      </c>
      <c r="E3931">
        <v>2</v>
      </c>
      <c r="F3931" t="str">
        <f t="shared" si="61"/>
        <v>F465G4T2</v>
      </c>
      <c r="G3931" s="14" t="s">
        <v>70</v>
      </c>
    </row>
    <row r="3932" spans="1:7">
      <c r="A3932">
        <v>46</v>
      </c>
      <c r="B3932">
        <v>6</v>
      </c>
      <c r="C3932">
        <v>4</v>
      </c>
      <c r="E3932">
        <v>2</v>
      </c>
      <c r="F3932" t="str">
        <f t="shared" si="61"/>
        <v>F466G4T2</v>
      </c>
      <c r="G3932" s="14" t="s">
        <v>70</v>
      </c>
    </row>
    <row r="3933" spans="1:7">
      <c r="A3933">
        <v>46</v>
      </c>
      <c r="B3933">
        <v>7</v>
      </c>
      <c r="C3933">
        <v>4</v>
      </c>
      <c r="E3933">
        <v>2</v>
      </c>
      <c r="F3933" t="str">
        <f t="shared" si="61"/>
        <v>F467G4T2</v>
      </c>
      <c r="G3933" s="14" t="s">
        <v>70</v>
      </c>
    </row>
    <row r="3934" spans="1:7">
      <c r="A3934">
        <v>46</v>
      </c>
      <c r="B3934">
        <v>1</v>
      </c>
      <c r="C3934">
        <v>5</v>
      </c>
      <c r="E3934">
        <v>2</v>
      </c>
      <c r="F3934" t="str">
        <f t="shared" si="61"/>
        <v>F461G5T2</v>
      </c>
      <c r="G3934" s="14" t="s">
        <v>70</v>
      </c>
    </row>
    <row r="3935" spans="1:7">
      <c r="A3935">
        <v>46</v>
      </c>
      <c r="B3935">
        <v>2</v>
      </c>
      <c r="C3935">
        <v>5</v>
      </c>
      <c r="E3935">
        <v>2</v>
      </c>
      <c r="F3935" t="str">
        <f t="shared" si="61"/>
        <v>F462G5T2</v>
      </c>
      <c r="G3935" s="14" t="s">
        <v>70</v>
      </c>
    </row>
    <row r="3936" spans="1:7">
      <c r="A3936">
        <v>46</v>
      </c>
      <c r="B3936">
        <v>5</v>
      </c>
      <c r="C3936">
        <v>5</v>
      </c>
      <c r="E3936">
        <v>2</v>
      </c>
      <c r="F3936" t="str">
        <f t="shared" si="61"/>
        <v>F465G5T2</v>
      </c>
      <c r="G3936" s="14" t="s">
        <v>70</v>
      </c>
    </row>
    <row r="3937" spans="1:7">
      <c r="A3937">
        <v>46</v>
      </c>
      <c r="B3937">
        <v>6</v>
      </c>
      <c r="C3937">
        <v>5</v>
      </c>
      <c r="E3937">
        <v>2</v>
      </c>
      <c r="F3937" t="str">
        <f t="shared" si="61"/>
        <v>F466G5T2</v>
      </c>
      <c r="G3937" s="14" t="s">
        <v>70</v>
      </c>
    </row>
    <row r="3938" spans="1:7">
      <c r="A3938">
        <v>46</v>
      </c>
      <c r="B3938">
        <v>7</v>
      </c>
      <c r="C3938">
        <v>5</v>
      </c>
      <c r="E3938">
        <v>2</v>
      </c>
      <c r="F3938" t="str">
        <f t="shared" si="61"/>
        <v>F467G5T2</v>
      </c>
      <c r="G3938" s="14" t="s">
        <v>70</v>
      </c>
    </row>
    <row r="3939" spans="1:7">
      <c r="A3939">
        <v>46</v>
      </c>
      <c r="B3939">
        <v>1</v>
      </c>
      <c r="C3939">
        <v>3</v>
      </c>
      <c r="E3939">
        <v>3</v>
      </c>
      <c r="F3939" t="str">
        <f t="shared" si="61"/>
        <v>F461G3T3</v>
      </c>
      <c r="G3939" s="14" t="s">
        <v>324</v>
      </c>
    </row>
    <row r="3940" spans="1:7">
      <c r="A3940">
        <v>46</v>
      </c>
      <c r="B3940">
        <v>2</v>
      </c>
      <c r="C3940">
        <v>3</v>
      </c>
      <c r="E3940">
        <v>3</v>
      </c>
      <c r="F3940" t="str">
        <f t="shared" si="61"/>
        <v>F462G3T3</v>
      </c>
      <c r="G3940" s="14" t="s">
        <v>324</v>
      </c>
    </row>
    <row r="3941" spans="1:7">
      <c r="A3941">
        <v>46</v>
      </c>
      <c r="B3941">
        <v>5</v>
      </c>
      <c r="C3941">
        <v>3</v>
      </c>
      <c r="E3941">
        <v>3</v>
      </c>
      <c r="F3941" t="str">
        <f t="shared" si="61"/>
        <v>F465G3T3</v>
      </c>
      <c r="G3941" s="14" t="s">
        <v>324</v>
      </c>
    </row>
    <row r="3942" spans="1:7">
      <c r="A3942">
        <v>46</v>
      </c>
      <c r="B3942">
        <v>6</v>
      </c>
      <c r="C3942">
        <v>3</v>
      </c>
      <c r="E3942">
        <v>3</v>
      </c>
      <c r="F3942" t="str">
        <f t="shared" si="61"/>
        <v>F466G3T3</v>
      </c>
      <c r="G3942" s="14" t="s">
        <v>324</v>
      </c>
    </row>
    <row r="3943" spans="1:7">
      <c r="A3943">
        <v>46</v>
      </c>
      <c r="B3943">
        <v>7</v>
      </c>
      <c r="C3943">
        <v>3</v>
      </c>
      <c r="E3943">
        <v>3</v>
      </c>
      <c r="F3943" t="str">
        <f t="shared" si="61"/>
        <v>F467G3T3</v>
      </c>
      <c r="G3943" s="14" t="s">
        <v>324</v>
      </c>
    </row>
    <row r="3944" spans="1:7">
      <c r="A3944">
        <v>46</v>
      </c>
      <c r="B3944">
        <v>1</v>
      </c>
      <c r="C3944">
        <v>4</v>
      </c>
      <c r="E3944">
        <v>3</v>
      </c>
      <c r="F3944" t="str">
        <f t="shared" si="61"/>
        <v>F461G4T3</v>
      </c>
      <c r="G3944" s="14" t="s">
        <v>324</v>
      </c>
    </row>
    <row r="3945" spans="1:7">
      <c r="A3945">
        <v>46</v>
      </c>
      <c r="B3945">
        <v>2</v>
      </c>
      <c r="C3945">
        <v>4</v>
      </c>
      <c r="E3945">
        <v>3</v>
      </c>
      <c r="F3945" t="str">
        <f t="shared" si="61"/>
        <v>F462G4T3</v>
      </c>
      <c r="G3945" s="14" t="s">
        <v>324</v>
      </c>
    </row>
    <row r="3946" spans="1:7">
      <c r="A3946">
        <v>46</v>
      </c>
      <c r="B3946">
        <v>5</v>
      </c>
      <c r="C3946">
        <v>4</v>
      </c>
      <c r="E3946">
        <v>3</v>
      </c>
      <c r="F3946" t="str">
        <f t="shared" si="61"/>
        <v>F465G4T3</v>
      </c>
      <c r="G3946" s="14" t="s">
        <v>324</v>
      </c>
    </row>
    <row r="3947" spans="1:7">
      <c r="A3947">
        <v>46</v>
      </c>
      <c r="B3947">
        <v>6</v>
      </c>
      <c r="C3947">
        <v>4</v>
      </c>
      <c r="E3947">
        <v>3</v>
      </c>
      <c r="F3947" t="str">
        <f t="shared" si="61"/>
        <v>F466G4T3</v>
      </c>
      <c r="G3947" s="14" t="s">
        <v>324</v>
      </c>
    </row>
    <row r="3948" spans="1:7">
      <c r="A3948">
        <v>46</v>
      </c>
      <c r="B3948">
        <v>7</v>
      </c>
      <c r="C3948">
        <v>4</v>
      </c>
      <c r="E3948">
        <v>3</v>
      </c>
      <c r="F3948" t="str">
        <f t="shared" si="61"/>
        <v>F467G4T3</v>
      </c>
      <c r="G3948" s="14" t="s">
        <v>324</v>
      </c>
    </row>
    <row r="3949" spans="1:7">
      <c r="A3949">
        <v>46</v>
      </c>
      <c r="B3949">
        <v>1</v>
      </c>
      <c r="C3949">
        <v>5</v>
      </c>
      <c r="E3949">
        <v>3</v>
      </c>
      <c r="F3949" t="str">
        <f t="shared" si="61"/>
        <v>F461G5T3</v>
      </c>
      <c r="G3949" s="14" t="s">
        <v>324</v>
      </c>
    </row>
    <row r="3950" spans="1:7">
      <c r="A3950">
        <v>46</v>
      </c>
      <c r="B3950">
        <v>2</v>
      </c>
      <c r="C3950">
        <v>5</v>
      </c>
      <c r="E3950">
        <v>3</v>
      </c>
      <c r="F3950" t="str">
        <f t="shared" si="61"/>
        <v>F462G5T3</v>
      </c>
      <c r="G3950" s="14" t="s">
        <v>324</v>
      </c>
    </row>
    <row r="3951" spans="1:7">
      <c r="A3951">
        <v>46</v>
      </c>
      <c r="B3951">
        <v>5</v>
      </c>
      <c r="C3951">
        <v>5</v>
      </c>
      <c r="E3951">
        <v>3</v>
      </c>
      <c r="F3951" t="str">
        <f t="shared" si="61"/>
        <v>F465G5T3</v>
      </c>
      <c r="G3951" s="14" t="s">
        <v>324</v>
      </c>
    </row>
    <row r="3952" spans="1:7">
      <c r="A3952">
        <v>46</v>
      </c>
      <c r="B3952">
        <v>6</v>
      </c>
      <c r="C3952">
        <v>5</v>
      </c>
      <c r="E3952">
        <v>3</v>
      </c>
      <c r="F3952" t="str">
        <f t="shared" si="61"/>
        <v>F466G5T3</v>
      </c>
      <c r="G3952" s="14" t="s">
        <v>324</v>
      </c>
    </row>
    <row r="3953" spans="1:7">
      <c r="A3953">
        <v>46</v>
      </c>
      <c r="B3953">
        <v>7</v>
      </c>
      <c r="C3953">
        <v>5</v>
      </c>
      <c r="E3953">
        <v>3</v>
      </c>
      <c r="F3953" t="str">
        <f t="shared" si="61"/>
        <v>F467G5T3</v>
      </c>
      <c r="G3953" s="14" t="s">
        <v>324</v>
      </c>
    </row>
    <row r="3954" spans="1:7">
      <c r="A3954">
        <v>56</v>
      </c>
      <c r="B3954">
        <v>1</v>
      </c>
      <c r="C3954">
        <v>3</v>
      </c>
      <c r="E3954">
        <v>2</v>
      </c>
      <c r="F3954" t="str">
        <f t="shared" si="61"/>
        <v>F561G3T2</v>
      </c>
      <c r="G3954" s="14" t="s">
        <v>70</v>
      </c>
    </row>
    <row r="3955" spans="1:7">
      <c r="A3955">
        <v>56</v>
      </c>
      <c r="B3955">
        <v>2</v>
      </c>
      <c r="C3955">
        <v>3</v>
      </c>
      <c r="E3955">
        <v>2</v>
      </c>
      <c r="F3955" t="str">
        <f t="shared" si="61"/>
        <v>F562G3T2</v>
      </c>
      <c r="G3955" s="14" t="s">
        <v>70</v>
      </c>
    </row>
    <row r="3956" spans="1:7">
      <c r="A3956">
        <v>56</v>
      </c>
      <c r="B3956">
        <v>5</v>
      </c>
      <c r="C3956">
        <v>3</v>
      </c>
      <c r="E3956">
        <v>2</v>
      </c>
      <c r="F3956" t="str">
        <f t="shared" si="61"/>
        <v>F565G3T2</v>
      </c>
      <c r="G3956" s="14" t="s">
        <v>70</v>
      </c>
    </row>
    <row r="3957" spans="1:7">
      <c r="A3957">
        <v>56</v>
      </c>
      <c r="B3957">
        <v>6</v>
      </c>
      <c r="C3957">
        <v>3</v>
      </c>
      <c r="E3957">
        <v>2</v>
      </c>
      <c r="F3957" t="str">
        <f t="shared" si="61"/>
        <v>F566G3T2</v>
      </c>
      <c r="G3957" s="14" t="s">
        <v>70</v>
      </c>
    </row>
    <row r="3958" spans="1:7">
      <c r="A3958">
        <v>56</v>
      </c>
      <c r="B3958">
        <v>7</v>
      </c>
      <c r="C3958">
        <v>3</v>
      </c>
      <c r="E3958">
        <v>2</v>
      </c>
      <c r="F3958" t="str">
        <f t="shared" si="61"/>
        <v>F567G3T2</v>
      </c>
      <c r="G3958" s="14" t="s">
        <v>70</v>
      </c>
    </row>
    <row r="3959" spans="1:7">
      <c r="A3959">
        <v>56</v>
      </c>
      <c r="B3959">
        <v>1</v>
      </c>
      <c r="C3959">
        <v>4</v>
      </c>
      <c r="E3959">
        <v>2</v>
      </c>
      <c r="F3959" t="str">
        <f t="shared" si="61"/>
        <v>F561G4T2</v>
      </c>
      <c r="G3959" s="14" t="s">
        <v>70</v>
      </c>
    </row>
    <row r="3960" spans="1:7">
      <c r="A3960">
        <v>56</v>
      </c>
      <c r="B3960">
        <v>2</v>
      </c>
      <c r="C3960">
        <v>4</v>
      </c>
      <c r="E3960">
        <v>2</v>
      </c>
      <c r="F3960" t="str">
        <f t="shared" si="61"/>
        <v>F562G4T2</v>
      </c>
      <c r="G3960" s="14" t="s">
        <v>70</v>
      </c>
    </row>
    <row r="3961" spans="1:7">
      <c r="A3961">
        <v>56</v>
      </c>
      <c r="B3961">
        <v>5</v>
      </c>
      <c r="C3961">
        <v>4</v>
      </c>
      <c r="E3961">
        <v>2</v>
      </c>
      <c r="F3961" t="str">
        <f t="shared" si="61"/>
        <v>F565G4T2</v>
      </c>
      <c r="G3961" s="14" t="s">
        <v>70</v>
      </c>
    </row>
    <row r="3962" spans="1:7">
      <c r="A3962">
        <v>56</v>
      </c>
      <c r="B3962">
        <v>6</v>
      </c>
      <c r="C3962">
        <v>4</v>
      </c>
      <c r="E3962">
        <v>2</v>
      </c>
      <c r="F3962" t="str">
        <f t="shared" si="61"/>
        <v>F566G4T2</v>
      </c>
      <c r="G3962" s="14" t="s">
        <v>70</v>
      </c>
    </row>
    <row r="3963" spans="1:7">
      <c r="A3963">
        <v>56</v>
      </c>
      <c r="B3963">
        <v>7</v>
      </c>
      <c r="C3963">
        <v>4</v>
      </c>
      <c r="E3963">
        <v>2</v>
      </c>
      <c r="F3963" t="str">
        <f t="shared" si="61"/>
        <v>F567G4T2</v>
      </c>
      <c r="G3963" s="14" t="s">
        <v>70</v>
      </c>
    </row>
    <row r="3964" spans="1:7">
      <c r="A3964">
        <v>56</v>
      </c>
      <c r="B3964">
        <v>1</v>
      </c>
      <c r="C3964">
        <v>5</v>
      </c>
      <c r="E3964">
        <v>2</v>
      </c>
      <c r="F3964" t="str">
        <f t="shared" si="61"/>
        <v>F561G5T2</v>
      </c>
      <c r="G3964" s="14" t="s">
        <v>70</v>
      </c>
    </row>
    <row r="3965" spans="1:7">
      <c r="A3965">
        <v>56</v>
      </c>
      <c r="B3965">
        <v>2</v>
      </c>
      <c r="C3965">
        <v>5</v>
      </c>
      <c r="E3965">
        <v>2</v>
      </c>
      <c r="F3965" t="str">
        <f t="shared" si="61"/>
        <v>F562G5T2</v>
      </c>
      <c r="G3965" s="14" t="s">
        <v>70</v>
      </c>
    </row>
    <row r="3966" spans="1:7">
      <c r="A3966">
        <v>56</v>
      </c>
      <c r="B3966">
        <v>5</v>
      </c>
      <c r="C3966">
        <v>5</v>
      </c>
      <c r="E3966">
        <v>2</v>
      </c>
      <c r="F3966" t="str">
        <f t="shared" si="61"/>
        <v>F565G5T2</v>
      </c>
      <c r="G3966" s="14" t="s">
        <v>70</v>
      </c>
    </row>
    <row r="3967" spans="1:7">
      <c r="A3967">
        <v>56</v>
      </c>
      <c r="B3967">
        <v>6</v>
      </c>
      <c r="C3967">
        <v>5</v>
      </c>
      <c r="E3967">
        <v>2</v>
      </c>
      <c r="F3967" t="str">
        <f t="shared" si="61"/>
        <v>F566G5T2</v>
      </c>
      <c r="G3967" s="14" t="s">
        <v>70</v>
      </c>
    </row>
    <row r="3968" spans="1:7">
      <c r="A3968">
        <v>56</v>
      </c>
      <c r="B3968">
        <v>7</v>
      </c>
      <c r="C3968">
        <v>5</v>
      </c>
      <c r="E3968">
        <v>2</v>
      </c>
      <c r="F3968" t="str">
        <f t="shared" si="61"/>
        <v>F567G5T2</v>
      </c>
      <c r="G3968" s="14" t="s">
        <v>70</v>
      </c>
    </row>
    <row r="3969" spans="1:7">
      <c r="A3969">
        <v>56</v>
      </c>
      <c r="B3969">
        <v>1</v>
      </c>
      <c r="C3969">
        <v>3</v>
      </c>
      <c r="E3969">
        <v>3</v>
      </c>
      <c r="F3969" t="str">
        <f t="shared" si="61"/>
        <v>F561G3T3</v>
      </c>
      <c r="G3969" s="14" t="s">
        <v>324</v>
      </c>
    </row>
    <row r="3970" spans="1:7">
      <c r="A3970">
        <v>56</v>
      </c>
      <c r="B3970">
        <v>2</v>
      </c>
      <c r="C3970">
        <v>3</v>
      </c>
      <c r="E3970">
        <v>3</v>
      </c>
      <c r="F3970" t="str">
        <f t="shared" si="61"/>
        <v>F562G3T3</v>
      </c>
      <c r="G3970" s="14" t="s">
        <v>324</v>
      </c>
    </row>
    <row r="3971" spans="1:7">
      <c r="A3971">
        <v>56</v>
      </c>
      <c r="B3971">
        <v>5</v>
      </c>
      <c r="C3971">
        <v>3</v>
      </c>
      <c r="E3971">
        <v>3</v>
      </c>
      <c r="F3971" t="str">
        <f t="shared" ref="F3971:F4034" si="62">CONCATENATE("F",A3971,B3971,"G",C3971,"T",E3971)</f>
        <v>F565G3T3</v>
      </c>
      <c r="G3971" s="14" t="s">
        <v>324</v>
      </c>
    </row>
    <row r="3972" spans="1:7">
      <c r="A3972">
        <v>56</v>
      </c>
      <c r="B3972">
        <v>6</v>
      </c>
      <c r="C3972">
        <v>3</v>
      </c>
      <c r="E3972">
        <v>3</v>
      </c>
      <c r="F3972" t="str">
        <f t="shared" si="62"/>
        <v>F566G3T3</v>
      </c>
      <c r="G3972" s="14" t="s">
        <v>324</v>
      </c>
    </row>
    <row r="3973" spans="1:7">
      <c r="A3973">
        <v>56</v>
      </c>
      <c r="B3973">
        <v>7</v>
      </c>
      <c r="C3973">
        <v>3</v>
      </c>
      <c r="E3973">
        <v>3</v>
      </c>
      <c r="F3973" t="str">
        <f t="shared" si="62"/>
        <v>F567G3T3</v>
      </c>
      <c r="G3973" s="14" t="s">
        <v>324</v>
      </c>
    </row>
    <row r="3974" spans="1:7">
      <c r="A3974">
        <v>56</v>
      </c>
      <c r="B3974">
        <v>1</v>
      </c>
      <c r="C3974">
        <v>4</v>
      </c>
      <c r="E3974">
        <v>3</v>
      </c>
      <c r="F3974" t="str">
        <f t="shared" si="62"/>
        <v>F561G4T3</v>
      </c>
      <c r="G3974" s="14" t="s">
        <v>324</v>
      </c>
    </row>
    <row r="3975" spans="1:7">
      <c r="A3975">
        <v>56</v>
      </c>
      <c r="B3975">
        <v>2</v>
      </c>
      <c r="C3975">
        <v>4</v>
      </c>
      <c r="E3975">
        <v>3</v>
      </c>
      <c r="F3975" t="str">
        <f t="shared" si="62"/>
        <v>F562G4T3</v>
      </c>
      <c r="G3975" s="14" t="s">
        <v>324</v>
      </c>
    </row>
    <row r="3976" spans="1:7">
      <c r="A3976">
        <v>56</v>
      </c>
      <c r="B3976">
        <v>5</v>
      </c>
      <c r="C3976">
        <v>4</v>
      </c>
      <c r="E3976">
        <v>3</v>
      </c>
      <c r="F3976" t="str">
        <f t="shared" si="62"/>
        <v>F565G4T3</v>
      </c>
      <c r="G3976" s="14" t="s">
        <v>324</v>
      </c>
    </row>
    <row r="3977" spans="1:7">
      <c r="A3977">
        <v>56</v>
      </c>
      <c r="B3977">
        <v>6</v>
      </c>
      <c r="C3977">
        <v>4</v>
      </c>
      <c r="E3977">
        <v>3</v>
      </c>
      <c r="F3977" t="str">
        <f t="shared" si="62"/>
        <v>F566G4T3</v>
      </c>
      <c r="G3977" s="14" t="s">
        <v>324</v>
      </c>
    </row>
    <row r="3978" spans="1:7">
      <c r="A3978">
        <v>56</v>
      </c>
      <c r="B3978">
        <v>7</v>
      </c>
      <c r="C3978">
        <v>4</v>
      </c>
      <c r="E3978">
        <v>3</v>
      </c>
      <c r="F3978" t="str">
        <f t="shared" si="62"/>
        <v>F567G4T3</v>
      </c>
      <c r="G3978" s="14" t="s">
        <v>324</v>
      </c>
    </row>
    <row r="3979" spans="1:7">
      <c r="A3979">
        <v>56</v>
      </c>
      <c r="B3979">
        <v>1</v>
      </c>
      <c r="C3979">
        <v>5</v>
      </c>
      <c r="E3979">
        <v>3</v>
      </c>
      <c r="F3979" t="str">
        <f t="shared" si="62"/>
        <v>F561G5T3</v>
      </c>
      <c r="G3979" s="14" t="s">
        <v>324</v>
      </c>
    </row>
    <row r="3980" spans="1:7">
      <c r="A3980">
        <v>56</v>
      </c>
      <c r="B3980">
        <v>2</v>
      </c>
      <c r="C3980">
        <v>5</v>
      </c>
      <c r="E3980">
        <v>3</v>
      </c>
      <c r="F3980" t="str">
        <f t="shared" si="62"/>
        <v>F562G5T3</v>
      </c>
      <c r="G3980" s="14" t="s">
        <v>324</v>
      </c>
    </row>
    <row r="3981" spans="1:7">
      <c r="A3981">
        <v>56</v>
      </c>
      <c r="B3981">
        <v>5</v>
      </c>
      <c r="C3981">
        <v>5</v>
      </c>
      <c r="E3981">
        <v>3</v>
      </c>
      <c r="F3981" t="str">
        <f t="shared" si="62"/>
        <v>F565G5T3</v>
      </c>
      <c r="G3981" s="14" t="s">
        <v>324</v>
      </c>
    </row>
    <row r="3982" spans="1:7">
      <c r="A3982">
        <v>56</v>
      </c>
      <c r="B3982">
        <v>6</v>
      </c>
      <c r="C3982">
        <v>5</v>
      </c>
      <c r="E3982">
        <v>3</v>
      </c>
      <c r="F3982" t="str">
        <f t="shared" si="62"/>
        <v>F566G5T3</v>
      </c>
      <c r="G3982" s="14" t="s">
        <v>324</v>
      </c>
    </row>
    <row r="3983" spans="1:7">
      <c r="A3983">
        <v>56</v>
      </c>
      <c r="B3983">
        <v>7</v>
      </c>
      <c r="C3983">
        <v>5</v>
      </c>
      <c r="E3983">
        <v>3</v>
      </c>
      <c r="F3983" t="str">
        <f t="shared" si="62"/>
        <v>F567G5T3</v>
      </c>
      <c r="G3983" s="14" t="s">
        <v>324</v>
      </c>
    </row>
    <row r="3984" spans="1:7">
      <c r="A3984">
        <v>67</v>
      </c>
      <c r="B3984">
        <v>1</v>
      </c>
      <c r="C3984">
        <v>3</v>
      </c>
      <c r="E3984">
        <v>2</v>
      </c>
      <c r="F3984" t="str">
        <f t="shared" si="62"/>
        <v>F671G3T2</v>
      </c>
      <c r="G3984" s="14" t="s">
        <v>70</v>
      </c>
    </row>
    <row r="3985" spans="1:7">
      <c r="A3985">
        <v>67</v>
      </c>
      <c r="B3985">
        <v>2</v>
      </c>
      <c r="C3985">
        <v>3</v>
      </c>
      <c r="E3985">
        <v>2</v>
      </c>
      <c r="F3985" t="str">
        <f t="shared" si="62"/>
        <v>F672G3T2</v>
      </c>
      <c r="G3985" s="14" t="s">
        <v>70</v>
      </c>
    </row>
    <row r="3986" spans="1:7">
      <c r="A3986">
        <v>67</v>
      </c>
      <c r="B3986">
        <v>5</v>
      </c>
      <c r="C3986">
        <v>3</v>
      </c>
      <c r="E3986">
        <v>2</v>
      </c>
      <c r="F3986" t="str">
        <f t="shared" si="62"/>
        <v>F675G3T2</v>
      </c>
      <c r="G3986" s="14" t="s">
        <v>70</v>
      </c>
    </row>
    <row r="3987" spans="1:7">
      <c r="A3987">
        <v>67</v>
      </c>
      <c r="B3987">
        <v>6</v>
      </c>
      <c r="C3987">
        <v>3</v>
      </c>
      <c r="E3987">
        <v>2</v>
      </c>
      <c r="F3987" t="str">
        <f t="shared" si="62"/>
        <v>F676G3T2</v>
      </c>
      <c r="G3987" s="14" t="s">
        <v>70</v>
      </c>
    </row>
    <row r="3988" spans="1:7">
      <c r="A3988">
        <v>67</v>
      </c>
      <c r="B3988">
        <v>7</v>
      </c>
      <c r="C3988">
        <v>3</v>
      </c>
      <c r="E3988">
        <v>2</v>
      </c>
      <c r="F3988" t="str">
        <f t="shared" si="62"/>
        <v>F677G3T2</v>
      </c>
      <c r="G3988" s="14" t="s">
        <v>70</v>
      </c>
    </row>
    <row r="3989" spans="1:7">
      <c r="A3989">
        <v>67</v>
      </c>
      <c r="B3989">
        <v>1</v>
      </c>
      <c r="C3989">
        <v>4</v>
      </c>
      <c r="E3989">
        <v>2</v>
      </c>
      <c r="F3989" t="str">
        <f t="shared" si="62"/>
        <v>F671G4T2</v>
      </c>
      <c r="G3989" s="14" t="s">
        <v>70</v>
      </c>
    </row>
    <row r="3990" spans="1:7">
      <c r="A3990">
        <v>67</v>
      </c>
      <c r="B3990">
        <v>2</v>
      </c>
      <c r="C3990">
        <v>4</v>
      </c>
      <c r="E3990">
        <v>2</v>
      </c>
      <c r="F3990" t="str">
        <f t="shared" si="62"/>
        <v>F672G4T2</v>
      </c>
      <c r="G3990" s="14" t="s">
        <v>70</v>
      </c>
    </row>
    <row r="3991" spans="1:7">
      <c r="A3991">
        <v>67</v>
      </c>
      <c r="B3991">
        <v>5</v>
      </c>
      <c r="C3991">
        <v>4</v>
      </c>
      <c r="E3991">
        <v>2</v>
      </c>
      <c r="F3991" t="str">
        <f t="shared" si="62"/>
        <v>F675G4T2</v>
      </c>
      <c r="G3991" s="14" t="s">
        <v>70</v>
      </c>
    </row>
    <row r="3992" spans="1:7">
      <c r="A3992">
        <v>67</v>
      </c>
      <c r="B3992">
        <v>6</v>
      </c>
      <c r="C3992">
        <v>4</v>
      </c>
      <c r="E3992">
        <v>2</v>
      </c>
      <c r="F3992" t="str">
        <f t="shared" si="62"/>
        <v>F676G4T2</v>
      </c>
      <c r="G3992" s="14" t="s">
        <v>70</v>
      </c>
    </row>
    <row r="3993" spans="1:7">
      <c r="A3993">
        <v>67</v>
      </c>
      <c r="B3993">
        <v>7</v>
      </c>
      <c r="C3993">
        <v>4</v>
      </c>
      <c r="E3993">
        <v>2</v>
      </c>
      <c r="F3993" t="str">
        <f t="shared" si="62"/>
        <v>F677G4T2</v>
      </c>
      <c r="G3993" s="14" t="s">
        <v>70</v>
      </c>
    </row>
    <row r="3994" spans="1:7">
      <c r="A3994">
        <v>67</v>
      </c>
      <c r="B3994">
        <v>1</v>
      </c>
      <c r="C3994">
        <v>5</v>
      </c>
      <c r="E3994">
        <v>2</v>
      </c>
      <c r="F3994" t="str">
        <f t="shared" si="62"/>
        <v>F671G5T2</v>
      </c>
      <c r="G3994" s="14" t="s">
        <v>70</v>
      </c>
    </row>
    <row r="3995" spans="1:7">
      <c r="A3995">
        <v>67</v>
      </c>
      <c r="B3995">
        <v>2</v>
      </c>
      <c r="C3995">
        <v>5</v>
      </c>
      <c r="E3995">
        <v>2</v>
      </c>
      <c r="F3995" t="str">
        <f t="shared" si="62"/>
        <v>F672G5T2</v>
      </c>
      <c r="G3995" s="14" t="s">
        <v>70</v>
      </c>
    </row>
    <row r="3996" spans="1:7">
      <c r="A3996">
        <v>67</v>
      </c>
      <c r="B3996">
        <v>5</v>
      </c>
      <c r="C3996">
        <v>5</v>
      </c>
      <c r="E3996">
        <v>2</v>
      </c>
      <c r="F3996" t="str">
        <f t="shared" si="62"/>
        <v>F675G5T2</v>
      </c>
      <c r="G3996" s="14" t="s">
        <v>70</v>
      </c>
    </row>
    <row r="3997" spans="1:7">
      <c r="A3997">
        <v>67</v>
      </c>
      <c r="B3997">
        <v>6</v>
      </c>
      <c r="C3997">
        <v>5</v>
      </c>
      <c r="E3997">
        <v>2</v>
      </c>
      <c r="F3997" t="str">
        <f t="shared" si="62"/>
        <v>F676G5T2</v>
      </c>
      <c r="G3997" s="14" t="s">
        <v>70</v>
      </c>
    </row>
    <row r="3998" spans="1:7">
      <c r="A3998">
        <v>67</v>
      </c>
      <c r="B3998">
        <v>7</v>
      </c>
      <c r="C3998">
        <v>5</v>
      </c>
      <c r="E3998">
        <v>2</v>
      </c>
      <c r="F3998" t="str">
        <f t="shared" si="62"/>
        <v>F677G5T2</v>
      </c>
      <c r="G3998" s="14" t="s">
        <v>70</v>
      </c>
    </row>
    <row r="3999" spans="1:7">
      <c r="A3999">
        <v>67</v>
      </c>
      <c r="B3999">
        <v>1</v>
      </c>
      <c r="C3999">
        <v>3</v>
      </c>
      <c r="E3999">
        <v>3</v>
      </c>
      <c r="F3999" t="str">
        <f t="shared" si="62"/>
        <v>F671G3T3</v>
      </c>
      <c r="G3999" s="14" t="s">
        <v>324</v>
      </c>
    </row>
    <row r="4000" spans="1:7">
      <c r="A4000">
        <v>67</v>
      </c>
      <c r="B4000">
        <v>2</v>
      </c>
      <c r="C4000">
        <v>3</v>
      </c>
      <c r="E4000">
        <v>3</v>
      </c>
      <c r="F4000" t="str">
        <f t="shared" si="62"/>
        <v>F672G3T3</v>
      </c>
      <c r="G4000" s="14" t="s">
        <v>324</v>
      </c>
    </row>
    <row r="4001" spans="1:7">
      <c r="A4001">
        <v>67</v>
      </c>
      <c r="B4001">
        <v>5</v>
      </c>
      <c r="C4001">
        <v>3</v>
      </c>
      <c r="E4001">
        <v>3</v>
      </c>
      <c r="F4001" t="str">
        <f t="shared" si="62"/>
        <v>F675G3T3</v>
      </c>
      <c r="G4001" s="14" t="s">
        <v>324</v>
      </c>
    </row>
    <row r="4002" spans="1:7">
      <c r="A4002">
        <v>67</v>
      </c>
      <c r="B4002">
        <v>6</v>
      </c>
      <c r="C4002">
        <v>3</v>
      </c>
      <c r="E4002">
        <v>3</v>
      </c>
      <c r="F4002" t="str">
        <f t="shared" si="62"/>
        <v>F676G3T3</v>
      </c>
      <c r="G4002" s="14" t="s">
        <v>324</v>
      </c>
    </row>
    <row r="4003" spans="1:7">
      <c r="A4003">
        <v>67</v>
      </c>
      <c r="B4003">
        <v>7</v>
      </c>
      <c r="C4003">
        <v>3</v>
      </c>
      <c r="E4003">
        <v>3</v>
      </c>
      <c r="F4003" t="str">
        <f t="shared" si="62"/>
        <v>F677G3T3</v>
      </c>
      <c r="G4003" s="14" t="s">
        <v>324</v>
      </c>
    </row>
    <row r="4004" spans="1:7">
      <c r="A4004">
        <v>67</v>
      </c>
      <c r="B4004">
        <v>1</v>
      </c>
      <c r="C4004">
        <v>4</v>
      </c>
      <c r="E4004">
        <v>3</v>
      </c>
      <c r="F4004" t="str">
        <f t="shared" si="62"/>
        <v>F671G4T3</v>
      </c>
      <c r="G4004" s="14" t="s">
        <v>324</v>
      </c>
    </row>
    <row r="4005" spans="1:7">
      <c r="A4005">
        <v>67</v>
      </c>
      <c r="B4005">
        <v>2</v>
      </c>
      <c r="C4005">
        <v>4</v>
      </c>
      <c r="E4005">
        <v>3</v>
      </c>
      <c r="F4005" t="str">
        <f t="shared" si="62"/>
        <v>F672G4T3</v>
      </c>
      <c r="G4005" s="14" t="s">
        <v>324</v>
      </c>
    </row>
    <row r="4006" spans="1:7">
      <c r="A4006">
        <v>67</v>
      </c>
      <c r="B4006">
        <v>5</v>
      </c>
      <c r="C4006">
        <v>4</v>
      </c>
      <c r="E4006">
        <v>3</v>
      </c>
      <c r="F4006" t="str">
        <f t="shared" si="62"/>
        <v>F675G4T3</v>
      </c>
      <c r="G4006" s="14" t="s">
        <v>324</v>
      </c>
    </row>
    <row r="4007" spans="1:7">
      <c r="A4007">
        <v>67</v>
      </c>
      <c r="B4007">
        <v>6</v>
      </c>
      <c r="C4007">
        <v>4</v>
      </c>
      <c r="E4007">
        <v>3</v>
      </c>
      <c r="F4007" t="str">
        <f t="shared" si="62"/>
        <v>F676G4T3</v>
      </c>
      <c r="G4007" s="14" t="s">
        <v>324</v>
      </c>
    </row>
    <row r="4008" spans="1:7">
      <c r="A4008">
        <v>67</v>
      </c>
      <c r="B4008">
        <v>7</v>
      </c>
      <c r="C4008">
        <v>4</v>
      </c>
      <c r="E4008">
        <v>3</v>
      </c>
      <c r="F4008" t="str">
        <f t="shared" si="62"/>
        <v>F677G4T3</v>
      </c>
      <c r="G4008" s="14" t="s">
        <v>324</v>
      </c>
    </row>
    <row r="4009" spans="1:7">
      <c r="A4009">
        <v>67</v>
      </c>
      <c r="B4009">
        <v>1</v>
      </c>
      <c r="C4009">
        <v>5</v>
      </c>
      <c r="E4009">
        <v>3</v>
      </c>
      <c r="F4009" t="str">
        <f t="shared" si="62"/>
        <v>F671G5T3</v>
      </c>
      <c r="G4009" s="14" t="s">
        <v>324</v>
      </c>
    </row>
    <row r="4010" spans="1:7">
      <c r="A4010">
        <v>67</v>
      </c>
      <c r="B4010">
        <v>2</v>
      </c>
      <c r="C4010">
        <v>5</v>
      </c>
      <c r="E4010">
        <v>3</v>
      </c>
      <c r="F4010" t="str">
        <f t="shared" si="62"/>
        <v>F672G5T3</v>
      </c>
      <c r="G4010" s="14" t="s">
        <v>324</v>
      </c>
    </row>
    <row r="4011" spans="1:7">
      <c r="A4011">
        <v>67</v>
      </c>
      <c r="B4011">
        <v>5</v>
      </c>
      <c r="C4011">
        <v>5</v>
      </c>
      <c r="E4011">
        <v>3</v>
      </c>
      <c r="F4011" t="str">
        <f t="shared" si="62"/>
        <v>F675G5T3</v>
      </c>
      <c r="G4011" s="14" t="s">
        <v>324</v>
      </c>
    </row>
    <row r="4012" spans="1:7">
      <c r="A4012">
        <v>67</v>
      </c>
      <c r="B4012">
        <v>6</v>
      </c>
      <c r="C4012">
        <v>5</v>
      </c>
      <c r="E4012">
        <v>3</v>
      </c>
      <c r="F4012" t="str">
        <f t="shared" si="62"/>
        <v>F676G5T3</v>
      </c>
      <c r="G4012" s="14" t="s">
        <v>324</v>
      </c>
    </row>
    <row r="4013" spans="1:7">
      <c r="A4013">
        <v>67</v>
      </c>
      <c r="B4013">
        <v>7</v>
      </c>
      <c r="C4013">
        <v>5</v>
      </c>
      <c r="E4013">
        <v>3</v>
      </c>
      <c r="F4013" t="str">
        <f t="shared" si="62"/>
        <v>F677G5T3</v>
      </c>
      <c r="G4013" s="14" t="s">
        <v>324</v>
      </c>
    </row>
    <row r="4014" spans="1:7">
      <c r="A4014">
        <v>70</v>
      </c>
      <c r="B4014">
        <v>1</v>
      </c>
      <c r="C4014">
        <v>3</v>
      </c>
      <c r="E4014">
        <v>2</v>
      </c>
      <c r="F4014" t="str">
        <f t="shared" si="62"/>
        <v>F701G3T2</v>
      </c>
      <c r="G4014" s="14" t="s">
        <v>70</v>
      </c>
    </row>
    <row r="4015" spans="1:7">
      <c r="A4015">
        <v>70</v>
      </c>
      <c r="B4015">
        <v>2</v>
      </c>
      <c r="C4015">
        <v>3</v>
      </c>
      <c r="E4015">
        <v>2</v>
      </c>
      <c r="F4015" t="str">
        <f t="shared" si="62"/>
        <v>F702G3T2</v>
      </c>
      <c r="G4015" s="14" t="s">
        <v>70</v>
      </c>
    </row>
    <row r="4016" spans="1:7">
      <c r="A4016">
        <v>70</v>
      </c>
      <c r="B4016">
        <v>5</v>
      </c>
      <c r="C4016">
        <v>3</v>
      </c>
      <c r="E4016">
        <v>2</v>
      </c>
      <c r="F4016" t="str">
        <f t="shared" si="62"/>
        <v>F705G3T2</v>
      </c>
      <c r="G4016" s="14" t="s">
        <v>70</v>
      </c>
    </row>
    <row r="4017" spans="1:7">
      <c r="A4017">
        <v>70</v>
      </c>
      <c r="B4017">
        <v>6</v>
      </c>
      <c r="C4017">
        <v>3</v>
      </c>
      <c r="E4017">
        <v>2</v>
      </c>
      <c r="F4017" t="str">
        <f t="shared" si="62"/>
        <v>F706G3T2</v>
      </c>
      <c r="G4017" s="14" t="s">
        <v>70</v>
      </c>
    </row>
    <row r="4018" spans="1:7">
      <c r="A4018">
        <v>70</v>
      </c>
      <c r="B4018">
        <v>7</v>
      </c>
      <c r="C4018">
        <v>3</v>
      </c>
      <c r="E4018">
        <v>2</v>
      </c>
      <c r="F4018" t="str">
        <f t="shared" si="62"/>
        <v>F707G3T2</v>
      </c>
      <c r="G4018" s="14" t="s">
        <v>70</v>
      </c>
    </row>
    <row r="4019" spans="1:7">
      <c r="A4019">
        <v>70</v>
      </c>
      <c r="B4019">
        <v>1</v>
      </c>
      <c r="C4019">
        <v>4</v>
      </c>
      <c r="E4019">
        <v>2</v>
      </c>
      <c r="F4019" t="str">
        <f t="shared" si="62"/>
        <v>F701G4T2</v>
      </c>
      <c r="G4019" s="14" t="s">
        <v>70</v>
      </c>
    </row>
    <row r="4020" spans="1:7">
      <c r="A4020">
        <v>70</v>
      </c>
      <c r="B4020">
        <v>2</v>
      </c>
      <c r="C4020">
        <v>4</v>
      </c>
      <c r="E4020">
        <v>2</v>
      </c>
      <c r="F4020" t="str">
        <f t="shared" si="62"/>
        <v>F702G4T2</v>
      </c>
      <c r="G4020" s="14" t="s">
        <v>70</v>
      </c>
    </row>
    <row r="4021" spans="1:7">
      <c r="A4021">
        <v>70</v>
      </c>
      <c r="B4021">
        <v>5</v>
      </c>
      <c r="C4021">
        <v>4</v>
      </c>
      <c r="E4021">
        <v>2</v>
      </c>
      <c r="F4021" t="str">
        <f t="shared" si="62"/>
        <v>F705G4T2</v>
      </c>
      <c r="G4021" s="14" t="s">
        <v>70</v>
      </c>
    </row>
    <row r="4022" spans="1:7">
      <c r="A4022">
        <v>70</v>
      </c>
      <c r="B4022">
        <v>6</v>
      </c>
      <c r="C4022">
        <v>4</v>
      </c>
      <c r="E4022">
        <v>2</v>
      </c>
      <c r="F4022" t="str">
        <f t="shared" si="62"/>
        <v>F706G4T2</v>
      </c>
      <c r="G4022" s="14" t="s">
        <v>70</v>
      </c>
    </row>
    <row r="4023" spans="1:7">
      <c r="A4023">
        <v>70</v>
      </c>
      <c r="B4023">
        <v>7</v>
      </c>
      <c r="C4023">
        <v>4</v>
      </c>
      <c r="E4023">
        <v>2</v>
      </c>
      <c r="F4023" t="str">
        <f t="shared" si="62"/>
        <v>F707G4T2</v>
      </c>
      <c r="G4023" s="14" t="s">
        <v>70</v>
      </c>
    </row>
    <row r="4024" spans="1:7">
      <c r="A4024">
        <v>70</v>
      </c>
      <c r="B4024">
        <v>1</v>
      </c>
      <c r="C4024">
        <v>5</v>
      </c>
      <c r="E4024">
        <v>2</v>
      </c>
      <c r="F4024" t="str">
        <f t="shared" si="62"/>
        <v>F701G5T2</v>
      </c>
      <c r="G4024" s="14" t="s">
        <v>70</v>
      </c>
    </row>
    <row r="4025" spans="1:7">
      <c r="A4025">
        <v>70</v>
      </c>
      <c r="B4025">
        <v>2</v>
      </c>
      <c r="C4025">
        <v>5</v>
      </c>
      <c r="E4025">
        <v>2</v>
      </c>
      <c r="F4025" t="str">
        <f t="shared" si="62"/>
        <v>F702G5T2</v>
      </c>
      <c r="G4025" s="14" t="s">
        <v>70</v>
      </c>
    </row>
    <row r="4026" spans="1:7">
      <c r="A4026">
        <v>70</v>
      </c>
      <c r="B4026">
        <v>5</v>
      </c>
      <c r="C4026">
        <v>5</v>
      </c>
      <c r="E4026">
        <v>2</v>
      </c>
      <c r="F4026" t="str">
        <f t="shared" si="62"/>
        <v>F705G5T2</v>
      </c>
      <c r="G4026" s="14" t="s">
        <v>70</v>
      </c>
    </row>
    <row r="4027" spans="1:7">
      <c r="A4027">
        <v>70</v>
      </c>
      <c r="B4027">
        <v>6</v>
      </c>
      <c r="C4027">
        <v>5</v>
      </c>
      <c r="E4027">
        <v>2</v>
      </c>
      <c r="F4027" t="str">
        <f t="shared" si="62"/>
        <v>F706G5T2</v>
      </c>
      <c r="G4027" s="14" t="s">
        <v>70</v>
      </c>
    </row>
    <row r="4028" spans="1:7">
      <c r="A4028">
        <v>70</v>
      </c>
      <c r="B4028">
        <v>7</v>
      </c>
      <c r="C4028">
        <v>5</v>
      </c>
      <c r="E4028">
        <v>2</v>
      </c>
      <c r="F4028" t="str">
        <f t="shared" si="62"/>
        <v>F707G5T2</v>
      </c>
      <c r="G4028" s="14" t="s">
        <v>70</v>
      </c>
    </row>
    <row r="4029" spans="1:7">
      <c r="A4029">
        <v>70</v>
      </c>
      <c r="B4029">
        <v>1</v>
      </c>
      <c r="C4029">
        <v>3</v>
      </c>
      <c r="E4029">
        <v>3</v>
      </c>
      <c r="F4029" t="str">
        <f t="shared" si="62"/>
        <v>F701G3T3</v>
      </c>
      <c r="G4029" s="14" t="s">
        <v>324</v>
      </c>
    </row>
    <row r="4030" spans="1:7">
      <c r="A4030">
        <v>70</v>
      </c>
      <c r="B4030">
        <v>2</v>
      </c>
      <c r="C4030">
        <v>3</v>
      </c>
      <c r="E4030">
        <v>3</v>
      </c>
      <c r="F4030" t="str">
        <f t="shared" si="62"/>
        <v>F702G3T3</v>
      </c>
      <c r="G4030" s="14" t="s">
        <v>324</v>
      </c>
    </row>
    <row r="4031" spans="1:7">
      <c r="A4031">
        <v>70</v>
      </c>
      <c r="B4031">
        <v>5</v>
      </c>
      <c r="C4031">
        <v>3</v>
      </c>
      <c r="E4031">
        <v>3</v>
      </c>
      <c r="F4031" t="str">
        <f t="shared" si="62"/>
        <v>F705G3T3</v>
      </c>
      <c r="G4031" s="14" t="s">
        <v>324</v>
      </c>
    </row>
    <row r="4032" spans="1:7">
      <c r="A4032">
        <v>70</v>
      </c>
      <c r="B4032">
        <v>6</v>
      </c>
      <c r="C4032">
        <v>3</v>
      </c>
      <c r="E4032">
        <v>3</v>
      </c>
      <c r="F4032" t="str">
        <f t="shared" si="62"/>
        <v>F706G3T3</v>
      </c>
      <c r="G4032" s="14" t="s">
        <v>324</v>
      </c>
    </row>
    <row r="4033" spans="1:7">
      <c r="A4033">
        <v>70</v>
      </c>
      <c r="B4033">
        <v>7</v>
      </c>
      <c r="C4033">
        <v>3</v>
      </c>
      <c r="E4033">
        <v>3</v>
      </c>
      <c r="F4033" t="str">
        <f t="shared" si="62"/>
        <v>F707G3T3</v>
      </c>
      <c r="G4033" s="14" t="s">
        <v>324</v>
      </c>
    </row>
    <row r="4034" spans="1:7">
      <c r="A4034">
        <v>70</v>
      </c>
      <c r="B4034">
        <v>1</v>
      </c>
      <c r="C4034">
        <v>4</v>
      </c>
      <c r="E4034">
        <v>3</v>
      </c>
      <c r="F4034" t="str">
        <f t="shared" si="62"/>
        <v>F701G4T3</v>
      </c>
      <c r="G4034" s="14" t="s">
        <v>324</v>
      </c>
    </row>
    <row r="4035" spans="1:7">
      <c r="A4035">
        <v>70</v>
      </c>
      <c r="B4035">
        <v>2</v>
      </c>
      <c r="C4035">
        <v>4</v>
      </c>
      <c r="E4035">
        <v>3</v>
      </c>
      <c r="F4035" t="str">
        <f t="shared" ref="F4035:F4098" si="63">CONCATENATE("F",A4035,B4035,"G",C4035,"T",E4035)</f>
        <v>F702G4T3</v>
      </c>
      <c r="G4035" s="14" t="s">
        <v>324</v>
      </c>
    </row>
    <row r="4036" spans="1:7">
      <c r="A4036">
        <v>70</v>
      </c>
      <c r="B4036">
        <v>5</v>
      </c>
      <c r="C4036">
        <v>4</v>
      </c>
      <c r="E4036">
        <v>3</v>
      </c>
      <c r="F4036" t="str">
        <f t="shared" si="63"/>
        <v>F705G4T3</v>
      </c>
      <c r="G4036" s="14" t="s">
        <v>324</v>
      </c>
    </row>
    <row r="4037" spans="1:7">
      <c r="A4037">
        <v>70</v>
      </c>
      <c r="B4037">
        <v>6</v>
      </c>
      <c r="C4037">
        <v>4</v>
      </c>
      <c r="E4037">
        <v>3</v>
      </c>
      <c r="F4037" t="str">
        <f t="shared" si="63"/>
        <v>F706G4T3</v>
      </c>
      <c r="G4037" s="14" t="s">
        <v>324</v>
      </c>
    </row>
    <row r="4038" spans="1:7">
      <c r="A4038">
        <v>70</v>
      </c>
      <c r="B4038">
        <v>7</v>
      </c>
      <c r="C4038">
        <v>4</v>
      </c>
      <c r="E4038">
        <v>3</v>
      </c>
      <c r="F4038" t="str">
        <f t="shared" si="63"/>
        <v>F707G4T3</v>
      </c>
      <c r="G4038" s="14" t="s">
        <v>324</v>
      </c>
    </row>
    <row r="4039" spans="1:7">
      <c r="A4039">
        <v>70</v>
      </c>
      <c r="B4039">
        <v>1</v>
      </c>
      <c r="C4039">
        <v>5</v>
      </c>
      <c r="E4039">
        <v>3</v>
      </c>
      <c r="F4039" t="str">
        <f t="shared" si="63"/>
        <v>F701G5T3</v>
      </c>
      <c r="G4039" s="14" t="s">
        <v>324</v>
      </c>
    </row>
    <row r="4040" spans="1:7">
      <c r="A4040">
        <v>70</v>
      </c>
      <c r="B4040">
        <v>2</v>
      </c>
      <c r="C4040">
        <v>5</v>
      </c>
      <c r="E4040">
        <v>3</v>
      </c>
      <c r="F4040" t="str">
        <f t="shared" si="63"/>
        <v>F702G5T3</v>
      </c>
      <c r="G4040" s="14" t="s">
        <v>324</v>
      </c>
    </row>
    <row r="4041" spans="1:7">
      <c r="A4041">
        <v>70</v>
      </c>
      <c r="B4041">
        <v>5</v>
      </c>
      <c r="C4041">
        <v>5</v>
      </c>
      <c r="E4041">
        <v>3</v>
      </c>
      <c r="F4041" t="str">
        <f t="shared" si="63"/>
        <v>F705G5T3</v>
      </c>
      <c r="G4041" s="14" t="s">
        <v>324</v>
      </c>
    </row>
    <row r="4042" spans="1:7">
      <c r="A4042">
        <v>70</v>
      </c>
      <c r="B4042">
        <v>6</v>
      </c>
      <c r="C4042">
        <v>5</v>
      </c>
      <c r="E4042">
        <v>3</v>
      </c>
      <c r="F4042" t="str">
        <f t="shared" si="63"/>
        <v>F706G5T3</v>
      </c>
      <c r="G4042" s="14" t="s">
        <v>324</v>
      </c>
    </row>
    <row r="4043" spans="1:7">
      <c r="A4043">
        <v>70</v>
      </c>
      <c r="B4043">
        <v>7</v>
      </c>
      <c r="C4043">
        <v>5</v>
      </c>
      <c r="E4043">
        <v>3</v>
      </c>
      <c r="F4043" t="str">
        <f t="shared" si="63"/>
        <v>F707G5T3</v>
      </c>
      <c r="G4043" s="14" t="s">
        <v>324</v>
      </c>
    </row>
    <row r="4044" spans="1:7">
      <c r="A4044">
        <v>77</v>
      </c>
      <c r="B4044">
        <v>1</v>
      </c>
      <c r="C4044">
        <v>3</v>
      </c>
      <c r="E4044">
        <v>2</v>
      </c>
      <c r="F4044" t="str">
        <f t="shared" si="63"/>
        <v>F771G3T2</v>
      </c>
      <c r="G4044" s="14" t="s">
        <v>70</v>
      </c>
    </row>
    <row r="4045" spans="1:7">
      <c r="A4045">
        <v>77</v>
      </c>
      <c r="B4045">
        <v>2</v>
      </c>
      <c r="C4045">
        <v>3</v>
      </c>
      <c r="E4045">
        <v>2</v>
      </c>
      <c r="F4045" t="str">
        <f t="shared" si="63"/>
        <v>F772G3T2</v>
      </c>
      <c r="G4045" s="14" t="s">
        <v>70</v>
      </c>
    </row>
    <row r="4046" spans="1:7">
      <c r="A4046">
        <v>77</v>
      </c>
      <c r="B4046">
        <v>5</v>
      </c>
      <c r="C4046">
        <v>3</v>
      </c>
      <c r="E4046">
        <v>2</v>
      </c>
      <c r="F4046" t="str">
        <f t="shared" si="63"/>
        <v>F775G3T2</v>
      </c>
      <c r="G4046" s="14" t="s">
        <v>70</v>
      </c>
    </row>
    <row r="4047" spans="1:7">
      <c r="A4047">
        <v>77</v>
      </c>
      <c r="B4047">
        <v>6</v>
      </c>
      <c r="C4047">
        <v>3</v>
      </c>
      <c r="E4047">
        <v>2</v>
      </c>
      <c r="F4047" t="str">
        <f t="shared" si="63"/>
        <v>F776G3T2</v>
      </c>
      <c r="G4047" s="14" t="s">
        <v>70</v>
      </c>
    </row>
    <row r="4048" spans="1:7">
      <c r="A4048">
        <v>77</v>
      </c>
      <c r="B4048">
        <v>7</v>
      </c>
      <c r="C4048">
        <v>3</v>
      </c>
      <c r="E4048">
        <v>2</v>
      </c>
      <c r="F4048" t="str">
        <f t="shared" si="63"/>
        <v>F777G3T2</v>
      </c>
      <c r="G4048" s="14" t="s">
        <v>70</v>
      </c>
    </row>
    <row r="4049" spans="1:7">
      <c r="A4049">
        <v>77</v>
      </c>
      <c r="B4049">
        <v>1</v>
      </c>
      <c r="C4049">
        <v>4</v>
      </c>
      <c r="E4049">
        <v>2</v>
      </c>
      <c r="F4049" t="str">
        <f t="shared" si="63"/>
        <v>F771G4T2</v>
      </c>
      <c r="G4049" s="14" t="s">
        <v>70</v>
      </c>
    </row>
    <row r="4050" spans="1:7">
      <c r="A4050">
        <v>77</v>
      </c>
      <c r="B4050">
        <v>2</v>
      </c>
      <c r="C4050">
        <v>4</v>
      </c>
      <c r="E4050">
        <v>2</v>
      </c>
      <c r="F4050" t="str">
        <f t="shared" si="63"/>
        <v>F772G4T2</v>
      </c>
      <c r="G4050" s="14" t="s">
        <v>70</v>
      </c>
    </row>
    <row r="4051" spans="1:7">
      <c r="A4051">
        <v>77</v>
      </c>
      <c r="B4051">
        <v>5</v>
      </c>
      <c r="C4051">
        <v>4</v>
      </c>
      <c r="E4051">
        <v>2</v>
      </c>
      <c r="F4051" t="str">
        <f t="shared" si="63"/>
        <v>F775G4T2</v>
      </c>
      <c r="G4051" s="14" t="s">
        <v>70</v>
      </c>
    </row>
    <row r="4052" spans="1:7">
      <c r="A4052">
        <v>77</v>
      </c>
      <c r="B4052">
        <v>6</v>
      </c>
      <c r="C4052">
        <v>4</v>
      </c>
      <c r="E4052">
        <v>2</v>
      </c>
      <c r="F4052" t="str">
        <f t="shared" si="63"/>
        <v>F776G4T2</v>
      </c>
      <c r="G4052" s="14" t="s">
        <v>70</v>
      </c>
    </row>
    <row r="4053" spans="1:7">
      <c r="A4053">
        <v>77</v>
      </c>
      <c r="B4053">
        <v>7</v>
      </c>
      <c r="C4053">
        <v>4</v>
      </c>
      <c r="E4053">
        <v>2</v>
      </c>
      <c r="F4053" t="str">
        <f t="shared" si="63"/>
        <v>F777G4T2</v>
      </c>
      <c r="G4053" s="14" t="s">
        <v>70</v>
      </c>
    </row>
    <row r="4054" spans="1:7">
      <c r="A4054">
        <v>77</v>
      </c>
      <c r="B4054">
        <v>1</v>
      </c>
      <c r="C4054">
        <v>5</v>
      </c>
      <c r="E4054">
        <v>2</v>
      </c>
      <c r="F4054" t="str">
        <f t="shared" si="63"/>
        <v>F771G5T2</v>
      </c>
      <c r="G4054" s="14" t="s">
        <v>70</v>
      </c>
    </row>
    <row r="4055" spans="1:7">
      <c r="A4055">
        <v>77</v>
      </c>
      <c r="B4055">
        <v>2</v>
      </c>
      <c r="C4055">
        <v>5</v>
      </c>
      <c r="E4055">
        <v>2</v>
      </c>
      <c r="F4055" t="str">
        <f t="shared" si="63"/>
        <v>F772G5T2</v>
      </c>
      <c r="G4055" s="14" t="s">
        <v>70</v>
      </c>
    </row>
    <row r="4056" spans="1:7">
      <c r="A4056">
        <v>77</v>
      </c>
      <c r="B4056">
        <v>5</v>
      </c>
      <c r="C4056">
        <v>5</v>
      </c>
      <c r="E4056">
        <v>2</v>
      </c>
      <c r="F4056" t="str">
        <f t="shared" si="63"/>
        <v>F775G5T2</v>
      </c>
      <c r="G4056" s="14" t="s">
        <v>70</v>
      </c>
    </row>
    <row r="4057" spans="1:7">
      <c r="A4057">
        <v>77</v>
      </c>
      <c r="B4057">
        <v>6</v>
      </c>
      <c r="C4057">
        <v>5</v>
      </c>
      <c r="E4057">
        <v>2</v>
      </c>
      <c r="F4057" t="str">
        <f t="shared" si="63"/>
        <v>F776G5T2</v>
      </c>
      <c r="G4057" s="14" t="s">
        <v>70</v>
      </c>
    </row>
    <row r="4058" spans="1:7">
      <c r="A4058">
        <v>77</v>
      </c>
      <c r="B4058">
        <v>7</v>
      </c>
      <c r="C4058">
        <v>5</v>
      </c>
      <c r="E4058">
        <v>2</v>
      </c>
      <c r="F4058" t="str">
        <f t="shared" si="63"/>
        <v>F777G5T2</v>
      </c>
      <c r="G4058" s="14" t="s">
        <v>70</v>
      </c>
    </row>
    <row r="4059" spans="1:7">
      <c r="A4059">
        <v>77</v>
      </c>
      <c r="B4059">
        <v>1</v>
      </c>
      <c r="C4059">
        <v>3</v>
      </c>
      <c r="E4059">
        <v>3</v>
      </c>
      <c r="F4059" t="str">
        <f t="shared" si="63"/>
        <v>F771G3T3</v>
      </c>
      <c r="G4059" s="14" t="s">
        <v>324</v>
      </c>
    </row>
    <row r="4060" spans="1:7">
      <c r="A4060">
        <v>77</v>
      </c>
      <c r="B4060">
        <v>2</v>
      </c>
      <c r="C4060">
        <v>3</v>
      </c>
      <c r="E4060">
        <v>3</v>
      </c>
      <c r="F4060" t="str">
        <f t="shared" si="63"/>
        <v>F772G3T3</v>
      </c>
      <c r="G4060" s="14" t="s">
        <v>324</v>
      </c>
    </row>
    <row r="4061" spans="1:7">
      <c r="A4061">
        <v>77</v>
      </c>
      <c r="B4061">
        <v>5</v>
      </c>
      <c r="C4061">
        <v>3</v>
      </c>
      <c r="E4061">
        <v>3</v>
      </c>
      <c r="F4061" t="str">
        <f t="shared" si="63"/>
        <v>F775G3T3</v>
      </c>
      <c r="G4061" s="14" t="s">
        <v>324</v>
      </c>
    </row>
    <row r="4062" spans="1:7">
      <c r="A4062">
        <v>77</v>
      </c>
      <c r="B4062">
        <v>6</v>
      </c>
      <c r="C4062">
        <v>3</v>
      </c>
      <c r="E4062">
        <v>3</v>
      </c>
      <c r="F4062" t="str">
        <f t="shared" si="63"/>
        <v>F776G3T3</v>
      </c>
      <c r="G4062" s="14" t="s">
        <v>324</v>
      </c>
    </row>
    <row r="4063" spans="1:7">
      <c r="A4063">
        <v>77</v>
      </c>
      <c r="B4063">
        <v>7</v>
      </c>
      <c r="C4063">
        <v>3</v>
      </c>
      <c r="E4063">
        <v>3</v>
      </c>
      <c r="F4063" t="str">
        <f t="shared" si="63"/>
        <v>F777G3T3</v>
      </c>
      <c r="G4063" s="14" t="s">
        <v>324</v>
      </c>
    </row>
    <row r="4064" spans="1:7">
      <c r="A4064">
        <v>77</v>
      </c>
      <c r="B4064">
        <v>1</v>
      </c>
      <c r="C4064">
        <v>4</v>
      </c>
      <c r="E4064">
        <v>3</v>
      </c>
      <c r="F4064" t="str">
        <f t="shared" si="63"/>
        <v>F771G4T3</v>
      </c>
      <c r="G4064" s="14" t="s">
        <v>324</v>
      </c>
    </row>
    <row r="4065" spans="1:7">
      <c r="A4065">
        <v>77</v>
      </c>
      <c r="B4065">
        <v>2</v>
      </c>
      <c r="C4065">
        <v>4</v>
      </c>
      <c r="E4065">
        <v>3</v>
      </c>
      <c r="F4065" t="str">
        <f t="shared" si="63"/>
        <v>F772G4T3</v>
      </c>
      <c r="G4065" s="14" t="s">
        <v>324</v>
      </c>
    </row>
    <row r="4066" spans="1:7">
      <c r="A4066">
        <v>77</v>
      </c>
      <c r="B4066">
        <v>5</v>
      </c>
      <c r="C4066">
        <v>4</v>
      </c>
      <c r="E4066">
        <v>3</v>
      </c>
      <c r="F4066" t="str">
        <f t="shared" si="63"/>
        <v>F775G4T3</v>
      </c>
      <c r="G4066" s="14" t="s">
        <v>324</v>
      </c>
    </row>
    <row r="4067" spans="1:7">
      <c r="A4067">
        <v>77</v>
      </c>
      <c r="B4067">
        <v>6</v>
      </c>
      <c r="C4067">
        <v>4</v>
      </c>
      <c r="E4067">
        <v>3</v>
      </c>
      <c r="F4067" t="str">
        <f t="shared" si="63"/>
        <v>F776G4T3</v>
      </c>
      <c r="G4067" s="14" t="s">
        <v>324</v>
      </c>
    </row>
    <row r="4068" spans="1:7">
      <c r="A4068">
        <v>77</v>
      </c>
      <c r="B4068">
        <v>7</v>
      </c>
      <c r="C4068">
        <v>4</v>
      </c>
      <c r="E4068">
        <v>3</v>
      </c>
      <c r="F4068" t="str">
        <f t="shared" si="63"/>
        <v>F777G4T3</v>
      </c>
      <c r="G4068" s="14" t="s">
        <v>324</v>
      </c>
    </row>
    <row r="4069" spans="1:7">
      <c r="A4069">
        <v>77</v>
      </c>
      <c r="B4069">
        <v>1</v>
      </c>
      <c r="C4069">
        <v>5</v>
      </c>
      <c r="E4069">
        <v>3</v>
      </c>
      <c r="F4069" t="str">
        <f t="shared" si="63"/>
        <v>F771G5T3</v>
      </c>
      <c r="G4069" s="14" t="s">
        <v>324</v>
      </c>
    </row>
    <row r="4070" spans="1:7">
      <c r="A4070">
        <v>77</v>
      </c>
      <c r="B4070">
        <v>2</v>
      </c>
      <c r="C4070">
        <v>5</v>
      </c>
      <c r="E4070">
        <v>3</v>
      </c>
      <c r="F4070" t="str">
        <f t="shared" si="63"/>
        <v>F772G5T3</v>
      </c>
      <c r="G4070" s="14" t="s">
        <v>324</v>
      </c>
    </row>
    <row r="4071" spans="1:7">
      <c r="A4071">
        <v>77</v>
      </c>
      <c r="B4071">
        <v>5</v>
      </c>
      <c r="C4071">
        <v>5</v>
      </c>
      <c r="E4071">
        <v>3</v>
      </c>
      <c r="F4071" t="str">
        <f t="shared" si="63"/>
        <v>F775G5T3</v>
      </c>
      <c r="G4071" s="14" t="s">
        <v>324</v>
      </c>
    </row>
    <row r="4072" spans="1:7">
      <c r="A4072">
        <v>77</v>
      </c>
      <c r="B4072">
        <v>6</v>
      </c>
      <c r="C4072">
        <v>5</v>
      </c>
      <c r="E4072">
        <v>3</v>
      </c>
      <c r="F4072" t="str">
        <f t="shared" si="63"/>
        <v>F776G5T3</v>
      </c>
      <c r="G4072" s="14" t="s">
        <v>324</v>
      </c>
    </row>
    <row r="4073" spans="1:7">
      <c r="A4073">
        <v>77</v>
      </c>
      <c r="B4073">
        <v>7</v>
      </c>
      <c r="C4073">
        <v>5</v>
      </c>
      <c r="E4073">
        <v>3</v>
      </c>
      <c r="F4073" t="str">
        <f t="shared" si="63"/>
        <v>F777G5T3</v>
      </c>
      <c r="G4073" s="14" t="s">
        <v>324</v>
      </c>
    </row>
    <row r="4074" spans="1:7">
      <c r="A4074">
        <v>78</v>
      </c>
      <c r="B4074">
        <v>1</v>
      </c>
      <c r="C4074">
        <v>3</v>
      </c>
      <c r="E4074">
        <v>2</v>
      </c>
      <c r="F4074" t="str">
        <f t="shared" si="63"/>
        <v>F781G3T2</v>
      </c>
      <c r="G4074" s="14" t="s">
        <v>70</v>
      </c>
    </row>
    <row r="4075" spans="1:7">
      <c r="A4075">
        <v>78</v>
      </c>
      <c r="B4075">
        <v>2</v>
      </c>
      <c r="C4075">
        <v>3</v>
      </c>
      <c r="E4075">
        <v>2</v>
      </c>
      <c r="F4075" t="str">
        <f t="shared" si="63"/>
        <v>F782G3T2</v>
      </c>
      <c r="G4075" s="14" t="s">
        <v>70</v>
      </c>
    </row>
    <row r="4076" spans="1:7">
      <c r="A4076">
        <v>78</v>
      </c>
      <c r="B4076">
        <v>5</v>
      </c>
      <c r="C4076">
        <v>3</v>
      </c>
      <c r="E4076">
        <v>2</v>
      </c>
      <c r="F4076" t="str">
        <f t="shared" si="63"/>
        <v>F785G3T2</v>
      </c>
      <c r="G4076" s="14" t="s">
        <v>70</v>
      </c>
    </row>
    <row r="4077" spans="1:7">
      <c r="A4077">
        <v>78</v>
      </c>
      <c r="B4077">
        <v>6</v>
      </c>
      <c r="C4077">
        <v>3</v>
      </c>
      <c r="E4077">
        <v>2</v>
      </c>
      <c r="F4077" t="str">
        <f t="shared" si="63"/>
        <v>F786G3T2</v>
      </c>
      <c r="G4077" s="14" t="s">
        <v>70</v>
      </c>
    </row>
    <row r="4078" spans="1:7">
      <c r="A4078">
        <v>78</v>
      </c>
      <c r="B4078">
        <v>7</v>
      </c>
      <c r="C4078">
        <v>3</v>
      </c>
      <c r="E4078">
        <v>2</v>
      </c>
      <c r="F4078" t="str">
        <f t="shared" si="63"/>
        <v>F787G3T2</v>
      </c>
      <c r="G4078" s="14" t="s">
        <v>70</v>
      </c>
    </row>
    <row r="4079" spans="1:7">
      <c r="A4079">
        <v>78</v>
      </c>
      <c r="B4079">
        <v>1</v>
      </c>
      <c r="C4079">
        <v>4</v>
      </c>
      <c r="E4079">
        <v>2</v>
      </c>
      <c r="F4079" t="str">
        <f t="shared" si="63"/>
        <v>F781G4T2</v>
      </c>
      <c r="G4079" s="14" t="s">
        <v>70</v>
      </c>
    </row>
    <row r="4080" spans="1:7">
      <c r="A4080">
        <v>78</v>
      </c>
      <c r="B4080">
        <v>2</v>
      </c>
      <c r="C4080">
        <v>4</v>
      </c>
      <c r="E4080">
        <v>2</v>
      </c>
      <c r="F4080" t="str">
        <f t="shared" si="63"/>
        <v>F782G4T2</v>
      </c>
      <c r="G4080" s="14" t="s">
        <v>70</v>
      </c>
    </row>
    <row r="4081" spans="1:7">
      <c r="A4081">
        <v>78</v>
      </c>
      <c r="B4081">
        <v>5</v>
      </c>
      <c r="C4081">
        <v>4</v>
      </c>
      <c r="E4081">
        <v>2</v>
      </c>
      <c r="F4081" t="str">
        <f t="shared" si="63"/>
        <v>F785G4T2</v>
      </c>
      <c r="G4081" s="14" t="s">
        <v>70</v>
      </c>
    </row>
    <row r="4082" spans="1:7">
      <c r="A4082">
        <v>78</v>
      </c>
      <c r="B4082">
        <v>6</v>
      </c>
      <c r="C4082">
        <v>4</v>
      </c>
      <c r="E4082">
        <v>2</v>
      </c>
      <c r="F4082" t="str">
        <f t="shared" si="63"/>
        <v>F786G4T2</v>
      </c>
      <c r="G4082" s="14" t="s">
        <v>70</v>
      </c>
    </row>
    <row r="4083" spans="1:7">
      <c r="A4083">
        <v>78</v>
      </c>
      <c r="B4083">
        <v>7</v>
      </c>
      <c r="C4083">
        <v>4</v>
      </c>
      <c r="E4083">
        <v>2</v>
      </c>
      <c r="F4083" t="str">
        <f t="shared" si="63"/>
        <v>F787G4T2</v>
      </c>
      <c r="G4083" s="14" t="s">
        <v>70</v>
      </c>
    </row>
    <row r="4084" spans="1:7">
      <c r="A4084">
        <v>78</v>
      </c>
      <c r="B4084">
        <v>1</v>
      </c>
      <c r="C4084">
        <v>5</v>
      </c>
      <c r="E4084">
        <v>2</v>
      </c>
      <c r="F4084" t="str">
        <f t="shared" si="63"/>
        <v>F781G5T2</v>
      </c>
      <c r="G4084" s="14" t="s">
        <v>70</v>
      </c>
    </row>
    <row r="4085" spans="1:7">
      <c r="A4085">
        <v>78</v>
      </c>
      <c r="B4085">
        <v>2</v>
      </c>
      <c r="C4085">
        <v>5</v>
      </c>
      <c r="E4085">
        <v>2</v>
      </c>
      <c r="F4085" t="str">
        <f t="shared" si="63"/>
        <v>F782G5T2</v>
      </c>
      <c r="G4085" s="14" t="s">
        <v>70</v>
      </c>
    </row>
    <row r="4086" spans="1:7">
      <c r="A4086">
        <v>78</v>
      </c>
      <c r="B4086">
        <v>5</v>
      </c>
      <c r="C4086">
        <v>5</v>
      </c>
      <c r="E4086">
        <v>2</v>
      </c>
      <c r="F4086" t="str">
        <f t="shared" si="63"/>
        <v>F785G5T2</v>
      </c>
      <c r="G4086" s="14" t="s">
        <v>70</v>
      </c>
    </row>
    <row r="4087" spans="1:7">
      <c r="A4087">
        <v>78</v>
      </c>
      <c r="B4087">
        <v>6</v>
      </c>
      <c r="C4087">
        <v>5</v>
      </c>
      <c r="E4087">
        <v>2</v>
      </c>
      <c r="F4087" t="str">
        <f t="shared" si="63"/>
        <v>F786G5T2</v>
      </c>
      <c r="G4087" s="14" t="s">
        <v>70</v>
      </c>
    </row>
    <row r="4088" spans="1:7">
      <c r="A4088">
        <v>78</v>
      </c>
      <c r="B4088">
        <v>7</v>
      </c>
      <c r="C4088">
        <v>5</v>
      </c>
      <c r="E4088">
        <v>2</v>
      </c>
      <c r="F4088" t="str">
        <f t="shared" si="63"/>
        <v>F787G5T2</v>
      </c>
      <c r="G4088" s="14" t="s">
        <v>70</v>
      </c>
    </row>
    <row r="4089" spans="1:7">
      <c r="A4089">
        <v>78</v>
      </c>
      <c r="B4089">
        <v>1</v>
      </c>
      <c r="C4089">
        <v>3</v>
      </c>
      <c r="E4089">
        <v>3</v>
      </c>
      <c r="F4089" t="str">
        <f t="shared" si="63"/>
        <v>F781G3T3</v>
      </c>
      <c r="G4089" s="14" t="s">
        <v>324</v>
      </c>
    </row>
    <row r="4090" spans="1:7">
      <c r="A4090">
        <v>78</v>
      </c>
      <c r="B4090">
        <v>2</v>
      </c>
      <c r="C4090">
        <v>3</v>
      </c>
      <c r="E4090">
        <v>3</v>
      </c>
      <c r="F4090" t="str">
        <f t="shared" si="63"/>
        <v>F782G3T3</v>
      </c>
      <c r="G4090" s="14" t="s">
        <v>324</v>
      </c>
    </row>
    <row r="4091" spans="1:7">
      <c r="A4091">
        <v>78</v>
      </c>
      <c r="B4091">
        <v>5</v>
      </c>
      <c r="C4091">
        <v>3</v>
      </c>
      <c r="E4091">
        <v>3</v>
      </c>
      <c r="F4091" t="str">
        <f t="shared" si="63"/>
        <v>F785G3T3</v>
      </c>
      <c r="G4091" s="14" t="s">
        <v>324</v>
      </c>
    </row>
    <row r="4092" spans="1:7">
      <c r="A4092">
        <v>78</v>
      </c>
      <c r="B4092">
        <v>6</v>
      </c>
      <c r="C4092">
        <v>3</v>
      </c>
      <c r="E4092">
        <v>3</v>
      </c>
      <c r="F4092" t="str">
        <f t="shared" si="63"/>
        <v>F786G3T3</v>
      </c>
      <c r="G4092" s="14" t="s">
        <v>324</v>
      </c>
    </row>
    <row r="4093" spans="1:7">
      <c r="A4093">
        <v>78</v>
      </c>
      <c r="B4093">
        <v>7</v>
      </c>
      <c r="C4093">
        <v>3</v>
      </c>
      <c r="E4093">
        <v>3</v>
      </c>
      <c r="F4093" t="str">
        <f t="shared" si="63"/>
        <v>F787G3T3</v>
      </c>
      <c r="G4093" s="14" t="s">
        <v>324</v>
      </c>
    </row>
    <row r="4094" spans="1:7">
      <c r="A4094">
        <v>78</v>
      </c>
      <c r="B4094">
        <v>1</v>
      </c>
      <c r="C4094">
        <v>4</v>
      </c>
      <c r="E4094">
        <v>3</v>
      </c>
      <c r="F4094" t="str">
        <f t="shared" si="63"/>
        <v>F781G4T3</v>
      </c>
      <c r="G4094" s="14" t="s">
        <v>324</v>
      </c>
    </row>
    <row r="4095" spans="1:7">
      <c r="A4095">
        <v>78</v>
      </c>
      <c r="B4095">
        <v>2</v>
      </c>
      <c r="C4095">
        <v>4</v>
      </c>
      <c r="E4095">
        <v>3</v>
      </c>
      <c r="F4095" t="str">
        <f t="shared" si="63"/>
        <v>F782G4T3</v>
      </c>
      <c r="G4095" s="14" t="s">
        <v>324</v>
      </c>
    </row>
    <row r="4096" spans="1:7">
      <c r="A4096">
        <v>78</v>
      </c>
      <c r="B4096">
        <v>5</v>
      </c>
      <c r="C4096">
        <v>4</v>
      </c>
      <c r="E4096">
        <v>3</v>
      </c>
      <c r="F4096" t="str">
        <f t="shared" si="63"/>
        <v>F785G4T3</v>
      </c>
      <c r="G4096" s="14" t="s">
        <v>324</v>
      </c>
    </row>
    <row r="4097" spans="1:7">
      <c r="A4097">
        <v>78</v>
      </c>
      <c r="B4097">
        <v>6</v>
      </c>
      <c r="C4097">
        <v>4</v>
      </c>
      <c r="E4097">
        <v>3</v>
      </c>
      <c r="F4097" t="str">
        <f t="shared" si="63"/>
        <v>F786G4T3</v>
      </c>
      <c r="G4097" s="14" t="s">
        <v>324</v>
      </c>
    </row>
    <row r="4098" spans="1:7">
      <c r="A4098">
        <v>78</v>
      </c>
      <c r="B4098">
        <v>7</v>
      </c>
      <c r="C4098">
        <v>4</v>
      </c>
      <c r="E4098">
        <v>3</v>
      </c>
      <c r="F4098" t="str">
        <f t="shared" si="63"/>
        <v>F787G4T3</v>
      </c>
      <c r="G4098" s="14" t="s">
        <v>324</v>
      </c>
    </row>
    <row r="4099" spans="1:7">
      <c r="A4099">
        <v>78</v>
      </c>
      <c r="B4099">
        <v>1</v>
      </c>
      <c r="C4099">
        <v>5</v>
      </c>
      <c r="E4099">
        <v>3</v>
      </c>
      <c r="F4099" t="str">
        <f t="shared" ref="F4099:F4162" si="64">CONCATENATE("F",A4099,B4099,"G",C4099,"T",E4099)</f>
        <v>F781G5T3</v>
      </c>
      <c r="G4099" s="14" t="s">
        <v>324</v>
      </c>
    </row>
    <row r="4100" spans="1:7">
      <c r="A4100">
        <v>78</v>
      </c>
      <c r="B4100">
        <v>2</v>
      </c>
      <c r="C4100">
        <v>5</v>
      </c>
      <c r="E4100">
        <v>3</v>
      </c>
      <c r="F4100" t="str">
        <f t="shared" si="64"/>
        <v>F782G5T3</v>
      </c>
      <c r="G4100" s="14" t="s">
        <v>324</v>
      </c>
    </row>
    <row r="4101" spans="1:7">
      <c r="A4101">
        <v>78</v>
      </c>
      <c r="B4101">
        <v>5</v>
      </c>
      <c r="C4101">
        <v>5</v>
      </c>
      <c r="E4101">
        <v>3</v>
      </c>
      <c r="F4101" t="str">
        <f t="shared" si="64"/>
        <v>F785G5T3</v>
      </c>
      <c r="G4101" s="14" t="s">
        <v>324</v>
      </c>
    </row>
    <row r="4102" spans="1:7">
      <c r="A4102">
        <v>78</v>
      </c>
      <c r="B4102">
        <v>6</v>
      </c>
      <c r="C4102">
        <v>5</v>
      </c>
      <c r="E4102">
        <v>3</v>
      </c>
      <c r="F4102" t="str">
        <f t="shared" si="64"/>
        <v>F786G5T3</v>
      </c>
      <c r="G4102" s="14" t="s">
        <v>324</v>
      </c>
    </row>
    <row r="4103" spans="1:7">
      <c r="A4103">
        <v>78</v>
      </c>
      <c r="B4103">
        <v>7</v>
      </c>
      <c r="C4103">
        <v>5</v>
      </c>
      <c r="E4103">
        <v>3</v>
      </c>
      <c r="F4103" t="str">
        <f t="shared" si="64"/>
        <v>F787G5T3</v>
      </c>
      <c r="G4103" s="14" t="s">
        <v>324</v>
      </c>
    </row>
    <row r="4104" spans="1:7">
      <c r="A4104">
        <v>51</v>
      </c>
      <c r="B4104">
        <v>1</v>
      </c>
      <c r="C4104">
        <v>3</v>
      </c>
      <c r="E4104">
        <v>2</v>
      </c>
      <c r="F4104" t="str">
        <f t="shared" si="64"/>
        <v>F511G3T2</v>
      </c>
      <c r="G4104" s="14" t="s">
        <v>70</v>
      </c>
    </row>
    <row r="4105" spans="1:7">
      <c r="A4105">
        <v>51</v>
      </c>
      <c r="B4105">
        <v>2</v>
      </c>
      <c r="C4105">
        <v>3</v>
      </c>
      <c r="E4105">
        <v>2</v>
      </c>
      <c r="F4105" t="str">
        <f t="shared" si="64"/>
        <v>F512G3T2</v>
      </c>
      <c r="G4105" s="14" t="s">
        <v>70</v>
      </c>
    </row>
    <row r="4106" spans="1:7">
      <c r="A4106">
        <v>51</v>
      </c>
      <c r="B4106">
        <v>5</v>
      </c>
      <c r="C4106">
        <v>3</v>
      </c>
      <c r="E4106">
        <v>2</v>
      </c>
      <c r="F4106" t="str">
        <f t="shared" si="64"/>
        <v>F515G3T2</v>
      </c>
      <c r="G4106" s="14" t="s">
        <v>70</v>
      </c>
    </row>
    <row r="4107" spans="1:7">
      <c r="A4107">
        <v>51</v>
      </c>
      <c r="B4107">
        <v>6</v>
      </c>
      <c r="C4107">
        <v>3</v>
      </c>
      <c r="E4107">
        <v>2</v>
      </c>
      <c r="F4107" t="str">
        <f t="shared" si="64"/>
        <v>F516G3T2</v>
      </c>
      <c r="G4107" s="14" t="s">
        <v>70</v>
      </c>
    </row>
    <row r="4108" spans="1:7">
      <c r="A4108">
        <v>51</v>
      </c>
      <c r="B4108">
        <v>7</v>
      </c>
      <c r="C4108">
        <v>3</v>
      </c>
      <c r="E4108">
        <v>2</v>
      </c>
      <c r="F4108" t="str">
        <f t="shared" si="64"/>
        <v>F517G3T2</v>
      </c>
      <c r="G4108" s="14" t="s">
        <v>70</v>
      </c>
    </row>
    <row r="4109" spans="1:7">
      <c r="A4109">
        <v>51</v>
      </c>
      <c r="B4109">
        <v>1</v>
      </c>
      <c r="C4109">
        <v>4</v>
      </c>
      <c r="E4109">
        <v>2</v>
      </c>
      <c r="F4109" t="str">
        <f t="shared" si="64"/>
        <v>F511G4T2</v>
      </c>
      <c r="G4109" s="14" t="s">
        <v>70</v>
      </c>
    </row>
    <row r="4110" spans="1:7">
      <c r="A4110">
        <v>51</v>
      </c>
      <c r="B4110">
        <v>2</v>
      </c>
      <c r="C4110">
        <v>4</v>
      </c>
      <c r="E4110">
        <v>2</v>
      </c>
      <c r="F4110" t="str">
        <f t="shared" si="64"/>
        <v>F512G4T2</v>
      </c>
      <c r="G4110" s="14" t="s">
        <v>70</v>
      </c>
    </row>
    <row r="4111" spans="1:7">
      <c r="A4111">
        <v>51</v>
      </c>
      <c r="B4111">
        <v>5</v>
      </c>
      <c r="C4111">
        <v>4</v>
      </c>
      <c r="E4111">
        <v>2</v>
      </c>
      <c r="F4111" t="str">
        <f t="shared" si="64"/>
        <v>F515G4T2</v>
      </c>
      <c r="G4111" s="14" t="s">
        <v>70</v>
      </c>
    </row>
    <row r="4112" spans="1:7">
      <c r="A4112">
        <v>51</v>
      </c>
      <c r="B4112">
        <v>6</v>
      </c>
      <c r="C4112">
        <v>4</v>
      </c>
      <c r="E4112">
        <v>2</v>
      </c>
      <c r="F4112" t="str">
        <f t="shared" si="64"/>
        <v>F516G4T2</v>
      </c>
      <c r="G4112" s="14" t="s">
        <v>70</v>
      </c>
    </row>
    <row r="4113" spans="1:7">
      <c r="A4113">
        <v>51</v>
      </c>
      <c r="B4113">
        <v>7</v>
      </c>
      <c r="C4113">
        <v>4</v>
      </c>
      <c r="E4113">
        <v>2</v>
      </c>
      <c r="F4113" t="str">
        <f t="shared" si="64"/>
        <v>F517G4T2</v>
      </c>
      <c r="G4113" s="14" t="s">
        <v>70</v>
      </c>
    </row>
    <row r="4114" spans="1:7">
      <c r="A4114">
        <v>51</v>
      </c>
      <c r="B4114">
        <v>1</v>
      </c>
      <c r="C4114">
        <v>5</v>
      </c>
      <c r="E4114">
        <v>2</v>
      </c>
      <c r="F4114" t="str">
        <f t="shared" si="64"/>
        <v>F511G5T2</v>
      </c>
      <c r="G4114" s="14" t="s">
        <v>70</v>
      </c>
    </row>
    <row r="4115" spans="1:7">
      <c r="A4115">
        <v>51</v>
      </c>
      <c r="B4115">
        <v>2</v>
      </c>
      <c r="C4115">
        <v>5</v>
      </c>
      <c r="E4115">
        <v>2</v>
      </c>
      <c r="F4115" t="str">
        <f t="shared" si="64"/>
        <v>F512G5T2</v>
      </c>
      <c r="G4115" s="14" t="s">
        <v>70</v>
      </c>
    </row>
    <row r="4116" spans="1:7">
      <c r="A4116">
        <v>51</v>
      </c>
      <c r="B4116">
        <v>5</v>
      </c>
      <c r="C4116">
        <v>5</v>
      </c>
      <c r="E4116">
        <v>2</v>
      </c>
      <c r="F4116" t="str">
        <f t="shared" si="64"/>
        <v>F515G5T2</v>
      </c>
      <c r="G4116" s="14" t="s">
        <v>70</v>
      </c>
    </row>
    <row r="4117" spans="1:7">
      <c r="A4117">
        <v>51</v>
      </c>
      <c r="B4117">
        <v>6</v>
      </c>
      <c r="C4117">
        <v>5</v>
      </c>
      <c r="E4117">
        <v>2</v>
      </c>
      <c r="F4117" t="str">
        <f t="shared" si="64"/>
        <v>F516G5T2</v>
      </c>
      <c r="G4117" s="14" t="s">
        <v>70</v>
      </c>
    </row>
    <row r="4118" spans="1:7">
      <c r="A4118">
        <v>51</v>
      </c>
      <c r="B4118">
        <v>7</v>
      </c>
      <c r="C4118">
        <v>5</v>
      </c>
      <c r="E4118">
        <v>2</v>
      </c>
      <c r="F4118" t="str">
        <f t="shared" si="64"/>
        <v>F517G5T2</v>
      </c>
      <c r="G4118" s="14" t="s">
        <v>70</v>
      </c>
    </row>
    <row r="4119" spans="1:7">
      <c r="A4119">
        <v>51</v>
      </c>
      <c r="B4119">
        <v>1</v>
      </c>
      <c r="C4119">
        <v>3</v>
      </c>
      <c r="E4119">
        <v>3</v>
      </c>
      <c r="F4119" t="str">
        <f t="shared" si="64"/>
        <v>F511G3T3</v>
      </c>
      <c r="G4119" s="14" t="s">
        <v>324</v>
      </c>
    </row>
    <row r="4120" spans="1:7">
      <c r="A4120">
        <v>51</v>
      </c>
      <c r="B4120">
        <v>2</v>
      </c>
      <c r="C4120">
        <v>3</v>
      </c>
      <c r="E4120">
        <v>3</v>
      </c>
      <c r="F4120" t="str">
        <f t="shared" si="64"/>
        <v>F512G3T3</v>
      </c>
      <c r="G4120" s="14" t="s">
        <v>324</v>
      </c>
    </row>
    <row r="4121" spans="1:7">
      <c r="A4121">
        <v>51</v>
      </c>
      <c r="B4121">
        <v>5</v>
      </c>
      <c r="C4121">
        <v>3</v>
      </c>
      <c r="E4121">
        <v>3</v>
      </c>
      <c r="F4121" t="str">
        <f t="shared" si="64"/>
        <v>F515G3T3</v>
      </c>
      <c r="G4121" s="14" t="s">
        <v>324</v>
      </c>
    </row>
    <row r="4122" spans="1:7">
      <c r="A4122">
        <v>51</v>
      </c>
      <c r="B4122">
        <v>6</v>
      </c>
      <c r="C4122">
        <v>3</v>
      </c>
      <c r="E4122">
        <v>3</v>
      </c>
      <c r="F4122" t="str">
        <f t="shared" si="64"/>
        <v>F516G3T3</v>
      </c>
      <c r="G4122" s="14" t="s">
        <v>324</v>
      </c>
    </row>
    <row r="4123" spans="1:7">
      <c r="A4123">
        <v>51</v>
      </c>
      <c r="B4123">
        <v>7</v>
      </c>
      <c r="C4123">
        <v>3</v>
      </c>
      <c r="E4123">
        <v>3</v>
      </c>
      <c r="F4123" t="str">
        <f t="shared" si="64"/>
        <v>F517G3T3</v>
      </c>
      <c r="G4123" s="14" t="s">
        <v>324</v>
      </c>
    </row>
    <row r="4124" spans="1:7">
      <c r="A4124">
        <v>51</v>
      </c>
      <c r="B4124">
        <v>1</v>
      </c>
      <c r="C4124">
        <v>4</v>
      </c>
      <c r="E4124">
        <v>3</v>
      </c>
      <c r="F4124" t="str">
        <f t="shared" si="64"/>
        <v>F511G4T3</v>
      </c>
      <c r="G4124" s="14" t="s">
        <v>324</v>
      </c>
    </row>
    <row r="4125" spans="1:7">
      <c r="A4125">
        <v>51</v>
      </c>
      <c r="B4125">
        <v>2</v>
      </c>
      <c r="C4125">
        <v>4</v>
      </c>
      <c r="E4125">
        <v>3</v>
      </c>
      <c r="F4125" t="str">
        <f t="shared" si="64"/>
        <v>F512G4T3</v>
      </c>
      <c r="G4125" s="14" t="s">
        <v>324</v>
      </c>
    </row>
    <row r="4126" spans="1:7">
      <c r="A4126">
        <v>51</v>
      </c>
      <c r="B4126">
        <v>5</v>
      </c>
      <c r="C4126">
        <v>4</v>
      </c>
      <c r="E4126">
        <v>3</v>
      </c>
      <c r="F4126" t="str">
        <f t="shared" si="64"/>
        <v>F515G4T3</v>
      </c>
      <c r="G4126" s="14" t="s">
        <v>324</v>
      </c>
    </row>
    <row r="4127" spans="1:7">
      <c r="A4127">
        <v>51</v>
      </c>
      <c r="B4127">
        <v>6</v>
      </c>
      <c r="C4127">
        <v>4</v>
      </c>
      <c r="E4127">
        <v>3</v>
      </c>
      <c r="F4127" t="str">
        <f t="shared" si="64"/>
        <v>F516G4T3</v>
      </c>
      <c r="G4127" s="14" t="s">
        <v>324</v>
      </c>
    </row>
    <row r="4128" spans="1:7">
      <c r="A4128">
        <v>51</v>
      </c>
      <c r="B4128">
        <v>7</v>
      </c>
      <c r="C4128">
        <v>4</v>
      </c>
      <c r="E4128">
        <v>3</v>
      </c>
      <c r="F4128" t="str">
        <f t="shared" si="64"/>
        <v>F517G4T3</v>
      </c>
      <c r="G4128" s="14" t="s">
        <v>324</v>
      </c>
    </row>
    <row r="4129" spans="1:7">
      <c r="A4129">
        <v>51</v>
      </c>
      <c r="B4129">
        <v>1</v>
      </c>
      <c r="C4129">
        <v>5</v>
      </c>
      <c r="E4129">
        <v>3</v>
      </c>
      <c r="F4129" t="str">
        <f t="shared" si="64"/>
        <v>F511G5T3</v>
      </c>
      <c r="G4129" s="14" t="s">
        <v>324</v>
      </c>
    </row>
    <row r="4130" spans="1:7">
      <c r="A4130">
        <v>51</v>
      </c>
      <c r="B4130">
        <v>2</v>
      </c>
      <c r="C4130">
        <v>5</v>
      </c>
      <c r="E4130">
        <v>3</v>
      </c>
      <c r="F4130" t="str">
        <f t="shared" si="64"/>
        <v>F512G5T3</v>
      </c>
      <c r="G4130" s="14" t="s">
        <v>324</v>
      </c>
    </row>
    <row r="4131" spans="1:7">
      <c r="A4131">
        <v>51</v>
      </c>
      <c r="B4131">
        <v>5</v>
      </c>
      <c r="C4131">
        <v>5</v>
      </c>
      <c r="E4131">
        <v>3</v>
      </c>
      <c r="F4131" t="str">
        <f t="shared" si="64"/>
        <v>F515G5T3</v>
      </c>
      <c r="G4131" s="14" t="s">
        <v>324</v>
      </c>
    </row>
    <row r="4132" spans="1:7">
      <c r="A4132">
        <v>51</v>
      </c>
      <c r="B4132">
        <v>6</v>
      </c>
      <c r="C4132">
        <v>5</v>
      </c>
      <c r="E4132">
        <v>3</v>
      </c>
      <c r="F4132" t="str">
        <f t="shared" si="64"/>
        <v>F516G5T3</v>
      </c>
      <c r="G4132" s="14" t="s">
        <v>324</v>
      </c>
    </row>
    <row r="4133" spans="1:7">
      <c r="A4133">
        <v>51</v>
      </c>
      <c r="B4133">
        <v>7</v>
      </c>
      <c r="C4133">
        <v>5</v>
      </c>
      <c r="E4133">
        <v>3</v>
      </c>
      <c r="F4133" t="str">
        <f t="shared" si="64"/>
        <v>F517G5T3</v>
      </c>
      <c r="G4133" s="14" t="s">
        <v>324</v>
      </c>
    </row>
    <row r="4134" spans="1:7">
      <c r="A4134">
        <v>21</v>
      </c>
      <c r="B4134">
        <v>9</v>
      </c>
      <c r="C4134">
        <v>3</v>
      </c>
      <c r="E4134">
        <v>1</v>
      </c>
      <c r="F4134" t="str">
        <f t="shared" si="64"/>
        <v>F219G3T1</v>
      </c>
      <c r="G4134" s="14" t="s">
        <v>325</v>
      </c>
    </row>
    <row r="4135" spans="1:7">
      <c r="A4135">
        <v>23</v>
      </c>
      <c r="B4135">
        <v>9</v>
      </c>
      <c r="C4135">
        <v>3</v>
      </c>
      <c r="E4135">
        <v>1</v>
      </c>
      <c r="F4135" t="str">
        <f t="shared" si="64"/>
        <v>F239G3T1</v>
      </c>
      <c r="G4135" s="14" t="s">
        <v>325</v>
      </c>
    </row>
    <row r="4136" spans="1:7">
      <c r="A4136">
        <v>24</v>
      </c>
      <c r="B4136">
        <v>9</v>
      </c>
      <c r="C4136">
        <v>3</v>
      </c>
      <c r="E4136">
        <v>1</v>
      </c>
      <c r="F4136" t="str">
        <f t="shared" si="64"/>
        <v>F249G3T1</v>
      </c>
      <c r="G4136" s="14" t="s">
        <v>325</v>
      </c>
    </row>
    <row r="4137" spans="1:7">
      <c r="A4137">
        <v>25</v>
      </c>
      <c r="B4137">
        <v>9</v>
      </c>
      <c r="C4137">
        <v>3</v>
      </c>
      <c r="E4137">
        <v>1</v>
      </c>
      <c r="F4137" t="str">
        <f t="shared" si="64"/>
        <v>F259G3T1</v>
      </c>
      <c r="G4137" s="14" t="s">
        <v>325</v>
      </c>
    </row>
    <row r="4138" spans="1:7">
      <c r="A4138">
        <v>36</v>
      </c>
      <c r="B4138">
        <v>9</v>
      </c>
      <c r="C4138">
        <v>3</v>
      </c>
      <c r="E4138">
        <v>1</v>
      </c>
      <c r="F4138" t="str">
        <f t="shared" si="64"/>
        <v>F369G3T1</v>
      </c>
      <c r="G4138" s="14" t="s">
        <v>325</v>
      </c>
    </row>
    <row r="4139" spans="1:7">
      <c r="A4139">
        <v>38</v>
      </c>
      <c r="B4139">
        <v>9</v>
      </c>
      <c r="C4139">
        <v>3</v>
      </c>
      <c r="E4139">
        <v>1</v>
      </c>
      <c r="F4139" t="str">
        <f t="shared" si="64"/>
        <v>F389G3T1</v>
      </c>
      <c r="G4139" s="14" t="s">
        <v>325</v>
      </c>
    </row>
    <row r="4140" spans="1:7">
      <c r="A4140">
        <v>42</v>
      </c>
      <c r="B4140">
        <v>9</v>
      </c>
      <c r="C4140">
        <v>3</v>
      </c>
      <c r="E4140">
        <v>1</v>
      </c>
      <c r="F4140" t="str">
        <f t="shared" si="64"/>
        <v>F429G3T1</v>
      </c>
      <c r="G4140" s="14" t="s">
        <v>325</v>
      </c>
    </row>
    <row r="4141" spans="1:7">
      <c r="A4141">
        <v>43</v>
      </c>
      <c r="B4141">
        <v>9</v>
      </c>
      <c r="C4141">
        <v>3</v>
      </c>
      <c r="E4141">
        <v>1</v>
      </c>
      <c r="F4141" t="str">
        <f t="shared" si="64"/>
        <v>F439G3T1</v>
      </c>
      <c r="G4141" s="14" t="s">
        <v>325</v>
      </c>
    </row>
    <row r="4142" spans="1:7">
      <c r="A4142">
        <v>46</v>
      </c>
      <c r="B4142">
        <v>9</v>
      </c>
      <c r="C4142">
        <v>3</v>
      </c>
      <c r="E4142">
        <v>1</v>
      </c>
      <c r="F4142" t="str">
        <f t="shared" si="64"/>
        <v>F469G3T1</v>
      </c>
      <c r="G4142" s="14" t="s">
        <v>325</v>
      </c>
    </row>
    <row r="4143" spans="1:7">
      <c r="A4143">
        <v>56</v>
      </c>
      <c r="B4143">
        <v>9</v>
      </c>
      <c r="C4143">
        <v>3</v>
      </c>
      <c r="E4143">
        <v>1</v>
      </c>
      <c r="F4143" t="str">
        <f t="shared" si="64"/>
        <v>F569G3T1</v>
      </c>
      <c r="G4143" s="14" t="s">
        <v>325</v>
      </c>
    </row>
    <row r="4144" spans="1:7">
      <c r="A4144">
        <v>67</v>
      </c>
      <c r="B4144">
        <v>9</v>
      </c>
      <c r="C4144">
        <v>3</v>
      </c>
      <c r="E4144">
        <v>1</v>
      </c>
      <c r="F4144" t="str">
        <f t="shared" si="64"/>
        <v>F679G3T1</v>
      </c>
      <c r="G4144" s="14" t="s">
        <v>325</v>
      </c>
    </row>
    <row r="4145" spans="1:7">
      <c r="A4145">
        <v>70</v>
      </c>
      <c r="B4145">
        <v>9</v>
      </c>
      <c r="C4145">
        <v>3</v>
      </c>
      <c r="E4145">
        <v>1</v>
      </c>
      <c r="F4145" t="str">
        <f t="shared" si="64"/>
        <v>F709G3T1</v>
      </c>
      <c r="G4145" s="14" t="s">
        <v>325</v>
      </c>
    </row>
    <row r="4146" spans="1:7">
      <c r="A4146">
        <v>77</v>
      </c>
      <c r="B4146">
        <v>9</v>
      </c>
      <c r="C4146">
        <v>3</v>
      </c>
      <c r="E4146">
        <v>1</v>
      </c>
      <c r="F4146" t="str">
        <f t="shared" si="64"/>
        <v>F779G3T1</v>
      </c>
      <c r="G4146" s="14" t="s">
        <v>325</v>
      </c>
    </row>
    <row r="4147" spans="1:7">
      <c r="A4147">
        <v>78</v>
      </c>
      <c r="B4147">
        <v>9</v>
      </c>
      <c r="C4147">
        <v>3</v>
      </c>
      <c r="E4147">
        <v>1</v>
      </c>
      <c r="F4147" t="str">
        <f t="shared" si="64"/>
        <v>F789G3T1</v>
      </c>
      <c r="G4147" s="14" t="s">
        <v>325</v>
      </c>
    </row>
    <row r="4148" spans="1:7">
      <c r="A4148">
        <v>51</v>
      </c>
      <c r="B4148">
        <v>9</v>
      </c>
      <c r="C4148">
        <v>3</v>
      </c>
      <c r="E4148">
        <v>1</v>
      </c>
      <c r="F4148" t="str">
        <f t="shared" si="64"/>
        <v>F519G3T1</v>
      </c>
      <c r="G4148" s="14" t="s">
        <v>325</v>
      </c>
    </row>
    <row r="4149" spans="1:7">
      <c r="A4149">
        <v>21</v>
      </c>
      <c r="B4149">
        <v>9</v>
      </c>
      <c r="C4149">
        <v>4</v>
      </c>
      <c r="E4149">
        <v>1</v>
      </c>
      <c r="F4149" t="str">
        <f t="shared" si="64"/>
        <v>F219G4T1</v>
      </c>
      <c r="G4149" s="14" t="s">
        <v>325</v>
      </c>
    </row>
    <row r="4150" spans="1:7">
      <c r="A4150">
        <v>23</v>
      </c>
      <c r="B4150">
        <v>9</v>
      </c>
      <c r="C4150">
        <v>4</v>
      </c>
      <c r="E4150">
        <v>1</v>
      </c>
      <c r="F4150" t="str">
        <f t="shared" si="64"/>
        <v>F239G4T1</v>
      </c>
      <c r="G4150" s="14" t="s">
        <v>325</v>
      </c>
    </row>
    <row r="4151" spans="1:7">
      <c r="A4151">
        <v>24</v>
      </c>
      <c r="B4151">
        <v>9</v>
      </c>
      <c r="C4151">
        <v>4</v>
      </c>
      <c r="E4151">
        <v>1</v>
      </c>
      <c r="F4151" t="str">
        <f t="shared" si="64"/>
        <v>F249G4T1</v>
      </c>
      <c r="G4151" s="14" t="s">
        <v>325</v>
      </c>
    </row>
    <row r="4152" spans="1:7">
      <c r="A4152">
        <v>25</v>
      </c>
      <c r="B4152">
        <v>9</v>
      </c>
      <c r="C4152">
        <v>4</v>
      </c>
      <c r="E4152">
        <v>1</v>
      </c>
      <c r="F4152" t="str">
        <f t="shared" si="64"/>
        <v>F259G4T1</v>
      </c>
      <c r="G4152" s="14" t="s">
        <v>325</v>
      </c>
    </row>
    <row r="4153" spans="1:7">
      <c r="A4153">
        <v>36</v>
      </c>
      <c r="B4153">
        <v>9</v>
      </c>
      <c r="C4153">
        <v>4</v>
      </c>
      <c r="E4153">
        <v>1</v>
      </c>
      <c r="F4153" t="str">
        <f t="shared" si="64"/>
        <v>F369G4T1</v>
      </c>
      <c r="G4153" s="14" t="s">
        <v>325</v>
      </c>
    </row>
    <row r="4154" spans="1:7">
      <c r="A4154">
        <v>38</v>
      </c>
      <c r="B4154">
        <v>9</v>
      </c>
      <c r="C4154">
        <v>4</v>
      </c>
      <c r="E4154">
        <v>1</v>
      </c>
      <c r="F4154" t="str">
        <f t="shared" si="64"/>
        <v>F389G4T1</v>
      </c>
      <c r="G4154" s="14" t="s">
        <v>325</v>
      </c>
    </row>
    <row r="4155" spans="1:7">
      <c r="A4155">
        <v>42</v>
      </c>
      <c r="B4155">
        <v>9</v>
      </c>
      <c r="C4155">
        <v>4</v>
      </c>
      <c r="E4155">
        <v>1</v>
      </c>
      <c r="F4155" t="str">
        <f t="shared" si="64"/>
        <v>F429G4T1</v>
      </c>
      <c r="G4155" s="14" t="s">
        <v>325</v>
      </c>
    </row>
    <row r="4156" spans="1:7">
      <c r="A4156">
        <v>43</v>
      </c>
      <c r="B4156">
        <v>9</v>
      </c>
      <c r="C4156">
        <v>4</v>
      </c>
      <c r="E4156">
        <v>1</v>
      </c>
      <c r="F4156" t="str">
        <f t="shared" si="64"/>
        <v>F439G4T1</v>
      </c>
      <c r="G4156" s="14" t="s">
        <v>325</v>
      </c>
    </row>
    <row r="4157" spans="1:7">
      <c r="A4157">
        <v>46</v>
      </c>
      <c r="B4157">
        <v>9</v>
      </c>
      <c r="C4157">
        <v>4</v>
      </c>
      <c r="E4157">
        <v>1</v>
      </c>
      <c r="F4157" t="str">
        <f t="shared" si="64"/>
        <v>F469G4T1</v>
      </c>
      <c r="G4157" s="14" t="s">
        <v>325</v>
      </c>
    </row>
    <row r="4158" spans="1:7">
      <c r="A4158">
        <v>56</v>
      </c>
      <c r="B4158">
        <v>9</v>
      </c>
      <c r="C4158">
        <v>4</v>
      </c>
      <c r="E4158">
        <v>1</v>
      </c>
      <c r="F4158" t="str">
        <f t="shared" si="64"/>
        <v>F569G4T1</v>
      </c>
      <c r="G4158" s="14" t="s">
        <v>325</v>
      </c>
    </row>
    <row r="4159" spans="1:7">
      <c r="A4159">
        <v>67</v>
      </c>
      <c r="B4159">
        <v>9</v>
      </c>
      <c r="C4159">
        <v>4</v>
      </c>
      <c r="E4159">
        <v>1</v>
      </c>
      <c r="F4159" t="str">
        <f t="shared" si="64"/>
        <v>F679G4T1</v>
      </c>
      <c r="G4159" s="14" t="s">
        <v>325</v>
      </c>
    </row>
    <row r="4160" spans="1:7">
      <c r="A4160">
        <v>70</v>
      </c>
      <c r="B4160">
        <v>9</v>
      </c>
      <c r="C4160">
        <v>4</v>
      </c>
      <c r="E4160">
        <v>1</v>
      </c>
      <c r="F4160" t="str">
        <f t="shared" si="64"/>
        <v>F709G4T1</v>
      </c>
      <c r="G4160" s="14" t="s">
        <v>325</v>
      </c>
    </row>
    <row r="4161" spans="1:7">
      <c r="A4161">
        <v>77</v>
      </c>
      <c r="B4161">
        <v>9</v>
      </c>
      <c r="C4161">
        <v>4</v>
      </c>
      <c r="E4161">
        <v>1</v>
      </c>
      <c r="F4161" t="str">
        <f t="shared" si="64"/>
        <v>F779G4T1</v>
      </c>
      <c r="G4161" s="14" t="s">
        <v>325</v>
      </c>
    </row>
    <row r="4162" spans="1:7">
      <c r="A4162">
        <v>78</v>
      </c>
      <c r="B4162">
        <v>9</v>
      </c>
      <c r="C4162">
        <v>4</v>
      </c>
      <c r="E4162">
        <v>1</v>
      </c>
      <c r="F4162" t="str">
        <f t="shared" si="64"/>
        <v>F789G4T1</v>
      </c>
      <c r="G4162" s="14" t="s">
        <v>325</v>
      </c>
    </row>
    <row r="4163" spans="1:7">
      <c r="A4163">
        <v>51</v>
      </c>
      <c r="B4163">
        <v>9</v>
      </c>
      <c r="C4163">
        <v>4</v>
      </c>
      <c r="E4163">
        <v>1</v>
      </c>
      <c r="F4163" t="str">
        <f t="shared" ref="F4163:F4226" si="65">CONCATENATE("F",A4163,B4163,"G",C4163,"T",E4163)</f>
        <v>F519G4T1</v>
      </c>
      <c r="G4163" s="14" t="s">
        <v>325</v>
      </c>
    </row>
    <row r="4164" spans="1:7">
      <c r="A4164">
        <v>21</v>
      </c>
      <c r="B4164">
        <v>9</v>
      </c>
      <c r="C4164">
        <v>1</v>
      </c>
      <c r="E4164">
        <v>1</v>
      </c>
      <c r="F4164" t="str">
        <f t="shared" si="65"/>
        <v>F219G1T1</v>
      </c>
      <c r="G4164" s="14" t="s">
        <v>325</v>
      </c>
    </row>
    <row r="4165" spans="1:7">
      <c r="A4165">
        <v>23</v>
      </c>
      <c r="B4165">
        <v>9</v>
      </c>
      <c r="C4165">
        <v>1</v>
      </c>
      <c r="E4165">
        <v>1</v>
      </c>
      <c r="F4165" t="str">
        <f t="shared" si="65"/>
        <v>F239G1T1</v>
      </c>
      <c r="G4165" s="14" t="s">
        <v>325</v>
      </c>
    </row>
    <row r="4166" spans="1:7">
      <c r="A4166">
        <v>24</v>
      </c>
      <c r="B4166">
        <v>9</v>
      </c>
      <c r="C4166">
        <v>1</v>
      </c>
      <c r="E4166">
        <v>1</v>
      </c>
      <c r="F4166" t="str">
        <f t="shared" si="65"/>
        <v>F249G1T1</v>
      </c>
      <c r="G4166" s="14" t="s">
        <v>325</v>
      </c>
    </row>
    <row r="4167" spans="1:7">
      <c r="A4167">
        <v>25</v>
      </c>
      <c r="B4167">
        <v>9</v>
      </c>
      <c r="C4167">
        <v>1</v>
      </c>
      <c r="E4167">
        <v>1</v>
      </c>
      <c r="F4167" t="str">
        <f t="shared" si="65"/>
        <v>F259G1T1</v>
      </c>
      <c r="G4167" s="14" t="s">
        <v>325</v>
      </c>
    </row>
    <row r="4168" spans="1:7">
      <c r="A4168">
        <v>36</v>
      </c>
      <c r="B4168">
        <v>9</v>
      </c>
      <c r="C4168">
        <v>1</v>
      </c>
      <c r="E4168">
        <v>1</v>
      </c>
      <c r="F4168" t="str">
        <f t="shared" si="65"/>
        <v>F369G1T1</v>
      </c>
      <c r="G4168" s="14" t="s">
        <v>325</v>
      </c>
    </row>
    <row r="4169" spans="1:7">
      <c r="A4169">
        <v>38</v>
      </c>
      <c r="B4169">
        <v>9</v>
      </c>
      <c r="C4169">
        <v>1</v>
      </c>
      <c r="E4169">
        <v>1</v>
      </c>
      <c r="F4169" t="str">
        <f t="shared" si="65"/>
        <v>F389G1T1</v>
      </c>
      <c r="G4169" s="14" t="s">
        <v>325</v>
      </c>
    </row>
    <row r="4170" spans="1:7">
      <c r="A4170">
        <v>42</v>
      </c>
      <c r="B4170">
        <v>9</v>
      </c>
      <c r="C4170">
        <v>1</v>
      </c>
      <c r="E4170">
        <v>1</v>
      </c>
      <c r="F4170" t="str">
        <f t="shared" si="65"/>
        <v>F429G1T1</v>
      </c>
      <c r="G4170" s="14" t="s">
        <v>325</v>
      </c>
    </row>
    <row r="4171" spans="1:7">
      <c r="A4171">
        <v>43</v>
      </c>
      <c r="B4171">
        <v>9</v>
      </c>
      <c r="C4171">
        <v>1</v>
      </c>
      <c r="E4171">
        <v>1</v>
      </c>
      <c r="F4171" t="str">
        <f t="shared" si="65"/>
        <v>F439G1T1</v>
      </c>
      <c r="G4171" s="14" t="s">
        <v>325</v>
      </c>
    </row>
    <row r="4172" spans="1:7">
      <c r="A4172">
        <v>46</v>
      </c>
      <c r="B4172">
        <v>9</v>
      </c>
      <c r="C4172">
        <v>1</v>
      </c>
      <c r="E4172">
        <v>1</v>
      </c>
      <c r="F4172" t="str">
        <f t="shared" si="65"/>
        <v>F469G1T1</v>
      </c>
      <c r="G4172" s="14" t="s">
        <v>325</v>
      </c>
    </row>
    <row r="4173" spans="1:7">
      <c r="A4173">
        <v>56</v>
      </c>
      <c r="B4173">
        <v>9</v>
      </c>
      <c r="C4173">
        <v>1</v>
      </c>
      <c r="E4173">
        <v>1</v>
      </c>
      <c r="F4173" t="str">
        <f t="shared" si="65"/>
        <v>F569G1T1</v>
      </c>
      <c r="G4173" s="14" t="s">
        <v>325</v>
      </c>
    </row>
    <row r="4174" spans="1:7">
      <c r="A4174">
        <v>67</v>
      </c>
      <c r="B4174">
        <v>9</v>
      </c>
      <c r="C4174">
        <v>1</v>
      </c>
      <c r="E4174">
        <v>1</v>
      </c>
      <c r="F4174" t="str">
        <f t="shared" si="65"/>
        <v>F679G1T1</v>
      </c>
      <c r="G4174" s="14" t="s">
        <v>325</v>
      </c>
    </row>
    <row r="4175" spans="1:7">
      <c r="A4175">
        <v>70</v>
      </c>
      <c r="B4175">
        <v>9</v>
      </c>
      <c r="C4175">
        <v>1</v>
      </c>
      <c r="E4175">
        <v>1</v>
      </c>
      <c r="F4175" t="str">
        <f t="shared" si="65"/>
        <v>F709G1T1</v>
      </c>
      <c r="G4175" s="14" t="s">
        <v>325</v>
      </c>
    </row>
    <row r="4176" spans="1:7">
      <c r="A4176">
        <v>77</v>
      </c>
      <c r="B4176">
        <v>9</v>
      </c>
      <c r="C4176">
        <v>1</v>
      </c>
      <c r="E4176">
        <v>1</v>
      </c>
      <c r="F4176" t="str">
        <f t="shared" si="65"/>
        <v>F779G1T1</v>
      </c>
      <c r="G4176" s="14" t="s">
        <v>325</v>
      </c>
    </row>
    <row r="4177" spans="1:7">
      <c r="A4177">
        <v>78</v>
      </c>
      <c r="B4177">
        <v>9</v>
      </c>
      <c r="C4177">
        <v>1</v>
      </c>
      <c r="E4177">
        <v>1</v>
      </c>
      <c r="F4177" t="str">
        <f t="shared" si="65"/>
        <v>F789G1T1</v>
      </c>
      <c r="G4177" s="14" t="s">
        <v>325</v>
      </c>
    </row>
    <row r="4178" spans="1:7">
      <c r="A4178">
        <v>51</v>
      </c>
      <c r="B4178">
        <v>9</v>
      </c>
      <c r="C4178">
        <v>1</v>
      </c>
      <c r="E4178">
        <v>1</v>
      </c>
      <c r="F4178" t="str">
        <f t="shared" si="65"/>
        <v>F519G1T1</v>
      </c>
      <c r="G4178" s="14" t="s">
        <v>325</v>
      </c>
    </row>
    <row r="4179" spans="1:7">
      <c r="A4179">
        <v>21</v>
      </c>
      <c r="B4179">
        <v>9</v>
      </c>
      <c r="C4179">
        <v>3</v>
      </c>
      <c r="E4179">
        <v>4</v>
      </c>
      <c r="F4179" t="str">
        <f t="shared" si="65"/>
        <v>F219G3T4</v>
      </c>
      <c r="G4179" s="14" t="s">
        <v>325</v>
      </c>
    </row>
    <row r="4180" spans="1:7">
      <c r="A4180">
        <v>23</v>
      </c>
      <c r="B4180">
        <v>9</v>
      </c>
      <c r="C4180">
        <v>3</v>
      </c>
      <c r="E4180">
        <v>4</v>
      </c>
      <c r="F4180" t="str">
        <f t="shared" si="65"/>
        <v>F239G3T4</v>
      </c>
      <c r="G4180" s="14" t="s">
        <v>325</v>
      </c>
    </row>
    <row r="4181" spans="1:7">
      <c r="A4181">
        <v>24</v>
      </c>
      <c r="B4181">
        <v>9</v>
      </c>
      <c r="C4181">
        <v>3</v>
      </c>
      <c r="E4181">
        <v>4</v>
      </c>
      <c r="F4181" t="str">
        <f t="shared" si="65"/>
        <v>F249G3T4</v>
      </c>
      <c r="G4181" s="14" t="s">
        <v>325</v>
      </c>
    </row>
    <row r="4182" spans="1:7">
      <c r="A4182">
        <v>25</v>
      </c>
      <c r="B4182">
        <v>9</v>
      </c>
      <c r="C4182">
        <v>3</v>
      </c>
      <c r="E4182">
        <v>4</v>
      </c>
      <c r="F4182" t="str">
        <f t="shared" si="65"/>
        <v>F259G3T4</v>
      </c>
      <c r="G4182" s="14" t="s">
        <v>325</v>
      </c>
    </row>
    <row r="4183" spans="1:7">
      <c r="A4183">
        <v>36</v>
      </c>
      <c r="B4183">
        <v>9</v>
      </c>
      <c r="C4183">
        <v>3</v>
      </c>
      <c r="E4183">
        <v>4</v>
      </c>
      <c r="F4183" t="str">
        <f t="shared" si="65"/>
        <v>F369G3T4</v>
      </c>
      <c r="G4183" s="14" t="s">
        <v>325</v>
      </c>
    </row>
    <row r="4184" spans="1:7">
      <c r="A4184">
        <v>38</v>
      </c>
      <c r="B4184">
        <v>9</v>
      </c>
      <c r="C4184">
        <v>3</v>
      </c>
      <c r="E4184">
        <v>4</v>
      </c>
      <c r="F4184" t="str">
        <f t="shared" si="65"/>
        <v>F389G3T4</v>
      </c>
      <c r="G4184" s="14" t="s">
        <v>325</v>
      </c>
    </row>
    <row r="4185" spans="1:7">
      <c r="A4185">
        <v>42</v>
      </c>
      <c r="B4185">
        <v>9</v>
      </c>
      <c r="C4185">
        <v>3</v>
      </c>
      <c r="E4185">
        <v>4</v>
      </c>
      <c r="F4185" t="str">
        <f t="shared" si="65"/>
        <v>F429G3T4</v>
      </c>
      <c r="G4185" s="14" t="s">
        <v>325</v>
      </c>
    </row>
    <row r="4186" spans="1:7">
      <c r="A4186">
        <v>43</v>
      </c>
      <c r="B4186">
        <v>9</v>
      </c>
      <c r="C4186">
        <v>3</v>
      </c>
      <c r="E4186">
        <v>4</v>
      </c>
      <c r="F4186" t="str">
        <f t="shared" si="65"/>
        <v>F439G3T4</v>
      </c>
      <c r="G4186" s="14" t="s">
        <v>325</v>
      </c>
    </row>
    <row r="4187" spans="1:7">
      <c r="A4187">
        <v>46</v>
      </c>
      <c r="B4187">
        <v>9</v>
      </c>
      <c r="C4187">
        <v>3</v>
      </c>
      <c r="E4187">
        <v>4</v>
      </c>
      <c r="F4187" t="str">
        <f t="shared" si="65"/>
        <v>F469G3T4</v>
      </c>
      <c r="G4187" s="14" t="s">
        <v>325</v>
      </c>
    </row>
    <row r="4188" spans="1:7">
      <c r="A4188">
        <v>56</v>
      </c>
      <c r="B4188">
        <v>9</v>
      </c>
      <c r="C4188">
        <v>3</v>
      </c>
      <c r="E4188">
        <v>4</v>
      </c>
      <c r="F4188" t="str">
        <f t="shared" si="65"/>
        <v>F569G3T4</v>
      </c>
      <c r="G4188" s="14" t="s">
        <v>325</v>
      </c>
    </row>
    <row r="4189" spans="1:7">
      <c r="A4189">
        <v>67</v>
      </c>
      <c r="B4189">
        <v>9</v>
      </c>
      <c r="C4189">
        <v>3</v>
      </c>
      <c r="E4189">
        <v>4</v>
      </c>
      <c r="F4189" t="str">
        <f t="shared" si="65"/>
        <v>F679G3T4</v>
      </c>
      <c r="G4189" s="14" t="s">
        <v>325</v>
      </c>
    </row>
    <row r="4190" spans="1:7">
      <c r="A4190">
        <v>70</v>
      </c>
      <c r="B4190">
        <v>9</v>
      </c>
      <c r="C4190">
        <v>3</v>
      </c>
      <c r="E4190">
        <v>4</v>
      </c>
      <c r="F4190" t="str">
        <f t="shared" si="65"/>
        <v>F709G3T4</v>
      </c>
      <c r="G4190" s="14" t="s">
        <v>325</v>
      </c>
    </row>
    <row r="4191" spans="1:7">
      <c r="A4191">
        <v>77</v>
      </c>
      <c r="B4191">
        <v>9</v>
      </c>
      <c r="C4191">
        <v>3</v>
      </c>
      <c r="E4191">
        <v>4</v>
      </c>
      <c r="F4191" t="str">
        <f t="shared" si="65"/>
        <v>F779G3T4</v>
      </c>
      <c r="G4191" s="14" t="s">
        <v>325</v>
      </c>
    </row>
    <row r="4192" spans="1:7">
      <c r="A4192">
        <v>78</v>
      </c>
      <c r="B4192">
        <v>9</v>
      </c>
      <c r="C4192">
        <v>3</v>
      </c>
      <c r="E4192">
        <v>4</v>
      </c>
      <c r="F4192" t="str">
        <f t="shared" si="65"/>
        <v>F789G3T4</v>
      </c>
      <c r="G4192" s="14" t="s">
        <v>325</v>
      </c>
    </row>
    <row r="4193" spans="1:7">
      <c r="A4193">
        <v>51</v>
      </c>
      <c r="B4193">
        <v>9</v>
      </c>
      <c r="C4193">
        <v>3</v>
      </c>
      <c r="E4193">
        <v>4</v>
      </c>
      <c r="F4193" t="str">
        <f t="shared" si="65"/>
        <v>F519G3T4</v>
      </c>
      <c r="G4193" s="14" t="s">
        <v>325</v>
      </c>
    </row>
    <row r="4194" spans="1:7">
      <c r="A4194">
        <v>21</v>
      </c>
      <c r="B4194">
        <v>9</v>
      </c>
      <c r="C4194">
        <v>4</v>
      </c>
      <c r="E4194">
        <v>4</v>
      </c>
      <c r="F4194" t="str">
        <f t="shared" si="65"/>
        <v>F219G4T4</v>
      </c>
      <c r="G4194" s="14" t="s">
        <v>325</v>
      </c>
    </row>
    <row r="4195" spans="1:7">
      <c r="A4195">
        <v>23</v>
      </c>
      <c r="B4195">
        <v>9</v>
      </c>
      <c r="C4195">
        <v>4</v>
      </c>
      <c r="E4195">
        <v>4</v>
      </c>
      <c r="F4195" t="str">
        <f t="shared" si="65"/>
        <v>F239G4T4</v>
      </c>
      <c r="G4195" s="14" t="s">
        <v>325</v>
      </c>
    </row>
    <row r="4196" spans="1:7">
      <c r="A4196">
        <v>24</v>
      </c>
      <c r="B4196">
        <v>9</v>
      </c>
      <c r="C4196">
        <v>4</v>
      </c>
      <c r="E4196">
        <v>4</v>
      </c>
      <c r="F4196" t="str">
        <f t="shared" si="65"/>
        <v>F249G4T4</v>
      </c>
      <c r="G4196" s="14" t="s">
        <v>325</v>
      </c>
    </row>
    <row r="4197" spans="1:7">
      <c r="A4197">
        <v>25</v>
      </c>
      <c r="B4197">
        <v>9</v>
      </c>
      <c r="C4197">
        <v>4</v>
      </c>
      <c r="E4197">
        <v>4</v>
      </c>
      <c r="F4197" t="str">
        <f t="shared" si="65"/>
        <v>F259G4T4</v>
      </c>
      <c r="G4197" s="14" t="s">
        <v>325</v>
      </c>
    </row>
    <row r="4198" spans="1:7">
      <c r="A4198">
        <v>36</v>
      </c>
      <c r="B4198">
        <v>9</v>
      </c>
      <c r="C4198">
        <v>4</v>
      </c>
      <c r="E4198">
        <v>4</v>
      </c>
      <c r="F4198" t="str">
        <f t="shared" si="65"/>
        <v>F369G4T4</v>
      </c>
      <c r="G4198" s="14" t="s">
        <v>325</v>
      </c>
    </row>
    <row r="4199" spans="1:7">
      <c r="A4199">
        <v>38</v>
      </c>
      <c r="B4199">
        <v>9</v>
      </c>
      <c r="C4199">
        <v>4</v>
      </c>
      <c r="E4199">
        <v>4</v>
      </c>
      <c r="F4199" t="str">
        <f t="shared" si="65"/>
        <v>F389G4T4</v>
      </c>
      <c r="G4199" s="14" t="s">
        <v>325</v>
      </c>
    </row>
    <row r="4200" spans="1:7">
      <c r="A4200">
        <v>42</v>
      </c>
      <c r="B4200">
        <v>9</v>
      </c>
      <c r="C4200">
        <v>4</v>
      </c>
      <c r="E4200">
        <v>4</v>
      </c>
      <c r="F4200" t="str">
        <f t="shared" si="65"/>
        <v>F429G4T4</v>
      </c>
      <c r="G4200" s="14" t="s">
        <v>325</v>
      </c>
    </row>
    <row r="4201" spans="1:7">
      <c r="A4201">
        <v>43</v>
      </c>
      <c r="B4201">
        <v>9</v>
      </c>
      <c r="C4201">
        <v>4</v>
      </c>
      <c r="E4201">
        <v>4</v>
      </c>
      <c r="F4201" t="str">
        <f t="shared" si="65"/>
        <v>F439G4T4</v>
      </c>
      <c r="G4201" s="14" t="s">
        <v>325</v>
      </c>
    </row>
    <row r="4202" spans="1:7">
      <c r="A4202">
        <v>46</v>
      </c>
      <c r="B4202">
        <v>9</v>
      </c>
      <c r="C4202">
        <v>4</v>
      </c>
      <c r="E4202">
        <v>4</v>
      </c>
      <c r="F4202" t="str">
        <f t="shared" si="65"/>
        <v>F469G4T4</v>
      </c>
      <c r="G4202" s="14" t="s">
        <v>325</v>
      </c>
    </row>
    <row r="4203" spans="1:7">
      <c r="A4203">
        <v>56</v>
      </c>
      <c r="B4203">
        <v>9</v>
      </c>
      <c r="C4203">
        <v>4</v>
      </c>
      <c r="E4203">
        <v>4</v>
      </c>
      <c r="F4203" t="str">
        <f t="shared" si="65"/>
        <v>F569G4T4</v>
      </c>
      <c r="G4203" s="14" t="s">
        <v>325</v>
      </c>
    </row>
    <row r="4204" spans="1:7">
      <c r="A4204">
        <v>67</v>
      </c>
      <c r="B4204">
        <v>9</v>
      </c>
      <c r="C4204">
        <v>4</v>
      </c>
      <c r="E4204">
        <v>4</v>
      </c>
      <c r="F4204" t="str">
        <f t="shared" si="65"/>
        <v>F679G4T4</v>
      </c>
      <c r="G4204" s="14" t="s">
        <v>325</v>
      </c>
    </row>
    <row r="4205" spans="1:7">
      <c r="A4205">
        <v>70</v>
      </c>
      <c r="B4205">
        <v>9</v>
      </c>
      <c r="C4205">
        <v>4</v>
      </c>
      <c r="E4205">
        <v>4</v>
      </c>
      <c r="F4205" t="str">
        <f t="shared" si="65"/>
        <v>F709G4T4</v>
      </c>
      <c r="G4205" s="14" t="s">
        <v>325</v>
      </c>
    </row>
    <row r="4206" spans="1:7">
      <c r="A4206">
        <v>77</v>
      </c>
      <c r="B4206">
        <v>9</v>
      </c>
      <c r="C4206">
        <v>4</v>
      </c>
      <c r="E4206">
        <v>4</v>
      </c>
      <c r="F4206" t="str">
        <f t="shared" si="65"/>
        <v>F779G4T4</v>
      </c>
      <c r="G4206" s="14" t="s">
        <v>325</v>
      </c>
    </row>
    <row r="4207" spans="1:7">
      <c r="A4207">
        <v>78</v>
      </c>
      <c r="B4207">
        <v>9</v>
      </c>
      <c r="C4207">
        <v>4</v>
      </c>
      <c r="E4207">
        <v>4</v>
      </c>
      <c r="F4207" t="str">
        <f t="shared" si="65"/>
        <v>F789G4T4</v>
      </c>
      <c r="G4207" s="14" t="s">
        <v>325</v>
      </c>
    </row>
    <row r="4208" spans="1:7">
      <c r="A4208">
        <v>51</v>
      </c>
      <c r="B4208">
        <v>9</v>
      </c>
      <c r="C4208">
        <v>4</v>
      </c>
      <c r="E4208">
        <v>4</v>
      </c>
      <c r="F4208" t="str">
        <f t="shared" si="65"/>
        <v>F519G4T4</v>
      </c>
      <c r="G4208" s="14" t="s">
        <v>325</v>
      </c>
    </row>
    <row r="4209" spans="1:7">
      <c r="A4209">
        <v>21</v>
      </c>
      <c r="B4209">
        <v>9</v>
      </c>
      <c r="C4209">
        <v>1</v>
      </c>
      <c r="E4209">
        <v>4</v>
      </c>
      <c r="F4209" t="str">
        <f t="shared" si="65"/>
        <v>F219G1T4</v>
      </c>
      <c r="G4209" s="14" t="s">
        <v>325</v>
      </c>
    </row>
    <row r="4210" spans="1:7">
      <c r="A4210">
        <v>23</v>
      </c>
      <c r="B4210">
        <v>9</v>
      </c>
      <c r="C4210">
        <v>1</v>
      </c>
      <c r="E4210">
        <v>4</v>
      </c>
      <c r="F4210" t="str">
        <f t="shared" si="65"/>
        <v>F239G1T4</v>
      </c>
      <c r="G4210" s="14" t="s">
        <v>325</v>
      </c>
    </row>
    <row r="4211" spans="1:7">
      <c r="A4211">
        <v>24</v>
      </c>
      <c r="B4211">
        <v>9</v>
      </c>
      <c r="C4211">
        <v>1</v>
      </c>
      <c r="E4211">
        <v>4</v>
      </c>
      <c r="F4211" t="str">
        <f t="shared" si="65"/>
        <v>F249G1T4</v>
      </c>
      <c r="G4211" s="14" t="s">
        <v>325</v>
      </c>
    </row>
    <row r="4212" spans="1:7">
      <c r="A4212">
        <v>25</v>
      </c>
      <c r="B4212">
        <v>9</v>
      </c>
      <c r="C4212">
        <v>1</v>
      </c>
      <c r="E4212">
        <v>4</v>
      </c>
      <c r="F4212" t="str">
        <f t="shared" si="65"/>
        <v>F259G1T4</v>
      </c>
      <c r="G4212" s="14" t="s">
        <v>325</v>
      </c>
    </row>
    <row r="4213" spans="1:7">
      <c r="A4213">
        <v>36</v>
      </c>
      <c r="B4213">
        <v>9</v>
      </c>
      <c r="C4213">
        <v>1</v>
      </c>
      <c r="E4213">
        <v>4</v>
      </c>
      <c r="F4213" t="str">
        <f t="shared" si="65"/>
        <v>F369G1T4</v>
      </c>
      <c r="G4213" s="14" t="s">
        <v>325</v>
      </c>
    </row>
    <row r="4214" spans="1:7">
      <c r="A4214">
        <v>38</v>
      </c>
      <c r="B4214">
        <v>9</v>
      </c>
      <c r="C4214">
        <v>1</v>
      </c>
      <c r="E4214">
        <v>4</v>
      </c>
      <c r="F4214" t="str">
        <f t="shared" si="65"/>
        <v>F389G1T4</v>
      </c>
      <c r="G4214" s="14" t="s">
        <v>325</v>
      </c>
    </row>
    <row r="4215" spans="1:7">
      <c r="A4215">
        <v>42</v>
      </c>
      <c r="B4215">
        <v>9</v>
      </c>
      <c r="C4215">
        <v>1</v>
      </c>
      <c r="E4215">
        <v>4</v>
      </c>
      <c r="F4215" t="str">
        <f t="shared" si="65"/>
        <v>F429G1T4</v>
      </c>
      <c r="G4215" s="14" t="s">
        <v>325</v>
      </c>
    </row>
    <row r="4216" spans="1:7">
      <c r="A4216">
        <v>43</v>
      </c>
      <c r="B4216">
        <v>9</v>
      </c>
      <c r="C4216">
        <v>1</v>
      </c>
      <c r="E4216">
        <v>4</v>
      </c>
      <c r="F4216" t="str">
        <f t="shared" si="65"/>
        <v>F439G1T4</v>
      </c>
      <c r="G4216" s="14" t="s">
        <v>325</v>
      </c>
    </row>
    <row r="4217" spans="1:7">
      <c r="A4217">
        <v>46</v>
      </c>
      <c r="B4217">
        <v>9</v>
      </c>
      <c r="C4217">
        <v>1</v>
      </c>
      <c r="E4217">
        <v>4</v>
      </c>
      <c r="F4217" t="str">
        <f t="shared" si="65"/>
        <v>F469G1T4</v>
      </c>
      <c r="G4217" s="14" t="s">
        <v>325</v>
      </c>
    </row>
    <row r="4218" spans="1:7">
      <c r="A4218">
        <v>56</v>
      </c>
      <c r="B4218">
        <v>9</v>
      </c>
      <c r="C4218">
        <v>1</v>
      </c>
      <c r="E4218">
        <v>4</v>
      </c>
      <c r="F4218" t="str">
        <f t="shared" si="65"/>
        <v>F569G1T4</v>
      </c>
      <c r="G4218" s="14" t="s">
        <v>325</v>
      </c>
    </row>
    <row r="4219" spans="1:7">
      <c r="A4219">
        <v>67</v>
      </c>
      <c r="B4219">
        <v>9</v>
      </c>
      <c r="C4219">
        <v>1</v>
      </c>
      <c r="E4219">
        <v>4</v>
      </c>
      <c r="F4219" t="str">
        <f t="shared" si="65"/>
        <v>F679G1T4</v>
      </c>
      <c r="G4219" s="14" t="s">
        <v>325</v>
      </c>
    </row>
    <row r="4220" spans="1:7">
      <c r="A4220">
        <v>70</v>
      </c>
      <c r="B4220">
        <v>9</v>
      </c>
      <c r="C4220">
        <v>1</v>
      </c>
      <c r="E4220">
        <v>4</v>
      </c>
      <c r="F4220" t="str">
        <f t="shared" si="65"/>
        <v>F709G1T4</v>
      </c>
      <c r="G4220" s="14" t="s">
        <v>325</v>
      </c>
    </row>
    <row r="4221" spans="1:7">
      <c r="A4221">
        <v>77</v>
      </c>
      <c r="B4221">
        <v>9</v>
      </c>
      <c r="C4221">
        <v>1</v>
      </c>
      <c r="E4221">
        <v>4</v>
      </c>
      <c r="F4221" t="str">
        <f t="shared" si="65"/>
        <v>F779G1T4</v>
      </c>
      <c r="G4221" s="14" t="s">
        <v>325</v>
      </c>
    </row>
    <row r="4222" spans="1:7">
      <c r="A4222">
        <v>78</v>
      </c>
      <c r="B4222">
        <v>9</v>
      </c>
      <c r="C4222">
        <v>1</v>
      </c>
      <c r="E4222">
        <v>4</v>
      </c>
      <c r="F4222" t="str">
        <f t="shared" si="65"/>
        <v>F789G1T4</v>
      </c>
      <c r="G4222" s="14" t="s">
        <v>325</v>
      </c>
    </row>
    <row r="4223" spans="1:7">
      <c r="A4223">
        <v>51</v>
      </c>
      <c r="B4223">
        <v>9</v>
      </c>
      <c r="C4223">
        <v>1</v>
      </c>
      <c r="E4223">
        <v>4</v>
      </c>
      <c r="F4223" t="str">
        <f t="shared" si="65"/>
        <v>F519G1T4</v>
      </c>
      <c r="G4223" s="14" t="s">
        <v>325</v>
      </c>
    </row>
    <row r="4224" spans="1:7">
      <c r="A4224">
        <v>21</v>
      </c>
      <c r="B4224">
        <v>9</v>
      </c>
      <c r="C4224">
        <v>3</v>
      </c>
      <c r="E4224">
        <v>3</v>
      </c>
      <c r="F4224" t="str">
        <f t="shared" si="65"/>
        <v>F219G3T3</v>
      </c>
      <c r="G4224" s="14" t="s">
        <v>326</v>
      </c>
    </row>
    <row r="4225" spans="1:7">
      <c r="A4225">
        <v>23</v>
      </c>
      <c r="B4225">
        <v>9</v>
      </c>
      <c r="C4225">
        <v>3</v>
      </c>
      <c r="E4225">
        <v>3</v>
      </c>
      <c r="F4225" t="str">
        <f t="shared" si="65"/>
        <v>F239G3T3</v>
      </c>
      <c r="G4225" s="14" t="s">
        <v>326</v>
      </c>
    </row>
    <row r="4226" spans="1:7">
      <c r="A4226">
        <v>24</v>
      </c>
      <c r="B4226">
        <v>9</v>
      </c>
      <c r="C4226">
        <v>3</v>
      </c>
      <c r="E4226">
        <v>3</v>
      </c>
      <c r="F4226" t="str">
        <f t="shared" si="65"/>
        <v>F249G3T3</v>
      </c>
      <c r="G4226" s="14" t="s">
        <v>326</v>
      </c>
    </row>
    <row r="4227" spans="1:7">
      <c r="A4227">
        <v>25</v>
      </c>
      <c r="B4227">
        <v>9</v>
      </c>
      <c r="C4227">
        <v>3</v>
      </c>
      <c r="E4227">
        <v>3</v>
      </c>
      <c r="F4227" t="str">
        <f t="shared" ref="F4227:F4290" si="66">CONCATENATE("F",A4227,B4227,"G",C4227,"T",E4227)</f>
        <v>F259G3T3</v>
      </c>
      <c r="G4227" s="14" t="s">
        <v>326</v>
      </c>
    </row>
    <row r="4228" spans="1:7">
      <c r="A4228">
        <v>36</v>
      </c>
      <c r="B4228">
        <v>9</v>
      </c>
      <c r="C4228">
        <v>3</v>
      </c>
      <c r="E4228">
        <v>3</v>
      </c>
      <c r="F4228" t="str">
        <f t="shared" si="66"/>
        <v>F369G3T3</v>
      </c>
      <c r="G4228" s="14" t="s">
        <v>326</v>
      </c>
    </row>
    <row r="4229" spans="1:7">
      <c r="A4229">
        <v>38</v>
      </c>
      <c r="B4229">
        <v>9</v>
      </c>
      <c r="C4229">
        <v>3</v>
      </c>
      <c r="E4229">
        <v>3</v>
      </c>
      <c r="F4229" t="str">
        <f t="shared" si="66"/>
        <v>F389G3T3</v>
      </c>
      <c r="G4229" s="14" t="s">
        <v>326</v>
      </c>
    </row>
    <row r="4230" spans="1:7">
      <c r="A4230">
        <v>42</v>
      </c>
      <c r="B4230">
        <v>9</v>
      </c>
      <c r="C4230">
        <v>3</v>
      </c>
      <c r="E4230">
        <v>3</v>
      </c>
      <c r="F4230" t="str">
        <f t="shared" si="66"/>
        <v>F429G3T3</v>
      </c>
      <c r="G4230" s="14" t="s">
        <v>326</v>
      </c>
    </row>
    <row r="4231" spans="1:7">
      <c r="A4231">
        <v>43</v>
      </c>
      <c r="B4231">
        <v>9</v>
      </c>
      <c r="C4231">
        <v>3</v>
      </c>
      <c r="E4231">
        <v>3</v>
      </c>
      <c r="F4231" t="str">
        <f t="shared" si="66"/>
        <v>F439G3T3</v>
      </c>
      <c r="G4231" s="14" t="s">
        <v>326</v>
      </c>
    </row>
    <row r="4232" spans="1:7">
      <c r="A4232">
        <v>46</v>
      </c>
      <c r="B4232">
        <v>9</v>
      </c>
      <c r="C4232">
        <v>3</v>
      </c>
      <c r="E4232">
        <v>3</v>
      </c>
      <c r="F4232" t="str">
        <f t="shared" si="66"/>
        <v>F469G3T3</v>
      </c>
      <c r="G4232" s="14" t="s">
        <v>326</v>
      </c>
    </row>
    <row r="4233" spans="1:7">
      <c r="A4233">
        <v>56</v>
      </c>
      <c r="B4233">
        <v>9</v>
      </c>
      <c r="C4233">
        <v>3</v>
      </c>
      <c r="E4233">
        <v>3</v>
      </c>
      <c r="F4233" t="str">
        <f t="shared" si="66"/>
        <v>F569G3T3</v>
      </c>
      <c r="G4233" s="14" t="s">
        <v>326</v>
      </c>
    </row>
    <row r="4234" spans="1:7">
      <c r="A4234">
        <v>67</v>
      </c>
      <c r="B4234">
        <v>9</v>
      </c>
      <c r="C4234">
        <v>3</v>
      </c>
      <c r="E4234">
        <v>3</v>
      </c>
      <c r="F4234" t="str">
        <f t="shared" si="66"/>
        <v>F679G3T3</v>
      </c>
      <c r="G4234" s="14" t="s">
        <v>326</v>
      </c>
    </row>
    <row r="4235" spans="1:7">
      <c r="A4235">
        <v>70</v>
      </c>
      <c r="B4235">
        <v>9</v>
      </c>
      <c r="C4235">
        <v>3</v>
      </c>
      <c r="E4235">
        <v>3</v>
      </c>
      <c r="F4235" t="str">
        <f t="shared" si="66"/>
        <v>F709G3T3</v>
      </c>
      <c r="G4235" s="14" t="s">
        <v>326</v>
      </c>
    </row>
    <row r="4236" spans="1:7">
      <c r="A4236">
        <v>77</v>
      </c>
      <c r="B4236">
        <v>9</v>
      </c>
      <c r="C4236">
        <v>3</v>
      </c>
      <c r="E4236">
        <v>3</v>
      </c>
      <c r="F4236" t="str">
        <f t="shared" si="66"/>
        <v>F779G3T3</v>
      </c>
      <c r="G4236" s="14" t="s">
        <v>326</v>
      </c>
    </row>
    <row r="4237" spans="1:7">
      <c r="A4237">
        <v>78</v>
      </c>
      <c r="B4237">
        <v>9</v>
      </c>
      <c r="C4237">
        <v>3</v>
      </c>
      <c r="E4237">
        <v>3</v>
      </c>
      <c r="F4237" t="str">
        <f t="shared" si="66"/>
        <v>F789G3T3</v>
      </c>
      <c r="G4237" s="14" t="s">
        <v>326</v>
      </c>
    </row>
    <row r="4238" spans="1:7">
      <c r="A4238">
        <v>51</v>
      </c>
      <c r="B4238">
        <v>9</v>
      </c>
      <c r="C4238">
        <v>3</v>
      </c>
      <c r="E4238">
        <v>3</v>
      </c>
      <c r="F4238" t="str">
        <f t="shared" si="66"/>
        <v>F519G3T3</v>
      </c>
      <c r="G4238" s="14" t="s">
        <v>326</v>
      </c>
    </row>
    <row r="4239" spans="1:7">
      <c r="A4239">
        <v>21</v>
      </c>
      <c r="B4239">
        <v>9</v>
      </c>
      <c r="C4239">
        <v>4</v>
      </c>
      <c r="E4239">
        <v>3</v>
      </c>
      <c r="F4239" t="str">
        <f t="shared" si="66"/>
        <v>F219G4T3</v>
      </c>
      <c r="G4239" s="14" t="s">
        <v>326</v>
      </c>
    </row>
    <row r="4240" spans="1:7">
      <c r="A4240">
        <v>23</v>
      </c>
      <c r="B4240">
        <v>9</v>
      </c>
      <c r="C4240">
        <v>4</v>
      </c>
      <c r="E4240">
        <v>3</v>
      </c>
      <c r="F4240" t="str">
        <f t="shared" si="66"/>
        <v>F239G4T3</v>
      </c>
      <c r="G4240" s="14" t="s">
        <v>326</v>
      </c>
    </row>
    <row r="4241" spans="1:7">
      <c r="A4241">
        <v>24</v>
      </c>
      <c r="B4241">
        <v>9</v>
      </c>
      <c r="C4241">
        <v>4</v>
      </c>
      <c r="E4241">
        <v>3</v>
      </c>
      <c r="F4241" t="str">
        <f t="shared" si="66"/>
        <v>F249G4T3</v>
      </c>
      <c r="G4241" s="14" t="s">
        <v>326</v>
      </c>
    </row>
    <row r="4242" spans="1:7">
      <c r="A4242">
        <v>25</v>
      </c>
      <c r="B4242">
        <v>9</v>
      </c>
      <c r="C4242">
        <v>4</v>
      </c>
      <c r="E4242">
        <v>3</v>
      </c>
      <c r="F4242" t="str">
        <f t="shared" si="66"/>
        <v>F259G4T3</v>
      </c>
      <c r="G4242" s="14" t="s">
        <v>326</v>
      </c>
    </row>
    <row r="4243" spans="1:7">
      <c r="A4243">
        <v>36</v>
      </c>
      <c r="B4243">
        <v>9</v>
      </c>
      <c r="C4243">
        <v>4</v>
      </c>
      <c r="E4243">
        <v>3</v>
      </c>
      <c r="F4243" t="str">
        <f t="shared" si="66"/>
        <v>F369G4T3</v>
      </c>
      <c r="G4243" s="14" t="s">
        <v>326</v>
      </c>
    </row>
    <row r="4244" spans="1:7">
      <c r="A4244">
        <v>38</v>
      </c>
      <c r="B4244">
        <v>9</v>
      </c>
      <c r="C4244">
        <v>4</v>
      </c>
      <c r="E4244">
        <v>3</v>
      </c>
      <c r="F4244" t="str">
        <f t="shared" si="66"/>
        <v>F389G4T3</v>
      </c>
      <c r="G4244" s="14" t="s">
        <v>326</v>
      </c>
    </row>
    <row r="4245" spans="1:7">
      <c r="A4245">
        <v>42</v>
      </c>
      <c r="B4245">
        <v>9</v>
      </c>
      <c r="C4245">
        <v>4</v>
      </c>
      <c r="E4245">
        <v>3</v>
      </c>
      <c r="F4245" t="str">
        <f t="shared" si="66"/>
        <v>F429G4T3</v>
      </c>
      <c r="G4245" s="14" t="s">
        <v>326</v>
      </c>
    </row>
    <row r="4246" spans="1:7">
      <c r="A4246">
        <v>43</v>
      </c>
      <c r="B4246">
        <v>9</v>
      </c>
      <c r="C4246">
        <v>4</v>
      </c>
      <c r="E4246">
        <v>3</v>
      </c>
      <c r="F4246" t="str">
        <f t="shared" si="66"/>
        <v>F439G4T3</v>
      </c>
      <c r="G4246" s="14" t="s">
        <v>326</v>
      </c>
    </row>
    <row r="4247" spans="1:7">
      <c r="A4247">
        <v>46</v>
      </c>
      <c r="B4247">
        <v>9</v>
      </c>
      <c r="C4247">
        <v>4</v>
      </c>
      <c r="E4247">
        <v>3</v>
      </c>
      <c r="F4247" t="str">
        <f t="shared" si="66"/>
        <v>F469G4T3</v>
      </c>
      <c r="G4247" s="14" t="s">
        <v>326</v>
      </c>
    </row>
    <row r="4248" spans="1:7">
      <c r="A4248">
        <v>56</v>
      </c>
      <c r="B4248">
        <v>9</v>
      </c>
      <c r="C4248">
        <v>4</v>
      </c>
      <c r="E4248">
        <v>3</v>
      </c>
      <c r="F4248" t="str">
        <f t="shared" si="66"/>
        <v>F569G4T3</v>
      </c>
      <c r="G4248" s="14" t="s">
        <v>326</v>
      </c>
    </row>
    <row r="4249" spans="1:7">
      <c r="A4249">
        <v>67</v>
      </c>
      <c r="B4249">
        <v>9</v>
      </c>
      <c r="C4249">
        <v>4</v>
      </c>
      <c r="E4249">
        <v>3</v>
      </c>
      <c r="F4249" t="str">
        <f t="shared" si="66"/>
        <v>F679G4T3</v>
      </c>
      <c r="G4249" s="14" t="s">
        <v>326</v>
      </c>
    </row>
    <row r="4250" spans="1:7">
      <c r="A4250">
        <v>70</v>
      </c>
      <c r="B4250">
        <v>9</v>
      </c>
      <c r="C4250">
        <v>4</v>
      </c>
      <c r="E4250">
        <v>3</v>
      </c>
      <c r="F4250" t="str">
        <f t="shared" si="66"/>
        <v>F709G4T3</v>
      </c>
      <c r="G4250" s="14" t="s">
        <v>326</v>
      </c>
    </row>
    <row r="4251" spans="1:7">
      <c r="A4251">
        <v>77</v>
      </c>
      <c r="B4251">
        <v>9</v>
      </c>
      <c r="C4251">
        <v>4</v>
      </c>
      <c r="E4251">
        <v>3</v>
      </c>
      <c r="F4251" t="str">
        <f t="shared" si="66"/>
        <v>F779G4T3</v>
      </c>
      <c r="G4251" s="14" t="s">
        <v>326</v>
      </c>
    </row>
    <row r="4252" spans="1:7">
      <c r="A4252">
        <v>78</v>
      </c>
      <c r="B4252">
        <v>9</v>
      </c>
      <c r="C4252">
        <v>4</v>
      </c>
      <c r="E4252">
        <v>3</v>
      </c>
      <c r="F4252" t="str">
        <f t="shared" si="66"/>
        <v>F789G4T3</v>
      </c>
      <c r="G4252" s="14" t="s">
        <v>326</v>
      </c>
    </row>
    <row r="4253" spans="1:7">
      <c r="A4253">
        <v>51</v>
      </c>
      <c r="B4253">
        <v>9</v>
      </c>
      <c r="C4253">
        <v>4</v>
      </c>
      <c r="E4253">
        <v>3</v>
      </c>
      <c r="F4253" t="str">
        <f t="shared" si="66"/>
        <v>F519G4T3</v>
      </c>
      <c r="G4253" s="14" t="s">
        <v>326</v>
      </c>
    </row>
    <row r="4254" spans="1:7">
      <c r="A4254">
        <v>21</v>
      </c>
      <c r="B4254">
        <v>9</v>
      </c>
      <c r="C4254">
        <v>1</v>
      </c>
      <c r="E4254">
        <v>3</v>
      </c>
      <c r="F4254" t="str">
        <f t="shared" si="66"/>
        <v>F219G1T3</v>
      </c>
      <c r="G4254" s="14" t="s">
        <v>326</v>
      </c>
    </row>
    <row r="4255" spans="1:7">
      <c r="A4255">
        <v>23</v>
      </c>
      <c r="B4255">
        <v>9</v>
      </c>
      <c r="C4255">
        <v>1</v>
      </c>
      <c r="E4255">
        <v>3</v>
      </c>
      <c r="F4255" t="str">
        <f t="shared" si="66"/>
        <v>F239G1T3</v>
      </c>
      <c r="G4255" s="14" t="s">
        <v>326</v>
      </c>
    </row>
    <row r="4256" spans="1:7">
      <c r="A4256">
        <v>24</v>
      </c>
      <c r="B4256">
        <v>9</v>
      </c>
      <c r="C4256">
        <v>1</v>
      </c>
      <c r="E4256">
        <v>3</v>
      </c>
      <c r="F4256" t="str">
        <f t="shared" si="66"/>
        <v>F249G1T3</v>
      </c>
      <c r="G4256" s="14" t="s">
        <v>326</v>
      </c>
    </row>
    <row r="4257" spans="1:7">
      <c r="A4257">
        <v>25</v>
      </c>
      <c r="B4257">
        <v>9</v>
      </c>
      <c r="C4257">
        <v>1</v>
      </c>
      <c r="E4257">
        <v>3</v>
      </c>
      <c r="F4257" t="str">
        <f t="shared" si="66"/>
        <v>F259G1T3</v>
      </c>
      <c r="G4257" s="14" t="s">
        <v>326</v>
      </c>
    </row>
    <row r="4258" spans="1:7">
      <c r="A4258">
        <v>36</v>
      </c>
      <c r="B4258">
        <v>9</v>
      </c>
      <c r="C4258">
        <v>1</v>
      </c>
      <c r="E4258">
        <v>3</v>
      </c>
      <c r="F4258" t="str">
        <f t="shared" si="66"/>
        <v>F369G1T3</v>
      </c>
      <c r="G4258" s="14" t="s">
        <v>326</v>
      </c>
    </row>
    <row r="4259" spans="1:7">
      <c r="A4259">
        <v>38</v>
      </c>
      <c r="B4259">
        <v>9</v>
      </c>
      <c r="C4259">
        <v>1</v>
      </c>
      <c r="E4259">
        <v>3</v>
      </c>
      <c r="F4259" t="str">
        <f t="shared" si="66"/>
        <v>F389G1T3</v>
      </c>
      <c r="G4259" s="14" t="s">
        <v>326</v>
      </c>
    </row>
    <row r="4260" spans="1:7">
      <c r="A4260">
        <v>42</v>
      </c>
      <c r="B4260">
        <v>9</v>
      </c>
      <c r="C4260">
        <v>1</v>
      </c>
      <c r="E4260">
        <v>3</v>
      </c>
      <c r="F4260" t="str">
        <f t="shared" si="66"/>
        <v>F429G1T3</v>
      </c>
      <c r="G4260" s="14" t="s">
        <v>326</v>
      </c>
    </row>
    <row r="4261" spans="1:7">
      <c r="A4261">
        <v>43</v>
      </c>
      <c r="B4261">
        <v>9</v>
      </c>
      <c r="C4261">
        <v>1</v>
      </c>
      <c r="E4261">
        <v>3</v>
      </c>
      <c r="F4261" t="str">
        <f t="shared" si="66"/>
        <v>F439G1T3</v>
      </c>
      <c r="G4261" s="14" t="s">
        <v>326</v>
      </c>
    </row>
    <row r="4262" spans="1:7">
      <c r="A4262">
        <v>46</v>
      </c>
      <c r="B4262">
        <v>9</v>
      </c>
      <c r="C4262">
        <v>1</v>
      </c>
      <c r="E4262">
        <v>3</v>
      </c>
      <c r="F4262" t="str">
        <f t="shared" si="66"/>
        <v>F469G1T3</v>
      </c>
      <c r="G4262" s="14" t="s">
        <v>326</v>
      </c>
    </row>
    <row r="4263" spans="1:7">
      <c r="A4263">
        <v>56</v>
      </c>
      <c r="B4263">
        <v>9</v>
      </c>
      <c r="C4263">
        <v>1</v>
      </c>
      <c r="E4263">
        <v>3</v>
      </c>
      <c r="F4263" t="str">
        <f t="shared" si="66"/>
        <v>F569G1T3</v>
      </c>
      <c r="G4263" s="14" t="s">
        <v>326</v>
      </c>
    </row>
    <row r="4264" spans="1:7">
      <c r="A4264">
        <v>67</v>
      </c>
      <c r="B4264">
        <v>9</v>
      </c>
      <c r="C4264">
        <v>1</v>
      </c>
      <c r="E4264">
        <v>3</v>
      </c>
      <c r="F4264" t="str">
        <f t="shared" si="66"/>
        <v>F679G1T3</v>
      </c>
      <c r="G4264" s="14" t="s">
        <v>326</v>
      </c>
    </row>
    <row r="4265" spans="1:7">
      <c r="A4265">
        <v>70</v>
      </c>
      <c r="B4265">
        <v>9</v>
      </c>
      <c r="C4265">
        <v>1</v>
      </c>
      <c r="E4265">
        <v>3</v>
      </c>
      <c r="F4265" t="str">
        <f t="shared" si="66"/>
        <v>F709G1T3</v>
      </c>
      <c r="G4265" s="14" t="s">
        <v>326</v>
      </c>
    </row>
    <row r="4266" spans="1:7">
      <c r="A4266">
        <v>77</v>
      </c>
      <c r="B4266">
        <v>9</v>
      </c>
      <c r="C4266">
        <v>1</v>
      </c>
      <c r="E4266">
        <v>3</v>
      </c>
      <c r="F4266" t="str">
        <f t="shared" si="66"/>
        <v>F779G1T3</v>
      </c>
      <c r="G4266" s="14" t="s">
        <v>326</v>
      </c>
    </row>
    <row r="4267" spans="1:7">
      <c r="A4267">
        <v>78</v>
      </c>
      <c r="B4267">
        <v>9</v>
      </c>
      <c r="C4267">
        <v>1</v>
      </c>
      <c r="E4267">
        <v>3</v>
      </c>
      <c r="F4267" t="str">
        <f t="shared" si="66"/>
        <v>F789G1T3</v>
      </c>
      <c r="G4267" s="14" t="s">
        <v>326</v>
      </c>
    </row>
    <row r="4268" spans="1:7">
      <c r="A4268">
        <v>51</v>
      </c>
      <c r="B4268">
        <v>9</v>
      </c>
      <c r="C4268">
        <v>1</v>
      </c>
      <c r="E4268">
        <v>3</v>
      </c>
      <c r="F4268" t="str">
        <f t="shared" si="66"/>
        <v>F519G1T3</v>
      </c>
      <c r="G4268" s="14" t="s">
        <v>326</v>
      </c>
    </row>
    <row r="4269" spans="1:7">
      <c r="A4269">
        <v>21</v>
      </c>
      <c r="B4269">
        <v>9</v>
      </c>
      <c r="C4269">
        <v>3</v>
      </c>
      <c r="E4269">
        <v>2</v>
      </c>
      <c r="F4269" t="str">
        <f t="shared" si="66"/>
        <v>F219G3T2</v>
      </c>
      <c r="G4269" s="14">
        <v>18</v>
      </c>
    </row>
    <row r="4270" spans="1:7">
      <c r="A4270">
        <v>23</v>
      </c>
      <c r="B4270">
        <v>9</v>
      </c>
      <c r="C4270">
        <v>3</v>
      </c>
      <c r="E4270">
        <v>2</v>
      </c>
      <c r="F4270" t="str">
        <f t="shared" si="66"/>
        <v>F239G3T2</v>
      </c>
      <c r="G4270" s="14">
        <v>18</v>
      </c>
    </row>
    <row r="4271" spans="1:7">
      <c r="A4271">
        <v>24</v>
      </c>
      <c r="B4271">
        <v>9</v>
      </c>
      <c r="C4271">
        <v>3</v>
      </c>
      <c r="E4271">
        <v>2</v>
      </c>
      <c r="F4271" t="str">
        <f t="shared" si="66"/>
        <v>F249G3T2</v>
      </c>
      <c r="G4271" s="14">
        <v>18</v>
      </c>
    </row>
    <row r="4272" spans="1:7">
      <c r="A4272">
        <v>25</v>
      </c>
      <c r="B4272">
        <v>9</v>
      </c>
      <c r="C4272">
        <v>3</v>
      </c>
      <c r="E4272">
        <v>2</v>
      </c>
      <c r="F4272" t="str">
        <f t="shared" si="66"/>
        <v>F259G3T2</v>
      </c>
      <c r="G4272" s="14">
        <v>18</v>
      </c>
    </row>
    <row r="4273" spans="1:7">
      <c r="A4273">
        <v>36</v>
      </c>
      <c r="B4273">
        <v>9</v>
      </c>
      <c r="C4273">
        <v>3</v>
      </c>
      <c r="E4273">
        <v>2</v>
      </c>
      <c r="F4273" t="str">
        <f t="shared" si="66"/>
        <v>F369G3T2</v>
      </c>
      <c r="G4273" s="14">
        <v>18</v>
      </c>
    </row>
    <row r="4274" spans="1:7">
      <c r="A4274">
        <v>38</v>
      </c>
      <c r="B4274">
        <v>9</v>
      </c>
      <c r="C4274">
        <v>3</v>
      </c>
      <c r="E4274">
        <v>2</v>
      </c>
      <c r="F4274" t="str">
        <f t="shared" si="66"/>
        <v>F389G3T2</v>
      </c>
      <c r="G4274" s="14">
        <v>18</v>
      </c>
    </row>
    <row r="4275" spans="1:7">
      <c r="A4275">
        <v>42</v>
      </c>
      <c r="B4275">
        <v>9</v>
      </c>
      <c r="C4275">
        <v>3</v>
      </c>
      <c r="E4275">
        <v>2</v>
      </c>
      <c r="F4275" t="str">
        <f t="shared" si="66"/>
        <v>F429G3T2</v>
      </c>
      <c r="G4275" s="14">
        <v>18</v>
      </c>
    </row>
    <row r="4276" spans="1:7">
      <c r="A4276">
        <v>43</v>
      </c>
      <c r="B4276">
        <v>9</v>
      </c>
      <c r="C4276">
        <v>3</v>
      </c>
      <c r="E4276">
        <v>2</v>
      </c>
      <c r="F4276" t="str">
        <f t="shared" si="66"/>
        <v>F439G3T2</v>
      </c>
      <c r="G4276" s="14">
        <v>18</v>
      </c>
    </row>
    <row r="4277" spans="1:7">
      <c r="A4277">
        <v>46</v>
      </c>
      <c r="B4277">
        <v>9</v>
      </c>
      <c r="C4277">
        <v>3</v>
      </c>
      <c r="E4277">
        <v>2</v>
      </c>
      <c r="F4277" t="str">
        <f t="shared" si="66"/>
        <v>F469G3T2</v>
      </c>
      <c r="G4277" s="14">
        <v>18</v>
      </c>
    </row>
    <row r="4278" spans="1:7">
      <c r="A4278">
        <v>56</v>
      </c>
      <c r="B4278">
        <v>9</v>
      </c>
      <c r="C4278">
        <v>3</v>
      </c>
      <c r="E4278">
        <v>2</v>
      </c>
      <c r="F4278" t="str">
        <f t="shared" si="66"/>
        <v>F569G3T2</v>
      </c>
      <c r="G4278" s="14">
        <v>18</v>
      </c>
    </row>
    <row r="4279" spans="1:7">
      <c r="A4279">
        <v>67</v>
      </c>
      <c r="B4279">
        <v>9</v>
      </c>
      <c r="C4279">
        <v>3</v>
      </c>
      <c r="E4279">
        <v>2</v>
      </c>
      <c r="F4279" t="str">
        <f t="shared" si="66"/>
        <v>F679G3T2</v>
      </c>
      <c r="G4279" s="14">
        <v>18</v>
      </c>
    </row>
    <row r="4280" spans="1:7">
      <c r="A4280">
        <v>70</v>
      </c>
      <c r="B4280">
        <v>9</v>
      </c>
      <c r="C4280">
        <v>3</v>
      </c>
      <c r="E4280">
        <v>2</v>
      </c>
      <c r="F4280" t="str">
        <f t="shared" si="66"/>
        <v>F709G3T2</v>
      </c>
      <c r="G4280" s="14">
        <v>18</v>
      </c>
    </row>
    <row r="4281" spans="1:7">
      <c r="A4281">
        <v>77</v>
      </c>
      <c r="B4281">
        <v>9</v>
      </c>
      <c r="C4281">
        <v>3</v>
      </c>
      <c r="E4281">
        <v>2</v>
      </c>
      <c r="F4281" t="str">
        <f t="shared" si="66"/>
        <v>F779G3T2</v>
      </c>
      <c r="G4281" s="14">
        <v>18</v>
      </c>
    </row>
    <row r="4282" spans="1:7">
      <c r="A4282">
        <v>78</v>
      </c>
      <c r="B4282">
        <v>9</v>
      </c>
      <c r="C4282">
        <v>3</v>
      </c>
      <c r="E4282">
        <v>2</v>
      </c>
      <c r="F4282" t="str">
        <f t="shared" si="66"/>
        <v>F789G3T2</v>
      </c>
      <c r="G4282" s="14">
        <v>18</v>
      </c>
    </row>
    <row r="4283" spans="1:7">
      <c r="A4283">
        <v>51</v>
      </c>
      <c r="B4283">
        <v>9</v>
      </c>
      <c r="C4283">
        <v>3</v>
      </c>
      <c r="E4283">
        <v>2</v>
      </c>
      <c r="F4283" t="str">
        <f t="shared" si="66"/>
        <v>F519G3T2</v>
      </c>
      <c r="G4283" s="14">
        <v>18</v>
      </c>
    </row>
    <row r="4284" spans="1:7">
      <c r="A4284">
        <v>21</v>
      </c>
      <c r="B4284">
        <v>9</v>
      </c>
      <c r="C4284">
        <v>4</v>
      </c>
      <c r="E4284">
        <v>2</v>
      </c>
      <c r="F4284" t="str">
        <f t="shared" si="66"/>
        <v>F219G4T2</v>
      </c>
      <c r="G4284" s="14">
        <v>18</v>
      </c>
    </row>
    <row r="4285" spans="1:7">
      <c r="A4285">
        <v>23</v>
      </c>
      <c r="B4285">
        <v>9</v>
      </c>
      <c r="C4285">
        <v>4</v>
      </c>
      <c r="E4285">
        <v>2</v>
      </c>
      <c r="F4285" t="str">
        <f t="shared" si="66"/>
        <v>F239G4T2</v>
      </c>
      <c r="G4285" s="14">
        <v>18</v>
      </c>
    </row>
    <row r="4286" spans="1:7">
      <c r="A4286">
        <v>24</v>
      </c>
      <c r="B4286">
        <v>9</v>
      </c>
      <c r="C4286">
        <v>4</v>
      </c>
      <c r="E4286">
        <v>2</v>
      </c>
      <c r="F4286" t="str">
        <f t="shared" si="66"/>
        <v>F249G4T2</v>
      </c>
      <c r="G4286" s="14">
        <v>18</v>
      </c>
    </row>
    <row r="4287" spans="1:7">
      <c r="A4287">
        <v>25</v>
      </c>
      <c r="B4287">
        <v>9</v>
      </c>
      <c r="C4287">
        <v>4</v>
      </c>
      <c r="E4287">
        <v>2</v>
      </c>
      <c r="F4287" t="str">
        <f t="shared" si="66"/>
        <v>F259G4T2</v>
      </c>
      <c r="G4287" s="14">
        <v>18</v>
      </c>
    </row>
    <row r="4288" spans="1:7">
      <c r="A4288">
        <v>36</v>
      </c>
      <c r="B4288">
        <v>9</v>
      </c>
      <c r="C4288">
        <v>4</v>
      </c>
      <c r="E4288">
        <v>2</v>
      </c>
      <c r="F4288" t="str">
        <f t="shared" si="66"/>
        <v>F369G4T2</v>
      </c>
      <c r="G4288" s="14">
        <v>18</v>
      </c>
    </row>
    <row r="4289" spans="1:7">
      <c r="A4289">
        <v>38</v>
      </c>
      <c r="B4289">
        <v>9</v>
      </c>
      <c r="C4289">
        <v>4</v>
      </c>
      <c r="E4289">
        <v>2</v>
      </c>
      <c r="F4289" t="str">
        <f t="shared" si="66"/>
        <v>F389G4T2</v>
      </c>
      <c r="G4289" s="14">
        <v>18</v>
      </c>
    </row>
    <row r="4290" spans="1:7">
      <c r="A4290">
        <v>42</v>
      </c>
      <c r="B4290">
        <v>9</v>
      </c>
      <c r="C4290">
        <v>4</v>
      </c>
      <c r="E4290">
        <v>2</v>
      </c>
      <c r="F4290" t="str">
        <f t="shared" si="66"/>
        <v>F429G4T2</v>
      </c>
      <c r="G4290" s="14">
        <v>18</v>
      </c>
    </row>
    <row r="4291" spans="1:7">
      <c r="A4291">
        <v>43</v>
      </c>
      <c r="B4291">
        <v>9</v>
      </c>
      <c r="C4291">
        <v>4</v>
      </c>
      <c r="E4291">
        <v>2</v>
      </c>
      <c r="F4291" t="str">
        <f t="shared" ref="F4291:F4354" si="67">CONCATENATE("F",A4291,B4291,"G",C4291,"T",E4291)</f>
        <v>F439G4T2</v>
      </c>
      <c r="G4291" s="14">
        <v>18</v>
      </c>
    </row>
    <row r="4292" spans="1:7">
      <c r="A4292">
        <v>46</v>
      </c>
      <c r="B4292">
        <v>9</v>
      </c>
      <c r="C4292">
        <v>4</v>
      </c>
      <c r="E4292">
        <v>2</v>
      </c>
      <c r="F4292" t="str">
        <f t="shared" si="67"/>
        <v>F469G4T2</v>
      </c>
      <c r="G4292" s="14">
        <v>18</v>
      </c>
    </row>
    <row r="4293" spans="1:7">
      <c r="A4293">
        <v>56</v>
      </c>
      <c r="B4293">
        <v>9</v>
      </c>
      <c r="C4293">
        <v>4</v>
      </c>
      <c r="E4293">
        <v>2</v>
      </c>
      <c r="F4293" t="str">
        <f t="shared" si="67"/>
        <v>F569G4T2</v>
      </c>
      <c r="G4293" s="14">
        <v>18</v>
      </c>
    </row>
    <row r="4294" spans="1:7">
      <c r="A4294">
        <v>67</v>
      </c>
      <c r="B4294">
        <v>9</v>
      </c>
      <c r="C4294">
        <v>4</v>
      </c>
      <c r="E4294">
        <v>2</v>
      </c>
      <c r="F4294" t="str">
        <f t="shared" si="67"/>
        <v>F679G4T2</v>
      </c>
      <c r="G4294" s="14">
        <v>18</v>
      </c>
    </row>
    <row r="4295" spans="1:7">
      <c r="A4295">
        <v>70</v>
      </c>
      <c r="B4295">
        <v>9</v>
      </c>
      <c r="C4295">
        <v>4</v>
      </c>
      <c r="E4295">
        <v>2</v>
      </c>
      <c r="F4295" t="str">
        <f t="shared" si="67"/>
        <v>F709G4T2</v>
      </c>
      <c r="G4295" s="14">
        <v>18</v>
      </c>
    </row>
    <row r="4296" spans="1:7">
      <c r="A4296">
        <v>77</v>
      </c>
      <c r="B4296">
        <v>9</v>
      </c>
      <c r="C4296">
        <v>4</v>
      </c>
      <c r="E4296">
        <v>2</v>
      </c>
      <c r="F4296" t="str">
        <f t="shared" si="67"/>
        <v>F779G4T2</v>
      </c>
      <c r="G4296" s="14">
        <v>18</v>
      </c>
    </row>
    <row r="4297" spans="1:7">
      <c r="A4297">
        <v>78</v>
      </c>
      <c r="B4297">
        <v>9</v>
      </c>
      <c r="C4297">
        <v>4</v>
      </c>
      <c r="E4297">
        <v>2</v>
      </c>
      <c r="F4297" t="str">
        <f t="shared" si="67"/>
        <v>F789G4T2</v>
      </c>
      <c r="G4297" s="14">
        <v>18</v>
      </c>
    </row>
    <row r="4298" spans="1:7">
      <c r="A4298">
        <v>51</v>
      </c>
      <c r="B4298">
        <v>9</v>
      </c>
      <c r="C4298">
        <v>4</v>
      </c>
      <c r="E4298">
        <v>2</v>
      </c>
      <c r="F4298" t="str">
        <f t="shared" si="67"/>
        <v>F519G4T2</v>
      </c>
      <c r="G4298" s="14">
        <v>18</v>
      </c>
    </row>
    <row r="4299" spans="1:7">
      <c r="A4299">
        <v>21</v>
      </c>
      <c r="B4299">
        <v>9</v>
      </c>
      <c r="C4299">
        <v>1</v>
      </c>
      <c r="E4299">
        <v>2</v>
      </c>
      <c r="F4299" t="str">
        <f t="shared" si="67"/>
        <v>F219G1T2</v>
      </c>
      <c r="G4299" s="14">
        <v>18</v>
      </c>
    </row>
    <row r="4300" spans="1:7">
      <c r="A4300">
        <v>23</v>
      </c>
      <c r="B4300">
        <v>9</v>
      </c>
      <c r="C4300">
        <v>1</v>
      </c>
      <c r="E4300">
        <v>2</v>
      </c>
      <c r="F4300" t="str">
        <f t="shared" si="67"/>
        <v>F239G1T2</v>
      </c>
      <c r="G4300" s="14">
        <v>18</v>
      </c>
    </row>
    <row r="4301" spans="1:7">
      <c r="A4301">
        <v>24</v>
      </c>
      <c r="B4301">
        <v>9</v>
      </c>
      <c r="C4301">
        <v>1</v>
      </c>
      <c r="E4301">
        <v>2</v>
      </c>
      <c r="F4301" t="str">
        <f t="shared" si="67"/>
        <v>F249G1T2</v>
      </c>
      <c r="G4301" s="14">
        <v>18</v>
      </c>
    </row>
    <row r="4302" spans="1:7">
      <c r="A4302">
        <v>25</v>
      </c>
      <c r="B4302">
        <v>9</v>
      </c>
      <c r="C4302">
        <v>1</v>
      </c>
      <c r="E4302">
        <v>2</v>
      </c>
      <c r="F4302" t="str">
        <f t="shared" si="67"/>
        <v>F259G1T2</v>
      </c>
      <c r="G4302" s="14">
        <v>18</v>
      </c>
    </row>
    <row r="4303" spans="1:7">
      <c r="A4303">
        <v>36</v>
      </c>
      <c r="B4303">
        <v>9</v>
      </c>
      <c r="C4303">
        <v>1</v>
      </c>
      <c r="E4303">
        <v>2</v>
      </c>
      <c r="F4303" t="str">
        <f t="shared" si="67"/>
        <v>F369G1T2</v>
      </c>
      <c r="G4303" s="14">
        <v>18</v>
      </c>
    </row>
    <row r="4304" spans="1:7">
      <c r="A4304">
        <v>38</v>
      </c>
      <c r="B4304">
        <v>9</v>
      </c>
      <c r="C4304">
        <v>1</v>
      </c>
      <c r="E4304">
        <v>2</v>
      </c>
      <c r="F4304" t="str">
        <f t="shared" si="67"/>
        <v>F389G1T2</v>
      </c>
      <c r="G4304" s="14">
        <v>18</v>
      </c>
    </row>
    <row r="4305" spans="1:7">
      <c r="A4305">
        <v>42</v>
      </c>
      <c r="B4305">
        <v>9</v>
      </c>
      <c r="C4305">
        <v>1</v>
      </c>
      <c r="E4305">
        <v>2</v>
      </c>
      <c r="F4305" t="str">
        <f t="shared" si="67"/>
        <v>F429G1T2</v>
      </c>
      <c r="G4305" s="14">
        <v>18</v>
      </c>
    </row>
    <row r="4306" spans="1:7">
      <c r="A4306">
        <v>43</v>
      </c>
      <c r="B4306">
        <v>9</v>
      </c>
      <c r="C4306">
        <v>1</v>
      </c>
      <c r="E4306">
        <v>2</v>
      </c>
      <c r="F4306" t="str">
        <f t="shared" si="67"/>
        <v>F439G1T2</v>
      </c>
      <c r="G4306" s="14">
        <v>18</v>
      </c>
    </row>
    <row r="4307" spans="1:7">
      <c r="A4307">
        <v>46</v>
      </c>
      <c r="B4307">
        <v>9</v>
      </c>
      <c r="C4307">
        <v>1</v>
      </c>
      <c r="E4307">
        <v>2</v>
      </c>
      <c r="F4307" t="str">
        <f t="shared" si="67"/>
        <v>F469G1T2</v>
      </c>
      <c r="G4307" s="14">
        <v>18</v>
      </c>
    </row>
    <row r="4308" spans="1:7">
      <c r="A4308">
        <v>56</v>
      </c>
      <c r="B4308">
        <v>9</v>
      </c>
      <c r="C4308">
        <v>1</v>
      </c>
      <c r="E4308">
        <v>2</v>
      </c>
      <c r="F4308" t="str">
        <f t="shared" si="67"/>
        <v>F569G1T2</v>
      </c>
      <c r="G4308" s="14">
        <v>18</v>
      </c>
    </row>
    <row r="4309" spans="1:7">
      <c r="A4309">
        <v>67</v>
      </c>
      <c r="B4309">
        <v>9</v>
      </c>
      <c r="C4309">
        <v>1</v>
      </c>
      <c r="E4309">
        <v>2</v>
      </c>
      <c r="F4309" t="str">
        <f t="shared" si="67"/>
        <v>F679G1T2</v>
      </c>
      <c r="G4309" s="14">
        <v>18</v>
      </c>
    </row>
    <row r="4310" spans="1:7">
      <c r="A4310">
        <v>70</v>
      </c>
      <c r="B4310">
        <v>9</v>
      </c>
      <c r="C4310">
        <v>1</v>
      </c>
      <c r="E4310">
        <v>2</v>
      </c>
      <c r="F4310" t="str">
        <f t="shared" si="67"/>
        <v>F709G1T2</v>
      </c>
      <c r="G4310" s="14">
        <v>18</v>
      </c>
    </row>
    <row r="4311" spans="1:7">
      <c r="A4311">
        <v>77</v>
      </c>
      <c r="B4311">
        <v>9</v>
      </c>
      <c r="C4311">
        <v>1</v>
      </c>
      <c r="E4311">
        <v>2</v>
      </c>
      <c r="F4311" t="str">
        <f t="shared" si="67"/>
        <v>F779G1T2</v>
      </c>
      <c r="G4311" s="14">
        <v>18</v>
      </c>
    </row>
    <row r="4312" spans="1:7">
      <c r="A4312">
        <v>78</v>
      </c>
      <c r="B4312">
        <v>9</v>
      </c>
      <c r="C4312">
        <v>1</v>
      </c>
      <c r="E4312">
        <v>2</v>
      </c>
      <c r="F4312" t="str">
        <f t="shared" si="67"/>
        <v>F789G1T2</v>
      </c>
      <c r="G4312" s="14">
        <v>18</v>
      </c>
    </row>
    <row r="4313" spans="1:7">
      <c r="A4313">
        <v>51</v>
      </c>
      <c r="B4313">
        <v>9</v>
      </c>
      <c r="C4313">
        <v>1</v>
      </c>
      <c r="E4313">
        <v>2</v>
      </c>
      <c r="F4313" t="str">
        <f t="shared" si="67"/>
        <v>F519G1T2</v>
      </c>
      <c r="G4313" s="14">
        <v>18</v>
      </c>
    </row>
    <row r="4314" spans="1:7">
      <c r="A4314">
        <v>48</v>
      </c>
      <c r="B4314">
        <v>1</v>
      </c>
      <c r="C4314">
        <v>1</v>
      </c>
      <c r="E4314">
        <v>1</v>
      </c>
      <c r="F4314" t="str">
        <f t="shared" si="67"/>
        <v>F481G1T1</v>
      </c>
      <c r="G4314" s="14" t="s">
        <v>56</v>
      </c>
    </row>
    <row r="4315" spans="1:7">
      <c r="A4315">
        <v>48</v>
      </c>
      <c r="B4315">
        <v>2</v>
      </c>
      <c r="C4315">
        <v>1</v>
      </c>
      <c r="E4315">
        <v>1</v>
      </c>
      <c r="F4315" t="str">
        <f t="shared" si="67"/>
        <v>F482G1T1</v>
      </c>
      <c r="G4315" s="14" t="s">
        <v>56</v>
      </c>
    </row>
    <row r="4316" spans="1:7">
      <c r="A4316">
        <v>48</v>
      </c>
      <c r="B4316">
        <v>4</v>
      </c>
      <c r="C4316">
        <v>1</v>
      </c>
      <c r="E4316">
        <v>1</v>
      </c>
      <c r="F4316" t="str">
        <f t="shared" si="67"/>
        <v>F484G1T1</v>
      </c>
      <c r="G4316" s="14" t="s">
        <v>56</v>
      </c>
    </row>
    <row r="4317" spans="1:7">
      <c r="A4317">
        <v>48</v>
      </c>
      <c r="B4317">
        <v>5</v>
      </c>
      <c r="C4317">
        <v>1</v>
      </c>
      <c r="E4317">
        <v>1</v>
      </c>
      <c r="F4317" t="str">
        <f t="shared" si="67"/>
        <v>F485G1T1</v>
      </c>
      <c r="G4317" s="14" t="s">
        <v>56</v>
      </c>
    </row>
    <row r="4318" spans="1:7">
      <c r="A4318">
        <v>48</v>
      </c>
      <c r="B4318">
        <v>6</v>
      </c>
      <c r="C4318">
        <v>1</v>
      </c>
      <c r="E4318">
        <v>1</v>
      </c>
      <c r="F4318" t="str">
        <f t="shared" si="67"/>
        <v>F486G1T1</v>
      </c>
      <c r="G4318" s="14" t="s">
        <v>56</v>
      </c>
    </row>
    <row r="4319" spans="1:7">
      <c r="A4319">
        <v>48</v>
      </c>
      <c r="B4319">
        <v>7</v>
      </c>
      <c r="C4319">
        <v>1</v>
      </c>
      <c r="E4319">
        <v>1</v>
      </c>
      <c r="F4319" t="str">
        <f t="shared" si="67"/>
        <v>F487G1T1</v>
      </c>
      <c r="G4319" s="14" t="s">
        <v>56</v>
      </c>
    </row>
    <row r="4320" spans="1:7">
      <c r="A4320">
        <v>48</v>
      </c>
      <c r="B4320">
        <v>8</v>
      </c>
      <c r="C4320">
        <v>1</v>
      </c>
      <c r="E4320">
        <v>1</v>
      </c>
      <c r="F4320" t="str">
        <f t="shared" si="67"/>
        <v>F488G1T1</v>
      </c>
      <c r="G4320" s="14" t="s">
        <v>56</v>
      </c>
    </row>
    <row r="4321" spans="1:7">
      <c r="A4321">
        <v>48</v>
      </c>
      <c r="B4321">
        <v>1</v>
      </c>
      <c r="C4321">
        <v>1</v>
      </c>
      <c r="E4321">
        <v>4</v>
      </c>
      <c r="F4321" t="str">
        <f t="shared" si="67"/>
        <v>F481G1T4</v>
      </c>
      <c r="G4321" s="14" t="s">
        <v>56</v>
      </c>
    </row>
    <row r="4322" spans="1:7">
      <c r="A4322">
        <v>48</v>
      </c>
      <c r="B4322">
        <v>2</v>
      </c>
      <c r="C4322">
        <v>1</v>
      </c>
      <c r="E4322">
        <v>4</v>
      </c>
      <c r="F4322" t="str">
        <f t="shared" si="67"/>
        <v>F482G1T4</v>
      </c>
      <c r="G4322" s="14" t="s">
        <v>56</v>
      </c>
    </row>
    <row r="4323" spans="1:7">
      <c r="A4323">
        <v>48</v>
      </c>
      <c r="B4323">
        <v>4</v>
      </c>
      <c r="C4323">
        <v>1</v>
      </c>
      <c r="E4323">
        <v>4</v>
      </c>
      <c r="F4323" t="str">
        <f t="shared" si="67"/>
        <v>F484G1T4</v>
      </c>
      <c r="G4323" s="14" t="s">
        <v>56</v>
      </c>
    </row>
    <row r="4324" spans="1:7">
      <c r="A4324">
        <v>48</v>
      </c>
      <c r="B4324">
        <v>5</v>
      </c>
      <c r="C4324">
        <v>1</v>
      </c>
      <c r="E4324">
        <v>4</v>
      </c>
      <c r="F4324" t="str">
        <f t="shared" si="67"/>
        <v>F485G1T4</v>
      </c>
      <c r="G4324" s="14" t="s">
        <v>56</v>
      </c>
    </row>
    <row r="4325" spans="1:7">
      <c r="A4325">
        <v>48</v>
      </c>
      <c r="B4325">
        <v>6</v>
      </c>
      <c r="C4325">
        <v>1</v>
      </c>
      <c r="E4325">
        <v>4</v>
      </c>
      <c r="F4325" t="str">
        <f t="shared" si="67"/>
        <v>F486G1T4</v>
      </c>
      <c r="G4325" s="14" t="s">
        <v>56</v>
      </c>
    </row>
    <row r="4326" spans="1:7">
      <c r="A4326">
        <v>48</v>
      </c>
      <c r="B4326">
        <v>7</v>
      </c>
      <c r="C4326">
        <v>1</v>
      </c>
      <c r="E4326">
        <v>4</v>
      </c>
      <c r="F4326" t="str">
        <f t="shared" si="67"/>
        <v>F487G1T4</v>
      </c>
      <c r="G4326" s="14" t="s">
        <v>56</v>
      </c>
    </row>
    <row r="4327" spans="1:7">
      <c r="A4327">
        <v>48</v>
      </c>
      <c r="B4327">
        <v>8</v>
      </c>
      <c r="C4327">
        <v>1</v>
      </c>
      <c r="E4327">
        <v>4</v>
      </c>
      <c r="F4327" t="str">
        <f t="shared" si="67"/>
        <v>F488G1T4</v>
      </c>
      <c r="G4327" s="14" t="s">
        <v>56</v>
      </c>
    </row>
    <row r="4328" spans="1:7">
      <c r="A4328">
        <v>48</v>
      </c>
      <c r="B4328">
        <v>1</v>
      </c>
      <c r="C4328">
        <v>1</v>
      </c>
      <c r="E4328">
        <v>3</v>
      </c>
      <c r="F4328" t="str">
        <f t="shared" si="67"/>
        <v>F481G1T3</v>
      </c>
      <c r="G4328" s="14" t="s">
        <v>322</v>
      </c>
    </row>
    <row r="4329" spans="1:7">
      <c r="A4329">
        <v>48</v>
      </c>
      <c r="B4329">
        <v>2</v>
      </c>
      <c r="C4329">
        <v>1</v>
      </c>
      <c r="E4329">
        <v>3</v>
      </c>
      <c r="F4329" t="str">
        <f t="shared" si="67"/>
        <v>F482G1T3</v>
      </c>
      <c r="G4329" s="14" t="s">
        <v>322</v>
      </c>
    </row>
    <row r="4330" spans="1:7">
      <c r="A4330">
        <v>48</v>
      </c>
      <c r="B4330">
        <v>5</v>
      </c>
      <c r="C4330">
        <v>1</v>
      </c>
      <c r="E4330">
        <v>3</v>
      </c>
      <c r="F4330" t="str">
        <f t="shared" si="67"/>
        <v>F485G1T3</v>
      </c>
      <c r="G4330" s="14" t="s">
        <v>322</v>
      </c>
    </row>
    <row r="4331" spans="1:7">
      <c r="A4331">
        <v>48</v>
      </c>
      <c r="B4331">
        <v>6</v>
      </c>
      <c r="C4331">
        <v>1</v>
      </c>
      <c r="E4331">
        <v>3</v>
      </c>
      <c r="F4331" t="str">
        <f t="shared" si="67"/>
        <v>F486G1T3</v>
      </c>
      <c r="G4331" s="14" t="s">
        <v>322</v>
      </c>
    </row>
    <row r="4332" spans="1:7">
      <c r="A4332">
        <v>48</v>
      </c>
      <c r="B4332">
        <v>7</v>
      </c>
      <c r="C4332">
        <v>1</v>
      </c>
      <c r="E4332">
        <v>3</v>
      </c>
      <c r="F4332" t="str">
        <f t="shared" si="67"/>
        <v>F487G1T3</v>
      </c>
      <c r="G4332" s="14" t="s">
        <v>322</v>
      </c>
    </row>
    <row r="4333" spans="1:7">
      <c r="A4333">
        <v>48</v>
      </c>
      <c r="B4333">
        <v>8</v>
      </c>
      <c r="C4333">
        <v>1</v>
      </c>
      <c r="E4333">
        <v>3</v>
      </c>
      <c r="F4333" t="str">
        <f t="shared" si="67"/>
        <v>F488G1T3</v>
      </c>
      <c r="G4333" s="14" t="s">
        <v>322</v>
      </c>
    </row>
    <row r="4334" spans="1:7">
      <c r="A4334">
        <v>48</v>
      </c>
      <c r="B4334">
        <v>1</v>
      </c>
      <c r="C4334">
        <v>1</v>
      </c>
      <c r="E4334">
        <v>2</v>
      </c>
      <c r="F4334" t="str">
        <f t="shared" si="67"/>
        <v>F481G1T2</v>
      </c>
      <c r="G4334" s="14" t="s">
        <v>62</v>
      </c>
    </row>
    <row r="4335" spans="1:7">
      <c r="A4335">
        <v>48</v>
      </c>
      <c r="B4335">
        <v>2</v>
      </c>
      <c r="C4335">
        <v>1</v>
      </c>
      <c r="E4335">
        <v>2</v>
      </c>
      <c r="F4335" t="str">
        <f t="shared" si="67"/>
        <v>F482G1T2</v>
      </c>
      <c r="G4335" s="14" t="s">
        <v>62</v>
      </c>
    </row>
    <row r="4336" spans="1:7">
      <c r="A4336">
        <v>48</v>
      </c>
      <c r="B4336">
        <v>5</v>
      </c>
      <c r="C4336">
        <v>1</v>
      </c>
      <c r="E4336">
        <v>2</v>
      </c>
      <c r="F4336" t="str">
        <f t="shared" si="67"/>
        <v>F485G1T2</v>
      </c>
      <c r="G4336" s="14" t="s">
        <v>62</v>
      </c>
    </row>
    <row r="4337" spans="1:7">
      <c r="A4337">
        <v>48</v>
      </c>
      <c r="B4337">
        <v>6</v>
      </c>
      <c r="C4337">
        <v>1</v>
      </c>
      <c r="E4337">
        <v>2</v>
      </c>
      <c r="F4337" t="str">
        <f t="shared" si="67"/>
        <v>F486G1T2</v>
      </c>
      <c r="G4337" s="14" t="s">
        <v>62</v>
      </c>
    </row>
    <row r="4338" spans="1:7">
      <c r="A4338">
        <v>48</v>
      </c>
      <c r="B4338">
        <v>7</v>
      </c>
      <c r="C4338">
        <v>1</v>
      </c>
      <c r="E4338">
        <v>2</v>
      </c>
      <c r="F4338" t="str">
        <f t="shared" si="67"/>
        <v>F487G1T2</v>
      </c>
      <c r="G4338" s="14" t="s">
        <v>62</v>
      </c>
    </row>
    <row r="4339" spans="1:7">
      <c r="A4339">
        <v>48</v>
      </c>
      <c r="B4339">
        <v>8</v>
      </c>
      <c r="C4339">
        <v>1</v>
      </c>
      <c r="E4339">
        <v>2</v>
      </c>
      <c r="F4339" t="str">
        <f t="shared" si="67"/>
        <v>F488G1T2</v>
      </c>
      <c r="G4339" s="14" t="s">
        <v>62</v>
      </c>
    </row>
    <row r="4340" spans="1:7">
      <c r="A4340">
        <v>48</v>
      </c>
      <c r="B4340">
        <v>1</v>
      </c>
      <c r="C4340">
        <v>3</v>
      </c>
      <c r="E4340">
        <v>1</v>
      </c>
      <c r="F4340" t="str">
        <f t="shared" si="67"/>
        <v>F481G3T1</v>
      </c>
      <c r="G4340" s="14" t="s">
        <v>323</v>
      </c>
    </row>
    <row r="4341" spans="1:7">
      <c r="A4341">
        <v>48</v>
      </c>
      <c r="B4341">
        <v>2</v>
      </c>
      <c r="C4341">
        <v>3</v>
      </c>
      <c r="E4341">
        <v>1</v>
      </c>
      <c r="F4341" t="str">
        <f t="shared" si="67"/>
        <v>F482G3T1</v>
      </c>
      <c r="G4341" s="14" t="s">
        <v>323</v>
      </c>
    </row>
    <row r="4342" spans="1:7">
      <c r="A4342">
        <v>48</v>
      </c>
      <c r="B4342">
        <v>4</v>
      </c>
      <c r="C4342">
        <v>3</v>
      </c>
      <c r="E4342">
        <v>1</v>
      </c>
      <c r="F4342" t="str">
        <f t="shared" si="67"/>
        <v>F484G3T1</v>
      </c>
      <c r="G4342" s="14" t="s">
        <v>323</v>
      </c>
    </row>
    <row r="4343" spans="1:7">
      <c r="A4343">
        <v>48</v>
      </c>
      <c r="B4343">
        <v>5</v>
      </c>
      <c r="C4343">
        <v>3</v>
      </c>
      <c r="E4343">
        <v>1</v>
      </c>
      <c r="F4343" t="str">
        <f t="shared" si="67"/>
        <v>F485G3T1</v>
      </c>
      <c r="G4343" s="14" t="s">
        <v>323</v>
      </c>
    </row>
    <row r="4344" spans="1:7">
      <c r="A4344">
        <v>48</v>
      </c>
      <c r="B4344">
        <v>6</v>
      </c>
      <c r="C4344">
        <v>3</v>
      </c>
      <c r="E4344">
        <v>1</v>
      </c>
      <c r="F4344" t="str">
        <f t="shared" si="67"/>
        <v>F486G3T1</v>
      </c>
      <c r="G4344" s="14" t="s">
        <v>323</v>
      </c>
    </row>
    <row r="4345" spans="1:7">
      <c r="A4345">
        <v>48</v>
      </c>
      <c r="B4345">
        <v>7</v>
      </c>
      <c r="C4345">
        <v>3</v>
      </c>
      <c r="E4345">
        <v>1</v>
      </c>
      <c r="F4345" t="str">
        <f t="shared" si="67"/>
        <v>F487G3T1</v>
      </c>
      <c r="G4345" s="14" t="s">
        <v>323</v>
      </c>
    </row>
    <row r="4346" spans="1:7">
      <c r="A4346">
        <v>48</v>
      </c>
      <c r="B4346">
        <v>1</v>
      </c>
      <c r="C4346">
        <v>4</v>
      </c>
      <c r="E4346">
        <v>1</v>
      </c>
      <c r="F4346" t="str">
        <f t="shared" si="67"/>
        <v>F481G4T1</v>
      </c>
      <c r="G4346" s="14" t="s">
        <v>323</v>
      </c>
    </row>
    <row r="4347" spans="1:7">
      <c r="A4347">
        <v>48</v>
      </c>
      <c r="B4347">
        <v>2</v>
      </c>
      <c r="C4347">
        <v>4</v>
      </c>
      <c r="E4347">
        <v>1</v>
      </c>
      <c r="F4347" t="str">
        <f t="shared" si="67"/>
        <v>F482G4T1</v>
      </c>
      <c r="G4347" s="14" t="s">
        <v>323</v>
      </c>
    </row>
    <row r="4348" spans="1:7">
      <c r="A4348">
        <v>48</v>
      </c>
      <c r="B4348">
        <v>4</v>
      </c>
      <c r="C4348">
        <v>4</v>
      </c>
      <c r="E4348">
        <v>1</v>
      </c>
      <c r="F4348" t="str">
        <f t="shared" si="67"/>
        <v>F484G4T1</v>
      </c>
      <c r="G4348" s="14" t="s">
        <v>323</v>
      </c>
    </row>
    <row r="4349" spans="1:7">
      <c r="A4349">
        <v>48</v>
      </c>
      <c r="B4349">
        <v>5</v>
      </c>
      <c r="C4349">
        <v>4</v>
      </c>
      <c r="E4349">
        <v>1</v>
      </c>
      <c r="F4349" t="str">
        <f t="shared" si="67"/>
        <v>F485G4T1</v>
      </c>
      <c r="G4349" s="14" t="s">
        <v>323</v>
      </c>
    </row>
    <row r="4350" spans="1:7">
      <c r="A4350">
        <v>48</v>
      </c>
      <c r="B4350">
        <v>6</v>
      </c>
      <c r="C4350">
        <v>4</v>
      </c>
      <c r="E4350">
        <v>1</v>
      </c>
      <c r="F4350" t="str">
        <f t="shared" si="67"/>
        <v>F486G4T1</v>
      </c>
      <c r="G4350" s="14" t="s">
        <v>323</v>
      </c>
    </row>
    <row r="4351" spans="1:7">
      <c r="A4351">
        <v>48</v>
      </c>
      <c r="B4351">
        <v>7</v>
      </c>
      <c r="C4351">
        <v>4</v>
      </c>
      <c r="E4351">
        <v>1</v>
      </c>
      <c r="F4351" t="str">
        <f t="shared" si="67"/>
        <v>F487G4T1</v>
      </c>
      <c r="G4351" s="14" t="s">
        <v>323</v>
      </c>
    </row>
    <row r="4352" spans="1:7">
      <c r="A4352">
        <v>48</v>
      </c>
      <c r="B4352">
        <v>1</v>
      </c>
      <c r="C4352">
        <v>5</v>
      </c>
      <c r="E4352">
        <v>1</v>
      </c>
      <c r="F4352" t="str">
        <f t="shared" si="67"/>
        <v>F481G5T1</v>
      </c>
      <c r="G4352" s="14" t="s">
        <v>323</v>
      </c>
    </row>
    <row r="4353" spans="1:7">
      <c r="A4353">
        <v>48</v>
      </c>
      <c r="B4353">
        <v>2</v>
      </c>
      <c r="C4353">
        <v>5</v>
      </c>
      <c r="E4353">
        <v>1</v>
      </c>
      <c r="F4353" t="str">
        <f t="shared" si="67"/>
        <v>F482G5T1</v>
      </c>
      <c r="G4353" s="14" t="s">
        <v>323</v>
      </c>
    </row>
    <row r="4354" spans="1:7">
      <c r="A4354">
        <v>48</v>
      </c>
      <c r="B4354">
        <v>4</v>
      </c>
      <c r="C4354">
        <v>5</v>
      </c>
      <c r="E4354">
        <v>1</v>
      </c>
      <c r="F4354" t="str">
        <f t="shared" si="67"/>
        <v>F484G5T1</v>
      </c>
      <c r="G4354" s="14" t="s">
        <v>323</v>
      </c>
    </row>
    <row r="4355" spans="1:7">
      <c r="A4355">
        <v>48</v>
      </c>
      <c r="B4355">
        <v>5</v>
      </c>
      <c r="C4355">
        <v>5</v>
      </c>
      <c r="E4355">
        <v>1</v>
      </c>
      <c r="F4355" t="str">
        <f t="shared" ref="F4355:F4418" si="68">CONCATENATE("F",A4355,B4355,"G",C4355,"T",E4355)</f>
        <v>F485G5T1</v>
      </c>
      <c r="G4355" s="14" t="s">
        <v>323</v>
      </c>
    </row>
    <row r="4356" spans="1:7">
      <c r="A4356">
        <v>48</v>
      </c>
      <c r="B4356">
        <v>6</v>
      </c>
      <c r="C4356">
        <v>5</v>
      </c>
      <c r="E4356">
        <v>1</v>
      </c>
      <c r="F4356" t="str">
        <f t="shared" si="68"/>
        <v>F486G5T1</v>
      </c>
      <c r="G4356" s="14" t="s">
        <v>323</v>
      </c>
    </row>
    <row r="4357" spans="1:7">
      <c r="A4357">
        <v>48</v>
      </c>
      <c r="B4357">
        <v>7</v>
      </c>
      <c r="C4357">
        <v>5</v>
      </c>
      <c r="E4357">
        <v>1</v>
      </c>
      <c r="F4357" t="str">
        <f t="shared" si="68"/>
        <v>F487G5T1</v>
      </c>
      <c r="G4357" s="14" t="s">
        <v>323</v>
      </c>
    </row>
    <row r="4358" spans="1:7">
      <c r="A4358">
        <v>48</v>
      </c>
      <c r="B4358">
        <v>1</v>
      </c>
      <c r="C4358">
        <v>3</v>
      </c>
      <c r="E4358">
        <v>4</v>
      </c>
      <c r="F4358" t="str">
        <f t="shared" si="68"/>
        <v>F481G3T4</v>
      </c>
      <c r="G4358" s="14" t="s">
        <v>323</v>
      </c>
    </row>
    <row r="4359" spans="1:7">
      <c r="A4359">
        <v>48</v>
      </c>
      <c r="B4359">
        <v>2</v>
      </c>
      <c r="C4359">
        <v>3</v>
      </c>
      <c r="E4359">
        <v>4</v>
      </c>
      <c r="F4359" t="str">
        <f t="shared" si="68"/>
        <v>F482G3T4</v>
      </c>
      <c r="G4359" s="14" t="s">
        <v>323</v>
      </c>
    </row>
    <row r="4360" spans="1:7">
      <c r="A4360">
        <v>48</v>
      </c>
      <c r="B4360">
        <v>4</v>
      </c>
      <c r="C4360">
        <v>3</v>
      </c>
      <c r="E4360">
        <v>4</v>
      </c>
      <c r="F4360" t="str">
        <f t="shared" si="68"/>
        <v>F484G3T4</v>
      </c>
      <c r="G4360" s="14" t="s">
        <v>323</v>
      </c>
    </row>
    <row r="4361" spans="1:7">
      <c r="A4361">
        <v>48</v>
      </c>
      <c r="B4361">
        <v>5</v>
      </c>
      <c r="C4361">
        <v>3</v>
      </c>
      <c r="E4361">
        <v>4</v>
      </c>
      <c r="F4361" t="str">
        <f t="shared" si="68"/>
        <v>F485G3T4</v>
      </c>
      <c r="G4361" s="14" t="s">
        <v>323</v>
      </c>
    </row>
    <row r="4362" spans="1:7">
      <c r="A4362">
        <v>48</v>
      </c>
      <c r="B4362">
        <v>6</v>
      </c>
      <c r="C4362">
        <v>3</v>
      </c>
      <c r="E4362">
        <v>4</v>
      </c>
      <c r="F4362" t="str">
        <f t="shared" si="68"/>
        <v>F486G3T4</v>
      </c>
      <c r="G4362" s="14" t="s">
        <v>323</v>
      </c>
    </row>
    <row r="4363" spans="1:7">
      <c r="A4363">
        <v>48</v>
      </c>
      <c r="B4363">
        <v>7</v>
      </c>
      <c r="C4363">
        <v>3</v>
      </c>
      <c r="E4363">
        <v>4</v>
      </c>
      <c r="F4363" t="str">
        <f t="shared" si="68"/>
        <v>F487G3T4</v>
      </c>
      <c r="G4363" s="14" t="s">
        <v>323</v>
      </c>
    </row>
    <row r="4364" spans="1:7">
      <c r="A4364">
        <v>48</v>
      </c>
      <c r="B4364">
        <v>1</v>
      </c>
      <c r="C4364">
        <v>4</v>
      </c>
      <c r="E4364">
        <v>4</v>
      </c>
      <c r="F4364" t="str">
        <f t="shared" si="68"/>
        <v>F481G4T4</v>
      </c>
      <c r="G4364" s="14" t="s">
        <v>323</v>
      </c>
    </row>
    <row r="4365" spans="1:7">
      <c r="A4365">
        <v>48</v>
      </c>
      <c r="B4365">
        <v>2</v>
      </c>
      <c r="C4365">
        <v>4</v>
      </c>
      <c r="E4365">
        <v>4</v>
      </c>
      <c r="F4365" t="str">
        <f t="shared" si="68"/>
        <v>F482G4T4</v>
      </c>
      <c r="G4365" s="14" t="s">
        <v>323</v>
      </c>
    </row>
    <row r="4366" spans="1:7">
      <c r="A4366">
        <v>48</v>
      </c>
      <c r="B4366">
        <v>4</v>
      </c>
      <c r="C4366">
        <v>4</v>
      </c>
      <c r="E4366">
        <v>4</v>
      </c>
      <c r="F4366" t="str">
        <f t="shared" si="68"/>
        <v>F484G4T4</v>
      </c>
      <c r="G4366" s="14" t="s">
        <v>323</v>
      </c>
    </row>
    <row r="4367" spans="1:7">
      <c r="A4367">
        <v>48</v>
      </c>
      <c r="B4367">
        <v>5</v>
      </c>
      <c r="C4367">
        <v>4</v>
      </c>
      <c r="E4367">
        <v>4</v>
      </c>
      <c r="F4367" t="str">
        <f t="shared" si="68"/>
        <v>F485G4T4</v>
      </c>
      <c r="G4367" s="14" t="s">
        <v>323</v>
      </c>
    </row>
    <row r="4368" spans="1:7">
      <c r="A4368">
        <v>48</v>
      </c>
      <c r="B4368">
        <v>6</v>
      </c>
      <c r="C4368">
        <v>4</v>
      </c>
      <c r="E4368">
        <v>4</v>
      </c>
      <c r="F4368" t="str">
        <f t="shared" si="68"/>
        <v>F486G4T4</v>
      </c>
      <c r="G4368" s="14" t="s">
        <v>323</v>
      </c>
    </row>
    <row r="4369" spans="1:7">
      <c r="A4369">
        <v>48</v>
      </c>
      <c r="B4369">
        <v>7</v>
      </c>
      <c r="C4369">
        <v>4</v>
      </c>
      <c r="E4369">
        <v>4</v>
      </c>
      <c r="F4369" t="str">
        <f t="shared" si="68"/>
        <v>F487G4T4</v>
      </c>
      <c r="G4369" s="14" t="s">
        <v>323</v>
      </c>
    </row>
    <row r="4370" spans="1:7">
      <c r="A4370">
        <v>48</v>
      </c>
      <c r="B4370">
        <v>1</v>
      </c>
      <c r="C4370">
        <v>5</v>
      </c>
      <c r="E4370">
        <v>4</v>
      </c>
      <c r="F4370" t="str">
        <f t="shared" si="68"/>
        <v>F481G5T4</v>
      </c>
      <c r="G4370" s="14" t="s">
        <v>323</v>
      </c>
    </row>
    <row r="4371" spans="1:7">
      <c r="A4371">
        <v>48</v>
      </c>
      <c r="B4371">
        <v>2</v>
      </c>
      <c r="C4371">
        <v>5</v>
      </c>
      <c r="E4371">
        <v>4</v>
      </c>
      <c r="F4371" t="str">
        <f t="shared" si="68"/>
        <v>F482G5T4</v>
      </c>
      <c r="G4371" s="14" t="s">
        <v>323</v>
      </c>
    </row>
    <row r="4372" spans="1:7">
      <c r="A4372">
        <v>48</v>
      </c>
      <c r="B4372">
        <v>4</v>
      </c>
      <c r="C4372">
        <v>5</v>
      </c>
      <c r="E4372">
        <v>4</v>
      </c>
      <c r="F4372" t="str">
        <f t="shared" si="68"/>
        <v>F484G5T4</v>
      </c>
      <c r="G4372" s="14" t="s">
        <v>323</v>
      </c>
    </row>
    <row r="4373" spans="1:7">
      <c r="A4373">
        <v>48</v>
      </c>
      <c r="B4373">
        <v>5</v>
      </c>
      <c r="C4373">
        <v>5</v>
      </c>
      <c r="E4373">
        <v>4</v>
      </c>
      <c r="F4373" t="str">
        <f t="shared" si="68"/>
        <v>F485G5T4</v>
      </c>
      <c r="G4373" s="14" t="s">
        <v>323</v>
      </c>
    </row>
    <row r="4374" spans="1:7">
      <c r="A4374">
        <v>48</v>
      </c>
      <c r="B4374">
        <v>6</v>
      </c>
      <c r="C4374">
        <v>5</v>
      </c>
      <c r="E4374">
        <v>4</v>
      </c>
      <c r="F4374" t="str">
        <f t="shared" si="68"/>
        <v>F486G5T4</v>
      </c>
      <c r="G4374" s="14" t="s">
        <v>323</v>
      </c>
    </row>
    <row r="4375" spans="1:7">
      <c r="A4375">
        <v>48</v>
      </c>
      <c r="B4375">
        <v>7</v>
      </c>
      <c r="C4375">
        <v>5</v>
      </c>
      <c r="E4375">
        <v>4</v>
      </c>
      <c r="F4375" t="str">
        <f t="shared" si="68"/>
        <v>F487G5T4</v>
      </c>
      <c r="G4375" s="14" t="s">
        <v>323</v>
      </c>
    </row>
    <row r="4376" spans="1:7">
      <c r="A4376">
        <v>48</v>
      </c>
      <c r="B4376">
        <v>1</v>
      </c>
      <c r="C4376">
        <v>3</v>
      </c>
      <c r="E4376">
        <v>2</v>
      </c>
      <c r="F4376" t="str">
        <f t="shared" si="68"/>
        <v>F481G3T2</v>
      </c>
      <c r="G4376" s="14" t="s">
        <v>70</v>
      </c>
    </row>
    <row r="4377" spans="1:7">
      <c r="A4377">
        <v>48</v>
      </c>
      <c r="B4377">
        <v>2</v>
      </c>
      <c r="C4377">
        <v>3</v>
      </c>
      <c r="E4377">
        <v>2</v>
      </c>
      <c r="F4377" t="str">
        <f t="shared" si="68"/>
        <v>F482G3T2</v>
      </c>
      <c r="G4377" s="14" t="s">
        <v>70</v>
      </c>
    </row>
    <row r="4378" spans="1:7">
      <c r="A4378">
        <v>48</v>
      </c>
      <c r="B4378">
        <v>5</v>
      </c>
      <c r="C4378">
        <v>3</v>
      </c>
      <c r="E4378">
        <v>2</v>
      </c>
      <c r="F4378" t="str">
        <f t="shared" si="68"/>
        <v>F485G3T2</v>
      </c>
      <c r="G4378" s="14" t="s">
        <v>70</v>
      </c>
    </row>
    <row r="4379" spans="1:7">
      <c r="A4379">
        <v>48</v>
      </c>
      <c r="B4379">
        <v>6</v>
      </c>
      <c r="C4379">
        <v>3</v>
      </c>
      <c r="E4379">
        <v>2</v>
      </c>
      <c r="F4379" t="str">
        <f t="shared" si="68"/>
        <v>F486G3T2</v>
      </c>
      <c r="G4379" s="14" t="s">
        <v>70</v>
      </c>
    </row>
    <row r="4380" spans="1:7">
      <c r="A4380">
        <v>48</v>
      </c>
      <c r="B4380">
        <v>7</v>
      </c>
      <c r="C4380">
        <v>3</v>
      </c>
      <c r="E4380">
        <v>2</v>
      </c>
      <c r="F4380" t="str">
        <f t="shared" si="68"/>
        <v>F487G3T2</v>
      </c>
      <c r="G4380" s="14" t="s">
        <v>70</v>
      </c>
    </row>
    <row r="4381" spans="1:7">
      <c r="A4381">
        <v>48</v>
      </c>
      <c r="B4381">
        <v>1</v>
      </c>
      <c r="C4381">
        <v>4</v>
      </c>
      <c r="E4381">
        <v>2</v>
      </c>
      <c r="F4381" t="str">
        <f t="shared" si="68"/>
        <v>F481G4T2</v>
      </c>
      <c r="G4381" s="14" t="s">
        <v>70</v>
      </c>
    </row>
    <row r="4382" spans="1:7">
      <c r="A4382">
        <v>48</v>
      </c>
      <c r="B4382">
        <v>2</v>
      </c>
      <c r="C4382">
        <v>4</v>
      </c>
      <c r="E4382">
        <v>2</v>
      </c>
      <c r="F4382" t="str">
        <f t="shared" si="68"/>
        <v>F482G4T2</v>
      </c>
      <c r="G4382" s="14" t="s">
        <v>70</v>
      </c>
    </row>
    <row r="4383" spans="1:7">
      <c r="A4383">
        <v>48</v>
      </c>
      <c r="B4383">
        <v>5</v>
      </c>
      <c r="C4383">
        <v>4</v>
      </c>
      <c r="E4383">
        <v>2</v>
      </c>
      <c r="F4383" t="str">
        <f t="shared" si="68"/>
        <v>F485G4T2</v>
      </c>
      <c r="G4383" s="14" t="s">
        <v>70</v>
      </c>
    </row>
    <row r="4384" spans="1:7">
      <c r="A4384">
        <v>48</v>
      </c>
      <c r="B4384">
        <v>6</v>
      </c>
      <c r="C4384">
        <v>4</v>
      </c>
      <c r="E4384">
        <v>2</v>
      </c>
      <c r="F4384" t="str">
        <f t="shared" si="68"/>
        <v>F486G4T2</v>
      </c>
      <c r="G4384" s="14" t="s">
        <v>70</v>
      </c>
    </row>
    <row r="4385" spans="1:7">
      <c r="A4385">
        <v>48</v>
      </c>
      <c r="B4385">
        <v>7</v>
      </c>
      <c r="C4385">
        <v>4</v>
      </c>
      <c r="E4385">
        <v>2</v>
      </c>
      <c r="F4385" t="str">
        <f t="shared" si="68"/>
        <v>F487G4T2</v>
      </c>
      <c r="G4385" s="14" t="s">
        <v>70</v>
      </c>
    </row>
    <row r="4386" spans="1:7">
      <c r="A4386">
        <v>48</v>
      </c>
      <c r="B4386">
        <v>1</v>
      </c>
      <c r="C4386">
        <v>5</v>
      </c>
      <c r="E4386">
        <v>2</v>
      </c>
      <c r="F4386" t="str">
        <f t="shared" si="68"/>
        <v>F481G5T2</v>
      </c>
      <c r="G4386" s="14" t="s">
        <v>70</v>
      </c>
    </row>
    <row r="4387" spans="1:7">
      <c r="A4387">
        <v>48</v>
      </c>
      <c r="B4387">
        <v>2</v>
      </c>
      <c r="C4387">
        <v>5</v>
      </c>
      <c r="E4387">
        <v>2</v>
      </c>
      <c r="F4387" t="str">
        <f t="shared" si="68"/>
        <v>F482G5T2</v>
      </c>
      <c r="G4387" s="14" t="s">
        <v>70</v>
      </c>
    </row>
    <row r="4388" spans="1:7">
      <c r="A4388">
        <v>48</v>
      </c>
      <c r="B4388">
        <v>5</v>
      </c>
      <c r="C4388">
        <v>5</v>
      </c>
      <c r="E4388">
        <v>2</v>
      </c>
      <c r="F4388" t="str">
        <f t="shared" si="68"/>
        <v>F485G5T2</v>
      </c>
      <c r="G4388" s="14" t="s">
        <v>70</v>
      </c>
    </row>
    <row r="4389" spans="1:7">
      <c r="A4389">
        <v>48</v>
      </c>
      <c r="B4389">
        <v>6</v>
      </c>
      <c r="C4389">
        <v>5</v>
      </c>
      <c r="E4389">
        <v>2</v>
      </c>
      <c r="F4389" t="str">
        <f t="shared" si="68"/>
        <v>F486G5T2</v>
      </c>
      <c r="G4389" s="14" t="s">
        <v>70</v>
      </c>
    </row>
    <row r="4390" spans="1:7">
      <c r="A4390">
        <v>48</v>
      </c>
      <c r="B4390">
        <v>7</v>
      </c>
      <c r="C4390">
        <v>5</v>
      </c>
      <c r="E4390">
        <v>2</v>
      </c>
      <c r="F4390" t="str">
        <f t="shared" si="68"/>
        <v>F487G5T2</v>
      </c>
      <c r="G4390" s="14" t="s">
        <v>70</v>
      </c>
    </row>
    <row r="4391" spans="1:7">
      <c r="A4391">
        <v>48</v>
      </c>
      <c r="B4391">
        <v>1</v>
      </c>
      <c r="C4391">
        <v>3</v>
      </c>
      <c r="E4391">
        <v>3</v>
      </c>
      <c r="F4391" t="str">
        <f t="shared" si="68"/>
        <v>F481G3T3</v>
      </c>
      <c r="G4391" s="14" t="s">
        <v>324</v>
      </c>
    </row>
    <row r="4392" spans="1:7">
      <c r="A4392">
        <v>48</v>
      </c>
      <c r="B4392">
        <v>2</v>
      </c>
      <c r="C4392">
        <v>3</v>
      </c>
      <c r="E4392">
        <v>3</v>
      </c>
      <c r="F4392" t="str">
        <f t="shared" si="68"/>
        <v>F482G3T3</v>
      </c>
      <c r="G4392" s="14" t="s">
        <v>324</v>
      </c>
    </row>
    <row r="4393" spans="1:7">
      <c r="A4393">
        <v>48</v>
      </c>
      <c r="B4393">
        <v>5</v>
      </c>
      <c r="C4393">
        <v>3</v>
      </c>
      <c r="E4393">
        <v>3</v>
      </c>
      <c r="F4393" t="str">
        <f t="shared" si="68"/>
        <v>F485G3T3</v>
      </c>
      <c r="G4393" s="14" t="s">
        <v>324</v>
      </c>
    </row>
    <row r="4394" spans="1:7">
      <c r="A4394">
        <v>48</v>
      </c>
      <c r="B4394">
        <v>6</v>
      </c>
      <c r="C4394">
        <v>3</v>
      </c>
      <c r="E4394">
        <v>3</v>
      </c>
      <c r="F4394" t="str">
        <f t="shared" si="68"/>
        <v>F486G3T3</v>
      </c>
      <c r="G4394" s="14" t="s">
        <v>324</v>
      </c>
    </row>
    <row r="4395" spans="1:7">
      <c r="A4395">
        <v>48</v>
      </c>
      <c r="B4395">
        <v>7</v>
      </c>
      <c r="C4395">
        <v>3</v>
      </c>
      <c r="E4395">
        <v>3</v>
      </c>
      <c r="F4395" t="str">
        <f t="shared" si="68"/>
        <v>F487G3T3</v>
      </c>
      <c r="G4395" s="14" t="s">
        <v>324</v>
      </c>
    </row>
    <row r="4396" spans="1:7">
      <c r="A4396">
        <v>48</v>
      </c>
      <c r="B4396">
        <v>1</v>
      </c>
      <c r="C4396">
        <v>4</v>
      </c>
      <c r="E4396">
        <v>3</v>
      </c>
      <c r="F4396" t="str">
        <f t="shared" si="68"/>
        <v>F481G4T3</v>
      </c>
      <c r="G4396" s="14" t="s">
        <v>324</v>
      </c>
    </row>
    <row r="4397" spans="1:7">
      <c r="A4397">
        <v>48</v>
      </c>
      <c r="B4397">
        <v>2</v>
      </c>
      <c r="C4397">
        <v>4</v>
      </c>
      <c r="E4397">
        <v>3</v>
      </c>
      <c r="F4397" t="str">
        <f t="shared" si="68"/>
        <v>F482G4T3</v>
      </c>
      <c r="G4397" s="14" t="s">
        <v>324</v>
      </c>
    </row>
    <row r="4398" spans="1:7">
      <c r="A4398">
        <v>48</v>
      </c>
      <c r="B4398">
        <v>5</v>
      </c>
      <c r="C4398">
        <v>4</v>
      </c>
      <c r="E4398">
        <v>3</v>
      </c>
      <c r="F4398" t="str">
        <f t="shared" si="68"/>
        <v>F485G4T3</v>
      </c>
      <c r="G4398" s="14" t="s">
        <v>324</v>
      </c>
    </row>
    <row r="4399" spans="1:7">
      <c r="A4399">
        <v>48</v>
      </c>
      <c r="B4399">
        <v>6</v>
      </c>
      <c r="C4399">
        <v>4</v>
      </c>
      <c r="E4399">
        <v>3</v>
      </c>
      <c r="F4399" t="str">
        <f t="shared" si="68"/>
        <v>F486G4T3</v>
      </c>
      <c r="G4399" s="14" t="s">
        <v>324</v>
      </c>
    </row>
    <row r="4400" spans="1:7">
      <c r="A4400">
        <v>48</v>
      </c>
      <c r="B4400">
        <v>7</v>
      </c>
      <c r="C4400">
        <v>4</v>
      </c>
      <c r="E4400">
        <v>3</v>
      </c>
      <c r="F4400" t="str">
        <f t="shared" si="68"/>
        <v>F487G4T3</v>
      </c>
      <c r="G4400" s="14" t="s">
        <v>324</v>
      </c>
    </row>
    <row r="4401" spans="1:7">
      <c r="A4401">
        <v>48</v>
      </c>
      <c r="B4401">
        <v>1</v>
      </c>
      <c r="C4401">
        <v>5</v>
      </c>
      <c r="E4401">
        <v>3</v>
      </c>
      <c r="F4401" t="str">
        <f t="shared" si="68"/>
        <v>F481G5T3</v>
      </c>
      <c r="G4401" s="14" t="s">
        <v>324</v>
      </c>
    </row>
    <row r="4402" spans="1:7">
      <c r="A4402">
        <v>48</v>
      </c>
      <c r="B4402">
        <v>2</v>
      </c>
      <c r="C4402">
        <v>5</v>
      </c>
      <c r="E4402">
        <v>3</v>
      </c>
      <c r="F4402" t="str">
        <f t="shared" si="68"/>
        <v>F482G5T3</v>
      </c>
      <c r="G4402" s="14" t="s">
        <v>324</v>
      </c>
    </row>
    <row r="4403" spans="1:7">
      <c r="A4403">
        <v>48</v>
      </c>
      <c r="B4403">
        <v>5</v>
      </c>
      <c r="C4403">
        <v>5</v>
      </c>
      <c r="E4403">
        <v>3</v>
      </c>
      <c r="F4403" t="str">
        <f t="shared" si="68"/>
        <v>F485G5T3</v>
      </c>
      <c r="G4403" s="14" t="s">
        <v>324</v>
      </c>
    </row>
    <row r="4404" spans="1:7">
      <c r="A4404">
        <v>48</v>
      </c>
      <c r="B4404">
        <v>6</v>
      </c>
      <c r="C4404">
        <v>5</v>
      </c>
      <c r="E4404">
        <v>3</v>
      </c>
      <c r="F4404" t="str">
        <f t="shared" si="68"/>
        <v>F486G5T3</v>
      </c>
      <c r="G4404" s="14" t="s">
        <v>324</v>
      </c>
    </row>
    <row r="4405" spans="1:7">
      <c r="A4405">
        <v>48</v>
      </c>
      <c r="B4405">
        <v>7</v>
      </c>
      <c r="C4405">
        <v>5</v>
      </c>
      <c r="E4405">
        <v>3</v>
      </c>
      <c r="F4405" t="str">
        <f t="shared" si="68"/>
        <v>F487G5T3</v>
      </c>
      <c r="G4405" s="14" t="s">
        <v>324</v>
      </c>
    </row>
    <row r="4406" spans="1:7">
      <c r="A4406">
        <v>48</v>
      </c>
      <c r="B4406">
        <v>9</v>
      </c>
      <c r="C4406">
        <v>3</v>
      </c>
      <c r="E4406">
        <v>1</v>
      </c>
      <c r="F4406" t="str">
        <f t="shared" si="68"/>
        <v>F489G3T1</v>
      </c>
      <c r="G4406" s="14" t="s">
        <v>325</v>
      </c>
    </row>
    <row r="4407" spans="1:7">
      <c r="A4407">
        <v>48</v>
      </c>
      <c r="B4407">
        <v>9</v>
      </c>
      <c r="C4407">
        <v>4</v>
      </c>
      <c r="E4407">
        <v>1</v>
      </c>
      <c r="F4407" t="str">
        <f t="shared" si="68"/>
        <v>F489G4T1</v>
      </c>
      <c r="G4407" s="14" t="s">
        <v>325</v>
      </c>
    </row>
    <row r="4408" spans="1:7">
      <c r="A4408">
        <v>48</v>
      </c>
      <c r="B4408">
        <v>9</v>
      </c>
      <c r="C4408">
        <v>1</v>
      </c>
      <c r="E4408">
        <v>1</v>
      </c>
      <c r="F4408" t="str">
        <f t="shared" si="68"/>
        <v>F489G1T1</v>
      </c>
      <c r="G4408" s="14" t="s">
        <v>325</v>
      </c>
    </row>
    <row r="4409" spans="1:7">
      <c r="A4409">
        <v>48</v>
      </c>
      <c r="B4409">
        <v>9</v>
      </c>
      <c r="C4409">
        <v>3</v>
      </c>
      <c r="E4409">
        <v>4</v>
      </c>
      <c r="F4409" t="str">
        <f t="shared" si="68"/>
        <v>F489G3T4</v>
      </c>
      <c r="G4409" s="14" t="s">
        <v>325</v>
      </c>
    </row>
    <row r="4410" spans="1:7">
      <c r="A4410">
        <v>48</v>
      </c>
      <c r="B4410">
        <v>9</v>
      </c>
      <c r="C4410">
        <v>4</v>
      </c>
      <c r="E4410">
        <v>4</v>
      </c>
      <c r="F4410" t="str">
        <f t="shared" si="68"/>
        <v>F489G4T4</v>
      </c>
      <c r="G4410" s="14" t="s">
        <v>325</v>
      </c>
    </row>
    <row r="4411" spans="1:7">
      <c r="A4411">
        <v>48</v>
      </c>
      <c r="B4411">
        <v>9</v>
      </c>
      <c r="C4411">
        <v>1</v>
      </c>
      <c r="E4411">
        <v>4</v>
      </c>
      <c r="F4411" t="str">
        <f t="shared" si="68"/>
        <v>F489G1T4</v>
      </c>
      <c r="G4411" s="14" t="s">
        <v>325</v>
      </c>
    </row>
    <row r="4412" spans="1:7">
      <c r="A4412">
        <v>48</v>
      </c>
      <c r="B4412">
        <v>9</v>
      </c>
      <c r="C4412">
        <v>3</v>
      </c>
      <c r="E4412">
        <v>3</v>
      </c>
      <c r="F4412" t="str">
        <f t="shared" si="68"/>
        <v>F489G3T3</v>
      </c>
      <c r="G4412" s="14" t="s">
        <v>326</v>
      </c>
    </row>
    <row r="4413" spans="1:7">
      <c r="A4413">
        <v>48</v>
      </c>
      <c r="B4413">
        <v>9</v>
      </c>
      <c r="C4413">
        <v>4</v>
      </c>
      <c r="E4413">
        <v>3</v>
      </c>
      <c r="F4413" t="str">
        <f t="shared" si="68"/>
        <v>F489G4T3</v>
      </c>
      <c r="G4413" s="14" t="s">
        <v>326</v>
      </c>
    </row>
    <row r="4414" spans="1:7">
      <c r="A4414">
        <v>48</v>
      </c>
      <c r="B4414">
        <v>9</v>
      </c>
      <c r="C4414">
        <v>1</v>
      </c>
      <c r="E4414">
        <v>3</v>
      </c>
      <c r="F4414" t="str">
        <f t="shared" si="68"/>
        <v>F489G1T3</v>
      </c>
      <c r="G4414" s="14" t="s">
        <v>326</v>
      </c>
    </row>
    <row r="4415" spans="1:7">
      <c r="A4415">
        <v>48</v>
      </c>
      <c r="B4415">
        <v>9</v>
      </c>
      <c r="C4415">
        <v>3</v>
      </c>
      <c r="E4415">
        <v>2</v>
      </c>
      <c r="F4415" t="str">
        <f t="shared" si="68"/>
        <v>F489G3T2</v>
      </c>
      <c r="G4415" s="14">
        <v>18</v>
      </c>
    </row>
    <row r="4416" spans="1:7">
      <c r="A4416">
        <v>48</v>
      </c>
      <c r="B4416">
        <v>9</v>
      </c>
      <c r="C4416">
        <v>4</v>
      </c>
      <c r="E4416">
        <v>2</v>
      </c>
      <c r="F4416" t="str">
        <f t="shared" si="68"/>
        <v>F489G4T2</v>
      </c>
      <c r="G4416" s="14">
        <v>18</v>
      </c>
    </row>
    <row r="4417" spans="1:7">
      <c r="A4417">
        <v>48</v>
      </c>
      <c r="B4417">
        <v>9</v>
      </c>
      <c r="C4417">
        <v>1</v>
      </c>
      <c r="E4417">
        <v>2</v>
      </c>
      <c r="F4417" t="str">
        <f t="shared" si="68"/>
        <v>F489G1T2</v>
      </c>
      <c r="G4417" s="14">
        <v>18</v>
      </c>
    </row>
    <row r="4418" spans="1:7">
      <c r="A4418">
        <v>44</v>
      </c>
      <c r="B4418">
        <v>1</v>
      </c>
      <c r="C4418">
        <v>1</v>
      </c>
      <c r="E4418">
        <v>1</v>
      </c>
      <c r="F4418" t="str">
        <f t="shared" si="68"/>
        <v>F441G1T1</v>
      </c>
      <c r="G4418" s="14" t="s">
        <v>56</v>
      </c>
    </row>
    <row r="4419" spans="1:7">
      <c r="A4419">
        <v>44</v>
      </c>
      <c r="B4419">
        <v>2</v>
      </c>
      <c r="C4419">
        <v>1</v>
      </c>
      <c r="E4419">
        <v>1</v>
      </c>
      <c r="F4419" t="str">
        <f t="shared" ref="F4419:F4482" si="69">CONCATENATE("F",A4419,B4419,"G",C4419,"T",E4419)</f>
        <v>F442G1T1</v>
      </c>
      <c r="G4419" s="14" t="s">
        <v>56</v>
      </c>
    </row>
    <row r="4420" spans="1:7">
      <c r="A4420">
        <v>44</v>
      </c>
      <c r="B4420">
        <v>4</v>
      </c>
      <c r="C4420">
        <v>1</v>
      </c>
      <c r="E4420">
        <v>1</v>
      </c>
      <c r="F4420" t="str">
        <f t="shared" si="69"/>
        <v>F444G1T1</v>
      </c>
      <c r="G4420" s="14" t="s">
        <v>56</v>
      </c>
    </row>
    <row r="4421" spans="1:7">
      <c r="A4421">
        <v>44</v>
      </c>
      <c r="B4421">
        <v>5</v>
      </c>
      <c r="C4421">
        <v>1</v>
      </c>
      <c r="E4421">
        <v>1</v>
      </c>
      <c r="F4421" t="str">
        <f t="shared" si="69"/>
        <v>F445G1T1</v>
      </c>
      <c r="G4421" s="14" t="s">
        <v>56</v>
      </c>
    </row>
    <row r="4422" spans="1:7">
      <c r="A4422">
        <v>44</v>
      </c>
      <c r="B4422">
        <v>6</v>
      </c>
      <c r="C4422">
        <v>1</v>
      </c>
      <c r="E4422">
        <v>1</v>
      </c>
      <c r="F4422" t="str">
        <f t="shared" si="69"/>
        <v>F446G1T1</v>
      </c>
      <c r="G4422" s="14" t="s">
        <v>56</v>
      </c>
    </row>
    <row r="4423" spans="1:7">
      <c r="A4423">
        <v>44</v>
      </c>
      <c r="B4423">
        <v>7</v>
      </c>
      <c r="C4423">
        <v>1</v>
      </c>
      <c r="E4423">
        <v>1</v>
      </c>
      <c r="F4423" t="str">
        <f t="shared" si="69"/>
        <v>F447G1T1</v>
      </c>
      <c r="G4423" s="14" t="s">
        <v>56</v>
      </c>
    </row>
    <row r="4424" spans="1:7">
      <c r="A4424">
        <v>44</v>
      </c>
      <c r="B4424">
        <v>8</v>
      </c>
      <c r="C4424">
        <v>1</v>
      </c>
      <c r="E4424">
        <v>1</v>
      </c>
      <c r="F4424" t="str">
        <f t="shared" si="69"/>
        <v>F448G1T1</v>
      </c>
      <c r="G4424" s="14" t="s">
        <v>56</v>
      </c>
    </row>
    <row r="4425" spans="1:7">
      <c r="A4425">
        <v>44</v>
      </c>
      <c r="B4425">
        <v>1</v>
      </c>
      <c r="C4425">
        <v>1</v>
      </c>
      <c r="E4425">
        <v>4</v>
      </c>
      <c r="F4425" t="str">
        <f t="shared" si="69"/>
        <v>F441G1T4</v>
      </c>
      <c r="G4425" s="14" t="s">
        <v>56</v>
      </c>
    </row>
    <row r="4426" spans="1:7">
      <c r="A4426">
        <v>44</v>
      </c>
      <c r="B4426">
        <v>2</v>
      </c>
      <c r="C4426">
        <v>1</v>
      </c>
      <c r="E4426">
        <v>4</v>
      </c>
      <c r="F4426" t="str">
        <f t="shared" si="69"/>
        <v>F442G1T4</v>
      </c>
      <c r="G4426" s="14" t="s">
        <v>56</v>
      </c>
    </row>
    <row r="4427" spans="1:7">
      <c r="A4427">
        <v>44</v>
      </c>
      <c r="B4427">
        <v>4</v>
      </c>
      <c r="C4427">
        <v>1</v>
      </c>
      <c r="E4427">
        <v>4</v>
      </c>
      <c r="F4427" t="str">
        <f t="shared" si="69"/>
        <v>F444G1T4</v>
      </c>
      <c r="G4427" s="14" t="s">
        <v>56</v>
      </c>
    </row>
    <row r="4428" spans="1:7">
      <c r="A4428">
        <v>44</v>
      </c>
      <c r="B4428">
        <v>5</v>
      </c>
      <c r="C4428">
        <v>1</v>
      </c>
      <c r="E4428">
        <v>4</v>
      </c>
      <c r="F4428" t="str">
        <f t="shared" si="69"/>
        <v>F445G1T4</v>
      </c>
      <c r="G4428" s="14" t="s">
        <v>56</v>
      </c>
    </row>
    <row r="4429" spans="1:7">
      <c r="A4429">
        <v>44</v>
      </c>
      <c r="B4429">
        <v>6</v>
      </c>
      <c r="C4429">
        <v>1</v>
      </c>
      <c r="E4429">
        <v>4</v>
      </c>
      <c r="F4429" t="str">
        <f t="shared" si="69"/>
        <v>F446G1T4</v>
      </c>
      <c r="G4429" s="14" t="s">
        <v>56</v>
      </c>
    </row>
    <row r="4430" spans="1:7">
      <c r="A4430">
        <v>44</v>
      </c>
      <c r="B4430">
        <v>7</v>
      </c>
      <c r="C4430">
        <v>1</v>
      </c>
      <c r="E4430">
        <v>4</v>
      </c>
      <c r="F4430" t="str">
        <f t="shared" si="69"/>
        <v>F447G1T4</v>
      </c>
      <c r="G4430" s="14" t="s">
        <v>56</v>
      </c>
    </row>
    <row r="4431" spans="1:7">
      <c r="A4431">
        <v>44</v>
      </c>
      <c r="B4431">
        <v>8</v>
      </c>
      <c r="C4431">
        <v>1</v>
      </c>
      <c r="E4431">
        <v>4</v>
      </c>
      <c r="F4431" t="str">
        <f t="shared" si="69"/>
        <v>F448G1T4</v>
      </c>
      <c r="G4431" s="14" t="s">
        <v>56</v>
      </c>
    </row>
    <row r="4432" spans="1:7">
      <c r="A4432">
        <v>44</v>
      </c>
      <c r="B4432">
        <v>1</v>
      </c>
      <c r="C4432">
        <v>1</v>
      </c>
      <c r="E4432">
        <v>3</v>
      </c>
      <c r="F4432" t="str">
        <f t="shared" si="69"/>
        <v>F441G1T3</v>
      </c>
      <c r="G4432" s="14" t="s">
        <v>322</v>
      </c>
    </row>
    <row r="4433" spans="1:7">
      <c r="A4433">
        <v>44</v>
      </c>
      <c r="B4433">
        <v>2</v>
      </c>
      <c r="C4433">
        <v>1</v>
      </c>
      <c r="E4433">
        <v>3</v>
      </c>
      <c r="F4433" t="str">
        <f t="shared" si="69"/>
        <v>F442G1T3</v>
      </c>
      <c r="G4433" s="14" t="s">
        <v>322</v>
      </c>
    </row>
    <row r="4434" spans="1:7">
      <c r="A4434">
        <v>44</v>
      </c>
      <c r="B4434">
        <v>5</v>
      </c>
      <c r="C4434">
        <v>1</v>
      </c>
      <c r="E4434">
        <v>3</v>
      </c>
      <c r="F4434" t="str">
        <f t="shared" si="69"/>
        <v>F445G1T3</v>
      </c>
      <c r="G4434" s="14" t="s">
        <v>322</v>
      </c>
    </row>
    <row r="4435" spans="1:7">
      <c r="A4435">
        <v>44</v>
      </c>
      <c r="B4435">
        <v>6</v>
      </c>
      <c r="C4435">
        <v>1</v>
      </c>
      <c r="E4435">
        <v>3</v>
      </c>
      <c r="F4435" t="str">
        <f t="shared" si="69"/>
        <v>F446G1T3</v>
      </c>
      <c r="G4435" s="14" t="s">
        <v>322</v>
      </c>
    </row>
    <row r="4436" spans="1:7">
      <c r="A4436">
        <v>44</v>
      </c>
      <c r="B4436">
        <v>7</v>
      </c>
      <c r="C4436">
        <v>1</v>
      </c>
      <c r="E4436">
        <v>3</v>
      </c>
      <c r="F4436" t="str">
        <f t="shared" si="69"/>
        <v>F447G1T3</v>
      </c>
      <c r="G4436" s="14" t="s">
        <v>322</v>
      </c>
    </row>
    <row r="4437" spans="1:7">
      <c r="A4437">
        <v>44</v>
      </c>
      <c r="B4437">
        <v>8</v>
      </c>
      <c r="C4437">
        <v>1</v>
      </c>
      <c r="E4437">
        <v>3</v>
      </c>
      <c r="F4437" t="str">
        <f t="shared" si="69"/>
        <v>F448G1T3</v>
      </c>
      <c r="G4437" s="14" t="s">
        <v>322</v>
      </c>
    </row>
    <row r="4438" spans="1:7">
      <c r="A4438">
        <v>44</v>
      </c>
      <c r="B4438">
        <v>1</v>
      </c>
      <c r="C4438">
        <v>1</v>
      </c>
      <c r="E4438">
        <v>2</v>
      </c>
      <c r="F4438" t="str">
        <f t="shared" si="69"/>
        <v>F441G1T2</v>
      </c>
      <c r="G4438" s="14" t="s">
        <v>62</v>
      </c>
    </row>
    <row r="4439" spans="1:7">
      <c r="A4439">
        <v>44</v>
      </c>
      <c r="B4439">
        <v>2</v>
      </c>
      <c r="C4439">
        <v>1</v>
      </c>
      <c r="E4439">
        <v>2</v>
      </c>
      <c r="F4439" t="str">
        <f t="shared" si="69"/>
        <v>F442G1T2</v>
      </c>
      <c r="G4439" s="14" t="s">
        <v>62</v>
      </c>
    </row>
    <row r="4440" spans="1:7">
      <c r="A4440">
        <v>44</v>
      </c>
      <c r="B4440">
        <v>5</v>
      </c>
      <c r="C4440">
        <v>1</v>
      </c>
      <c r="E4440">
        <v>2</v>
      </c>
      <c r="F4440" t="str">
        <f t="shared" si="69"/>
        <v>F445G1T2</v>
      </c>
      <c r="G4440" s="14" t="s">
        <v>62</v>
      </c>
    </row>
    <row r="4441" spans="1:7">
      <c r="A4441">
        <v>44</v>
      </c>
      <c r="B4441">
        <v>6</v>
      </c>
      <c r="C4441">
        <v>1</v>
      </c>
      <c r="E4441">
        <v>2</v>
      </c>
      <c r="F4441" t="str">
        <f t="shared" si="69"/>
        <v>F446G1T2</v>
      </c>
      <c r="G4441" s="14" t="s">
        <v>62</v>
      </c>
    </row>
    <row r="4442" spans="1:7">
      <c r="A4442">
        <v>44</v>
      </c>
      <c r="B4442">
        <v>7</v>
      </c>
      <c r="C4442">
        <v>1</v>
      </c>
      <c r="E4442">
        <v>2</v>
      </c>
      <c r="F4442" t="str">
        <f t="shared" si="69"/>
        <v>F447G1T2</v>
      </c>
      <c r="G4442" s="14" t="s">
        <v>62</v>
      </c>
    </row>
    <row r="4443" spans="1:7">
      <c r="A4443">
        <v>44</v>
      </c>
      <c r="B4443">
        <v>8</v>
      </c>
      <c r="C4443">
        <v>1</v>
      </c>
      <c r="E4443">
        <v>2</v>
      </c>
      <c r="F4443" t="str">
        <f t="shared" si="69"/>
        <v>F448G1T2</v>
      </c>
      <c r="G4443" s="14" t="s">
        <v>62</v>
      </c>
    </row>
    <row r="4444" spans="1:7">
      <c r="A4444">
        <v>44</v>
      </c>
      <c r="B4444">
        <v>1</v>
      </c>
      <c r="C4444">
        <v>3</v>
      </c>
      <c r="E4444">
        <v>1</v>
      </c>
      <c r="F4444" t="str">
        <f t="shared" si="69"/>
        <v>F441G3T1</v>
      </c>
      <c r="G4444" s="14" t="s">
        <v>323</v>
      </c>
    </row>
    <row r="4445" spans="1:7">
      <c r="A4445">
        <v>44</v>
      </c>
      <c r="B4445">
        <v>2</v>
      </c>
      <c r="C4445">
        <v>3</v>
      </c>
      <c r="E4445">
        <v>1</v>
      </c>
      <c r="F4445" t="str">
        <f t="shared" si="69"/>
        <v>F442G3T1</v>
      </c>
      <c r="G4445" s="14" t="s">
        <v>323</v>
      </c>
    </row>
    <row r="4446" spans="1:7">
      <c r="A4446">
        <v>44</v>
      </c>
      <c r="B4446">
        <v>4</v>
      </c>
      <c r="C4446">
        <v>3</v>
      </c>
      <c r="E4446">
        <v>1</v>
      </c>
      <c r="F4446" t="str">
        <f t="shared" si="69"/>
        <v>F444G3T1</v>
      </c>
      <c r="G4446" s="14" t="s">
        <v>323</v>
      </c>
    </row>
    <row r="4447" spans="1:7">
      <c r="A4447">
        <v>44</v>
      </c>
      <c r="B4447">
        <v>5</v>
      </c>
      <c r="C4447">
        <v>3</v>
      </c>
      <c r="E4447">
        <v>1</v>
      </c>
      <c r="F4447" t="str">
        <f t="shared" si="69"/>
        <v>F445G3T1</v>
      </c>
      <c r="G4447" s="14" t="s">
        <v>323</v>
      </c>
    </row>
    <row r="4448" spans="1:7">
      <c r="A4448">
        <v>44</v>
      </c>
      <c r="B4448">
        <v>6</v>
      </c>
      <c r="C4448">
        <v>3</v>
      </c>
      <c r="E4448">
        <v>1</v>
      </c>
      <c r="F4448" t="str">
        <f t="shared" si="69"/>
        <v>F446G3T1</v>
      </c>
      <c r="G4448" s="14" t="s">
        <v>323</v>
      </c>
    </row>
    <row r="4449" spans="1:7">
      <c r="A4449">
        <v>44</v>
      </c>
      <c r="B4449">
        <v>7</v>
      </c>
      <c r="C4449">
        <v>3</v>
      </c>
      <c r="E4449">
        <v>1</v>
      </c>
      <c r="F4449" t="str">
        <f t="shared" si="69"/>
        <v>F447G3T1</v>
      </c>
      <c r="G4449" s="14" t="s">
        <v>323</v>
      </c>
    </row>
    <row r="4450" spans="1:7">
      <c r="A4450">
        <v>44</v>
      </c>
      <c r="B4450">
        <v>1</v>
      </c>
      <c r="C4450">
        <v>4</v>
      </c>
      <c r="E4450">
        <v>1</v>
      </c>
      <c r="F4450" t="str">
        <f t="shared" si="69"/>
        <v>F441G4T1</v>
      </c>
      <c r="G4450" s="14" t="s">
        <v>323</v>
      </c>
    </row>
    <row r="4451" spans="1:7">
      <c r="A4451">
        <v>44</v>
      </c>
      <c r="B4451">
        <v>2</v>
      </c>
      <c r="C4451">
        <v>4</v>
      </c>
      <c r="E4451">
        <v>1</v>
      </c>
      <c r="F4451" t="str">
        <f t="shared" si="69"/>
        <v>F442G4T1</v>
      </c>
      <c r="G4451" s="14" t="s">
        <v>323</v>
      </c>
    </row>
    <row r="4452" spans="1:7">
      <c r="A4452">
        <v>44</v>
      </c>
      <c r="B4452">
        <v>4</v>
      </c>
      <c r="C4452">
        <v>4</v>
      </c>
      <c r="E4452">
        <v>1</v>
      </c>
      <c r="F4452" t="str">
        <f t="shared" si="69"/>
        <v>F444G4T1</v>
      </c>
      <c r="G4452" s="14" t="s">
        <v>323</v>
      </c>
    </row>
    <row r="4453" spans="1:7">
      <c r="A4453">
        <v>44</v>
      </c>
      <c r="B4453">
        <v>5</v>
      </c>
      <c r="C4453">
        <v>4</v>
      </c>
      <c r="E4453">
        <v>1</v>
      </c>
      <c r="F4453" t="str">
        <f t="shared" si="69"/>
        <v>F445G4T1</v>
      </c>
      <c r="G4453" s="14" t="s">
        <v>323</v>
      </c>
    </row>
    <row r="4454" spans="1:7">
      <c r="A4454">
        <v>44</v>
      </c>
      <c r="B4454">
        <v>6</v>
      </c>
      <c r="C4454">
        <v>4</v>
      </c>
      <c r="E4454">
        <v>1</v>
      </c>
      <c r="F4454" t="str">
        <f t="shared" si="69"/>
        <v>F446G4T1</v>
      </c>
      <c r="G4454" s="14" t="s">
        <v>323</v>
      </c>
    </row>
    <row r="4455" spans="1:7">
      <c r="A4455">
        <v>44</v>
      </c>
      <c r="B4455">
        <v>7</v>
      </c>
      <c r="C4455">
        <v>4</v>
      </c>
      <c r="E4455">
        <v>1</v>
      </c>
      <c r="F4455" t="str">
        <f t="shared" si="69"/>
        <v>F447G4T1</v>
      </c>
      <c r="G4455" s="14" t="s">
        <v>323</v>
      </c>
    </row>
    <row r="4456" spans="1:7">
      <c r="A4456">
        <v>44</v>
      </c>
      <c r="B4456">
        <v>1</v>
      </c>
      <c r="C4456">
        <v>5</v>
      </c>
      <c r="E4456">
        <v>1</v>
      </c>
      <c r="F4456" t="str">
        <f t="shared" si="69"/>
        <v>F441G5T1</v>
      </c>
      <c r="G4456" s="14" t="s">
        <v>323</v>
      </c>
    </row>
    <row r="4457" spans="1:7">
      <c r="A4457">
        <v>44</v>
      </c>
      <c r="B4457">
        <v>2</v>
      </c>
      <c r="C4457">
        <v>5</v>
      </c>
      <c r="E4457">
        <v>1</v>
      </c>
      <c r="F4457" t="str">
        <f t="shared" si="69"/>
        <v>F442G5T1</v>
      </c>
      <c r="G4457" s="14" t="s">
        <v>323</v>
      </c>
    </row>
    <row r="4458" spans="1:7">
      <c r="A4458">
        <v>44</v>
      </c>
      <c r="B4458">
        <v>4</v>
      </c>
      <c r="C4458">
        <v>5</v>
      </c>
      <c r="E4458">
        <v>1</v>
      </c>
      <c r="F4458" t="str">
        <f t="shared" si="69"/>
        <v>F444G5T1</v>
      </c>
      <c r="G4458" s="14" t="s">
        <v>323</v>
      </c>
    </row>
    <row r="4459" spans="1:7">
      <c r="A4459">
        <v>44</v>
      </c>
      <c r="B4459">
        <v>5</v>
      </c>
      <c r="C4459">
        <v>5</v>
      </c>
      <c r="E4459">
        <v>1</v>
      </c>
      <c r="F4459" t="str">
        <f t="shared" si="69"/>
        <v>F445G5T1</v>
      </c>
      <c r="G4459" s="14" t="s">
        <v>323</v>
      </c>
    </row>
    <row r="4460" spans="1:7">
      <c r="A4460">
        <v>44</v>
      </c>
      <c r="B4460">
        <v>6</v>
      </c>
      <c r="C4460">
        <v>5</v>
      </c>
      <c r="E4460">
        <v>1</v>
      </c>
      <c r="F4460" t="str">
        <f t="shared" si="69"/>
        <v>F446G5T1</v>
      </c>
      <c r="G4460" s="14" t="s">
        <v>323</v>
      </c>
    </row>
    <row r="4461" spans="1:7">
      <c r="A4461">
        <v>44</v>
      </c>
      <c r="B4461">
        <v>7</v>
      </c>
      <c r="C4461">
        <v>5</v>
      </c>
      <c r="E4461">
        <v>1</v>
      </c>
      <c r="F4461" t="str">
        <f t="shared" si="69"/>
        <v>F447G5T1</v>
      </c>
      <c r="G4461" s="14" t="s">
        <v>323</v>
      </c>
    </row>
    <row r="4462" spans="1:7">
      <c r="A4462">
        <v>44</v>
      </c>
      <c r="B4462">
        <v>1</v>
      </c>
      <c r="C4462">
        <v>3</v>
      </c>
      <c r="E4462">
        <v>4</v>
      </c>
      <c r="F4462" t="str">
        <f t="shared" si="69"/>
        <v>F441G3T4</v>
      </c>
      <c r="G4462" s="14" t="s">
        <v>323</v>
      </c>
    </row>
    <row r="4463" spans="1:7">
      <c r="A4463">
        <v>44</v>
      </c>
      <c r="B4463">
        <v>2</v>
      </c>
      <c r="C4463">
        <v>3</v>
      </c>
      <c r="E4463">
        <v>4</v>
      </c>
      <c r="F4463" t="str">
        <f t="shared" si="69"/>
        <v>F442G3T4</v>
      </c>
      <c r="G4463" s="14" t="s">
        <v>323</v>
      </c>
    </row>
    <row r="4464" spans="1:7">
      <c r="A4464">
        <v>44</v>
      </c>
      <c r="B4464">
        <v>4</v>
      </c>
      <c r="C4464">
        <v>3</v>
      </c>
      <c r="E4464">
        <v>4</v>
      </c>
      <c r="F4464" t="str">
        <f t="shared" si="69"/>
        <v>F444G3T4</v>
      </c>
      <c r="G4464" s="14" t="s">
        <v>323</v>
      </c>
    </row>
    <row r="4465" spans="1:7">
      <c r="A4465">
        <v>44</v>
      </c>
      <c r="B4465">
        <v>5</v>
      </c>
      <c r="C4465">
        <v>3</v>
      </c>
      <c r="E4465">
        <v>4</v>
      </c>
      <c r="F4465" t="str">
        <f t="shared" si="69"/>
        <v>F445G3T4</v>
      </c>
      <c r="G4465" s="14" t="s">
        <v>323</v>
      </c>
    </row>
    <row r="4466" spans="1:7">
      <c r="A4466">
        <v>44</v>
      </c>
      <c r="B4466">
        <v>6</v>
      </c>
      <c r="C4466">
        <v>3</v>
      </c>
      <c r="E4466">
        <v>4</v>
      </c>
      <c r="F4466" t="str">
        <f t="shared" si="69"/>
        <v>F446G3T4</v>
      </c>
      <c r="G4466" s="14" t="s">
        <v>323</v>
      </c>
    </row>
    <row r="4467" spans="1:7">
      <c r="A4467">
        <v>44</v>
      </c>
      <c r="B4467">
        <v>7</v>
      </c>
      <c r="C4467">
        <v>3</v>
      </c>
      <c r="E4467">
        <v>4</v>
      </c>
      <c r="F4467" t="str">
        <f t="shared" si="69"/>
        <v>F447G3T4</v>
      </c>
      <c r="G4467" s="14" t="s">
        <v>323</v>
      </c>
    </row>
    <row r="4468" spans="1:7">
      <c r="A4468">
        <v>44</v>
      </c>
      <c r="B4468">
        <v>1</v>
      </c>
      <c r="C4468">
        <v>4</v>
      </c>
      <c r="E4468">
        <v>4</v>
      </c>
      <c r="F4468" t="str">
        <f t="shared" si="69"/>
        <v>F441G4T4</v>
      </c>
      <c r="G4468" s="14" t="s">
        <v>323</v>
      </c>
    </row>
    <row r="4469" spans="1:7">
      <c r="A4469">
        <v>44</v>
      </c>
      <c r="B4469">
        <v>2</v>
      </c>
      <c r="C4469">
        <v>4</v>
      </c>
      <c r="E4469">
        <v>4</v>
      </c>
      <c r="F4469" t="str">
        <f t="shared" si="69"/>
        <v>F442G4T4</v>
      </c>
      <c r="G4469" s="14" t="s">
        <v>323</v>
      </c>
    </row>
    <row r="4470" spans="1:7">
      <c r="A4470">
        <v>44</v>
      </c>
      <c r="B4470">
        <v>4</v>
      </c>
      <c r="C4470">
        <v>4</v>
      </c>
      <c r="E4470">
        <v>4</v>
      </c>
      <c r="F4470" t="str">
        <f t="shared" si="69"/>
        <v>F444G4T4</v>
      </c>
      <c r="G4470" s="14" t="s">
        <v>323</v>
      </c>
    </row>
    <row r="4471" spans="1:7">
      <c r="A4471">
        <v>44</v>
      </c>
      <c r="B4471">
        <v>5</v>
      </c>
      <c r="C4471">
        <v>4</v>
      </c>
      <c r="E4471">
        <v>4</v>
      </c>
      <c r="F4471" t="str">
        <f t="shared" si="69"/>
        <v>F445G4T4</v>
      </c>
      <c r="G4471" s="14" t="s">
        <v>323</v>
      </c>
    </row>
    <row r="4472" spans="1:7">
      <c r="A4472">
        <v>44</v>
      </c>
      <c r="B4472">
        <v>6</v>
      </c>
      <c r="C4472">
        <v>4</v>
      </c>
      <c r="E4472">
        <v>4</v>
      </c>
      <c r="F4472" t="str">
        <f t="shared" si="69"/>
        <v>F446G4T4</v>
      </c>
      <c r="G4472" s="14" t="s">
        <v>323</v>
      </c>
    </row>
    <row r="4473" spans="1:7">
      <c r="A4473">
        <v>44</v>
      </c>
      <c r="B4473">
        <v>7</v>
      </c>
      <c r="C4473">
        <v>4</v>
      </c>
      <c r="E4473">
        <v>4</v>
      </c>
      <c r="F4473" t="str">
        <f t="shared" si="69"/>
        <v>F447G4T4</v>
      </c>
      <c r="G4473" s="14" t="s">
        <v>323</v>
      </c>
    </row>
    <row r="4474" spans="1:7">
      <c r="A4474">
        <v>44</v>
      </c>
      <c r="B4474">
        <v>1</v>
      </c>
      <c r="C4474">
        <v>5</v>
      </c>
      <c r="E4474">
        <v>4</v>
      </c>
      <c r="F4474" t="str">
        <f t="shared" si="69"/>
        <v>F441G5T4</v>
      </c>
      <c r="G4474" s="14" t="s">
        <v>323</v>
      </c>
    </row>
    <row r="4475" spans="1:7">
      <c r="A4475">
        <v>44</v>
      </c>
      <c r="B4475">
        <v>2</v>
      </c>
      <c r="C4475">
        <v>5</v>
      </c>
      <c r="E4475">
        <v>4</v>
      </c>
      <c r="F4475" t="str">
        <f t="shared" si="69"/>
        <v>F442G5T4</v>
      </c>
      <c r="G4475" s="14" t="s">
        <v>323</v>
      </c>
    </row>
    <row r="4476" spans="1:7">
      <c r="A4476">
        <v>44</v>
      </c>
      <c r="B4476">
        <v>4</v>
      </c>
      <c r="C4476">
        <v>5</v>
      </c>
      <c r="E4476">
        <v>4</v>
      </c>
      <c r="F4476" t="str">
        <f t="shared" si="69"/>
        <v>F444G5T4</v>
      </c>
      <c r="G4476" s="14" t="s">
        <v>323</v>
      </c>
    </row>
    <row r="4477" spans="1:7">
      <c r="A4477">
        <v>44</v>
      </c>
      <c r="B4477">
        <v>5</v>
      </c>
      <c r="C4477">
        <v>5</v>
      </c>
      <c r="E4477">
        <v>4</v>
      </c>
      <c r="F4477" t="str">
        <f t="shared" si="69"/>
        <v>F445G5T4</v>
      </c>
      <c r="G4477" s="14" t="s">
        <v>323</v>
      </c>
    </row>
    <row r="4478" spans="1:7">
      <c r="A4478">
        <v>44</v>
      </c>
      <c r="B4478">
        <v>6</v>
      </c>
      <c r="C4478">
        <v>5</v>
      </c>
      <c r="E4478">
        <v>4</v>
      </c>
      <c r="F4478" t="str">
        <f t="shared" si="69"/>
        <v>F446G5T4</v>
      </c>
      <c r="G4478" s="14" t="s">
        <v>323</v>
      </c>
    </row>
    <row r="4479" spans="1:7">
      <c r="A4479">
        <v>44</v>
      </c>
      <c r="B4479">
        <v>7</v>
      </c>
      <c r="C4479">
        <v>5</v>
      </c>
      <c r="E4479">
        <v>4</v>
      </c>
      <c r="F4479" t="str">
        <f t="shared" si="69"/>
        <v>F447G5T4</v>
      </c>
      <c r="G4479" s="14" t="s">
        <v>323</v>
      </c>
    </row>
    <row r="4480" spans="1:7">
      <c r="A4480">
        <v>44</v>
      </c>
      <c r="B4480">
        <v>1</v>
      </c>
      <c r="C4480">
        <v>3</v>
      </c>
      <c r="E4480">
        <v>2</v>
      </c>
      <c r="F4480" t="str">
        <f t="shared" si="69"/>
        <v>F441G3T2</v>
      </c>
      <c r="G4480" s="14" t="s">
        <v>70</v>
      </c>
    </row>
    <row r="4481" spans="1:7">
      <c r="A4481">
        <v>44</v>
      </c>
      <c r="B4481">
        <v>2</v>
      </c>
      <c r="C4481">
        <v>3</v>
      </c>
      <c r="E4481">
        <v>2</v>
      </c>
      <c r="F4481" t="str">
        <f t="shared" si="69"/>
        <v>F442G3T2</v>
      </c>
      <c r="G4481" s="14" t="s">
        <v>70</v>
      </c>
    </row>
    <row r="4482" spans="1:7">
      <c r="A4482">
        <v>44</v>
      </c>
      <c r="B4482">
        <v>5</v>
      </c>
      <c r="C4482">
        <v>3</v>
      </c>
      <c r="E4482">
        <v>2</v>
      </c>
      <c r="F4482" t="str">
        <f t="shared" si="69"/>
        <v>F445G3T2</v>
      </c>
      <c r="G4482" s="14" t="s">
        <v>70</v>
      </c>
    </row>
    <row r="4483" spans="1:7">
      <c r="A4483">
        <v>44</v>
      </c>
      <c r="B4483">
        <v>6</v>
      </c>
      <c r="C4483">
        <v>3</v>
      </c>
      <c r="E4483">
        <v>2</v>
      </c>
      <c r="F4483" t="str">
        <f t="shared" ref="F4483:F4546" si="70">CONCATENATE("F",A4483,B4483,"G",C4483,"T",E4483)</f>
        <v>F446G3T2</v>
      </c>
      <c r="G4483" s="14" t="s">
        <v>70</v>
      </c>
    </row>
    <row r="4484" spans="1:7">
      <c r="A4484">
        <v>44</v>
      </c>
      <c r="B4484">
        <v>7</v>
      </c>
      <c r="C4484">
        <v>3</v>
      </c>
      <c r="E4484">
        <v>2</v>
      </c>
      <c r="F4484" t="str">
        <f t="shared" si="70"/>
        <v>F447G3T2</v>
      </c>
      <c r="G4484" s="14" t="s">
        <v>70</v>
      </c>
    </row>
    <row r="4485" spans="1:7">
      <c r="A4485">
        <v>44</v>
      </c>
      <c r="B4485">
        <v>1</v>
      </c>
      <c r="C4485">
        <v>4</v>
      </c>
      <c r="E4485">
        <v>2</v>
      </c>
      <c r="F4485" t="str">
        <f t="shared" si="70"/>
        <v>F441G4T2</v>
      </c>
      <c r="G4485" s="14" t="s">
        <v>70</v>
      </c>
    </row>
    <row r="4486" spans="1:7">
      <c r="A4486">
        <v>44</v>
      </c>
      <c r="B4486">
        <v>2</v>
      </c>
      <c r="C4486">
        <v>4</v>
      </c>
      <c r="E4486">
        <v>2</v>
      </c>
      <c r="F4486" t="str">
        <f t="shared" si="70"/>
        <v>F442G4T2</v>
      </c>
      <c r="G4486" s="14" t="s">
        <v>70</v>
      </c>
    </row>
    <row r="4487" spans="1:7">
      <c r="A4487">
        <v>44</v>
      </c>
      <c r="B4487">
        <v>5</v>
      </c>
      <c r="C4487">
        <v>4</v>
      </c>
      <c r="E4487">
        <v>2</v>
      </c>
      <c r="F4487" t="str">
        <f t="shared" si="70"/>
        <v>F445G4T2</v>
      </c>
      <c r="G4487" s="14" t="s">
        <v>70</v>
      </c>
    </row>
    <row r="4488" spans="1:7">
      <c r="A4488">
        <v>44</v>
      </c>
      <c r="B4488">
        <v>6</v>
      </c>
      <c r="C4488">
        <v>4</v>
      </c>
      <c r="E4488">
        <v>2</v>
      </c>
      <c r="F4488" t="str">
        <f t="shared" si="70"/>
        <v>F446G4T2</v>
      </c>
      <c r="G4488" s="14" t="s">
        <v>70</v>
      </c>
    </row>
    <row r="4489" spans="1:7">
      <c r="A4489">
        <v>44</v>
      </c>
      <c r="B4489">
        <v>7</v>
      </c>
      <c r="C4489">
        <v>4</v>
      </c>
      <c r="E4489">
        <v>2</v>
      </c>
      <c r="F4489" t="str">
        <f t="shared" si="70"/>
        <v>F447G4T2</v>
      </c>
      <c r="G4489" s="14" t="s">
        <v>70</v>
      </c>
    </row>
    <row r="4490" spans="1:7">
      <c r="A4490">
        <v>44</v>
      </c>
      <c r="B4490">
        <v>1</v>
      </c>
      <c r="C4490">
        <v>5</v>
      </c>
      <c r="E4490">
        <v>2</v>
      </c>
      <c r="F4490" t="str">
        <f t="shared" si="70"/>
        <v>F441G5T2</v>
      </c>
      <c r="G4490" s="14" t="s">
        <v>70</v>
      </c>
    </row>
    <row r="4491" spans="1:7">
      <c r="A4491">
        <v>44</v>
      </c>
      <c r="B4491">
        <v>2</v>
      </c>
      <c r="C4491">
        <v>5</v>
      </c>
      <c r="E4491">
        <v>2</v>
      </c>
      <c r="F4491" t="str">
        <f t="shared" si="70"/>
        <v>F442G5T2</v>
      </c>
      <c r="G4491" s="14" t="s">
        <v>70</v>
      </c>
    </row>
    <row r="4492" spans="1:7">
      <c r="A4492">
        <v>44</v>
      </c>
      <c r="B4492">
        <v>5</v>
      </c>
      <c r="C4492">
        <v>5</v>
      </c>
      <c r="E4492">
        <v>2</v>
      </c>
      <c r="F4492" t="str">
        <f t="shared" si="70"/>
        <v>F445G5T2</v>
      </c>
      <c r="G4492" s="14" t="s">
        <v>70</v>
      </c>
    </row>
    <row r="4493" spans="1:7">
      <c r="A4493">
        <v>44</v>
      </c>
      <c r="B4493">
        <v>6</v>
      </c>
      <c r="C4493">
        <v>5</v>
      </c>
      <c r="E4493">
        <v>2</v>
      </c>
      <c r="F4493" t="str">
        <f t="shared" si="70"/>
        <v>F446G5T2</v>
      </c>
      <c r="G4493" s="14" t="s">
        <v>70</v>
      </c>
    </row>
    <row r="4494" spans="1:7">
      <c r="A4494">
        <v>44</v>
      </c>
      <c r="B4494">
        <v>7</v>
      </c>
      <c r="C4494">
        <v>5</v>
      </c>
      <c r="E4494">
        <v>2</v>
      </c>
      <c r="F4494" t="str">
        <f t="shared" si="70"/>
        <v>F447G5T2</v>
      </c>
      <c r="G4494" s="14" t="s">
        <v>70</v>
      </c>
    </row>
    <row r="4495" spans="1:7">
      <c r="A4495">
        <v>44</v>
      </c>
      <c r="B4495">
        <v>1</v>
      </c>
      <c r="C4495">
        <v>3</v>
      </c>
      <c r="E4495">
        <v>3</v>
      </c>
      <c r="F4495" t="str">
        <f t="shared" si="70"/>
        <v>F441G3T3</v>
      </c>
      <c r="G4495" s="14" t="s">
        <v>324</v>
      </c>
    </row>
    <row r="4496" spans="1:7">
      <c r="A4496">
        <v>44</v>
      </c>
      <c r="B4496">
        <v>2</v>
      </c>
      <c r="C4496">
        <v>3</v>
      </c>
      <c r="E4496">
        <v>3</v>
      </c>
      <c r="F4496" t="str">
        <f t="shared" si="70"/>
        <v>F442G3T3</v>
      </c>
      <c r="G4496" s="14" t="s">
        <v>324</v>
      </c>
    </row>
    <row r="4497" spans="1:7">
      <c r="A4497">
        <v>44</v>
      </c>
      <c r="B4497">
        <v>5</v>
      </c>
      <c r="C4497">
        <v>3</v>
      </c>
      <c r="E4497">
        <v>3</v>
      </c>
      <c r="F4497" t="str">
        <f t="shared" si="70"/>
        <v>F445G3T3</v>
      </c>
      <c r="G4497" s="14" t="s">
        <v>324</v>
      </c>
    </row>
    <row r="4498" spans="1:7">
      <c r="A4498">
        <v>44</v>
      </c>
      <c r="B4498">
        <v>6</v>
      </c>
      <c r="C4498">
        <v>3</v>
      </c>
      <c r="E4498">
        <v>3</v>
      </c>
      <c r="F4498" t="str">
        <f t="shared" si="70"/>
        <v>F446G3T3</v>
      </c>
      <c r="G4498" s="14" t="s">
        <v>324</v>
      </c>
    </row>
    <row r="4499" spans="1:7">
      <c r="A4499">
        <v>44</v>
      </c>
      <c r="B4499">
        <v>7</v>
      </c>
      <c r="C4499">
        <v>3</v>
      </c>
      <c r="E4499">
        <v>3</v>
      </c>
      <c r="F4499" t="str">
        <f t="shared" si="70"/>
        <v>F447G3T3</v>
      </c>
      <c r="G4499" s="14" t="s">
        <v>324</v>
      </c>
    </row>
    <row r="4500" spans="1:7">
      <c r="A4500">
        <v>44</v>
      </c>
      <c r="B4500">
        <v>1</v>
      </c>
      <c r="C4500">
        <v>4</v>
      </c>
      <c r="E4500">
        <v>3</v>
      </c>
      <c r="F4500" t="str">
        <f t="shared" si="70"/>
        <v>F441G4T3</v>
      </c>
      <c r="G4500" s="14" t="s">
        <v>324</v>
      </c>
    </row>
    <row r="4501" spans="1:7">
      <c r="A4501">
        <v>44</v>
      </c>
      <c r="B4501">
        <v>2</v>
      </c>
      <c r="C4501">
        <v>4</v>
      </c>
      <c r="E4501">
        <v>3</v>
      </c>
      <c r="F4501" t="str">
        <f t="shared" si="70"/>
        <v>F442G4T3</v>
      </c>
      <c r="G4501" s="14" t="s">
        <v>324</v>
      </c>
    </row>
    <row r="4502" spans="1:7">
      <c r="A4502">
        <v>44</v>
      </c>
      <c r="B4502">
        <v>5</v>
      </c>
      <c r="C4502">
        <v>4</v>
      </c>
      <c r="E4502">
        <v>3</v>
      </c>
      <c r="F4502" t="str">
        <f t="shared" si="70"/>
        <v>F445G4T3</v>
      </c>
      <c r="G4502" s="14" t="s">
        <v>324</v>
      </c>
    </row>
    <row r="4503" spans="1:7">
      <c r="A4503">
        <v>44</v>
      </c>
      <c r="B4503">
        <v>6</v>
      </c>
      <c r="C4503">
        <v>4</v>
      </c>
      <c r="E4503">
        <v>3</v>
      </c>
      <c r="F4503" t="str">
        <f t="shared" si="70"/>
        <v>F446G4T3</v>
      </c>
      <c r="G4503" s="14" t="s">
        <v>324</v>
      </c>
    </row>
    <row r="4504" spans="1:7">
      <c r="A4504">
        <v>44</v>
      </c>
      <c r="B4504">
        <v>7</v>
      </c>
      <c r="C4504">
        <v>4</v>
      </c>
      <c r="E4504">
        <v>3</v>
      </c>
      <c r="F4504" t="str">
        <f t="shared" si="70"/>
        <v>F447G4T3</v>
      </c>
      <c r="G4504" s="14" t="s">
        <v>324</v>
      </c>
    </row>
    <row r="4505" spans="1:7">
      <c r="A4505">
        <v>44</v>
      </c>
      <c r="B4505">
        <v>1</v>
      </c>
      <c r="C4505">
        <v>5</v>
      </c>
      <c r="E4505">
        <v>3</v>
      </c>
      <c r="F4505" t="str">
        <f t="shared" si="70"/>
        <v>F441G5T3</v>
      </c>
      <c r="G4505" s="14" t="s">
        <v>324</v>
      </c>
    </row>
    <row r="4506" spans="1:7">
      <c r="A4506">
        <v>44</v>
      </c>
      <c r="B4506">
        <v>2</v>
      </c>
      <c r="C4506">
        <v>5</v>
      </c>
      <c r="E4506">
        <v>3</v>
      </c>
      <c r="F4506" t="str">
        <f t="shared" si="70"/>
        <v>F442G5T3</v>
      </c>
      <c r="G4506" s="14" t="s">
        <v>324</v>
      </c>
    </row>
    <row r="4507" spans="1:7">
      <c r="A4507">
        <v>44</v>
      </c>
      <c r="B4507">
        <v>5</v>
      </c>
      <c r="C4507">
        <v>5</v>
      </c>
      <c r="E4507">
        <v>3</v>
      </c>
      <c r="F4507" t="str">
        <f t="shared" si="70"/>
        <v>F445G5T3</v>
      </c>
      <c r="G4507" s="14" t="s">
        <v>324</v>
      </c>
    </row>
    <row r="4508" spans="1:7">
      <c r="A4508">
        <v>44</v>
      </c>
      <c r="B4508">
        <v>6</v>
      </c>
      <c r="C4508">
        <v>5</v>
      </c>
      <c r="E4508">
        <v>3</v>
      </c>
      <c r="F4508" t="str">
        <f t="shared" si="70"/>
        <v>F446G5T3</v>
      </c>
      <c r="G4508" s="14" t="s">
        <v>324</v>
      </c>
    </row>
    <row r="4509" spans="1:7">
      <c r="A4509">
        <v>44</v>
      </c>
      <c r="B4509">
        <v>7</v>
      </c>
      <c r="C4509">
        <v>5</v>
      </c>
      <c r="E4509">
        <v>3</v>
      </c>
      <c r="F4509" t="str">
        <f t="shared" si="70"/>
        <v>F447G5T3</v>
      </c>
      <c r="G4509" s="14" t="s">
        <v>324</v>
      </c>
    </row>
    <row r="4510" spans="1:7">
      <c r="A4510">
        <v>44</v>
      </c>
      <c r="B4510">
        <v>9</v>
      </c>
      <c r="C4510">
        <v>3</v>
      </c>
      <c r="E4510">
        <v>1</v>
      </c>
      <c r="F4510" t="str">
        <f t="shared" si="70"/>
        <v>F449G3T1</v>
      </c>
      <c r="G4510" s="14" t="s">
        <v>325</v>
      </c>
    </row>
    <row r="4511" spans="1:7">
      <c r="A4511">
        <v>44</v>
      </c>
      <c r="B4511">
        <v>9</v>
      </c>
      <c r="C4511">
        <v>4</v>
      </c>
      <c r="E4511">
        <v>1</v>
      </c>
      <c r="F4511" t="str">
        <f t="shared" si="70"/>
        <v>F449G4T1</v>
      </c>
      <c r="G4511" s="14" t="s">
        <v>325</v>
      </c>
    </row>
    <row r="4512" spans="1:7">
      <c r="A4512">
        <v>44</v>
      </c>
      <c r="B4512">
        <v>9</v>
      </c>
      <c r="C4512">
        <v>1</v>
      </c>
      <c r="E4512">
        <v>1</v>
      </c>
      <c r="F4512" t="str">
        <f t="shared" si="70"/>
        <v>F449G1T1</v>
      </c>
      <c r="G4512" s="14" t="s">
        <v>325</v>
      </c>
    </row>
    <row r="4513" spans="1:7">
      <c r="A4513">
        <v>44</v>
      </c>
      <c r="B4513">
        <v>9</v>
      </c>
      <c r="C4513">
        <v>3</v>
      </c>
      <c r="E4513">
        <v>4</v>
      </c>
      <c r="F4513" t="str">
        <f t="shared" si="70"/>
        <v>F449G3T4</v>
      </c>
      <c r="G4513" s="14" t="s">
        <v>325</v>
      </c>
    </row>
    <row r="4514" spans="1:7">
      <c r="A4514">
        <v>44</v>
      </c>
      <c r="B4514">
        <v>9</v>
      </c>
      <c r="C4514">
        <v>4</v>
      </c>
      <c r="E4514">
        <v>4</v>
      </c>
      <c r="F4514" t="str">
        <f t="shared" si="70"/>
        <v>F449G4T4</v>
      </c>
      <c r="G4514" s="14" t="s">
        <v>325</v>
      </c>
    </row>
    <row r="4515" spans="1:7">
      <c r="A4515">
        <v>44</v>
      </c>
      <c r="B4515">
        <v>9</v>
      </c>
      <c r="C4515">
        <v>1</v>
      </c>
      <c r="E4515">
        <v>4</v>
      </c>
      <c r="F4515" t="str">
        <f t="shared" si="70"/>
        <v>F449G1T4</v>
      </c>
      <c r="G4515" s="14" t="s">
        <v>325</v>
      </c>
    </row>
    <row r="4516" spans="1:7">
      <c r="A4516">
        <v>44</v>
      </c>
      <c r="B4516">
        <v>9</v>
      </c>
      <c r="C4516">
        <v>3</v>
      </c>
      <c r="E4516">
        <v>3</v>
      </c>
      <c r="F4516" t="str">
        <f t="shared" si="70"/>
        <v>F449G3T3</v>
      </c>
      <c r="G4516" s="14" t="s">
        <v>326</v>
      </c>
    </row>
    <row r="4517" spans="1:7">
      <c r="A4517">
        <v>44</v>
      </c>
      <c r="B4517">
        <v>9</v>
      </c>
      <c r="C4517">
        <v>4</v>
      </c>
      <c r="E4517">
        <v>3</v>
      </c>
      <c r="F4517" t="str">
        <f t="shared" si="70"/>
        <v>F449G4T3</v>
      </c>
      <c r="G4517" s="14" t="s">
        <v>326</v>
      </c>
    </row>
    <row r="4518" spans="1:7">
      <c r="A4518">
        <v>44</v>
      </c>
      <c r="B4518">
        <v>9</v>
      </c>
      <c r="C4518">
        <v>1</v>
      </c>
      <c r="E4518">
        <v>3</v>
      </c>
      <c r="F4518" t="str">
        <f t="shared" si="70"/>
        <v>F449G1T3</v>
      </c>
      <c r="G4518" s="14" t="s">
        <v>326</v>
      </c>
    </row>
    <row r="4519" spans="1:7">
      <c r="A4519">
        <v>44</v>
      </c>
      <c r="B4519">
        <v>9</v>
      </c>
      <c r="C4519">
        <v>3</v>
      </c>
      <c r="E4519">
        <v>2</v>
      </c>
      <c r="F4519" t="str">
        <f t="shared" si="70"/>
        <v>F449G3T2</v>
      </c>
      <c r="G4519" s="14">
        <v>18</v>
      </c>
    </row>
    <row r="4520" spans="1:7">
      <c r="A4520">
        <v>44</v>
      </c>
      <c r="B4520">
        <v>9</v>
      </c>
      <c r="C4520">
        <v>4</v>
      </c>
      <c r="E4520">
        <v>2</v>
      </c>
      <c r="F4520" t="str">
        <f t="shared" si="70"/>
        <v>F449G4T2</v>
      </c>
      <c r="G4520" s="14">
        <v>18</v>
      </c>
    </row>
    <row r="4521" spans="1:7">
      <c r="A4521">
        <v>44</v>
      </c>
      <c r="B4521">
        <v>9</v>
      </c>
      <c r="C4521">
        <v>1</v>
      </c>
      <c r="E4521">
        <v>2</v>
      </c>
      <c r="F4521" t="str">
        <f t="shared" si="70"/>
        <v>F449G1T2</v>
      </c>
      <c r="G4521" s="14">
        <v>18</v>
      </c>
    </row>
    <row r="4522" spans="1:7">
      <c r="A4522">
        <v>80</v>
      </c>
      <c r="B4522">
        <v>1</v>
      </c>
      <c r="C4522">
        <v>1</v>
      </c>
      <c r="E4522">
        <v>1</v>
      </c>
      <c r="F4522" t="str">
        <f t="shared" si="70"/>
        <v>F801G1T1</v>
      </c>
      <c r="G4522" s="14" t="s">
        <v>56</v>
      </c>
    </row>
    <row r="4523" spans="1:7">
      <c r="A4523">
        <v>80</v>
      </c>
      <c r="B4523">
        <v>2</v>
      </c>
      <c r="C4523">
        <v>1</v>
      </c>
      <c r="E4523">
        <v>1</v>
      </c>
      <c r="F4523" t="str">
        <f t="shared" si="70"/>
        <v>F802G1T1</v>
      </c>
      <c r="G4523" s="14" t="s">
        <v>56</v>
      </c>
    </row>
    <row r="4524" spans="1:7">
      <c r="A4524">
        <v>80</v>
      </c>
      <c r="B4524">
        <v>4</v>
      </c>
      <c r="C4524">
        <v>1</v>
      </c>
      <c r="E4524">
        <v>1</v>
      </c>
      <c r="F4524" t="str">
        <f t="shared" si="70"/>
        <v>F804G1T1</v>
      </c>
      <c r="G4524" s="14" t="s">
        <v>56</v>
      </c>
    </row>
    <row r="4525" spans="1:7">
      <c r="A4525">
        <v>80</v>
      </c>
      <c r="B4525">
        <v>5</v>
      </c>
      <c r="C4525">
        <v>1</v>
      </c>
      <c r="E4525">
        <v>1</v>
      </c>
      <c r="F4525" t="str">
        <f t="shared" si="70"/>
        <v>F805G1T1</v>
      </c>
      <c r="G4525" s="14" t="s">
        <v>56</v>
      </c>
    </row>
    <row r="4526" spans="1:7">
      <c r="A4526">
        <v>80</v>
      </c>
      <c r="B4526">
        <v>6</v>
      </c>
      <c r="C4526">
        <v>1</v>
      </c>
      <c r="E4526">
        <v>1</v>
      </c>
      <c r="F4526" t="str">
        <f t="shared" si="70"/>
        <v>F806G1T1</v>
      </c>
      <c r="G4526" s="14" t="s">
        <v>56</v>
      </c>
    </row>
    <row r="4527" spans="1:7">
      <c r="A4527">
        <v>80</v>
      </c>
      <c r="B4527">
        <v>7</v>
      </c>
      <c r="C4527">
        <v>1</v>
      </c>
      <c r="E4527">
        <v>1</v>
      </c>
      <c r="F4527" t="str">
        <f t="shared" si="70"/>
        <v>F807G1T1</v>
      </c>
      <c r="G4527" s="14" t="s">
        <v>56</v>
      </c>
    </row>
    <row r="4528" spans="1:7">
      <c r="A4528">
        <v>80</v>
      </c>
      <c r="B4528">
        <v>8</v>
      </c>
      <c r="C4528">
        <v>1</v>
      </c>
      <c r="E4528">
        <v>1</v>
      </c>
      <c r="F4528" t="str">
        <f t="shared" si="70"/>
        <v>F808G1T1</v>
      </c>
      <c r="G4528" s="14" t="s">
        <v>56</v>
      </c>
    </row>
    <row r="4529" spans="1:7">
      <c r="A4529">
        <v>80</v>
      </c>
      <c r="B4529">
        <v>1</v>
      </c>
      <c r="C4529">
        <v>1</v>
      </c>
      <c r="E4529">
        <v>4</v>
      </c>
      <c r="F4529" t="str">
        <f t="shared" si="70"/>
        <v>F801G1T4</v>
      </c>
      <c r="G4529" s="14" t="s">
        <v>56</v>
      </c>
    </row>
    <row r="4530" spans="1:7">
      <c r="A4530">
        <v>80</v>
      </c>
      <c r="B4530">
        <v>2</v>
      </c>
      <c r="C4530">
        <v>1</v>
      </c>
      <c r="E4530">
        <v>4</v>
      </c>
      <c r="F4530" t="str">
        <f t="shared" si="70"/>
        <v>F802G1T4</v>
      </c>
      <c r="G4530" s="14" t="s">
        <v>56</v>
      </c>
    </row>
    <row r="4531" spans="1:7">
      <c r="A4531">
        <v>80</v>
      </c>
      <c r="B4531">
        <v>4</v>
      </c>
      <c r="C4531">
        <v>1</v>
      </c>
      <c r="E4531">
        <v>4</v>
      </c>
      <c r="F4531" t="str">
        <f t="shared" si="70"/>
        <v>F804G1T4</v>
      </c>
      <c r="G4531" s="14" t="s">
        <v>56</v>
      </c>
    </row>
    <row r="4532" spans="1:7">
      <c r="A4532">
        <v>80</v>
      </c>
      <c r="B4532">
        <v>5</v>
      </c>
      <c r="C4532">
        <v>1</v>
      </c>
      <c r="E4532">
        <v>4</v>
      </c>
      <c r="F4532" t="str">
        <f t="shared" si="70"/>
        <v>F805G1T4</v>
      </c>
      <c r="G4532" s="14" t="s">
        <v>56</v>
      </c>
    </row>
    <row r="4533" spans="1:7">
      <c r="A4533">
        <v>80</v>
      </c>
      <c r="B4533">
        <v>6</v>
      </c>
      <c r="C4533">
        <v>1</v>
      </c>
      <c r="E4533">
        <v>4</v>
      </c>
      <c r="F4533" t="str">
        <f t="shared" si="70"/>
        <v>F806G1T4</v>
      </c>
      <c r="G4533" s="14" t="s">
        <v>56</v>
      </c>
    </row>
    <row r="4534" spans="1:7">
      <c r="A4534">
        <v>80</v>
      </c>
      <c r="B4534">
        <v>7</v>
      </c>
      <c r="C4534">
        <v>1</v>
      </c>
      <c r="E4534">
        <v>4</v>
      </c>
      <c r="F4534" t="str">
        <f t="shared" si="70"/>
        <v>F807G1T4</v>
      </c>
      <c r="G4534" s="14" t="s">
        <v>56</v>
      </c>
    </row>
    <row r="4535" spans="1:7">
      <c r="A4535">
        <v>80</v>
      </c>
      <c r="B4535">
        <v>8</v>
      </c>
      <c r="C4535">
        <v>1</v>
      </c>
      <c r="E4535">
        <v>4</v>
      </c>
      <c r="F4535" t="str">
        <f t="shared" si="70"/>
        <v>F808G1T4</v>
      </c>
      <c r="G4535" s="14" t="s">
        <v>56</v>
      </c>
    </row>
    <row r="4536" spans="1:7">
      <c r="A4536">
        <v>80</v>
      </c>
      <c r="B4536">
        <v>1</v>
      </c>
      <c r="C4536">
        <v>1</v>
      </c>
      <c r="E4536">
        <v>3</v>
      </c>
      <c r="F4536" t="str">
        <f t="shared" si="70"/>
        <v>F801G1T3</v>
      </c>
      <c r="G4536" s="14" t="s">
        <v>322</v>
      </c>
    </row>
    <row r="4537" spans="1:7">
      <c r="A4537">
        <v>80</v>
      </c>
      <c r="B4537">
        <v>2</v>
      </c>
      <c r="C4537">
        <v>1</v>
      </c>
      <c r="E4537">
        <v>3</v>
      </c>
      <c r="F4537" t="str">
        <f t="shared" si="70"/>
        <v>F802G1T3</v>
      </c>
      <c r="G4537" s="14" t="s">
        <v>322</v>
      </c>
    </row>
    <row r="4538" spans="1:7">
      <c r="A4538">
        <v>80</v>
      </c>
      <c r="B4538">
        <v>5</v>
      </c>
      <c r="C4538">
        <v>1</v>
      </c>
      <c r="E4538">
        <v>3</v>
      </c>
      <c r="F4538" t="str">
        <f t="shared" si="70"/>
        <v>F805G1T3</v>
      </c>
      <c r="G4538" s="14" t="s">
        <v>322</v>
      </c>
    </row>
    <row r="4539" spans="1:7">
      <c r="A4539">
        <v>80</v>
      </c>
      <c r="B4539">
        <v>6</v>
      </c>
      <c r="C4539">
        <v>1</v>
      </c>
      <c r="E4539">
        <v>3</v>
      </c>
      <c r="F4539" t="str">
        <f t="shared" si="70"/>
        <v>F806G1T3</v>
      </c>
      <c r="G4539" s="14" t="s">
        <v>322</v>
      </c>
    </row>
    <row r="4540" spans="1:7">
      <c r="A4540">
        <v>80</v>
      </c>
      <c r="B4540">
        <v>7</v>
      </c>
      <c r="C4540">
        <v>1</v>
      </c>
      <c r="E4540">
        <v>3</v>
      </c>
      <c r="F4540" t="str">
        <f t="shared" si="70"/>
        <v>F807G1T3</v>
      </c>
      <c r="G4540" s="14" t="s">
        <v>322</v>
      </c>
    </row>
    <row r="4541" spans="1:7">
      <c r="A4541">
        <v>80</v>
      </c>
      <c r="B4541">
        <v>8</v>
      </c>
      <c r="C4541">
        <v>1</v>
      </c>
      <c r="E4541">
        <v>3</v>
      </c>
      <c r="F4541" t="str">
        <f t="shared" si="70"/>
        <v>F808G1T3</v>
      </c>
      <c r="G4541" s="14" t="s">
        <v>322</v>
      </c>
    </row>
    <row r="4542" spans="1:7">
      <c r="A4542">
        <v>80</v>
      </c>
      <c r="B4542">
        <v>1</v>
      </c>
      <c r="C4542">
        <v>1</v>
      </c>
      <c r="E4542">
        <v>2</v>
      </c>
      <c r="F4542" t="str">
        <f t="shared" si="70"/>
        <v>F801G1T2</v>
      </c>
      <c r="G4542" s="14" t="s">
        <v>62</v>
      </c>
    </row>
    <row r="4543" spans="1:7">
      <c r="A4543">
        <v>80</v>
      </c>
      <c r="B4543">
        <v>2</v>
      </c>
      <c r="C4543">
        <v>1</v>
      </c>
      <c r="E4543">
        <v>2</v>
      </c>
      <c r="F4543" t="str">
        <f t="shared" si="70"/>
        <v>F802G1T2</v>
      </c>
      <c r="G4543" s="14" t="s">
        <v>62</v>
      </c>
    </row>
    <row r="4544" spans="1:7">
      <c r="A4544">
        <v>80</v>
      </c>
      <c r="B4544">
        <v>5</v>
      </c>
      <c r="C4544">
        <v>1</v>
      </c>
      <c r="E4544">
        <v>2</v>
      </c>
      <c r="F4544" t="str">
        <f t="shared" si="70"/>
        <v>F805G1T2</v>
      </c>
      <c r="G4544" s="14" t="s">
        <v>62</v>
      </c>
    </row>
    <row r="4545" spans="1:7">
      <c r="A4545">
        <v>80</v>
      </c>
      <c r="B4545">
        <v>6</v>
      </c>
      <c r="C4545">
        <v>1</v>
      </c>
      <c r="E4545">
        <v>2</v>
      </c>
      <c r="F4545" t="str">
        <f t="shared" si="70"/>
        <v>F806G1T2</v>
      </c>
      <c r="G4545" s="14" t="s">
        <v>62</v>
      </c>
    </row>
    <row r="4546" spans="1:7">
      <c r="A4546">
        <v>80</v>
      </c>
      <c r="B4546">
        <v>7</v>
      </c>
      <c r="C4546">
        <v>1</v>
      </c>
      <c r="E4546">
        <v>2</v>
      </c>
      <c r="F4546" t="str">
        <f t="shared" si="70"/>
        <v>F807G1T2</v>
      </c>
      <c r="G4546" s="14" t="s">
        <v>62</v>
      </c>
    </row>
    <row r="4547" spans="1:7">
      <c r="A4547">
        <v>80</v>
      </c>
      <c r="B4547">
        <v>8</v>
      </c>
      <c r="C4547">
        <v>1</v>
      </c>
      <c r="E4547">
        <v>2</v>
      </c>
      <c r="F4547" t="str">
        <f t="shared" ref="F4547:F4610" si="71">CONCATENATE("F",A4547,B4547,"G",C4547,"T",E4547)</f>
        <v>F808G1T2</v>
      </c>
      <c r="G4547" s="14" t="s">
        <v>62</v>
      </c>
    </row>
    <row r="4548" spans="1:7">
      <c r="A4548">
        <v>80</v>
      </c>
      <c r="B4548">
        <v>1</v>
      </c>
      <c r="C4548">
        <v>3</v>
      </c>
      <c r="E4548">
        <v>1</v>
      </c>
      <c r="F4548" t="str">
        <f t="shared" si="71"/>
        <v>F801G3T1</v>
      </c>
      <c r="G4548" s="14" t="s">
        <v>323</v>
      </c>
    </row>
    <row r="4549" spans="1:7">
      <c r="A4549">
        <v>80</v>
      </c>
      <c r="B4549">
        <v>2</v>
      </c>
      <c r="C4549">
        <v>3</v>
      </c>
      <c r="E4549">
        <v>1</v>
      </c>
      <c r="F4549" t="str">
        <f t="shared" si="71"/>
        <v>F802G3T1</v>
      </c>
      <c r="G4549" s="14" t="s">
        <v>323</v>
      </c>
    </row>
    <row r="4550" spans="1:7">
      <c r="A4550">
        <v>80</v>
      </c>
      <c r="B4550">
        <v>4</v>
      </c>
      <c r="C4550">
        <v>3</v>
      </c>
      <c r="E4550">
        <v>1</v>
      </c>
      <c r="F4550" t="str">
        <f t="shared" si="71"/>
        <v>F804G3T1</v>
      </c>
      <c r="G4550" s="14" t="s">
        <v>323</v>
      </c>
    </row>
    <row r="4551" spans="1:7">
      <c r="A4551">
        <v>80</v>
      </c>
      <c r="B4551">
        <v>5</v>
      </c>
      <c r="C4551">
        <v>3</v>
      </c>
      <c r="E4551">
        <v>1</v>
      </c>
      <c r="F4551" t="str">
        <f t="shared" si="71"/>
        <v>F805G3T1</v>
      </c>
      <c r="G4551" s="14" t="s">
        <v>323</v>
      </c>
    </row>
    <row r="4552" spans="1:7">
      <c r="A4552">
        <v>80</v>
      </c>
      <c r="B4552">
        <v>6</v>
      </c>
      <c r="C4552">
        <v>3</v>
      </c>
      <c r="E4552">
        <v>1</v>
      </c>
      <c r="F4552" t="str">
        <f t="shared" si="71"/>
        <v>F806G3T1</v>
      </c>
      <c r="G4552" s="14" t="s">
        <v>323</v>
      </c>
    </row>
    <row r="4553" spans="1:7">
      <c r="A4553">
        <v>80</v>
      </c>
      <c r="B4553">
        <v>7</v>
      </c>
      <c r="C4553">
        <v>3</v>
      </c>
      <c r="E4553">
        <v>1</v>
      </c>
      <c r="F4553" t="str">
        <f t="shared" si="71"/>
        <v>F807G3T1</v>
      </c>
      <c r="G4553" s="14" t="s">
        <v>323</v>
      </c>
    </row>
    <row r="4554" spans="1:7">
      <c r="A4554">
        <v>80</v>
      </c>
      <c r="B4554">
        <v>1</v>
      </c>
      <c r="C4554">
        <v>4</v>
      </c>
      <c r="E4554">
        <v>1</v>
      </c>
      <c r="F4554" t="str">
        <f t="shared" si="71"/>
        <v>F801G4T1</v>
      </c>
      <c r="G4554" s="14" t="s">
        <v>323</v>
      </c>
    </row>
    <row r="4555" spans="1:7">
      <c r="A4555">
        <v>80</v>
      </c>
      <c r="B4555">
        <v>2</v>
      </c>
      <c r="C4555">
        <v>4</v>
      </c>
      <c r="E4555">
        <v>1</v>
      </c>
      <c r="F4555" t="str">
        <f t="shared" si="71"/>
        <v>F802G4T1</v>
      </c>
      <c r="G4555" s="14" t="s">
        <v>323</v>
      </c>
    </row>
    <row r="4556" spans="1:7">
      <c r="A4556">
        <v>80</v>
      </c>
      <c r="B4556">
        <v>4</v>
      </c>
      <c r="C4556">
        <v>4</v>
      </c>
      <c r="E4556">
        <v>1</v>
      </c>
      <c r="F4556" t="str">
        <f t="shared" si="71"/>
        <v>F804G4T1</v>
      </c>
      <c r="G4556" s="14" t="s">
        <v>323</v>
      </c>
    </row>
    <row r="4557" spans="1:7">
      <c r="A4557">
        <v>80</v>
      </c>
      <c r="B4557">
        <v>5</v>
      </c>
      <c r="C4557">
        <v>4</v>
      </c>
      <c r="E4557">
        <v>1</v>
      </c>
      <c r="F4557" t="str">
        <f t="shared" si="71"/>
        <v>F805G4T1</v>
      </c>
      <c r="G4557" s="14" t="s">
        <v>323</v>
      </c>
    </row>
    <row r="4558" spans="1:7">
      <c r="A4558">
        <v>80</v>
      </c>
      <c r="B4558">
        <v>6</v>
      </c>
      <c r="C4558">
        <v>4</v>
      </c>
      <c r="E4558">
        <v>1</v>
      </c>
      <c r="F4558" t="str">
        <f t="shared" si="71"/>
        <v>F806G4T1</v>
      </c>
      <c r="G4558" s="14" t="s">
        <v>323</v>
      </c>
    </row>
    <row r="4559" spans="1:7">
      <c r="A4559">
        <v>80</v>
      </c>
      <c r="B4559">
        <v>7</v>
      </c>
      <c r="C4559">
        <v>4</v>
      </c>
      <c r="E4559">
        <v>1</v>
      </c>
      <c r="F4559" t="str">
        <f t="shared" si="71"/>
        <v>F807G4T1</v>
      </c>
      <c r="G4559" s="14" t="s">
        <v>323</v>
      </c>
    </row>
    <row r="4560" spans="1:7">
      <c r="A4560">
        <v>80</v>
      </c>
      <c r="B4560">
        <v>1</v>
      </c>
      <c r="C4560">
        <v>5</v>
      </c>
      <c r="E4560">
        <v>1</v>
      </c>
      <c r="F4560" t="str">
        <f t="shared" si="71"/>
        <v>F801G5T1</v>
      </c>
      <c r="G4560" s="14" t="s">
        <v>323</v>
      </c>
    </row>
    <row r="4561" spans="1:7">
      <c r="A4561">
        <v>80</v>
      </c>
      <c r="B4561">
        <v>2</v>
      </c>
      <c r="C4561">
        <v>5</v>
      </c>
      <c r="E4561">
        <v>1</v>
      </c>
      <c r="F4561" t="str">
        <f t="shared" si="71"/>
        <v>F802G5T1</v>
      </c>
      <c r="G4561" s="14" t="s">
        <v>323</v>
      </c>
    </row>
    <row r="4562" spans="1:7">
      <c r="A4562">
        <v>80</v>
      </c>
      <c r="B4562">
        <v>4</v>
      </c>
      <c r="C4562">
        <v>5</v>
      </c>
      <c r="E4562">
        <v>1</v>
      </c>
      <c r="F4562" t="str">
        <f t="shared" si="71"/>
        <v>F804G5T1</v>
      </c>
      <c r="G4562" s="14" t="s">
        <v>323</v>
      </c>
    </row>
    <row r="4563" spans="1:7">
      <c r="A4563">
        <v>80</v>
      </c>
      <c r="B4563">
        <v>5</v>
      </c>
      <c r="C4563">
        <v>5</v>
      </c>
      <c r="E4563">
        <v>1</v>
      </c>
      <c r="F4563" t="str">
        <f t="shared" si="71"/>
        <v>F805G5T1</v>
      </c>
      <c r="G4563" s="14" t="s">
        <v>323</v>
      </c>
    </row>
    <row r="4564" spans="1:7">
      <c r="A4564">
        <v>80</v>
      </c>
      <c r="B4564">
        <v>6</v>
      </c>
      <c r="C4564">
        <v>5</v>
      </c>
      <c r="E4564">
        <v>1</v>
      </c>
      <c r="F4564" t="str">
        <f t="shared" si="71"/>
        <v>F806G5T1</v>
      </c>
      <c r="G4564" s="14" t="s">
        <v>323</v>
      </c>
    </row>
    <row r="4565" spans="1:7">
      <c r="A4565">
        <v>80</v>
      </c>
      <c r="B4565">
        <v>7</v>
      </c>
      <c r="C4565">
        <v>5</v>
      </c>
      <c r="E4565">
        <v>1</v>
      </c>
      <c r="F4565" t="str">
        <f t="shared" si="71"/>
        <v>F807G5T1</v>
      </c>
      <c r="G4565" s="14" t="s">
        <v>323</v>
      </c>
    </row>
    <row r="4566" spans="1:7">
      <c r="A4566">
        <v>80</v>
      </c>
      <c r="B4566">
        <v>1</v>
      </c>
      <c r="C4566">
        <v>3</v>
      </c>
      <c r="E4566">
        <v>4</v>
      </c>
      <c r="F4566" t="str">
        <f t="shared" si="71"/>
        <v>F801G3T4</v>
      </c>
      <c r="G4566" s="14" t="s">
        <v>323</v>
      </c>
    </row>
    <row r="4567" spans="1:7">
      <c r="A4567">
        <v>80</v>
      </c>
      <c r="B4567">
        <v>2</v>
      </c>
      <c r="C4567">
        <v>3</v>
      </c>
      <c r="E4567">
        <v>4</v>
      </c>
      <c r="F4567" t="str">
        <f t="shared" si="71"/>
        <v>F802G3T4</v>
      </c>
      <c r="G4567" s="14" t="s">
        <v>323</v>
      </c>
    </row>
    <row r="4568" spans="1:7">
      <c r="A4568">
        <v>80</v>
      </c>
      <c r="B4568">
        <v>4</v>
      </c>
      <c r="C4568">
        <v>3</v>
      </c>
      <c r="E4568">
        <v>4</v>
      </c>
      <c r="F4568" t="str">
        <f t="shared" si="71"/>
        <v>F804G3T4</v>
      </c>
      <c r="G4568" s="14" t="s">
        <v>323</v>
      </c>
    </row>
    <row r="4569" spans="1:7">
      <c r="A4569">
        <v>80</v>
      </c>
      <c r="B4569">
        <v>5</v>
      </c>
      <c r="C4569">
        <v>3</v>
      </c>
      <c r="E4569">
        <v>4</v>
      </c>
      <c r="F4569" t="str">
        <f t="shared" si="71"/>
        <v>F805G3T4</v>
      </c>
      <c r="G4569" s="14" t="s">
        <v>323</v>
      </c>
    </row>
    <row r="4570" spans="1:7">
      <c r="A4570">
        <v>80</v>
      </c>
      <c r="B4570">
        <v>6</v>
      </c>
      <c r="C4570">
        <v>3</v>
      </c>
      <c r="E4570">
        <v>4</v>
      </c>
      <c r="F4570" t="str">
        <f t="shared" si="71"/>
        <v>F806G3T4</v>
      </c>
      <c r="G4570" s="14" t="s">
        <v>323</v>
      </c>
    </row>
    <row r="4571" spans="1:7">
      <c r="A4571">
        <v>80</v>
      </c>
      <c r="B4571">
        <v>7</v>
      </c>
      <c r="C4571">
        <v>3</v>
      </c>
      <c r="E4571">
        <v>4</v>
      </c>
      <c r="F4571" t="str">
        <f t="shared" si="71"/>
        <v>F807G3T4</v>
      </c>
      <c r="G4571" s="14" t="s">
        <v>323</v>
      </c>
    </row>
    <row r="4572" spans="1:7">
      <c r="A4572">
        <v>80</v>
      </c>
      <c r="B4572">
        <v>1</v>
      </c>
      <c r="C4572">
        <v>4</v>
      </c>
      <c r="E4572">
        <v>4</v>
      </c>
      <c r="F4572" t="str">
        <f t="shared" si="71"/>
        <v>F801G4T4</v>
      </c>
      <c r="G4572" s="14" t="s">
        <v>323</v>
      </c>
    </row>
    <row r="4573" spans="1:7">
      <c r="A4573">
        <v>80</v>
      </c>
      <c r="B4573">
        <v>2</v>
      </c>
      <c r="C4573">
        <v>4</v>
      </c>
      <c r="E4573">
        <v>4</v>
      </c>
      <c r="F4573" t="str">
        <f t="shared" si="71"/>
        <v>F802G4T4</v>
      </c>
      <c r="G4573" s="14" t="s">
        <v>323</v>
      </c>
    </row>
    <row r="4574" spans="1:7">
      <c r="A4574">
        <v>80</v>
      </c>
      <c r="B4574">
        <v>4</v>
      </c>
      <c r="C4574">
        <v>4</v>
      </c>
      <c r="E4574">
        <v>4</v>
      </c>
      <c r="F4574" t="str">
        <f t="shared" si="71"/>
        <v>F804G4T4</v>
      </c>
      <c r="G4574" s="14" t="s">
        <v>323</v>
      </c>
    </row>
    <row r="4575" spans="1:7">
      <c r="A4575">
        <v>80</v>
      </c>
      <c r="B4575">
        <v>5</v>
      </c>
      <c r="C4575">
        <v>4</v>
      </c>
      <c r="E4575">
        <v>4</v>
      </c>
      <c r="F4575" t="str">
        <f t="shared" si="71"/>
        <v>F805G4T4</v>
      </c>
      <c r="G4575" s="14" t="s">
        <v>323</v>
      </c>
    </row>
    <row r="4576" spans="1:7">
      <c r="A4576">
        <v>80</v>
      </c>
      <c r="B4576">
        <v>6</v>
      </c>
      <c r="C4576">
        <v>4</v>
      </c>
      <c r="E4576">
        <v>4</v>
      </c>
      <c r="F4576" t="str">
        <f t="shared" si="71"/>
        <v>F806G4T4</v>
      </c>
      <c r="G4576" s="14" t="s">
        <v>323</v>
      </c>
    </row>
    <row r="4577" spans="1:7">
      <c r="A4577">
        <v>80</v>
      </c>
      <c r="B4577">
        <v>7</v>
      </c>
      <c r="C4577">
        <v>4</v>
      </c>
      <c r="E4577">
        <v>4</v>
      </c>
      <c r="F4577" t="str">
        <f t="shared" si="71"/>
        <v>F807G4T4</v>
      </c>
      <c r="G4577" s="14" t="s">
        <v>323</v>
      </c>
    </row>
    <row r="4578" spans="1:7">
      <c r="A4578">
        <v>80</v>
      </c>
      <c r="B4578">
        <v>1</v>
      </c>
      <c r="C4578">
        <v>5</v>
      </c>
      <c r="E4578">
        <v>4</v>
      </c>
      <c r="F4578" t="str">
        <f t="shared" si="71"/>
        <v>F801G5T4</v>
      </c>
      <c r="G4578" s="14" t="s">
        <v>323</v>
      </c>
    </row>
    <row r="4579" spans="1:7">
      <c r="A4579">
        <v>80</v>
      </c>
      <c r="B4579">
        <v>2</v>
      </c>
      <c r="C4579">
        <v>5</v>
      </c>
      <c r="E4579">
        <v>4</v>
      </c>
      <c r="F4579" t="str">
        <f t="shared" si="71"/>
        <v>F802G5T4</v>
      </c>
      <c r="G4579" s="14" t="s">
        <v>323</v>
      </c>
    </row>
    <row r="4580" spans="1:7">
      <c r="A4580">
        <v>80</v>
      </c>
      <c r="B4580">
        <v>4</v>
      </c>
      <c r="C4580">
        <v>5</v>
      </c>
      <c r="E4580">
        <v>4</v>
      </c>
      <c r="F4580" t="str">
        <f t="shared" si="71"/>
        <v>F804G5T4</v>
      </c>
      <c r="G4580" s="14" t="s">
        <v>323</v>
      </c>
    </row>
    <row r="4581" spans="1:7">
      <c r="A4581">
        <v>80</v>
      </c>
      <c r="B4581">
        <v>5</v>
      </c>
      <c r="C4581">
        <v>5</v>
      </c>
      <c r="E4581">
        <v>4</v>
      </c>
      <c r="F4581" t="str">
        <f t="shared" si="71"/>
        <v>F805G5T4</v>
      </c>
      <c r="G4581" s="14" t="s">
        <v>323</v>
      </c>
    </row>
    <row r="4582" spans="1:7">
      <c r="A4582">
        <v>80</v>
      </c>
      <c r="B4582">
        <v>6</v>
      </c>
      <c r="C4582">
        <v>5</v>
      </c>
      <c r="E4582">
        <v>4</v>
      </c>
      <c r="F4582" t="str">
        <f t="shared" si="71"/>
        <v>F806G5T4</v>
      </c>
      <c r="G4582" s="14" t="s">
        <v>323</v>
      </c>
    </row>
    <row r="4583" spans="1:7">
      <c r="A4583">
        <v>80</v>
      </c>
      <c r="B4583">
        <v>7</v>
      </c>
      <c r="C4583">
        <v>5</v>
      </c>
      <c r="E4583">
        <v>4</v>
      </c>
      <c r="F4583" t="str">
        <f t="shared" si="71"/>
        <v>F807G5T4</v>
      </c>
      <c r="G4583" s="14" t="s">
        <v>323</v>
      </c>
    </row>
    <row r="4584" spans="1:7">
      <c r="A4584">
        <v>80</v>
      </c>
      <c r="B4584">
        <v>1</v>
      </c>
      <c r="C4584">
        <v>3</v>
      </c>
      <c r="E4584">
        <v>2</v>
      </c>
      <c r="F4584" t="str">
        <f t="shared" si="71"/>
        <v>F801G3T2</v>
      </c>
      <c r="G4584" s="14" t="s">
        <v>70</v>
      </c>
    </row>
    <row r="4585" spans="1:7">
      <c r="A4585">
        <v>80</v>
      </c>
      <c r="B4585">
        <v>2</v>
      </c>
      <c r="C4585">
        <v>3</v>
      </c>
      <c r="E4585">
        <v>2</v>
      </c>
      <c r="F4585" t="str">
        <f t="shared" si="71"/>
        <v>F802G3T2</v>
      </c>
      <c r="G4585" s="14" t="s">
        <v>70</v>
      </c>
    </row>
    <row r="4586" spans="1:7">
      <c r="A4586">
        <v>80</v>
      </c>
      <c r="B4586">
        <v>5</v>
      </c>
      <c r="C4586">
        <v>3</v>
      </c>
      <c r="E4586">
        <v>2</v>
      </c>
      <c r="F4586" t="str">
        <f t="shared" si="71"/>
        <v>F805G3T2</v>
      </c>
      <c r="G4586" s="14" t="s">
        <v>70</v>
      </c>
    </row>
    <row r="4587" spans="1:7">
      <c r="A4587">
        <v>80</v>
      </c>
      <c r="B4587">
        <v>6</v>
      </c>
      <c r="C4587">
        <v>3</v>
      </c>
      <c r="E4587">
        <v>2</v>
      </c>
      <c r="F4587" t="str">
        <f t="shared" si="71"/>
        <v>F806G3T2</v>
      </c>
      <c r="G4587" s="14" t="s">
        <v>70</v>
      </c>
    </row>
    <row r="4588" spans="1:7">
      <c r="A4588">
        <v>80</v>
      </c>
      <c r="B4588">
        <v>7</v>
      </c>
      <c r="C4588">
        <v>3</v>
      </c>
      <c r="E4588">
        <v>2</v>
      </c>
      <c r="F4588" t="str">
        <f t="shared" si="71"/>
        <v>F807G3T2</v>
      </c>
      <c r="G4588" s="14" t="s">
        <v>70</v>
      </c>
    </row>
    <row r="4589" spans="1:7">
      <c r="A4589">
        <v>80</v>
      </c>
      <c r="B4589">
        <v>1</v>
      </c>
      <c r="C4589">
        <v>4</v>
      </c>
      <c r="E4589">
        <v>2</v>
      </c>
      <c r="F4589" t="str">
        <f t="shared" si="71"/>
        <v>F801G4T2</v>
      </c>
      <c r="G4589" s="14" t="s">
        <v>70</v>
      </c>
    </row>
    <row r="4590" spans="1:7">
      <c r="A4590">
        <v>80</v>
      </c>
      <c r="B4590">
        <v>2</v>
      </c>
      <c r="C4590">
        <v>4</v>
      </c>
      <c r="E4590">
        <v>2</v>
      </c>
      <c r="F4590" t="str">
        <f t="shared" si="71"/>
        <v>F802G4T2</v>
      </c>
      <c r="G4590" s="14" t="s">
        <v>70</v>
      </c>
    </row>
    <row r="4591" spans="1:7">
      <c r="A4591">
        <v>80</v>
      </c>
      <c r="B4591">
        <v>5</v>
      </c>
      <c r="C4591">
        <v>4</v>
      </c>
      <c r="E4591">
        <v>2</v>
      </c>
      <c r="F4591" t="str">
        <f t="shared" si="71"/>
        <v>F805G4T2</v>
      </c>
      <c r="G4591" s="14" t="s">
        <v>70</v>
      </c>
    </row>
    <row r="4592" spans="1:7">
      <c r="A4592">
        <v>80</v>
      </c>
      <c r="B4592">
        <v>6</v>
      </c>
      <c r="C4592">
        <v>4</v>
      </c>
      <c r="E4592">
        <v>2</v>
      </c>
      <c r="F4592" t="str">
        <f t="shared" si="71"/>
        <v>F806G4T2</v>
      </c>
      <c r="G4592" s="14" t="s">
        <v>70</v>
      </c>
    </row>
    <row r="4593" spans="1:7">
      <c r="A4593">
        <v>80</v>
      </c>
      <c r="B4593">
        <v>7</v>
      </c>
      <c r="C4593">
        <v>4</v>
      </c>
      <c r="E4593">
        <v>2</v>
      </c>
      <c r="F4593" t="str">
        <f t="shared" si="71"/>
        <v>F807G4T2</v>
      </c>
      <c r="G4593" s="14" t="s">
        <v>70</v>
      </c>
    </row>
    <row r="4594" spans="1:7">
      <c r="A4594">
        <v>80</v>
      </c>
      <c r="B4594">
        <v>1</v>
      </c>
      <c r="C4594">
        <v>5</v>
      </c>
      <c r="E4594">
        <v>2</v>
      </c>
      <c r="F4594" t="str">
        <f t="shared" si="71"/>
        <v>F801G5T2</v>
      </c>
      <c r="G4594" s="14" t="s">
        <v>70</v>
      </c>
    </row>
    <row r="4595" spans="1:7">
      <c r="A4595">
        <v>80</v>
      </c>
      <c r="B4595">
        <v>2</v>
      </c>
      <c r="C4595">
        <v>5</v>
      </c>
      <c r="E4595">
        <v>2</v>
      </c>
      <c r="F4595" t="str">
        <f t="shared" si="71"/>
        <v>F802G5T2</v>
      </c>
      <c r="G4595" s="14" t="s">
        <v>70</v>
      </c>
    </row>
    <row r="4596" spans="1:7">
      <c r="A4596">
        <v>80</v>
      </c>
      <c r="B4596">
        <v>5</v>
      </c>
      <c r="C4596">
        <v>5</v>
      </c>
      <c r="E4596">
        <v>2</v>
      </c>
      <c r="F4596" t="str">
        <f t="shared" si="71"/>
        <v>F805G5T2</v>
      </c>
      <c r="G4596" s="14" t="s">
        <v>70</v>
      </c>
    </row>
    <row r="4597" spans="1:7">
      <c r="A4597">
        <v>80</v>
      </c>
      <c r="B4597">
        <v>6</v>
      </c>
      <c r="C4597">
        <v>5</v>
      </c>
      <c r="E4597">
        <v>2</v>
      </c>
      <c r="F4597" t="str">
        <f t="shared" si="71"/>
        <v>F806G5T2</v>
      </c>
      <c r="G4597" s="14" t="s">
        <v>70</v>
      </c>
    </row>
    <row r="4598" spans="1:7">
      <c r="A4598">
        <v>80</v>
      </c>
      <c r="B4598">
        <v>7</v>
      </c>
      <c r="C4598">
        <v>5</v>
      </c>
      <c r="E4598">
        <v>2</v>
      </c>
      <c r="F4598" t="str">
        <f t="shared" si="71"/>
        <v>F807G5T2</v>
      </c>
      <c r="G4598" s="14" t="s">
        <v>70</v>
      </c>
    </row>
    <row r="4599" spans="1:7">
      <c r="A4599">
        <v>80</v>
      </c>
      <c r="B4599">
        <v>1</v>
      </c>
      <c r="C4599">
        <v>3</v>
      </c>
      <c r="E4599">
        <v>3</v>
      </c>
      <c r="F4599" t="str">
        <f t="shared" si="71"/>
        <v>F801G3T3</v>
      </c>
      <c r="G4599" s="14" t="s">
        <v>324</v>
      </c>
    </row>
    <row r="4600" spans="1:7">
      <c r="A4600">
        <v>80</v>
      </c>
      <c r="B4600">
        <v>2</v>
      </c>
      <c r="C4600">
        <v>3</v>
      </c>
      <c r="E4600">
        <v>3</v>
      </c>
      <c r="F4600" t="str">
        <f t="shared" si="71"/>
        <v>F802G3T3</v>
      </c>
      <c r="G4600" s="14" t="s">
        <v>324</v>
      </c>
    </row>
    <row r="4601" spans="1:7">
      <c r="A4601">
        <v>80</v>
      </c>
      <c r="B4601">
        <v>5</v>
      </c>
      <c r="C4601">
        <v>3</v>
      </c>
      <c r="E4601">
        <v>3</v>
      </c>
      <c r="F4601" t="str">
        <f t="shared" si="71"/>
        <v>F805G3T3</v>
      </c>
      <c r="G4601" s="14" t="s">
        <v>324</v>
      </c>
    </row>
    <row r="4602" spans="1:7">
      <c r="A4602">
        <v>80</v>
      </c>
      <c r="B4602">
        <v>6</v>
      </c>
      <c r="C4602">
        <v>3</v>
      </c>
      <c r="E4602">
        <v>3</v>
      </c>
      <c r="F4602" t="str">
        <f t="shared" si="71"/>
        <v>F806G3T3</v>
      </c>
      <c r="G4602" s="14" t="s">
        <v>324</v>
      </c>
    </row>
    <row r="4603" spans="1:7">
      <c r="A4603">
        <v>80</v>
      </c>
      <c r="B4603">
        <v>7</v>
      </c>
      <c r="C4603">
        <v>3</v>
      </c>
      <c r="E4603">
        <v>3</v>
      </c>
      <c r="F4603" t="str">
        <f t="shared" si="71"/>
        <v>F807G3T3</v>
      </c>
      <c r="G4603" s="14" t="s">
        <v>324</v>
      </c>
    </row>
    <row r="4604" spans="1:7">
      <c r="A4604">
        <v>80</v>
      </c>
      <c r="B4604">
        <v>1</v>
      </c>
      <c r="C4604">
        <v>4</v>
      </c>
      <c r="E4604">
        <v>3</v>
      </c>
      <c r="F4604" t="str">
        <f t="shared" si="71"/>
        <v>F801G4T3</v>
      </c>
      <c r="G4604" s="14" t="s">
        <v>324</v>
      </c>
    </row>
    <row r="4605" spans="1:7">
      <c r="A4605">
        <v>80</v>
      </c>
      <c r="B4605">
        <v>2</v>
      </c>
      <c r="C4605">
        <v>4</v>
      </c>
      <c r="E4605">
        <v>3</v>
      </c>
      <c r="F4605" t="str">
        <f t="shared" si="71"/>
        <v>F802G4T3</v>
      </c>
      <c r="G4605" s="14" t="s">
        <v>324</v>
      </c>
    </row>
    <row r="4606" spans="1:7">
      <c r="A4606">
        <v>80</v>
      </c>
      <c r="B4606">
        <v>5</v>
      </c>
      <c r="C4606">
        <v>4</v>
      </c>
      <c r="E4606">
        <v>3</v>
      </c>
      <c r="F4606" t="str">
        <f t="shared" si="71"/>
        <v>F805G4T3</v>
      </c>
      <c r="G4606" s="14" t="s">
        <v>324</v>
      </c>
    </row>
    <row r="4607" spans="1:7">
      <c r="A4607">
        <v>80</v>
      </c>
      <c r="B4607">
        <v>6</v>
      </c>
      <c r="C4607">
        <v>4</v>
      </c>
      <c r="E4607">
        <v>3</v>
      </c>
      <c r="F4607" t="str">
        <f t="shared" si="71"/>
        <v>F806G4T3</v>
      </c>
      <c r="G4607" s="14" t="s">
        <v>324</v>
      </c>
    </row>
    <row r="4608" spans="1:7">
      <c r="A4608">
        <v>80</v>
      </c>
      <c r="B4608">
        <v>7</v>
      </c>
      <c r="C4608">
        <v>4</v>
      </c>
      <c r="E4608">
        <v>3</v>
      </c>
      <c r="F4608" t="str">
        <f t="shared" si="71"/>
        <v>F807G4T3</v>
      </c>
      <c r="G4608" s="14" t="s">
        <v>324</v>
      </c>
    </row>
    <row r="4609" spans="1:7">
      <c r="A4609">
        <v>80</v>
      </c>
      <c r="B4609">
        <v>1</v>
      </c>
      <c r="C4609">
        <v>5</v>
      </c>
      <c r="E4609">
        <v>3</v>
      </c>
      <c r="F4609" t="str">
        <f t="shared" si="71"/>
        <v>F801G5T3</v>
      </c>
      <c r="G4609" s="14" t="s">
        <v>324</v>
      </c>
    </row>
    <row r="4610" spans="1:7">
      <c r="A4610">
        <v>80</v>
      </c>
      <c r="B4610">
        <v>2</v>
      </c>
      <c r="C4610">
        <v>5</v>
      </c>
      <c r="E4610">
        <v>3</v>
      </c>
      <c r="F4610" t="str">
        <f t="shared" si="71"/>
        <v>F802G5T3</v>
      </c>
      <c r="G4610" s="14" t="s">
        <v>324</v>
      </c>
    </row>
    <row r="4611" spans="1:7">
      <c r="A4611">
        <v>80</v>
      </c>
      <c r="B4611">
        <v>5</v>
      </c>
      <c r="C4611">
        <v>5</v>
      </c>
      <c r="E4611">
        <v>3</v>
      </c>
      <c r="F4611" t="str">
        <f t="shared" ref="F4611:F4625" si="72">CONCATENATE("F",A4611,B4611,"G",C4611,"T",E4611)</f>
        <v>F805G5T3</v>
      </c>
      <c r="G4611" s="14" t="s">
        <v>324</v>
      </c>
    </row>
    <row r="4612" spans="1:7">
      <c r="A4612">
        <v>80</v>
      </c>
      <c r="B4612">
        <v>6</v>
      </c>
      <c r="C4612">
        <v>5</v>
      </c>
      <c r="E4612">
        <v>3</v>
      </c>
      <c r="F4612" t="str">
        <f t="shared" si="72"/>
        <v>F806G5T3</v>
      </c>
      <c r="G4612" s="14" t="s">
        <v>324</v>
      </c>
    </row>
    <row r="4613" spans="1:7">
      <c r="A4613">
        <v>80</v>
      </c>
      <c r="B4613">
        <v>7</v>
      </c>
      <c r="C4613">
        <v>5</v>
      </c>
      <c r="E4613">
        <v>3</v>
      </c>
      <c r="F4613" t="str">
        <f t="shared" si="72"/>
        <v>F807G5T3</v>
      </c>
      <c r="G4613" s="14" t="s">
        <v>324</v>
      </c>
    </row>
    <row r="4614" spans="1:7">
      <c r="A4614">
        <v>80</v>
      </c>
      <c r="B4614">
        <v>9</v>
      </c>
      <c r="C4614">
        <v>3</v>
      </c>
      <c r="E4614">
        <v>1</v>
      </c>
      <c r="F4614" t="str">
        <f t="shared" si="72"/>
        <v>F809G3T1</v>
      </c>
      <c r="G4614" s="14" t="s">
        <v>325</v>
      </c>
    </row>
    <row r="4615" spans="1:7">
      <c r="A4615">
        <v>80</v>
      </c>
      <c r="B4615">
        <v>9</v>
      </c>
      <c r="C4615">
        <v>4</v>
      </c>
      <c r="E4615">
        <v>1</v>
      </c>
      <c r="F4615" t="str">
        <f t="shared" si="72"/>
        <v>F809G4T1</v>
      </c>
      <c r="G4615" s="14" t="s">
        <v>325</v>
      </c>
    </row>
    <row r="4616" spans="1:7">
      <c r="A4616">
        <v>80</v>
      </c>
      <c r="B4616">
        <v>9</v>
      </c>
      <c r="C4616">
        <v>1</v>
      </c>
      <c r="E4616">
        <v>1</v>
      </c>
      <c r="F4616" t="str">
        <f t="shared" si="72"/>
        <v>F809G1T1</v>
      </c>
      <c r="G4616" s="14" t="s">
        <v>325</v>
      </c>
    </row>
    <row r="4617" spans="1:7">
      <c r="A4617">
        <v>80</v>
      </c>
      <c r="B4617">
        <v>9</v>
      </c>
      <c r="C4617">
        <v>3</v>
      </c>
      <c r="E4617">
        <v>4</v>
      </c>
      <c r="F4617" t="str">
        <f t="shared" si="72"/>
        <v>F809G3T4</v>
      </c>
      <c r="G4617" s="14" t="s">
        <v>325</v>
      </c>
    </row>
    <row r="4618" spans="1:7">
      <c r="A4618">
        <v>80</v>
      </c>
      <c r="B4618">
        <v>9</v>
      </c>
      <c r="C4618">
        <v>4</v>
      </c>
      <c r="E4618">
        <v>4</v>
      </c>
      <c r="F4618" t="str">
        <f t="shared" si="72"/>
        <v>F809G4T4</v>
      </c>
      <c r="G4618" s="14" t="s">
        <v>325</v>
      </c>
    </row>
    <row r="4619" spans="1:7">
      <c r="A4619">
        <v>80</v>
      </c>
      <c r="B4619">
        <v>9</v>
      </c>
      <c r="C4619">
        <v>1</v>
      </c>
      <c r="E4619">
        <v>4</v>
      </c>
      <c r="F4619" t="str">
        <f t="shared" si="72"/>
        <v>F809G1T4</v>
      </c>
      <c r="G4619" s="14" t="s">
        <v>325</v>
      </c>
    </row>
    <row r="4620" spans="1:7">
      <c r="A4620">
        <v>80</v>
      </c>
      <c r="B4620">
        <v>9</v>
      </c>
      <c r="C4620">
        <v>3</v>
      </c>
      <c r="E4620">
        <v>3</v>
      </c>
      <c r="F4620" t="str">
        <f t="shared" si="72"/>
        <v>F809G3T3</v>
      </c>
      <c r="G4620" s="14" t="s">
        <v>326</v>
      </c>
    </row>
    <row r="4621" spans="1:7">
      <c r="A4621">
        <v>80</v>
      </c>
      <c r="B4621">
        <v>9</v>
      </c>
      <c r="C4621">
        <v>4</v>
      </c>
      <c r="E4621">
        <v>3</v>
      </c>
      <c r="F4621" t="str">
        <f t="shared" si="72"/>
        <v>F809G4T3</v>
      </c>
      <c r="G4621" s="14" t="s">
        <v>326</v>
      </c>
    </row>
    <row r="4622" spans="1:7">
      <c r="A4622">
        <v>80</v>
      </c>
      <c r="B4622">
        <v>9</v>
      </c>
      <c r="C4622">
        <v>1</v>
      </c>
      <c r="E4622">
        <v>3</v>
      </c>
      <c r="F4622" t="str">
        <f t="shared" si="72"/>
        <v>F809G1T3</v>
      </c>
      <c r="G4622" s="14" t="s">
        <v>326</v>
      </c>
    </row>
    <row r="4623" spans="1:7">
      <c r="A4623">
        <v>80</v>
      </c>
      <c r="B4623">
        <v>9</v>
      </c>
      <c r="C4623">
        <v>3</v>
      </c>
      <c r="E4623">
        <v>2</v>
      </c>
      <c r="F4623" t="str">
        <f t="shared" si="72"/>
        <v>F809G3T2</v>
      </c>
      <c r="G4623" s="14">
        <v>18</v>
      </c>
    </row>
    <row r="4624" spans="1:7">
      <c r="A4624">
        <v>80</v>
      </c>
      <c r="B4624">
        <v>9</v>
      </c>
      <c r="C4624">
        <v>4</v>
      </c>
      <c r="E4624">
        <v>2</v>
      </c>
      <c r="F4624" t="str">
        <f t="shared" si="72"/>
        <v>F809G4T2</v>
      </c>
      <c r="G4624" s="14">
        <v>18</v>
      </c>
    </row>
    <row r="4625" spans="1:7">
      <c r="A4625">
        <v>80</v>
      </c>
      <c r="B4625">
        <v>9</v>
      </c>
      <c r="C4625">
        <v>1</v>
      </c>
      <c r="E4625">
        <v>2</v>
      </c>
      <c r="F4625" t="str">
        <f t="shared" si="72"/>
        <v>F809G1T2</v>
      </c>
      <c r="G4625" s="14">
        <v>18</v>
      </c>
    </row>
  </sheetData>
  <autoFilter ref="A1:G4521" xr:uid="{00000000-0009-0000-0000-000001000000}"/>
  <sortState xmlns:xlrd2="http://schemas.microsoft.com/office/spreadsheetml/2017/richdata2" ref="A1:A236">
    <sortCondition ref="A1:A236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05"/>
  <sheetViews>
    <sheetView workbookViewId="0">
      <selection activeCell="G66" sqref="G66"/>
    </sheetView>
  </sheetViews>
  <sheetFormatPr defaultRowHeight="15"/>
  <sheetData>
    <row r="2" spans="1:7">
      <c r="A2">
        <v>44</v>
      </c>
      <c r="B2">
        <v>1</v>
      </c>
      <c r="C2">
        <v>1</v>
      </c>
      <c r="E2">
        <v>1</v>
      </c>
      <c r="F2" t="s">
        <v>327</v>
      </c>
      <c r="G2" t="s">
        <v>56</v>
      </c>
    </row>
    <row r="3" spans="1:7">
      <c r="A3">
        <v>44</v>
      </c>
      <c r="B3">
        <v>2</v>
      </c>
      <c r="C3">
        <v>1</v>
      </c>
      <c r="E3">
        <v>1</v>
      </c>
      <c r="F3" t="s">
        <v>328</v>
      </c>
      <c r="G3" t="s">
        <v>56</v>
      </c>
    </row>
    <row r="4" spans="1:7">
      <c r="A4">
        <v>44</v>
      </c>
      <c r="B4">
        <v>4</v>
      </c>
      <c r="C4">
        <v>1</v>
      </c>
      <c r="E4">
        <v>1</v>
      </c>
      <c r="F4" t="s">
        <v>329</v>
      </c>
      <c r="G4" t="s">
        <v>56</v>
      </c>
    </row>
    <row r="5" spans="1:7">
      <c r="A5">
        <v>44</v>
      </c>
      <c r="B5">
        <v>5</v>
      </c>
      <c r="C5">
        <v>1</v>
      </c>
      <c r="E5">
        <v>1</v>
      </c>
      <c r="F5" t="s">
        <v>330</v>
      </c>
      <c r="G5" t="s">
        <v>56</v>
      </c>
    </row>
    <row r="6" spans="1:7">
      <c r="A6">
        <v>44</v>
      </c>
      <c r="B6">
        <v>6</v>
      </c>
      <c r="C6">
        <v>1</v>
      </c>
      <c r="E6">
        <v>1</v>
      </c>
      <c r="F6" t="s">
        <v>331</v>
      </c>
      <c r="G6" t="s">
        <v>56</v>
      </c>
    </row>
    <row r="7" spans="1:7">
      <c r="A7">
        <v>44</v>
      </c>
      <c r="B7">
        <v>7</v>
      </c>
      <c r="C7">
        <v>1</v>
      </c>
      <c r="E7">
        <v>1</v>
      </c>
      <c r="F7" t="s">
        <v>332</v>
      </c>
      <c r="G7" t="s">
        <v>56</v>
      </c>
    </row>
    <row r="8" spans="1:7">
      <c r="A8">
        <v>44</v>
      </c>
      <c r="B8">
        <v>8</v>
      </c>
      <c r="C8">
        <v>1</v>
      </c>
      <c r="E8">
        <v>1</v>
      </c>
      <c r="F8" t="s">
        <v>333</v>
      </c>
      <c r="G8" t="s">
        <v>56</v>
      </c>
    </row>
    <row r="9" spans="1:7">
      <c r="A9">
        <v>44</v>
      </c>
      <c r="B9">
        <v>1</v>
      </c>
      <c r="C9">
        <v>1</v>
      </c>
      <c r="E9">
        <v>4</v>
      </c>
      <c r="F9" t="s">
        <v>334</v>
      </c>
      <c r="G9" t="s">
        <v>56</v>
      </c>
    </row>
    <row r="10" spans="1:7">
      <c r="A10">
        <v>44</v>
      </c>
      <c r="B10">
        <v>2</v>
      </c>
      <c r="C10">
        <v>1</v>
      </c>
      <c r="E10">
        <v>4</v>
      </c>
      <c r="F10" t="s">
        <v>335</v>
      </c>
      <c r="G10" t="s">
        <v>56</v>
      </c>
    </row>
    <row r="11" spans="1:7">
      <c r="A11">
        <v>44</v>
      </c>
      <c r="B11">
        <v>4</v>
      </c>
      <c r="C11">
        <v>1</v>
      </c>
      <c r="E11">
        <v>4</v>
      </c>
      <c r="F11" t="s">
        <v>336</v>
      </c>
      <c r="G11" t="s">
        <v>56</v>
      </c>
    </row>
    <row r="12" spans="1:7">
      <c r="A12">
        <v>44</v>
      </c>
      <c r="B12">
        <v>5</v>
      </c>
      <c r="C12">
        <v>1</v>
      </c>
      <c r="E12">
        <v>4</v>
      </c>
      <c r="F12" t="s">
        <v>337</v>
      </c>
      <c r="G12" t="s">
        <v>56</v>
      </c>
    </row>
    <row r="13" spans="1:7">
      <c r="A13">
        <v>44</v>
      </c>
      <c r="B13">
        <v>6</v>
      </c>
      <c r="C13">
        <v>1</v>
      </c>
      <c r="E13">
        <v>4</v>
      </c>
      <c r="F13" t="s">
        <v>338</v>
      </c>
      <c r="G13" t="s">
        <v>56</v>
      </c>
    </row>
    <row r="14" spans="1:7">
      <c r="A14">
        <v>44</v>
      </c>
      <c r="B14">
        <v>7</v>
      </c>
      <c r="C14">
        <v>1</v>
      </c>
      <c r="E14">
        <v>4</v>
      </c>
      <c r="F14" t="s">
        <v>339</v>
      </c>
      <c r="G14" t="s">
        <v>56</v>
      </c>
    </row>
    <row r="15" spans="1:7">
      <c r="A15">
        <v>44</v>
      </c>
      <c r="B15">
        <v>8</v>
      </c>
      <c r="C15">
        <v>1</v>
      </c>
      <c r="E15">
        <v>4</v>
      </c>
      <c r="F15" t="s">
        <v>340</v>
      </c>
      <c r="G15" t="s">
        <v>56</v>
      </c>
    </row>
    <row r="16" spans="1:7">
      <c r="A16">
        <v>44</v>
      </c>
      <c r="B16">
        <v>1</v>
      </c>
      <c r="C16">
        <v>1</v>
      </c>
      <c r="E16">
        <v>3</v>
      </c>
      <c r="F16" t="s">
        <v>341</v>
      </c>
      <c r="G16" t="s">
        <v>322</v>
      </c>
    </row>
    <row r="17" spans="1:7">
      <c r="A17">
        <v>44</v>
      </c>
      <c r="B17">
        <v>2</v>
      </c>
      <c r="C17">
        <v>1</v>
      </c>
      <c r="E17">
        <v>3</v>
      </c>
      <c r="F17" t="s">
        <v>342</v>
      </c>
      <c r="G17" t="s">
        <v>322</v>
      </c>
    </row>
    <row r="18" spans="1:7">
      <c r="A18">
        <v>44</v>
      </c>
      <c r="B18">
        <v>5</v>
      </c>
      <c r="C18">
        <v>1</v>
      </c>
      <c r="E18">
        <v>3</v>
      </c>
      <c r="F18" t="s">
        <v>343</v>
      </c>
      <c r="G18" t="s">
        <v>322</v>
      </c>
    </row>
    <row r="19" spans="1:7">
      <c r="A19">
        <v>44</v>
      </c>
      <c r="B19">
        <v>6</v>
      </c>
      <c r="C19">
        <v>1</v>
      </c>
      <c r="E19">
        <v>3</v>
      </c>
      <c r="F19" t="s">
        <v>344</v>
      </c>
      <c r="G19" t="s">
        <v>322</v>
      </c>
    </row>
    <row r="20" spans="1:7">
      <c r="A20">
        <v>44</v>
      </c>
      <c r="B20">
        <v>7</v>
      </c>
      <c r="C20">
        <v>1</v>
      </c>
      <c r="E20">
        <v>3</v>
      </c>
      <c r="F20" t="s">
        <v>345</v>
      </c>
      <c r="G20" t="s">
        <v>322</v>
      </c>
    </row>
    <row r="21" spans="1:7">
      <c r="A21">
        <v>44</v>
      </c>
      <c r="B21">
        <v>8</v>
      </c>
      <c r="C21">
        <v>1</v>
      </c>
      <c r="E21">
        <v>3</v>
      </c>
      <c r="F21" t="s">
        <v>346</v>
      </c>
      <c r="G21" t="s">
        <v>322</v>
      </c>
    </row>
    <row r="22" spans="1:7">
      <c r="A22">
        <v>44</v>
      </c>
      <c r="B22">
        <v>1</v>
      </c>
      <c r="C22">
        <v>1</v>
      </c>
      <c r="E22">
        <v>2</v>
      </c>
      <c r="F22" t="s">
        <v>347</v>
      </c>
      <c r="G22" t="s">
        <v>62</v>
      </c>
    </row>
    <row r="23" spans="1:7">
      <c r="A23">
        <v>44</v>
      </c>
      <c r="B23">
        <v>2</v>
      </c>
      <c r="C23">
        <v>1</v>
      </c>
      <c r="E23">
        <v>2</v>
      </c>
      <c r="F23" t="s">
        <v>348</v>
      </c>
      <c r="G23" t="s">
        <v>62</v>
      </c>
    </row>
    <row r="24" spans="1:7">
      <c r="A24">
        <v>44</v>
      </c>
      <c r="B24">
        <v>5</v>
      </c>
      <c r="C24">
        <v>1</v>
      </c>
      <c r="E24">
        <v>2</v>
      </c>
      <c r="F24" t="s">
        <v>349</v>
      </c>
      <c r="G24" t="s">
        <v>62</v>
      </c>
    </row>
    <row r="25" spans="1:7">
      <c r="A25">
        <v>44</v>
      </c>
      <c r="B25">
        <v>6</v>
      </c>
      <c r="C25">
        <v>1</v>
      </c>
      <c r="E25">
        <v>2</v>
      </c>
      <c r="F25" t="s">
        <v>350</v>
      </c>
      <c r="G25" t="s">
        <v>62</v>
      </c>
    </row>
    <row r="26" spans="1:7">
      <c r="A26">
        <v>44</v>
      </c>
      <c r="B26">
        <v>7</v>
      </c>
      <c r="C26">
        <v>1</v>
      </c>
      <c r="E26">
        <v>2</v>
      </c>
      <c r="F26" t="s">
        <v>351</v>
      </c>
      <c r="G26" t="s">
        <v>62</v>
      </c>
    </row>
    <row r="27" spans="1:7">
      <c r="A27">
        <v>44</v>
      </c>
      <c r="B27">
        <v>8</v>
      </c>
      <c r="C27">
        <v>1</v>
      </c>
      <c r="E27">
        <v>2</v>
      </c>
      <c r="F27" t="s">
        <v>352</v>
      </c>
      <c r="G27" t="s">
        <v>62</v>
      </c>
    </row>
    <row r="28" spans="1:7">
      <c r="A28">
        <v>44</v>
      </c>
      <c r="B28">
        <v>1</v>
      </c>
      <c r="C28">
        <v>3</v>
      </c>
      <c r="E28">
        <v>1</v>
      </c>
      <c r="F28" t="s">
        <v>353</v>
      </c>
      <c r="G28" t="s">
        <v>323</v>
      </c>
    </row>
    <row r="29" spans="1:7">
      <c r="A29">
        <v>44</v>
      </c>
      <c r="B29">
        <v>2</v>
      </c>
      <c r="C29">
        <v>3</v>
      </c>
      <c r="E29">
        <v>1</v>
      </c>
      <c r="F29" t="s">
        <v>354</v>
      </c>
      <c r="G29" t="s">
        <v>323</v>
      </c>
    </row>
    <row r="30" spans="1:7">
      <c r="A30">
        <v>44</v>
      </c>
      <c r="B30">
        <v>4</v>
      </c>
      <c r="C30">
        <v>3</v>
      </c>
      <c r="E30">
        <v>1</v>
      </c>
      <c r="F30" t="s">
        <v>355</v>
      </c>
      <c r="G30" t="s">
        <v>323</v>
      </c>
    </row>
    <row r="31" spans="1:7">
      <c r="A31">
        <v>44</v>
      </c>
      <c r="B31">
        <v>5</v>
      </c>
      <c r="C31">
        <v>3</v>
      </c>
      <c r="E31">
        <v>1</v>
      </c>
      <c r="F31" t="s">
        <v>356</v>
      </c>
      <c r="G31" t="s">
        <v>323</v>
      </c>
    </row>
    <row r="32" spans="1:7">
      <c r="A32">
        <v>44</v>
      </c>
      <c r="B32">
        <v>6</v>
      </c>
      <c r="C32">
        <v>3</v>
      </c>
      <c r="E32">
        <v>1</v>
      </c>
      <c r="F32" t="s">
        <v>357</v>
      </c>
      <c r="G32" t="s">
        <v>323</v>
      </c>
    </row>
    <row r="33" spans="1:7">
      <c r="A33">
        <v>44</v>
      </c>
      <c r="B33">
        <v>7</v>
      </c>
      <c r="C33">
        <v>3</v>
      </c>
      <c r="E33">
        <v>1</v>
      </c>
      <c r="F33" t="s">
        <v>358</v>
      </c>
      <c r="G33" t="s">
        <v>323</v>
      </c>
    </row>
    <row r="34" spans="1:7">
      <c r="A34">
        <v>44</v>
      </c>
      <c r="B34">
        <v>1</v>
      </c>
      <c r="C34">
        <v>4</v>
      </c>
      <c r="E34">
        <v>1</v>
      </c>
      <c r="F34" t="s">
        <v>359</v>
      </c>
      <c r="G34" t="s">
        <v>323</v>
      </c>
    </row>
    <row r="35" spans="1:7">
      <c r="A35">
        <v>44</v>
      </c>
      <c r="B35">
        <v>2</v>
      </c>
      <c r="C35">
        <v>4</v>
      </c>
      <c r="E35">
        <v>1</v>
      </c>
      <c r="F35" t="s">
        <v>360</v>
      </c>
      <c r="G35" t="s">
        <v>323</v>
      </c>
    </row>
    <row r="36" spans="1:7">
      <c r="A36">
        <v>44</v>
      </c>
      <c r="B36">
        <v>4</v>
      </c>
      <c r="C36">
        <v>4</v>
      </c>
      <c r="E36">
        <v>1</v>
      </c>
      <c r="F36" t="s">
        <v>361</v>
      </c>
      <c r="G36" t="s">
        <v>323</v>
      </c>
    </row>
    <row r="37" spans="1:7">
      <c r="A37">
        <v>44</v>
      </c>
      <c r="B37">
        <v>5</v>
      </c>
      <c r="C37">
        <v>4</v>
      </c>
      <c r="E37">
        <v>1</v>
      </c>
      <c r="F37" t="s">
        <v>362</v>
      </c>
      <c r="G37" t="s">
        <v>323</v>
      </c>
    </row>
    <row r="38" spans="1:7">
      <c r="A38">
        <v>44</v>
      </c>
      <c r="B38">
        <v>6</v>
      </c>
      <c r="C38">
        <v>4</v>
      </c>
      <c r="E38">
        <v>1</v>
      </c>
      <c r="F38" t="s">
        <v>363</v>
      </c>
      <c r="G38" t="s">
        <v>323</v>
      </c>
    </row>
    <row r="39" spans="1:7">
      <c r="A39">
        <v>44</v>
      </c>
      <c r="B39">
        <v>7</v>
      </c>
      <c r="C39">
        <v>4</v>
      </c>
      <c r="E39">
        <v>1</v>
      </c>
      <c r="F39" t="s">
        <v>364</v>
      </c>
      <c r="G39" t="s">
        <v>323</v>
      </c>
    </row>
    <row r="40" spans="1:7">
      <c r="A40">
        <v>44</v>
      </c>
      <c r="B40">
        <v>1</v>
      </c>
      <c r="C40">
        <v>5</v>
      </c>
      <c r="E40">
        <v>1</v>
      </c>
      <c r="F40" t="s">
        <v>365</v>
      </c>
      <c r="G40" t="s">
        <v>323</v>
      </c>
    </row>
    <row r="41" spans="1:7">
      <c r="A41">
        <v>44</v>
      </c>
      <c r="B41">
        <v>2</v>
      </c>
      <c r="C41">
        <v>5</v>
      </c>
      <c r="E41">
        <v>1</v>
      </c>
      <c r="F41" t="s">
        <v>366</v>
      </c>
      <c r="G41" t="s">
        <v>323</v>
      </c>
    </row>
    <row r="42" spans="1:7">
      <c r="A42">
        <v>44</v>
      </c>
      <c r="B42">
        <v>4</v>
      </c>
      <c r="C42">
        <v>5</v>
      </c>
      <c r="E42">
        <v>1</v>
      </c>
      <c r="F42" t="s">
        <v>367</v>
      </c>
      <c r="G42" t="s">
        <v>323</v>
      </c>
    </row>
    <row r="43" spans="1:7">
      <c r="A43">
        <v>44</v>
      </c>
      <c r="B43">
        <v>5</v>
      </c>
      <c r="C43">
        <v>5</v>
      </c>
      <c r="E43">
        <v>1</v>
      </c>
      <c r="F43" t="s">
        <v>368</v>
      </c>
      <c r="G43" t="s">
        <v>323</v>
      </c>
    </row>
    <row r="44" spans="1:7">
      <c r="A44">
        <v>44</v>
      </c>
      <c r="B44">
        <v>6</v>
      </c>
      <c r="C44">
        <v>5</v>
      </c>
      <c r="E44">
        <v>1</v>
      </c>
      <c r="F44" t="s">
        <v>369</v>
      </c>
      <c r="G44" t="s">
        <v>323</v>
      </c>
    </row>
    <row r="45" spans="1:7">
      <c r="A45">
        <v>44</v>
      </c>
      <c r="B45">
        <v>7</v>
      </c>
      <c r="C45">
        <v>5</v>
      </c>
      <c r="E45">
        <v>1</v>
      </c>
      <c r="F45" t="s">
        <v>370</v>
      </c>
      <c r="G45" t="s">
        <v>323</v>
      </c>
    </row>
    <row r="46" spans="1:7">
      <c r="A46">
        <v>44</v>
      </c>
      <c r="B46">
        <v>1</v>
      </c>
      <c r="C46">
        <v>3</v>
      </c>
      <c r="E46">
        <v>4</v>
      </c>
      <c r="F46" t="s">
        <v>371</v>
      </c>
      <c r="G46" t="s">
        <v>323</v>
      </c>
    </row>
    <row r="47" spans="1:7">
      <c r="A47">
        <v>44</v>
      </c>
      <c r="B47">
        <v>2</v>
      </c>
      <c r="C47">
        <v>3</v>
      </c>
      <c r="E47">
        <v>4</v>
      </c>
      <c r="F47" t="s">
        <v>372</v>
      </c>
      <c r="G47" t="s">
        <v>323</v>
      </c>
    </row>
    <row r="48" spans="1:7">
      <c r="A48">
        <v>44</v>
      </c>
      <c r="B48">
        <v>4</v>
      </c>
      <c r="C48">
        <v>3</v>
      </c>
      <c r="E48">
        <v>4</v>
      </c>
      <c r="F48" t="s">
        <v>373</v>
      </c>
      <c r="G48" t="s">
        <v>323</v>
      </c>
    </row>
    <row r="49" spans="1:7">
      <c r="A49">
        <v>44</v>
      </c>
      <c r="B49">
        <v>5</v>
      </c>
      <c r="C49">
        <v>3</v>
      </c>
      <c r="E49">
        <v>4</v>
      </c>
      <c r="F49" t="s">
        <v>374</v>
      </c>
      <c r="G49" t="s">
        <v>323</v>
      </c>
    </row>
    <row r="50" spans="1:7">
      <c r="A50">
        <v>44</v>
      </c>
      <c r="B50">
        <v>6</v>
      </c>
      <c r="C50">
        <v>3</v>
      </c>
      <c r="E50">
        <v>4</v>
      </c>
      <c r="F50" t="s">
        <v>375</v>
      </c>
      <c r="G50" t="s">
        <v>323</v>
      </c>
    </row>
    <row r="51" spans="1:7">
      <c r="A51">
        <v>44</v>
      </c>
      <c r="B51">
        <v>7</v>
      </c>
      <c r="C51">
        <v>3</v>
      </c>
      <c r="E51">
        <v>4</v>
      </c>
      <c r="F51" t="s">
        <v>376</v>
      </c>
      <c r="G51" t="s">
        <v>323</v>
      </c>
    </row>
    <row r="52" spans="1:7">
      <c r="A52">
        <v>44</v>
      </c>
      <c r="B52">
        <v>1</v>
      </c>
      <c r="C52">
        <v>4</v>
      </c>
      <c r="E52">
        <v>4</v>
      </c>
      <c r="F52" t="s">
        <v>377</v>
      </c>
      <c r="G52" t="s">
        <v>323</v>
      </c>
    </row>
    <row r="53" spans="1:7">
      <c r="A53">
        <v>44</v>
      </c>
      <c r="B53">
        <v>2</v>
      </c>
      <c r="C53">
        <v>4</v>
      </c>
      <c r="E53">
        <v>4</v>
      </c>
      <c r="F53" t="s">
        <v>378</v>
      </c>
      <c r="G53" t="s">
        <v>323</v>
      </c>
    </row>
    <row r="54" spans="1:7">
      <c r="A54">
        <v>44</v>
      </c>
      <c r="B54">
        <v>4</v>
      </c>
      <c r="C54">
        <v>4</v>
      </c>
      <c r="E54">
        <v>4</v>
      </c>
      <c r="F54" t="s">
        <v>379</v>
      </c>
      <c r="G54" t="s">
        <v>323</v>
      </c>
    </row>
    <row r="55" spans="1:7">
      <c r="A55">
        <v>44</v>
      </c>
      <c r="B55">
        <v>5</v>
      </c>
      <c r="C55">
        <v>4</v>
      </c>
      <c r="E55">
        <v>4</v>
      </c>
      <c r="F55" t="s">
        <v>380</v>
      </c>
      <c r="G55" t="s">
        <v>323</v>
      </c>
    </row>
    <row r="56" spans="1:7">
      <c r="A56">
        <v>44</v>
      </c>
      <c r="B56">
        <v>6</v>
      </c>
      <c r="C56">
        <v>4</v>
      </c>
      <c r="E56">
        <v>4</v>
      </c>
      <c r="F56" t="s">
        <v>381</v>
      </c>
      <c r="G56" t="s">
        <v>323</v>
      </c>
    </row>
    <row r="57" spans="1:7">
      <c r="A57">
        <v>44</v>
      </c>
      <c r="B57">
        <v>7</v>
      </c>
      <c r="C57">
        <v>4</v>
      </c>
      <c r="E57">
        <v>4</v>
      </c>
      <c r="F57" t="s">
        <v>382</v>
      </c>
      <c r="G57" t="s">
        <v>323</v>
      </c>
    </row>
    <row r="58" spans="1:7">
      <c r="A58">
        <v>44</v>
      </c>
      <c r="B58">
        <v>1</v>
      </c>
      <c r="C58">
        <v>5</v>
      </c>
      <c r="E58">
        <v>4</v>
      </c>
      <c r="F58" t="s">
        <v>383</v>
      </c>
      <c r="G58" t="s">
        <v>323</v>
      </c>
    </row>
    <row r="59" spans="1:7">
      <c r="A59">
        <v>44</v>
      </c>
      <c r="B59">
        <v>2</v>
      </c>
      <c r="C59">
        <v>5</v>
      </c>
      <c r="E59">
        <v>4</v>
      </c>
      <c r="F59" t="s">
        <v>384</v>
      </c>
      <c r="G59" t="s">
        <v>323</v>
      </c>
    </row>
    <row r="60" spans="1:7">
      <c r="A60">
        <v>44</v>
      </c>
      <c r="B60">
        <v>4</v>
      </c>
      <c r="C60">
        <v>5</v>
      </c>
      <c r="E60">
        <v>4</v>
      </c>
      <c r="F60" t="s">
        <v>385</v>
      </c>
      <c r="G60" t="s">
        <v>323</v>
      </c>
    </row>
    <row r="61" spans="1:7">
      <c r="A61">
        <v>44</v>
      </c>
      <c r="B61">
        <v>5</v>
      </c>
      <c r="C61">
        <v>5</v>
      </c>
      <c r="E61">
        <v>4</v>
      </c>
      <c r="F61" t="s">
        <v>386</v>
      </c>
      <c r="G61" t="s">
        <v>323</v>
      </c>
    </row>
    <row r="62" spans="1:7">
      <c r="A62">
        <v>44</v>
      </c>
      <c r="B62">
        <v>6</v>
      </c>
      <c r="C62">
        <v>5</v>
      </c>
      <c r="E62">
        <v>4</v>
      </c>
      <c r="F62" t="s">
        <v>387</v>
      </c>
      <c r="G62" t="s">
        <v>323</v>
      </c>
    </row>
    <row r="63" spans="1:7">
      <c r="A63">
        <v>44</v>
      </c>
      <c r="B63">
        <v>7</v>
      </c>
      <c r="C63">
        <v>5</v>
      </c>
      <c r="E63">
        <v>4</v>
      </c>
      <c r="F63" t="s">
        <v>388</v>
      </c>
      <c r="G63" t="s">
        <v>323</v>
      </c>
    </row>
    <row r="64" spans="1:7">
      <c r="A64">
        <v>44</v>
      </c>
      <c r="B64">
        <v>1</v>
      </c>
      <c r="C64">
        <v>3</v>
      </c>
      <c r="E64">
        <v>2</v>
      </c>
      <c r="F64" t="s">
        <v>389</v>
      </c>
      <c r="G64" t="s">
        <v>70</v>
      </c>
    </row>
    <row r="65" spans="1:7">
      <c r="A65">
        <v>44</v>
      </c>
      <c r="B65">
        <v>2</v>
      </c>
      <c r="C65">
        <v>3</v>
      </c>
      <c r="E65">
        <v>2</v>
      </c>
      <c r="F65" t="s">
        <v>390</v>
      </c>
      <c r="G65" t="s">
        <v>70</v>
      </c>
    </row>
    <row r="66" spans="1:7">
      <c r="A66">
        <v>44</v>
      </c>
      <c r="B66">
        <v>5</v>
      </c>
      <c r="C66">
        <v>3</v>
      </c>
      <c r="E66">
        <v>2</v>
      </c>
      <c r="F66" t="s">
        <v>391</v>
      </c>
      <c r="G66" t="s">
        <v>70</v>
      </c>
    </row>
    <row r="67" spans="1:7">
      <c r="A67">
        <v>44</v>
      </c>
      <c r="B67">
        <v>6</v>
      </c>
      <c r="C67">
        <v>3</v>
      </c>
      <c r="E67">
        <v>2</v>
      </c>
      <c r="F67" t="s">
        <v>392</v>
      </c>
      <c r="G67" t="s">
        <v>70</v>
      </c>
    </row>
    <row r="68" spans="1:7">
      <c r="A68">
        <v>44</v>
      </c>
      <c r="B68">
        <v>7</v>
      </c>
      <c r="C68">
        <v>3</v>
      </c>
      <c r="E68">
        <v>2</v>
      </c>
      <c r="F68" t="s">
        <v>393</v>
      </c>
      <c r="G68" t="s">
        <v>70</v>
      </c>
    </row>
    <row r="69" spans="1:7">
      <c r="A69">
        <v>44</v>
      </c>
      <c r="B69">
        <v>1</v>
      </c>
      <c r="C69">
        <v>4</v>
      </c>
      <c r="E69">
        <v>2</v>
      </c>
      <c r="F69" t="s">
        <v>394</v>
      </c>
      <c r="G69" t="s">
        <v>70</v>
      </c>
    </row>
    <row r="70" spans="1:7">
      <c r="A70">
        <v>44</v>
      </c>
      <c r="B70">
        <v>2</v>
      </c>
      <c r="C70">
        <v>4</v>
      </c>
      <c r="E70">
        <v>2</v>
      </c>
      <c r="F70" t="s">
        <v>395</v>
      </c>
      <c r="G70" t="s">
        <v>70</v>
      </c>
    </row>
    <row r="71" spans="1:7">
      <c r="A71">
        <v>44</v>
      </c>
      <c r="B71">
        <v>5</v>
      </c>
      <c r="C71">
        <v>4</v>
      </c>
      <c r="E71">
        <v>2</v>
      </c>
      <c r="F71" t="s">
        <v>396</v>
      </c>
      <c r="G71" t="s">
        <v>70</v>
      </c>
    </row>
    <row r="72" spans="1:7">
      <c r="A72">
        <v>44</v>
      </c>
      <c r="B72">
        <v>6</v>
      </c>
      <c r="C72">
        <v>4</v>
      </c>
      <c r="E72">
        <v>2</v>
      </c>
      <c r="F72" t="s">
        <v>397</v>
      </c>
      <c r="G72" t="s">
        <v>70</v>
      </c>
    </row>
    <row r="73" spans="1:7">
      <c r="A73">
        <v>44</v>
      </c>
      <c r="B73">
        <v>7</v>
      </c>
      <c r="C73">
        <v>4</v>
      </c>
      <c r="E73">
        <v>2</v>
      </c>
      <c r="F73" t="s">
        <v>398</v>
      </c>
      <c r="G73" t="s">
        <v>70</v>
      </c>
    </row>
    <row r="74" spans="1:7">
      <c r="A74">
        <v>44</v>
      </c>
      <c r="B74">
        <v>1</v>
      </c>
      <c r="C74">
        <v>5</v>
      </c>
      <c r="E74">
        <v>2</v>
      </c>
      <c r="F74" t="s">
        <v>399</v>
      </c>
      <c r="G74" t="s">
        <v>70</v>
      </c>
    </row>
    <row r="75" spans="1:7">
      <c r="A75">
        <v>44</v>
      </c>
      <c r="B75">
        <v>2</v>
      </c>
      <c r="C75">
        <v>5</v>
      </c>
      <c r="E75">
        <v>2</v>
      </c>
      <c r="F75" t="s">
        <v>400</v>
      </c>
      <c r="G75" t="s">
        <v>70</v>
      </c>
    </row>
    <row r="76" spans="1:7">
      <c r="A76">
        <v>44</v>
      </c>
      <c r="B76">
        <v>5</v>
      </c>
      <c r="C76">
        <v>5</v>
      </c>
      <c r="E76">
        <v>2</v>
      </c>
      <c r="F76" t="s">
        <v>401</v>
      </c>
      <c r="G76" t="s">
        <v>70</v>
      </c>
    </row>
    <row r="77" spans="1:7">
      <c r="A77">
        <v>44</v>
      </c>
      <c r="B77">
        <v>6</v>
      </c>
      <c r="C77">
        <v>5</v>
      </c>
      <c r="E77">
        <v>2</v>
      </c>
      <c r="F77" t="s">
        <v>402</v>
      </c>
      <c r="G77" t="s">
        <v>70</v>
      </c>
    </row>
    <row r="78" spans="1:7">
      <c r="A78">
        <v>44</v>
      </c>
      <c r="B78">
        <v>7</v>
      </c>
      <c r="C78">
        <v>5</v>
      </c>
      <c r="E78">
        <v>2</v>
      </c>
      <c r="F78" t="s">
        <v>403</v>
      </c>
      <c r="G78" t="s">
        <v>70</v>
      </c>
    </row>
    <row r="79" spans="1:7">
      <c r="A79">
        <v>44</v>
      </c>
      <c r="B79">
        <v>1</v>
      </c>
      <c r="C79">
        <v>3</v>
      </c>
      <c r="E79">
        <v>3</v>
      </c>
      <c r="F79" t="s">
        <v>404</v>
      </c>
      <c r="G79" t="s">
        <v>324</v>
      </c>
    </row>
    <row r="80" spans="1:7">
      <c r="A80">
        <v>44</v>
      </c>
      <c r="B80">
        <v>2</v>
      </c>
      <c r="C80">
        <v>3</v>
      </c>
      <c r="E80">
        <v>3</v>
      </c>
      <c r="F80" t="s">
        <v>405</v>
      </c>
      <c r="G80" t="s">
        <v>324</v>
      </c>
    </row>
    <row r="81" spans="1:7">
      <c r="A81">
        <v>44</v>
      </c>
      <c r="B81">
        <v>5</v>
      </c>
      <c r="C81">
        <v>3</v>
      </c>
      <c r="E81">
        <v>3</v>
      </c>
      <c r="F81" t="s">
        <v>406</v>
      </c>
      <c r="G81" t="s">
        <v>324</v>
      </c>
    </row>
    <row r="82" spans="1:7">
      <c r="A82">
        <v>44</v>
      </c>
      <c r="B82">
        <v>6</v>
      </c>
      <c r="C82">
        <v>3</v>
      </c>
      <c r="E82">
        <v>3</v>
      </c>
      <c r="F82" t="s">
        <v>407</v>
      </c>
      <c r="G82" t="s">
        <v>324</v>
      </c>
    </row>
    <row r="83" spans="1:7">
      <c r="A83">
        <v>44</v>
      </c>
      <c r="B83">
        <v>7</v>
      </c>
      <c r="C83">
        <v>3</v>
      </c>
      <c r="E83">
        <v>3</v>
      </c>
      <c r="F83" t="s">
        <v>408</v>
      </c>
      <c r="G83" t="s">
        <v>324</v>
      </c>
    </row>
    <row r="84" spans="1:7">
      <c r="A84">
        <v>44</v>
      </c>
      <c r="B84">
        <v>1</v>
      </c>
      <c r="C84">
        <v>4</v>
      </c>
      <c r="E84">
        <v>3</v>
      </c>
      <c r="F84" t="s">
        <v>409</v>
      </c>
      <c r="G84" t="s">
        <v>324</v>
      </c>
    </row>
    <row r="85" spans="1:7">
      <c r="A85">
        <v>44</v>
      </c>
      <c r="B85">
        <v>2</v>
      </c>
      <c r="C85">
        <v>4</v>
      </c>
      <c r="E85">
        <v>3</v>
      </c>
      <c r="F85" t="s">
        <v>410</v>
      </c>
      <c r="G85" t="s">
        <v>324</v>
      </c>
    </row>
    <row r="86" spans="1:7">
      <c r="A86">
        <v>44</v>
      </c>
      <c r="B86">
        <v>5</v>
      </c>
      <c r="C86">
        <v>4</v>
      </c>
      <c r="E86">
        <v>3</v>
      </c>
      <c r="F86" t="s">
        <v>411</v>
      </c>
      <c r="G86" t="s">
        <v>324</v>
      </c>
    </row>
    <row r="87" spans="1:7">
      <c r="A87">
        <v>44</v>
      </c>
      <c r="B87">
        <v>6</v>
      </c>
      <c r="C87">
        <v>4</v>
      </c>
      <c r="E87">
        <v>3</v>
      </c>
      <c r="F87" t="s">
        <v>412</v>
      </c>
      <c r="G87" t="s">
        <v>324</v>
      </c>
    </row>
    <row r="88" spans="1:7">
      <c r="A88">
        <v>44</v>
      </c>
      <c r="B88">
        <v>7</v>
      </c>
      <c r="C88">
        <v>4</v>
      </c>
      <c r="E88">
        <v>3</v>
      </c>
      <c r="F88" t="s">
        <v>413</v>
      </c>
      <c r="G88" t="s">
        <v>324</v>
      </c>
    </row>
    <row r="89" spans="1:7">
      <c r="A89">
        <v>44</v>
      </c>
      <c r="B89">
        <v>1</v>
      </c>
      <c r="C89">
        <v>5</v>
      </c>
      <c r="E89">
        <v>3</v>
      </c>
      <c r="F89" t="s">
        <v>414</v>
      </c>
      <c r="G89" t="s">
        <v>324</v>
      </c>
    </row>
    <row r="90" spans="1:7">
      <c r="A90">
        <v>44</v>
      </c>
      <c r="B90">
        <v>2</v>
      </c>
      <c r="C90">
        <v>5</v>
      </c>
      <c r="E90">
        <v>3</v>
      </c>
      <c r="F90" t="s">
        <v>415</v>
      </c>
      <c r="G90" t="s">
        <v>324</v>
      </c>
    </row>
    <row r="91" spans="1:7">
      <c r="A91">
        <v>44</v>
      </c>
      <c r="B91">
        <v>5</v>
      </c>
      <c r="C91">
        <v>5</v>
      </c>
      <c r="E91">
        <v>3</v>
      </c>
      <c r="F91" t="s">
        <v>416</v>
      </c>
      <c r="G91" t="s">
        <v>324</v>
      </c>
    </row>
    <row r="92" spans="1:7">
      <c r="A92">
        <v>44</v>
      </c>
      <c r="B92">
        <v>6</v>
      </c>
      <c r="C92">
        <v>5</v>
      </c>
      <c r="E92">
        <v>3</v>
      </c>
      <c r="F92" t="s">
        <v>417</v>
      </c>
      <c r="G92" t="s">
        <v>324</v>
      </c>
    </row>
    <row r="93" spans="1:7">
      <c r="A93">
        <v>44</v>
      </c>
      <c r="B93">
        <v>7</v>
      </c>
      <c r="C93">
        <v>5</v>
      </c>
      <c r="E93">
        <v>3</v>
      </c>
      <c r="F93" t="s">
        <v>418</v>
      </c>
      <c r="G93" t="s">
        <v>324</v>
      </c>
    </row>
    <row r="94" spans="1:7">
      <c r="A94">
        <v>44</v>
      </c>
      <c r="B94">
        <v>9</v>
      </c>
      <c r="C94">
        <v>3</v>
      </c>
      <c r="E94">
        <v>1</v>
      </c>
      <c r="F94" t="s">
        <v>419</v>
      </c>
      <c r="G94" t="s">
        <v>325</v>
      </c>
    </row>
    <row r="95" spans="1:7">
      <c r="A95">
        <v>44</v>
      </c>
      <c r="B95">
        <v>9</v>
      </c>
      <c r="C95">
        <v>4</v>
      </c>
      <c r="E95">
        <v>1</v>
      </c>
      <c r="F95" t="s">
        <v>420</v>
      </c>
      <c r="G95" t="s">
        <v>325</v>
      </c>
    </row>
    <row r="96" spans="1:7">
      <c r="A96">
        <v>44</v>
      </c>
      <c r="B96">
        <v>9</v>
      </c>
      <c r="C96">
        <v>1</v>
      </c>
      <c r="E96">
        <v>1</v>
      </c>
      <c r="F96" t="s">
        <v>421</v>
      </c>
      <c r="G96" t="s">
        <v>325</v>
      </c>
    </row>
    <row r="97" spans="1:7">
      <c r="A97">
        <v>44</v>
      </c>
      <c r="B97">
        <v>9</v>
      </c>
      <c r="C97">
        <v>3</v>
      </c>
      <c r="E97">
        <v>4</v>
      </c>
      <c r="F97" t="s">
        <v>422</v>
      </c>
      <c r="G97" t="s">
        <v>325</v>
      </c>
    </row>
    <row r="98" spans="1:7">
      <c r="A98">
        <v>44</v>
      </c>
      <c r="B98">
        <v>9</v>
      </c>
      <c r="C98">
        <v>4</v>
      </c>
      <c r="E98">
        <v>4</v>
      </c>
      <c r="F98" t="s">
        <v>423</v>
      </c>
      <c r="G98" t="s">
        <v>325</v>
      </c>
    </row>
    <row r="99" spans="1:7">
      <c r="A99">
        <v>44</v>
      </c>
      <c r="B99">
        <v>9</v>
      </c>
      <c r="C99">
        <v>1</v>
      </c>
      <c r="E99">
        <v>4</v>
      </c>
      <c r="F99" t="s">
        <v>424</v>
      </c>
      <c r="G99" t="s">
        <v>325</v>
      </c>
    </row>
    <row r="100" spans="1:7">
      <c r="A100">
        <v>44</v>
      </c>
      <c r="B100">
        <v>9</v>
      </c>
      <c r="C100">
        <v>3</v>
      </c>
      <c r="E100">
        <v>3</v>
      </c>
      <c r="F100" t="s">
        <v>425</v>
      </c>
      <c r="G100" t="s">
        <v>326</v>
      </c>
    </row>
    <row r="101" spans="1:7">
      <c r="A101">
        <v>44</v>
      </c>
      <c r="B101">
        <v>9</v>
      </c>
      <c r="C101">
        <v>4</v>
      </c>
      <c r="E101">
        <v>3</v>
      </c>
      <c r="F101" t="s">
        <v>426</v>
      </c>
      <c r="G101" t="s">
        <v>326</v>
      </c>
    </row>
    <row r="102" spans="1:7">
      <c r="A102">
        <v>44</v>
      </c>
      <c r="B102">
        <v>9</v>
      </c>
      <c r="C102">
        <v>1</v>
      </c>
      <c r="E102">
        <v>3</v>
      </c>
      <c r="F102" t="s">
        <v>427</v>
      </c>
      <c r="G102" t="s">
        <v>326</v>
      </c>
    </row>
    <row r="103" spans="1:7">
      <c r="A103">
        <v>44</v>
      </c>
      <c r="B103">
        <v>9</v>
      </c>
      <c r="C103">
        <v>3</v>
      </c>
      <c r="E103">
        <v>2</v>
      </c>
      <c r="F103" t="s">
        <v>428</v>
      </c>
      <c r="G103">
        <v>18</v>
      </c>
    </row>
    <row r="104" spans="1:7">
      <c r="A104">
        <v>44</v>
      </c>
      <c r="B104">
        <v>9</v>
      </c>
      <c r="C104">
        <v>4</v>
      </c>
      <c r="E104">
        <v>2</v>
      </c>
      <c r="F104" t="s">
        <v>429</v>
      </c>
      <c r="G104">
        <v>18</v>
      </c>
    </row>
    <row r="105" spans="1:7">
      <c r="A105">
        <v>44</v>
      </c>
      <c r="B105">
        <v>9</v>
      </c>
      <c r="C105">
        <v>1</v>
      </c>
      <c r="E105">
        <v>2</v>
      </c>
      <c r="F105" t="s">
        <v>430</v>
      </c>
      <c r="G105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BD995"/>
  <sheetViews>
    <sheetView topLeftCell="A712" workbookViewId="0">
      <selection activeCell="H740" sqref="H740"/>
    </sheetView>
  </sheetViews>
  <sheetFormatPr defaultRowHeight="15"/>
  <cols>
    <col min="1" max="1" width="8.7109375" bestFit="1" customWidth="1"/>
    <col min="2" max="2" width="6.140625" bestFit="1" customWidth="1"/>
    <col min="3" max="6" width="15.7109375" customWidth="1"/>
    <col min="7" max="7" width="5.5703125" bestFit="1" customWidth="1"/>
    <col min="20" max="20" width="8.7109375" bestFit="1" customWidth="1"/>
    <col min="21" max="21" width="7.85546875" customWidth="1"/>
    <col min="37" max="37" width="13.140625" bestFit="1" customWidth="1"/>
    <col min="38" max="38" width="13.140625" hidden="1" customWidth="1"/>
    <col min="39" max="39" width="13.140625" bestFit="1" customWidth="1"/>
    <col min="41" max="41" width="15.140625" hidden="1" customWidth="1"/>
    <col min="42" max="42" width="22.7109375" bestFit="1" customWidth="1"/>
    <col min="43" max="43" width="10.42578125" bestFit="1" customWidth="1"/>
  </cols>
  <sheetData>
    <row r="1" spans="1:56">
      <c r="A1" s="9" t="s">
        <v>431</v>
      </c>
      <c r="B1" s="9" t="s">
        <v>432</v>
      </c>
      <c r="C1" s="9" t="s">
        <v>433</v>
      </c>
      <c r="D1" s="9" t="s">
        <v>434</v>
      </c>
      <c r="E1" s="9" t="s">
        <v>435</v>
      </c>
      <c r="F1" s="9" t="s">
        <v>436</v>
      </c>
      <c r="G1" s="9" t="s">
        <v>437</v>
      </c>
      <c r="J1" t="s">
        <v>438</v>
      </c>
      <c r="N1" t="s">
        <v>439</v>
      </c>
      <c r="P1" t="s">
        <v>440</v>
      </c>
      <c r="R1" t="s">
        <v>0</v>
      </c>
      <c r="T1" s="9" t="s">
        <v>431</v>
      </c>
      <c r="U1" s="9" t="s">
        <v>432</v>
      </c>
      <c r="W1" t="s">
        <v>441</v>
      </c>
      <c r="Y1" t="s">
        <v>442</v>
      </c>
      <c r="Z1" t="s">
        <v>443</v>
      </c>
      <c r="AD1" s="10" t="s">
        <v>32</v>
      </c>
      <c r="AF1" t="s">
        <v>33</v>
      </c>
      <c r="AH1" t="s">
        <v>34</v>
      </c>
      <c r="AI1" t="s">
        <v>444</v>
      </c>
      <c r="AK1" t="s">
        <v>34</v>
      </c>
      <c r="AM1" t="s">
        <v>444</v>
      </c>
      <c r="AQ1" t="s">
        <v>445</v>
      </c>
      <c r="AT1">
        <v>1011</v>
      </c>
      <c r="AU1" t="s">
        <v>50</v>
      </c>
      <c r="AW1" t="s">
        <v>446</v>
      </c>
      <c r="AX1" t="s">
        <v>447</v>
      </c>
      <c r="BA1" t="s">
        <v>448</v>
      </c>
      <c r="BB1" t="s">
        <v>449</v>
      </c>
      <c r="BC1" t="s">
        <v>450</v>
      </c>
      <c r="BD1" t="s">
        <v>451</v>
      </c>
    </row>
    <row r="2" spans="1:56" ht="15" customHeight="1">
      <c r="A2" s="11">
        <v>1011</v>
      </c>
      <c r="B2" s="11">
        <v>4239</v>
      </c>
      <c r="C2" s="12" t="str">
        <f t="shared" ref="C2:C65" si="0">CONCATENATE(A2,B2)</f>
        <v>10114239</v>
      </c>
      <c r="D2" s="11" t="s">
        <v>41</v>
      </c>
      <c r="E2" s="11" t="s">
        <v>452</v>
      </c>
      <c r="F2" s="11" t="s">
        <v>453</v>
      </c>
      <c r="G2" s="11">
        <v>0</v>
      </c>
      <c r="J2" t="s">
        <v>454</v>
      </c>
      <c r="N2">
        <v>3</v>
      </c>
      <c r="O2" t="s">
        <v>455</v>
      </c>
      <c r="P2">
        <v>1</v>
      </c>
      <c r="R2">
        <v>1</v>
      </c>
      <c r="T2" s="11">
        <v>1011</v>
      </c>
      <c r="U2" s="11">
        <v>4239</v>
      </c>
      <c r="W2" s="13">
        <v>1011</v>
      </c>
      <c r="Y2" t="s">
        <v>456</v>
      </c>
      <c r="Z2" s="14" t="s">
        <v>41</v>
      </c>
      <c r="AD2" s="15">
        <v>10</v>
      </c>
      <c r="AF2">
        <v>0</v>
      </c>
      <c r="AH2" t="s">
        <v>456</v>
      </c>
      <c r="AI2" s="18">
        <v>90</v>
      </c>
      <c r="AK2" s="18">
        <v>1</v>
      </c>
      <c r="AL2" s="18" t="str">
        <f>CONCATENATE("G",AK2)</f>
        <v>G1</v>
      </c>
      <c r="AM2" s="18">
        <v>90</v>
      </c>
      <c r="AO2" t="str">
        <f>CONCATENATE("M",AM2)</f>
        <v>M90</v>
      </c>
      <c r="AP2" t="str">
        <f>CONCATENATE(AL2,AO2)</f>
        <v>G1M90</v>
      </c>
      <c r="AQ2" s="18">
        <v>1</v>
      </c>
      <c r="AT2">
        <v>1021</v>
      </c>
      <c r="AU2" t="s">
        <v>54</v>
      </c>
      <c r="AW2" t="str">
        <f>IF(Tabela4[[#This Row],[JUSTIFICATIVA]]="","",CONCATENATE("B",Tabela4[[#This Row],[BLOCO]],Tabela4[[#This Row],[UO_COD]]))</f>
        <v>B14711</v>
      </c>
      <c r="AX2" t="str">
        <f>Tabela4[[#This Row],[JUSTIFICATIVA]]</f>
        <v>Substituição de fonte</v>
      </c>
      <c r="BA2" t="s">
        <v>457</v>
      </c>
      <c r="BB2" t="s">
        <v>458</v>
      </c>
      <c r="BC2" t="str">
        <f>CONCATENATE("G",BA2,"M",BB2)</f>
        <v>G1M90</v>
      </c>
      <c r="BD2">
        <v>13</v>
      </c>
    </row>
    <row r="3" spans="1:56" ht="15" customHeight="1">
      <c r="A3" s="11">
        <v>1011</v>
      </c>
      <c r="B3" s="11">
        <v>7004</v>
      </c>
      <c r="C3" s="12" t="str">
        <f t="shared" si="0"/>
        <v>10117004</v>
      </c>
      <c r="D3" s="11" t="s">
        <v>459</v>
      </c>
      <c r="E3" s="11" t="s">
        <v>460</v>
      </c>
      <c r="F3" s="11" t="s">
        <v>461</v>
      </c>
      <c r="G3" s="11">
        <v>0</v>
      </c>
      <c r="J3" t="s">
        <v>462</v>
      </c>
      <c r="N3">
        <v>4</v>
      </c>
      <c r="O3" t="s">
        <v>463</v>
      </c>
      <c r="P3">
        <v>2</v>
      </c>
      <c r="R3">
        <v>2</v>
      </c>
      <c r="T3" s="11">
        <v>1011</v>
      </c>
      <c r="U3" s="11">
        <v>7004</v>
      </c>
      <c r="W3" s="13">
        <v>1021</v>
      </c>
      <c r="Y3" t="s">
        <v>456</v>
      </c>
      <c r="Z3" s="14" t="s">
        <v>56</v>
      </c>
      <c r="AD3" s="15">
        <v>13</v>
      </c>
      <c r="AF3">
        <v>1</v>
      </c>
      <c r="AH3" t="s">
        <v>456</v>
      </c>
      <c r="AI3" s="18">
        <v>91</v>
      </c>
      <c r="AK3" s="18">
        <v>1</v>
      </c>
      <c r="AL3" s="18" t="str">
        <f t="shared" ref="AL3:AL66" si="1">CONCATENATE("G",AK3)</f>
        <v>G1</v>
      </c>
      <c r="AM3" s="18">
        <v>90</v>
      </c>
      <c r="AO3" t="str">
        <f t="shared" ref="AO3:AO66" si="2">CONCATENATE("M",AM3)</f>
        <v>M90</v>
      </c>
      <c r="AP3" t="str">
        <f t="shared" ref="AP3:AP66" si="3">CONCATENATE(AL3,AO3)</f>
        <v>G1M90</v>
      </c>
      <c r="AQ3" s="18">
        <v>3</v>
      </c>
      <c r="AT3">
        <v>1031</v>
      </c>
      <c r="AU3" t="s">
        <v>60</v>
      </c>
      <c r="AW3" t="str">
        <f>IF(Tabela4[[#This Row],[JUSTIFICATIVA]]="","",CONCATENATE("B",Tabela4[[#This Row],[BLOCO]],Tabela4[[#This Row],[UO_COD]]))</f>
        <v>B11911</v>
      </c>
      <c r="AX3" t="str">
        <f>Tabela4[[#This Row],[JUSTIFICATIVA]]</f>
        <v>Regime emergencial de abastecimento interno de combustíveis_Medida Provisória nº 1.349, de 7 de abril de 2026</v>
      </c>
      <c r="BA3" t="s">
        <v>457</v>
      </c>
      <c r="BB3" t="s">
        <v>464</v>
      </c>
      <c r="BC3" t="str">
        <f t="shared" ref="BC3:BC46" si="4">CONCATENATE("G",BA3,"M",BB3)</f>
        <v>G1M91</v>
      </c>
      <c r="BD3" t="s">
        <v>465</v>
      </c>
    </row>
    <row r="4" spans="1:56" ht="15" customHeight="1">
      <c r="A4" s="11">
        <v>1011</v>
      </c>
      <c r="B4" s="11">
        <v>7006</v>
      </c>
      <c r="C4" s="12" t="str">
        <f t="shared" si="0"/>
        <v>10117006</v>
      </c>
      <c r="D4" s="11" t="s">
        <v>70</v>
      </c>
      <c r="E4" s="11" t="s">
        <v>466</v>
      </c>
      <c r="F4" s="11" t="s">
        <v>461</v>
      </c>
      <c r="G4" s="11">
        <v>0</v>
      </c>
      <c r="J4" t="s">
        <v>467</v>
      </c>
      <c r="O4" t="s">
        <v>468</v>
      </c>
      <c r="P4">
        <v>3</v>
      </c>
      <c r="R4">
        <v>3</v>
      </c>
      <c r="T4" s="11">
        <v>1011</v>
      </c>
      <c r="U4" s="11">
        <v>7006</v>
      </c>
      <c r="W4" s="13">
        <v>1031</v>
      </c>
      <c r="Y4" t="s">
        <v>456</v>
      </c>
      <c r="Z4" s="14" t="s">
        <v>322</v>
      </c>
      <c r="AD4" s="15">
        <v>15</v>
      </c>
      <c r="AF4">
        <v>2</v>
      </c>
      <c r="AH4" t="s">
        <v>456</v>
      </c>
      <c r="AI4" s="18">
        <v>99</v>
      </c>
      <c r="AK4" s="18">
        <v>1</v>
      </c>
      <c r="AL4" s="18" t="str">
        <f t="shared" si="1"/>
        <v>G1</v>
      </c>
      <c r="AM4" s="18">
        <v>90</v>
      </c>
      <c r="AO4" t="str">
        <f t="shared" si="2"/>
        <v>M90</v>
      </c>
      <c r="AP4" t="str">
        <f t="shared" si="3"/>
        <v>G1M90</v>
      </c>
      <c r="AQ4" s="18">
        <v>4</v>
      </c>
      <c r="AT4">
        <v>1051</v>
      </c>
      <c r="AU4" t="s">
        <v>64</v>
      </c>
      <c r="AW4" t="str">
        <f>IF(Tabela4[[#This Row],[JUSTIFICATIVA]]="","",CONCATENATE("B",Tabela4[[#This Row],[BLOCO]],Tabela4[[#This Row],[UO_COD]]))</f>
        <v>B11911</v>
      </c>
      <c r="AX4" t="str">
        <f>Tabela4[[#This Row],[JUSTIFICATIVA]]</f>
        <v>Tarifas para realização da venda da Companhia de Saneamento de Minas Gerais – COPASA</v>
      </c>
      <c r="BA4" t="s">
        <v>457</v>
      </c>
      <c r="BB4" t="s">
        <v>469</v>
      </c>
      <c r="BC4" t="str">
        <f t="shared" si="4"/>
        <v>G1M99</v>
      </c>
      <c r="BD4" t="s">
        <v>469</v>
      </c>
    </row>
    <row r="5" spans="1:56" ht="15" customHeight="1">
      <c r="A5" s="11">
        <v>1021</v>
      </c>
      <c r="B5" s="11">
        <v>2009</v>
      </c>
      <c r="C5" s="12" t="str">
        <f t="shared" si="0"/>
        <v>10212009</v>
      </c>
      <c r="D5" s="11" t="s">
        <v>41</v>
      </c>
      <c r="E5" s="11" t="s">
        <v>470</v>
      </c>
      <c r="F5" s="11" t="s">
        <v>471</v>
      </c>
      <c r="G5" s="11">
        <v>0</v>
      </c>
      <c r="P5">
        <v>4</v>
      </c>
      <c r="R5">
        <v>4</v>
      </c>
      <c r="T5" s="11">
        <v>1021</v>
      </c>
      <c r="U5" s="11">
        <v>2009</v>
      </c>
      <c r="W5" s="13">
        <v>1051</v>
      </c>
      <c r="Y5" t="s">
        <v>456</v>
      </c>
      <c r="Z5" s="14" t="s">
        <v>62</v>
      </c>
      <c r="AD5" s="15">
        <v>26</v>
      </c>
      <c r="AF5">
        <v>4</v>
      </c>
      <c r="AH5" t="s">
        <v>472</v>
      </c>
      <c r="AI5" s="18">
        <v>90</v>
      </c>
      <c r="AK5" s="18">
        <v>1</v>
      </c>
      <c r="AL5" s="18" t="str">
        <f t="shared" si="1"/>
        <v>G1</v>
      </c>
      <c r="AM5" s="18">
        <v>90</v>
      </c>
      <c r="AO5" t="str">
        <f t="shared" si="2"/>
        <v>M90</v>
      </c>
      <c r="AP5" t="str">
        <f t="shared" si="3"/>
        <v>G1M90</v>
      </c>
      <c r="AQ5" s="18">
        <v>5</v>
      </c>
      <c r="AT5">
        <v>1071</v>
      </c>
      <c r="AU5" t="s">
        <v>473</v>
      </c>
      <c r="AW5" t="str">
        <f>IF(Tabela4[[#This Row],[JUSTIFICATIVA]]="","",CONCATENATE("B",Tabela4[[#This Row],[BLOCO]],Tabela4[[#This Row],[UO_COD]]))</f>
        <v>B24291</v>
      </c>
      <c r="AX5" t="str">
        <f>Tabela4[[#This Row],[JUSTIFICATIVA]]</f>
        <v>Remanejamento de Crédito para atender demandas do Fundo Estadual de Saúde.</v>
      </c>
      <c r="BA5" t="s">
        <v>58</v>
      </c>
      <c r="BB5" t="s">
        <v>458</v>
      </c>
      <c r="BC5" t="str">
        <f t="shared" si="4"/>
        <v>G2M90</v>
      </c>
      <c r="BD5" t="s">
        <v>465</v>
      </c>
    </row>
    <row r="6" spans="1:56" ht="15" customHeight="1">
      <c r="A6" s="11">
        <v>1021</v>
      </c>
      <c r="B6" s="11">
        <v>2145</v>
      </c>
      <c r="C6" s="12" t="str">
        <f t="shared" si="0"/>
        <v>10212145</v>
      </c>
      <c r="D6" s="11" t="s">
        <v>41</v>
      </c>
      <c r="E6" s="11" t="s">
        <v>474</v>
      </c>
      <c r="F6" s="11" t="s">
        <v>475</v>
      </c>
      <c r="G6" s="11">
        <v>0</v>
      </c>
      <c r="P6">
        <v>5</v>
      </c>
      <c r="R6">
        <v>5</v>
      </c>
      <c r="T6" s="11">
        <v>1021</v>
      </c>
      <c r="U6" s="11">
        <v>2145</v>
      </c>
      <c r="W6" s="13">
        <v>1071</v>
      </c>
      <c r="Y6" t="s">
        <v>456</v>
      </c>
      <c r="Z6" s="14" t="s">
        <v>323</v>
      </c>
      <c r="AD6" s="15">
        <v>27</v>
      </c>
      <c r="AF6">
        <v>5</v>
      </c>
      <c r="AH6" t="s">
        <v>472</v>
      </c>
      <c r="AI6" s="18">
        <v>91</v>
      </c>
      <c r="AK6" s="18">
        <v>1</v>
      </c>
      <c r="AL6" s="18" t="str">
        <f t="shared" si="1"/>
        <v>G1</v>
      </c>
      <c r="AM6" s="18">
        <v>90</v>
      </c>
      <c r="AO6" t="str">
        <f t="shared" si="2"/>
        <v>M90</v>
      </c>
      <c r="AP6" t="str">
        <f t="shared" si="3"/>
        <v>G1M90</v>
      </c>
      <c r="AQ6" s="18">
        <v>7</v>
      </c>
      <c r="AT6">
        <v>1081</v>
      </c>
      <c r="AU6" t="s">
        <v>476</v>
      </c>
      <c r="AW6" t="str">
        <f>IF(Tabela4[[#This Row],[JUSTIFICATIVA]]="","",CONCATENATE("B",Tabela4[[#This Row],[BLOCO]],Tabela4[[#This Row],[UO_COD]]))</f>
        <v>B24291</v>
      </c>
      <c r="AX6" t="str">
        <f>Tabela4[[#This Row],[JUSTIFICATIVA]]</f>
        <v>Remanejamento de Crédito para atender demandas do Fundo Estadual de Saúde.</v>
      </c>
      <c r="BA6" t="s">
        <v>58</v>
      </c>
      <c r="BB6" t="s">
        <v>464</v>
      </c>
      <c r="BC6" t="str">
        <f t="shared" si="4"/>
        <v>G2M91</v>
      </c>
      <c r="BD6" t="s">
        <v>477</v>
      </c>
    </row>
    <row r="7" spans="1:56" ht="15" customHeight="1">
      <c r="A7" s="11">
        <v>1021</v>
      </c>
      <c r="B7" s="11">
        <v>2157</v>
      </c>
      <c r="C7" s="12" t="str">
        <f t="shared" si="0"/>
        <v>10212157</v>
      </c>
      <c r="D7" s="11" t="s">
        <v>41</v>
      </c>
      <c r="E7" s="11" t="s">
        <v>478</v>
      </c>
      <c r="F7" s="11" t="s">
        <v>461</v>
      </c>
      <c r="G7" s="11">
        <v>0</v>
      </c>
      <c r="P7">
        <v>6</v>
      </c>
      <c r="R7">
        <v>6</v>
      </c>
      <c r="T7" s="11">
        <v>1021</v>
      </c>
      <c r="U7" s="11">
        <v>2157</v>
      </c>
      <c r="W7" s="13">
        <v>1081</v>
      </c>
      <c r="Y7" t="s">
        <v>456</v>
      </c>
      <c r="Z7" s="14">
        <v>11</v>
      </c>
      <c r="AD7" s="15">
        <v>29</v>
      </c>
      <c r="AF7">
        <v>7</v>
      </c>
      <c r="AH7" t="s">
        <v>479</v>
      </c>
      <c r="AI7" s="18">
        <v>20</v>
      </c>
      <c r="AK7" s="18">
        <v>1</v>
      </c>
      <c r="AL7" s="18" t="str">
        <f t="shared" si="1"/>
        <v>G1</v>
      </c>
      <c r="AM7" s="18">
        <v>90</v>
      </c>
      <c r="AO7" t="str">
        <f t="shared" si="2"/>
        <v>M90</v>
      </c>
      <c r="AP7" t="str">
        <f t="shared" si="3"/>
        <v>G1M90</v>
      </c>
      <c r="AQ7" s="18">
        <v>11</v>
      </c>
      <c r="AT7">
        <v>1091</v>
      </c>
      <c r="AU7" t="s">
        <v>480</v>
      </c>
      <c r="AW7" t="str">
        <f>IF(Tabela4[[#This Row],[JUSTIFICATIVA]]="","",CONCATENATE("B",Tabela4[[#This Row],[BLOCO]],Tabela4[[#This Row],[UO_COD]]))</f>
        <v>B24291</v>
      </c>
      <c r="AX7" t="str">
        <f>Tabela4[[#This Row],[JUSTIFICATIVA]]</f>
        <v>Remanejamento de Crédito para atender demandas do Fundo Estadual de Saúde.</v>
      </c>
      <c r="BA7" t="s">
        <v>45</v>
      </c>
      <c r="BB7" t="s">
        <v>481</v>
      </c>
      <c r="BC7" t="str">
        <f t="shared" si="4"/>
        <v>G3M20</v>
      </c>
      <c r="BD7" t="s">
        <v>482</v>
      </c>
    </row>
    <row r="8" spans="1:56" ht="15" customHeight="1">
      <c r="A8" s="11">
        <v>1021</v>
      </c>
      <c r="B8" s="11">
        <v>4445</v>
      </c>
      <c r="C8" s="12" t="str">
        <f t="shared" si="0"/>
        <v>10214445</v>
      </c>
      <c r="D8" s="11" t="s">
        <v>41</v>
      </c>
      <c r="E8" s="11" t="s">
        <v>478</v>
      </c>
      <c r="F8" s="11" t="s">
        <v>471</v>
      </c>
      <c r="G8" s="11">
        <v>0</v>
      </c>
      <c r="P8">
        <v>9</v>
      </c>
      <c r="R8">
        <v>7</v>
      </c>
      <c r="T8" s="11">
        <v>1021</v>
      </c>
      <c r="U8" s="11">
        <v>4445</v>
      </c>
      <c r="W8" s="13">
        <v>1091</v>
      </c>
      <c r="Y8" t="s">
        <v>456</v>
      </c>
      <c r="Z8" s="14">
        <v>12</v>
      </c>
      <c r="AD8" s="15">
        <v>31</v>
      </c>
      <c r="AF8">
        <v>8</v>
      </c>
      <c r="AH8" t="s">
        <v>479</v>
      </c>
      <c r="AI8" s="18">
        <v>40</v>
      </c>
      <c r="AK8" s="18">
        <v>1</v>
      </c>
      <c r="AL8" s="18" t="str">
        <f t="shared" si="1"/>
        <v>G1</v>
      </c>
      <c r="AM8" s="18">
        <v>90</v>
      </c>
      <c r="AO8" t="str">
        <f t="shared" si="2"/>
        <v>M90</v>
      </c>
      <c r="AP8" t="str">
        <f t="shared" si="3"/>
        <v>G1M90</v>
      </c>
      <c r="AQ8" s="18">
        <v>12</v>
      </c>
      <c r="AT8">
        <v>1101</v>
      </c>
      <c r="AU8" t="s">
        <v>483</v>
      </c>
      <c r="AW8" t="str">
        <f>IF(Tabela4[[#This Row],[JUSTIFICATIVA]]="","",CONCATENATE("B",Tabela4[[#This Row],[BLOCO]],Tabela4[[#This Row],[UO_COD]]))</f>
        <v>B24291</v>
      </c>
      <c r="AX8" t="str">
        <f>Tabela4[[#This Row],[JUSTIFICATIVA]]</f>
        <v>Remanejamento de Crédito para atender demandas do Fundo Estadual de Saúde.</v>
      </c>
      <c r="BA8" t="s">
        <v>45</v>
      </c>
      <c r="BB8" t="s">
        <v>484</v>
      </c>
      <c r="BC8" t="str">
        <f t="shared" si="4"/>
        <v>G3M40</v>
      </c>
      <c r="BD8" t="s">
        <v>482</v>
      </c>
    </row>
    <row r="9" spans="1:56" ht="15" customHeight="1">
      <c r="A9" s="11">
        <v>1021</v>
      </c>
      <c r="B9" s="11">
        <v>7004</v>
      </c>
      <c r="C9" s="12" t="str">
        <f t="shared" si="0"/>
        <v>10217004</v>
      </c>
      <c r="D9" s="11" t="s">
        <v>459</v>
      </c>
      <c r="E9" s="11" t="s">
        <v>460</v>
      </c>
      <c r="F9" s="11" t="s">
        <v>461</v>
      </c>
      <c r="G9" s="11">
        <v>0</v>
      </c>
      <c r="R9">
        <v>8</v>
      </c>
      <c r="T9" s="11">
        <v>1021</v>
      </c>
      <c r="U9" s="11">
        <v>7004</v>
      </c>
      <c r="W9" s="13">
        <v>1101</v>
      </c>
      <c r="Y9" t="s">
        <v>456</v>
      </c>
      <c r="Z9" s="14">
        <v>13</v>
      </c>
      <c r="AD9" s="15">
        <v>32</v>
      </c>
      <c r="AF9">
        <v>9</v>
      </c>
      <c r="AH9" t="s">
        <v>479</v>
      </c>
      <c r="AI9" s="18">
        <v>41</v>
      </c>
      <c r="AK9" s="18">
        <v>1</v>
      </c>
      <c r="AL9" s="18" t="str">
        <f t="shared" si="1"/>
        <v>G1</v>
      </c>
      <c r="AM9" s="18">
        <v>90</v>
      </c>
      <c r="AO9" t="str">
        <f t="shared" si="2"/>
        <v>M90</v>
      </c>
      <c r="AP9" t="str">
        <f t="shared" si="3"/>
        <v>G1M90</v>
      </c>
      <c r="AQ9" s="18">
        <v>13</v>
      </c>
      <c r="AT9">
        <v>1191</v>
      </c>
      <c r="AU9" t="s">
        <v>485</v>
      </c>
      <c r="AW9" t="str">
        <f>IF(Tabela4[[#This Row],[JUSTIFICATIVA]]="","",CONCATENATE("B",Tabela4[[#This Row],[BLOCO]],Tabela4[[#This Row],[UO_COD]]))</f>
        <v>B31261</v>
      </c>
      <c r="AX9" t="str">
        <f>Tabela4[[#This Row],[JUSTIFICATIVA]]</f>
        <v>Ajuste além crédito</v>
      </c>
      <c r="BA9" t="s">
        <v>45</v>
      </c>
      <c r="BB9" t="s">
        <v>482</v>
      </c>
      <c r="BC9" t="str">
        <f t="shared" si="4"/>
        <v>G3M41</v>
      </c>
      <c r="BD9" t="s">
        <v>482</v>
      </c>
    </row>
    <row r="10" spans="1:56" ht="15" customHeight="1">
      <c r="A10" s="11">
        <v>1021</v>
      </c>
      <c r="B10" s="11">
        <v>7006</v>
      </c>
      <c r="C10" s="12" t="str">
        <f t="shared" si="0"/>
        <v>10217006</v>
      </c>
      <c r="D10" s="11" t="s">
        <v>70</v>
      </c>
      <c r="E10" s="11" t="s">
        <v>466</v>
      </c>
      <c r="F10" s="11" t="s">
        <v>461</v>
      </c>
      <c r="G10" s="11">
        <v>0</v>
      </c>
      <c r="R10">
        <v>9</v>
      </c>
      <c r="T10" s="11">
        <v>1021</v>
      </c>
      <c r="U10" s="11">
        <v>7006</v>
      </c>
      <c r="W10" s="13">
        <v>1191</v>
      </c>
      <c r="Y10" t="s">
        <v>456</v>
      </c>
      <c r="Z10" s="14">
        <v>16</v>
      </c>
      <c r="AD10" s="15">
        <v>33</v>
      </c>
      <c r="AH10" t="s">
        <v>479</v>
      </c>
      <c r="AI10" s="18">
        <v>50</v>
      </c>
      <c r="AK10" s="18">
        <v>1</v>
      </c>
      <c r="AL10" s="18" t="str">
        <f t="shared" si="1"/>
        <v>G1</v>
      </c>
      <c r="AM10" s="18">
        <v>90</v>
      </c>
      <c r="AO10" t="str">
        <f t="shared" si="2"/>
        <v>M90</v>
      </c>
      <c r="AP10" t="str">
        <f t="shared" si="3"/>
        <v>G1M90</v>
      </c>
      <c r="AQ10" s="18">
        <v>16</v>
      </c>
      <c r="AT10">
        <v>1221</v>
      </c>
      <c r="AU10" t="s">
        <v>85</v>
      </c>
      <c r="AW10" t="str">
        <f>IF(Tabela4[[#This Row],[JUSTIFICATIVA]]="","",CONCATENATE("B",Tabela4[[#This Row],[BLOCO]],Tabela4[[#This Row],[UO_COD]]))</f>
        <v/>
      </c>
      <c r="AX10">
        <f>Tabela4[[#This Row],[JUSTIFICATIVA]]</f>
        <v>0</v>
      </c>
      <c r="BA10" t="s">
        <v>45</v>
      </c>
      <c r="BB10" t="s">
        <v>486</v>
      </c>
      <c r="BC10" t="str">
        <f t="shared" si="4"/>
        <v>G3M45</v>
      </c>
      <c r="BD10" t="s">
        <v>482</v>
      </c>
    </row>
    <row r="11" spans="1:56" ht="15" customHeight="1">
      <c r="A11" s="11">
        <v>1031</v>
      </c>
      <c r="B11" s="11">
        <v>2053</v>
      </c>
      <c r="C11" s="12" t="str">
        <f t="shared" si="0"/>
        <v>10312053</v>
      </c>
      <c r="D11" s="11" t="s">
        <v>52</v>
      </c>
      <c r="E11" s="11" t="s">
        <v>470</v>
      </c>
      <c r="F11" s="11" t="s">
        <v>487</v>
      </c>
      <c r="G11" s="11">
        <v>0</v>
      </c>
      <c r="R11">
        <v>10</v>
      </c>
      <c r="T11" s="11">
        <v>1031</v>
      </c>
      <c r="U11" s="11">
        <v>2053</v>
      </c>
      <c r="W11" s="13">
        <v>1221</v>
      </c>
      <c r="Y11" t="s">
        <v>456</v>
      </c>
      <c r="Z11" s="14">
        <v>17</v>
      </c>
      <c r="AD11" s="15">
        <v>39</v>
      </c>
      <c r="AH11" t="s">
        <v>479</v>
      </c>
      <c r="AI11" s="18">
        <v>60</v>
      </c>
      <c r="AK11" s="18">
        <v>1</v>
      </c>
      <c r="AL11" s="18" t="str">
        <f t="shared" si="1"/>
        <v>G1</v>
      </c>
      <c r="AM11" s="18">
        <v>90</v>
      </c>
      <c r="AO11" t="str">
        <f t="shared" si="2"/>
        <v>M90</v>
      </c>
      <c r="AP11" t="str">
        <f t="shared" si="3"/>
        <v>G1M90</v>
      </c>
      <c r="AQ11" s="18">
        <v>17</v>
      </c>
      <c r="AT11">
        <v>1231</v>
      </c>
      <c r="AU11" t="s">
        <v>88</v>
      </c>
      <c r="AW11" t="str">
        <f>IF(Tabela4[[#This Row],[JUSTIFICATIVA]]="","",CONCATENATE("B",Tabela4[[#This Row],[BLOCO]],Tabela4[[#This Row],[UO_COD]]))</f>
        <v/>
      </c>
      <c r="AX11">
        <f>Tabela4[[#This Row],[JUSTIFICATIVA]]</f>
        <v>0</v>
      </c>
      <c r="BA11" t="s">
        <v>45</v>
      </c>
      <c r="BB11" t="s">
        <v>488</v>
      </c>
      <c r="BC11" t="str">
        <f t="shared" si="4"/>
        <v>G3M50</v>
      </c>
      <c r="BD11" t="s">
        <v>482</v>
      </c>
    </row>
    <row r="12" spans="1:56" ht="15" customHeight="1">
      <c r="A12" s="11">
        <v>1031</v>
      </c>
      <c r="B12" s="11">
        <v>2054</v>
      </c>
      <c r="C12" s="12" t="str">
        <f t="shared" si="0"/>
        <v>10312054</v>
      </c>
      <c r="D12" s="11" t="s">
        <v>52</v>
      </c>
      <c r="E12" s="11" t="s">
        <v>470</v>
      </c>
      <c r="F12" s="11" t="s">
        <v>487</v>
      </c>
      <c r="G12" s="11">
        <v>0</v>
      </c>
      <c r="R12">
        <v>11</v>
      </c>
      <c r="T12" s="11">
        <v>1031</v>
      </c>
      <c r="U12" s="11">
        <v>2054</v>
      </c>
      <c r="W12" s="13">
        <v>1231</v>
      </c>
      <c r="Y12" t="s">
        <v>456</v>
      </c>
      <c r="Z12" s="14">
        <v>34</v>
      </c>
      <c r="AD12" s="15">
        <v>45</v>
      </c>
      <c r="AH12" t="s">
        <v>479</v>
      </c>
      <c r="AI12" s="18">
        <v>67</v>
      </c>
      <c r="AK12" s="18">
        <v>1</v>
      </c>
      <c r="AL12" s="18" t="str">
        <f t="shared" si="1"/>
        <v>G1</v>
      </c>
      <c r="AM12" s="18">
        <v>90</v>
      </c>
      <c r="AO12" t="str">
        <f t="shared" si="2"/>
        <v>M90</v>
      </c>
      <c r="AP12" t="str">
        <f t="shared" si="3"/>
        <v>G1M90</v>
      </c>
      <c r="AQ12" s="18">
        <v>34</v>
      </c>
      <c r="AT12">
        <v>1251</v>
      </c>
      <c r="AU12" t="s">
        <v>91</v>
      </c>
      <c r="AW12" t="str">
        <f>IF(Tabela4[[#This Row],[JUSTIFICATIVA]]="","",CONCATENATE("B",Tabela4[[#This Row],[BLOCO]],Tabela4[[#This Row],[UO_COD]]))</f>
        <v/>
      </c>
      <c r="AX12">
        <f>Tabela4[[#This Row],[JUSTIFICATIVA]]</f>
        <v>0</v>
      </c>
      <c r="BA12" t="s">
        <v>45</v>
      </c>
      <c r="BB12" t="s">
        <v>489</v>
      </c>
      <c r="BC12" t="str">
        <f t="shared" si="4"/>
        <v>G3M60</v>
      </c>
      <c r="BD12" t="s">
        <v>482</v>
      </c>
    </row>
    <row r="13" spans="1:56" ht="15" customHeight="1">
      <c r="A13" s="11">
        <v>1031</v>
      </c>
      <c r="B13" s="11">
        <v>7004</v>
      </c>
      <c r="C13" s="12" t="str">
        <f t="shared" si="0"/>
        <v>10317004</v>
      </c>
      <c r="D13" s="11" t="s">
        <v>459</v>
      </c>
      <c r="E13" s="11" t="s">
        <v>460</v>
      </c>
      <c r="F13" s="11" t="s">
        <v>461</v>
      </c>
      <c r="G13" s="11">
        <v>0</v>
      </c>
      <c r="J13" t="s">
        <v>490</v>
      </c>
      <c r="R13">
        <v>12</v>
      </c>
      <c r="T13" s="11">
        <v>1031</v>
      </c>
      <c r="U13" s="11">
        <v>7004</v>
      </c>
      <c r="W13" s="13">
        <v>1251</v>
      </c>
      <c r="Y13" t="s">
        <v>456</v>
      </c>
      <c r="Z13" s="14">
        <v>59</v>
      </c>
      <c r="AD13" s="15">
        <v>47</v>
      </c>
      <c r="AH13" t="s">
        <v>479</v>
      </c>
      <c r="AI13" s="18">
        <v>70</v>
      </c>
      <c r="AK13" s="18">
        <v>1</v>
      </c>
      <c r="AL13" s="18" t="str">
        <f t="shared" si="1"/>
        <v>G1</v>
      </c>
      <c r="AM13" s="18">
        <v>90</v>
      </c>
      <c r="AO13" t="str">
        <f t="shared" si="2"/>
        <v>M90</v>
      </c>
      <c r="AP13" t="str">
        <f t="shared" si="3"/>
        <v>G1M90</v>
      </c>
      <c r="AQ13" s="18">
        <v>59</v>
      </c>
      <c r="AT13">
        <v>1261</v>
      </c>
      <c r="AU13" t="s">
        <v>491</v>
      </c>
      <c r="AW13" t="str">
        <f>IF(Tabela4[[#This Row],[JUSTIFICATIVA]]="","",CONCATENATE("B",Tabela4[[#This Row],[BLOCO]],Tabela4[[#This Row],[UO_COD]]))</f>
        <v/>
      </c>
      <c r="AX13">
        <f>Tabela4[[#This Row],[JUSTIFICATIVA]]</f>
        <v>0</v>
      </c>
      <c r="BA13" t="s">
        <v>45</v>
      </c>
      <c r="BB13" t="s">
        <v>492</v>
      </c>
      <c r="BC13" t="str">
        <f t="shared" si="4"/>
        <v>G3M67</v>
      </c>
      <c r="BD13" t="s">
        <v>486</v>
      </c>
    </row>
    <row r="14" spans="1:56" ht="15" customHeight="1">
      <c r="A14" s="11">
        <v>1031</v>
      </c>
      <c r="B14" s="11">
        <v>7006</v>
      </c>
      <c r="C14" s="12" t="str">
        <f t="shared" si="0"/>
        <v>10317006</v>
      </c>
      <c r="D14" s="11" t="s">
        <v>70</v>
      </c>
      <c r="E14" s="11" t="s">
        <v>466</v>
      </c>
      <c r="F14" s="11" t="s">
        <v>461</v>
      </c>
      <c r="G14" s="11">
        <v>0</v>
      </c>
      <c r="J14" t="s">
        <v>493</v>
      </c>
      <c r="R14">
        <v>13</v>
      </c>
      <c r="T14" s="11">
        <v>1031</v>
      </c>
      <c r="U14" s="11">
        <v>7006</v>
      </c>
      <c r="W14" s="13">
        <v>1261</v>
      </c>
      <c r="Y14" t="s">
        <v>456</v>
      </c>
      <c r="Z14" s="14">
        <v>67</v>
      </c>
      <c r="AD14" s="15">
        <v>48</v>
      </c>
      <c r="AH14" t="s">
        <v>479</v>
      </c>
      <c r="AI14" s="18">
        <v>71</v>
      </c>
      <c r="AK14" s="18">
        <v>1</v>
      </c>
      <c r="AL14" s="18" t="str">
        <f t="shared" si="1"/>
        <v>G1</v>
      </c>
      <c r="AM14" s="18">
        <v>90</v>
      </c>
      <c r="AO14" t="str">
        <f t="shared" si="2"/>
        <v>M90</v>
      </c>
      <c r="AP14" t="str">
        <f t="shared" si="3"/>
        <v>G1M90</v>
      </c>
      <c r="AQ14" s="18">
        <v>67</v>
      </c>
      <c r="AT14">
        <v>1271</v>
      </c>
      <c r="AU14" t="s">
        <v>97</v>
      </c>
      <c r="AW14" t="str">
        <f>IF(Tabela4[[#This Row],[JUSTIFICATIVA]]="","",CONCATENATE("B",Tabela4[[#This Row],[BLOCO]],Tabela4[[#This Row],[UO_COD]]))</f>
        <v/>
      </c>
      <c r="AX14">
        <f>Tabela4[[#This Row],[JUSTIFICATIVA]]</f>
        <v>0</v>
      </c>
      <c r="BA14" t="s">
        <v>45</v>
      </c>
      <c r="BB14" t="s">
        <v>494</v>
      </c>
      <c r="BC14" t="str">
        <f t="shared" si="4"/>
        <v>G3M70</v>
      </c>
      <c r="BD14" t="s">
        <v>482</v>
      </c>
    </row>
    <row r="15" spans="1:56" ht="15" customHeight="1">
      <c r="A15" s="11">
        <v>1051</v>
      </c>
      <c r="B15" s="11">
        <v>1019</v>
      </c>
      <c r="C15" s="12" t="str">
        <f t="shared" si="0"/>
        <v>10511019</v>
      </c>
      <c r="D15" s="11" t="s">
        <v>52</v>
      </c>
      <c r="E15" s="11" t="s">
        <v>495</v>
      </c>
      <c r="F15" s="11" t="s">
        <v>496</v>
      </c>
      <c r="G15" s="11">
        <v>0</v>
      </c>
      <c r="R15">
        <v>14</v>
      </c>
      <c r="T15" s="11">
        <v>1051</v>
      </c>
      <c r="U15" s="11">
        <v>1019</v>
      </c>
      <c r="W15" s="13">
        <v>1271</v>
      </c>
      <c r="Y15" t="s">
        <v>456</v>
      </c>
      <c r="Z15" s="14">
        <v>91</v>
      </c>
      <c r="AD15" s="15">
        <v>49</v>
      </c>
      <c r="AH15" t="s">
        <v>479</v>
      </c>
      <c r="AI15" s="18">
        <v>80</v>
      </c>
      <c r="AK15" s="18">
        <v>1</v>
      </c>
      <c r="AL15" s="18" t="str">
        <f t="shared" si="1"/>
        <v>G1</v>
      </c>
      <c r="AM15" s="18">
        <v>90</v>
      </c>
      <c r="AO15" t="str">
        <f t="shared" si="2"/>
        <v>M90</v>
      </c>
      <c r="AP15" t="str">
        <f t="shared" si="3"/>
        <v>G1M90</v>
      </c>
      <c r="AQ15" s="18">
        <v>91</v>
      </c>
      <c r="AT15">
        <v>1301</v>
      </c>
      <c r="AU15" t="s">
        <v>100</v>
      </c>
      <c r="AW15" t="str">
        <f>IF(Tabela4[[#This Row],[JUSTIFICATIVA]]="","",CONCATENATE("B",Tabela4[[#This Row],[BLOCO]],Tabela4[[#This Row],[UO_COD]]))</f>
        <v/>
      </c>
      <c r="AX15">
        <f>Tabela4[[#This Row],[JUSTIFICATIVA]]</f>
        <v>0</v>
      </c>
      <c r="BA15" t="s">
        <v>45</v>
      </c>
      <c r="BB15" t="s">
        <v>497</v>
      </c>
      <c r="BC15" t="str">
        <f t="shared" si="4"/>
        <v>G3M71</v>
      </c>
      <c r="BD15" t="s">
        <v>482</v>
      </c>
    </row>
    <row r="16" spans="1:56" ht="15" customHeight="1">
      <c r="A16" s="11">
        <v>1051</v>
      </c>
      <c r="B16" s="11">
        <v>2047</v>
      </c>
      <c r="C16" s="12" t="str">
        <f t="shared" si="0"/>
        <v>10512047</v>
      </c>
      <c r="D16" s="11" t="s">
        <v>52</v>
      </c>
      <c r="E16" s="11" t="s">
        <v>495</v>
      </c>
      <c r="F16" s="11" t="s">
        <v>496</v>
      </c>
      <c r="G16" s="11">
        <v>0</v>
      </c>
      <c r="R16">
        <v>15</v>
      </c>
      <c r="T16" s="11">
        <v>1051</v>
      </c>
      <c r="U16" s="11">
        <v>2047</v>
      </c>
      <c r="W16" s="13">
        <v>1301</v>
      </c>
      <c r="Y16" t="s">
        <v>456</v>
      </c>
      <c r="Z16" s="14">
        <v>92</v>
      </c>
      <c r="AD16" s="15">
        <v>50</v>
      </c>
      <c r="AH16" t="s">
        <v>479</v>
      </c>
      <c r="AI16" s="18">
        <v>90</v>
      </c>
      <c r="AK16" s="18">
        <v>1</v>
      </c>
      <c r="AL16" s="18" t="str">
        <f t="shared" si="1"/>
        <v>G1</v>
      </c>
      <c r="AM16" s="18">
        <v>90</v>
      </c>
      <c r="AO16" t="str">
        <f t="shared" si="2"/>
        <v>M90</v>
      </c>
      <c r="AP16" t="str">
        <f t="shared" si="3"/>
        <v>G1M90</v>
      </c>
      <c r="AQ16" s="18">
        <v>92</v>
      </c>
      <c r="AT16">
        <v>1371</v>
      </c>
      <c r="AU16" t="s">
        <v>103</v>
      </c>
      <c r="AW16" t="str">
        <f>IF(Tabela4[[#This Row],[JUSTIFICATIVA]]="","",CONCATENATE("B",Tabela4[[#This Row],[BLOCO]],Tabela4[[#This Row],[UO_COD]]))</f>
        <v/>
      </c>
      <c r="AX16">
        <f>Tabela4[[#This Row],[JUSTIFICATIVA]]</f>
        <v>0</v>
      </c>
      <c r="BA16" t="s">
        <v>45</v>
      </c>
      <c r="BB16" t="s">
        <v>498</v>
      </c>
      <c r="BC16" t="str">
        <f t="shared" si="4"/>
        <v>G3M80</v>
      </c>
      <c r="BD16" t="s">
        <v>482</v>
      </c>
    </row>
    <row r="17" spans="1:56" ht="15" customHeight="1">
      <c r="A17" s="11">
        <v>1051</v>
      </c>
      <c r="B17" s="11">
        <v>2077</v>
      </c>
      <c r="C17" s="12" t="str">
        <f t="shared" si="0"/>
        <v>10512077</v>
      </c>
      <c r="D17" s="11" t="s">
        <v>52</v>
      </c>
      <c r="E17" s="11" t="s">
        <v>470</v>
      </c>
      <c r="F17" s="11" t="s">
        <v>496</v>
      </c>
      <c r="G17" s="11">
        <v>0</v>
      </c>
      <c r="R17">
        <v>16</v>
      </c>
      <c r="T17" s="11">
        <v>1051</v>
      </c>
      <c r="U17" s="11">
        <v>2077</v>
      </c>
      <c r="W17" s="13">
        <v>1371</v>
      </c>
      <c r="Y17" t="s">
        <v>456</v>
      </c>
      <c r="Z17" s="14">
        <v>93</v>
      </c>
      <c r="AD17" s="15">
        <v>52</v>
      </c>
      <c r="AH17" t="s">
        <v>479</v>
      </c>
      <c r="AI17" s="18">
        <v>91</v>
      </c>
      <c r="AK17" s="18">
        <v>1</v>
      </c>
      <c r="AL17" s="18" t="str">
        <f t="shared" si="1"/>
        <v>G1</v>
      </c>
      <c r="AM17" s="18">
        <v>90</v>
      </c>
      <c r="AO17" t="str">
        <f t="shared" si="2"/>
        <v>M90</v>
      </c>
      <c r="AP17" t="str">
        <f t="shared" si="3"/>
        <v>G1M90</v>
      </c>
      <c r="AQ17" s="18">
        <v>93</v>
      </c>
      <c r="AT17">
        <v>1401</v>
      </c>
      <c r="AU17" t="s">
        <v>106</v>
      </c>
      <c r="AW17" t="str">
        <f>IF(Tabela4[[#This Row],[JUSTIFICATIVA]]="","",CONCATENATE("B",Tabela4[[#This Row],[BLOCO]],Tabela4[[#This Row],[UO_COD]]))</f>
        <v/>
      </c>
      <c r="AX17">
        <f>Tabela4[[#This Row],[JUSTIFICATIVA]]</f>
        <v>0</v>
      </c>
      <c r="BA17" t="s">
        <v>45</v>
      </c>
      <c r="BB17" t="s">
        <v>458</v>
      </c>
      <c r="BC17" t="str">
        <f t="shared" si="4"/>
        <v>G3M90</v>
      </c>
      <c r="BD17" t="s">
        <v>482</v>
      </c>
    </row>
    <row r="18" spans="1:56" ht="15" customHeight="1">
      <c r="A18" s="11">
        <v>1051</v>
      </c>
      <c r="B18" s="11">
        <v>2078</v>
      </c>
      <c r="C18" s="12" t="str">
        <f t="shared" si="0"/>
        <v>10512078</v>
      </c>
      <c r="D18" s="11" t="s">
        <v>52</v>
      </c>
      <c r="E18" s="11" t="s">
        <v>470</v>
      </c>
      <c r="F18" s="11" t="s">
        <v>496</v>
      </c>
      <c r="G18" s="11">
        <v>0</v>
      </c>
      <c r="R18">
        <v>17</v>
      </c>
      <c r="T18" s="11">
        <v>1051</v>
      </c>
      <c r="U18" s="11">
        <v>2078</v>
      </c>
      <c r="W18" s="13">
        <v>1401</v>
      </c>
      <c r="Y18" t="s">
        <v>456</v>
      </c>
      <c r="Z18" s="14">
        <v>94</v>
      </c>
      <c r="AD18" s="15">
        <v>54</v>
      </c>
      <c r="AH18" t="s">
        <v>479</v>
      </c>
      <c r="AI18" s="18">
        <v>95</v>
      </c>
      <c r="AK18" s="18">
        <v>1</v>
      </c>
      <c r="AL18" s="18" t="str">
        <f t="shared" si="1"/>
        <v>G1</v>
      </c>
      <c r="AM18" s="18">
        <v>90</v>
      </c>
      <c r="AO18" t="str">
        <f t="shared" si="2"/>
        <v>M90</v>
      </c>
      <c r="AP18" t="str">
        <f t="shared" si="3"/>
        <v>G1M90</v>
      </c>
      <c r="AQ18" s="18">
        <v>94</v>
      </c>
      <c r="AT18">
        <v>1441</v>
      </c>
      <c r="AU18" t="s">
        <v>109</v>
      </c>
      <c r="AW18" t="str">
        <f>IF(Tabela4[[#This Row],[JUSTIFICATIVA]]="","",CONCATENATE("B",Tabela4[[#This Row],[BLOCO]],Tabela4[[#This Row],[UO_COD]]))</f>
        <v/>
      </c>
      <c r="AX18">
        <f>Tabela4[[#This Row],[JUSTIFICATIVA]]</f>
        <v>0</v>
      </c>
      <c r="BA18" t="s">
        <v>45</v>
      </c>
      <c r="BB18" t="s">
        <v>464</v>
      </c>
      <c r="BC18" t="str">
        <f t="shared" si="4"/>
        <v>G3M91</v>
      </c>
      <c r="BD18" t="s">
        <v>482</v>
      </c>
    </row>
    <row r="19" spans="1:56" ht="15" customHeight="1">
      <c r="A19" s="11">
        <v>1051</v>
      </c>
      <c r="B19" s="11">
        <v>4003</v>
      </c>
      <c r="C19" s="12" t="str">
        <f t="shared" si="0"/>
        <v>10514003</v>
      </c>
      <c r="D19" s="11" t="s">
        <v>52</v>
      </c>
      <c r="E19" s="11" t="s">
        <v>495</v>
      </c>
      <c r="F19" s="11" t="s">
        <v>496</v>
      </c>
      <c r="G19" s="11">
        <v>0</v>
      </c>
      <c r="R19">
        <v>18</v>
      </c>
      <c r="T19" s="11">
        <v>1051</v>
      </c>
      <c r="U19" s="11">
        <v>4003</v>
      </c>
      <c r="W19" s="13">
        <v>1441</v>
      </c>
      <c r="Y19" t="s">
        <v>456</v>
      </c>
      <c r="Z19" s="14">
        <v>96</v>
      </c>
      <c r="AD19" s="15">
        <v>59</v>
      </c>
      <c r="AH19" t="s">
        <v>479</v>
      </c>
      <c r="AI19" s="18">
        <v>99</v>
      </c>
      <c r="AK19" s="18">
        <v>1</v>
      </c>
      <c r="AL19" s="18" t="str">
        <f t="shared" si="1"/>
        <v>G1</v>
      </c>
      <c r="AM19" s="18">
        <v>90</v>
      </c>
      <c r="AO19" t="str">
        <f t="shared" si="2"/>
        <v>M90</v>
      </c>
      <c r="AP19" t="str">
        <f t="shared" si="3"/>
        <v>G1M90</v>
      </c>
      <c r="AQ19" s="18">
        <v>96</v>
      </c>
      <c r="AT19">
        <v>1451</v>
      </c>
      <c r="AU19" t="s">
        <v>112</v>
      </c>
      <c r="AW19" t="str">
        <f>IF(Tabela4[[#This Row],[JUSTIFICATIVA]]="","",CONCATENATE("B",Tabela4[[#This Row],[BLOCO]],Tabela4[[#This Row],[UO_COD]]))</f>
        <v/>
      </c>
      <c r="AX19">
        <f>Tabela4[[#This Row],[JUSTIFICATIVA]]</f>
        <v>0</v>
      </c>
      <c r="BA19" t="s">
        <v>45</v>
      </c>
      <c r="BB19" t="s">
        <v>499</v>
      </c>
      <c r="BC19" t="str">
        <f t="shared" si="4"/>
        <v>G3M95</v>
      </c>
      <c r="BD19" t="s">
        <v>482</v>
      </c>
    </row>
    <row r="20" spans="1:56" ht="15" customHeight="1">
      <c r="A20" s="11">
        <v>1051</v>
      </c>
      <c r="B20" s="11">
        <v>4355</v>
      </c>
      <c r="C20" s="12" t="str">
        <f t="shared" si="0"/>
        <v>10514355</v>
      </c>
      <c r="D20" s="11" t="s">
        <v>52</v>
      </c>
      <c r="E20" s="11" t="s">
        <v>495</v>
      </c>
      <c r="F20" s="11" t="s">
        <v>496</v>
      </c>
      <c r="G20" s="11">
        <v>0</v>
      </c>
      <c r="R20">
        <v>19</v>
      </c>
      <c r="T20" s="11">
        <v>1051</v>
      </c>
      <c r="U20" s="11">
        <v>4355</v>
      </c>
      <c r="W20" s="13">
        <v>1451</v>
      </c>
      <c r="Y20" t="s">
        <v>456</v>
      </c>
      <c r="Z20" s="14">
        <v>99</v>
      </c>
      <c r="AD20" s="15">
        <v>60</v>
      </c>
      <c r="AH20" t="s">
        <v>500</v>
      </c>
      <c r="AI20" s="18">
        <v>20</v>
      </c>
      <c r="AK20" s="18">
        <v>1</v>
      </c>
      <c r="AL20" s="18" t="str">
        <f t="shared" si="1"/>
        <v>G1</v>
      </c>
      <c r="AM20" s="18">
        <v>91</v>
      </c>
      <c r="AO20" t="str">
        <f t="shared" si="2"/>
        <v>M91</v>
      </c>
      <c r="AP20" t="str">
        <f t="shared" si="3"/>
        <v>G1M91</v>
      </c>
      <c r="AQ20" s="18">
        <v>4</v>
      </c>
      <c r="AT20">
        <v>1481</v>
      </c>
      <c r="AU20" t="s">
        <v>115</v>
      </c>
      <c r="AW20" t="str">
        <f>IF(Tabela4[[#This Row],[JUSTIFICATIVA]]="","",CONCATENATE("B",Tabela4[[#This Row],[BLOCO]],Tabela4[[#This Row],[UO_COD]]))</f>
        <v/>
      </c>
      <c r="AX20">
        <f>Tabela4[[#This Row],[JUSTIFICATIVA]]</f>
        <v>0</v>
      </c>
      <c r="BA20" t="s">
        <v>45</v>
      </c>
      <c r="BB20" t="s">
        <v>501</v>
      </c>
      <c r="BC20" t="str">
        <f t="shared" si="4"/>
        <v>G3M96</v>
      </c>
      <c r="BD20" t="s">
        <v>502</v>
      </c>
    </row>
    <row r="21" spans="1:56" ht="15" customHeight="1">
      <c r="A21" s="11">
        <v>1051</v>
      </c>
      <c r="B21" s="11">
        <v>7004</v>
      </c>
      <c r="C21" s="12" t="str">
        <f t="shared" si="0"/>
        <v>10517004</v>
      </c>
      <c r="D21" s="11" t="s">
        <v>459</v>
      </c>
      <c r="E21" s="11" t="s">
        <v>460</v>
      </c>
      <c r="F21" s="11" t="s">
        <v>461</v>
      </c>
      <c r="G21" s="11">
        <v>0</v>
      </c>
      <c r="R21">
        <v>20</v>
      </c>
      <c r="T21" s="11">
        <v>1051</v>
      </c>
      <c r="U21" s="11">
        <v>7004</v>
      </c>
      <c r="W21" s="13">
        <v>1481</v>
      </c>
      <c r="Y21" t="s">
        <v>479</v>
      </c>
      <c r="Z21" s="14" t="s">
        <v>41</v>
      </c>
      <c r="AD21" s="15">
        <v>61</v>
      </c>
      <c r="AH21" t="s">
        <v>500</v>
      </c>
      <c r="AI21" s="18">
        <v>40</v>
      </c>
      <c r="AK21" s="18">
        <v>1</v>
      </c>
      <c r="AL21" s="18" t="str">
        <f t="shared" si="1"/>
        <v>G1</v>
      </c>
      <c r="AM21" s="18">
        <v>91</v>
      </c>
      <c r="AO21" t="str">
        <f t="shared" si="2"/>
        <v>M91</v>
      </c>
      <c r="AP21" t="str">
        <f t="shared" si="3"/>
        <v>G1M91</v>
      </c>
      <c r="AQ21" s="18">
        <v>13</v>
      </c>
      <c r="AT21">
        <v>1491</v>
      </c>
      <c r="AU21" t="s">
        <v>118</v>
      </c>
      <c r="AW21" t="str">
        <f>IF(Tabela4[[#This Row],[JUSTIFICATIVA]]="","",CONCATENATE("B",Tabela4[[#This Row],[BLOCO]],Tabela4[[#This Row],[UO_COD]]))</f>
        <v/>
      </c>
      <c r="AX21">
        <f>Tabela4[[#This Row],[JUSTIFICATIVA]]</f>
        <v>0</v>
      </c>
      <c r="BA21" t="s">
        <v>45</v>
      </c>
      <c r="BB21" t="s">
        <v>469</v>
      </c>
      <c r="BC21" t="str">
        <f t="shared" si="4"/>
        <v>G3M99</v>
      </c>
      <c r="BD21" t="s">
        <v>469</v>
      </c>
    </row>
    <row r="22" spans="1:56" ht="15" customHeight="1">
      <c r="A22" s="11">
        <v>1051</v>
      </c>
      <c r="B22" s="11">
        <v>7006</v>
      </c>
      <c r="C22" s="12" t="str">
        <f t="shared" si="0"/>
        <v>10517006</v>
      </c>
      <c r="D22" s="11" t="s">
        <v>70</v>
      </c>
      <c r="E22" s="11" t="s">
        <v>466</v>
      </c>
      <c r="F22" s="11" t="s">
        <v>461</v>
      </c>
      <c r="G22" s="11">
        <v>0</v>
      </c>
      <c r="R22">
        <v>21</v>
      </c>
      <c r="T22" s="11">
        <v>1051</v>
      </c>
      <c r="U22" s="11">
        <v>7006</v>
      </c>
      <c r="W22" s="13">
        <v>1491</v>
      </c>
      <c r="Y22" t="s">
        <v>479</v>
      </c>
      <c r="Z22" s="14" t="s">
        <v>56</v>
      </c>
      <c r="AD22" s="15">
        <v>71</v>
      </c>
      <c r="AH22" t="s">
        <v>500</v>
      </c>
      <c r="AI22" s="18">
        <v>41</v>
      </c>
      <c r="AK22" s="18">
        <v>1</v>
      </c>
      <c r="AL22" s="18" t="str">
        <f t="shared" si="1"/>
        <v>G1</v>
      </c>
      <c r="AM22" s="18">
        <v>91</v>
      </c>
      <c r="AO22" t="str">
        <f t="shared" si="2"/>
        <v>M91</v>
      </c>
      <c r="AP22" t="str">
        <f t="shared" si="3"/>
        <v>G1M91</v>
      </c>
      <c r="AQ22" s="18">
        <v>91</v>
      </c>
      <c r="AT22">
        <v>1501</v>
      </c>
      <c r="AU22" t="s">
        <v>121</v>
      </c>
      <c r="AW22" t="str">
        <f>IF(Tabela4[[#This Row],[JUSTIFICATIVA]]="","",CONCATENATE("B",Tabela4[[#This Row],[BLOCO]],Tabela4[[#This Row],[UO_COD]]))</f>
        <v/>
      </c>
      <c r="AX22">
        <f>Tabela4[[#This Row],[JUSTIFICATIVA]]</f>
        <v>0</v>
      </c>
      <c r="BA22" t="s">
        <v>503</v>
      </c>
      <c r="BB22" t="s">
        <v>481</v>
      </c>
      <c r="BC22" t="str">
        <f t="shared" si="4"/>
        <v>G4M20</v>
      </c>
      <c r="BD22" t="s">
        <v>465</v>
      </c>
    </row>
    <row r="23" spans="1:56" ht="15" customHeight="1">
      <c r="A23" s="11">
        <v>1051</v>
      </c>
      <c r="B23" s="11">
        <v>7007</v>
      </c>
      <c r="C23" s="12" t="str">
        <f t="shared" si="0"/>
        <v>10517007</v>
      </c>
      <c r="D23" s="11" t="s">
        <v>70</v>
      </c>
      <c r="E23" s="11" t="s">
        <v>466</v>
      </c>
      <c r="F23" s="11" t="s">
        <v>461</v>
      </c>
      <c r="G23" s="11">
        <v>0</v>
      </c>
      <c r="R23">
        <v>22</v>
      </c>
      <c r="T23" s="11">
        <v>1051</v>
      </c>
      <c r="U23" s="11">
        <v>7007</v>
      </c>
      <c r="W23" s="13">
        <v>1501</v>
      </c>
      <c r="Y23" t="s">
        <v>479</v>
      </c>
      <c r="Z23" s="14" t="s">
        <v>62</v>
      </c>
      <c r="AD23" s="15">
        <v>72</v>
      </c>
      <c r="AH23" t="s">
        <v>500</v>
      </c>
      <c r="AI23" s="18">
        <v>50</v>
      </c>
      <c r="AK23" s="18">
        <v>1</v>
      </c>
      <c r="AL23" s="18" t="str">
        <f t="shared" si="1"/>
        <v>G1</v>
      </c>
      <c r="AM23" s="18">
        <v>91</v>
      </c>
      <c r="AO23" t="str">
        <f t="shared" si="2"/>
        <v>M91</v>
      </c>
      <c r="AP23" t="str">
        <f t="shared" si="3"/>
        <v>G1M91</v>
      </c>
      <c r="AQ23" s="18">
        <v>92</v>
      </c>
      <c r="AT23">
        <v>1511</v>
      </c>
      <c r="AU23" t="s">
        <v>124</v>
      </c>
      <c r="AW23" t="str">
        <f>IF(Tabela4[[#This Row],[JUSTIFICATIVA]]="","",CONCATENATE("B",Tabela4[[#This Row],[BLOCO]],Tabela4[[#This Row],[UO_COD]]))</f>
        <v/>
      </c>
      <c r="AX23">
        <f>Tabela4[[#This Row],[JUSTIFICATIVA]]</f>
        <v>0</v>
      </c>
      <c r="BA23" t="s">
        <v>503</v>
      </c>
      <c r="BB23" t="s">
        <v>484</v>
      </c>
      <c r="BC23" t="str">
        <f t="shared" si="4"/>
        <v>G4M40</v>
      </c>
      <c r="BD23" t="s">
        <v>465</v>
      </c>
    </row>
    <row r="24" spans="1:56" ht="15" customHeight="1">
      <c r="A24" s="11">
        <v>1071</v>
      </c>
      <c r="B24" s="11">
        <v>1008</v>
      </c>
      <c r="C24" s="12" t="str">
        <f t="shared" si="0"/>
        <v>10711008</v>
      </c>
      <c r="D24" s="11" t="s">
        <v>66</v>
      </c>
      <c r="E24" s="11" t="s">
        <v>504</v>
      </c>
      <c r="F24" s="11" t="s">
        <v>505</v>
      </c>
      <c r="G24" s="11">
        <v>0</v>
      </c>
      <c r="R24">
        <v>23</v>
      </c>
      <c r="T24" s="11">
        <v>1071</v>
      </c>
      <c r="U24" s="11">
        <v>1008</v>
      </c>
      <c r="W24" s="13">
        <v>1511</v>
      </c>
      <c r="Y24" t="s">
        <v>479</v>
      </c>
      <c r="Z24" s="14" t="s">
        <v>66</v>
      </c>
      <c r="AD24" s="15">
        <v>82</v>
      </c>
      <c r="AH24" t="s">
        <v>500</v>
      </c>
      <c r="AI24" s="18">
        <v>60</v>
      </c>
      <c r="AK24" s="18">
        <v>1</v>
      </c>
      <c r="AL24" s="18" t="str">
        <f t="shared" si="1"/>
        <v>G1</v>
      </c>
      <c r="AM24" s="18">
        <v>91</v>
      </c>
      <c r="AO24" t="str">
        <f t="shared" si="2"/>
        <v>M91</v>
      </c>
      <c r="AP24" t="str">
        <f t="shared" si="3"/>
        <v>G1M91</v>
      </c>
      <c r="AQ24" s="18">
        <v>93</v>
      </c>
      <c r="AT24">
        <v>1521</v>
      </c>
      <c r="AU24" t="s">
        <v>506</v>
      </c>
      <c r="AW24" t="str">
        <f>IF(Tabela4[[#This Row],[JUSTIFICATIVA]]="","",CONCATENATE("B",Tabela4[[#This Row],[BLOCO]],Tabela4[[#This Row],[UO_COD]]))</f>
        <v/>
      </c>
      <c r="AX24">
        <f>Tabela4[[#This Row],[JUSTIFICATIVA]]</f>
        <v>0</v>
      </c>
      <c r="BA24" t="s">
        <v>503</v>
      </c>
      <c r="BB24" t="s">
        <v>482</v>
      </c>
      <c r="BC24" t="str">
        <f t="shared" si="4"/>
        <v>G4M41</v>
      </c>
      <c r="BD24" t="s">
        <v>465</v>
      </c>
    </row>
    <row r="25" spans="1:56" ht="15" customHeight="1">
      <c r="A25" s="11">
        <v>1071</v>
      </c>
      <c r="B25" s="11">
        <v>2417</v>
      </c>
      <c r="C25" s="12" t="str">
        <f t="shared" si="0"/>
        <v>10712417</v>
      </c>
      <c r="D25" s="11" t="s">
        <v>66</v>
      </c>
      <c r="E25" s="11" t="s">
        <v>470</v>
      </c>
      <c r="F25" s="11" t="s">
        <v>461</v>
      </c>
      <c r="G25" s="11">
        <v>0</v>
      </c>
      <c r="R25">
        <v>24</v>
      </c>
      <c r="T25" s="11">
        <v>1071</v>
      </c>
      <c r="U25" s="11">
        <v>2417</v>
      </c>
      <c r="W25" s="13">
        <v>1521</v>
      </c>
      <c r="Y25" t="s">
        <v>479</v>
      </c>
      <c r="Z25" s="14" t="s">
        <v>323</v>
      </c>
      <c r="AD25" s="15">
        <v>83</v>
      </c>
      <c r="AH25" t="s">
        <v>500</v>
      </c>
      <c r="AI25" s="18">
        <v>70</v>
      </c>
      <c r="AK25" s="18">
        <v>1</v>
      </c>
      <c r="AL25" s="18" t="str">
        <f t="shared" si="1"/>
        <v>G1</v>
      </c>
      <c r="AM25" s="18">
        <v>99</v>
      </c>
      <c r="AO25" t="str">
        <f t="shared" si="2"/>
        <v>M99</v>
      </c>
      <c r="AP25" t="str">
        <f t="shared" si="3"/>
        <v>G1M99</v>
      </c>
      <c r="AQ25" s="18">
        <v>99</v>
      </c>
      <c r="AT25">
        <v>1541</v>
      </c>
      <c r="AU25" t="s">
        <v>507</v>
      </c>
      <c r="AW25" t="str">
        <f>IF(Tabela4[[#This Row],[JUSTIFICATIVA]]="","",CONCATENATE("B",Tabela4[[#This Row],[BLOCO]],Tabela4[[#This Row],[UO_COD]]))</f>
        <v/>
      </c>
      <c r="AX25">
        <f>Tabela4[[#This Row],[JUSTIFICATIVA]]</f>
        <v>0</v>
      </c>
      <c r="BA25" t="s">
        <v>503</v>
      </c>
      <c r="BB25" t="s">
        <v>486</v>
      </c>
      <c r="BC25" t="str">
        <f t="shared" si="4"/>
        <v>G4M45</v>
      </c>
      <c r="BD25" t="s">
        <v>508</v>
      </c>
    </row>
    <row r="26" spans="1:56" ht="15" customHeight="1">
      <c r="A26" s="11">
        <v>1071</v>
      </c>
      <c r="B26" s="11">
        <v>2500</v>
      </c>
      <c r="C26" s="12" t="str">
        <f t="shared" si="0"/>
        <v>10712500</v>
      </c>
      <c r="D26" s="11" t="s">
        <v>66</v>
      </c>
      <c r="E26" s="11" t="s">
        <v>470</v>
      </c>
      <c r="F26" s="11" t="s">
        <v>461</v>
      </c>
      <c r="G26" s="11">
        <v>0</v>
      </c>
      <c r="R26">
        <v>25</v>
      </c>
      <c r="T26" s="11">
        <v>1071</v>
      </c>
      <c r="U26" s="11">
        <v>2500</v>
      </c>
      <c r="W26" s="13">
        <v>1541</v>
      </c>
      <c r="Y26" t="s">
        <v>479</v>
      </c>
      <c r="Z26" s="14" t="s">
        <v>324</v>
      </c>
      <c r="AD26" s="15">
        <v>89</v>
      </c>
      <c r="AH26" t="s">
        <v>500</v>
      </c>
      <c r="AI26" s="18">
        <v>71</v>
      </c>
      <c r="AK26" s="18">
        <v>2</v>
      </c>
      <c r="AL26" s="18" t="str">
        <f t="shared" si="1"/>
        <v>G2</v>
      </c>
      <c r="AM26" s="18">
        <v>90</v>
      </c>
      <c r="AO26" t="str">
        <f t="shared" si="2"/>
        <v>M90</v>
      </c>
      <c r="AP26" t="str">
        <f t="shared" si="3"/>
        <v>G2M90</v>
      </c>
      <c r="AQ26" s="18">
        <v>21</v>
      </c>
      <c r="AT26">
        <v>1631</v>
      </c>
      <c r="AU26" t="s">
        <v>509</v>
      </c>
      <c r="AW26" t="str">
        <f>IF(Tabela4[[#This Row],[JUSTIFICATIVA]]="","",CONCATENATE("B",Tabela4[[#This Row],[BLOCO]],Tabela4[[#This Row],[UO_COD]]))</f>
        <v/>
      </c>
      <c r="AX26">
        <f>Tabela4[[#This Row],[JUSTIFICATIVA]]</f>
        <v>0</v>
      </c>
      <c r="BA26" t="s">
        <v>503</v>
      </c>
      <c r="BB26" t="s">
        <v>488</v>
      </c>
      <c r="BC26" t="str">
        <f t="shared" si="4"/>
        <v>G4M50</v>
      </c>
      <c r="BD26" t="s">
        <v>465</v>
      </c>
    </row>
    <row r="27" spans="1:56" ht="15" customHeight="1">
      <c r="A27" s="11">
        <v>1071</v>
      </c>
      <c r="B27" s="11">
        <v>4099</v>
      </c>
      <c r="C27" s="12" t="str">
        <f t="shared" si="0"/>
        <v>10714099</v>
      </c>
      <c r="D27" s="11" t="s">
        <v>66</v>
      </c>
      <c r="E27" s="11" t="s">
        <v>504</v>
      </c>
      <c r="F27" s="11" t="s">
        <v>505</v>
      </c>
      <c r="G27" s="11">
        <v>0</v>
      </c>
      <c r="R27">
        <v>26</v>
      </c>
      <c r="T27" s="11">
        <v>1071</v>
      </c>
      <c r="U27" s="11">
        <v>4099</v>
      </c>
      <c r="W27" s="13">
        <v>1631</v>
      </c>
      <c r="Y27" t="s">
        <v>479</v>
      </c>
      <c r="Z27" s="14">
        <v>10</v>
      </c>
      <c r="AD27" s="15">
        <v>91</v>
      </c>
      <c r="AH27" t="s">
        <v>500</v>
      </c>
      <c r="AI27" s="18">
        <v>90</v>
      </c>
      <c r="AK27" s="18">
        <v>2</v>
      </c>
      <c r="AL27" s="18" t="str">
        <f t="shared" si="1"/>
        <v>G2</v>
      </c>
      <c r="AM27" s="18">
        <v>90</v>
      </c>
      <c r="AO27" t="str">
        <f t="shared" si="2"/>
        <v>M90</v>
      </c>
      <c r="AP27" t="str">
        <f t="shared" si="3"/>
        <v>G2M90</v>
      </c>
      <c r="AQ27" s="18">
        <v>22</v>
      </c>
      <c r="AT27">
        <v>1711</v>
      </c>
      <c r="AU27" t="s">
        <v>136</v>
      </c>
      <c r="AW27" t="str">
        <f>IF(Tabela4[[#This Row],[JUSTIFICATIVA]]="","",CONCATENATE("B",Tabela4[[#This Row],[BLOCO]],Tabela4[[#This Row],[UO_COD]]))</f>
        <v/>
      </c>
      <c r="AX27">
        <f>Tabela4[[#This Row],[JUSTIFICATIVA]]</f>
        <v>0</v>
      </c>
      <c r="BA27" t="s">
        <v>503</v>
      </c>
      <c r="BB27" t="s">
        <v>489</v>
      </c>
      <c r="BC27" t="str">
        <f t="shared" si="4"/>
        <v>G4M60</v>
      </c>
      <c r="BD27" t="s">
        <v>508</v>
      </c>
    </row>
    <row r="28" spans="1:56" ht="15" customHeight="1">
      <c r="A28" s="11">
        <v>1071</v>
      </c>
      <c r="B28" s="11">
        <v>4155</v>
      </c>
      <c r="C28" s="12" t="str">
        <f t="shared" si="0"/>
        <v>10714155</v>
      </c>
      <c r="D28" s="11" t="s">
        <v>66</v>
      </c>
      <c r="E28" s="11" t="s">
        <v>504</v>
      </c>
      <c r="F28" s="11" t="s">
        <v>510</v>
      </c>
      <c r="G28" s="11">
        <v>1</v>
      </c>
      <c r="R28">
        <v>27</v>
      </c>
      <c r="T28" s="11">
        <v>1071</v>
      </c>
      <c r="U28" s="11">
        <v>4155</v>
      </c>
      <c r="W28" s="13">
        <v>1711</v>
      </c>
      <c r="Y28" t="s">
        <v>479</v>
      </c>
      <c r="Z28" s="14">
        <v>13</v>
      </c>
      <c r="AD28" s="15">
        <v>94</v>
      </c>
      <c r="AH28" t="s">
        <v>500</v>
      </c>
      <c r="AI28" s="18">
        <v>91</v>
      </c>
      <c r="AK28" s="18">
        <v>2</v>
      </c>
      <c r="AL28" s="18" t="str">
        <f t="shared" si="1"/>
        <v>G2</v>
      </c>
      <c r="AM28" s="18">
        <v>90</v>
      </c>
      <c r="AO28" t="str">
        <f t="shared" si="2"/>
        <v>M90</v>
      </c>
      <c r="AP28" t="str">
        <f t="shared" si="3"/>
        <v>G2M90</v>
      </c>
      <c r="AQ28" s="18">
        <v>23</v>
      </c>
      <c r="AT28">
        <v>1721</v>
      </c>
      <c r="AU28" t="s">
        <v>511</v>
      </c>
      <c r="AW28" t="str">
        <f>IF(Tabela4[[#This Row],[JUSTIFICATIVA]]="","",CONCATENATE("B",Tabela4[[#This Row],[BLOCO]],Tabela4[[#This Row],[UO_COD]]))</f>
        <v/>
      </c>
      <c r="AX28">
        <f>Tabela4[[#This Row],[JUSTIFICATIVA]]</f>
        <v>0</v>
      </c>
      <c r="BA28" t="s">
        <v>503</v>
      </c>
      <c r="BB28" t="s">
        <v>494</v>
      </c>
      <c r="BC28" t="str">
        <f t="shared" si="4"/>
        <v>G4M70</v>
      </c>
      <c r="BD28" t="s">
        <v>508</v>
      </c>
    </row>
    <row r="29" spans="1:56" ht="15" customHeight="1">
      <c r="A29" s="11">
        <v>1071</v>
      </c>
      <c r="B29" s="11">
        <v>4335</v>
      </c>
      <c r="C29" s="12" t="str">
        <f t="shared" si="0"/>
        <v>10714335</v>
      </c>
      <c r="D29" s="11" t="s">
        <v>66</v>
      </c>
      <c r="E29" s="11" t="s">
        <v>512</v>
      </c>
      <c r="F29" s="11" t="s">
        <v>513</v>
      </c>
      <c r="G29" s="11">
        <v>0</v>
      </c>
      <c r="R29">
        <v>28</v>
      </c>
      <c r="T29" s="11">
        <v>1071</v>
      </c>
      <c r="U29" s="11">
        <v>4335</v>
      </c>
      <c r="W29" s="13">
        <v>1721</v>
      </c>
      <c r="Y29" t="s">
        <v>479</v>
      </c>
      <c r="Z29" s="14">
        <v>14</v>
      </c>
      <c r="AD29" s="15">
        <v>95</v>
      </c>
      <c r="AH29" t="s">
        <v>500</v>
      </c>
      <c r="AI29" s="18">
        <v>95</v>
      </c>
      <c r="AK29" s="18">
        <v>2</v>
      </c>
      <c r="AL29" s="18" t="str">
        <f t="shared" si="1"/>
        <v>G2</v>
      </c>
      <c r="AM29" s="18">
        <v>90</v>
      </c>
      <c r="AO29" t="str">
        <f t="shared" si="2"/>
        <v>M90</v>
      </c>
      <c r="AP29" t="str">
        <f t="shared" si="3"/>
        <v>G2M90</v>
      </c>
      <c r="AQ29" s="18">
        <v>24</v>
      </c>
      <c r="AT29">
        <v>1911</v>
      </c>
      <c r="AU29" t="s">
        <v>514</v>
      </c>
      <c r="AW29" t="str">
        <f>IF(Tabela4[[#This Row],[JUSTIFICATIVA]]="","",CONCATENATE("B",Tabela4[[#This Row],[BLOCO]],Tabela4[[#This Row],[UO_COD]]))</f>
        <v/>
      </c>
      <c r="AX29">
        <f>Tabela4[[#This Row],[JUSTIFICATIVA]]</f>
        <v>0</v>
      </c>
      <c r="BA29" t="s">
        <v>503</v>
      </c>
      <c r="BB29" t="s">
        <v>497</v>
      </c>
      <c r="BC29" t="str">
        <f t="shared" si="4"/>
        <v>G4M71</v>
      </c>
      <c r="BD29" t="s">
        <v>508</v>
      </c>
    </row>
    <row r="30" spans="1:56" ht="15" customHeight="1">
      <c r="A30" s="11">
        <v>1071</v>
      </c>
      <c r="B30" s="11">
        <v>4341</v>
      </c>
      <c r="C30" s="12" t="str">
        <f t="shared" si="0"/>
        <v>10714341</v>
      </c>
      <c r="D30" s="11" t="s">
        <v>66</v>
      </c>
      <c r="E30" s="11" t="s">
        <v>515</v>
      </c>
      <c r="F30" s="11" t="s">
        <v>516</v>
      </c>
      <c r="G30" s="11">
        <v>0</v>
      </c>
      <c r="R30">
        <v>29</v>
      </c>
      <c r="T30" s="11">
        <v>1071</v>
      </c>
      <c r="U30" s="11">
        <v>4341</v>
      </c>
      <c r="W30" s="13">
        <v>1911</v>
      </c>
      <c r="Y30" t="s">
        <v>479</v>
      </c>
      <c r="Z30" s="14">
        <v>15</v>
      </c>
      <c r="AH30" t="s">
        <v>500</v>
      </c>
      <c r="AI30" s="18">
        <v>99</v>
      </c>
      <c r="AK30" s="18">
        <v>2</v>
      </c>
      <c r="AL30" s="18" t="str">
        <f t="shared" si="1"/>
        <v>G2</v>
      </c>
      <c r="AM30" s="18">
        <v>90</v>
      </c>
      <c r="AO30" t="str">
        <f t="shared" si="2"/>
        <v>M90</v>
      </c>
      <c r="AP30" t="str">
        <f t="shared" si="3"/>
        <v>G2M90</v>
      </c>
      <c r="AQ30" s="18">
        <v>25</v>
      </c>
      <c r="AT30">
        <v>1915</v>
      </c>
      <c r="AU30" t="s">
        <v>517</v>
      </c>
      <c r="AW30" t="str">
        <f>IF(Tabela4[[#This Row],[JUSTIFICATIVA]]="","",CONCATENATE("B",Tabela4[[#This Row],[BLOCO]],Tabela4[[#This Row],[UO_COD]]))</f>
        <v/>
      </c>
      <c r="AX30">
        <f>Tabela4[[#This Row],[JUSTIFICATIVA]]</f>
        <v>0</v>
      </c>
      <c r="BA30" t="s">
        <v>503</v>
      </c>
      <c r="BB30" t="s">
        <v>458</v>
      </c>
      <c r="BC30" t="str">
        <f t="shared" si="4"/>
        <v>G4M90</v>
      </c>
      <c r="BD30" t="s">
        <v>465</v>
      </c>
    </row>
    <row r="31" spans="1:56" ht="15" customHeight="1">
      <c r="A31" s="11">
        <v>1071</v>
      </c>
      <c r="B31" s="11">
        <v>4354</v>
      </c>
      <c r="C31" s="12" t="str">
        <f t="shared" si="0"/>
        <v>10714354</v>
      </c>
      <c r="D31" s="11" t="s">
        <v>322</v>
      </c>
      <c r="E31" s="11" t="s">
        <v>470</v>
      </c>
      <c r="F31" s="11" t="s">
        <v>518</v>
      </c>
      <c r="G31" s="11">
        <v>0</v>
      </c>
      <c r="R31">
        <v>30</v>
      </c>
      <c r="T31" s="11">
        <v>1071</v>
      </c>
      <c r="U31" s="11">
        <v>4354</v>
      </c>
      <c r="W31" s="13">
        <v>1915</v>
      </c>
      <c r="Y31" t="s">
        <v>479</v>
      </c>
      <c r="Z31" s="14">
        <v>18</v>
      </c>
      <c r="AH31" t="s">
        <v>519</v>
      </c>
      <c r="AI31" s="18">
        <v>20</v>
      </c>
      <c r="AK31" s="18">
        <v>2</v>
      </c>
      <c r="AL31" s="18" t="str">
        <f t="shared" si="1"/>
        <v>G2</v>
      </c>
      <c r="AM31" s="18">
        <v>90</v>
      </c>
      <c r="AO31" t="str">
        <f t="shared" si="2"/>
        <v>M90</v>
      </c>
      <c r="AP31" t="str">
        <f t="shared" si="3"/>
        <v>G2M90</v>
      </c>
      <c r="AQ31" s="18">
        <v>91</v>
      </c>
      <c r="AT31">
        <v>1916</v>
      </c>
      <c r="AU31" t="s">
        <v>520</v>
      </c>
      <c r="AW31" t="str">
        <f>IF(Tabela4[[#This Row],[JUSTIFICATIVA]]="","",CONCATENATE("B",Tabela4[[#This Row],[BLOCO]],Tabela4[[#This Row],[UO_COD]]))</f>
        <v/>
      </c>
      <c r="AX31">
        <f>Tabela4[[#This Row],[JUSTIFICATIVA]]</f>
        <v>0</v>
      </c>
      <c r="BA31" t="s">
        <v>503</v>
      </c>
      <c r="BB31" t="s">
        <v>464</v>
      </c>
      <c r="BC31" t="str">
        <f t="shared" si="4"/>
        <v>G4M91</v>
      </c>
      <c r="BD31" t="s">
        <v>482</v>
      </c>
    </row>
    <row r="32" spans="1:56" ht="15" customHeight="1">
      <c r="A32" s="11">
        <v>1071</v>
      </c>
      <c r="B32" s="11">
        <v>4356</v>
      </c>
      <c r="C32" s="12" t="str">
        <f t="shared" si="0"/>
        <v>10714356</v>
      </c>
      <c r="D32" s="11" t="s">
        <v>66</v>
      </c>
      <c r="E32" s="11" t="s">
        <v>504</v>
      </c>
      <c r="F32" s="11" t="s">
        <v>510</v>
      </c>
      <c r="G32" s="11">
        <v>0</v>
      </c>
      <c r="R32">
        <v>31</v>
      </c>
      <c r="T32" s="11">
        <v>1071</v>
      </c>
      <c r="U32" s="11">
        <v>4356</v>
      </c>
      <c r="W32" s="13">
        <v>1916</v>
      </c>
      <c r="Y32" t="s">
        <v>479</v>
      </c>
      <c r="Z32" s="14">
        <v>19</v>
      </c>
      <c r="AH32" t="s">
        <v>519</v>
      </c>
      <c r="AI32" s="18">
        <v>40</v>
      </c>
      <c r="AK32" s="18">
        <v>2</v>
      </c>
      <c r="AL32" s="18" t="str">
        <f t="shared" si="1"/>
        <v>G2</v>
      </c>
      <c r="AM32" s="18">
        <v>90</v>
      </c>
      <c r="AO32" t="str">
        <f t="shared" si="2"/>
        <v>M90</v>
      </c>
      <c r="AP32" t="str">
        <f t="shared" si="3"/>
        <v>G2M90</v>
      </c>
      <c r="AQ32" s="18">
        <v>92</v>
      </c>
      <c r="AT32">
        <v>1941</v>
      </c>
      <c r="AU32" t="s">
        <v>150</v>
      </c>
      <c r="AW32" t="str">
        <f>IF(Tabela4[[#This Row],[JUSTIFICATIVA]]="","",CONCATENATE("B",Tabela4[[#This Row],[BLOCO]],Tabela4[[#This Row],[UO_COD]]))</f>
        <v/>
      </c>
      <c r="AX32">
        <f>Tabela4[[#This Row],[JUSTIFICATIVA]]</f>
        <v>0</v>
      </c>
      <c r="BA32" t="s">
        <v>503</v>
      </c>
      <c r="BB32" t="s">
        <v>499</v>
      </c>
      <c r="BC32" t="str">
        <f t="shared" si="4"/>
        <v>G4M95</v>
      </c>
      <c r="BD32" t="s">
        <v>508</v>
      </c>
    </row>
    <row r="33" spans="1:56" ht="15" customHeight="1">
      <c r="A33" s="11">
        <v>1071</v>
      </c>
      <c r="B33" s="11">
        <v>4381</v>
      </c>
      <c r="C33" s="12" t="str">
        <f t="shared" si="0"/>
        <v>10714381</v>
      </c>
      <c r="D33" s="11" t="s">
        <v>66</v>
      </c>
      <c r="E33" s="11" t="s">
        <v>504</v>
      </c>
      <c r="F33" s="11" t="s">
        <v>521</v>
      </c>
      <c r="G33" s="11">
        <v>0</v>
      </c>
      <c r="R33">
        <v>32</v>
      </c>
      <c r="T33" s="11">
        <v>1071</v>
      </c>
      <c r="U33" s="11">
        <v>4381</v>
      </c>
      <c r="W33" s="13">
        <v>1941</v>
      </c>
      <c r="Y33" t="s">
        <v>479</v>
      </c>
      <c r="Z33" s="14">
        <v>20</v>
      </c>
      <c r="AH33" t="s">
        <v>519</v>
      </c>
      <c r="AI33" s="18">
        <v>41</v>
      </c>
      <c r="AK33" s="18">
        <v>2</v>
      </c>
      <c r="AL33" s="18" t="str">
        <f t="shared" si="1"/>
        <v>G2</v>
      </c>
      <c r="AM33" s="18">
        <v>91</v>
      </c>
      <c r="AO33" t="str">
        <f t="shared" si="2"/>
        <v>M91</v>
      </c>
      <c r="AP33" t="str">
        <f t="shared" si="3"/>
        <v>G2M91</v>
      </c>
      <c r="AQ33" s="18">
        <v>21</v>
      </c>
      <c r="AT33">
        <v>1951</v>
      </c>
      <c r="AU33" t="s">
        <v>522</v>
      </c>
      <c r="AW33" t="str">
        <f>IF(Tabela4[[#This Row],[JUSTIFICATIVA]]="","",CONCATENATE("B",Tabela4[[#This Row],[BLOCO]],Tabela4[[#This Row],[UO_COD]]))</f>
        <v/>
      </c>
      <c r="AX33">
        <f>Tabela4[[#This Row],[JUSTIFICATIVA]]</f>
        <v>0</v>
      </c>
      <c r="BA33" t="s">
        <v>503</v>
      </c>
      <c r="BB33" t="s">
        <v>501</v>
      </c>
      <c r="BC33" t="str">
        <f t="shared" si="4"/>
        <v>G4M96</v>
      </c>
      <c r="BD33" t="s">
        <v>523</v>
      </c>
    </row>
    <row r="34" spans="1:56" ht="15" customHeight="1">
      <c r="A34" s="11">
        <v>1071</v>
      </c>
      <c r="B34" s="11">
        <v>4390</v>
      </c>
      <c r="C34" s="12" t="str">
        <f t="shared" si="0"/>
        <v>10714390</v>
      </c>
      <c r="D34" s="11" t="s">
        <v>66</v>
      </c>
      <c r="E34" s="11" t="s">
        <v>504</v>
      </c>
      <c r="F34" s="11" t="s">
        <v>510</v>
      </c>
      <c r="G34" s="11">
        <v>0</v>
      </c>
      <c r="R34">
        <v>33</v>
      </c>
      <c r="T34" s="11">
        <v>1071</v>
      </c>
      <c r="U34" s="11">
        <v>4390</v>
      </c>
      <c r="W34" s="13">
        <v>1951</v>
      </c>
      <c r="Y34" t="s">
        <v>479</v>
      </c>
      <c r="Z34" s="14">
        <v>27</v>
      </c>
      <c r="AH34" t="s">
        <v>519</v>
      </c>
      <c r="AI34" s="18">
        <v>50</v>
      </c>
      <c r="AK34" s="18">
        <v>3</v>
      </c>
      <c r="AL34" s="18" t="str">
        <f t="shared" si="1"/>
        <v>G3</v>
      </c>
      <c r="AM34" s="18">
        <v>20</v>
      </c>
      <c r="AO34" t="str">
        <f t="shared" si="2"/>
        <v>M20</v>
      </c>
      <c r="AP34" t="str">
        <f t="shared" si="3"/>
        <v>G3M20</v>
      </c>
      <c r="AQ34" s="18">
        <v>41</v>
      </c>
      <c r="AT34">
        <v>1991</v>
      </c>
      <c r="AU34" t="s">
        <v>156</v>
      </c>
      <c r="AW34" t="str">
        <f>IF(Tabela4[[#This Row],[JUSTIFICATIVA]]="","",CONCATENATE("B",Tabela4[[#This Row],[BLOCO]],Tabela4[[#This Row],[UO_COD]]))</f>
        <v/>
      </c>
      <c r="AX34">
        <f>Tabela4[[#This Row],[JUSTIFICATIVA]]</f>
        <v>0</v>
      </c>
      <c r="BA34" t="s">
        <v>503</v>
      </c>
      <c r="BB34" t="s">
        <v>469</v>
      </c>
      <c r="BC34" t="str">
        <f t="shared" si="4"/>
        <v>G4M99</v>
      </c>
      <c r="BD34" t="s">
        <v>469</v>
      </c>
    </row>
    <row r="35" spans="1:56" ht="15" customHeight="1">
      <c r="A35" s="11">
        <v>1071</v>
      </c>
      <c r="B35" s="11">
        <v>4426</v>
      </c>
      <c r="C35" s="12" t="str">
        <f t="shared" si="0"/>
        <v>10714426</v>
      </c>
      <c r="D35" s="11" t="s">
        <v>66</v>
      </c>
      <c r="E35" s="11" t="s">
        <v>524</v>
      </c>
      <c r="F35" s="11" t="s">
        <v>525</v>
      </c>
      <c r="G35" s="11">
        <v>0</v>
      </c>
      <c r="R35">
        <v>34</v>
      </c>
      <c r="T35" s="11">
        <v>1071</v>
      </c>
      <c r="U35" s="11">
        <v>4426</v>
      </c>
      <c r="W35" s="13">
        <v>1991</v>
      </c>
      <c r="Y35" t="s">
        <v>479</v>
      </c>
      <c r="Z35" s="14">
        <v>28</v>
      </c>
      <c r="AH35" t="s">
        <v>519</v>
      </c>
      <c r="AI35" s="18">
        <v>67</v>
      </c>
      <c r="AK35" s="18">
        <v>3</v>
      </c>
      <c r="AL35" s="18" t="str">
        <f t="shared" si="1"/>
        <v>G3</v>
      </c>
      <c r="AM35" s="18">
        <v>20</v>
      </c>
      <c r="AO35" t="str">
        <f t="shared" si="2"/>
        <v>M20</v>
      </c>
      <c r="AP35" t="str">
        <f t="shared" si="3"/>
        <v>G3M20</v>
      </c>
      <c r="AQ35" s="18">
        <v>42</v>
      </c>
      <c r="AT35">
        <v>2011</v>
      </c>
      <c r="AU35" t="s">
        <v>159</v>
      </c>
      <c r="AW35" t="str">
        <f>IF(Tabela4[[#This Row],[JUSTIFICATIVA]]="","",CONCATENATE("B",Tabela4[[#This Row],[BLOCO]],Tabela4[[#This Row],[UO_COD]]))</f>
        <v/>
      </c>
      <c r="AX35">
        <f>Tabela4[[#This Row],[JUSTIFICATIVA]]</f>
        <v>0</v>
      </c>
      <c r="BA35" t="s">
        <v>526</v>
      </c>
      <c r="BB35" t="s">
        <v>481</v>
      </c>
      <c r="BC35" t="str">
        <f t="shared" si="4"/>
        <v>G5M20</v>
      </c>
      <c r="BD35" t="s">
        <v>465</v>
      </c>
    </row>
    <row r="36" spans="1:56" ht="15" customHeight="1">
      <c r="A36" s="11">
        <v>1081</v>
      </c>
      <c r="B36" s="11">
        <v>1010</v>
      </c>
      <c r="C36" s="12" t="str">
        <f t="shared" si="0"/>
        <v>10811010</v>
      </c>
      <c r="D36" s="11" t="s">
        <v>56</v>
      </c>
      <c r="E36" s="11" t="s">
        <v>527</v>
      </c>
      <c r="F36" s="11" t="s">
        <v>528</v>
      </c>
      <c r="G36" s="11">
        <v>0</v>
      </c>
      <c r="R36">
        <v>35</v>
      </c>
      <c r="T36" s="11">
        <v>1081</v>
      </c>
      <c r="U36" s="11">
        <v>1010</v>
      </c>
      <c r="W36" s="13">
        <v>2011</v>
      </c>
      <c r="Y36" t="s">
        <v>479</v>
      </c>
      <c r="Z36" s="14">
        <v>29</v>
      </c>
      <c r="AH36" t="s">
        <v>519</v>
      </c>
      <c r="AI36" s="18">
        <v>90</v>
      </c>
      <c r="AK36" s="18">
        <v>3</v>
      </c>
      <c r="AL36" s="18" t="str">
        <f t="shared" si="1"/>
        <v>G3</v>
      </c>
      <c r="AM36" s="18">
        <v>20</v>
      </c>
      <c r="AO36" t="str">
        <f t="shared" si="2"/>
        <v>M20</v>
      </c>
      <c r="AP36" t="str">
        <f t="shared" si="3"/>
        <v>G3M20</v>
      </c>
      <c r="AQ36" s="18">
        <v>92</v>
      </c>
      <c r="AT36">
        <v>2041</v>
      </c>
      <c r="AU36" t="s">
        <v>162</v>
      </c>
      <c r="AW36" t="str">
        <f>IF(Tabela4[[#This Row],[JUSTIFICATIVA]]="","",CONCATENATE("B",Tabela4[[#This Row],[BLOCO]],Tabela4[[#This Row],[UO_COD]]))</f>
        <v/>
      </c>
      <c r="AX36">
        <f>Tabela4[[#This Row],[JUSTIFICATIVA]]</f>
        <v>0</v>
      </c>
      <c r="BA36" t="s">
        <v>526</v>
      </c>
      <c r="BB36" t="s">
        <v>484</v>
      </c>
      <c r="BC36" t="str">
        <f t="shared" si="4"/>
        <v>G5M40</v>
      </c>
      <c r="BD36" t="s">
        <v>508</v>
      </c>
    </row>
    <row r="37" spans="1:56" ht="15" customHeight="1">
      <c r="A37" s="11">
        <v>1081</v>
      </c>
      <c r="B37" s="11">
        <v>1012</v>
      </c>
      <c r="C37" s="12" t="str">
        <f t="shared" si="0"/>
        <v>10811012</v>
      </c>
      <c r="D37" s="11" t="s">
        <v>56</v>
      </c>
      <c r="E37" s="11" t="s">
        <v>527</v>
      </c>
      <c r="F37" s="11" t="s">
        <v>529</v>
      </c>
      <c r="G37" s="11">
        <v>0</v>
      </c>
      <c r="R37">
        <v>36</v>
      </c>
      <c r="T37" s="11">
        <v>1081</v>
      </c>
      <c r="U37" s="11">
        <v>1012</v>
      </c>
      <c r="W37" s="13">
        <v>2041</v>
      </c>
      <c r="Y37" t="s">
        <v>479</v>
      </c>
      <c r="Z37" s="14">
        <v>30</v>
      </c>
      <c r="AH37" t="s">
        <v>519</v>
      </c>
      <c r="AI37" s="18">
        <v>91</v>
      </c>
      <c r="AK37" s="18">
        <v>3</v>
      </c>
      <c r="AL37" s="18" t="str">
        <f t="shared" si="1"/>
        <v>G3</v>
      </c>
      <c r="AM37" s="18">
        <v>20</v>
      </c>
      <c r="AO37" t="str">
        <f t="shared" si="2"/>
        <v>M20</v>
      </c>
      <c r="AP37" t="str">
        <f t="shared" si="3"/>
        <v>G3M20</v>
      </c>
      <c r="AQ37" s="18">
        <v>93</v>
      </c>
      <c r="AT37">
        <v>2061</v>
      </c>
      <c r="AU37" t="s">
        <v>165</v>
      </c>
      <c r="AW37" t="str">
        <f>IF(Tabela4[[#This Row],[JUSTIFICATIVA]]="","",CONCATENATE("B",Tabela4[[#This Row],[BLOCO]],Tabela4[[#This Row],[UO_COD]]))</f>
        <v/>
      </c>
      <c r="AX37">
        <f>Tabela4[[#This Row],[JUSTIFICATIVA]]</f>
        <v>0</v>
      </c>
      <c r="BA37" t="s">
        <v>526</v>
      </c>
      <c r="BB37" t="s">
        <v>482</v>
      </c>
      <c r="BC37" t="str">
        <f t="shared" si="4"/>
        <v>G5M41</v>
      </c>
      <c r="BD37" t="s">
        <v>465</v>
      </c>
    </row>
    <row r="38" spans="1:56" ht="15" customHeight="1">
      <c r="A38" s="11">
        <v>1081</v>
      </c>
      <c r="B38" s="11">
        <v>1013</v>
      </c>
      <c r="C38" s="12" t="str">
        <f t="shared" si="0"/>
        <v>10811013</v>
      </c>
      <c r="D38" s="11" t="s">
        <v>56</v>
      </c>
      <c r="E38" s="11" t="s">
        <v>527</v>
      </c>
      <c r="F38" s="11" t="s">
        <v>529</v>
      </c>
      <c r="G38" s="11">
        <v>0</v>
      </c>
      <c r="R38">
        <v>37</v>
      </c>
      <c r="T38" s="11">
        <v>1081</v>
      </c>
      <c r="U38" s="11">
        <v>1013</v>
      </c>
      <c r="W38" s="13">
        <v>2061</v>
      </c>
      <c r="Y38" t="s">
        <v>479</v>
      </c>
      <c r="Z38" s="14">
        <v>31</v>
      </c>
      <c r="AH38" t="s">
        <v>519</v>
      </c>
      <c r="AI38" s="18">
        <v>99</v>
      </c>
      <c r="AK38" s="18">
        <v>3</v>
      </c>
      <c r="AL38" s="18" t="str">
        <f t="shared" si="1"/>
        <v>G3</v>
      </c>
      <c r="AM38" s="18">
        <v>40</v>
      </c>
      <c r="AO38" t="str">
        <f t="shared" si="2"/>
        <v>M40</v>
      </c>
      <c r="AP38" t="str">
        <f t="shared" si="3"/>
        <v>G3M40</v>
      </c>
      <c r="AQ38" s="18">
        <v>41</v>
      </c>
      <c r="AT38">
        <v>2071</v>
      </c>
      <c r="AU38" t="s">
        <v>530</v>
      </c>
      <c r="AW38" t="str">
        <f>IF(Tabela4[[#This Row],[JUSTIFICATIVA]]="","",CONCATENATE("B",Tabela4[[#This Row],[BLOCO]],Tabela4[[#This Row],[UO_COD]]))</f>
        <v/>
      </c>
      <c r="AX38">
        <f>Tabela4[[#This Row],[JUSTIFICATIVA]]</f>
        <v>0</v>
      </c>
      <c r="BA38" t="s">
        <v>526</v>
      </c>
      <c r="BB38" t="s">
        <v>488</v>
      </c>
      <c r="BC38" t="str">
        <f t="shared" si="4"/>
        <v>G5M50</v>
      </c>
      <c r="BD38" t="s">
        <v>465</v>
      </c>
    </row>
    <row r="39" spans="1:56" ht="15" customHeight="1">
      <c r="A39" s="11">
        <v>1081</v>
      </c>
      <c r="B39" s="11">
        <v>1014</v>
      </c>
      <c r="C39" s="12" t="str">
        <f t="shared" si="0"/>
        <v>10811014</v>
      </c>
      <c r="D39" s="11" t="s">
        <v>56</v>
      </c>
      <c r="E39" s="11" t="s">
        <v>527</v>
      </c>
      <c r="F39" s="11" t="s">
        <v>529</v>
      </c>
      <c r="G39" s="11">
        <v>0</v>
      </c>
      <c r="R39">
        <v>38</v>
      </c>
      <c r="T39" s="11">
        <v>1081</v>
      </c>
      <c r="U39" s="11">
        <v>1014</v>
      </c>
      <c r="W39" s="13">
        <v>2071</v>
      </c>
      <c r="Y39" t="s">
        <v>479</v>
      </c>
      <c r="Z39" s="14">
        <v>32</v>
      </c>
      <c r="AH39" t="s">
        <v>531</v>
      </c>
      <c r="AI39" s="18">
        <v>90</v>
      </c>
      <c r="AK39" s="18">
        <v>3</v>
      </c>
      <c r="AL39" s="18" t="str">
        <f t="shared" si="1"/>
        <v>G3</v>
      </c>
      <c r="AM39" s="18">
        <v>40</v>
      </c>
      <c r="AO39" t="str">
        <f t="shared" si="2"/>
        <v>M40</v>
      </c>
      <c r="AP39" t="str">
        <f t="shared" si="3"/>
        <v>G3M40</v>
      </c>
      <c r="AQ39" s="18">
        <v>81</v>
      </c>
      <c r="AT39">
        <v>2091</v>
      </c>
      <c r="AU39" t="s">
        <v>171</v>
      </c>
      <c r="AW39" t="str">
        <f>IF(Tabela4[[#This Row],[JUSTIFICATIVA]]="","",CONCATENATE("B",Tabela4[[#This Row],[BLOCO]],Tabela4[[#This Row],[UO_COD]]))</f>
        <v/>
      </c>
      <c r="AX39">
        <f>Tabela4[[#This Row],[JUSTIFICATIVA]]</f>
        <v>0</v>
      </c>
      <c r="BA39" t="s">
        <v>526</v>
      </c>
      <c r="BB39" t="s">
        <v>489</v>
      </c>
      <c r="BC39" t="str">
        <f t="shared" si="4"/>
        <v>G5M60</v>
      </c>
      <c r="BD39" t="s">
        <v>532</v>
      </c>
    </row>
    <row r="40" spans="1:56" ht="15" customHeight="1">
      <c r="A40" s="11">
        <v>1081</v>
      </c>
      <c r="B40" s="11">
        <v>2030</v>
      </c>
      <c r="C40" s="12" t="str">
        <f t="shared" si="0"/>
        <v>10812030</v>
      </c>
      <c r="D40" s="11" t="s">
        <v>56</v>
      </c>
      <c r="E40" s="11" t="s">
        <v>527</v>
      </c>
      <c r="F40" s="11" t="s">
        <v>528</v>
      </c>
      <c r="G40" s="11">
        <v>0</v>
      </c>
      <c r="R40">
        <v>39</v>
      </c>
      <c r="T40" s="11">
        <v>1081</v>
      </c>
      <c r="U40" s="11">
        <v>2030</v>
      </c>
      <c r="W40" s="13">
        <v>2091</v>
      </c>
      <c r="Y40" t="s">
        <v>479</v>
      </c>
      <c r="Z40" s="14">
        <v>33</v>
      </c>
      <c r="AH40" t="s">
        <v>531</v>
      </c>
      <c r="AI40" s="18">
        <v>91</v>
      </c>
      <c r="AK40" s="18">
        <v>3</v>
      </c>
      <c r="AL40" s="18" t="str">
        <f t="shared" si="1"/>
        <v>G3</v>
      </c>
      <c r="AM40" s="18">
        <v>40</v>
      </c>
      <c r="AO40" t="str">
        <f t="shared" si="2"/>
        <v>M40</v>
      </c>
      <c r="AP40" t="str">
        <f t="shared" si="3"/>
        <v>G3M40</v>
      </c>
      <c r="AQ40" s="18">
        <v>92</v>
      </c>
      <c r="AT40">
        <v>2101</v>
      </c>
      <c r="AU40" t="s">
        <v>174</v>
      </c>
      <c r="AW40" t="str">
        <f>IF(Tabela4[[#This Row],[JUSTIFICATIVA]]="","",CONCATENATE("B",Tabela4[[#This Row],[BLOCO]],Tabela4[[#This Row],[UO_COD]]))</f>
        <v/>
      </c>
      <c r="AX40">
        <f>Tabela4[[#This Row],[JUSTIFICATIVA]]</f>
        <v>0</v>
      </c>
      <c r="BA40" t="s">
        <v>526</v>
      </c>
      <c r="BB40" t="s">
        <v>492</v>
      </c>
      <c r="BC40" t="str">
        <f t="shared" si="4"/>
        <v>G5M67</v>
      </c>
      <c r="BD40" t="s">
        <v>533</v>
      </c>
    </row>
    <row r="41" spans="1:56" ht="15" customHeight="1">
      <c r="A41" s="11">
        <v>1081</v>
      </c>
      <c r="B41" s="11">
        <v>2417</v>
      </c>
      <c r="C41" s="12" t="str">
        <f t="shared" si="0"/>
        <v>10812417</v>
      </c>
      <c r="D41" s="11" t="s">
        <v>56</v>
      </c>
      <c r="E41" s="11" t="s">
        <v>470</v>
      </c>
      <c r="F41" s="11" t="s">
        <v>461</v>
      </c>
      <c r="G41" s="11">
        <v>0</v>
      </c>
      <c r="R41">
        <v>40</v>
      </c>
      <c r="T41" s="11">
        <v>1081</v>
      </c>
      <c r="U41" s="11">
        <v>2417</v>
      </c>
      <c r="W41" s="13">
        <v>2101</v>
      </c>
      <c r="Y41" t="s">
        <v>479</v>
      </c>
      <c r="Z41" s="14">
        <v>35</v>
      </c>
      <c r="AH41" t="s">
        <v>534</v>
      </c>
      <c r="AI41" s="18">
        <v>99</v>
      </c>
      <c r="AK41" s="18">
        <v>3</v>
      </c>
      <c r="AL41" s="18" t="str">
        <f t="shared" si="1"/>
        <v>G3</v>
      </c>
      <c r="AM41" s="18">
        <v>40</v>
      </c>
      <c r="AO41" t="str">
        <f t="shared" si="2"/>
        <v>M40</v>
      </c>
      <c r="AP41" t="str">
        <f t="shared" si="3"/>
        <v>G3M40</v>
      </c>
      <c r="AQ41" s="18">
        <v>93</v>
      </c>
      <c r="AT41">
        <v>2121</v>
      </c>
      <c r="AU41" t="s">
        <v>178</v>
      </c>
      <c r="AW41" t="str">
        <f>IF(Tabela4[[#This Row],[JUSTIFICATIVA]]="","",CONCATENATE("B",Tabela4[[#This Row],[BLOCO]],Tabela4[[#This Row],[UO_COD]]))</f>
        <v/>
      </c>
      <c r="AX41">
        <f>Tabela4[[#This Row],[JUSTIFICATIVA]]</f>
        <v>0</v>
      </c>
      <c r="BA41" t="s">
        <v>526</v>
      </c>
      <c r="BB41" t="s">
        <v>458</v>
      </c>
      <c r="BC41" t="str">
        <f t="shared" si="4"/>
        <v>G5M90</v>
      </c>
      <c r="BD41" t="s">
        <v>482</v>
      </c>
    </row>
    <row r="42" spans="1:56" ht="15" customHeight="1">
      <c r="A42" s="11">
        <v>1081</v>
      </c>
      <c r="B42" s="11">
        <v>2500</v>
      </c>
      <c r="C42" s="12" t="str">
        <f t="shared" si="0"/>
        <v>10812500</v>
      </c>
      <c r="D42" s="11" t="s">
        <v>56</v>
      </c>
      <c r="E42" s="11" t="s">
        <v>470</v>
      </c>
      <c r="F42" s="11" t="s">
        <v>461</v>
      </c>
      <c r="G42" s="11">
        <v>0</v>
      </c>
      <c r="R42">
        <v>41</v>
      </c>
      <c r="T42" s="11">
        <v>1081</v>
      </c>
      <c r="U42" s="11">
        <v>2500</v>
      </c>
      <c r="W42" s="13">
        <v>2121</v>
      </c>
      <c r="Y42" t="s">
        <v>479</v>
      </c>
      <c r="Z42" s="14">
        <v>36</v>
      </c>
      <c r="AK42" s="18">
        <v>3</v>
      </c>
      <c r="AL42" s="18" t="str">
        <f t="shared" si="1"/>
        <v>G3</v>
      </c>
      <c r="AM42" s="18">
        <v>41</v>
      </c>
      <c r="AO42" t="str">
        <f t="shared" si="2"/>
        <v>M41</v>
      </c>
      <c r="AP42" t="str">
        <f t="shared" si="3"/>
        <v>G3M41</v>
      </c>
      <c r="AQ42" s="18">
        <v>41</v>
      </c>
      <c r="AT42">
        <v>2151</v>
      </c>
      <c r="AU42" t="s">
        <v>181</v>
      </c>
      <c r="AW42" t="str">
        <f>IF(Tabela4[[#This Row],[JUSTIFICATIVA]]="","",CONCATENATE("B",Tabela4[[#This Row],[BLOCO]],Tabela4[[#This Row],[UO_COD]]))</f>
        <v/>
      </c>
      <c r="AX42">
        <f>Tabela4[[#This Row],[JUSTIFICATIVA]]</f>
        <v>0</v>
      </c>
      <c r="BA42" t="s">
        <v>526</v>
      </c>
      <c r="BB42" t="s">
        <v>464</v>
      </c>
      <c r="BC42" t="str">
        <f t="shared" si="4"/>
        <v>G5M91</v>
      </c>
      <c r="BD42" t="s">
        <v>482</v>
      </c>
    </row>
    <row r="43" spans="1:56" ht="15" customHeight="1">
      <c r="A43" s="11">
        <v>1081</v>
      </c>
      <c r="B43" s="11">
        <v>7803</v>
      </c>
      <c r="C43" s="12" t="str">
        <f t="shared" si="0"/>
        <v>10817803</v>
      </c>
      <c r="D43" s="11" t="s">
        <v>459</v>
      </c>
      <c r="E43" s="11" t="s">
        <v>460</v>
      </c>
      <c r="F43" s="11" t="s">
        <v>461</v>
      </c>
      <c r="G43" s="11">
        <v>0</v>
      </c>
      <c r="R43">
        <v>42</v>
      </c>
      <c r="T43" s="11">
        <v>1081</v>
      </c>
      <c r="U43" s="11">
        <v>7803</v>
      </c>
      <c r="W43" s="13">
        <v>2151</v>
      </c>
      <c r="Y43" t="s">
        <v>479</v>
      </c>
      <c r="Z43" s="14">
        <v>37</v>
      </c>
      <c r="AK43" s="18">
        <v>3</v>
      </c>
      <c r="AL43" s="18" t="str">
        <f t="shared" si="1"/>
        <v>G3</v>
      </c>
      <c r="AM43" s="18">
        <v>41</v>
      </c>
      <c r="AO43" t="str">
        <f t="shared" si="2"/>
        <v>M41</v>
      </c>
      <c r="AP43" t="str">
        <f t="shared" si="3"/>
        <v>G3M41</v>
      </c>
      <c r="AQ43" s="18">
        <v>92</v>
      </c>
      <c r="AT43">
        <v>2161</v>
      </c>
      <c r="AU43" t="s">
        <v>184</v>
      </c>
      <c r="AW43" t="str">
        <f>IF(Tabela4[[#This Row],[JUSTIFICATIVA]]="","",CONCATENATE("B",Tabela4[[#This Row],[BLOCO]],Tabela4[[#This Row],[UO_COD]]))</f>
        <v/>
      </c>
      <c r="AX43">
        <f>Tabela4[[#This Row],[JUSTIFICATIVA]]</f>
        <v>0</v>
      </c>
      <c r="BA43" t="s">
        <v>526</v>
      </c>
      <c r="BB43" t="s">
        <v>469</v>
      </c>
      <c r="BC43" t="str">
        <f t="shared" si="4"/>
        <v>G5M99</v>
      </c>
      <c r="BD43" t="s">
        <v>469</v>
      </c>
    </row>
    <row r="44" spans="1:56" ht="15" customHeight="1">
      <c r="A44" s="11">
        <v>1091</v>
      </c>
      <c r="B44" s="11">
        <v>1064</v>
      </c>
      <c r="C44" s="12" t="str">
        <f t="shared" si="0"/>
        <v>10911064</v>
      </c>
      <c r="D44" s="11" t="s">
        <v>56</v>
      </c>
      <c r="E44" s="11" t="s">
        <v>535</v>
      </c>
      <c r="F44" s="11" t="s">
        <v>536</v>
      </c>
      <c r="G44" s="11">
        <v>0</v>
      </c>
      <c r="R44">
        <v>43</v>
      </c>
      <c r="T44" s="11">
        <v>1091</v>
      </c>
      <c r="U44" s="11">
        <v>1064</v>
      </c>
      <c r="W44" s="13">
        <v>2161</v>
      </c>
      <c r="Y44" t="s">
        <v>479</v>
      </c>
      <c r="Z44" s="14">
        <v>38</v>
      </c>
      <c r="AK44" s="18">
        <v>3</v>
      </c>
      <c r="AL44" s="18" t="str">
        <f t="shared" si="1"/>
        <v>G3</v>
      </c>
      <c r="AM44" s="18">
        <v>50</v>
      </c>
      <c r="AO44" t="str">
        <f t="shared" si="2"/>
        <v>M50</v>
      </c>
      <c r="AP44" t="str">
        <f t="shared" si="3"/>
        <v>G3M50</v>
      </c>
      <c r="AQ44" s="18">
        <v>30</v>
      </c>
      <c r="AT44">
        <v>2171</v>
      </c>
      <c r="AU44" t="s">
        <v>187</v>
      </c>
      <c r="AW44" t="str">
        <f>IF(Tabela4[[#This Row],[JUSTIFICATIVA]]="","",CONCATENATE("B",Tabela4[[#This Row],[BLOCO]],Tabela4[[#This Row],[UO_COD]]))</f>
        <v/>
      </c>
      <c r="AX44">
        <f>Tabela4[[#This Row],[JUSTIFICATIVA]]</f>
        <v>0</v>
      </c>
      <c r="BA44" t="s">
        <v>537</v>
      </c>
      <c r="BB44" t="s">
        <v>458</v>
      </c>
      <c r="BC44" t="str">
        <f t="shared" si="4"/>
        <v>G6M90</v>
      </c>
      <c r="BD44" t="s">
        <v>465</v>
      </c>
    </row>
    <row r="45" spans="1:56" ht="15" customHeight="1">
      <c r="A45" s="11">
        <v>1091</v>
      </c>
      <c r="B45" s="11">
        <v>2009</v>
      </c>
      <c r="C45" s="12" t="str">
        <f t="shared" si="0"/>
        <v>10912009</v>
      </c>
      <c r="D45" s="11" t="s">
        <v>56</v>
      </c>
      <c r="E45" s="11" t="s">
        <v>470</v>
      </c>
      <c r="F45" s="11" t="s">
        <v>538</v>
      </c>
      <c r="G45" s="11">
        <v>0</v>
      </c>
      <c r="R45">
        <v>44</v>
      </c>
      <c r="T45" s="11">
        <v>1091</v>
      </c>
      <c r="U45" s="11">
        <v>2009</v>
      </c>
      <c r="W45" s="13">
        <v>2171</v>
      </c>
      <c r="Y45" t="s">
        <v>479</v>
      </c>
      <c r="Z45" s="14">
        <v>39</v>
      </c>
      <c r="AK45" s="18">
        <v>3</v>
      </c>
      <c r="AL45" s="18" t="str">
        <f t="shared" si="1"/>
        <v>G3</v>
      </c>
      <c r="AM45" s="18">
        <v>50</v>
      </c>
      <c r="AO45" t="str">
        <f t="shared" si="2"/>
        <v>M50</v>
      </c>
      <c r="AP45" t="str">
        <f t="shared" si="3"/>
        <v>G3M50</v>
      </c>
      <c r="AQ45" s="18">
        <v>36</v>
      </c>
      <c r="AT45">
        <v>2181</v>
      </c>
      <c r="AU45" t="s">
        <v>190</v>
      </c>
      <c r="AW45" t="str">
        <f>IF(Tabela4[[#This Row],[JUSTIFICATIVA]]="","",CONCATENATE("B",Tabela4[[#This Row],[BLOCO]],Tabela4[[#This Row],[UO_COD]]))</f>
        <v/>
      </c>
      <c r="AX45">
        <f>Tabela4[[#This Row],[JUSTIFICATIVA]]</f>
        <v>0</v>
      </c>
      <c r="BA45" t="s">
        <v>537</v>
      </c>
      <c r="BB45" t="s">
        <v>464</v>
      </c>
      <c r="BC45" t="str">
        <f t="shared" si="4"/>
        <v>G6M91</v>
      </c>
      <c r="BD45" t="s">
        <v>497</v>
      </c>
    </row>
    <row r="46" spans="1:56" ht="15" customHeight="1">
      <c r="A46" s="11">
        <v>1091</v>
      </c>
      <c r="B46" s="11">
        <v>2028</v>
      </c>
      <c r="C46" s="12" t="str">
        <f t="shared" si="0"/>
        <v>10912028</v>
      </c>
      <c r="D46" s="11" t="s">
        <v>56</v>
      </c>
      <c r="E46" s="11" t="s">
        <v>470</v>
      </c>
      <c r="F46" s="11" t="s">
        <v>538</v>
      </c>
      <c r="G46" s="11">
        <v>0</v>
      </c>
      <c r="R46">
        <v>45</v>
      </c>
      <c r="T46" s="11">
        <v>1091</v>
      </c>
      <c r="U46" s="11">
        <v>2028</v>
      </c>
      <c r="W46" s="13">
        <v>2181</v>
      </c>
      <c r="Y46" t="s">
        <v>479</v>
      </c>
      <c r="Z46" s="14">
        <v>40</v>
      </c>
      <c r="AK46" s="18">
        <v>3</v>
      </c>
      <c r="AL46" s="18" t="str">
        <f t="shared" si="1"/>
        <v>G3</v>
      </c>
      <c r="AM46" s="18">
        <v>50</v>
      </c>
      <c r="AO46" t="str">
        <f t="shared" si="2"/>
        <v>M50</v>
      </c>
      <c r="AP46" t="str">
        <f t="shared" si="3"/>
        <v>G3M50</v>
      </c>
      <c r="AQ46" s="18">
        <v>39</v>
      </c>
      <c r="AT46">
        <v>2201</v>
      </c>
      <c r="AU46" t="s">
        <v>193</v>
      </c>
      <c r="AW46" t="str">
        <f>IF(Tabela4[[#This Row],[JUSTIFICATIVA]]="","",CONCATENATE("B",Tabela4[[#This Row],[BLOCO]],Tabela4[[#This Row],[UO_COD]]))</f>
        <v/>
      </c>
      <c r="AX46">
        <f>Tabela4[[#This Row],[JUSTIFICATIVA]]</f>
        <v>0</v>
      </c>
      <c r="BA46" t="s">
        <v>539</v>
      </c>
      <c r="BB46" t="s">
        <v>469</v>
      </c>
      <c r="BC46" t="str">
        <f t="shared" si="4"/>
        <v>G9M99</v>
      </c>
      <c r="BD46" t="s">
        <v>469</v>
      </c>
    </row>
    <row r="47" spans="1:56" ht="15" customHeight="1">
      <c r="A47" s="11">
        <v>1091</v>
      </c>
      <c r="B47" s="11">
        <v>4493</v>
      </c>
      <c r="C47" s="12" t="str">
        <f t="shared" si="0"/>
        <v>10914493</v>
      </c>
      <c r="D47" s="11" t="s">
        <v>56</v>
      </c>
      <c r="E47" s="11" t="s">
        <v>535</v>
      </c>
      <c r="F47" s="11" t="s">
        <v>538</v>
      </c>
      <c r="G47" s="11">
        <v>0</v>
      </c>
      <c r="R47">
        <v>46</v>
      </c>
      <c r="T47" s="11">
        <v>1091</v>
      </c>
      <c r="U47" s="11">
        <v>4493</v>
      </c>
      <c r="W47" s="13">
        <v>2201</v>
      </c>
      <c r="Y47" t="s">
        <v>479</v>
      </c>
      <c r="Z47" s="14">
        <v>41</v>
      </c>
      <c r="AK47" s="18">
        <v>3</v>
      </c>
      <c r="AL47" s="18" t="str">
        <f t="shared" si="1"/>
        <v>G3</v>
      </c>
      <c r="AM47" s="18">
        <v>50</v>
      </c>
      <c r="AO47" t="str">
        <f t="shared" si="2"/>
        <v>M50</v>
      </c>
      <c r="AP47" t="str">
        <f t="shared" si="3"/>
        <v>G3M50</v>
      </c>
      <c r="AQ47" s="18">
        <v>41</v>
      </c>
      <c r="AT47">
        <v>2211</v>
      </c>
      <c r="AU47" t="s">
        <v>196</v>
      </c>
      <c r="AW47" t="str">
        <f>IF(Tabela4[[#This Row],[JUSTIFICATIVA]]="","",CONCATENATE("B",Tabela4[[#This Row],[BLOCO]],Tabela4[[#This Row],[UO_COD]]))</f>
        <v/>
      </c>
      <c r="AX47">
        <f>Tabela4[[#This Row],[JUSTIFICATIVA]]</f>
        <v>0</v>
      </c>
    </row>
    <row r="48" spans="1:56" ht="15" customHeight="1">
      <c r="A48" s="11">
        <v>1091</v>
      </c>
      <c r="B48" s="11">
        <v>7004</v>
      </c>
      <c r="C48" s="12" t="str">
        <f t="shared" si="0"/>
        <v>10917004</v>
      </c>
      <c r="D48" s="11" t="s">
        <v>459</v>
      </c>
      <c r="E48" s="11" t="s">
        <v>460</v>
      </c>
      <c r="F48" s="11" t="s">
        <v>461</v>
      </c>
      <c r="G48" s="11">
        <v>0</v>
      </c>
      <c r="R48">
        <v>47</v>
      </c>
      <c r="T48" s="11">
        <v>1091</v>
      </c>
      <c r="U48" s="11">
        <v>7004</v>
      </c>
      <c r="W48" s="13">
        <v>2211</v>
      </c>
      <c r="Y48" t="s">
        <v>479</v>
      </c>
      <c r="Z48" s="14">
        <v>42</v>
      </c>
      <c r="AK48" s="18">
        <v>3</v>
      </c>
      <c r="AL48" s="18" t="str">
        <f t="shared" si="1"/>
        <v>G3</v>
      </c>
      <c r="AM48" s="18">
        <v>50</v>
      </c>
      <c r="AO48" t="str">
        <f t="shared" si="2"/>
        <v>M50</v>
      </c>
      <c r="AP48" t="str">
        <f t="shared" si="3"/>
        <v>G3M50</v>
      </c>
      <c r="AQ48" s="18">
        <v>42</v>
      </c>
      <c r="AT48">
        <v>2241</v>
      </c>
      <c r="AU48" t="s">
        <v>199</v>
      </c>
      <c r="AW48" t="str">
        <f>IF(Tabela4[[#This Row],[JUSTIFICATIVA]]="","",CONCATENATE("B",Tabela4[[#This Row],[BLOCO]],Tabela4[[#This Row],[UO_COD]]))</f>
        <v/>
      </c>
      <c r="AX48">
        <f>Tabela4[[#This Row],[JUSTIFICATIVA]]</f>
        <v>0</v>
      </c>
    </row>
    <row r="49" spans="1:50" ht="15" customHeight="1">
      <c r="A49" s="11">
        <v>1091</v>
      </c>
      <c r="B49" s="11">
        <v>7006</v>
      </c>
      <c r="C49" s="12" t="str">
        <f t="shared" si="0"/>
        <v>10917006</v>
      </c>
      <c r="D49" s="11" t="s">
        <v>70</v>
      </c>
      <c r="E49" s="11" t="s">
        <v>466</v>
      </c>
      <c r="F49" s="11" t="s">
        <v>461</v>
      </c>
      <c r="G49" s="11">
        <v>0</v>
      </c>
      <c r="R49">
        <v>48</v>
      </c>
      <c r="T49" s="11">
        <v>1091</v>
      </c>
      <c r="U49" s="11">
        <v>7006</v>
      </c>
      <c r="W49" s="13">
        <v>2241</v>
      </c>
      <c r="Y49" t="s">
        <v>479</v>
      </c>
      <c r="Z49" s="14">
        <v>43</v>
      </c>
      <c r="AK49" s="18">
        <v>3</v>
      </c>
      <c r="AL49" s="18" t="str">
        <f t="shared" si="1"/>
        <v>G3</v>
      </c>
      <c r="AM49" s="18">
        <v>50</v>
      </c>
      <c r="AO49" t="str">
        <f t="shared" si="2"/>
        <v>M50</v>
      </c>
      <c r="AP49" t="str">
        <f t="shared" si="3"/>
        <v>G3M50</v>
      </c>
      <c r="AQ49" s="18">
        <v>43</v>
      </c>
      <c r="AT49">
        <v>2251</v>
      </c>
      <c r="AU49" t="s">
        <v>202</v>
      </c>
      <c r="AW49" t="str">
        <f>IF(Tabela4[[#This Row],[JUSTIFICATIVA]]="","",CONCATENATE("B",Tabela4[[#This Row],[BLOCO]],Tabela4[[#This Row],[UO_COD]]))</f>
        <v/>
      </c>
      <c r="AX49">
        <f>Tabela4[[#This Row],[JUSTIFICATIVA]]</f>
        <v>0</v>
      </c>
    </row>
    <row r="50" spans="1:50" ht="15" customHeight="1">
      <c r="A50" s="11">
        <v>1101</v>
      </c>
      <c r="B50" s="11">
        <v>2020</v>
      </c>
      <c r="C50" s="12" t="str">
        <f t="shared" si="0"/>
        <v>11012020</v>
      </c>
      <c r="D50" s="11" t="s">
        <v>540</v>
      </c>
      <c r="E50" s="11" t="s">
        <v>474</v>
      </c>
      <c r="F50" s="11" t="s">
        <v>541</v>
      </c>
      <c r="G50" s="11">
        <v>0</v>
      </c>
      <c r="R50">
        <v>49</v>
      </c>
      <c r="T50" s="11">
        <v>1101</v>
      </c>
      <c r="U50" s="11">
        <v>2020</v>
      </c>
      <c r="W50" s="13">
        <v>2251</v>
      </c>
      <c r="Y50" t="s">
        <v>479</v>
      </c>
      <c r="Z50" s="14">
        <v>45</v>
      </c>
      <c r="AK50" s="21">
        <v>3</v>
      </c>
      <c r="AL50" s="18" t="str">
        <f t="shared" si="1"/>
        <v>G3</v>
      </c>
      <c r="AM50" s="21">
        <v>50</v>
      </c>
      <c r="AO50" t="str">
        <f t="shared" si="2"/>
        <v>M50</v>
      </c>
      <c r="AP50" t="str">
        <f t="shared" si="3"/>
        <v>G3M50</v>
      </c>
      <c r="AQ50" s="21">
        <v>85</v>
      </c>
      <c r="AT50">
        <v>2261</v>
      </c>
      <c r="AU50" t="s">
        <v>205</v>
      </c>
      <c r="AW50" t="str">
        <f>IF(Tabela4[[#This Row],[JUSTIFICATIVA]]="","",CONCATENATE("B",Tabela4[[#This Row],[BLOCO]],Tabela4[[#This Row],[UO_COD]]))</f>
        <v/>
      </c>
      <c r="AX50">
        <f>Tabela4[[#This Row],[JUSTIFICATIVA]]</f>
        <v>0</v>
      </c>
    </row>
    <row r="51" spans="1:50" ht="15" customHeight="1">
      <c r="A51" s="11">
        <v>1101</v>
      </c>
      <c r="B51" s="11">
        <v>2417</v>
      </c>
      <c r="C51" s="12" t="str">
        <f t="shared" si="0"/>
        <v>11012417</v>
      </c>
      <c r="D51" s="11" t="s">
        <v>540</v>
      </c>
      <c r="E51" s="11" t="s">
        <v>470</v>
      </c>
      <c r="F51" s="11" t="s">
        <v>461</v>
      </c>
      <c r="G51" s="11">
        <v>0</v>
      </c>
      <c r="R51">
        <v>50</v>
      </c>
      <c r="T51" s="11">
        <v>1101</v>
      </c>
      <c r="U51" s="11">
        <v>2417</v>
      </c>
      <c r="W51" s="13">
        <v>2261</v>
      </c>
      <c r="Y51" t="s">
        <v>479</v>
      </c>
      <c r="Z51" s="14">
        <v>46</v>
      </c>
      <c r="AK51" s="18">
        <v>3</v>
      </c>
      <c r="AL51" s="18" t="str">
        <f t="shared" si="1"/>
        <v>G3</v>
      </c>
      <c r="AM51" s="18">
        <v>50</v>
      </c>
      <c r="AO51" t="str">
        <f t="shared" si="2"/>
        <v>M50</v>
      </c>
      <c r="AP51" t="str">
        <f t="shared" si="3"/>
        <v>G3M50</v>
      </c>
      <c r="AQ51" s="18">
        <v>92</v>
      </c>
      <c r="AT51">
        <v>2271</v>
      </c>
      <c r="AU51" t="s">
        <v>208</v>
      </c>
      <c r="AW51" t="str">
        <f>IF(Tabela4[[#This Row],[JUSTIFICATIVA]]="","",CONCATENATE("B",Tabela4[[#This Row],[BLOCO]],Tabela4[[#This Row],[UO_COD]]))</f>
        <v/>
      </c>
      <c r="AX51">
        <f>Tabela4[[#This Row],[JUSTIFICATIVA]]</f>
        <v>0</v>
      </c>
    </row>
    <row r="52" spans="1:50" ht="15" customHeight="1">
      <c r="A52" s="11">
        <v>1101</v>
      </c>
      <c r="B52" s="11">
        <v>2500</v>
      </c>
      <c r="C52" s="12" t="str">
        <f t="shared" si="0"/>
        <v>11012500</v>
      </c>
      <c r="D52" s="11" t="s">
        <v>540</v>
      </c>
      <c r="E52" s="11" t="s">
        <v>542</v>
      </c>
      <c r="F52" s="11" t="s">
        <v>461</v>
      </c>
      <c r="G52" s="11">
        <v>0</v>
      </c>
      <c r="R52">
        <v>51</v>
      </c>
      <c r="T52" s="11">
        <v>1101</v>
      </c>
      <c r="U52" s="11">
        <v>2500</v>
      </c>
      <c r="W52" s="13">
        <v>2271</v>
      </c>
      <c r="Y52" t="s">
        <v>479</v>
      </c>
      <c r="Z52" s="14">
        <v>47</v>
      </c>
      <c r="AK52" s="18">
        <v>3</v>
      </c>
      <c r="AL52" s="18" t="str">
        <f t="shared" si="1"/>
        <v>G3</v>
      </c>
      <c r="AM52" s="18">
        <v>50</v>
      </c>
      <c r="AO52" t="str">
        <f t="shared" si="2"/>
        <v>M50</v>
      </c>
      <c r="AP52" t="str">
        <f t="shared" si="3"/>
        <v>G3M50</v>
      </c>
      <c r="AQ52" s="18">
        <v>93</v>
      </c>
      <c r="AT52">
        <v>2281</v>
      </c>
      <c r="AU52" t="s">
        <v>543</v>
      </c>
      <c r="AW52" t="str">
        <f>IF(Tabela4[[#This Row],[JUSTIFICATIVA]]="","",CONCATENATE("B",Tabela4[[#This Row],[BLOCO]],Tabela4[[#This Row],[UO_COD]]))</f>
        <v/>
      </c>
      <c r="AX52">
        <f>Tabela4[[#This Row],[JUSTIFICATIVA]]</f>
        <v>0</v>
      </c>
    </row>
    <row r="53" spans="1:50" ht="15" customHeight="1">
      <c r="A53" s="11">
        <v>1101</v>
      </c>
      <c r="B53" s="11">
        <v>4012</v>
      </c>
      <c r="C53" s="12" t="str">
        <f t="shared" si="0"/>
        <v>11014012</v>
      </c>
      <c r="D53" s="11" t="s">
        <v>540</v>
      </c>
      <c r="E53" s="11" t="s">
        <v>544</v>
      </c>
      <c r="F53" s="11" t="s">
        <v>545</v>
      </c>
      <c r="G53" s="11">
        <v>0</v>
      </c>
      <c r="R53">
        <v>52</v>
      </c>
      <c r="T53" s="11">
        <v>1101</v>
      </c>
      <c r="U53" s="11">
        <v>4012</v>
      </c>
      <c r="W53" s="13">
        <v>2281</v>
      </c>
      <c r="Y53" t="s">
        <v>479</v>
      </c>
      <c r="Z53" s="14">
        <v>48</v>
      </c>
      <c r="AK53" s="18">
        <v>3</v>
      </c>
      <c r="AL53" s="18" t="str">
        <f t="shared" si="1"/>
        <v>G3</v>
      </c>
      <c r="AM53" s="18">
        <v>60</v>
      </c>
      <c r="AO53" t="str">
        <f t="shared" si="2"/>
        <v>M60</v>
      </c>
      <c r="AP53" t="str">
        <f t="shared" si="3"/>
        <v>G3M60</v>
      </c>
      <c r="AQ53" s="18">
        <v>39</v>
      </c>
      <c r="AT53">
        <v>2301</v>
      </c>
      <c r="AU53" t="s">
        <v>214</v>
      </c>
      <c r="AW53" t="str">
        <f>IF(Tabela4[[#This Row],[JUSTIFICATIVA]]="","",CONCATENATE("B",Tabela4[[#This Row],[BLOCO]],Tabela4[[#This Row],[UO_COD]]))</f>
        <v/>
      </c>
      <c r="AX53">
        <f>Tabela4[[#This Row],[JUSTIFICATIVA]]</f>
        <v>0</v>
      </c>
    </row>
    <row r="54" spans="1:50" ht="15" customHeight="1">
      <c r="A54" s="11">
        <v>1101</v>
      </c>
      <c r="B54" s="11">
        <v>4101</v>
      </c>
      <c r="C54" s="12" t="str">
        <f t="shared" si="0"/>
        <v>11014101</v>
      </c>
      <c r="D54" s="11" t="s">
        <v>540</v>
      </c>
      <c r="E54" s="11" t="s">
        <v>542</v>
      </c>
      <c r="F54" s="11" t="s">
        <v>545</v>
      </c>
      <c r="G54" s="11">
        <v>0</v>
      </c>
      <c r="R54">
        <v>53</v>
      </c>
      <c r="T54" s="11">
        <v>1101</v>
      </c>
      <c r="U54" s="11">
        <v>4101</v>
      </c>
      <c r="W54" s="13">
        <v>2301</v>
      </c>
      <c r="Y54" t="s">
        <v>479</v>
      </c>
      <c r="Z54" s="14">
        <v>49</v>
      </c>
      <c r="AK54" s="18">
        <v>3</v>
      </c>
      <c r="AL54" s="18" t="str">
        <f t="shared" si="1"/>
        <v>G3</v>
      </c>
      <c r="AM54" s="18">
        <v>60</v>
      </c>
      <c r="AO54" t="str">
        <f t="shared" si="2"/>
        <v>M60</v>
      </c>
      <c r="AP54" t="str">
        <f t="shared" si="3"/>
        <v>G3M60</v>
      </c>
      <c r="AQ54" s="18">
        <v>41</v>
      </c>
      <c r="AT54">
        <v>2311</v>
      </c>
      <c r="AU54" t="s">
        <v>546</v>
      </c>
      <c r="AW54" t="str">
        <f>IF(Tabela4[[#This Row],[JUSTIFICATIVA]]="","",CONCATENATE("B",Tabela4[[#This Row],[BLOCO]],Tabela4[[#This Row],[UO_COD]]))</f>
        <v/>
      </c>
      <c r="AX54">
        <f>Tabela4[[#This Row],[JUSTIFICATIVA]]</f>
        <v>0</v>
      </c>
    </row>
    <row r="55" spans="1:50" ht="15" customHeight="1">
      <c r="A55" s="11">
        <v>1101</v>
      </c>
      <c r="B55" s="11">
        <v>4102</v>
      </c>
      <c r="C55" s="12" t="str">
        <f t="shared" si="0"/>
        <v>11014102</v>
      </c>
      <c r="D55" s="11" t="s">
        <v>540</v>
      </c>
      <c r="E55" s="11" t="s">
        <v>547</v>
      </c>
      <c r="F55" s="11" t="s">
        <v>545</v>
      </c>
      <c r="G55" s="11">
        <v>0</v>
      </c>
      <c r="R55">
        <v>54</v>
      </c>
      <c r="T55" s="11">
        <v>1101</v>
      </c>
      <c r="U55" s="11">
        <v>4102</v>
      </c>
      <c r="W55" s="13">
        <v>2311</v>
      </c>
      <c r="Y55" t="s">
        <v>479</v>
      </c>
      <c r="Z55" s="14">
        <v>59</v>
      </c>
      <c r="AK55" s="18">
        <v>3</v>
      </c>
      <c r="AL55" s="18" t="str">
        <f t="shared" si="1"/>
        <v>G3</v>
      </c>
      <c r="AM55" s="18">
        <v>67</v>
      </c>
      <c r="AO55" t="str">
        <f t="shared" si="2"/>
        <v>M67</v>
      </c>
      <c r="AP55" t="str">
        <f t="shared" si="3"/>
        <v>G3M67</v>
      </c>
      <c r="AQ55" s="18">
        <v>45</v>
      </c>
      <c r="AT55">
        <v>2321</v>
      </c>
      <c r="AU55" t="s">
        <v>548</v>
      </c>
      <c r="AW55" t="str">
        <f>IF(Tabela4[[#This Row],[JUSTIFICATIVA]]="","",CONCATENATE("B",Tabela4[[#This Row],[BLOCO]],Tabela4[[#This Row],[UO_COD]]))</f>
        <v/>
      </c>
      <c r="AX55">
        <f>Tabela4[[#This Row],[JUSTIFICATIVA]]</f>
        <v>0</v>
      </c>
    </row>
    <row r="56" spans="1:50" ht="15" customHeight="1">
      <c r="A56" s="11">
        <v>1101</v>
      </c>
      <c r="B56" s="11">
        <v>4104</v>
      </c>
      <c r="C56" s="12" t="str">
        <f t="shared" si="0"/>
        <v>11014104</v>
      </c>
      <c r="D56" s="11" t="s">
        <v>540</v>
      </c>
      <c r="E56" s="11" t="s">
        <v>470</v>
      </c>
      <c r="F56" s="11" t="s">
        <v>541</v>
      </c>
      <c r="G56" s="11">
        <v>0</v>
      </c>
      <c r="R56">
        <v>55</v>
      </c>
      <c r="T56" s="11">
        <v>1101</v>
      </c>
      <c r="U56" s="11">
        <v>4104</v>
      </c>
      <c r="W56" s="13">
        <v>2321</v>
      </c>
      <c r="Y56" t="s">
        <v>479</v>
      </c>
      <c r="Z56" s="14">
        <v>67</v>
      </c>
      <c r="AK56" s="18">
        <v>3</v>
      </c>
      <c r="AL56" s="18" t="str">
        <f t="shared" si="1"/>
        <v>G3</v>
      </c>
      <c r="AM56" s="18">
        <v>67</v>
      </c>
      <c r="AO56" t="str">
        <f t="shared" si="2"/>
        <v>M67</v>
      </c>
      <c r="AP56" t="str">
        <f t="shared" si="3"/>
        <v>G3M67</v>
      </c>
      <c r="AQ56" s="18">
        <v>82</v>
      </c>
      <c r="AT56">
        <v>2331</v>
      </c>
      <c r="AU56" t="s">
        <v>221</v>
      </c>
      <c r="AW56" t="str">
        <f>IF(Tabela4[[#This Row],[JUSTIFICATIVA]]="","",CONCATENATE("B",Tabela4[[#This Row],[BLOCO]],Tabela4[[#This Row],[UO_COD]]))</f>
        <v/>
      </c>
      <c r="AX56">
        <f>Tabela4[[#This Row],[JUSTIFICATIVA]]</f>
        <v>0</v>
      </c>
    </row>
    <row r="57" spans="1:50" ht="15" customHeight="1">
      <c r="A57" s="11">
        <v>1101</v>
      </c>
      <c r="B57" s="11">
        <v>4109</v>
      </c>
      <c r="C57" s="12" t="str">
        <f t="shared" si="0"/>
        <v>11014109</v>
      </c>
      <c r="D57" s="11" t="s">
        <v>540</v>
      </c>
      <c r="E57" s="11" t="s">
        <v>542</v>
      </c>
      <c r="F57" s="11" t="s">
        <v>545</v>
      </c>
      <c r="G57" s="11">
        <v>0</v>
      </c>
      <c r="R57">
        <v>56</v>
      </c>
      <c r="T57" s="11">
        <v>1101</v>
      </c>
      <c r="U57" s="11">
        <v>4109</v>
      </c>
      <c r="W57" s="13">
        <v>2331</v>
      </c>
      <c r="Y57" t="s">
        <v>479</v>
      </c>
      <c r="Z57" s="14">
        <v>81</v>
      </c>
      <c r="AK57" s="18">
        <v>3</v>
      </c>
      <c r="AL57" s="18" t="str">
        <f t="shared" si="1"/>
        <v>G3</v>
      </c>
      <c r="AM57" s="18">
        <v>67</v>
      </c>
      <c r="AO57" t="str">
        <f t="shared" si="2"/>
        <v>M67</v>
      </c>
      <c r="AP57" t="str">
        <f t="shared" si="3"/>
        <v>G3M67</v>
      </c>
      <c r="AQ57" s="18">
        <v>83</v>
      </c>
      <c r="AT57">
        <v>2351</v>
      </c>
      <c r="AU57" t="s">
        <v>224</v>
      </c>
      <c r="AW57" t="str">
        <f>IF(Tabela4[[#This Row],[JUSTIFICATIVA]]="","",CONCATENATE("B",Tabela4[[#This Row],[BLOCO]],Tabela4[[#This Row],[UO_COD]]))</f>
        <v/>
      </c>
      <c r="AX57">
        <f>Tabela4[[#This Row],[JUSTIFICATIVA]]</f>
        <v>0</v>
      </c>
    </row>
    <row r="58" spans="1:50" ht="15" customHeight="1">
      <c r="A58" s="11">
        <v>1101</v>
      </c>
      <c r="B58" s="11">
        <v>4110</v>
      </c>
      <c r="C58" s="12" t="str">
        <f t="shared" si="0"/>
        <v>11014110</v>
      </c>
      <c r="D58" s="11" t="s">
        <v>540</v>
      </c>
      <c r="E58" s="11" t="s">
        <v>542</v>
      </c>
      <c r="F58" s="11" t="s">
        <v>545</v>
      </c>
      <c r="G58" s="11">
        <v>0</v>
      </c>
      <c r="R58">
        <v>57</v>
      </c>
      <c r="T58" s="11">
        <v>1101</v>
      </c>
      <c r="U58" s="11">
        <v>4110</v>
      </c>
      <c r="W58" s="13">
        <v>2351</v>
      </c>
      <c r="Y58" t="s">
        <v>479</v>
      </c>
      <c r="Z58" s="14">
        <v>82</v>
      </c>
      <c r="AK58" s="18">
        <v>3</v>
      </c>
      <c r="AL58" s="18" t="str">
        <f t="shared" si="1"/>
        <v>G3</v>
      </c>
      <c r="AM58" s="18">
        <v>70</v>
      </c>
      <c r="AO58" t="str">
        <f t="shared" si="2"/>
        <v>M70</v>
      </c>
      <c r="AP58" t="str">
        <f t="shared" si="3"/>
        <v>G3M70</v>
      </c>
      <c r="AQ58" s="18">
        <v>35</v>
      </c>
      <c r="AT58">
        <v>2361</v>
      </c>
      <c r="AU58" t="s">
        <v>227</v>
      </c>
      <c r="AW58" t="str">
        <f>IF(Tabela4[[#This Row],[JUSTIFICATIVA]]="","",CONCATENATE("B",Tabela4[[#This Row],[BLOCO]],Tabela4[[#This Row],[UO_COD]]))</f>
        <v/>
      </c>
      <c r="AX58">
        <f>Tabela4[[#This Row],[JUSTIFICATIVA]]</f>
        <v>0</v>
      </c>
    </row>
    <row r="59" spans="1:50" ht="15" customHeight="1">
      <c r="A59" s="11">
        <v>1191</v>
      </c>
      <c r="B59" s="11">
        <v>1002</v>
      </c>
      <c r="C59" s="12" t="str">
        <f t="shared" si="0"/>
        <v>11911002</v>
      </c>
      <c r="D59" s="11" t="s">
        <v>322</v>
      </c>
      <c r="E59" s="11" t="s">
        <v>549</v>
      </c>
      <c r="F59" s="11" t="s">
        <v>550</v>
      </c>
      <c r="G59" s="11">
        <v>1</v>
      </c>
      <c r="R59">
        <v>58</v>
      </c>
      <c r="T59" s="11">
        <v>1191</v>
      </c>
      <c r="U59" s="11">
        <v>1002</v>
      </c>
      <c r="W59" s="13">
        <v>2361</v>
      </c>
      <c r="Y59" t="s">
        <v>479</v>
      </c>
      <c r="Z59" s="14">
        <v>83</v>
      </c>
      <c r="AK59" s="18">
        <v>3</v>
      </c>
      <c r="AL59" s="18" t="str">
        <f t="shared" si="1"/>
        <v>G3</v>
      </c>
      <c r="AM59" s="18">
        <v>70</v>
      </c>
      <c r="AO59" t="str">
        <f t="shared" si="2"/>
        <v>M70</v>
      </c>
      <c r="AP59" t="str">
        <f t="shared" si="3"/>
        <v>G3M70</v>
      </c>
      <c r="AQ59" s="18">
        <v>41</v>
      </c>
      <c r="AT59">
        <v>2371</v>
      </c>
      <c r="AU59" t="s">
        <v>230</v>
      </c>
      <c r="AW59" t="str">
        <f>IF(Tabela4[[#This Row],[JUSTIFICATIVA]]="","",CONCATENATE("B",Tabela4[[#This Row],[BLOCO]],Tabela4[[#This Row],[UO_COD]]))</f>
        <v/>
      </c>
      <c r="AX59">
        <f>Tabela4[[#This Row],[JUSTIFICATIVA]]</f>
        <v>0</v>
      </c>
    </row>
    <row r="60" spans="1:50" ht="15" customHeight="1">
      <c r="A60" s="11">
        <v>1191</v>
      </c>
      <c r="B60" s="11">
        <v>1015</v>
      </c>
      <c r="C60" s="12" t="str">
        <f t="shared" si="0"/>
        <v>11911015</v>
      </c>
      <c r="D60" s="11" t="s">
        <v>322</v>
      </c>
      <c r="E60" s="11" t="s">
        <v>551</v>
      </c>
      <c r="F60" s="11" t="s">
        <v>552</v>
      </c>
      <c r="G60" s="11">
        <v>0</v>
      </c>
      <c r="R60">
        <v>59</v>
      </c>
      <c r="T60" s="11">
        <v>1191</v>
      </c>
      <c r="U60" s="11">
        <v>1015</v>
      </c>
      <c r="W60" s="13">
        <v>2371</v>
      </c>
      <c r="Y60" t="s">
        <v>479</v>
      </c>
      <c r="Z60" s="14">
        <v>85</v>
      </c>
      <c r="AK60" s="18">
        <v>3</v>
      </c>
      <c r="AL60" s="18" t="str">
        <f t="shared" si="1"/>
        <v>G3</v>
      </c>
      <c r="AM60" s="18">
        <v>71</v>
      </c>
      <c r="AO60" t="str">
        <f t="shared" si="2"/>
        <v>M71</v>
      </c>
      <c r="AP60" t="str">
        <f t="shared" si="3"/>
        <v>G3M71</v>
      </c>
      <c r="AQ60" s="18">
        <v>39</v>
      </c>
      <c r="AT60">
        <v>2421</v>
      </c>
      <c r="AU60" t="s">
        <v>233</v>
      </c>
      <c r="AW60" t="str">
        <f>IF(Tabela4[[#This Row],[JUSTIFICATIVA]]="","",CONCATENATE("B",Tabela4[[#This Row],[BLOCO]],Tabela4[[#This Row],[UO_COD]]))</f>
        <v/>
      </c>
      <c r="AX60">
        <f>Tabela4[[#This Row],[JUSTIFICATIVA]]</f>
        <v>0</v>
      </c>
    </row>
    <row r="61" spans="1:50" ht="15" customHeight="1">
      <c r="A61" s="11">
        <v>1191</v>
      </c>
      <c r="B61" s="11">
        <v>2004</v>
      </c>
      <c r="C61" s="12" t="str">
        <f t="shared" si="0"/>
        <v>11912004</v>
      </c>
      <c r="D61" s="11" t="s">
        <v>322</v>
      </c>
      <c r="E61" s="11" t="s">
        <v>549</v>
      </c>
      <c r="F61" s="11" t="s">
        <v>550</v>
      </c>
      <c r="G61" s="11">
        <v>0</v>
      </c>
      <c r="R61">
        <v>60</v>
      </c>
      <c r="T61" s="11">
        <v>1191</v>
      </c>
      <c r="U61" s="11">
        <v>2004</v>
      </c>
      <c r="W61" s="13">
        <v>2421</v>
      </c>
      <c r="Y61" t="s">
        <v>479</v>
      </c>
      <c r="Z61" s="14">
        <v>86</v>
      </c>
      <c r="AK61" s="18">
        <v>3</v>
      </c>
      <c r="AL61" s="18" t="str">
        <f t="shared" si="1"/>
        <v>G3</v>
      </c>
      <c r="AM61" s="18">
        <v>71</v>
      </c>
      <c r="AO61" t="str">
        <f t="shared" si="2"/>
        <v>M71</v>
      </c>
      <c r="AP61" t="str">
        <f t="shared" si="3"/>
        <v>G3M71</v>
      </c>
      <c r="AQ61" s="18">
        <v>41</v>
      </c>
      <c r="AT61">
        <v>2431</v>
      </c>
      <c r="AU61" t="s">
        <v>553</v>
      </c>
      <c r="AW61" t="str">
        <f>IF(Tabela4[[#This Row],[JUSTIFICATIVA]]="","",CONCATENATE("B",Tabela4[[#This Row],[BLOCO]],Tabela4[[#This Row],[UO_COD]]))</f>
        <v/>
      </c>
      <c r="AX61">
        <f>Tabela4[[#This Row],[JUSTIFICATIVA]]</f>
        <v>0</v>
      </c>
    </row>
    <row r="62" spans="1:50" ht="15" customHeight="1">
      <c r="A62" s="11">
        <v>1191</v>
      </c>
      <c r="B62" s="11">
        <v>2005</v>
      </c>
      <c r="C62" s="12" t="str">
        <f t="shared" si="0"/>
        <v>11912005</v>
      </c>
      <c r="D62" s="11" t="s">
        <v>322</v>
      </c>
      <c r="E62" s="11" t="s">
        <v>549</v>
      </c>
      <c r="F62" s="11" t="s">
        <v>550</v>
      </c>
      <c r="G62" s="11">
        <v>0</v>
      </c>
      <c r="R62">
        <v>61</v>
      </c>
      <c r="T62" s="11">
        <v>1191</v>
      </c>
      <c r="U62" s="11">
        <v>2005</v>
      </c>
      <c r="W62" s="13">
        <v>2431</v>
      </c>
      <c r="Y62" t="s">
        <v>479</v>
      </c>
      <c r="Z62" s="14">
        <v>91</v>
      </c>
      <c r="AK62" s="18">
        <v>3</v>
      </c>
      <c r="AL62" s="18" t="str">
        <f t="shared" si="1"/>
        <v>G3</v>
      </c>
      <c r="AM62" s="18">
        <v>71</v>
      </c>
      <c r="AO62" t="str">
        <f t="shared" si="2"/>
        <v>M71</v>
      </c>
      <c r="AP62" t="str">
        <f t="shared" si="3"/>
        <v>G3M71</v>
      </c>
      <c r="AQ62" s="18">
        <v>43</v>
      </c>
      <c r="AT62">
        <v>2441</v>
      </c>
      <c r="AU62" t="s">
        <v>554</v>
      </c>
      <c r="AW62" t="str">
        <f>IF(Tabela4[[#This Row],[JUSTIFICATIVA]]="","",CONCATENATE("B",Tabela4[[#This Row],[BLOCO]],Tabela4[[#This Row],[UO_COD]]))</f>
        <v/>
      </c>
      <c r="AX62">
        <f>Tabela4[[#This Row],[JUSTIFICATIVA]]</f>
        <v>0</v>
      </c>
    </row>
    <row r="63" spans="1:50" ht="15" customHeight="1">
      <c r="A63" s="11">
        <v>1191</v>
      </c>
      <c r="B63" s="11">
        <v>2006</v>
      </c>
      <c r="C63" s="12" t="str">
        <f t="shared" si="0"/>
        <v>11912006</v>
      </c>
      <c r="D63" s="11" t="s">
        <v>322</v>
      </c>
      <c r="E63" s="11" t="s">
        <v>549</v>
      </c>
      <c r="F63" s="11" t="s">
        <v>550</v>
      </c>
      <c r="G63" s="11">
        <v>0</v>
      </c>
      <c r="R63">
        <v>62</v>
      </c>
      <c r="T63" s="11">
        <v>1191</v>
      </c>
      <c r="U63" s="11">
        <v>2006</v>
      </c>
      <c r="W63" s="13">
        <v>2441</v>
      </c>
      <c r="Y63" t="s">
        <v>479</v>
      </c>
      <c r="Z63" s="14">
        <v>92</v>
      </c>
      <c r="AK63" s="18">
        <v>3</v>
      </c>
      <c r="AL63" s="18" t="str">
        <f t="shared" si="1"/>
        <v>G3</v>
      </c>
      <c r="AM63" s="18">
        <v>80</v>
      </c>
      <c r="AO63" t="str">
        <f t="shared" si="2"/>
        <v>M80</v>
      </c>
      <c r="AP63" t="str">
        <f t="shared" si="3"/>
        <v>G3M80</v>
      </c>
      <c r="AQ63" s="18">
        <v>41</v>
      </c>
      <c r="AT63">
        <v>2461</v>
      </c>
      <c r="AU63" t="s">
        <v>241</v>
      </c>
      <c r="AW63" t="str">
        <f>IF(Tabela4[[#This Row],[JUSTIFICATIVA]]="","",CONCATENATE("B",Tabela4[[#This Row],[BLOCO]],Tabela4[[#This Row],[UO_COD]]))</f>
        <v/>
      </c>
      <c r="AX63">
        <f>Tabela4[[#This Row],[JUSTIFICATIVA]]</f>
        <v>0</v>
      </c>
    </row>
    <row r="64" spans="1:50" ht="15" customHeight="1">
      <c r="A64" s="11">
        <v>1191</v>
      </c>
      <c r="B64" s="11">
        <v>2007</v>
      </c>
      <c r="C64" s="12" t="str">
        <f t="shared" si="0"/>
        <v>11912007</v>
      </c>
      <c r="D64" s="11" t="s">
        <v>322</v>
      </c>
      <c r="E64" s="11" t="s">
        <v>549</v>
      </c>
      <c r="F64" s="11" t="s">
        <v>550</v>
      </c>
      <c r="G64" s="11">
        <v>0</v>
      </c>
      <c r="R64">
        <v>63</v>
      </c>
      <c r="T64" s="11">
        <v>1191</v>
      </c>
      <c r="U64" s="11">
        <v>2007</v>
      </c>
      <c r="W64" s="13">
        <v>2461</v>
      </c>
      <c r="Y64" t="s">
        <v>479</v>
      </c>
      <c r="Z64" s="14">
        <v>93</v>
      </c>
      <c r="AK64" s="18">
        <v>3</v>
      </c>
      <c r="AL64" s="18" t="str">
        <f t="shared" si="1"/>
        <v>G3</v>
      </c>
      <c r="AM64" s="18">
        <v>90</v>
      </c>
      <c r="AO64" t="str">
        <f t="shared" si="2"/>
        <v>M90</v>
      </c>
      <c r="AP64" t="str">
        <f t="shared" si="3"/>
        <v>G3M90</v>
      </c>
      <c r="AQ64" s="18">
        <v>1</v>
      </c>
      <c r="AT64">
        <v>2471</v>
      </c>
      <c r="AU64" t="s">
        <v>555</v>
      </c>
      <c r="AW64" t="str">
        <f>IF(Tabela4[[#This Row],[JUSTIFICATIVA]]="","",CONCATENATE("B",Tabela4[[#This Row],[BLOCO]],Tabela4[[#This Row],[UO_COD]]))</f>
        <v/>
      </c>
      <c r="AX64">
        <f>Tabela4[[#This Row],[JUSTIFICATIVA]]</f>
        <v>0</v>
      </c>
    </row>
    <row r="65" spans="1:50" ht="15" customHeight="1">
      <c r="A65" s="11">
        <v>1191</v>
      </c>
      <c r="B65" s="11">
        <v>2016</v>
      </c>
      <c r="C65" s="12" t="str">
        <f t="shared" si="0"/>
        <v>11912016</v>
      </c>
      <c r="D65" s="11" t="s">
        <v>322</v>
      </c>
      <c r="E65" s="11" t="s">
        <v>470</v>
      </c>
      <c r="F65" s="11" t="s">
        <v>556</v>
      </c>
      <c r="G65" s="11">
        <v>0</v>
      </c>
      <c r="R65">
        <v>64</v>
      </c>
      <c r="T65" s="11">
        <v>1191</v>
      </c>
      <c r="U65" s="11">
        <v>2016</v>
      </c>
      <c r="W65" s="13">
        <v>2471</v>
      </c>
      <c r="Y65" t="s">
        <v>479</v>
      </c>
      <c r="Z65" s="14">
        <v>95</v>
      </c>
      <c r="AK65" s="18">
        <v>3</v>
      </c>
      <c r="AL65" s="18" t="str">
        <f t="shared" si="1"/>
        <v>G3</v>
      </c>
      <c r="AM65" s="18">
        <v>90</v>
      </c>
      <c r="AO65" t="str">
        <f t="shared" si="2"/>
        <v>M90</v>
      </c>
      <c r="AP65" t="str">
        <f t="shared" si="3"/>
        <v>G3M90</v>
      </c>
      <c r="AQ65" s="18">
        <v>3</v>
      </c>
      <c r="AT65">
        <v>2481</v>
      </c>
      <c r="AU65" t="s">
        <v>557</v>
      </c>
      <c r="AW65" t="str">
        <f>IF(Tabela4[[#This Row],[JUSTIFICATIVA]]="","",CONCATENATE("B",Tabela4[[#This Row],[BLOCO]],Tabela4[[#This Row],[UO_COD]]))</f>
        <v/>
      </c>
      <c r="AX65">
        <f>Tabela4[[#This Row],[JUSTIFICATIVA]]</f>
        <v>0</v>
      </c>
    </row>
    <row r="66" spans="1:50" ht="15" customHeight="1">
      <c r="A66" s="11">
        <v>1191</v>
      </c>
      <c r="B66" s="11">
        <v>2019</v>
      </c>
      <c r="C66" s="12" t="str">
        <f t="shared" ref="C66:C129" si="5">CONCATENATE(A66,B66)</f>
        <v>11912019</v>
      </c>
      <c r="D66" s="11" t="s">
        <v>322</v>
      </c>
      <c r="E66" s="11" t="s">
        <v>470</v>
      </c>
      <c r="F66" s="11" t="s">
        <v>556</v>
      </c>
      <c r="G66" s="11">
        <v>0</v>
      </c>
      <c r="R66">
        <v>65</v>
      </c>
      <c r="T66" s="11">
        <v>1191</v>
      </c>
      <c r="U66" s="11">
        <v>2019</v>
      </c>
      <c r="W66" s="13">
        <v>3041</v>
      </c>
      <c r="Y66" t="s">
        <v>479</v>
      </c>
      <c r="Z66" s="14">
        <v>97</v>
      </c>
      <c r="AK66" s="18">
        <v>3</v>
      </c>
      <c r="AL66" s="18" t="str">
        <f t="shared" si="1"/>
        <v>G3</v>
      </c>
      <c r="AM66" s="18">
        <v>90</v>
      </c>
      <c r="AO66" t="str">
        <f t="shared" si="2"/>
        <v>M90</v>
      </c>
      <c r="AP66" t="str">
        <f t="shared" si="3"/>
        <v>G3M90</v>
      </c>
      <c r="AQ66" s="18">
        <v>5</v>
      </c>
      <c r="AT66">
        <v>3041</v>
      </c>
      <c r="AU66" t="s">
        <v>249</v>
      </c>
      <c r="AW66" t="str">
        <f>IF(Tabela4[[#This Row],[JUSTIFICATIVA]]="","",CONCATENATE("B",Tabela4[[#This Row],[BLOCO]],Tabela4[[#This Row],[UO_COD]]))</f>
        <v/>
      </c>
      <c r="AX66">
        <f>Tabela4[[#This Row],[JUSTIFICATIVA]]</f>
        <v>0</v>
      </c>
    </row>
    <row r="67" spans="1:50" ht="15" customHeight="1">
      <c r="A67" s="11">
        <v>1191</v>
      </c>
      <c r="B67" s="11">
        <v>2032</v>
      </c>
      <c r="C67" s="12" t="str">
        <f t="shared" si="5"/>
        <v>11912032</v>
      </c>
      <c r="D67" s="11" t="s">
        <v>322</v>
      </c>
      <c r="E67" s="11" t="s">
        <v>470</v>
      </c>
      <c r="F67" s="11" t="s">
        <v>556</v>
      </c>
      <c r="G67" s="11">
        <v>0</v>
      </c>
      <c r="R67">
        <v>66</v>
      </c>
      <c r="T67" s="11">
        <v>1191</v>
      </c>
      <c r="U67" s="11">
        <v>2032</v>
      </c>
      <c r="W67" s="13">
        <v>3051</v>
      </c>
      <c r="Y67" t="s">
        <v>479</v>
      </c>
      <c r="Z67" s="14">
        <v>99</v>
      </c>
      <c r="AK67" s="18">
        <v>3</v>
      </c>
      <c r="AL67" s="18" t="str">
        <f t="shared" ref="AL67:AL130" si="6">CONCATENATE("G",AK67)</f>
        <v>G3</v>
      </c>
      <c r="AM67" s="18">
        <v>90</v>
      </c>
      <c r="AO67" t="str">
        <f t="shared" ref="AO67:AO130" si="7">CONCATENATE("M",AM67)</f>
        <v>M90</v>
      </c>
      <c r="AP67" t="str">
        <f t="shared" ref="AP67:AP130" si="8">CONCATENATE(AL67,AO67)</f>
        <v>G3M90</v>
      </c>
      <c r="AQ67" s="18">
        <v>6</v>
      </c>
      <c r="AT67">
        <v>3051</v>
      </c>
      <c r="AU67" t="s">
        <v>252</v>
      </c>
      <c r="AW67" t="str">
        <f>IF(Tabela4[[#This Row],[JUSTIFICATIVA]]="","",CONCATENATE("B",Tabela4[[#This Row],[BLOCO]],Tabela4[[#This Row],[UO_COD]]))</f>
        <v/>
      </c>
      <c r="AX67">
        <f>Tabela4[[#This Row],[JUSTIFICATIVA]]</f>
        <v>0</v>
      </c>
    </row>
    <row r="68" spans="1:50" ht="15" customHeight="1">
      <c r="A68" s="11">
        <v>1191</v>
      </c>
      <c r="B68" s="11">
        <v>2417</v>
      </c>
      <c r="C68" s="12" t="str">
        <f t="shared" si="5"/>
        <v>11912417</v>
      </c>
      <c r="D68" s="11" t="s">
        <v>322</v>
      </c>
      <c r="E68" s="11" t="s">
        <v>470</v>
      </c>
      <c r="F68" s="11" t="s">
        <v>461</v>
      </c>
      <c r="G68" s="11">
        <v>0</v>
      </c>
      <c r="R68">
        <v>67</v>
      </c>
      <c r="T68" s="11">
        <v>1191</v>
      </c>
      <c r="U68" s="11">
        <v>2417</v>
      </c>
      <c r="W68" s="13">
        <v>3151</v>
      </c>
      <c r="Y68" t="s">
        <v>500</v>
      </c>
      <c r="Z68" s="14">
        <v>20</v>
      </c>
      <c r="AK68" s="18">
        <v>3</v>
      </c>
      <c r="AL68" s="18" t="str">
        <f t="shared" si="6"/>
        <v>G3</v>
      </c>
      <c r="AM68" s="18">
        <v>90</v>
      </c>
      <c r="AO68" t="str">
        <f t="shared" si="7"/>
        <v>M90</v>
      </c>
      <c r="AP68" t="str">
        <f t="shared" si="8"/>
        <v>G3M90</v>
      </c>
      <c r="AQ68" s="18">
        <v>7</v>
      </c>
      <c r="AT68">
        <v>3151</v>
      </c>
      <c r="AU68" t="s">
        <v>255</v>
      </c>
      <c r="AW68" t="str">
        <f>IF(Tabela4[[#This Row],[JUSTIFICATIVA]]="","",CONCATENATE("B",Tabela4[[#This Row],[BLOCO]],Tabela4[[#This Row],[UO_COD]]))</f>
        <v/>
      </c>
      <c r="AX68">
        <f>Tabela4[[#This Row],[JUSTIFICATIVA]]</f>
        <v>0</v>
      </c>
    </row>
    <row r="69" spans="1:50" ht="15" customHeight="1">
      <c r="A69" s="11">
        <v>1191</v>
      </c>
      <c r="B69" s="11">
        <v>2500</v>
      </c>
      <c r="C69" s="12" t="str">
        <f t="shared" si="5"/>
        <v>11912500</v>
      </c>
      <c r="D69" s="11" t="s">
        <v>322</v>
      </c>
      <c r="E69" s="11" t="s">
        <v>470</v>
      </c>
      <c r="F69" s="11" t="s">
        <v>461</v>
      </c>
      <c r="G69" s="11">
        <v>0</v>
      </c>
      <c r="R69">
        <v>68</v>
      </c>
      <c r="T69" s="11">
        <v>1191</v>
      </c>
      <c r="U69" s="11">
        <v>2500</v>
      </c>
      <c r="W69" s="13">
        <v>4031</v>
      </c>
      <c r="Y69" t="s">
        <v>500</v>
      </c>
      <c r="Z69" s="14">
        <v>30</v>
      </c>
      <c r="AK69" s="18">
        <v>3</v>
      </c>
      <c r="AL69" s="18" t="str">
        <f t="shared" si="6"/>
        <v>G3</v>
      </c>
      <c r="AM69" s="18">
        <v>90</v>
      </c>
      <c r="AO69" t="str">
        <f t="shared" si="7"/>
        <v>M90</v>
      </c>
      <c r="AP69" t="str">
        <f t="shared" si="8"/>
        <v>G3M90</v>
      </c>
      <c r="AQ69" s="18">
        <v>8</v>
      </c>
      <c r="AT69">
        <v>4031</v>
      </c>
      <c r="AU69" t="s">
        <v>257</v>
      </c>
      <c r="AW69" t="str">
        <f>IF(Tabela4[[#This Row],[JUSTIFICATIVA]]="","",CONCATENATE("B",Tabela4[[#This Row],[BLOCO]],Tabela4[[#This Row],[UO_COD]]))</f>
        <v/>
      </c>
      <c r="AX69">
        <f>Tabela4[[#This Row],[JUSTIFICATIVA]]</f>
        <v>0</v>
      </c>
    </row>
    <row r="70" spans="1:50" ht="15" customHeight="1">
      <c r="A70" s="11">
        <v>1191</v>
      </c>
      <c r="B70" s="11">
        <v>4079</v>
      </c>
      <c r="C70" s="12" t="str">
        <f t="shared" si="5"/>
        <v>11914079</v>
      </c>
      <c r="D70" s="11" t="s">
        <v>322</v>
      </c>
      <c r="E70" s="11" t="s">
        <v>551</v>
      </c>
      <c r="F70" s="11" t="s">
        <v>552</v>
      </c>
      <c r="G70" s="11">
        <v>0</v>
      </c>
      <c r="R70">
        <v>69</v>
      </c>
      <c r="T70" s="11">
        <v>1191</v>
      </c>
      <c r="U70" s="11">
        <v>4079</v>
      </c>
      <c r="W70" s="13">
        <v>4091</v>
      </c>
      <c r="Y70" t="s">
        <v>500</v>
      </c>
      <c r="Z70" s="14">
        <v>35</v>
      </c>
      <c r="AK70" s="18">
        <v>3</v>
      </c>
      <c r="AL70" s="18" t="str">
        <f t="shared" si="6"/>
        <v>G3</v>
      </c>
      <c r="AM70" s="18">
        <v>90</v>
      </c>
      <c r="AO70" t="str">
        <f t="shared" si="7"/>
        <v>M90</v>
      </c>
      <c r="AP70" t="str">
        <f t="shared" si="8"/>
        <v>G3M90</v>
      </c>
      <c r="AQ70" s="18">
        <v>10</v>
      </c>
      <c r="AT70">
        <v>4091</v>
      </c>
      <c r="AU70" t="s">
        <v>259</v>
      </c>
      <c r="AW70" t="str">
        <f>IF(Tabela4[[#This Row],[JUSTIFICATIVA]]="","",CONCATENATE("B",Tabela4[[#This Row],[BLOCO]],Tabela4[[#This Row],[UO_COD]]))</f>
        <v/>
      </c>
      <c r="AX70">
        <f>Tabela4[[#This Row],[JUSTIFICATIVA]]</f>
        <v>0</v>
      </c>
    </row>
    <row r="71" spans="1:50" ht="15" customHeight="1">
      <c r="A71" s="11">
        <v>1191</v>
      </c>
      <c r="B71" s="11">
        <v>4081</v>
      </c>
      <c r="C71" s="12" t="str">
        <f t="shared" si="5"/>
        <v>11914081</v>
      </c>
      <c r="D71" s="11" t="s">
        <v>322</v>
      </c>
      <c r="E71" s="11" t="s">
        <v>551</v>
      </c>
      <c r="F71" s="11" t="s">
        <v>552</v>
      </c>
      <c r="G71" s="11">
        <v>0</v>
      </c>
      <c r="R71">
        <v>70</v>
      </c>
      <c r="T71" s="11">
        <v>1191</v>
      </c>
      <c r="U71" s="11">
        <v>4081</v>
      </c>
      <c r="W71" s="13">
        <v>4101</v>
      </c>
      <c r="Y71" t="s">
        <v>500</v>
      </c>
      <c r="Z71" s="14">
        <v>39</v>
      </c>
      <c r="AK71" s="18">
        <v>3</v>
      </c>
      <c r="AL71" s="18" t="str">
        <f t="shared" si="6"/>
        <v>G3</v>
      </c>
      <c r="AM71" s="18">
        <v>90</v>
      </c>
      <c r="AO71" t="str">
        <f t="shared" si="7"/>
        <v>M90</v>
      </c>
      <c r="AP71" t="str">
        <f t="shared" si="8"/>
        <v>G3M90</v>
      </c>
      <c r="AQ71" s="18">
        <v>13</v>
      </c>
      <c r="AT71">
        <v>4101</v>
      </c>
      <c r="AU71" t="s">
        <v>261</v>
      </c>
      <c r="AW71" t="str">
        <f>IF(Tabela4[[#This Row],[JUSTIFICATIVA]]="","",CONCATENATE("B",Tabela4[[#This Row],[BLOCO]],Tabela4[[#This Row],[UO_COD]]))</f>
        <v/>
      </c>
      <c r="AX71">
        <f>Tabela4[[#This Row],[JUSTIFICATIVA]]</f>
        <v>0</v>
      </c>
    </row>
    <row r="72" spans="1:50" ht="15" customHeight="1">
      <c r="A72" s="11">
        <v>1191</v>
      </c>
      <c r="B72" s="11">
        <v>4082</v>
      </c>
      <c r="C72" s="12" t="str">
        <f t="shared" si="5"/>
        <v>11914082</v>
      </c>
      <c r="D72" s="11" t="s">
        <v>322</v>
      </c>
      <c r="E72" s="11" t="s">
        <v>551</v>
      </c>
      <c r="F72" s="11" t="s">
        <v>552</v>
      </c>
      <c r="G72" s="11">
        <v>0</v>
      </c>
      <c r="R72">
        <v>71</v>
      </c>
      <c r="T72" s="11">
        <v>1191</v>
      </c>
      <c r="U72" s="11">
        <v>4082</v>
      </c>
      <c r="W72" s="13">
        <v>4111</v>
      </c>
      <c r="Y72" t="s">
        <v>500</v>
      </c>
      <c r="Z72" s="14">
        <v>40</v>
      </c>
      <c r="AK72" s="18">
        <v>3</v>
      </c>
      <c r="AL72" s="18" t="str">
        <f t="shared" si="6"/>
        <v>G3</v>
      </c>
      <c r="AM72" s="18">
        <v>90</v>
      </c>
      <c r="AO72" t="str">
        <f t="shared" si="7"/>
        <v>M90</v>
      </c>
      <c r="AP72" t="str">
        <f t="shared" si="8"/>
        <v>G3M90</v>
      </c>
      <c r="AQ72" s="18">
        <v>14</v>
      </c>
      <c r="AT72">
        <v>4111</v>
      </c>
      <c r="AU72" t="s">
        <v>558</v>
      </c>
      <c r="AW72" t="str">
        <f>IF(Tabela4[[#This Row],[JUSTIFICATIVA]]="","",CONCATENATE("B",Tabela4[[#This Row],[BLOCO]],Tabela4[[#This Row],[UO_COD]]))</f>
        <v/>
      </c>
      <c r="AX72">
        <f>Tabela4[[#This Row],[JUSTIFICATIVA]]</f>
        <v>0</v>
      </c>
    </row>
    <row r="73" spans="1:50" ht="15" customHeight="1">
      <c r="A73" s="11">
        <v>1191</v>
      </c>
      <c r="B73" s="11">
        <v>4083</v>
      </c>
      <c r="C73" s="12" t="str">
        <f t="shared" si="5"/>
        <v>11914083</v>
      </c>
      <c r="D73" s="11" t="s">
        <v>322</v>
      </c>
      <c r="E73" s="11" t="s">
        <v>551</v>
      </c>
      <c r="F73" s="11" t="s">
        <v>552</v>
      </c>
      <c r="G73" s="11">
        <v>0</v>
      </c>
      <c r="R73">
        <v>72</v>
      </c>
      <c r="T73" s="11">
        <v>1191</v>
      </c>
      <c r="U73" s="11">
        <v>4083</v>
      </c>
      <c r="W73" s="13">
        <v>4121</v>
      </c>
      <c r="Y73" t="s">
        <v>500</v>
      </c>
      <c r="Z73" s="14">
        <v>41</v>
      </c>
      <c r="AK73" s="18">
        <v>3</v>
      </c>
      <c r="AL73" s="18" t="str">
        <f t="shared" si="6"/>
        <v>G3</v>
      </c>
      <c r="AM73" s="18">
        <v>90</v>
      </c>
      <c r="AO73" t="str">
        <f t="shared" si="7"/>
        <v>M90</v>
      </c>
      <c r="AP73" t="str">
        <f t="shared" si="8"/>
        <v>G3M90</v>
      </c>
      <c r="AQ73" s="18">
        <v>15</v>
      </c>
      <c r="AT73">
        <v>4121</v>
      </c>
      <c r="AU73" t="s">
        <v>559</v>
      </c>
      <c r="AW73" t="str">
        <f>IF(Tabela4[[#This Row],[JUSTIFICATIVA]]="","",CONCATENATE("B",Tabela4[[#This Row],[BLOCO]],Tabela4[[#This Row],[UO_COD]]))</f>
        <v/>
      </c>
      <c r="AX73">
        <f>Tabela4[[#This Row],[JUSTIFICATIVA]]</f>
        <v>0</v>
      </c>
    </row>
    <row r="74" spans="1:50" ht="15" customHeight="1">
      <c r="A74" s="11">
        <v>1191</v>
      </c>
      <c r="B74" s="11">
        <v>4085</v>
      </c>
      <c r="C74" s="12" t="str">
        <f t="shared" si="5"/>
        <v>11914085</v>
      </c>
      <c r="D74" s="11" t="s">
        <v>322</v>
      </c>
      <c r="E74" s="11" t="s">
        <v>551</v>
      </c>
      <c r="F74" s="11" t="s">
        <v>552</v>
      </c>
      <c r="G74" s="11">
        <v>0</v>
      </c>
      <c r="R74">
        <v>73</v>
      </c>
      <c r="T74" s="11">
        <v>1191</v>
      </c>
      <c r="U74" s="11">
        <v>4085</v>
      </c>
      <c r="W74" s="13">
        <v>4141</v>
      </c>
      <c r="Y74" t="s">
        <v>500</v>
      </c>
      <c r="Z74" s="14">
        <v>42</v>
      </c>
      <c r="AK74" s="18">
        <v>3</v>
      </c>
      <c r="AL74" s="18" t="str">
        <f t="shared" si="6"/>
        <v>G3</v>
      </c>
      <c r="AM74" s="18">
        <v>90</v>
      </c>
      <c r="AO74" t="str">
        <f t="shared" si="7"/>
        <v>M90</v>
      </c>
      <c r="AP74" t="str">
        <f t="shared" si="8"/>
        <v>G3M90</v>
      </c>
      <c r="AQ74" s="18">
        <v>18</v>
      </c>
      <c r="AT74">
        <v>4141</v>
      </c>
      <c r="AU74" t="s">
        <v>266</v>
      </c>
      <c r="AW74" t="str">
        <f>IF(Tabela4[[#This Row],[JUSTIFICATIVA]]="","",CONCATENATE("B",Tabela4[[#This Row],[BLOCO]],Tabela4[[#This Row],[UO_COD]]))</f>
        <v/>
      </c>
      <c r="AX74">
        <f>Tabela4[[#This Row],[JUSTIFICATIVA]]</f>
        <v>0</v>
      </c>
    </row>
    <row r="75" spans="1:50" ht="15" customHeight="1">
      <c r="A75" s="11">
        <v>1191</v>
      </c>
      <c r="B75" s="11">
        <v>4095</v>
      </c>
      <c r="C75" s="12" t="str">
        <f t="shared" si="5"/>
        <v>11914095</v>
      </c>
      <c r="D75" s="11" t="s">
        <v>322</v>
      </c>
      <c r="E75" s="11" t="s">
        <v>560</v>
      </c>
      <c r="F75" s="11" t="s">
        <v>556</v>
      </c>
      <c r="G75" s="11">
        <v>0</v>
      </c>
      <c r="R75">
        <v>74</v>
      </c>
      <c r="T75" s="11">
        <v>1191</v>
      </c>
      <c r="U75" s="11">
        <v>4095</v>
      </c>
      <c r="W75" s="13">
        <v>4151</v>
      </c>
      <c r="Y75" t="s">
        <v>500</v>
      </c>
      <c r="Z75" s="14">
        <v>45</v>
      </c>
      <c r="AK75" s="18">
        <v>3</v>
      </c>
      <c r="AL75" s="18" t="str">
        <f t="shared" si="6"/>
        <v>G3</v>
      </c>
      <c r="AM75" s="18">
        <v>90</v>
      </c>
      <c r="AO75" t="str">
        <f t="shared" si="7"/>
        <v>M90</v>
      </c>
      <c r="AP75" t="str">
        <f t="shared" si="8"/>
        <v>G3M90</v>
      </c>
      <c r="AQ75" s="18">
        <v>19</v>
      </c>
      <c r="AT75">
        <v>4151</v>
      </c>
      <c r="AU75" t="s">
        <v>268</v>
      </c>
      <c r="AW75" t="str">
        <f>IF(Tabela4[[#This Row],[JUSTIFICATIVA]]="","",CONCATENATE("B",Tabela4[[#This Row],[BLOCO]],Tabela4[[#This Row],[UO_COD]]))</f>
        <v/>
      </c>
      <c r="AX75">
        <f>Tabela4[[#This Row],[JUSTIFICATIVA]]</f>
        <v>0</v>
      </c>
    </row>
    <row r="76" spans="1:50" ht="15" customHeight="1">
      <c r="A76" s="11">
        <v>1191</v>
      </c>
      <c r="B76" s="11">
        <v>4096</v>
      </c>
      <c r="C76" s="12" t="str">
        <f t="shared" si="5"/>
        <v>11914096</v>
      </c>
      <c r="D76" s="11" t="s">
        <v>322</v>
      </c>
      <c r="E76" s="11" t="s">
        <v>560</v>
      </c>
      <c r="F76" s="11" t="s">
        <v>556</v>
      </c>
      <c r="G76" s="11">
        <v>0</v>
      </c>
      <c r="R76">
        <v>75</v>
      </c>
      <c r="T76" s="11">
        <v>1191</v>
      </c>
      <c r="U76" s="11">
        <v>4096</v>
      </c>
      <c r="W76" s="13">
        <v>4251</v>
      </c>
      <c r="Y76" t="s">
        <v>500</v>
      </c>
      <c r="Z76" s="14">
        <v>47</v>
      </c>
      <c r="AK76" s="18">
        <v>3</v>
      </c>
      <c r="AL76" s="18" t="str">
        <f t="shared" si="6"/>
        <v>G3</v>
      </c>
      <c r="AM76" s="18">
        <v>90</v>
      </c>
      <c r="AO76" t="str">
        <f t="shared" si="7"/>
        <v>M90</v>
      </c>
      <c r="AP76" t="str">
        <f t="shared" si="8"/>
        <v>G3M90</v>
      </c>
      <c r="AQ76" s="18">
        <v>20</v>
      </c>
      <c r="AT76">
        <v>4251</v>
      </c>
      <c r="AU76" t="s">
        <v>270</v>
      </c>
      <c r="AW76" t="str">
        <f>IF(Tabela4[[#This Row],[JUSTIFICATIVA]]="","",CONCATENATE("B",Tabela4[[#This Row],[BLOCO]],Tabela4[[#This Row],[UO_COD]]))</f>
        <v/>
      </c>
      <c r="AX76">
        <f>Tabela4[[#This Row],[JUSTIFICATIVA]]</f>
        <v>0</v>
      </c>
    </row>
    <row r="77" spans="1:50" ht="15" customHeight="1">
      <c r="A77" s="11">
        <v>1191</v>
      </c>
      <c r="B77" s="11">
        <v>4097</v>
      </c>
      <c r="C77" s="12" t="str">
        <f t="shared" si="5"/>
        <v>11914097</v>
      </c>
      <c r="D77" s="11" t="s">
        <v>322</v>
      </c>
      <c r="E77" s="11" t="s">
        <v>560</v>
      </c>
      <c r="F77" s="11" t="s">
        <v>556</v>
      </c>
      <c r="G77" s="11">
        <v>0</v>
      </c>
      <c r="R77">
        <v>76</v>
      </c>
      <c r="T77" s="11">
        <v>1191</v>
      </c>
      <c r="U77" s="11">
        <v>4097</v>
      </c>
      <c r="W77" s="13">
        <v>4291</v>
      </c>
      <c r="Y77" t="s">
        <v>500</v>
      </c>
      <c r="Z77" s="14">
        <v>51</v>
      </c>
      <c r="AK77" s="18">
        <v>3</v>
      </c>
      <c r="AL77" s="18" t="str">
        <f t="shared" si="6"/>
        <v>G3</v>
      </c>
      <c r="AM77" s="18">
        <v>90</v>
      </c>
      <c r="AO77" t="str">
        <f t="shared" si="7"/>
        <v>M90</v>
      </c>
      <c r="AP77" t="str">
        <f t="shared" si="8"/>
        <v>G3M90</v>
      </c>
      <c r="AQ77" s="18">
        <v>27</v>
      </c>
      <c r="AT77">
        <v>4291</v>
      </c>
      <c r="AU77" t="s">
        <v>272</v>
      </c>
      <c r="AW77" t="str">
        <f>IF(Tabela4[[#This Row],[JUSTIFICATIVA]]="","",CONCATENATE("B",Tabela4[[#This Row],[BLOCO]],Tabela4[[#This Row],[UO_COD]]))</f>
        <v/>
      </c>
      <c r="AX77">
        <f>Tabela4[[#This Row],[JUSTIFICATIVA]]</f>
        <v>0</v>
      </c>
    </row>
    <row r="78" spans="1:50" ht="15" customHeight="1">
      <c r="A78" s="11">
        <v>1191</v>
      </c>
      <c r="B78" s="11">
        <v>4098</v>
      </c>
      <c r="C78" s="12" t="str">
        <f t="shared" si="5"/>
        <v>11914098</v>
      </c>
      <c r="D78" s="11" t="s">
        <v>322</v>
      </c>
      <c r="E78" s="11" t="s">
        <v>560</v>
      </c>
      <c r="F78" s="11" t="s">
        <v>556</v>
      </c>
      <c r="G78" s="11">
        <v>0</v>
      </c>
      <c r="R78">
        <v>77</v>
      </c>
      <c r="T78" s="11">
        <v>1191</v>
      </c>
      <c r="U78" s="11">
        <v>4098</v>
      </c>
      <c r="W78" s="13">
        <v>4321</v>
      </c>
      <c r="Y78" t="s">
        <v>500</v>
      </c>
      <c r="Z78" s="14">
        <v>52</v>
      </c>
      <c r="AK78" s="18">
        <v>3</v>
      </c>
      <c r="AL78" s="18" t="str">
        <f t="shared" si="6"/>
        <v>G3</v>
      </c>
      <c r="AM78" s="18">
        <v>90</v>
      </c>
      <c r="AO78" t="str">
        <f t="shared" si="7"/>
        <v>M90</v>
      </c>
      <c r="AP78" t="str">
        <f t="shared" si="8"/>
        <v>G3M90</v>
      </c>
      <c r="AQ78" s="18">
        <v>28</v>
      </c>
      <c r="AT78">
        <v>4321</v>
      </c>
      <c r="AU78" t="s">
        <v>561</v>
      </c>
      <c r="AW78" t="str">
        <f>IF(Tabela4[[#This Row],[JUSTIFICATIVA]]="","",CONCATENATE("B",Tabela4[[#This Row],[BLOCO]],Tabela4[[#This Row],[UO_COD]]))</f>
        <v/>
      </c>
      <c r="AX78">
        <f>Tabela4[[#This Row],[JUSTIFICATIVA]]</f>
        <v>0</v>
      </c>
    </row>
    <row r="79" spans="1:50" ht="15" customHeight="1">
      <c r="A79" s="11">
        <v>1191</v>
      </c>
      <c r="B79" s="11">
        <v>4103</v>
      </c>
      <c r="C79" s="12" t="str">
        <f t="shared" si="5"/>
        <v>11914103</v>
      </c>
      <c r="D79" s="11" t="s">
        <v>322</v>
      </c>
      <c r="E79" s="11" t="s">
        <v>560</v>
      </c>
      <c r="F79" s="11" t="s">
        <v>556</v>
      </c>
      <c r="G79" s="11">
        <v>0</v>
      </c>
      <c r="R79">
        <v>78</v>
      </c>
      <c r="T79" s="11">
        <v>1191</v>
      </c>
      <c r="U79" s="11">
        <v>4103</v>
      </c>
      <c r="W79" s="13">
        <v>4331</v>
      </c>
      <c r="Y79" t="s">
        <v>500</v>
      </c>
      <c r="Z79" s="14">
        <v>61</v>
      </c>
      <c r="AK79" s="18">
        <v>3</v>
      </c>
      <c r="AL79" s="18" t="str">
        <f t="shared" si="6"/>
        <v>G3</v>
      </c>
      <c r="AM79" s="18">
        <v>90</v>
      </c>
      <c r="AO79" t="str">
        <f t="shared" si="7"/>
        <v>M90</v>
      </c>
      <c r="AP79" t="str">
        <f t="shared" si="8"/>
        <v>G3M90</v>
      </c>
      <c r="AQ79" s="18">
        <v>29</v>
      </c>
      <c r="AT79">
        <v>4331</v>
      </c>
      <c r="AU79" t="s">
        <v>276</v>
      </c>
      <c r="AW79" t="str">
        <f>IF(Tabela4[[#This Row],[JUSTIFICATIVA]]="","",CONCATENATE("B",Tabela4[[#This Row],[BLOCO]],Tabela4[[#This Row],[UO_COD]]))</f>
        <v/>
      </c>
      <c r="AX79">
        <f>Tabela4[[#This Row],[JUSTIFICATIVA]]</f>
        <v>0</v>
      </c>
    </row>
    <row r="80" spans="1:50" ht="15" customHeight="1">
      <c r="A80" s="11">
        <v>1191</v>
      </c>
      <c r="B80" s="11">
        <v>4105</v>
      </c>
      <c r="C80" s="12" t="str">
        <f t="shared" si="5"/>
        <v>11914105</v>
      </c>
      <c r="D80" s="11" t="s">
        <v>322</v>
      </c>
      <c r="E80" s="11" t="s">
        <v>560</v>
      </c>
      <c r="F80" s="11" t="s">
        <v>556</v>
      </c>
      <c r="G80" s="11">
        <v>0</v>
      </c>
      <c r="R80">
        <v>79</v>
      </c>
      <c r="T80" s="11">
        <v>1191</v>
      </c>
      <c r="U80" s="11">
        <v>4105</v>
      </c>
      <c r="W80" s="13">
        <v>4341</v>
      </c>
      <c r="Y80" t="s">
        <v>500</v>
      </c>
      <c r="Z80" s="14">
        <v>83</v>
      </c>
      <c r="AK80" s="18">
        <v>3</v>
      </c>
      <c r="AL80" s="18" t="str">
        <f t="shared" si="6"/>
        <v>G3</v>
      </c>
      <c r="AM80" s="18">
        <v>90</v>
      </c>
      <c r="AO80" t="str">
        <f t="shared" si="7"/>
        <v>M90</v>
      </c>
      <c r="AP80" t="str">
        <f t="shared" si="8"/>
        <v>G3M90</v>
      </c>
      <c r="AQ80" s="18">
        <v>30</v>
      </c>
      <c r="AT80">
        <v>4341</v>
      </c>
      <c r="AU80" t="s">
        <v>278</v>
      </c>
      <c r="AW80" t="str">
        <f>IF(Tabela4[[#This Row],[JUSTIFICATIVA]]="","",CONCATENATE("B",Tabela4[[#This Row],[BLOCO]],Tabela4[[#This Row],[UO_COD]]))</f>
        <v/>
      </c>
      <c r="AX80">
        <f>Tabela4[[#This Row],[JUSTIFICATIVA]]</f>
        <v>0</v>
      </c>
    </row>
    <row r="81" spans="1:50" ht="15" customHeight="1">
      <c r="A81" s="11">
        <v>1191</v>
      </c>
      <c r="B81" s="11">
        <v>4106</v>
      </c>
      <c r="C81" s="12" t="str">
        <f t="shared" si="5"/>
        <v>11914106</v>
      </c>
      <c r="D81" s="11" t="s">
        <v>322</v>
      </c>
      <c r="E81" s="11" t="s">
        <v>560</v>
      </c>
      <c r="F81" s="11" t="s">
        <v>556</v>
      </c>
      <c r="G81" s="11">
        <v>0</v>
      </c>
      <c r="R81">
        <v>80</v>
      </c>
      <c r="T81" s="11">
        <v>1191</v>
      </c>
      <c r="U81" s="11">
        <v>4106</v>
      </c>
      <c r="W81" s="13">
        <v>4381</v>
      </c>
      <c r="Y81" t="s">
        <v>500</v>
      </c>
      <c r="Z81" s="14">
        <v>91</v>
      </c>
      <c r="AK81" s="18">
        <v>3</v>
      </c>
      <c r="AL81" s="18" t="str">
        <f t="shared" si="6"/>
        <v>G3</v>
      </c>
      <c r="AM81" s="18">
        <v>90</v>
      </c>
      <c r="AO81" t="str">
        <f t="shared" si="7"/>
        <v>M90</v>
      </c>
      <c r="AP81" t="str">
        <f t="shared" si="8"/>
        <v>G3M90</v>
      </c>
      <c r="AQ81" s="18">
        <v>31</v>
      </c>
      <c r="AT81">
        <v>4381</v>
      </c>
      <c r="AU81" t="s">
        <v>280</v>
      </c>
      <c r="AW81" t="str">
        <f>IF(Tabela4[[#This Row],[JUSTIFICATIVA]]="","",CONCATENATE("B",Tabela4[[#This Row],[BLOCO]],Tabela4[[#This Row],[UO_COD]]))</f>
        <v/>
      </c>
      <c r="AX81">
        <f>Tabela4[[#This Row],[JUSTIFICATIVA]]</f>
        <v>0</v>
      </c>
    </row>
    <row r="82" spans="1:50" ht="15" customHeight="1">
      <c r="A82" s="11">
        <v>1191</v>
      </c>
      <c r="B82" s="11">
        <v>4107</v>
      </c>
      <c r="C82" s="12" t="str">
        <f t="shared" si="5"/>
        <v>11914107</v>
      </c>
      <c r="D82" s="11" t="s">
        <v>322</v>
      </c>
      <c r="E82" s="11" t="s">
        <v>560</v>
      </c>
      <c r="F82" s="11" t="s">
        <v>556</v>
      </c>
      <c r="G82" s="11">
        <v>0</v>
      </c>
      <c r="R82">
        <v>81</v>
      </c>
      <c r="T82" s="11">
        <v>1191</v>
      </c>
      <c r="U82" s="11">
        <v>4107</v>
      </c>
      <c r="W82" s="13">
        <v>4421</v>
      </c>
      <c r="Y82" t="s">
        <v>500</v>
      </c>
      <c r="Z82" s="14">
        <v>92</v>
      </c>
      <c r="AK82" s="18">
        <v>3</v>
      </c>
      <c r="AL82" s="18" t="str">
        <f t="shared" si="6"/>
        <v>G3</v>
      </c>
      <c r="AM82" s="18">
        <v>90</v>
      </c>
      <c r="AO82" t="str">
        <f t="shared" si="7"/>
        <v>M90</v>
      </c>
      <c r="AP82" t="str">
        <f t="shared" si="8"/>
        <v>G3M90</v>
      </c>
      <c r="AQ82" s="18">
        <v>32</v>
      </c>
      <c r="AT82">
        <v>4421</v>
      </c>
      <c r="AU82" t="s">
        <v>282</v>
      </c>
      <c r="AW82" t="str">
        <f>IF(Tabela4[[#This Row],[JUSTIFICATIVA]]="","",CONCATENATE("B",Tabela4[[#This Row],[BLOCO]],Tabela4[[#This Row],[UO_COD]]))</f>
        <v/>
      </c>
      <c r="AX82">
        <f>Tabela4[[#This Row],[JUSTIFICATIVA]]</f>
        <v>0</v>
      </c>
    </row>
    <row r="83" spans="1:50" ht="15" customHeight="1">
      <c r="A83" s="11">
        <v>1221</v>
      </c>
      <c r="B83" s="11">
        <v>1049</v>
      </c>
      <c r="C83" s="12" t="str">
        <f t="shared" si="5"/>
        <v>12211049</v>
      </c>
      <c r="D83" s="11" t="s">
        <v>325</v>
      </c>
      <c r="E83" s="11" t="s">
        <v>562</v>
      </c>
      <c r="F83" s="11" t="s">
        <v>563</v>
      </c>
      <c r="G83" s="11">
        <v>0</v>
      </c>
      <c r="R83">
        <v>82</v>
      </c>
      <c r="T83" s="11">
        <v>1221</v>
      </c>
      <c r="U83" s="11">
        <v>1049</v>
      </c>
      <c r="W83" s="13">
        <v>4441</v>
      </c>
      <c r="Y83" t="s">
        <v>500</v>
      </c>
      <c r="Z83" s="14">
        <v>93</v>
      </c>
      <c r="AK83" s="18">
        <v>3</v>
      </c>
      <c r="AL83" s="18" t="str">
        <f t="shared" si="6"/>
        <v>G3</v>
      </c>
      <c r="AM83" s="18">
        <v>90</v>
      </c>
      <c r="AO83" t="str">
        <f t="shared" si="7"/>
        <v>M90</v>
      </c>
      <c r="AP83" t="str">
        <f t="shared" si="8"/>
        <v>G3M90</v>
      </c>
      <c r="AQ83" s="18">
        <v>33</v>
      </c>
      <c r="AT83">
        <v>4441</v>
      </c>
      <c r="AU83" t="s">
        <v>564</v>
      </c>
      <c r="AW83" t="str">
        <f>IF(Tabela4[[#This Row],[JUSTIFICATIVA]]="","",CONCATENATE("B",Tabela4[[#This Row],[BLOCO]],Tabela4[[#This Row],[UO_COD]]))</f>
        <v/>
      </c>
      <c r="AX83">
        <f>Tabela4[[#This Row],[JUSTIFICATIVA]]</f>
        <v>0</v>
      </c>
    </row>
    <row r="84" spans="1:50" ht="15" customHeight="1">
      <c r="A84" s="11">
        <v>1221</v>
      </c>
      <c r="B84" s="11">
        <v>1055</v>
      </c>
      <c r="C84" s="12" t="str">
        <f t="shared" si="5"/>
        <v>12211055</v>
      </c>
      <c r="D84" s="11" t="s">
        <v>565</v>
      </c>
      <c r="E84" s="11" t="s">
        <v>566</v>
      </c>
      <c r="F84" s="11" t="s">
        <v>567</v>
      </c>
      <c r="G84" s="11">
        <v>0</v>
      </c>
      <c r="R84">
        <v>83</v>
      </c>
      <c r="T84" s="11">
        <v>1221</v>
      </c>
      <c r="U84" s="11">
        <v>1055</v>
      </c>
      <c r="W84" s="13">
        <v>4451</v>
      </c>
      <c r="Y84" t="s">
        <v>500</v>
      </c>
      <c r="Z84" s="14">
        <v>99</v>
      </c>
      <c r="AK84" s="18">
        <v>3</v>
      </c>
      <c r="AL84" s="18" t="str">
        <f t="shared" si="6"/>
        <v>G3</v>
      </c>
      <c r="AM84" s="18">
        <v>90</v>
      </c>
      <c r="AO84" t="str">
        <f t="shared" si="7"/>
        <v>M90</v>
      </c>
      <c r="AP84" t="str">
        <f t="shared" si="8"/>
        <v>G3M90</v>
      </c>
      <c r="AQ84" s="18">
        <v>35</v>
      </c>
      <c r="AT84">
        <v>4451</v>
      </c>
      <c r="AU84" t="s">
        <v>286</v>
      </c>
      <c r="AW84" t="str">
        <f>IF(Tabela4[[#This Row],[JUSTIFICATIVA]]="","",CONCATENATE("B",Tabela4[[#This Row],[BLOCO]],Tabela4[[#This Row],[UO_COD]]))</f>
        <v/>
      </c>
      <c r="AX84">
        <f>Tabela4[[#This Row],[JUSTIFICATIVA]]</f>
        <v>0</v>
      </c>
    </row>
    <row r="85" spans="1:50" ht="15" customHeight="1">
      <c r="A85" s="11">
        <v>1221</v>
      </c>
      <c r="B85" s="11">
        <v>1056</v>
      </c>
      <c r="C85" s="12" t="str">
        <f t="shared" si="5"/>
        <v>12211056</v>
      </c>
      <c r="D85" s="11" t="s">
        <v>568</v>
      </c>
      <c r="E85" s="11" t="s">
        <v>569</v>
      </c>
      <c r="F85" s="11" t="s">
        <v>570</v>
      </c>
      <c r="G85" s="11">
        <v>0</v>
      </c>
      <c r="R85">
        <v>84</v>
      </c>
      <c r="T85" s="11">
        <v>1221</v>
      </c>
      <c r="U85" s="11">
        <v>1056</v>
      </c>
      <c r="W85" s="13">
        <v>4491</v>
      </c>
      <c r="Y85" t="s">
        <v>519</v>
      </c>
      <c r="Z85" s="14">
        <v>39</v>
      </c>
      <c r="AK85" s="18">
        <v>3</v>
      </c>
      <c r="AL85" s="18" t="str">
        <f t="shared" si="6"/>
        <v>G3</v>
      </c>
      <c r="AM85" s="18">
        <v>90</v>
      </c>
      <c r="AO85" t="str">
        <f t="shared" si="7"/>
        <v>M90</v>
      </c>
      <c r="AP85" t="str">
        <f t="shared" si="8"/>
        <v>G3M90</v>
      </c>
      <c r="AQ85" s="18">
        <v>36</v>
      </c>
      <c r="AT85">
        <v>4491</v>
      </c>
      <c r="AU85" t="s">
        <v>288</v>
      </c>
      <c r="AW85" t="str">
        <f>IF(Tabela4[[#This Row],[JUSTIFICATIVA]]="","",CONCATENATE("B",Tabela4[[#This Row],[BLOCO]],Tabela4[[#This Row],[UO_COD]]))</f>
        <v/>
      </c>
      <c r="AX85">
        <f>Tabela4[[#This Row],[JUSTIFICATIVA]]</f>
        <v>0</v>
      </c>
    </row>
    <row r="86" spans="1:50" ht="15" customHeight="1">
      <c r="A86" s="11">
        <v>1221</v>
      </c>
      <c r="B86" s="11">
        <v>1057</v>
      </c>
      <c r="C86" s="12" t="str">
        <f t="shared" si="5"/>
        <v>12211057</v>
      </c>
      <c r="D86" s="11" t="s">
        <v>568</v>
      </c>
      <c r="E86" s="11" t="s">
        <v>571</v>
      </c>
      <c r="F86" s="11" t="s">
        <v>570</v>
      </c>
      <c r="G86" s="11">
        <v>0</v>
      </c>
      <c r="R86">
        <v>85</v>
      </c>
      <c r="T86" s="11">
        <v>1221</v>
      </c>
      <c r="U86" s="11">
        <v>1057</v>
      </c>
      <c r="W86" s="13">
        <v>4541</v>
      </c>
      <c r="Y86" t="s">
        <v>519</v>
      </c>
      <c r="Z86" s="14">
        <v>41</v>
      </c>
      <c r="AK86" s="18">
        <v>3</v>
      </c>
      <c r="AL86" s="18" t="str">
        <f t="shared" si="6"/>
        <v>G3</v>
      </c>
      <c r="AM86" s="18">
        <v>90</v>
      </c>
      <c r="AO86" t="str">
        <f t="shared" si="7"/>
        <v>M90</v>
      </c>
      <c r="AP86" t="str">
        <f t="shared" si="8"/>
        <v>G3M90</v>
      </c>
      <c r="AQ86" s="18">
        <v>37</v>
      </c>
      <c r="AT86">
        <v>4541</v>
      </c>
      <c r="AU86" t="s">
        <v>572</v>
      </c>
      <c r="AW86" t="str">
        <f>IF(Tabela4[[#This Row],[JUSTIFICATIVA]]="","",CONCATENATE("B",Tabela4[[#This Row],[BLOCO]],Tabela4[[#This Row],[UO_COD]]))</f>
        <v/>
      </c>
      <c r="AX86">
        <f>Tabela4[[#This Row],[JUSTIFICATIVA]]</f>
        <v>0</v>
      </c>
    </row>
    <row r="87" spans="1:50" ht="15" customHeight="1">
      <c r="A87" s="11">
        <v>1221</v>
      </c>
      <c r="B87" s="11">
        <v>1059</v>
      </c>
      <c r="C87" s="12" t="str">
        <f t="shared" si="5"/>
        <v>12211059</v>
      </c>
      <c r="D87" s="11" t="s">
        <v>568</v>
      </c>
      <c r="E87" s="11" t="s">
        <v>571</v>
      </c>
      <c r="F87" s="11" t="s">
        <v>570</v>
      </c>
      <c r="G87" s="11">
        <v>0</v>
      </c>
      <c r="R87">
        <v>86</v>
      </c>
      <c r="T87" s="11">
        <v>1221</v>
      </c>
      <c r="U87" s="11">
        <v>1059</v>
      </c>
      <c r="W87" s="13">
        <v>4551</v>
      </c>
      <c r="Y87" t="s">
        <v>519</v>
      </c>
      <c r="Z87" s="14">
        <v>42</v>
      </c>
      <c r="AK87" s="18">
        <v>3</v>
      </c>
      <c r="AL87" s="18" t="str">
        <f t="shared" si="6"/>
        <v>G3</v>
      </c>
      <c r="AM87" s="18">
        <v>90</v>
      </c>
      <c r="AO87" t="str">
        <f t="shared" si="7"/>
        <v>M90</v>
      </c>
      <c r="AP87" t="str">
        <f t="shared" si="8"/>
        <v>G3M90</v>
      </c>
      <c r="AQ87" s="18">
        <v>38</v>
      </c>
      <c r="AT87">
        <v>4551</v>
      </c>
      <c r="AU87" t="s">
        <v>573</v>
      </c>
      <c r="AW87" t="str">
        <f>IF(Tabela4[[#This Row],[JUSTIFICATIVA]]="","",CONCATENATE("B",Tabela4[[#This Row],[BLOCO]],Tabela4[[#This Row],[UO_COD]]))</f>
        <v/>
      </c>
      <c r="AX87">
        <f>Tabela4[[#This Row],[JUSTIFICATIVA]]</f>
        <v>0</v>
      </c>
    </row>
    <row r="88" spans="1:50" ht="15" customHeight="1">
      <c r="A88" s="11">
        <v>1221</v>
      </c>
      <c r="B88" s="11">
        <v>1071</v>
      </c>
      <c r="C88" s="12" t="str">
        <f t="shared" si="5"/>
        <v>12211071</v>
      </c>
      <c r="D88" s="11" t="s">
        <v>322</v>
      </c>
      <c r="E88" s="11" t="s">
        <v>574</v>
      </c>
      <c r="F88" s="11" t="s">
        <v>570</v>
      </c>
      <c r="G88" s="11">
        <v>1</v>
      </c>
      <c r="R88">
        <v>87</v>
      </c>
      <c r="T88" s="11">
        <v>1221</v>
      </c>
      <c r="U88" s="11">
        <v>1071</v>
      </c>
      <c r="W88" s="13">
        <v>4601</v>
      </c>
      <c r="Y88" t="s">
        <v>519</v>
      </c>
      <c r="Z88" s="14">
        <v>48</v>
      </c>
      <c r="AK88" s="18">
        <v>3</v>
      </c>
      <c r="AL88" s="18" t="str">
        <f t="shared" si="6"/>
        <v>G3</v>
      </c>
      <c r="AM88" s="18">
        <v>90</v>
      </c>
      <c r="AO88" t="str">
        <f t="shared" si="7"/>
        <v>M90</v>
      </c>
      <c r="AP88" t="str">
        <f t="shared" si="8"/>
        <v>G3M90</v>
      </c>
      <c r="AQ88" s="18">
        <v>39</v>
      </c>
      <c r="AT88">
        <v>4601</v>
      </c>
      <c r="AU88" t="s">
        <v>294</v>
      </c>
      <c r="AW88" t="str">
        <f>IF(Tabela4[[#This Row],[JUSTIFICATIVA]]="","",CONCATENATE("B",Tabela4[[#This Row],[BLOCO]],Tabela4[[#This Row],[UO_COD]]))</f>
        <v/>
      </c>
      <c r="AX88">
        <f>Tabela4[[#This Row],[JUSTIFICATIVA]]</f>
        <v>0</v>
      </c>
    </row>
    <row r="89" spans="1:50" ht="15" customHeight="1">
      <c r="A89" s="11">
        <v>1221</v>
      </c>
      <c r="B89" s="11">
        <v>1072</v>
      </c>
      <c r="C89" s="12" t="str">
        <f t="shared" si="5"/>
        <v>12211072</v>
      </c>
      <c r="D89" s="11" t="s">
        <v>565</v>
      </c>
      <c r="E89" s="11" t="s">
        <v>575</v>
      </c>
      <c r="F89" s="11" t="s">
        <v>570</v>
      </c>
      <c r="G89" s="11">
        <v>0</v>
      </c>
      <c r="R89">
        <v>88</v>
      </c>
      <c r="T89" s="11">
        <v>1221</v>
      </c>
      <c r="U89" s="11">
        <v>1072</v>
      </c>
      <c r="W89" s="13">
        <v>4611</v>
      </c>
      <c r="Y89" t="s">
        <v>519</v>
      </c>
      <c r="Z89" s="14">
        <v>51</v>
      </c>
      <c r="AK89" s="18">
        <v>3</v>
      </c>
      <c r="AL89" s="18" t="str">
        <f t="shared" si="6"/>
        <v>G3</v>
      </c>
      <c r="AM89" s="18">
        <v>90</v>
      </c>
      <c r="AO89" t="str">
        <f t="shared" si="7"/>
        <v>M90</v>
      </c>
      <c r="AP89" t="str">
        <f t="shared" si="8"/>
        <v>G3M90</v>
      </c>
      <c r="AQ89" s="18">
        <v>40</v>
      </c>
      <c r="AT89">
        <v>4611</v>
      </c>
      <c r="AU89" t="s">
        <v>576</v>
      </c>
      <c r="AW89" t="str">
        <f>IF(Tabela4[[#This Row],[JUSTIFICATIVA]]="","",CONCATENATE("B",Tabela4[[#This Row],[BLOCO]],Tabela4[[#This Row],[UO_COD]]))</f>
        <v/>
      </c>
      <c r="AX89">
        <f>Tabela4[[#This Row],[JUSTIFICATIVA]]</f>
        <v>0</v>
      </c>
    </row>
    <row r="90" spans="1:50" ht="15" customHeight="1">
      <c r="A90" s="11">
        <v>1221</v>
      </c>
      <c r="B90" s="11">
        <v>1073</v>
      </c>
      <c r="C90" s="12" t="str">
        <f t="shared" si="5"/>
        <v>12211073</v>
      </c>
      <c r="D90" s="11" t="s">
        <v>568</v>
      </c>
      <c r="E90" s="11" t="s">
        <v>569</v>
      </c>
      <c r="F90" s="11" t="s">
        <v>570</v>
      </c>
      <c r="G90" s="11">
        <v>0</v>
      </c>
      <c r="R90">
        <v>89</v>
      </c>
      <c r="T90" s="11">
        <v>1221</v>
      </c>
      <c r="U90" s="11">
        <v>1073</v>
      </c>
      <c r="W90" s="13">
        <v>4621</v>
      </c>
      <c r="Y90" t="s">
        <v>519</v>
      </c>
      <c r="Z90" s="14">
        <v>61</v>
      </c>
      <c r="AK90" s="18">
        <v>3</v>
      </c>
      <c r="AL90" s="18" t="str">
        <f t="shared" si="6"/>
        <v>G3</v>
      </c>
      <c r="AM90" s="18">
        <v>90</v>
      </c>
      <c r="AO90" t="str">
        <f t="shared" si="7"/>
        <v>M90</v>
      </c>
      <c r="AP90" t="str">
        <f t="shared" si="8"/>
        <v>G3M90</v>
      </c>
      <c r="AQ90" s="18">
        <v>41</v>
      </c>
      <c r="AT90">
        <v>4621</v>
      </c>
      <c r="AU90" t="s">
        <v>577</v>
      </c>
      <c r="AW90" t="str">
        <f>IF(Tabela4[[#This Row],[JUSTIFICATIVA]]="","",CONCATENATE("B",Tabela4[[#This Row],[BLOCO]],Tabela4[[#This Row],[UO_COD]]))</f>
        <v/>
      </c>
      <c r="AX90">
        <f>Tabela4[[#This Row],[JUSTIFICATIVA]]</f>
        <v>0</v>
      </c>
    </row>
    <row r="91" spans="1:50" ht="15" customHeight="1">
      <c r="A91" s="11">
        <v>1221</v>
      </c>
      <c r="B91" s="11">
        <v>1075</v>
      </c>
      <c r="C91" s="12" t="str">
        <f t="shared" si="5"/>
        <v>12211075</v>
      </c>
      <c r="D91" s="11" t="s">
        <v>578</v>
      </c>
      <c r="E91" s="11" t="s">
        <v>579</v>
      </c>
      <c r="F91" s="11" t="s">
        <v>567</v>
      </c>
      <c r="G91" s="11">
        <v>0</v>
      </c>
      <c r="R91">
        <v>90</v>
      </c>
      <c r="T91" s="11">
        <v>1221</v>
      </c>
      <c r="U91" s="11">
        <v>1075</v>
      </c>
      <c r="W91" s="13">
        <v>4631</v>
      </c>
      <c r="Y91" t="s">
        <v>519</v>
      </c>
      <c r="Z91" s="14">
        <v>62</v>
      </c>
      <c r="AK91" s="18">
        <v>3</v>
      </c>
      <c r="AL91" s="18" t="str">
        <f t="shared" si="6"/>
        <v>G3</v>
      </c>
      <c r="AM91" s="18">
        <v>90</v>
      </c>
      <c r="AO91" t="str">
        <f t="shared" si="7"/>
        <v>M90</v>
      </c>
      <c r="AP91" t="str">
        <f t="shared" si="8"/>
        <v>G3M90</v>
      </c>
      <c r="AQ91" s="18">
        <v>45</v>
      </c>
      <c r="AT91">
        <v>4631</v>
      </c>
      <c r="AU91" t="s">
        <v>580</v>
      </c>
      <c r="AW91" t="str">
        <f>IF(Tabela4[[#This Row],[JUSTIFICATIVA]]="","",CONCATENATE("B",Tabela4[[#This Row],[BLOCO]],Tabela4[[#This Row],[UO_COD]]))</f>
        <v/>
      </c>
      <c r="AX91">
        <f>Tabela4[[#This Row],[JUSTIFICATIVA]]</f>
        <v>0</v>
      </c>
    </row>
    <row r="92" spans="1:50" ht="15" customHeight="1">
      <c r="A92" s="11">
        <v>1221</v>
      </c>
      <c r="B92" s="11">
        <v>1076</v>
      </c>
      <c r="C92" s="12" t="str">
        <f t="shared" si="5"/>
        <v>12211076</v>
      </c>
      <c r="D92" s="11" t="s">
        <v>578</v>
      </c>
      <c r="E92" s="11" t="s">
        <v>581</v>
      </c>
      <c r="F92" s="11" t="s">
        <v>567</v>
      </c>
      <c r="G92" s="11">
        <v>0</v>
      </c>
      <c r="R92">
        <v>91</v>
      </c>
      <c r="T92" s="11">
        <v>1221</v>
      </c>
      <c r="U92" s="11">
        <v>1076</v>
      </c>
      <c r="W92" s="13">
        <v>4641</v>
      </c>
      <c r="Y92" t="s">
        <v>519</v>
      </c>
      <c r="Z92" s="14">
        <v>63</v>
      </c>
      <c r="AK92" s="18">
        <v>3</v>
      </c>
      <c r="AL92" s="18" t="str">
        <f t="shared" si="6"/>
        <v>G3</v>
      </c>
      <c r="AM92" s="18">
        <v>90</v>
      </c>
      <c r="AO92" t="str">
        <f t="shared" si="7"/>
        <v>M90</v>
      </c>
      <c r="AP92" t="str">
        <f t="shared" si="8"/>
        <v>G3M90</v>
      </c>
      <c r="AQ92" s="18">
        <v>46</v>
      </c>
      <c r="AT92">
        <v>4641</v>
      </c>
      <c r="AU92" t="s">
        <v>582</v>
      </c>
      <c r="AW92" t="str">
        <f>IF(Tabela4[[#This Row],[JUSTIFICATIVA]]="","",CONCATENATE("B",Tabela4[[#This Row],[BLOCO]],Tabela4[[#This Row],[UO_COD]]))</f>
        <v/>
      </c>
      <c r="AX92">
        <f>Tabela4[[#This Row],[JUSTIFICATIVA]]</f>
        <v>0</v>
      </c>
    </row>
    <row r="93" spans="1:50" ht="15" customHeight="1">
      <c r="A93" s="11">
        <v>1221</v>
      </c>
      <c r="B93" s="11">
        <v>1077</v>
      </c>
      <c r="C93" s="12" t="str">
        <f t="shared" si="5"/>
        <v>12211077</v>
      </c>
      <c r="D93" s="11" t="s">
        <v>565</v>
      </c>
      <c r="E93" s="11" t="s">
        <v>566</v>
      </c>
      <c r="F93" s="11" t="s">
        <v>567</v>
      </c>
      <c r="G93" s="11">
        <v>0</v>
      </c>
      <c r="R93">
        <v>92</v>
      </c>
      <c r="T93" s="11">
        <v>1221</v>
      </c>
      <c r="U93" s="11">
        <v>1077</v>
      </c>
      <c r="W93" s="13">
        <v>4651</v>
      </c>
      <c r="Y93" t="s">
        <v>519</v>
      </c>
      <c r="Z93" s="14">
        <v>64</v>
      </c>
      <c r="AK93" s="18">
        <v>3</v>
      </c>
      <c r="AL93" s="18" t="str">
        <f t="shared" si="6"/>
        <v>G3</v>
      </c>
      <c r="AM93" s="18">
        <v>90</v>
      </c>
      <c r="AO93" t="str">
        <f t="shared" si="7"/>
        <v>M90</v>
      </c>
      <c r="AP93" t="str">
        <f t="shared" si="8"/>
        <v>G3M90</v>
      </c>
      <c r="AQ93" s="18">
        <v>47</v>
      </c>
      <c r="AT93">
        <v>4651</v>
      </c>
      <c r="AU93" t="s">
        <v>583</v>
      </c>
      <c r="AW93" t="str">
        <f>IF(Tabela4[[#This Row],[JUSTIFICATIVA]]="","",CONCATENATE("B",Tabela4[[#This Row],[BLOCO]],Tabela4[[#This Row],[UO_COD]]))</f>
        <v/>
      </c>
      <c r="AX93">
        <f>Tabela4[[#This Row],[JUSTIFICATIVA]]</f>
        <v>0</v>
      </c>
    </row>
    <row r="94" spans="1:50" ht="15" customHeight="1">
      <c r="A94" s="11">
        <v>1221</v>
      </c>
      <c r="B94" s="11">
        <v>1078</v>
      </c>
      <c r="C94" s="12" t="str">
        <f t="shared" si="5"/>
        <v>12211078</v>
      </c>
      <c r="D94" s="11" t="s">
        <v>568</v>
      </c>
      <c r="E94" s="11" t="s">
        <v>569</v>
      </c>
      <c r="F94" s="11" t="s">
        <v>567</v>
      </c>
      <c r="G94" s="11">
        <v>0</v>
      </c>
      <c r="R94">
        <v>93</v>
      </c>
      <c r="T94" s="11">
        <v>1221</v>
      </c>
      <c r="U94" s="11">
        <v>1078</v>
      </c>
      <c r="W94" s="13">
        <v>4661</v>
      </c>
      <c r="Y94" t="s">
        <v>519</v>
      </c>
      <c r="Z94" s="14">
        <v>65</v>
      </c>
      <c r="AK94" s="18">
        <v>3</v>
      </c>
      <c r="AL94" s="18" t="str">
        <f t="shared" si="6"/>
        <v>G3</v>
      </c>
      <c r="AM94" s="18">
        <v>90</v>
      </c>
      <c r="AO94" t="str">
        <f t="shared" si="7"/>
        <v>M90</v>
      </c>
      <c r="AP94" t="str">
        <f t="shared" si="8"/>
        <v>G3M90</v>
      </c>
      <c r="AQ94" s="18">
        <v>48</v>
      </c>
      <c r="AT94">
        <v>4661</v>
      </c>
      <c r="AU94" t="s">
        <v>304</v>
      </c>
      <c r="AW94" t="str">
        <f>IF(Tabela4[[#This Row],[JUSTIFICATIVA]]="","",CONCATENATE("B",Tabela4[[#This Row],[BLOCO]],Tabela4[[#This Row],[UO_COD]]))</f>
        <v/>
      </c>
      <c r="AX94">
        <f>Tabela4[[#This Row],[JUSTIFICATIVA]]</f>
        <v>0</v>
      </c>
    </row>
    <row r="95" spans="1:50" ht="15" customHeight="1">
      <c r="A95" s="11">
        <v>1221</v>
      </c>
      <c r="B95" s="11">
        <v>1079</v>
      </c>
      <c r="C95" s="12" t="str">
        <f t="shared" si="5"/>
        <v>12211079</v>
      </c>
      <c r="D95" s="11" t="s">
        <v>568</v>
      </c>
      <c r="E95" s="11" t="s">
        <v>584</v>
      </c>
      <c r="F95" s="11" t="s">
        <v>567</v>
      </c>
      <c r="G95" s="11">
        <v>0</v>
      </c>
      <c r="R95">
        <v>94</v>
      </c>
      <c r="T95" s="11">
        <v>1221</v>
      </c>
      <c r="U95" s="11">
        <v>1079</v>
      </c>
      <c r="W95" s="13">
        <v>4671</v>
      </c>
      <c r="Y95" t="s">
        <v>519</v>
      </c>
      <c r="Z95" s="14">
        <v>66</v>
      </c>
      <c r="AK95" s="18">
        <v>3</v>
      </c>
      <c r="AL95" s="18" t="str">
        <f t="shared" si="6"/>
        <v>G3</v>
      </c>
      <c r="AM95" s="18">
        <v>90</v>
      </c>
      <c r="AO95" t="str">
        <f t="shared" si="7"/>
        <v>M90</v>
      </c>
      <c r="AP95" t="str">
        <f t="shared" si="8"/>
        <v>G3M90</v>
      </c>
      <c r="AQ95" s="18">
        <v>49</v>
      </c>
      <c r="AT95">
        <v>4671</v>
      </c>
      <c r="AU95" t="s">
        <v>306</v>
      </c>
      <c r="AW95" t="str">
        <f>IF(Tabela4[[#This Row],[JUSTIFICATIVA]]="","",CONCATENATE("B",Tabela4[[#This Row],[BLOCO]],Tabela4[[#This Row],[UO_COD]]))</f>
        <v/>
      </c>
      <c r="AX95">
        <f>Tabela4[[#This Row],[JUSTIFICATIVA]]</f>
        <v>0</v>
      </c>
    </row>
    <row r="96" spans="1:50" ht="15" customHeight="1">
      <c r="A96" s="11">
        <v>1221</v>
      </c>
      <c r="B96" s="11">
        <v>1081</v>
      </c>
      <c r="C96" s="12" t="str">
        <f t="shared" si="5"/>
        <v>12211081</v>
      </c>
      <c r="D96" s="11" t="s">
        <v>565</v>
      </c>
      <c r="E96" s="11" t="s">
        <v>575</v>
      </c>
      <c r="F96" s="11" t="s">
        <v>567</v>
      </c>
      <c r="G96" s="11">
        <v>1</v>
      </c>
      <c r="R96">
        <v>95</v>
      </c>
      <c r="T96" s="11">
        <v>1221</v>
      </c>
      <c r="U96" s="11">
        <v>1081</v>
      </c>
      <c r="W96" s="13">
        <v>4691</v>
      </c>
      <c r="Y96" t="s">
        <v>519</v>
      </c>
      <c r="Z96" s="14">
        <v>67</v>
      </c>
      <c r="AK96" s="18">
        <v>3</v>
      </c>
      <c r="AL96" s="18" t="str">
        <f t="shared" si="6"/>
        <v>G3</v>
      </c>
      <c r="AM96" s="18">
        <v>90</v>
      </c>
      <c r="AO96" t="str">
        <f t="shared" si="7"/>
        <v>M90</v>
      </c>
      <c r="AP96" t="str">
        <f t="shared" si="8"/>
        <v>G3M90</v>
      </c>
      <c r="AQ96" s="18">
        <v>59</v>
      </c>
      <c r="AT96">
        <v>4691</v>
      </c>
      <c r="AU96" t="s">
        <v>308</v>
      </c>
      <c r="AW96" t="str">
        <f>IF(Tabela4[[#This Row],[JUSTIFICATIVA]]="","",CONCATENATE("B",Tabela4[[#This Row],[BLOCO]],Tabela4[[#This Row],[UO_COD]]))</f>
        <v/>
      </c>
      <c r="AX96">
        <f>Tabela4[[#This Row],[JUSTIFICATIVA]]</f>
        <v>0</v>
      </c>
    </row>
    <row r="97" spans="1:50" ht="15" customHeight="1">
      <c r="A97" s="11">
        <v>1221</v>
      </c>
      <c r="B97" s="11">
        <v>1082</v>
      </c>
      <c r="C97" s="12" t="str">
        <f t="shared" si="5"/>
        <v>12211082</v>
      </c>
      <c r="D97" s="11" t="s">
        <v>322</v>
      </c>
      <c r="E97" s="11" t="s">
        <v>585</v>
      </c>
      <c r="F97" s="11" t="s">
        <v>574</v>
      </c>
      <c r="G97" s="11">
        <v>1</v>
      </c>
      <c r="R97">
        <v>96</v>
      </c>
      <c r="T97" s="11">
        <v>1221</v>
      </c>
      <c r="U97" s="11">
        <v>1082</v>
      </c>
      <c r="W97" s="13">
        <v>4701</v>
      </c>
      <c r="Y97" t="s">
        <v>519</v>
      </c>
      <c r="Z97" s="14">
        <v>82</v>
      </c>
      <c r="AK97" s="18">
        <v>3</v>
      </c>
      <c r="AL97" s="18" t="str">
        <f t="shared" si="6"/>
        <v>G3</v>
      </c>
      <c r="AM97" s="18">
        <v>90</v>
      </c>
      <c r="AO97" t="str">
        <f t="shared" si="7"/>
        <v>M90</v>
      </c>
      <c r="AP97" t="str">
        <f t="shared" si="8"/>
        <v>G3M90</v>
      </c>
      <c r="AQ97" s="18">
        <v>67</v>
      </c>
      <c r="AT97">
        <v>4701</v>
      </c>
      <c r="AU97" t="s">
        <v>310</v>
      </c>
      <c r="AW97" t="str">
        <f>IF(Tabela4[[#This Row],[JUSTIFICATIVA]]="","",CONCATENATE("B",Tabela4[[#This Row],[BLOCO]],Tabela4[[#This Row],[UO_COD]]))</f>
        <v/>
      </c>
      <c r="AX97">
        <f>Tabela4[[#This Row],[JUSTIFICATIVA]]</f>
        <v>0</v>
      </c>
    </row>
    <row r="98" spans="1:50" ht="15" customHeight="1">
      <c r="A98" s="11">
        <v>1221</v>
      </c>
      <c r="B98" s="11">
        <v>1083</v>
      </c>
      <c r="C98" s="12" t="str">
        <f t="shared" si="5"/>
        <v>12211083</v>
      </c>
      <c r="D98" s="11" t="s">
        <v>322</v>
      </c>
      <c r="E98" s="11" t="s">
        <v>551</v>
      </c>
      <c r="F98" s="11" t="s">
        <v>574</v>
      </c>
      <c r="G98" s="11">
        <v>0</v>
      </c>
      <c r="R98">
        <v>97</v>
      </c>
      <c r="T98" s="11">
        <v>1221</v>
      </c>
      <c r="U98" s="11">
        <v>1083</v>
      </c>
      <c r="W98" s="13">
        <v>4711</v>
      </c>
      <c r="Y98" t="s">
        <v>519</v>
      </c>
      <c r="Z98" s="14">
        <v>83</v>
      </c>
      <c r="AK98" s="18">
        <v>3</v>
      </c>
      <c r="AL98" s="18" t="str">
        <f t="shared" si="6"/>
        <v>G3</v>
      </c>
      <c r="AM98" s="18">
        <v>90</v>
      </c>
      <c r="AO98" t="str">
        <f t="shared" si="7"/>
        <v>M90</v>
      </c>
      <c r="AP98" t="str">
        <f t="shared" si="8"/>
        <v>G3M90</v>
      </c>
      <c r="AQ98" s="18">
        <v>81</v>
      </c>
      <c r="AT98">
        <v>4711</v>
      </c>
      <c r="AU98" t="s">
        <v>586</v>
      </c>
      <c r="AW98" t="str">
        <f>IF(Tabela4[[#This Row],[JUSTIFICATIVA]]="","",CONCATENATE("B",Tabela4[[#This Row],[BLOCO]],Tabela4[[#This Row],[UO_COD]]))</f>
        <v/>
      </c>
      <c r="AX98">
        <f>Tabela4[[#This Row],[JUSTIFICATIVA]]</f>
        <v>0</v>
      </c>
    </row>
    <row r="99" spans="1:50" ht="15" customHeight="1">
      <c r="A99" s="11">
        <v>1221</v>
      </c>
      <c r="B99" s="11">
        <v>1090</v>
      </c>
      <c r="C99" s="12" t="str">
        <f t="shared" si="5"/>
        <v>12211090</v>
      </c>
      <c r="D99" s="11" t="s">
        <v>322</v>
      </c>
      <c r="E99" s="11" t="s">
        <v>470</v>
      </c>
      <c r="F99" s="11" t="s">
        <v>567</v>
      </c>
      <c r="G99" s="11">
        <v>0</v>
      </c>
      <c r="R99">
        <v>98</v>
      </c>
      <c r="T99" s="11">
        <v>1221</v>
      </c>
      <c r="U99" s="11">
        <v>1090</v>
      </c>
      <c r="W99" s="13">
        <v>4721</v>
      </c>
      <c r="Y99" t="s">
        <v>519</v>
      </c>
      <c r="Z99" s="14">
        <v>91</v>
      </c>
      <c r="AK99" s="18">
        <v>3</v>
      </c>
      <c r="AL99" s="18" t="str">
        <f t="shared" si="6"/>
        <v>G3</v>
      </c>
      <c r="AM99" s="18">
        <v>90</v>
      </c>
      <c r="AO99" t="str">
        <f t="shared" si="7"/>
        <v>M90</v>
      </c>
      <c r="AP99" t="str">
        <f t="shared" si="8"/>
        <v>G3M90</v>
      </c>
      <c r="AQ99" s="18">
        <v>86</v>
      </c>
      <c r="AT99">
        <v>4721</v>
      </c>
      <c r="AU99" t="s">
        <v>314</v>
      </c>
      <c r="AW99" t="str">
        <f>IF(Tabela4[[#This Row],[JUSTIFICATIVA]]="","",CONCATENATE("B",Tabela4[[#This Row],[BLOCO]],Tabela4[[#This Row],[UO_COD]]))</f>
        <v/>
      </c>
      <c r="AX99">
        <f>Tabela4[[#This Row],[JUSTIFICATIVA]]</f>
        <v>0</v>
      </c>
    </row>
    <row r="100" spans="1:50" ht="15" customHeight="1">
      <c r="A100" s="11">
        <v>1221</v>
      </c>
      <c r="B100" s="11">
        <v>1091</v>
      </c>
      <c r="C100" s="12" t="str">
        <f t="shared" si="5"/>
        <v>12211091</v>
      </c>
      <c r="D100" s="11" t="s">
        <v>568</v>
      </c>
      <c r="E100" s="11" t="s">
        <v>569</v>
      </c>
      <c r="F100" s="11" t="s">
        <v>567</v>
      </c>
      <c r="G100" s="11">
        <v>0</v>
      </c>
      <c r="R100">
        <v>99</v>
      </c>
      <c r="T100" s="11">
        <v>1221</v>
      </c>
      <c r="U100" s="11">
        <v>1091</v>
      </c>
      <c r="W100">
        <v>4731</v>
      </c>
      <c r="Y100" t="s">
        <v>519</v>
      </c>
      <c r="Z100" s="14">
        <v>92</v>
      </c>
      <c r="AK100" s="18">
        <v>3</v>
      </c>
      <c r="AL100" s="18" t="str">
        <f t="shared" si="6"/>
        <v>G3</v>
      </c>
      <c r="AM100" s="18">
        <v>90</v>
      </c>
      <c r="AO100" t="str">
        <f t="shared" si="7"/>
        <v>M90</v>
      </c>
      <c r="AP100" t="str">
        <f t="shared" si="8"/>
        <v>G3M90</v>
      </c>
      <c r="AQ100" s="18">
        <v>91</v>
      </c>
      <c r="AT100">
        <v>4731</v>
      </c>
      <c r="AU100" t="s">
        <v>316</v>
      </c>
      <c r="AW100" t="str">
        <f>IF(Tabela4[[#This Row],[JUSTIFICATIVA]]="","",CONCATENATE("B",Tabela4[[#This Row],[BLOCO]],Tabela4[[#This Row],[UO_COD]]))</f>
        <v/>
      </c>
      <c r="AX100">
        <f>Tabela4[[#This Row],[JUSTIFICATIVA]]</f>
        <v>0</v>
      </c>
    </row>
    <row r="101" spans="1:50" ht="15" customHeight="1">
      <c r="A101" s="11">
        <v>1221</v>
      </c>
      <c r="B101" s="11">
        <v>1100</v>
      </c>
      <c r="C101" s="12" t="str">
        <f t="shared" si="5"/>
        <v>12211100</v>
      </c>
      <c r="D101" s="11" t="s">
        <v>325</v>
      </c>
      <c r="E101" s="11" t="s">
        <v>587</v>
      </c>
      <c r="F101" s="11" t="s">
        <v>588</v>
      </c>
      <c r="G101" s="11">
        <v>0</v>
      </c>
      <c r="R101">
        <v>100</v>
      </c>
      <c r="T101" s="11">
        <v>1221</v>
      </c>
      <c r="U101" s="11">
        <v>1100</v>
      </c>
      <c r="W101">
        <v>4741</v>
      </c>
      <c r="Y101" t="s">
        <v>519</v>
      </c>
      <c r="Z101" s="14">
        <v>99</v>
      </c>
      <c r="AK101" s="18">
        <v>3</v>
      </c>
      <c r="AL101" s="18" t="str">
        <f t="shared" si="6"/>
        <v>G3</v>
      </c>
      <c r="AM101" s="18">
        <v>90</v>
      </c>
      <c r="AO101" t="str">
        <f t="shared" si="7"/>
        <v>M90</v>
      </c>
      <c r="AP101" t="str">
        <f t="shared" si="8"/>
        <v>G3M90</v>
      </c>
      <c r="AQ101" s="18">
        <v>92</v>
      </c>
      <c r="AT101">
        <v>4741</v>
      </c>
      <c r="AU101" t="s">
        <v>318</v>
      </c>
      <c r="AW101" t="str">
        <f>IF(Tabela4[[#This Row],[JUSTIFICATIVA]]="","",CONCATENATE("B",Tabela4[[#This Row],[BLOCO]],Tabela4[[#This Row],[UO_COD]]))</f>
        <v/>
      </c>
      <c r="AX101">
        <f>Tabela4[[#This Row],[JUSTIFICATIVA]]</f>
        <v>0</v>
      </c>
    </row>
    <row r="102" spans="1:50" ht="15" customHeight="1">
      <c r="A102" s="11">
        <v>1221</v>
      </c>
      <c r="B102" s="11">
        <v>2417</v>
      </c>
      <c r="C102" s="12" t="str">
        <f t="shared" si="5"/>
        <v>12212417</v>
      </c>
      <c r="D102" s="11" t="s">
        <v>568</v>
      </c>
      <c r="E102" s="11" t="s">
        <v>470</v>
      </c>
      <c r="F102" s="11" t="s">
        <v>461</v>
      </c>
      <c r="G102" s="11">
        <v>0</v>
      </c>
      <c r="T102" s="11">
        <v>1221</v>
      </c>
      <c r="U102" s="11">
        <v>2417</v>
      </c>
      <c r="W102">
        <v>4751</v>
      </c>
      <c r="Z102" s="14"/>
      <c r="AK102" s="18">
        <v>3</v>
      </c>
      <c r="AL102" s="18" t="str">
        <f t="shared" si="6"/>
        <v>G3</v>
      </c>
      <c r="AM102" s="18">
        <v>90</v>
      </c>
      <c r="AO102" t="str">
        <f t="shared" si="7"/>
        <v>M90</v>
      </c>
      <c r="AP102" t="str">
        <f t="shared" si="8"/>
        <v>G3M90</v>
      </c>
      <c r="AQ102" s="18">
        <v>93</v>
      </c>
      <c r="AT102">
        <v>4751</v>
      </c>
      <c r="AU102" t="s">
        <v>320</v>
      </c>
      <c r="AW102" t="str">
        <f>IF(Tabela4[[#This Row],[JUSTIFICATIVA]]="","",CONCATENATE("B",Tabela4[[#This Row],[BLOCO]],Tabela4[[#This Row],[UO_COD]]))</f>
        <v/>
      </c>
      <c r="AX102">
        <f>Tabela4[[#This Row],[JUSTIFICATIVA]]</f>
        <v>0</v>
      </c>
    </row>
    <row r="103" spans="1:50" ht="15" customHeight="1">
      <c r="A103" s="11">
        <v>1221</v>
      </c>
      <c r="B103" s="11">
        <v>2500</v>
      </c>
      <c r="C103" s="12" t="str">
        <f t="shared" si="5"/>
        <v>12212500</v>
      </c>
      <c r="D103" s="11" t="s">
        <v>568</v>
      </c>
      <c r="E103" s="11" t="s">
        <v>470</v>
      </c>
      <c r="F103" s="11" t="s">
        <v>461</v>
      </c>
      <c r="G103" s="11">
        <v>0</v>
      </c>
      <c r="T103" s="11">
        <v>1221</v>
      </c>
      <c r="U103" s="11">
        <v>2500</v>
      </c>
      <c r="Z103" s="14"/>
      <c r="AK103" s="18">
        <v>3</v>
      </c>
      <c r="AL103" s="18" t="str">
        <f t="shared" si="6"/>
        <v>G3</v>
      </c>
      <c r="AM103" s="18">
        <v>90</v>
      </c>
      <c r="AO103" t="str">
        <f t="shared" si="7"/>
        <v>M90</v>
      </c>
      <c r="AP103" t="str">
        <f t="shared" si="8"/>
        <v>G3M90</v>
      </c>
      <c r="AQ103" s="18">
        <v>95</v>
      </c>
      <c r="AW103" t="str">
        <f>IF(Tabela4[[#This Row],[JUSTIFICATIVA]]="","",CONCATENATE("B",Tabela4[[#This Row],[BLOCO]],Tabela4[[#This Row],[UO_COD]]))</f>
        <v/>
      </c>
      <c r="AX103">
        <f>Tabela4[[#This Row],[JUSTIFICATIVA]]</f>
        <v>0</v>
      </c>
    </row>
    <row r="104" spans="1:50" ht="15" customHeight="1">
      <c r="A104" s="11">
        <v>1221</v>
      </c>
      <c r="B104" s="11">
        <v>4449</v>
      </c>
      <c r="C104" s="12" t="str">
        <f t="shared" si="5"/>
        <v>12214449</v>
      </c>
      <c r="D104" s="11" t="s">
        <v>589</v>
      </c>
      <c r="E104" s="11" t="s">
        <v>590</v>
      </c>
      <c r="F104" s="11" t="s">
        <v>591</v>
      </c>
      <c r="G104" s="11">
        <v>0</v>
      </c>
      <c r="T104" s="11">
        <v>1221</v>
      </c>
      <c r="U104" s="11">
        <v>4449</v>
      </c>
      <c r="Z104" s="14"/>
      <c r="AK104" s="18">
        <v>3</v>
      </c>
      <c r="AL104" s="18" t="str">
        <f t="shared" si="6"/>
        <v>G3</v>
      </c>
      <c r="AM104" s="18">
        <v>90</v>
      </c>
      <c r="AO104" t="str">
        <f t="shared" si="7"/>
        <v>M90</v>
      </c>
      <c r="AP104" t="str">
        <f t="shared" si="8"/>
        <v>G3M90</v>
      </c>
      <c r="AQ104" s="18">
        <v>99</v>
      </c>
      <c r="AW104" t="str">
        <f>IF(Tabela4[[#This Row],[JUSTIFICATIVA]]="","",CONCATENATE("B",Tabela4[[#This Row],[BLOCO]],Tabela4[[#This Row],[UO_COD]]))</f>
        <v/>
      </c>
      <c r="AX104">
        <f>Tabela4[[#This Row],[JUSTIFICATIVA]]</f>
        <v>0</v>
      </c>
    </row>
    <row r="105" spans="1:50" ht="15" customHeight="1">
      <c r="A105" s="11">
        <v>1221</v>
      </c>
      <c r="B105" s="11">
        <v>4472</v>
      </c>
      <c r="C105" s="12" t="str">
        <f t="shared" si="5"/>
        <v>12214472</v>
      </c>
      <c r="D105" s="11" t="s">
        <v>589</v>
      </c>
      <c r="E105" s="11" t="s">
        <v>592</v>
      </c>
      <c r="F105" s="11" t="s">
        <v>591</v>
      </c>
      <c r="G105" s="11">
        <v>0</v>
      </c>
      <c r="T105" s="11">
        <v>1221</v>
      </c>
      <c r="U105" s="11">
        <v>4472</v>
      </c>
      <c r="Z105" s="14"/>
      <c r="AK105" s="18">
        <v>3</v>
      </c>
      <c r="AL105" s="18" t="str">
        <f t="shared" si="6"/>
        <v>G3</v>
      </c>
      <c r="AM105" s="18">
        <v>91</v>
      </c>
      <c r="AO105" t="str">
        <f t="shared" si="7"/>
        <v>M91</v>
      </c>
      <c r="AP105" t="str">
        <f t="shared" si="8"/>
        <v>G3M91</v>
      </c>
      <c r="AQ105" s="18">
        <v>13</v>
      </c>
      <c r="AW105" t="str">
        <f>IF(Tabela4[[#This Row],[JUSTIFICATIVA]]="","",CONCATENATE("B",Tabela4[[#This Row],[BLOCO]],Tabela4[[#This Row],[UO_COD]]))</f>
        <v/>
      </c>
      <c r="AX105">
        <f>Tabela4[[#This Row],[JUSTIFICATIVA]]</f>
        <v>0</v>
      </c>
    </row>
    <row r="106" spans="1:50" ht="15" customHeight="1">
      <c r="A106" s="11">
        <v>1221</v>
      </c>
      <c r="B106" s="11">
        <v>4474</v>
      </c>
      <c r="C106" s="12" t="str">
        <f t="shared" si="5"/>
        <v>12214474</v>
      </c>
      <c r="D106" s="11" t="s">
        <v>568</v>
      </c>
      <c r="E106" s="11" t="s">
        <v>569</v>
      </c>
      <c r="F106" s="11" t="s">
        <v>570</v>
      </c>
      <c r="G106" s="11">
        <v>0</v>
      </c>
      <c r="T106" s="11">
        <v>1221</v>
      </c>
      <c r="U106" s="11">
        <v>4474</v>
      </c>
      <c r="Z106" s="14"/>
      <c r="AK106" s="18">
        <v>3</v>
      </c>
      <c r="AL106" s="18" t="str">
        <f t="shared" si="6"/>
        <v>G3</v>
      </c>
      <c r="AM106" s="18">
        <v>91</v>
      </c>
      <c r="AO106" t="str">
        <f t="shared" si="7"/>
        <v>M91</v>
      </c>
      <c r="AP106" t="str">
        <f t="shared" si="8"/>
        <v>G3M91</v>
      </c>
      <c r="AQ106" s="18">
        <v>30</v>
      </c>
      <c r="AW106" t="str">
        <f>IF(Tabela4[[#This Row],[JUSTIFICATIVA]]="","",CONCATENATE("B",Tabela4[[#This Row],[BLOCO]],Tabela4[[#This Row],[UO_COD]]))</f>
        <v/>
      </c>
      <c r="AX106">
        <f>Tabela4[[#This Row],[JUSTIFICATIVA]]</f>
        <v>0</v>
      </c>
    </row>
    <row r="107" spans="1:50" ht="15" customHeight="1">
      <c r="A107" s="11">
        <v>1221</v>
      </c>
      <c r="B107" s="11">
        <v>4482</v>
      </c>
      <c r="C107" s="12" t="str">
        <f t="shared" si="5"/>
        <v>12214482</v>
      </c>
      <c r="D107" s="11" t="s">
        <v>322</v>
      </c>
      <c r="E107" s="11" t="s">
        <v>560</v>
      </c>
      <c r="F107" s="11" t="s">
        <v>574</v>
      </c>
      <c r="G107" s="11">
        <v>0</v>
      </c>
      <c r="T107" s="11">
        <v>1221</v>
      </c>
      <c r="U107" s="11">
        <v>4482</v>
      </c>
      <c r="Z107" s="14"/>
      <c r="AK107" s="18">
        <v>3</v>
      </c>
      <c r="AL107" s="18" t="str">
        <f t="shared" si="6"/>
        <v>G3</v>
      </c>
      <c r="AM107" s="18">
        <v>91</v>
      </c>
      <c r="AO107" t="str">
        <f t="shared" si="7"/>
        <v>M91</v>
      </c>
      <c r="AP107" t="str">
        <f t="shared" si="8"/>
        <v>G3M91</v>
      </c>
      <c r="AQ107" s="18">
        <v>35</v>
      </c>
      <c r="AW107" t="str">
        <f>IF(Tabela4[[#This Row],[JUSTIFICATIVA]]="","",CONCATENATE("B",Tabela4[[#This Row],[BLOCO]],Tabela4[[#This Row],[UO_COD]]))</f>
        <v/>
      </c>
      <c r="AX107">
        <f>Tabela4[[#This Row],[JUSTIFICATIVA]]</f>
        <v>0</v>
      </c>
    </row>
    <row r="108" spans="1:50" ht="15" customHeight="1">
      <c r="A108" s="11">
        <v>1221</v>
      </c>
      <c r="B108" s="11">
        <v>4499</v>
      </c>
      <c r="C108" s="12" t="str">
        <f t="shared" si="5"/>
        <v>12214499</v>
      </c>
      <c r="D108" s="11" t="s">
        <v>322</v>
      </c>
      <c r="E108" s="11" t="s">
        <v>560</v>
      </c>
      <c r="F108" s="11" t="s">
        <v>567</v>
      </c>
      <c r="G108" s="11">
        <v>0</v>
      </c>
      <c r="T108" s="11">
        <v>1221</v>
      </c>
      <c r="U108" s="11">
        <v>4499</v>
      </c>
      <c r="Z108" s="14"/>
      <c r="AK108" s="18">
        <v>3</v>
      </c>
      <c r="AL108" s="18" t="str">
        <f t="shared" si="6"/>
        <v>G3</v>
      </c>
      <c r="AM108" s="18">
        <v>91</v>
      </c>
      <c r="AO108" t="str">
        <f t="shared" si="7"/>
        <v>M91</v>
      </c>
      <c r="AP108" t="str">
        <f t="shared" si="8"/>
        <v>G3M91</v>
      </c>
      <c r="AQ108" s="18">
        <v>39</v>
      </c>
      <c r="AW108" t="str">
        <f>IF(Tabela4[[#This Row],[JUSTIFICATIVA]]="","",CONCATENATE("B",Tabela4[[#This Row],[BLOCO]],Tabela4[[#This Row],[UO_COD]]))</f>
        <v/>
      </c>
      <c r="AX108">
        <f>Tabela4[[#This Row],[JUSTIFICATIVA]]</f>
        <v>0</v>
      </c>
    </row>
    <row r="109" spans="1:50" ht="15" customHeight="1">
      <c r="A109" s="11">
        <v>1221</v>
      </c>
      <c r="B109" s="11">
        <v>4544</v>
      </c>
      <c r="C109" s="12" t="str">
        <f t="shared" si="5"/>
        <v>12214544</v>
      </c>
      <c r="D109" s="11" t="s">
        <v>322</v>
      </c>
      <c r="E109" s="11" t="s">
        <v>585</v>
      </c>
      <c r="F109" s="11" t="s">
        <v>574</v>
      </c>
      <c r="G109" s="11">
        <v>0</v>
      </c>
      <c r="T109" s="11">
        <v>1221</v>
      </c>
      <c r="U109" s="11">
        <v>4544</v>
      </c>
      <c r="Z109" s="14"/>
      <c r="AK109" s="18">
        <v>3</v>
      </c>
      <c r="AL109" s="18" t="str">
        <f t="shared" si="6"/>
        <v>G3</v>
      </c>
      <c r="AM109" s="18">
        <v>91</v>
      </c>
      <c r="AO109" t="str">
        <f t="shared" si="7"/>
        <v>M91</v>
      </c>
      <c r="AP109" t="str">
        <f t="shared" si="8"/>
        <v>G3M91</v>
      </c>
      <c r="AQ109" s="18">
        <v>40</v>
      </c>
      <c r="AW109" t="str">
        <f>IF(Tabela4[[#This Row],[JUSTIFICATIVA]]="","",CONCATENATE("B",Tabela4[[#This Row],[BLOCO]],Tabela4[[#This Row],[UO_COD]]))</f>
        <v/>
      </c>
      <c r="AX109">
        <f>Tabela4[[#This Row],[JUSTIFICATIVA]]</f>
        <v>0</v>
      </c>
    </row>
    <row r="110" spans="1:50" ht="15" customHeight="1">
      <c r="A110" s="11">
        <v>1231</v>
      </c>
      <c r="B110" s="11">
        <v>1053</v>
      </c>
      <c r="C110" s="12" t="str">
        <f t="shared" si="5"/>
        <v>12311053</v>
      </c>
      <c r="D110" s="11" t="s">
        <v>481</v>
      </c>
      <c r="E110" s="11" t="s">
        <v>593</v>
      </c>
      <c r="F110" s="11" t="s">
        <v>594</v>
      </c>
      <c r="G110" s="11">
        <v>0</v>
      </c>
      <c r="T110" s="11">
        <v>1231</v>
      </c>
      <c r="U110" s="11">
        <v>1053</v>
      </c>
      <c r="Z110" s="14"/>
      <c r="AK110" s="18">
        <v>3</v>
      </c>
      <c r="AL110" s="18" t="str">
        <f t="shared" si="6"/>
        <v>G3</v>
      </c>
      <c r="AM110" s="18">
        <v>91</v>
      </c>
      <c r="AO110" t="str">
        <f t="shared" si="7"/>
        <v>M91</v>
      </c>
      <c r="AP110" t="str">
        <f t="shared" si="8"/>
        <v>G3M91</v>
      </c>
      <c r="AQ110" s="18">
        <v>41</v>
      </c>
      <c r="AW110" t="str">
        <f>IF(Tabela4[[#This Row],[JUSTIFICATIVA]]="","",CONCATENATE("B",Tabela4[[#This Row],[BLOCO]],Tabela4[[#This Row],[UO_COD]]))</f>
        <v/>
      </c>
      <c r="AX110">
        <f>Tabela4[[#This Row],[JUSTIFICATIVA]]</f>
        <v>0</v>
      </c>
    </row>
    <row r="111" spans="1:50" ht="15" customHeight="1">
      <c r="A111" s="11">
        <v>1231</v>
      </c>
      <c r="B111" s="11">
        <v>2417</v>
      </c>
      <c r="C111" s="12" t="str">
        <f t="shared" si="5"/>
        <v>12312417</v>
      </c>
      <c r="D111" s="11" t="s">
        <v>481</v>
      </c>
      <c r="E111" s="11" t="s">
        <v>470</v>
      </c>
      <c r="F111" s="11" t="s">
        <v>461</v>
      </c>
      <c r="G111" s="11">
        <v>0</v>
      </c>
      <c r="T111" s="11">
        <v>1231</v>
      </c>
      <c r="U111" s="11">
        <v>2417</v>
      </c>
      <c r="Z111" s="14"/>
      <c r="AK111" s="18">
        <v>3</v>
      </c>
      <c r="AL111" s="18" t="str">
        <f t="shared" si="6"/>
        <v>G3</v>
      </c>
      <c r="AM111" s="18">
        <v>91</v>
      </c>
      <c r="AO111" t="str">
        <f t="shared" si="7"/>
        <v>M91</v>
      </c>
      <c r="AP111" t="str">
        <f t="shared" si="8"/>
        <v>G3M91</v>
      </c>
      <c r="AQ111" s="18">
        <v>47</v>
      </c>
      <c r="AW111" t="str">
        <f>IF(Tabela4[[#This Row],[JUSTIFICATIVA]]="","",CONCATENATE("B",Tabela4[[#This Row],[BLOCO]],Tabela4[[#This Row],[UO_COD]]))</f>
        <v/>
      </c>
      <c r="AX111">
        <f>Tabela4[[#This Row],[JUSTIFICATIVA]]</f>
        <v>0</v>
      </c>
    </row>
    <row r="112" spans="1:50" ht="15" customHeight="1">
      <c r="A112" s="11">
        <v>1231</v>
      </c>
      <c r="B112" s="11">
        <v>2500</v>
      </c>
      <c r="C112" s="12" t="str">
        <f t="shared" si="5"/>
        <v>12312500</v>
      </c>
      <c r="D112" s="11" t="s">
        <v>481</v>
      </c>
      <c r="E112" s="11" t="s">
        <v>470</v>
      </c>
      <c r="F112" s="11" t="s">
        <v>461</v>
      </c>
      <c r="G112" s="11">
        <v>0</v>
      </c>
      <c r="T112" s="11">
        <v>1231</v>
      </c>
      <c r="U112" s="11">
        <v>2500</v>
      </c>
      <c r="Z112" s="14"/>
      <c r="AK112" s="18">
        <v>3</v>
      </c>
      <c r="AL112" s="18" t="str">
        <f t="shared" si="6"/>
        <v>G3</v>
      </c>
      <c r="AM112" s="18">
        <v>91</v>
      </c>
      <c r="AO112" t="str">
        <f t="shared" si="7"/>
        <v>M91</v>
      </c>
      <c r="AP112" t="str">
        <f t="shared" si="8"/>
        <v>G3M91</v>
      </c>
      <c r="AQ112" s="18">
        <v>91</v>
      </c>
      <c r="AW112" t="str">
        <f>IF(Tabela4[[#This Row],[JUSTIFICATIVA]]="","",CONCATENATE("B",Tabela4[[#This Row],[BLOCO]],Tabela4[[#This Row],[UO_COD]]))</f>
        <v/>
      </c>
      <c r="AX112">
        <f>Tabela4[[#This Row],[JUSTIFICATIVA]]</f>
        <v>0</v>
      </c>
    </row>
    <row r="113" spans="1:50" ht="15" customHeight="1">
      <c r="A113" s="11">
        <v>1231</v>
      </c>
      <c r="B113" s="11">
        <v>4358</v>
      </c>
      <c r="C113" s="12" t="str">
        <f t="shared" si="5"/>
        <v>12314358</v>
      </c>
      <c r="D113" s="11" t="s">
        <v>481</v>
      </c>
      <c r="E113" s="11" t="s">
        <v>593</v>
      </c>
      <c r="F113" s="11" t="s">
        <v>595</v>
      </c>
      <c r="G113" s="11">
        <v>0</v>
      </c>
      <c r="T113" s="11">
        <v>1231</v>
      </c>
      <c r="U113" s="11">
        <v>4358</v>
      </c>
      <c r="Z113" s="14"/>
      <c r="AK113" s="18">
        <v>3</v>
      </c>
      <c r="AL113" s="18" t="str">
        <f t="shared" si="6"/>
        <v>G3</v>
      </c>
      <c r="AM113" s="18">
        <v>91</v>
      </c>
      <c r="AO113" t="str">
        <f t="shared" si="7"/>
        <v>M91</v>
      </c>
      <c r="AP113" t="str">
        <f t="shared" si="8"/>
        <v>G3M91</v>
      </c>
      <c r="AQ113" s="18">
        <v>92</v>
      </c>
      <c r="AW113" t="str">
        <f>IF(Tabela4[[#This Row],[JUSTIFICATIVA]]="","",CONCATENATE("B",Tabela4[[#This Row],[BLOCO]],Tabela4[[#This Row],[UO_COD]]))</f>
        <v/>
      </c>
      <c r="AX113">
        <f>Tabela4[[#This Row],[JUSTIFICATIVA]]</f>
        <v>0</v>
      </c>
    </row>
    <row r="114" spans="1:50" ht="15" customHeight="1">
      <c r="A114" s="11">
        <v>1231</v>
      </c>
      <c r="B114" s="11">
        <v>4363</v>
      </c>
      <c r="C114" s="12" t="str">
        <f t="shared" si="5"/>
        <v>12314363</v>
      </c>
      <c r="D114" s="11" t="s">
        <v>477</v>
      </c>
      <c r="E114" s="11" t="s">
        <v>596</v>
      </c>
      <c r="F114" s="11" t="s">
        <v>597</v>
      </c>
      <c r="G114" s="11">
        <v>1</v>
      </c>
      <c r="T114" s="11">
        <v>1231</v>
      </c>
      <c r="U114" s="11">
        <v>4363</v>
      </c>
      <c r="Z114" s="14"/>
      <c r="AK114" s="18">
        <v>3</v>
      </c>
      <c r="AL114" s="18" t="str">
        <f t="shared" si="6"/>
        <v>G3</v>
      </c>
      <c r="AM114" s="18">
        <v>91</v>
      </c>
      <c r="AO114" t="str">
        <f t="shared" si="7"/>
        <v>M91</v>
      </c>
      <c r="AP114" t="str">
        <f t="shared" si="8"/>
        <v>G3M91</v>
      </c>
      <c r="AQ114" s="18">
        <v>93</v>
      </c>
      <c r="AW114" t="str">
        <f>IF(Tabela4[[#This Row],[JUSTIFICATIVA]]="","",CONCATENATE("B",Tabela4[[#This Row],[BLOCO]],Tabela4[[#This Row],[UO_COD]]))</f>
        <v/>
      </c>
      <c r="AX114">
        <f>Tabela4[[#This Row],[JUSTIFICATIVA]]</f>
        <v>0</v>
      </c>
    </row>
    <row r="115" spans="1:50" ht="15" customHeight="1">
      <c r="A115" s="11">
        <v>1231</v>
      </c>
      <c r="B115" s="11">
        <v>4383</v>
      </c>
      <c r="C115" s="12" t="str">
        <f t="shared" si="5"/>
        <v>12314383</v>
      </c>
      <c r="D115" s="11" t="s">
        <v>481</v>
      </c>
      <c r="E115" s="11" t="s">
        <v>593</v>
      </c>
      <c r="F115" s="11" t="s">
        <v>594</v>
      </c>
      <c r="G115" s="11">
        <v>0</v>
      </c>
      <c r="T115" s="11">
        <v>1231</v>
      </c>
      <c r="U115" s="11">
        <v>4383</v>
      </c>
      <c r="Z115" s="14"/>
      <c r="AK115" s="18">
        <v>3</v>
      </c>
      <c r="AL115" s="18" t="str">
        <f t="shared" si="6"/>
        <v>G3</v>
      </c>
      <c r="AM115" s="18">
        <v>91</v>
      </c>
      <c r="AO115" t="str">
        <f t="shared" si="7"/>
        <v>M91</v>
      </c>
      <c r="AP115" t="str">
        <f t="shared" si="8"/>
        <v>G3M91</v>
      </c>
      <c r="AQ115" s="18">
        <v>97</v>
      </c>
      <c r="AW115" t="str">
        <f>IF(Tabela4[[#This Row],[JUSTIFICATIVA]]="","",CONCATENATE("B",Tabela4[[#This Row],[BLOCO]],Tabela4[[#This Row],[UO_COD]]))</f>
        <v/>
      </c>
      <c r="AX115">
        <f>Tabela4[[#This Row],[JUSTIFICATIVA]]</f>
        <v>0</v>
      </c>
    </row>
    <row r="116" spans="1:50" ht="15" customHeight="1">
      <c r="A116" s="11">
        <v>1231</v>
      </c>
      <c r="B116" s="11">
        <v>4386</v>
      </c>
      <c r="C116" s="12" t="str">
        <f t="shared" si="5"/>
        <v>12314386</v>
      </c>
      <c r="D116" s="11" t="s">
        <v>481</v>
      </c>
      <c r="E116" s="11" t="s">
        <v>593</v>
      </c>
      <c r="F116" s="11" t="s">
        <v>598</v>
      </c>
      <c r="G116" s="11">
        <v>0</v>
      </c>
      <c r="T116" s="11">
        <v>1231</v>
      </c>
      <c r="U116" s="11">
        <v>4386</v>
      </c>
      <c r="Z116" s="14"/>
      <c r="AK116" s="18">
        <v>3</v>
      </c>
      <c r="AL116" s="18" t="str">
        <f t="shared" si="6"/>
        <v>G3</v>
      </c>
      <c r="AM116" s="18">
        <v>95</v>
      </c>
      <c r="AO116" t="str">
        <f t="shared" si="7"/>
        <v>M95</v>
      </c>
      <c r="AP116" t="str">
        <f t="shared" si="8"/>
        <v>G3M95</v>
      </c>
      <c r="AQ116" s="18">
        <v>33</v>
      </c>
      <c r="AW116" t="str">
        <f>IF(Tabela4[[#This Row],[JUSTIFICATIVA]]="","",CONCATENATE("B",Tabela4[[#This Row],[BLOCO]],Tabela4[[#This Row],[UO_COD]]))</f>
        <v/>
      </c>
      <c r="AX116">
        <f>Tabela4[[#This Row],[JUSTIFICATIVA]]</f>
        <v>0</v>
      </c>
    </row>
    <row r="117" spans="1:50" ht="15" customHeight="1">
      <c r="A117" s="11">
        <v>1231</v>
      </c>
      <c r="B117" s="11">
        <v>4394</v>
      </c>
      <c r="C117" s="12" t="str">
        <f t="shared" si="5"/>
        <v>12314394</v>
      </c>
      <c r="D117" s="11" t="s">
        <v>481</v>
      </c>
      <c r="E117" s="11" t="s">
        <v>562</v>
      </c>
      <c r="F117" s="11" t="s">
        <v>599</v>
      </c>
      <c r="G117" s="11">
        <v>0</v>
      </c>
      <c r="T117" s="11">
        <v>1231</v>
      </c>
      <c r="U117" s="11">
        <v>4394</v>
      </c>
      <c r="Z117" s="14"/>
      <c r="AK117" s="18">
        <v>3</v>
      </c>
      <c r="AL117" s="18" t="str">
        <f t="shared" si="6"/>
        <v>G3</v>
      </c>
      <c r="AM117" s="18">
        <v>95</v>
      </c>
      <c r="AO117" t="str">
        <f t="shared" si="7"/>
        <v>M95</v>
      </c>
      <c r="AP117" t="str">
        <f t="shared" si="8"/>
        <v>G3M95</v>
      </c>
      <c r="AQ117" s="18">
        <v>41</v>
      </c>
      <c r="AW117" t="str">
        <f>IF(Tabela4[[#This Row],[JUSTIFICATIVA]]="","",CONCATENATE("B",Tabela4[[#This Row],[BLOCO]],Tabela4[[#This Row],[UO_COD]]))</f>
        <v/>
      </c>
      <c r="AX117">
        <f>Tabela4[[#This Row],[JUSTIFICATIVA]]</f>
        <v>0</v>
      </c>
    </row>
    <row r="118" spans="1:50" ht="15" customHeight="1">
      <c r="A118" s="11">
        <v>1231</v>
      </c>
      <c r="B118" s="11">
        <v>4398</v>
      </c>
      <c r="C118" s="12" t="str">
        <f t="shared" si="5"/>
        <v>12314398</v>
      </c>
      <c r="D118" s="11" t="s">
        <v>481</v>
      </c>
      <c r="E118" s="11" t="s">
        <v>600</v>
      </c>
      <c r="F118" s="11" t="s">
        <v>599</v>
      </c>
      <c r="G118" s="11">
        <v>1</v>
      </c>
      <c r="T118" s="11">
        <v>1231</v>
      </c>
      <c r="U118" s="11">
        <v>4398</v>
      </c>
      <c r="Z118" s="14"/>
      <c r="AK118" s="18">
        <v>3</v>
      </c>
      <c r="AL118" s="18" t="str">
        <f t="shared" si="6"/>
        <v>G3</v>
      </c>
      <c r="AM118" s="18">
        <v>99</v>
      </c>
      <c r="AO118" t="str">
        <f t="shared" si="7"/>
        <v>M99</v>
      </c>
      <c r="AP118" t="str">
        <f t="shared" si="8"/>
        <v>G3M99</v>
      </c>
      <c r="AQ118" s="18">
        <v>99</v>
      </c>
      <c r="AW118" t="str">
        <f>IF(Tabela4[[#This Row],[JUSTIFICATIVA]]="","",CONCATENATE("B",Tabela4[[#This Row],[BLOCO]],Tabela4[[#This Row],[UO_COD]]))</f>
        <v/>
      </c>
      <c r="AX118">
        <f>Tabela4[[#This Row],[JUSTIFICATIVA]]</f>
        <v>0</v>
      </c>
    </row>
    <row r="119" spans="1:50" ht="15" customHeight="1">
      <c r="A119" s="11">
        <v>1231</v>
      </c>
      <c r="B119" s="11">
        <v>4399</v>
      </c>
      <c r="C119" s="12" t="str">
        <f t="shared" si="5"/>
        <v>12314399</v>
      </c>
      <c r="D119" s="11" t="s">
        <v>481</v>
      </c>
      <c r="E119" s="11" t="s">
        <v>593</v>
      </c>
      <c r="F119" s="11" t="s">
        <v>601</v>
      </c>
      <c r="G119" s="11">
        <v>0</v>
      </c>
      <c r="T119" s="11">
        <v>1231</v>
      </c>
      <c r="U119" s="11">
        <v>4399</v>
      </c>
      <c r="Z119" s="14"/>
      <c r="AK119" s="18">
        <v>4</v>
      </c>
      <c r="AL119" s="18" t="str">
        <f t="shared" si="6"/>
        <v>G4</v>
      </c>
      <c r="AM119" s="18">
        <v>20</v>
      </c>
      <c r="AO119" t="str">
        <f t="shared" si="7"/>
        <v>M20</v>
      </c>
      <c r="AP119" t="str">
        <f t="shared" si="8"/>
        <v>G4M20</v>
      </c>
      <c r="AQ119" s="18">
        <v>42</v>
      </c>
      <c r="AW119" t="str">
        <f>IF(Tabela4[[#This Row],[JUSTIFICATIVA]]="","",CONCATENATE("B",Tabela4[[#This Row],[BLOCO]],Tabela4[[#This Row],[UO_COD]]))</f>
        <v/>
      </c>
      <c r="AX119">
        <f>Tabela4[[#This Row],[JUSTIFICATIVA]]</f>
        <v>0</v>
      </c>
    </row>
    <row r="120" spans="1:50" ht="15" customHeight="1">
      <c r="A120" s="11">
        <v>1231</v>
      </c>
      <c r="B120" s="11">
        <v>4403</v>
      </c>
      <c r="C120" s="12" t="str">
        <f t="shared" si="5"/>
        <v>12314403</v>
      </c>
      <c r="D120" s="11" t="s">
        <v>481</v>
      </c>
      <c r="E120" s="11" t="s">
        <v>593</v>
      </c>
      <c r="F120" s="11" t="s">
        <v>602</v>
      </c>
      <c r="G120" s="11">
        <v>0</v>
      </c>
      <c r="T120" s="11">
        <v>1231</v>
      </c>
      <c r="U120" s="11">
        <v>4403</v>
      </c>
      <c r="Z120" s="14"/>
      <c r="AK120" s="18">
        <v>4</v>
      </c>
      <c r="AL120" s="18" t="str">
        <f t="shared" si="6"/>
        <v>G4</v>
      </c>
      <c r="AM120" s="18">
        <v>20</v>
      </c>
      <c r="AO120" t="str">
        <f t="shared" si="7"/>
        <v>M20</v>
      </c>
      <c r="AP120" t="str">
        <f t="shared" si="8"/>
        <v>G4M20</v>
      </c>
      <c r="AQ120" s="18">
        <v>92</v>
      </c>
      <c r="AW120" t="str">
        <f>IF(Tabela4[[#This Row],[JUSTIFICATIVA]]="","",CONCATENATE("B",Tabela4[[#This Row],[BLOCO]],Tabela4[[#This Row],[UO_COD]]))</f>
        <v/>
      </c>
      <c r="AX120">
        <f>Tabela4[[#This Row],[JUSTIFICATIVA]]</f>
        <v>0</v>
      </c>
    </row>
    <row r="121" spans="1:50" ht="15" customHeight="1">
      <c r="A121" s="11">
        <v>1231</v>
      </c>
      <c r="B121" s="11">
        <v>4419</v>
      </c>
      <c r="C121" s="12" t="str">
        <f t="shared" si="5"/>
        <v>12314419</v>
      </c>
      <c r="D121" s="11" t="s">
        <v>481</v>
      </c>
      <c r="E121" s="11" t="s">
        <v>585</v>
      </c>
      <c r="F121" s="11" t="s">
        <v>599</v>
      </c>
      <c r="G121" s="11">
        <v>0</v>
      </c>
      <c r="T121" s="11">
        <v>1231</v>
      </c>
      <c r="U121" s="11">
        <v>4419</v>
      </c>
      <c r="Z121" s="14"/>
      <c r="AK121" s="18">
        <v>4</v>
      </c>
      <c r="AL121" s="18" t="str">
        <f t="shared" si="6"/>
        <v>G4</v>
      </c>
      <c r="AM121" s="18">
        <v>40</v>
      </c>
      <c r="AO121" t="str">
        <f t="shared" si="7"/>
        <v>M40</v>
      </c>
      <c r="AP121" t="str">
        <f t="shared" si="8"/>
        <v>G4M40</v>
      </c>
      <c r="AQ121" s="18">
        <v>41</v>
      </c>
      <c r="AW121" t="str">
        <f>IF(Tabela4[[#This Row],[JUSTIFICATIVA]]="","",CONCATENATE("B",Tabela4[[#This Row],[BLOCO]],Tabela4[[#This Row],[UO_COD]]))</f>
        <v/>
      </c>
      <c r="AX121">
        <f>Tabela4[[#This Row],[JUSTIFICATIVA]]</f>
        <v>0</v>
      </c>
    </row>
    <row r="122" spans="1:50" ht="15" customHeight="1">
      <c r="A122" s="11">
        <v>1231</v>
      </c>
      <c r="B122" s="11">
        <v>4420</v>
      </c>
      <c r="C122" s="12" t="str">
        <f t="shared" si="5"/>
        <v>12314420</v>
      </c>
      <c r="D122" s="11" t="s">
        <v>481</v>
      </c>
      <c r="E122" s="11" t="s">
        <v>593</v>
      </c>
      <c r="F122" s="11" t="s">
        <v>594</v>
      </c>
      <c r="G122" s="11">
        <v>0</v>
      </c>
      <c r="T122" s="11">
        <v>1231</v>
      </c>
      <c r="U122" s="11">
        <v>4420</v>
      </c>
      <c r="Z122" s="14"/>
      <c r="AK122" s="18">
        <v>4</v>
      </c>
      <c r="AL122" s="18" t="str">
        <f t="shared" si="6"/>
        <v>G4</v>
      </c>
      <c r="AM122" s="18">
        <v>40</v>
      </c>
      <c r="AO122" t="str">
        <f t="shared" si="7"/>
        <v>M40</v>
      </c>
      <c r="AP122" t="str">
        <f t="shared" si="8"/>
        <v>G4M40</v>
      </c>
      <c r="AQ122" s="18">
        <v>42</v>
      </c>
      <c r="AW122" t="str">
        <f>IF(Tabela4[[#This Row],[JUSTIFICATIVA]]="","",CONCATENATE("B",Tabela4[[#This Row],[BLOCO]],Tabela4[[#This Row],[UO_COD]]))</f>
        <v/>
      </c>
      <c r="AX122">
        <f>Tabela4[[#This Row],[JUSTIFICATIVA]]</f>
        <v>0</v>
      </c>
    </row>
    <row r="123" spans="1:50" ht="15" customHeight="1">
      <c r="A123" s="11">
        <v>1251</v>
      </c>
      <c r="B123" s="11">
        <v>2057</v>
      </c>
      <c r="C123" s="12" t="str">
        <f t="shared" si="5"/>
        <v>12512057</v>
      </c>
      <c r="D123" s="11" t="s">
        <v>66</v>
      </c>
      <c r="E123" s="11" t="s">
        <v>603</v>
      </c>
      <c r="F123" s="11" t="s">
        <v>604</v>
      </c>
      <c r="G123" s="11">
        <v>0</v>
      </c>
      <c r="T123" s="11">
        <v>1251</v>
      </c>
      <c r="U123" s="11">
        <v>2057</v>
      </c>
      <c r="Z123" s="14"/>
      <c r="AK123" s="18">
        <v>4</v>
      </c>
      <c r="AL123" s="18" t="str">
        <f t="shared" si="6"/>
        <v>G4</v>
      </c>
      <c r="AM123" s="18">
        <v>40</v>
      </c>
      <c r="AO123" t="str">
        <f t="shared" si="7"/>
        <v>M40</v>
      </c>
      <c r="AP123" t="str">
        <f t="shared" si="8"/>
        <v>G4M40</v>
      </c>
      <c r="AQ123" s="18">
        <v>92</v>
      </c>
      <c r="AW123" t="str">
        <f>IF(Tabela4[[#This Row],[JUSTIFICATIVA]]="","",CONCATENATE("B",Tabela4[[#This Row],[BLOCO]],Tabela4[[#This Row],[UO_COD]]))</f>
        <v/>
      </c>
      <c r="AX123">
        <f>Tabela4[[#This Row],[JUSTIFICATIVA]]</f>
        <v>0</v>
      </c>
    </row>
    <row r="124" spans="1:50" ht="15" customHeight="1">
      <c r="A124" s="11">
        <v>1251</v>
      </c>
      <c r="B124" s="11">
        <v>2058</v>
      </c>
      <c r="C124" s="12" t="str">
        <f t="shared" si="5"/>
        <v>12512058</v>
      </c>
      <c r="D124" s="11" t="s">
        <v>605</v>
      </c>
      <c r="E124" s="11" t="s">
        <v>606</v>
      </c>
      <c r="F124" s="11" t="s">
        <v>607</v>
      </c>
      <c r="G124" s="11">
        <v>0</v>
      </c>
      <c r="T124" s="11">
        <v>1251</v>
      </c>
      <c r="U124" s="11">
        <v>2058</v>
      </c>
      <c r="Z124" s="14"/>
      <c r="AK124" s="18">
        <v>4</v>
      </c>
      <c r="AL124" s="18" t="str">
        <f t="shared" si="6"/>
        <v>G4</v>
      </c>
      <c r="AM124" s="18">
        <v>41</v>
      </c>
      <c r="AO124" t="str">
        <f t="shared" si="7"/>
        <v>M41</v>
      </c>
      <c r="AP124" t="str">
        <f t="shared" si="8"/>
        <v>G4M41</v>
      </c>
      <c r="AQ124" s="18">
        <v>42</v>
      </c>
      <c r="AW124" t="str">
        <f>IF(Tabela4[[#This Row],[JUSTIFICATIVA]]="","",CONCATENATE("B",Tabela4[[#This Row],[BLOCO]],Tabela4[[#This Row],[UO_COD]]))</f>
        <v/>
      </c>
      <c r="AX124">
        <f>Tabela4[[#This Row],[JUSTIFICATIVA]]</f>
        <v>0</v>
      </c>
    </row>
    <row r="125" spans="1:50" ht="15" customHeight="1">
      <c r="A125" s="11">
        <v>1251</v>
      </c>
      <c r="B125" s="11">
        <v>2059</v>
      </c>
      <c r="C125" s="12" t="str">
        <f t="shared" si="5"/>
        <v>12512059</v>
      </c>
      <c r="D125" s="11" t="s">
        <v>605</v>
      </c>
      <c r="E125" s="11" t="s">
        <v>608</v>
      </c>
      <c r="F125" s="11" t="s">
        <v>607</v>
      </c>
      <c r="G125" s="11">
        <v>0</v>
      </c>
      <c r="T125" s="11">
        <v>1251</v>
      </c>
      <c r="U125" s="11">
        <v>2059</v>
      </c>
      <c r="Z125" s="14"/>
      <c r="AK125" s="18">
        <v>4</v>
      </c>
      <c r="AL125" s="18" t="str">
        <f t="shared" si="6"/>
        <v>G4</v>
      </c>
      <c r="AM125" s="18">
        <v>41</v>
      </c>
      <c r="AO125" t="str">
        <f t="shared" si="7"/>
        <v>M41</v>
      </c>
      <c r="AP125" t="str">
        <f t="shared" si="8"/>
        <v>G4M41</v>
      </c>
      <c r="AQ125" s="18">
        <v>92</v>
      </c>
      <c r="AW125" t="str">
        <f>IF(Tabela4[[#This Row],[JUSTIFICATIVA]]="","",CONCATENATE("B",Tabela4[[#This Row],[BLOCO]],Tabela4[[#This Row],[UO_COD]]))</f>
        <v/>
      </c>
      <c r="AX125">
        <f>Tabela4[[#This Row],[JUSTIFICATIVA]]</f>
        <v>0</v>
      </c>
    </row>
    <row r="126" spans="1:50" ht="15" customHeight="1">
      <c r="A126" s="11">
        <v>1251</v>
      </c>
      <c r="B126" s="11">
        <v>2060</v>
      </c>
      <c r="C126" s="12" t="str">
        <f t="shared" si="5"/>
        <v>12512060</v>
      </c>
      <c r="D126" s="11" t="s">
        <v>609</v>
      </c>
      <c r="E126" s="11" t="s">
        <v>610</v>
      </c>
      <c r="F126" s="11" t="s">
        <v>604</v>
      </c>
      <c r="G126" s="11">
        <v>0</v>
      </c>
      <c r="T126" s="11">
        <v>1251</v>
      </c>
      <c r="U126" s="11">
        <v>2060</v>
      </c>
      <c r="Z126" s="14"/>
      <c r="AK126" s="18">
        <v>4</v>
      </c>
      <c r="AL126" s="18" t="str">
        <f t="shared" si="6"/>
        <v>G4</v>
      </c>
      <c r="AM126" s="18">
        <v>50</v>
      </c>
      <c r="AO126" t="str">
        <f t="shared" si="7"/>
        <v>M50</v>
      </c>
      <c r="AP126" t="str">
        <f t="shared" si="8"/>
        <v>G4M50</v>
      </c>
      <c r="AQ126" s="18">
        <v>39</v>
      </c>
      <c r="AW126" t="str">
        <f>IF(Tabela4[[#This Row],[JUSTIFICATIVA]]="","",CONCATENATE("B",Tabela4[[#This Row],[BLOCO]],Tabela4[[#This Row],[UO_COD]]))</f>
        <v/>
      </c>
      <c r="AX126">
        <f>Tabela4[[#This Row],[JUSTIFICATIVA]]</f>
        <v>0</v>
      </c>
    </row>
    <row r="127" spans="1:50" ht="15" customHeight="1">
      <c r="A127" s="11">
        <v>1251</v>
      </c>
      <c r="B127" s="11">
        <v>2061</v>
      </c>
      <c r="C127" s="12" t="str">
        <f t="shared" si="5"/>
        <v>12512061</v>
      </c>
      <c r="D127" s="11" t="s">
        <v>66</v>
      </c>
      <c r="E127" s="11" t="s">
        <v>603</v>
      </c>
      <c r="F127" s="11" t="s">
        <v>611</v>
      </c>
      <c r="G127" s="11">
        <v>0</v>
      </c>
      <c r="T127" s="11">
        <v>1251</v>
      </c>
      <c r="U127" s="11">
        <v>2061</v>
      </c>
      <c r="Z127" s="14"/>
      <c r="AK127" s="18">
        <v>4</v>
      </c>
      <c r="AL127" s="18" t="str">
        <f t="shared" si="6"/>
        <v>G4</v>
      </c>
      <c r="AM127" s="18">
        <v>50</v>
      </c>
      <c r="AO127" t="str">
        <f t="shared" si="7"/>
        <v>M50</v>
      </c>
      <c r="AP127" t="str">
        <f t="shared" si="8"/>
        <v>G4M50</v>
      </c>
      <c r="AQ127" s="18">
        <v>41</v>
      </c>
      <c r="AW127" t="str">
        <f>IF(Tabela4[[#This Row],[JUSTIFICATIVA]]="","",CONCATENATE("B",Tabela4[[#This Row],[BLOCO]],Tabela4[[#This Row],[UO_COD]]))</f>
        <v/>
      </c>
      <c r="AX127">
        <f>Tabela4[[#This Row],[JUSTIFICATIVA]]</f>
        <v>0</v>
      </c>
    </row>
    <row r="128" spans="1:50" ht="15" customHeight="1">
      <c r="A128" s="11">
        <v>1251</v>
      </c>
      <c r="B128" s="11">
        <v>2063</v>
      </c>
      <c r="C128" s="12" t="str">
        <f t="shared" si="5"/>
        <v>12512063</v>
      </c>
      <c r="D128" s="11" t="s">
        <v>66</v>
      </c>
      <c r="E128" s="11" t="s">
        <v>603</v>
      </c>
      <c r="F128" s="11" t="s">
        <v>611</v>
      </c>
      <c r="G128" s="11">
        <v>0</v>
      </c>
      <c r="T128" s="11">
        <v>1251</v>
      </c>
      <c r="U128" s="11">
        <v>2063</v>
      </c>
      <c r="Z128" s="14"/>
      <c r="AK128" s="18">
        <v>4</v>
      </c>
      <c r="AL128" s="18" t="str">
        <f t="shared" si="6"/>
        <v>G4</v>
      </c>
      <c r="AM128" s="18">
        <v>50</v>
      </c>
      <c r="AO128" t="str">
        <f t="shared" si="7"/>
        <v>M50</v>
      </c>
      <c r="AP128" t="str">
        <f t="shared" si="8"/>
        <v>G4M50</v>
      </c>
      <c r="AQ128" s="18">
        <v>42</v>
      </c>
      <c r="AW128" t="str">
        <f>IF(Tabela4[[#This Row],[JUSTIFICATIVA]]="","",CONCATENATE("B",Tabela4[[#This Row],[BLOCO]],Tabela4[[#This Row],[UO_COD]]))</f>
        <v/>
      </c>
      <c r="AX128">
        <f>Tabela4[[#This Row],[JUSTIFICATIVA]]</f>
        <v>0</v>
      </c>
    </row>
    <row r="129" spans="1:50" ht="15" customHeight="1">
      <c r="A129" s="11">
        <v>1251</v>
      </c>
      <c r="B129" s="11">
        <v>2065</v>
      </c>
      <c r="C129" s="12" t="str">
        <f t="shared" si="5"/>
        <v>12512065</v>
      </c>
      <c r="D129" s="11" t="s">
        <v>66</v>
      </c>
      <c r="E129" s="11" t="s">
        <v>504</v>
      </c>
      <c r="F129" s="11" t="s">
        <v>510</v>
      </c>
      <c r="G129" s="11">
        <v>0</v>
      </c>
      <c r="T129" s="11">
        <v>1251</v>
      </c>
      <c r="U129" s="11">
        <v>2065</v>
      </c>
      <c r="Z129" s="14"/>
      <c r="AK129" s="18">
        <v>4</v>
      </c>
      <c r="AL129" s="18" t="str">
        <f t="shared" si="6"/>
        <v>G4</v>
      </c>
      <c r="AM129" s="18">
        <v>50</v>
      </c>
      <c r="AO129" t="str">
        <f t="shared" si="7"/>
        <v>M50</v>
      </c>
      <c r="AP129" t="str">
        <f t="shared" si="8"/>
        <v>G4M50</v>
      </c>
      <c r="AQ129" s="18">
        <v>92</v>
      </c>
      <c r="AW129" t="str">
        <f>IF(Tabela4[[#This Row],[JUSTIFICATIVA]]="","",CONCATENATE("B",Tabela4[[#This Row],[BLOCO]],Tabela4[[#This Row],[UO_COD]]))</f>
        <v/>
      </c>
      <c r="AX129">
        <f>Tabela4[[#This Row],[JUSTIFICATIVA]]</f>
        <v>0</v>
      </c>
    </row>
    <row r="130" spans="1:50" ht="15" customHeight="1">
      <c r="A130" s="11">
        <v>1251</v>
      </c>
      <c r="B130" s="11">
        <v>2106</v>
      </c>
      <c r="C130" s="12" t="str">
        <f t="shared" ref="C130:C193" si="9">CONCATENATE(A130,B130)</f>
        <v>12512106</v>
      </c>
      <c r="D130" s="11" t="s">
        <v>605</v>
      </c>
      <c r="E130" s="11" t="s">
        <v>612</v>
      </c>
      <c r="F130" s="11" t="s">
        <v>585</v>
      </c>
      <c r="G130" s="11">
        <v>0</v>
      </c>
      <c r="T130" s="11">
        <v>1251</v>
      </c>
      <c r="U130" s="11">
        <v>2106</v>
      </c>
      <c r="Z130" s="14"/>
      <c r="AK130" s="18">
        <v>4</v>
      </c>
      <c r="AL130" s="18" t="str">
        <f t="shared" si="6"/>
        <v>G4</v>
      </c>
      <c r="AM130" s="18">
        <v>60</v>
      </c>
      <c r="AO130" t="str">
        <f t="shared" si="7"/>
        <v>M60</v>
      </c>
      <c r="AP130" t="str">
        <f t="shared" si="8"/>
        <v>G4M60</v>
      </c>
      <c r="AQ130" s="18">
        <v>45</v>
      </c>
      <c r="AW130" t="str">
        <f>IF(Tabela4[[#This Row],[JUSTIFICATIVA]]="","",CONCATENATE("B",Tabela4[[#This Row],[BLOCO]],Tabela4[[#This Row],[UO_COD]]))</f>
        <v/>
      </c>
      <c r="AX130">
        <f>Tabela4[[#This Row],[JUSTIFICATIVA]]</f>
        <v>0</v>
      </c>
    </row>
    <row r="131" spans="1:50" ht="15" customHeight="1">
      <c r="A131" s="11">
        <v>1251</v>
      </c>
      <c r="B131" s="11">
        <v>2500</v>
      </c>
      <c r="C131" s="12" t="str">
        <f t="shared" si="9"/>
        <v>12512500</v>
      </c>
      <c r="D131" s="11" t="s">
        <v>66</v>
      </c>
      <c r="E131" s="11" t="s">
        <v>470</v>
      </c>
      <c r="F131" s="11" t="s">
        <v>461</v>
      </c>
      <c r="G131" s="11">
        <v>0</v>
      </c>
      <c r="T131" s="11">
        <v>1251</v>
      </c>
      <c r="U131" s="11">
        <v>2500</v>
      </c>
      <c r="Z131" s="14"/>
      <c r="AK131" s="18">
        <v>4</v>
      </c>
      <c r="AL131" s="18" t="str">
        <f t="shared" ref="AL131:AL189" si="10">CONCATENATE("G",AK131)</f>
        <v>G4</v>
      </c>
      <c r="AM131" s="18">
        <v>70</v>
      </c>
      <c r="AO131" t="str">
        <f t="shared" ref="AO131:AO189" si="11">CONCATENATE("M",AM131)</f>
        <v>M70</v>
      </c>
      <c r="AP131" t="str">
        <f t="shared" ref="AP131:AP189" si="12">CONCATENATE(AL131,AO131)</f>
        <v>G4M70</v>
      </c>
      <c r="AQ131" s="18">
        <v>41</v>
      </c>
      <c r="AW131" t="str">
        <f>IF(Tabela4[[#This Row],[JUSTIFICATIVA]]="","",CONCATENATE("B",Tabela4[[#This Row],[BLOCO]],Tabela4[[#This Row],[UO_COD]]))</f>
        <v/>
      </c>
      <c r="AX131">
        <f>Tabela4[[#This Row],[JUSTIFICATIVA]]</f>
        <v>0</v>
      </c>
    </row>
    <row r="132" spans="1:50" ht="15" customHeight="1">
      <c r="A132" s="11">
        <v>1251</v>
      </c>
      <c r="B132" s="11">
        <v>4365</v>
      </c>
      <c r="C132" s="12" t="str">
        <f t="shared" si="9"/>
        <v>12514365</v>
      </c>
      <c r="D132" s="11" t="s">
        <v>66</v>
      </c>
      <c r="E132" s="11" t="s">
        <v>603</v>
      </c>
      <c r="F132" s="11" t="s">
        <v>611</v>
      </c>
      <c r="G132" s="11">
        <v>0</v>
      </c>
      <c r="T132" s="11">
        <v>1251</v>
      </c>
      <c r="U132" s="11">
        <v>4365</v>
      </c>
      <c r="Z132" s="14"/>
      <c r="AK132" s="18">
        <v>4</v>
      </c>
      <c r="AL132" s="18" t="str">
        <f t="shared" si="10"/>
        <v>G4</v>
      </c>
      <c r="AM132" s="18">
        <v>70</v>
      </c>
      <c r="AO132" t="str">
        <f t="shared" si="11"/>
        <v>M70</v>
      </c>
      <c r="AP132" t="str">
        <f t="shared" si="12"/>
        <v>G4M70</v>
      </c>
      <c r="AQ132" s="18">
        <v>42</v>
      </c>
      <c r="AW132" t="str">
        <f>IF(Tabela4[[#This Row],[JUSTIFICATIVA]]="","",CONCATENATE("B",Tabela4[[#This Row],[BLOCO]],Tabela4[[#This Row],[UO_COD]]))</f>
        <v/>
      </c>
      <c r="AX132">
        <f>Tabela4[[#This Row],[JUSTIFICATIVA]]</f>
        <v>0</v>
      </c>
    </row>
    <row r="133" spans="1:50" ht="15" customHeight="1">
      <c r="A133" s="11">
        <v>1251</v>
      </c>
      <c r="B133" s="11">
        <v>4366</v>
      </c>
      <c r="C133" s="12" t="str">
        <f t="shared" si="9"/>
        <v>12514366</v>
      </c>
      <c r="D133" s="11" t="s">
        <v>66</v>
      </c>
      <c r="E133" s="11" t="s">
        <v>603</v>
      </c>
      <c r="F133" s="11" t="s">
        <v>611</v>
      </c>
      <c r="G133" s="11">
        <v>1</v>
      </c>
      <c r="T133" s="11">
        <v>1251</v>
      </c>
      <c r="U133" s="11">
        <v>4366</v>
      </c>
      <c r="Z133" s="14"/>
      <c r="AK133" s="18">
        <v>4</v>
      </c>
      <c r="AL133" s="18" t="str">
        <f t="shared" si="10"/>
        <v>G4</v>
      </c>
      <c r="AM133" s="18">
        <v>71</v>
      </c>
      <c r="AO133" t="str">
        <f t="shared" si="11"/>
        <v>M71</v>
      </c>
      <c r="AP133" t="str">
        <f t="shared" si="12"/>
        <v>G4M71</v>
      </c>
      <c r="AQ133" s="18">
        <v>42</v>
      </c>
      <c r="AW133" t="str">
        <f>IF(Tabela4[[#This Row],[JUSTIFICATIVA]]="","",CONCATENATE("B",Tabela4[[#This Row],[BLOCO]],Tabela4[[#This Row],[UO_COD]]))</f>
        <v/>
      </c>
      <c r="AX133">
        <f>Tabela4[[#This Row],[JUSTIFICATIVA]]</f>
        <v>0</v>
      </c>
    </row>
    <row r="134" spans="1:50" ht="15" customHeight="1">
      <c r="A134" s="11">
        <v>1251</v>
      </c>
      <c r="B134" s="11">
        <v>4372</v>
      </c>
      <c r="C134" s="12" t="str">
        <f t="shared" si="9"/>
        <v>12514372</v>
      </c>
      <c r="D134" s="11" t="s">
        <v>66</v>
      </c>
      <c r="E134" s="11" t="s">
        <v>603</v>
      </c>
      <c r="F134" s="11" t="s">
        <v>525</v>
      </c>
      <c r="G134" s="11">
        <v>0</v>
      </c>
      <c r="T134" s="11">
        <v>1251</v>
      </c>
      <c r="U134" s="11">
        <v>4372</v>
      </c>
      <c r="Z134" s="14"/>
      <c r="AK134" s="18">
        <v>4</v>
      </c>
      <c r="AL134" s="18" t="str">
        <f t="shared" si="10"/>
        <v>G4</v>
      </c>
      <c r="AM134" s="18">
        <v>90</v>
      </c>
      <c r="AO134" t="str">
        <f t="shared" si="11"/>
        <v>M90</v>
      </c>
      <c r="AP134" t="str">
        <f t="shared" si="12"/>
        <v>G4M90</v>
      </c>
      <c r="AQ134" s="18">
        <v>20</v>
      </c>
      <c r="AW134" t="str">
        <f>IF(Tabela4[[#This Row],[JUSTIFICATIVA]]="","",CONCATENATE("B",Tabela4[[#This Row],[BLOCO]],Tabela4[[#This Row],[UO_COD]]))</f>
        <v/>
      </c>
      <c r="AX134">
        <f>Tabela4[[#This Row],[JUSTIFICATIVA]]</f>
        <v>0</v>
      </c>
    </row>
    <row r="135" spans="1:50" ht="15" customHeight="1">
      <c r="A135" s="11">
        <v>1251</v>
      </c>
      <c r="B135" s="11">
        <v>4373</v>
      </c>
      <c r="C135" s="12" t="str">
        <f t="shared" si="9"/>
        <v>12514373</v>
      </c>
      <c r="D135" s="11" t="s">
        <v>66</v>
      </c>
      <c r="E135" s="11" t="s">
        <v>603</v>
      </c>
      <c r="F135" s="11" t="s">
        <v>611</v>
      </c>
      <c r="G135" s="11">
        <v>0</v>
      </c>
      <c r="T135" s="11">
        <v>1251</v>
      </c>
      <c r="U135" s="11">
        <v>4373</v>
      </c>
      <c r="Z135" s="14"/>
      <c r="AK135" s="18">
        <v>4</v>
      </c>
      <c r="AL135" s="18" t="str">
        <f t="shared" si="10"/>
        <v>G4</v>
      </c>
      <c r="AM135" s="18">
        <v>90</v>
      </c>
      <c r="AO135" t="str">
        <f t="shared" si="11"/>
        <v>M90</v>
      </c>
      <c r="AP135" t="str">
        <f t="shared" si="12"/>
        <v>G4M90</v>
      </c>
      <c r="AQ135" s="18">
        <v>30</v>
      </c>
      <c r="AW135" t="str">
        <f>IF(Tabela4[[#This Row],[JUSTIFICATIVA]]="","",CONCATENATE("B",Tabela4[[#This Row],[BLOCO]],Tabela4[[#This Row],[UO_COD]]))</f>
        <v/>
      </c>
      <c r="AX135">
        <f>Tabela4[[#This Row],[JUSTIFICATIVA]]</f>
        <v>0</v>
      </c>
    </row>
    <row r="136" spans="1:50" ht="15" customHeight="1">
      <c r="A136" s="11">
        <v>1251</v>
      </c>
      <c r="B136" s="11">
        <v>4374</v>
      </c>
      <c r="C136" s="12" t="str">
        <f t="shared" si="9"/>
        <v>12514374</v>
      </c>
      <c r="D136" s="11" t="s">
        <v>66</v>
      </c>
      <c r="E136" s="11" t="s">
        <v>603</v>
      </c>
      <c r="F136" s="11" t="s">
        <v>611</v>
      </c>
      <c r="G136" s="11">
        <v>0</v>
      </c>
      <c r="T136" s="11">
        <v>1251</v>
      </c>
      <c r="U136" s="11">
        <v>4374</v>
      </c>
      <c r="Z136" s="14"/>
      <c r="AK136" s="18">
        <v>4</v>
      </c>
      <c r="AL136" s="18" t="str">
        <f t="shared" si="10"/>
        <v>G4</v>
      </c>
      <c r="AM136" s="18">
        <v>90</v>
      </c>
      <c r="AO136" t="str">
        <f t="shared" si="11"/>
        <v>M90</v>
      </c>
      <c r="AP136" t="str">
        <f t="shared" si="12"/>
        <v>G4M90</v>
      </c>
      <c r="AQ136" s="18">
        <v>35</v>
      </c>
      <c r="AW136" t="str">
        <f>IF(Tabela4[[#This Row],[JUSTIFICATIVA]]="","",CONCATENATE("B",Tabela4[[#This Row],[BLOCO]],Tabela4[[#This Row],[UO_COD]]))</f>
        <v/>
      </c>
      <c r="AX136">
        <f>Tabela4[[#This Row],[JUSTIFICATIVA]]</f>
        <v>0</v>
      </c>
    </row>
    <row r="137" spans="1:50" ht="15" customHeight="1">
      <c r="A137" s="11">
        <v>1251</v>
      </c>
      <c r="B137" s="11">
        <v>7007</v>
      </c>
      <c r="C137" s="12" t="str">
        <f t="shared" si="9"/>
        <v>12517007</v>
      </c>
      <c r="D137" s="11" t="s">
        <v>66</v>
      </c>
      <c r="E137" s="11" t="s">
        <v>466</v>
      </c>
      <c r="F137" s="11" t="s">
        <v>461</v>
      </c>
      <c r="G137" s="11">
        <v>0</v>
      </c>
      <c r="T137" s="11">
        <v>1251</v>
      </c>
      <c r="U137" s="11">
        <v>7007</v>
      </c>
      <c r="Z137" s="14"/>
      <c r="AK137" s="18">
        <v>4</v>
      </c>
      <c r="AL137" s="18" t="str">
        <f t="shared" si="10"/>
        <v>G4</v>
      </c>
      <c r="AM137" s="18">
        <v>90</v>
      </c>
      <c r="AO137" t="str">
        <f t="shared" si="11"/>
        <v>M90</v>
      </c>
      <c r="AP137" t="str">
        <f t="shared" si="12"/>
        <v>G4M90</v>
      </c>
      <c r="AQ137" s="18">
        <v>39</v>
      </c>
      <c r="AW137" t="str">
        <f>IF(Tabela4[[#This Row],[JUSTIFICATIVA]]="","",CONCATENATE("B",Tabela4[[#This Row],[BLOCO]],Tabela4[[#This Row],[UO_COD]]))</f>
        <v/>
      </c>
      <c r="AX137">
        <f>Tabela4[[#This Row],[JUSTIFICATIVA]]</f>
        <v>0</v>
      </c>
    </row>
    <row r="138" spans="1:50" ht="15" customHeight="1">
      <c r="A138" s="11">
        <v>1251</v>
      </c>
      <c r="B138" s="11">
        <v>7010</v>
      </c>
      <c r="C138" s="12" t="str">
        <f t="shared" si="9"/>
        <v>12517010</v>
      </c>
      <c r="D138" s="11" t="s">
        <v>66</v>
      </c>
      <c r="E138" s="11" t="s">
        <v>470</v>
      </c>
      <c r="F138" s="11" t="s">
        <v>461</v>
      </c>
      <c r="G138" s="11">
        <v>0</v>
      </c>
      <c r="T138" s="11">
        <v>1251</v>
      </c>
      <c r="U138" s="11">
        <v>7010</v>
      </c>
      <c r="Z138" s="14"/>
      <c r="AK138" s="18">
        <v>4</v>
      </c>
      <c r="AL138" s="18" t="str">
        <f t="shared" si="10"/>
        <v>G4</v>
      </c>
      <c r="AM138" s="18">
        <v>90</v>
      </c>
      <c r="AO138" t="str">
        <f t="shared" si="11"/>
        <v>M90</v>
      </c>
      <c r="AP138" t="str">
        <f t="shared" si="12"/>
        <v>G4M90</v>
      </c>
      <c r="AQ138" s="18">
        <v>40</v>
      </c>
      <c r="AW138" t="str">
        <f>IF(Tabela4[[#This Row],[JUSTIFICATIVA]]="","",CONCATENATE("B",Tabela4[[#This Row],[BLOCO]],Tabela4[[#This Row],[UO_COD]]))</f>
        <v/>
      </c>
      <c r="AX138">
        <f>Tabela4[[#This Row],[JUSTIFICATIVA]]</f>
        <v>0</v>
      </c>
    </row>
    <row r="139" spans="1:50" ht="15" customHeight="1">
      <c r="A139" s="11">
        <v>1261</v>
      </c>
      <c r="B139" s="11">
        <v>1033</v>
      </c>
      <c r="C139" s="12" t="str">
        <f t="shared" si="9"/>
        <v>12611033</v>
      </c>
      <c r="D139" s="11" t="s">
        <v>605</v>
      </c>
      <c r="E139" s="11" t="s">
        <v>612</v>
      </c>
      <c r="F139" s="11" t="s">
        <v>613</v>
      </c>
      <c r="G139" s="11">
        <v>0</v>
      </c>
      <c r="T139" s="11">
        <v>1261</v>
      </c>
      <c r="U139" s="11">
        <v>1033</v>
      </c>
      <c r="Z139" s="14"/>
      <c r="AK139" s="18">
        <v>4</v>
      </c>
      <c r="AL139" s="18" t="str">
        <f t="shared" si="10"/>
        <v>G4</v>
      </c>
      <c r="AM139" s="18">
        <v>90</v>
      </c>
      <c r="AO139" t="str">
        <f t="shared" si="11"/>
        <v>M90</v>
      </c>
      <c r="AP139" t="str">
        <f t="shared" si="12"/>
        <v>G4M90</v>
      </c>
      <c r="AQ139" s="18">
        <v>41</v>
      </c>
      <c r="AW139" t="str">
        <f>IF(Tabela4[[#This Row],[JUSTIFICATIVA]]="","",CONCATENATE("B",Tabela4[[#This Row],[BLOCO]],Tabela4[[#This Row],[UO_COD]]))</f>
        <v/>
      </c>
      <c r="AX139">
        <f>Tabela4[[#This Row],[JUSTIFICATIVA]]</f>
        <v>0</v>
      </c>
    </row>
    <row r="140" spans="1:50" ht="15" customHeight="1">
      <c r="A140" s="11">
        <v>1261</v>
      </c>
      <c r="B140" s="11">
        <v>1060</v>
      </c>
      <c r="C140" s="12" t="str">
        <f t="shared" si="9"/>
        <v>12611060</v>
      </c>
      <c r="D140" s="11" t="s">
        <v>605</v>
      </c>
      <c r="E140" s="11" t="s">
        <v>612</v>
      </c>
      <c r="F140" s="11" t="s">
        <v>614</v>
      </c>
      <c r="G140" s="11">
        <v>0</v>
      </c>
      <c r="T140" s="11">
        <v>1261</v>
      </c>
      <c r="U140" s="11">
        <v>1060</v>
      </c>
      <c r="Z140" s="14"/>
      <c r="AK140" s="18">
        <v>4</v>
      </c>
      <c r="AL140" s="18" t="str">
        <f t="shared" si="10"/>
        <v>G4</v>
      </c>
      <c r="AM140" s="18">
        <v>90</v>
      </c>
      <c r="AO140" t="str">
        <f t="shared" si="11"/>
        <v>M90</v>
      </c>
      <c r="AP140" t="str">
        <f t="shared" si="12"/>
        <v>G4M90</v>
      </c>
      <c r="AQ140" s="18">
        <v>47</v>
      </c>
      <c r="AW140" t="str">
        <f>IF(Tabela4[[#This Row],[JUSTIFICATIVA]]="","",CONCATENATE("B",Tabela4[[#This Row],[BLOCO]],Tabela4[[#This Row],[UO_COD]]))</f>
        <v/>
      </c>
      <c r="AX140">
        <f>Tabela4[[#This Row],[JUSTIFICATIVA]]</f>
        <v>0</v>
      </c>
    </row>
    <row r="141" spans="1:50" ht="15" customHeight="1">
      <c r="A141" s="11">
        <v>1261</v>
      </c>
      <c r="B141" s="11">
        <v>1092</v>
      </c>
      <c r="C141" s="12" t="str">
        <f t="shared" si="9"/>
        <v>12611092</v>
      </c>
      <c r="D141" s="11" t="s">
        <v>605</v>
      </c>
      <c r="E141" s="11" t="s">
        <v>612</v>
      </c>
      <c r="F141" s="11" t="s">
        <v>613</v>
      </c>
      <c r="G141" s="11">
        <v>0</v>
      </c>
      <c r="T141" s="11">
        <v>1261</v>
      </c>
      <c r="U141" s="11">
        <v>1092</v>
      </c>
      <c r="Z141" s="14"/>
      <c r="AK141" s="18">
        <v>4</v>
      </c>
      <c r="AL141" s="18" t="str">
        <f t="shared" si="10"/>
        <v>G4</v>
      </c>
      <c r="AM141" s="18">
        <v>90</v>
      </c>
      <c r="AO141" t="str">
        <f t="shared" si="11"/>
        <v>M90</v>
      </c>
      <c r="AP141" t="str">
        <f t="shared" si="12"/>
        <v>G4M90</v>
      </c>
      <c r="AQ141" s="18">
        <v>51</v>
      </c>
      <c r="AW141" t="str">
        <f>IF(Tabela4[[#This Row],[JUSTIFICATIVA]]="","",CONCATENATE("B",Tabela4[[#This Row],[BLOCO]],Tabela4[[#This Row],[UO_COD]]))</f>
        <v/>
      </c>
      <c r="AX141">
        <f>Tabela4[[#This Row],[JUSTIFICATIVA]]</f>
        <v>0</v>
      </c>
    </row>
    <row r="142" spans="1:50" ht="15" customHeight="1">
      <c r="A142" s="11">
        <v>1261</v>
      </c>
      <c r="B142" s="11">
        <v>1093</v>
      </c>
      <c r="C142" s="12" t="str">
        <f t="shared" si="9"/>
        <v>12611093</v>
      </c>
      <c r="D142" s="11" t="s">
        <v>605</v>
      </c>
      <c r="E142" s="11" t="s">
        <v>612</v>
      </c>
      <c r="F142" s="11" t="s">
        <v>613</v>
      </c>
      <c r="G142" s="11">
        <v>0</v>
      </c>
      <c r="T142" s="11">
        <v>1261</v>
      </c>
      <c r="U142" s="11">
        <v>1093</v>
      </c>
      <c r="Z142" s="14"/>
      <c r="AK142" s="18">
        <v>4</v>
      </c>
      <c r="AL142" s="18" t="str">
        <f t="shared" si="10"/>
        <v>G4</v>
      </c>
      <c r="AM142" s="18">
        <v>90</v>
      </c>
      <c r="AO142" t="str">
        <f t="shared" si="11"/>
        <v>M90</v>
      </c>
      <c r="AP142" t="str">
        <f t="shared" si="12"/>
        <v>G4M90</v>
      </c>
      <c r="AQ142" s="18">
        <v>52</v>
      </c>
      <c r="AW142" t="str">
        <f>IF(Tabela4[[#This Row],[JUSTIFICATIVA]]="","",CONCATENATE("B",Tabela4[[#This Row],[BLOCO]],Tabela4[[#This Row],[UO_COD]]))</f>
        <v/>
      </c>
      <c r="AX142">
        <f>Tabela4[[#This Row],[JUSTIFICATIVA]]</f>
        <v>0</v>
      </c>
    </row>
    <row r="143" spans="1:50" ht="15" customHeight="1">
      <c r="A143" s="11">
        <v>1261</v>
      </c>
      <c r="B143" s="11">
        <v>1094</v>
      </c>
      <c r="C143" s="12" t="str">
        <f t="shared" si="9"/>
        <v>12611094</v>
      </c>
      <c r="D143" s="11" t="s">
        <v>605</v>
      </c>
      <c r="E143" s="11" t="s">
        <v>612</v>
      </c>
      <c r="F143" s="11" t="s">
        <v>614</v>
      </c>
      <c r="G143" s="11">
        <v>0</v>
      </c>
      <c r="T143" s="11">
        <v>1261</v>
      </c>
      <c r="U143" s="11">
        <v>1094</v>
      </c>
      <c r="Z143" s="14"/>
      <c r="AK143" s="18">
        <v>4</v>
      </c>
      <c r="AL143" s="18" t="str">
        <f t="shared" si="10"/>
        <v>G4</v>
      </c>
      <c r="AM143" s="18">
        <v>90</v>
      </c>
      <c r="AO143" t="str">
        <f t="shared" si="11"/>
        <v>M90</v>
      </c>
      <c r="AP143" t="str">
        <f t="shared" si="12"/>
        <v>G4M90</v>
      </c>
      <c r="AQ143" s="18">
        <v>61</v>
      </c>
      <c r="AW143" t="str">
        <f>IF(Tabela4[[#This Row],[JUSTIFICATIVA]]="","",CONCATENATE("B",Tabela4[[#This Row],[BLOCO]],Tabela4[[#This Row],[UO_COD]]))</f>
        <v/>
      </c>
      <c r="AX143">
        <f>Tabela4[[#This Row],[JUSTIFICATIVA]]</f>
        <v>0</v>
      </c>
    </row>
    <row r="144" spans="1:50" ht="15" customHeight="1">
      <c r="A144" s="11">
        <v>1261</v>
      </c>
      <c r="B144" s="11">
        <v>2034</v>
      </c>
      <c r="C144" s="12" t="str">
        <f t="shared" si="9"/>
        <v>12612034</v>
      </c>
      <c r="D144" s="11" t="s">
        <v>605</v>
      </c>
      <c r="E144" s="11" t="s">
        <v>612</v>
      </c>
      <c r="F144" s="11" t="s">
        <v>615</v>
      </c>
      <c r="G144" s="11">
        <v>0</v>
      </c>
      <c r="T144" s="11">
        <v>1261</v>
      </c>
      <c r="U144" s="11">
        <v>2034</v>
      </c>
      <c r="Z144" s="14"/>
      <c r="AK144" s="18">
        <v>4</v>
      </c>
      <c r="AL144" s="18" t="str">
        <f t="shared" si="10"/>
        <v>G4</v>
      </c>
      <c r="AM144" s="18">
        <v>90</v>
      </c>
      <c r="AO144" t="str">
        <f t="shared" si="11"/>
        <v>M90</v>
      </c>
      <c r="AP144" t="str">
        <f t="shared" si="12"/>
        <v>G4M90</v>
      </c>
      <c r="AQ144" s="18">
        <v>83</v>
      </c>
      <c r="AW144" t="str">
        <f>IF(Tabela4[[#This Row],[JUSTIFICATIVA]]="","",CONCATENATE("B",Tabela4[[#This Row],[BLOCO]],Tabela4[[#This Row],[UO_COD]]))</f>
        <v/>
      </c>
      <c r="AX144">
        <f>Tabela4[[#This Row],[JUSTIFICATIVA]]</f>
        <v>0</v>
      </c>
    </row>
    <row r="145" spans="1:50" ht="15" customHeight="1">
      <c r="A145" s="11">
        <v>1261</v>
      </c>
      <c r="B145" s="11">
        <v>2038</v>
      </c>
      <c r="C145" s="12" t="str">
        <f t="shared" si="9"/>
        <v>12612038</v>
      </c>
      <c r="D145" s="11" t="s">
        <v>605</v>
      </c>
      <c r="E145" s="11" t="s">
        <v>612</v>
      </c>
      <c r="F145" s="11" t="s">
        <v>616</v>
      </c>
      <c r="G145" s="11">
        <v>0</v>
      </c>
      <c r="T145" s="11">
        <v>1261</v>
      </c>
      <c r="U145" s="11">
        <v>2038</v>
      </c>
      <c r="Z145" s="14"/>
      <c r="AK145" s="18">
        <v>4</v>
      </c>
      <c r="AL145" s="18" t="str">
        <f t="shared" si="10"/>
        <v>G4</v>
      </c>
      <c r="AM145" s="18">
        <v>90</v>
      </c>
      <c r="AO145" t="str">
        <f t="shared" si="11"/>
        <v>M90</v>
      </c>
      <c r="AP145" t="str">
        <f t="shared" si="12"/>
        <v>G4M90</v>
      </c>
      <c r="AQ145" s="18">
        <v>91</v>
      </c>
      <c r="AW145" t="str">
        <f>IF(Tabela4[[#This Row],[JUSTIFICATIVA]]="","",CONCATENATE("B",Tabela4[[#This Row],[BLOCO]],Tabela4[[#This Row],[UO_COD]]))</f>
        <v/>
      </c>
      <c r="AX145">
        <f>Tabela4[[#This Row],[JUSTIFICATIVA]]</f>
        <v>0</v>
      </c>
    </row>
    <row r="146" spans="1:50" ht="15" customHeight="1">
      <c r="A146" s="11">
        <v>1261</v>
      </c>
      <c r="B146" s="11">
        <v>2040</v>
      </c>
      <c r="C146" s="12" t="str">
        <f t="shared" si="9"/>
        <v>12612040</v>
      </c>
      <c r="D146" s="11" t="s">
        <v>605</v>
      </c>
      <c r="E146" s="11" t="s">
        <v>612</v>
      </c>
      <c r="F146" s="11" t="s">
        <v>616</v>
      </c>
      <c r="G146" s="11">
        <v>0</v>
      </c>
      <c r="T146" s="11">
        <v>1261</v>
      </c>
      <c r="U146" s="11">
        <v>2040</v>
      </c>
      <c r="Z146" s="14"/>
      <c r="AK146" s="18">
        <v>4</v>
      </c>
      <c r="AL146" s="18" t="str">
        <f t="shared" si="10"/>
        <v>G4</v>
      </c>
      <c r="AM146" s="18">
        <v>90</v>
      </c>
      <c r="AO146" t="str">
        <f t="shared" si="11"/>
        <v>M90</v>
      </c>
      <c r="AP146" t="str">
        <f t="shared" si="12"/>
        <v>G4M90</v>
      </c>
      <c r="AQ146" s="18">
        <v>92</v>
      </c>
      <c r="AW146" t="str">
        <f>IF(Tabela4[[#This Row],[JUSTIFICATIVA]]="","",CONCATENATE("B",Tabela4[[#This Row],[BLOCO]],Tabela4[[#This Row],[UO_COD]]))</f>
        <v/>
      </c>
      <c r="AX146">
        <f>Tabela4[[#This Row],[JUSTIFICATIVA]]</f>
        <v>0</v>
      </c>
    </row>
    <row r="147" spans="1:50" ht="15" customHeight="1">
      <c r="A147" s="11">
        <v>1261</v>
      </c>
      <c r="B147" s="11">
        <v>2064</v>
      </c>
      <c r="C147" s="12" t="str">
        <f t="shared" si="9"/>
        <v>12612064</v>
      </c>
      <c r="D147" s="11" t="s">
        <v>605</v>
      </c>
      <c r="E147" s="11" t="s">
        <v>612</v>
      </c>
      <c r="F147" s="11" t="s">
        <v>617</v>
      </c>
      <c r="G147" s="11">
        <v>0</v>
      </c>
      <c r="T147" s="11">
        <v>1261</v>
      </c>
      <c r="U147" s="11">
        <v>2064</v>
      </c>
      <c r="Z147" s="14"/>
      <c r="AK147" s="18">
        <v>4</v>
      </c>
      <c r="AL147" s="18" t="str">
        <f t="shared" si="10"/>
        <v>G4</v>
      </c>
      <c r="AM147" s="18">
        <v>90</v>
      </c>
      <c r="AO147" t="str">
        <f t="shared" si="11"/>
        <v>M90</v>
      </c>
      <c r="AP147" t="str">
        <f t="shared" si="12"/>
        <v>G4M90</v>
      </c>
      <c r="AQ147" s="18">
        <v>93</v>
      </c>
      <c r="AW147" t="str">
        <f>IF(Tabela4[[#This Row],[JUSTIFICATIVA]]="","",CONCATENATE("B",Tabela4[[#This Row],[BLOCO]],Tabela4[[#This Row],[UO_COD]]))</f>
        <v/>
      </c>
      <c r="AX147">
        <f>Tabela4[[#This Row],[JUSTIFICATIVA]]</f>
        <v>0</v>
      </c>
    </row>
    <row r="148" spans="1:50" ht="15" customHeight="1">
      <c r="A148" s="11">
        <v>1261</v>
      </c>
      <c r="B148" s="11">
        <v>2067</v>
      </c>
      <c r="C148" s="12" t="str">
        <f t="shared" si="9"/>
        <v>12612067</v>
      </c>
      <c r="D148" s="11" t="s">
        <v>605</v>
      </c>
      <c r="E148" s="11" t="s">
        <v>618</v>
      </c>
      <c r="F148" s="11" t="s">
        <v>619</v>
      </c>
      <c r="G148" s="11">
        <v>1</v>
      </c>
      <c r="T148" s="11">
        <v>1261</v>
      </c>
      <c r="U148" s="11">
        <v>2067</v>
      </c>
      <c r="Z148" s="14"/>
      <c r="AK148" s="18">
        <v>4</v>
      </c>
      <c r="AL148" s="18" t="str">
        <f t="shared" si="10"/>
        <v>G4</v>
      </c>
      <c r="AM148" s="18">
        <v>90</v>
      </c>
      <c r="AO148" t="str">
        <f t="shared" si="11"/>
        <v>M90</v>
      </c>
      <c r="AP148" t="str">
        <f t="shared" si="12"/>
        <v>G4M90</v>
      </c>
      <c r="AQ148" s="18">
        <v>99</v>
      </c>
      <c r="AW148" t="str">
        <f>IF(Tabela4[[#This Row],[JUSTIFICATIVA]]="","",CONCATENATE("B",Tabela4[[#This Row],[BLOCO]],Tabela4[[#This Row],[UO_COD]]))</f>
        <v/>
      </c>
      <c r="AX148">
        <f>Tabela4[[#This Row],[JUSTIFICATIVA]]</f>
        <v>0</v>
      </c>
    </row>
    <row r="149" spans="1:50" ht="15" customHeight="1">
      <c r="A149" s="11">
        <v>1261</v>
      </c>
      <c r="B149" s="11">
        <v>2080</v>
      </c>
      <c r="C149" s="12" t="str">
        <f t="shared" si="9"/>
        <v>12612080</v>
      </c>
      <c r="D149" s="11" t="s">
        <v>605</v>
      </c>
      <c r="E149" s="11" t="s">
        <v>606</v>
      </c>
      <c r="F149" s="11" t="s">
        <v>616</v>
      </c>
      <c r="G149" s="11">
        <v>0</v>
      </c>
      <c r="T149" s="11">
        <v>1261</v>
      </c>
      <c r="U149" s="11">
        <v>2080</v>
      </c>
      <c r="Z149" s="14"/>
      <c r="AK149" s="18">
        <v>4</v>
      </c>
      <c r="AL149" s="18" t="str">
        <f t="shared" si="10"/>
        <v>G4</v>
      </c>
      <c r="AM149" s="18">
        <v>91</v>
      </c>
      <c r="AO149" t="str">
        <f t="shared" si="11"/>
        <v>M91</v>
      </c>
      <c r="AP149" t="str">
        <f t="shared" si="12"/>
        <v>G4M91</v>
      </c>
      <c r="AQ149" s="18">
        <v>39</v>
      </c>
      <c r="AW149" t="str">
        <f>IF(Tabela4[[#This Row],[JUSTIFICATIVA]]="","",CONCATENATE("B",Tabela4[[#This Row],[BLOCO]],Tabela4[[#This Row],[UO_COD]]))</f>
        <v/>
      </c>
      <c r="AX149">
        <f>Tabela4[[#This Row],[JUSTIFICATIVA]]</f>
        <v>0</v>
      </c>
    </row>
    <row r="150" spans="1:50" ht="15" customHeight="1">
      <c r="A150" s="11">
        <v>1261</v>
      </c>
      <c r="B150" s="11">
        <v>2081</v>
      </c>
      <c r="C150" s="12" t="str">
        <f t="shared" si="9"/>
        <v>12612081</v>
      </c>
      <c r="D150" s="11" t="s">
        <v>605</v>
      </c>
      <c r="E150" s="11" t="s">
        <v>606</v>
      </c>
      <c r="F150" s="11" t="s">
        <v>616</v>
      </c>
      <c r="G150" s="11">
        <v>0</v>
      </c>
      <c r="T150" s="11">
        <v>1261</v>
      </c>
      <c r="U150" s="11">
        <v>2081</v>
      </c>
      <c r="Z150" s="14"/>
      <c r="AK150" s="18">
        <v>4</v>
      </c>
      <c r="AL150" s="18" t="str">
        <f t="shared" si="10"/>
        <v>G4</v>
      </c>
      <c r="AM150" s="18">
        <v>91</v>
      </c>
      <c r="AO150" t="str">
        <f t="shared" si="11"/>
        <v>M91</v>
      </c>
      <c r="AP150" t="str">
        <f t="shared" si="12"/>
        <v>G4M91</v>
      </c>
      <c r="AQ150" s="18">
        <v>41</v>
      </c>
      <c r="AW150" t="str">
        <f>IF(Tabela4[[#This Row],[JUSTIFICATIVA]]="","",CONCATENATE("B",Tabela4[[#This Row],[BLOCO]],Tabela4[[#This Row],[UO_COD]]))</f>
        <v/>
      </c>
      <c r="AX150">
        <f>Tabela4[[#This Row],[JUSTIFICATIVA]]</f>
        <v>0</v>
      </c>
    </row>
    <row r="151" spans="1:50" ht="15" customHeight="1">
      <c r="A151" s="11">
        <v>1261</v>
      </c>
      <c r="B151" s="11">
        <v>2082</v>
      </c>
      <c r="C151" s="12" t="str">
        <f t="shared" si="9"/>
        <v>12612082</v>
      </c>
      <c r="D151" s="11" t="s">
        <v>605</v>
      </c>
      <c r="E151" s="11" t="s">
        <v>620</v>
      </c>
      <c r="F151" s="11" t="s">
        <v>616</v>
      </c>
      <c r="G151" s="11">
        <v>0</v>
      </c>
      <c r="T151" s="11">
        <v>1261</v>
      </c>
      <c r="U151" s="11">
        <v>2082</v>
      </c>
      <c r="Z151" s="14"/>
      <c r="AK151" s="18">
        <v>4</v>
      </c>
      <c r="AL151" s="18" t="str">
        <f t="shared" si="10"/>
        <v>G4</v>
      </c>
      <c r="AM151" s="18">
        <v>91</v>
      </c>
      <c r="AO151" t="str">
        <f t="shared" si="11"/>
        <v>M91</v>
      </c>
      <c r="AP151" t="str">
        <f t="shared" si="12"/>
        <v>G4M91</v>
      </c>
      <c r="AQ151" s="18">
        <v>47</v>
      </c>
      <c r="AW151" t="str">
        <f>IF(Tabela4[[#This Row],[JUSTIFICATIVA]]="","",CONCATENATE("B",Tabela4[[#This Row],[BLOCO]],Tabela4[[#This Row],[UO_COD]]))</f>
        <v/>
      </c>
      <c r="AX151">
        <f>Tabela4[[#This Row],[JUSTIFICATIVA]]</f>
        <v>0</v>
      </c>
    </row>
    <row r="152" spans="1:50" ht="15" customHeight="1">
      <c r="A152" s="11">
        <v>1261</v>
      </c>
      <c r="B152" s="11">
        <v>2084</v>
      </c>
      <c r="C152" s="12" t="str">
        <f t="shared" si="9"/>
        <v>12612084</v>
      </c>
      <c r="D152" s="11" t="s">
        <v>605</v>
      </c>
      <c r="E152" s="11" t="s">
        <v>618</v>
      </c>
      <c r="F152" s="11" t="s">
        <v>616</v>
      </c>
      <c r="G152" s="11">
        <v>0</v>
      </c>
      <c r="T152" s="11">
        <v>1261</v>
      </c>
      <c r="U152" s="11">
        <v>2084</v>
      </c>
      <c r="Z152" s="14"/>
      <c r="AK152" s="18">
        <v>4</v>
      </c>
      <c r="AL152" s="18" t="str">
        <f t="shared" si="10"/>
        <v>G4</v>
      </c>
      <c r="AM152" s="18">
        <v>95</v>
      </c>
      <c r="AO152" t="str">
        <f t="shared" si="11"/>
        <v>M95</v>
      </c>
      <c r="AP152" t="str">
        <f t="shared" si="12"/>
        <v>G4M95</v>
      </c>
      <c r="AQ152" s="18">
        <v>42</v>
      </c>
      <c r="AW152" t="str">
        <f>IF(Tabela4[[#This Row],[JUSTIFICATIVA]]="","",CONCATENATE("B",Tabela4[[#This Row],[BLOCO]],Tabela4[[#This Row],[UO_COD]]))</f>
        <v/>
      </c>
      <c r="AX152">
        <f>Tabela4[[#This Row],[JUSTIFICATIVA]]</f>
        <v>0</v>
      </c>
    </row>
    <row r="153" spans="1:50" ht="15" customHeight="1">
      <c r="A153" s="11">
        <v>1261</v>
      </c>
      <c r="B153" s="11">
        <v>2085</v>
      </c>
      <c r="C153" s="12" t="str">
        <f t="shared" si="9"/>
        <v>12612085</v>
      </c>
      <c r="D153" s="11" t="s">
        <v>605</v>
      </c>
      <c r="E153" s="11" t="s">
        <v>606</v>
      </c>
      <c r="F153" s="11" t="s">
        <v>616</v>
      </c>
      <c r="G153" s="11">
        <v>0</v>
      </c>
      <c r="T153" s="11">
        <v>1261</v>
      </c>
      <c r="U153" s="11">
        <v>2085</v>
      </c>
      <c r="Z153" s="14"/>
      <c r="AK153" s="18">
        <v>4</v>
      </c>
      <c r="AL153" s="18" t="str">
        <f t="shared" si="10"/>
        <v>G4</v>
      </c>
      <c r="AM153" s="18">
        <v>95</v>
      </c>
      <c r="AO153" t="str">
        <f t="shared" si="11"/>
        <v>M95</v>
      </c>
      <c r="AP153" t="str">
        <f t="shared" si="12"/>
        <v>G4M95</v>
      </c>
      <c r="AQ153" s="18">
        <v>52</v>
      </c>
      <c r="AW153" t="str">
        <f>IF(Tabela4[[#This Row],[JUSTIFICATIVA]]="","",CONCATENATE("B",Tabela4[[#This Row],[BLOCO]],Tabela4[[#This Row],[UO_COD]]))</f>
        <v/>
      </c>
      <c r="AX153">
        <f>Tabela4[[#This Row],[JUSTIFICATIVA]]</f>
        <v>0</v>
      </c>
    </row>
    <row r="154" spans="1:50" ht="15" customHeight="1">
      <c r="A154" s="11">
        <v>1261</v>
      </c>
      <c r="B154" s="11">
        <v>2086</v>
      </c>
      <c r="C154" s="12" t="str">
        <f t="shared" si="9"/>
        <v>12612086</v>
      </c>
      <c r="D154" s="11" t="s">
        <v>605</v>
      </c>
      <c r="E154" s="11" t="s">
        <v>608</v>
      </c>
      <c r="F154" s="11" t="s">
        <v>616</v>
      </c>
      <c r="G154" s="11">
        <v>0</v>
      </c>
      <c r="T154" s="11">
        <v>1261</v>
      </c>
      <c r="U154" s="11">
        <v>2086</v>
      </c>
      <c r="Z154" s="14"/>
      <c r="AK154" s="18">
        <v>4</v>
      </c>
      <c r="AL154" s="18" t="str">
        <f t="shared" si="10"/>
        <v>G4</v>
      </c>
      <c r="AM154" s="18">
        <v>99</v>
      </c>
      <c r="AO154" t="str">
        <f t="shared" si="11"/>
        <v>M99</v>
      </c>
      <c r="AP154" t="str">
        <f t="shared" si="12"/>
        <v>G4M99</v>
      </c>
      <c r="AQ154" s="18">
        <v>51</v>
      </c>
      <c r="AW154" t="str">
        <f>IF(Tabela4[[#This Row],[JUSTIFICATIVA]]="","",CONCATENATE("B",Tabela4[[#This Row],[BLOCO]],Tabela4[[#This Row],[UO_COD]]))</f>
        <v/>
      </c>
      <c r="AX154">
        <f>Tabela4[[#This Row],[JUSTIFICATIVA]]</f>
        <v>0</v>
      </c>
    </row>
    <row r="155" spans="1:50" ht="15" customHeight="1">
      <c r="A155" s="11">
        <v>1261</v>
      </c>
      <c r="B155" s="11">
        <v>2088</v>
      </c>
      <c r="C155" s="12" t="str">
        <f t="shared" si="9"/>
        <v>12612088</v>
      </c>
      <c r="D155" s="11" t="s">
        <v>605</v>
      </c>
      <c r="E155" s="11" t="s">
        <v>620</v>
      </c>
      <c r="F155" s="11" t="s">
        <v>616</v>
      </c>
      <c r="G155" s="11">
        <v>0</v>
      </c>
      <c r="T155" s="11">
        <v>1261</v>
      </c>
      <c r="U155" s="11">
        <v>2088</v>
      </c>
      <c r="Z155" s="14"/>
      <c r="AK155" s="18">
        <v>4</v>
      </c>
      <c r="AL155" s="18" t="str">
        <f t="shared" si="10"/>
        <v>G4</v>
      </c>
      <c r="AM155" s="18">
        <v>99</v>
      </c>
      <c r="AO155" t="str">
        <f t="shared" si="11"/>
        <v>M99</v>
      </c>
      <c r="AP155" t="str">
        <f t="shared" si="12"/>
        <v>G4M99</v>
      </c>
      <c r="AQ155" s="18">
        <v>99</v>
      </c>
      <c r="AW155" t="str">
        <f>IF(Tabela4[[#This Row],[JUSTIFICATIVA]]="","",CONCATENATE("B",Tabela4[[#This Row],[BLOCO]],Tabela4[[#This Row],[UO_COD]]))</f>
        <v/>
      </c>
      <c r="AX155">
        <f>Tabela4[[#This Row],[JUSTIFICATIVA]]</f>
        <v>0</v>
      </c>
    </row>
    <row r="156" spans="1:50" ht="15" customHeight="1">
      <c r="A156" s="11">
        <v>1261</v>
      </c>
      <c r="B156" s="11">
        <v>2090</v>
      </c>
      <c r="C156" s="12" t="str">
        <f t="shared" si="9"/>
        <v>12612090</v>
      </c>
      <c r="D156" s="11" t="s">
        <v>605</v>
      </c>
      <c r="E156" s="11" t="s">
        <v>608</v>
      </c>
      <c r="F156" s="11" t="s">
        <v>616</v>
      </c>
      <c r="G156" s="11">
        <v>0</v>
      </c>
      <c r="T156" s="11">
        <v>1261</v>
      </c>
      <c r="U156" s="11">
        <v>2090</v>
      </c>
      <c r="Z156" s="14"/>
      <c r="AK156" s="18">
        <v>5</v>
      </c>
      <c r="AL156" s="18" t="str">
        <f t="shared" si="10"/>
        <v>G5</v>
      </c>
      <c r="AM156" s="18">
        <v>20</v>
      </c>
      <c r="AO156" t="str">
        <f t="shared" si="11"/>
        <v>M20</v>
      </c>
      <c r="AP156" t="str">
        <f t="shared" si="12"/>
        <v>G5M20</v>
      </c>
      <c r="AQ156" s="18">
        <v>92</v>
      </c>
      <c r="AW156" t="str">
        <f>IF(Tabela4[[#This Row],[JUSTIFICATIVA]]="","",CONCATENATE("B",Tabela4[[#This Row],[BLOCO]],Tabela4[[#This Row],[UO_COD]]))</f>
        <v/>
      </c>
      <c r="AX156">
        <f>Tabela4[[#This Row],[JUSTIFICATIVA]]</f>
        <v>0</v>
      </c>
    </row>
    <row r="157" spans="1:50" ht="15" customHeight="1">
      <c r="A157" s="11">
        <v>1261</v>
      </c>
      <c r="B157" s="11">
        <v>2092</v>
      </c>
      <c r="C157" s="12" t="str">
        <f t="shared" si="9"/>
        <v>12612092</v>
      </c>
      <c r="D157" s="11" t="s">
        <v>605</v>
      </c>
      <c r="E157" s="11" t="s">
        <v>621</v>
      </c>
      <c r="F157" s="11" t="s">
        <v>616</v>
      </c>
      <c r="G157" s="11">
        <v>0</v>
      </c>
      <c r="T157" s="11">
        <v>1261</v>
      </c>
      <c r="U157" s="11">
        <v>2092</v>
      </c>
      <c r="Z157" s="14"/>
      <c r="AK157" s="18">
        <v>5</v>
      </c>
      <c r="AL157" s="18" t="str">
        <f t="shared" si="10"/>
        <v>G5</v>
      </c>
      <c r="AM157" s="18">
        <v>40</v>
      </c>
      <c r="AO157" t="str">
        <f t="shared" si="11"/>
        <v>M40</v>
      </c>
      <c r="AP157" t="str">
        <f t="shared" si="12"/>
        <v>G5M40</v>
      </c>
      <c r="AQ157" s="18">
        <v>41</v>
      </c>
      <c r="AW157" t="str">
        <f>IF(Tabela4[[#This Row],[JUSTIFICATIVA]]="","",CONCATENATE("B",Tabela4[[#This Row],[BLOCO]],Tabela4[[#This Row],[UO_COD]]))</f>
        <v/>
      </c>
      <c r="AX157">
        <f>Tabela4[[#This Row],[JUSTIFICATIVA]]</f>
        <v>0</v>
      </c>
    </row>
    <row r="158" spans="1:50" ht="15" customHeight="1">
      <c r="A158" s="11">
        <v>1261</v>
      </c>
      <c r="B158" s="11">
        <v>2093</v>
      </c>
      <c r="C158" s="12" t="str">
        <f t="shared" si="9"/>
        <v>12612093</v>
      </c>
      <c r="D158" s="11" t="s">
        <v>605</v>
      </c>
      <c r="E158" s="11" t="s">
        <v>608</v>
      </c>
      <c r="F158" s="11" t="s">
        <v>616</v>
      </c>
      <c r="G158" s="11">
        <v>0</v>
      </c>
      <c r="T158" s="11">
        <v>1261</v>
      </c>
      <c r="U158" s="11">
        <v>2093</v>
      </c>
      <c r="Z158" s="14"/>
      <c r="AK158" s="18">
        <v>5</v>
      </c>
      <c r="AL158" s="18" t="str">
        <f t="shared" si="10"/>
        <v>G5</v>
      </c>
      <c r="AM158" s="18">
        <v>40</v>
      </c>
      <c r="AO158" t="str">
        <f t="shared" si="11"/>
        <v>M40</v>
      </c>
      <c r="AP158" t="str">
        <f t="shared" si="12"/>
        <v>G5M40</v>
      </c>
      <c r="AQ158" s="18">
        <v>42</v>
      </c>
      <c r="AW158" t="str">
        <f>IF(Tabela4[[#This Row],[JUSTIFICATIVA]]="","",CONCATENATE("B",Tabela4[[#This Row],[BLOCO]],Tabela4[[#This Row],[UO_COD]]))</f>
        <v/>
      </c>
      <c r="AX158">
        <f>Tabela4[[#This Row],[JUSTIFICATIVA]]</f>
        <v>0</v>
      </c>
    </row>
    <row r="159" spans="1:50" ht="15" customHeight="1">
      <c r="A159" s="11">
        <v>1261</v>
      </c>
      <c r="B159" s="11">
        <v>2094</v>
      </c>
      <c r="C159" s="12" t="str">
        <f t="shared" si="9"/>
        <v>12612094</v>
      </c>
      <c r="D159" s="11" t="s">
        <v>605</v>
      </c>
      <c r="E159" s="11" t="s">
        <v>622</v>
      </c>
      <c r="F159" s="11" t="s">
        <v>616</v>
      </c>
      <c r="G159" s="11">
        <v>0</v>
      </c>
      <c r="T159" s="11">
        <v>1261</v>
      </c>
      <c r="U159" s="11">
        <v>2094</v>
      </c>
      <c r="Z159" s="14"/>
      <c r="AK159" s="18">
        <v>5</v>
      </c>
      <c r="AL159" s="18" t="str">
        <f t="shared" si="10"/>
        <v>G5</v>
      </c>
      <c r="AM159" s="18">
        <v>40</v>
      </c>
      <c r="AO159" t="str">
        <f t="shared" si="11"/>
        <v>M40</v>
      </c>
      <c r="AP159" t="str">
        <f t="shared" si="12"/>
        <v>G5M40</v>
      </c>
      <c r="AQ159" s="18">
        <v>92</v>
      </c>
      <c r="AW159" t="str">
        <f>IF(Tabela4[[#This Row],[JUSTIFICATIVA]]="","",CONCATENATE("B",Tabela4[[#This Row],[BLOCO]],Tabela4[[#This Row],[UO_COD]]))</f>
        <v/>
      </c>
      <c r="AX159">
        <f>Tabela4[[#This Row],[JUSTIFICATIVA]]</f>
        <v>0</v>
      </c>
    </row>
    <row r="160" spans="1:50" ht="15" customHeight="1">
      <c r="A160" s="11">
        <v>1261</v>
      </c>
      <c r="B160" s="11">
        <v>2095</v>
      </c>
      <c r="C160" s="12" t="str">
        <f t="shared" si="9"/>
        <v>12612095</v>
      </c>
      <c r="D160" s="11" t="s">
        <v>605</v>
      </c>
      <c r="E160" s="11" t="s">
        <v>612</v>
      </c>
      <c r="F160" s="11" t="s">
        <v>616</v>
      </c>
      <c r="G160" s="11">
        <v>0</v>
      </c>
      <c r="T160" s="11">
        <v>1261</v>
      </c>
      <c r="U160" s="11">
        <v>2095</v>
      </c>
      <c r="Z160" s="14"/>
      <c r="AK160" s="18">
        <v>5</v>
      </c>
      <c r="AL160" s="18" t="str">
        <f t="shared" si="10"/>
        <v>G5</v>
      </c>
      <c r="AM160" s="18">
        <v>41</v>
      </c>
      <c r="AO160" t="str">
        <f t="shared" si="11"/>
        <v>M41</v>
      </c>
      <c r="AP160" t="str">
        <f t="shared" si="12"/>
        <v>G5M41</v>
      </c>
      <c r="AQ160" s="18">
        <v>92</v>
      </c>
      <c r="AW160" t="str">
        <f>IF(Tabela4[[#This Row],[JUSTIFICATIVA]]="","",CONCATENATE("B",Tabela4[[#This Row],[BLOCO]],Tabela4[[#This Row],[UO_COD]]))</f>
        <v/>
      </c>
      <c r="AX160">
        <f>Tabela4[[#This Row],[JUSTIFICATIVA]]</f>
        <v>0</v>
      </c>
    </row>
    <row r="161" spans="1:50" ht="15" customHeight="1">
      <c r="A161" s="11">
        <v>1261</v>
      </c>
      <c r="B161" s="11">
        <v>2096</v>
      </c>
      <c r="C161" s="12" t="str">
        <f t="shared" si="9"/>
        <v>12612096</v>
      </c>
      <c r="D161" s="11" t="s">
        <v>605</v>
      </c>
      <c r="E161" s="11" t="s">
        <v>612</v>
      </c>
      <c r="F161" s="11" t="s">
        <v>616</v>
      </c>
      <c r="G161" s="11">
        <v>0</v>
      </c>
      <c r="T161" s="11">
        <v>1261</v>
      </c>
      <c r="U161" s="11">
        <v>2096</v>
      </c>
      <c r="Z161" s="14"/>
      <c r="AK161" s="18">
        <v>5</v>
      </c>
      <c r="AL161" s="18" t="str">
        <f t="shared" si="10"/>
        <v>G5</v>
      </c>
      <c r="AM161" s="18">
        <v>50</v>
      </c>
      <c r="AO161" t="str">
        <f t="shared" si="11"/>
        <v>M50</v>
      </c>
      <c r="AP161" t="str">
        <f t="shared" si="12"/>
        <v>G5M50</v>
      </c>
      <c r="AQ161" s="18">
        <v>92</v>
      </c>
      <c r="AW161" t="str">
        <f>IF(Tabela4[[#This Row],[JUSTIFICATIVA]]="","",CONCATENATE("B",Tabela4[[#This Row],[BLOCO]],Tabela4[[#This Row],[UO_COD]]))</f>
        <v/>
      </c>
      <c r="AX161">
        <f>Tabela4[[#This Row],[JUSTIFICATIVA]]</f>
        <v>0</v>
      </c>
    </row>
    <row r="162" spans="1:50" ht="15" customHeight="1">
      <c r="A162" s="11">
        <v>1261</v>
      </c>
      <c r="B162" s="11">
        <v>2097</v>
      </c>
      <c r="C162" s="12" t="str">
        <f t="shared" si="9"/>
        <v>12612097</v>
      </c>
      <c r="D162" s="11" t="s">
        <v>605</v>
      </c>
      <c r="E162" s="11" t="s">
        <v>612</v>
      </c>
      <c r="F162" s="11" t="s">
        <v>616</v>
      </c>
      <c r="G162" s="11">
        <v>0</v>
      </c>
      <c r="T162" s="11">
        <v>1261</v>
      </c>
      <c r="U162" s="11">
        <v>2097</v>
      </c>
      <c r="Z162" s="14"/>
      <c r="AK162" s="18">
        <v>5</v>
      </c>
      <c r="AL162" s="18" t="str">
        <f t="shared" si="10"/>
        <v>G5</v>
      </c>
      <c r="AM162" s="18">
        <v>67</v>
      </c>
      <c r="AO162" t="str">
        <f t="shared" si="11"/>
        <v>M67</v>
      </c>
      <c r="AP162" t="str">
        <f t="shared" si="12"/>
        <v>G5M67</v>
      </c>
      <c r="AQ162" s="18">
        <v>82</v>
      </c>
      <c r="AW162" t="str">
        <f>IF(Tabela4[[#This Row],[JUSTIFICATIVA]]="","",CONCATENATE("B",Tabela4[[#This Row],[BLOCO]],Tabela4[[#This Row],[UO_COD]]))</f>
        <v/>
      </c>
      <c r="AX162">
        <f>Tabela4[[#This Row],[JUSTIFICATIVA]]</f>
        <v>0</v>
      </c>
    </row>
    <row r="163" spans="1:50" ht="15" customHeight="1">
      <c r="A163" s="11">
        <v>1261</v>
      </c>
      <c r="B163" s="11">
        <v>2098</v>
      </c>
      <c r="C163" s="12" t="str">
        <f t="shared" si="9"/>
        <v>12612098</v>
      </c>
      <c r="D163" s="11" t="s">
        <v>605</v>
      </c>
      <c r="E163" s="11" t="s">
        <v>612</v>
      </c>
      <c r="F163" s="11" t="s">
        <v>616</v>
      </c>
      <c r="G163" s="11">
        <v>0</v>
      </c>
      <c r="T163" s="11">
        <v>1261</v>
      </c>
      <c r="U163" s="11">
        <v>2098</v>
      </c>
      <c r="Z163" s="14"/>
      <c r="AK163" s="18">
        <v>5</v>
      </c>
      <c r="AL163" s="18" t="str">
        <f t="shared" si="10"/>
        <v>G5</v>
      </c>
      <c r="AM163" s="18">
        <v>67</v>
      </c>
      <c r="AO163" t="str">
        <f t="shared" si="11"/>
        <v>M67</v>
      </c>
      <c r="AP163" t="str">
        <f t="shared" si="12"/>
        <v>G5M67</v>
      </c>
      <c r="AQ163" s="18">
        <v>83</v>
      </c>
      <c r="AW163" t="str">
        <f>IF(Tabela4[[#This Row],[JUSTIFICATIVA]]="","",CONCATENATE("B",Tabela4[[#This Row],[BLOCO]],Tabela4[[#This Row],[UO_COD]]))</f>
        <v/>
      </c>
      <c r="AX163">
        <f>Tabela4[[#This Row],[JUSTIFICATIVA]]</f>
        <v>0</v>
      </c>
    </row>
    <row r="164" spans="1:50" ht="15" customHeight="1">
      <c r="A164" s="11">
        <v>1261</v>
      </c>
      <c r="B164" s="11">
        <v>2099</v>
      </c>
      <c r="C164" s="12" t="str">
        <f t="shared" si="9"/>
        <v>12612099</v>
      </c>
      <c r="D164" s="11" t="s">
        <v>605</v>
      </c>
      <c r="E164" s="11" t="s">
        <v>612</v>
      </c>
      <c r="F164" s="11" t="s">
        <v>616</v>
      </c>
      <c r="G164" s="11">
        <v>1</v>
      </c>
      <c r="T164" s="11">
        <v>1261</v>
      </c>
      <c r="U164" s="11">
        <v>2099</v>
      </c>
      <c r="Z164" s="14"/>
      <c r="AK164" s="18">
        <v>5</v>
      </c>
      <c r="AL164" s="18" t="str">
        <f t="shared" si="10"/>
        <v>G5</v>
      </c>
      <c r="AM164" s="18">
        <v>90</v>
      </c>
      <c r="AO164" t="str">
        <f t="shared" si="11"/>
        <v>M90</v>
      </c>
      <c r="AP164" t="str">
        <f t="shared" si="12"/>
        <v>G5M90</v>
      </c>
      <c r="AQ164" s="18">
        <v>39</v>
      </c>
      <c r="AW164" t="str">
        <f>IF(Tabela4[[#This Row],[JUSTIFICATIVA]]="","",CONCATENATE("B",Tabela4[[#This Row],[BLOCO]],Tabela4[[#This Row],[UO_COD]]))</f>
        <v/>
      </c>
      <c r="AX164">
        <f>Tabela4[[#This Row],[JUSTIFICATIVA]]</f>
        <v>0</v>
      </c>
    </row>
    <row r="165" spans="1:50" ht="15" customHeight="1">
      <c r="A165" s="11">
        <v>1261</v>
      </c>
      <c r="B165" s="11">
        <v>2100</v>
      </c>
      <c r="C165" s="12" t="str">
        <f t="shared" si="9"/>
        <v>12612100</v>
      </c>
      <c r="D165" s="11" t="s">
        <v>605</v>
      </c>
      <c r="E165" s="11" t="s">
        <v>618</v>
      </c>
      <c r="F165" s="11" t="s">
        <v>616</v>
      </c>
      <c r="G165" s="11">
        <v>0</v>
      </c>
      <c r="T165" s="11">
        <v>1261</v>
      </c>
      <c r="U165" s="11">
        <v>2100</v>
      </c>
      <c r="Z165" s="14"/>
      <c r="AK165" s="18">
        <v>5</v>
      </c>
      <c r="AL165" s="18" t="str">
        <f t="shared" si="10"/>
        <v>G5</v>
      </c>
      <c r="AM165" s="18">
        <v>90</v>
      </c>
      <c r="AO165" t="str">
        <f t="shared" si="11"/>
        <v>M90</v>
      </c>
      <c r="AP165" t="str">
        <f t="shared" si="12"/>
        <v>G5M90</v>
      </c>
      <c r="AQ165" s="18">
        <v>41</v>
      </c>
      <c r="AW165" t="str">
        <f>IF(Tabela4[[#This Row],[JUSTIFICATIVA]]="","",CONCATENATE("B",Tabela4[[#This Row],[BLOCO]],Tabela4[[#This Row],[UO_COD]]))</f>
        <v/>
      </c>
      <c r="AX165">
        <f>Tabela4[[#This Row],[JUSTIFICATIVA]]</f>
        <v>0</v>
      </c>
    </row>
    <row r="166" spans="1:50" ht="15" customHeight="1">
      <c r="A166" s="11">
        <v>1261</v>
      </c>
      <c r="B166" s="11">
        <v>2101</v>
      </c>
      <c r="C166" s="12" t="str">
        <f t="shared" si="9"/>
        <v>12612101</v>
      </c>
      <c r="D166" s="11" t="s">
        <v>605</v>
      </c>
      <c r="E166" s="11" t="s">
        <v>623</v>
      </c>
      <c r="F166" s="11" t="s">
        <v>615</v>
      </c>
      <c r="G166" s="11">
        <v>0</v>
      </c>
      <c r="T166" s="11">
        <v>1261</v>
      </c>
      <c r="U166" s="11">
        <v>2101</v>
      </c>
      <c r="Z166" s="14"/>
      <c r="AK166" s="18">
        <v>5</v>
      </c>
      <c r="AL166" s="18" t="str">
        <f t="shared" si="10"/>
        <v>G5</v>
      </c>
      <c r="AM166" s="18">
        <v>90</v>
      </c>
      <c r="AO166" t="str">
        <f t="shared" si="11"/>
        <v>M90</v>
      </c>
      <c r="AP166" t="str">
        <f t="shared" si="12"/>
        <v>G5M90</v>
      </c>
      <c r="AQ166" s="18">
        <v>48</v>
      </c>
      <c r="AW166" t="str">
        <f>IF(Tabela4[[#This Row],[JUSTIFICATIVA]]="","",CONCATENATE("B",Tabela4[[#This Row],[BLOCO]],Tabela4[[#This Row],[UO_COD]]))</f>
        <v/>
      </c>
      <c r="AX166">
        <f>Tabela4[[#This Row],[JUSTIFICATIVA]]</f>
        <v>0</v>
      </c>
    </row>
    <row r="167" spans="1:50" ht="15" customHeight="1">
      <c r="A167" s="11">
        <v>1261</v>
      </c>
      <c r="B167" s="11">
        <v>2102</v>
      </c>
      <c r="C167" s="12" t="str">
        <f t="shared" si="9"/>
        <v>12612102</v>
      </c>
      <c r="D167" s="11" t="s">
        <v>605</v>
      </c>
      <c r="E167" s="11" t="s">
        <v>623</v>
      </c>
      <c r="F167" s="11" t="s">
        <v>615</v>
      </c>
      <c r="G167" s="11">
        <v>0</v>
      </c>
      <c r="T167" s="11">
        <v>1261</v>
      </c>
      <c r="U167" s="11">
        <v>2102</v>
      </c>
      <c r="Z167" s="14"/>
      <c r="AK167" s="18">
        <v>5</v>
      </c>
      <c r="AL167" s="18" t="str">
        <f t="shared" si="10"/>
        <v>G5</v>
      </c>
      <c r="AM167" s="18">
        <v>90</v>
      </c>
      <c r="AO167" t="str">
        <f t="shared" si="11"/>
        <v>M90</v>
      </c>
      <c r="AP167" t="str">
        <f t="shared" si="12"/>
        <v>G5M90</v>
      </c>
      <c r="AQ167" s="18">
        <v>51</v>
      </c>
      <c r="AW167" t="str">
        <f>IF(Tabela4[[#This Row],[JUSTIFICATIVA]]="","",CONCATENATE("B",Tabela4[[#This Row],[BLOCO]],Tabela4[[#This Row],[UO_COD]]))</f>
        <v/>
      </c>
      <c r="AX167">
        <f>Tabela4[[#This Row],[JUSTIFICATIVA]]</f>
        <v>0</v>
      </c>
    </row>
    <row r="168" spans="1:50" ht="15" customHeight="1">
      <c r="A168" s="11">
        <v>1261</v>
      </c>
      <c r="B168" s="11">
        <v>2105</v>
      </c>
      <c r="C168" s="12" t="str">
        <f t="shared" si="9"/>
        <v>12612105</v>
      </c>
      <c r="D168" s="11" t="s">
        <v>605</v>
      </c>
      <c r="E168" s="11" t="s">
        <v>612</v>
      </c>
      <c r="F168" s="11" t="s">
        <v>614</v>
      </c>
      <c r="G168" s="11">
        <v>1</v>
      </c>
      <c r="T168" s="11">
        <v>1261</v>
      </c>
      <c r="U168" s="11">
        <v>2105</v>
      </c>
      <c r="Z168" s="14"/>
      <c r="AK168" s="18">
        <v>5</v>
      </c>
      <c r="AL168" s="18" t="str">
        <f t="shared" si="10"/>
        <v>G5</v>
      </c>
      <c r="AM168" s="18">
        <v>90</v>
      </c>
      <c r="AO168" t="str">
        <f t="shared" si="11"/>
        <v>M90</v>
      </c>
      <c r="AP168" t="str">
        <f t="shared" si="12"/>
        <v>G5M90</v>
      </c>
      <c r="AQ168" s="18">
        <v>61</v>
      </c>
      <c r="AW168" t="str">
        <f>IF(Tabela4[[#This Row],[JUSTIFICATIVA]]="","",CONCATENATE("B",Tabela4[[#This Row],[BLOCO]],Tabela4[[#This Row],[UO_COD]]))</f>
        <v/>
      </c>
      <c r="AX168">
        <f>Tabela4[[#This Row],[JUSTIFICATIVA]]</f>
        <v>0</v>
      </c>
    </row>
    <row r="169" spans="1:50" ht="15" customHeight="1">
      <c r="A169" s="11">
        <v>1261</v>
      </c>
      <c r="B169" s="11">
        <v>2107</v>
      </c>
      <c r="C169" s="12" t="str">
        <f t="shared" si="9"/>
        <v>12612107</v>
      </c>
      <c r="D169" s="11" t="s">
        <v>605</v>
      </c>
      <c r="E169" s="11" t="s">
        <v>612</v>
      </c>
      <c r="F169" s="11" t="s">
        <v>614</v>
      </c>
      <c r="G169" s="11">
        <v>0</v>
      </c>
      <c r="T169" s="11">
        <v>1261</v>
      </c>
      <c r="U169" s="11">
        <v>2107</v>
      </c>
      <c r="Z169" s="14"/>
      <c r="AK169" s="18">
        <v>5</v>
      </c>
      <c r="AL169" s="18" t="str">
        <f t="shared" si="10"/>
        <v>G5</v>
      </c>
      <c r="AM169" s="18">
        <v>90</v>
      </c>
      <c r="AO169" t="str">
        <f t="shared" si="11"/>
        <v>M90</v>
      </c>
      <c r="AP169" t="str">
        <f t="shared" si="12"/>
        <v>G5M90</v>
      </c>
      <c r="AQ169" s="18">
        <v>62</v>
      </c>
      <c r="AW169" t="str">
        <f>IF(Tabela4[[#This Row],[JUSTIFICATIVA]]="","",CONCATENATE("B",Tabela4[[#This Row],[BLOCO]],Tabela4[[#This Row],[UO_COD]]))</f>
        <v/>
      </c>
      <c r="AX169">
        <f>Tabela4[[#This Row],[JUSTIFICATIVA]]</f>
        <v>0</v>
      </c>
    </row>
    <row r="170" spans="1:50" ht="15" customHeight="1">
      <c r="A170" s="11">
        <v>1261</v>
      </c>
      <c r="B170" s="11">
        <v>2118</v>
      </c>
      <c r="C170" s="12" t="str">
        <f t="shared" si="9"/>
        <v>12612118</v>
      </c>
      <c r="D170" s="11" t="s">
        <v>605</v>
      </c>
      <c r="E170" s="11" t="s">
        <v>622</v>
      </c>
      <c r="F170" s="11" t="s">
        <v>613</v>
      </c>
      <c r="G170" s="11">
        <v>1</v>
      </c>
      <c r="T170" s="11">
        <v>1261</v>
      </c>
      <c r="U170" s="11">
        <v>2118</v>
      </c>
      <c r="Z170" s="14"/>
      <c r="AK170" s="18">
        <v>5</v>
      </c>
      <c r="AL170" s="18" t="str">
        <f t="shared" si="10"/>
        <v>G5</v>
      </c>
      <c r="AM170" s="18">
        <v>90</v>
      </c>
      <c r="AO170" t="str">
        <f t="shared" si="11"/>
        <v>M90</v>
      </c>
      <c r="AP170" t="str">
        <f t="shared" si="12"/>
        <v>G5M90</v>
      </c>
      <c r="AQ170" s="18">
        <v>63</v>
      </c>
      <c r="AW170" t="str">
        <f>IF(Tabela4[[#This Row],[JUSTIFICATIVA]]="","",CONCATENATE("B",Tabela4[[#This Row],[BLOCO]],Tabela4[[#This Row],[UO_COD]]))</f>
        <v/>
      </c>
      <c r="AX170">
        <f>Tabela4[[#This Row],[JUSTIFICATIVA]]</f>
        <v>0</v>
      </c>
    </row>
    <row r="171" spans="1:50" ht="15" customHeight="1">
      <c r="A171" s="11">
        <v>1261</v>
      </c>
      <c r="B171" s="11">
        <v>2119</v>
      </c>
      <c r="C171" s="12" t="str">
        <f t="shared" si="9"/>
        <v>12612119</v>
      </c>
      <c r="D171" s="11" t="s">
        <v>605</v>
      </c>
      <c r="E171" s="11" t="s">
        <v>620</v>
      </c>
      <c r="F171" s="11" t="s">
        <v>613</v>
      </c>
      <c r="G171" s="11">
        <v>0</v>
      </c>
      <c r="T171" s="11">
        <v>1261</v>
      </c>
      <c r="U171" s="11">
        <v>2119</v>
      </c>
      <c r="Z171" s="14"/>
      <c r="AK171" s="18">
        <v>5</v>
      </c>
      <c r="AL171" s="18" t="str">
        <f t="shared" si="10"/>
        <v>G5</v>
      </c>
      <c r="AM171" s="18">
        <v>90</v>
      </c>
      <c r="AO171" t="str">
        <f t="shared" si="11"/>
        <v>M90</v>
      </c>
      <c r="AP171" t="str">
        <f t="shared" si="12"/>
        <v>G5M90</v>
      </c>
      <c r="AQ171" s="18">
        <v>64</v>
      </c>
      <c r="AW171" t="str">
        <f>IF(Tabela4[[#This Row],[JUSTIFICATIVA]]="","",CONCATENATE("B",Tabela4[[#This Row],[BLOCO]],Tabela4[[#This Row],[UO_COD]]))</f>
        <v/>
      </c>
      <c r="AX171">
        <f>Tabela4[[#This Row],[JUSTIFICATIVA]]</f>
        <v>0</v>
      </c>
    </row>
    <row r="172" spans="1:50" ht="15" customHeight="1">
      <c r="A172" s="11">
        <v>1261</v>
      </c>
      <c r="B172" s="11">
        <v>2122</v>
      </c>
      <c r="C172" s="12" t="str">
        <f t="shared" si="9"/>
        <v>12612122</v>
      </c>
      <c r="D172" s="11" t="s">
        <v>605</v>
      </c>
      <c r="E172" s="11" t="s">
        <v>606</v>
      </c>
      <c r="F172" s="11" t="s">
        <v>613</v>
      </c>
      <c r="G172" s="11">
        <v>0</v>
      </c>
      <c r="T172" s="11">
        <v>1261</v>
      </c>
      <c r="U172" s="11">
        <v>2122</v>
      </c>
      <c r="Z172" s="14"/>
      <c r="AK172" s="18">
        <v>5</v>
      </c>
      <c r="AL172" s="18" t="str">
        <f t="shared" si="10"/>
        <v>G5</v>
      </c>
      <c r="AM172" s="18">
        <v>90</v>
      </c>
      <c r="AO172" t="str">
        <f t="shared" si="11"/>
        <v>M90</v>
      </c>
      <c r="AP172" t="str">
        <f t="shared" si="12"/>
        <v>G5M90</v>
      </c>
      <c r="AQ172" s="18">
        <v>65</v>
      </c>
      <c r="AW172" t="str">
        <f>IF(Tabela4[[#This Row],[JUSTIFICATIVA]]="","",CONCATENATE("B",Tabela4[[#This Row],[BLOCO]],Tabela4[[#This Row],[UO_COD]]))</f>
        <v/>
      </c>
      <c r="AX172">
        <f>Tabela4[[#This Row],[JUSTIFICATIVA]]</f>
        <v>0</v>
      </c>
    </row>
    <row r="173" spans="1:50" ht="15" customHeight="1">
      <c r="A173" s="11">
        <v>1261</v>
      </c>
      <c r="B173" s="11">
        <v>2123</v>
      </c>
      <c r="C173" s="12" t="str">
        <f t="shared" si="9"/>
        <v>12612123</v>
      </c>
      <c r="D173" s="11" t="s">
        <v>605</v>
      </c>
      <c r="E173" s="11" t="s">
        <v>612</v>
      </c>
      <c r="F173" s="11" t="s">
        <v>613</v>
      </c>
      <c r="G173" s="11">
        <v>0</v>
      </c>
      <c r="T173" s="11">
        <v>1261</v>
      </c>
      <c r="U173" s="11">
        <v>2123</v>
      </c>
      <c r="Z173" s="14"/>
      <c r="AK173" s="18">
        <v>5</v>
      </c>
      <c r="AL173" s="18" t="str">
        <f t="shared" si="10"/>
        <v>G5</v>
      </c>
      <c r="AM173" s="18">
        <v>90</v>
      </c>
      <c r="AO173" t="str">
        <f t="shared" si="11"/>
        <v>M90</v>
      </c>
      <c r="AP173" t="str">
        <f t="shared" si="12"/>
        <v>G5M90</v>
      </c>
      <c r="AQ173" s="18">
        <v>66</v>
      </c>
      <c r="AW173" t="str">
        <f>IF(Tabela4[[#This Row],[JUSTIFICATIVA]]="","",CONCATENATE("B",Tabela4[[#This Row],[BLOCO]],Tabela4[[#This Row],[UO_COD]]))</f>
        <v/>
      </c>
      <c r="AX173">
        <f>Tabela4[[#This Row],[JUSTIFICATIVA]]</f>
        <v>0</v>
      </c>
    </row>
    <row r="174" spans="1:50" ht="15" customHeight="1">
      <c r="A174" s="11">
        <v>1261</v>
      </c>
      <c r="B174" s="11">
        <v>2126</v>
      </c>
      <c r="C174" s="12" t="str">
        <f t="shared" si="9"/>
        <v>12612126</v>
      </c>
      <c r="D174" s="11" t="s">
        <v>605</v>
      </c>
      <c r="E174" s="11" t="s">
        <v>612</v>
      </c>
      <c r="F174" s="11" t="s">
        <v>624</v>
      </c>
      <c r="G174" s="11">
        <v>0</v>
      </c>
      <c r="T174" s="11">
        <v>1261</v>
      </c>
      <c r="U174" s="11">
        <v>2126</v>
      </c>
      <c r="Z174" s="14"/>
      <c r="AK174" s="18">
        <v>5</v>
      </c>
      <c r="AL174" s="18" t="str">
        <f t="shared" si="10"/>
        <v>G5</v>
      </c>
      <c r="AM174" s="18">
        <v>90</v>
      </c>
      <c r="AO174" t="str">
        <f t="shared" si="11"/>
        <v>M90</v>
      </c>
      <c r="AP174" t="str">
        <f t="shared" si="12"/>
        <v>G5M90</v>
      </c>
      <c r="AQ174" s="18">
        <v>67</v>
      </c>
      <c r="AW174" t="str">
        <f>IF(Tabela4[[#This Row],[JUSTIFICATIVA]]="","",CONCATENATE("B",Tabela4[[#This Row],[BLOCO]],Tabela4[[#This Row],[UO_COD]]))</f>
        <v/>
      </c>
      <c r="AX174">
        <f>Tabela4[[#This Row],[JUSTIFICATIVA]]</f>
        <v>0</v>
      </c>
    </row>
    <row r="175" spans="1:50" ht="15" customHeight="1">
      <c r="A175" s="11">
        <v>1261</v>
      </c>
      <c r="B175" s="11">
        <v>2127</v>
      </c>
      <c r="C175" s="12" t="str">
        <f t="shared" si="9"/>
        <v>12612127</v>
      </c>
      <c r="D175" s="11" t="s">
        <v>605</v>
      </c>
      <c r="E175" s="11" t="s">
        <v>612</v>
      </c>
      <c r="F175" s="11" t="s">
        <v>614</v>
      </c>
      <c r="G175" s="11">
        <v>0</v>
      </c>
      <c r="T175" s="11">
        <v>1261</v>
      </c>
      <c r="U175" s="11">
        <v>2127</v>
      </c>
      <c r="Z175" s="14"/>
      <c r="AK175" s="18">
        <v>5</v>
      </c>
      <c r="AL175" s="18" t="str">
        <f t="shared" si="10"/>
        <v>G5</v>
      </c>
      <c r="AM175" s="18">
        <v>90</v>
      </c>
      <c r="AO175" t="str">
        <f t="shared" si="11"/>
        <v>M90</v>
      </c>
      <c r="AP175" t="str">
        <f t="shared" si="12"/>
        <v>G5M90</v>
      </c>
      <c r="AQ175" s="18">
        <v>91</v>
      </c>
      <c r="AW175" t="str">
        <f>IF(Tabela4[[#This Row],[JUSTIFICATIVA]]="","",CONCATENATE("B",Tabela4[[#This Row],[BLOCO]],Tabela4[[#This Row],[UO_COD]]))</f>
        <v/>
      </c>
      <c r="AX175">
        <f>Tabela4[[#This Row],[JUSTIFICATIVA]]</f>
        <v>0</v>
      </c>
    </row>
    <row r="176" spans="1:50" ht="15" customHeight="1">
      <c r="A176" s="11">
        <v>1261</v>
      </c>
      <c r="B176" s="11">
        <v>2128</v>
      </c>
      <c r="C176" s="12" t="str">
        <f t="shared" si="9"/>
        <v>12612128</v>
      </c>
      <c r="D176" s="11" t="s">
        <v>605</v>
      </c>
      <c r="E176" s="11" t="s">
        <v>612</v>
      </c>
      <c r="F176" s="11" t="s">
        <v>617</v>
      </c>
      <c r="G176" s="11">
        <v>0</v>
      </c>
      <c r="T176" s="11">
        <v>1261</v>
      </c>
      <c r="U176" s="11">
        <v>2128</v>
      </c>
      <c r="Z176" s="14"/>
      <c r="AK176" s="18">
        <v>5</v>
      </c>
      <c r="AL176" s="18" t="str">
        <f t="shared" si="10"/>
        <v>G5</v>
      </c>
      <c r="AM176" s="18">
        <v>90</v>
      </c>
      <c r="AO176" t="str">
        <f t="shared" si="11"/>
        <v>M90</v>
      </c>
      <c r="AP176" t="str">
        <f t="shared" si="12"/>
        <v>G5M90</v>
      </c>
      <c r="AQ176" s="18">
        <v>92</v>
      </c>
      <c r="AW176" t="str">
        <f>IF(Tabela4[[#This Row],[JUSTIFICATIVA]]="","",CONCATENATE("B",Tabela4[[#This Row],[BLOCO]],Tabela4[[#This Row],[UO_COD]]))</f>
        <v/>
      </c>
      <c r="AX176">
        <f>Tabela4[[#This Row],[JUSTIFICATIVA]]</f>
        <v>0</v>
      </c>
    </row>
    <row r="177" spans="1:50" ht="15" customHeight="1">
      <c r="A177" s="11">
        <v>1261</v>
      </c>
      <c r="B177" s="11">
        <v>2129</v>
      </c>
      <c r="C177" s="12" t="str">
        <f t="shared" si="9"/>
        <v>12612129</v>
      </c>
      <c r="D177" s="11" t="s">
        <v>605</v>
      </c>
      <c r="E177" s="11" t="s">
        <v>612</v>
      </c>
      <c r="F177" s="11" t="s">
        <v>617</v>
      </c>
      <c r="G177" s="11">
        <v>0</v>
      </c>
      <c r="T177" s="11">
        <v>1261</v>
      </c>
      <c r="U177" s="11">
        <v>2129</v>
      </c>
      <c r="Z177" s="14"/>
      <c r="AK177" s="18">
        <v>5</v>
      </c>
      <c r="AL177" s="18" t="str">
        <f t="shared" si="10"/>
        <v>G5</v>
      </c>
      <c r="AM177" s="18">
        <v>91</v>
      </c>
      <c r="AO177" t="str">
        <f t="shared" si="11"/>
        <v>M91</v>
      </c>
      <c r="AP177" t="str">
        <f t="shared" si="12"/>
        <v>G5M91</v>
      </c>
      <c r="AQ177" s="18">
        <v>41</v>
      </c>
      <c r="AW177" t="str">
        <f>IF(Tabela4[[#This Row],[JUSTIFICATIVA]]="","",CONCATENATE("B",Tabela4[[#This Row],[BLOCO]],Tabela4[[#This Row],[UO_COD]]))</f>
        <v/>
      </c>
      <c r="AX177">
        <f>Tabela4[[#This Row],[JUSTIFICATIVA]]</f>
        <v>0</v>
      </c>
    </row>
    <row r="178" spans="1:50" ht="15" customHeight="1">
      <c r="A178" s="11">
        <v>1261</v>
      </c>
      <c r="B178" s="11">
        <v>4108</v>
      </c>
      <c r="C178" s="12" t="str">
        <f t="shared" si="9"/>
        <v>12614108</v>
      </c>
      <c r="D178" s="11" t="s">
        <v>605</v>
      </c>
      <c r="E178" s="11" t="s">
        <v>612</v>
      </c>
      <c r="F178" s="11" t="s">
        <v>505</v>
      </c>
      <c r="G178" s="11">
        <v>0</v>
      </c>
      <c r="T178" s="11">
        <v>1261</v>
      </c>
      <c r="U178" s="11">
        <v>4108</v>
      </c>
      <c r="Z178" s="14"/>
      <c r="AK178" s="18">
        <v>5</v>
      </c>
      <c r="AL178" s="18" t="str">
        <f t="shared" si="10"/>
        <v>G5</v>
      </c>
      <c r="AM178" s="18">
        <v>99</v>
      </c>
      <c r="AO178" t="str">
        <f t="shared" si="11"/>
        <v>M99</v>
      </c>
      <c r="AP178" t="str">
        <f t="shared" si="12"/>
        <v>G5M99</v>
      </c>
      <c r="AQ178" s="18">
        <v>99</v>
      </c>
      <c r="AW178" t="str">
        <f>IF(Tabela4[[#This Row],[JUSTIFICATIVA]]="","",CONCATENATE("B",Tabela4[[#This Row],[BLOCO]],Tabela4[[#This Row],[UO_COD]]))</f>
        <v/>
      </c>
      <c r="AX178">
        <f>Tabela4[[#This Row],[JUSTIFICATIVA]]</f>
        <v>0</v>
      </c>
    </row>
    <row r="179" spans="1:50" ht="15" customHeight="1">
      <c r="A179" s="11">
        <v>1261</v>
      </c>
      <c r="B179" s="11">
        <v>4418</v>
      </c>
      <c r="C179" s="12" t="str">
        <f t="shared" si="9"/>
        <v>12614418</v>
      </c>
      <c r="D179" s="11" t="s">
        <v>605</v>
      </c>
      <c r="E179" s="11" t="s">
        <v>612</v>
      </c>
      <c r="F179" s="11" t="s">
        <v>585</v>
      </c>
      <c r="G179" s="11">
        <v>0</v>
      </c>
      <c r="T179">
        <v>1261</v>
      </c>
      <c r="U179">
        <v>4418</v>
      </c>
      <c r="Z179" s="14"/>
      <c r="AK179" s="18">
        <v>6</v>
      </c>
      <c r="AL179" s="18" t="str">
        <f t="shared" si="10"/>
        <v>G6</v>
      </c>
      <c r="AM179" s="18">
        <v>90</v>
      </c>
      <c r="AO179" t="str">
        <f t="shared" si="11"/>
        <v>M90</v>
      </c>
      <c r="AP179" t="str">
        <f t="shared" si="12"/>
        <v>G6M90</v>
      </c>
      <c r="AQ179" s="18">
        <v>71</v>
      </c>
      <c r="AW179" t="str">
        <f>IF(Tabela4[[#This Row],[JUSTIFICATIVA]]="","",CONCATENATE("B",Tabela4[[#This Row],[BLOCO]],Tabela4[[#This Row],[UO_COD]]))</f>
        <v/>
      </c>
      <c r="AX179">
        <f>Tabela4[[#This Row],[JUSTIFICATIVA]]</f>
        <v>0</v>
      </c>
    </row>
    <row r="180" spans="1:50" ht="15" customHeight="1">
      <c r="A180" s="11">
        <v>1261</v>
      </c>
      <c r="B180" s="11">
        <v>4505</v>
      </c>
      <c r="C180" s="12" t="str">
        <f t="shared" si="9"/>
        <v>12614505</v>
      </c>
      <c r="D180" s="11" t="s">
        <v>605</v>
      </c>
      <c r="E180" s="11" t="s">
        <v>612</v>
      </c>
      <c r="F180" s="11" t="s">
        <v>613</v>
      </c>
      <c r="G180" s="11">
        <v>0</v>
      </c>
      <c r="T180" s="11">
        <v>1261</v>
      </c>
      <c r="U180" s="11">
        <v>4505</v>
      </c>
      <c r="Z180" s="14"/>
      <c r="AK180" s="18">
        <v>6</v>
      </c>
      <c r="AL180" s="18" t="str">
        <f t="shared" si="10"/>
        <v>G6</v>
      </c>
      <c r="AM180" s="18">
        <v>90</v>
      </c>
      <c r="AO180" t="str">
        <f t="shared" si="11"/>
        <v>M90</v>
      </c>
      <c r="AP180" t="str">
        <f t="shared" si="12"/>
        <v>G6M90</v>
      </c>
      <c r="AQ180" s="18">
        <v>72</v>
      </c>
      <c r="AW180" t="str">
        <f>IF(Tabela4[[#This Row],[JUSTIFICATIVA]]="","",CONCATENATE("B",Tabela4[[#This Row],[BLOCO]],Tabela4[[#This Row],[UO_COD]]))</f>
        <v/>
      </c>
      <c r="AX180">
        <f>Tabela4[[#This Row],[JUSTIFICATIVA]]</f>
        <v>0</v>
      </c>
    </row>
    <row r="181" spans="1:50" ht="15" customHeight="1">
      <c r="A181" s="11">
        <v>1261</v>
      </c>
      <c r="B181" s="11">
        <v>4506</v>
      </c>
      <c r="C181" s="12" t="str">
        <f t="shared" si="9"/>
        <v>12614506</v>
      </c>
      <c r="D181" s="11" t="s">
        <v>605</v>
      </c>
      <c r="E181" s="11" t="s">
        <v>612</v>
      </c>
      <c r="F181" s="11" t="s">
        <v>613</v>
      </c>
      <c r="G181" s="11">
        <v>0</v>
      </c>
      <c r="T181" s="11">
        <v>1261</v>
      </c>
      <c r="U181" s="11">
        <v>4506</v>
      </c>
      <c r="Z181" s="14"/>
      <c r="AK181" s="18">
        <v>6</v>
      </c>
      <c r="AL181" s="18" t="str">
        <f t="shared" si="10"/>
        <v>G6</v>
      </c>
      <c r="AM181" s="18">
        <v>90</v>
      </c>
      <c r="AO181" t="str">
        <f t="shared" si="11"/>
        <v>M90</v>
      </c>
      <c r="AP181" t="str">
        <f t="shared" si="12"/>
        <v>G6M90</v>
      </c>
      <c r="AQ181" s="18">
        <v>73</v>
      </c>
      <c r="AW181" t="str">
        <f>IF(Tabela4[[#This Row],[JUSTIFICATIVA]]="","",CONCATENATE("B",Tabela4[[#This Row],[BLOCO]],Tabela4[[#This Row],[UO_COD]]))</f>
        <v/>
      </c>
      <c r="AX181">
        <f>Tabela4[[#This Row],[JUSTIFICATIVA]]</f>
        <v>0</v>
      </c>
    </row>
    <row r="182" spans="1:50" ht="15" customHeight="1">
      <c r="A182" s="11">
        <v>1261</v>
      </c>
      <c r="B182" s="11">
        <v>4507</v>
      </c>
      <c r="C182" s="12" t="str">
        <f t="shared" si="9"/>
        <v>12614507</v>
      </c>
      <c r="D182" s="11" t="s">
        <v>605</v>
      </c>
      <c r="E182" s="11" t="s">
        <v>612</v>
      </c>
      <c r="F182" s="11" t="s">
        <v>613</v>
      </c>
      <c r="G182" s="11">
        <v>0</v>
      </c>
      <c r="T182" s="11">
        <v>1261</v>
      </c>
      <c r="U182" s="11">
        <v>4507</v>
      </c>
      <c r="Z182" s="14"/>
      <c r="AK182" s="18">
        <v>6</v>
      </c>
      <c r="AL182" s="18" t="str">
        <f t="shared" si="10"/>
        <v>G6</v>
      </c>
      <c r="AM182" s="18">
        <v>90</v>
      </c>
      <c r="AO182" t="str">
        <f t="shared" si="11"/>
        <v>M90</v>
      </c>
      <c r="AP182" t="str">
        <f t="shared" si="12"/>
        <v>G6M90</v>
      </c>
      <c r="AQ182" s="18">
        <v>74</v>
      </c>
      <c r="AW182" t="str">
        <f>IF(Tabela4[[#This Row],[JUSTIFICATIVA]]="","",CONCATENATE("B",Tabela4[[#This Row],[BLOCO]],Tabela4[[#This Row],[UO_COD]]))</f>
        <v/>
      </c>
      <c r="AX182">
        <f>Tabela4[[#This Row],[JUSTIFICATIVA]]</f>
        <v>0</v>
      </c>
    </row>
    <row r="183" spans="1:50" ht="15" customHeight="1">
      <c r="A183" s="11">
        <v>1261</v>
      </c>
      <c r="B183" s="11">
        <v>4508</v>
      </c>
      <c r="C183" s="12" t="str">
        <f t="shared" si="9"/>
        <v>12614508</v>
      </c>
      <c r="D183" s="11" t="s">
        <v>605</v>
      </c>
      <c r="E183" s="11" t="s">
        <v>612</v>
      </c>
      <c r="F183" s="11" t="s">
        <v>613</v>
      </c>
      <c r="G183" s="11">
        <v>0</v>
      </c>
      <c r="T183" s="11">
        <v>1261</v>
      </c>
      <c r="U183" s="11">
        <v>4508</v>
      </c>
      <c r="Z183" s="14"/>
      <c r="AK183" s="18">
        <v>6</v>
      </c>
      <c r="AL183" s="18" t="str">
        <f t="shared" si="10"/>
        <v>G6</v>
      </c>
      <c r="AM183" s="18">
        <v>90</v>
      </c>
      <c r="AO183" t="str">
        <f t="shared" si="11"/>
        <v>M90</v>
      </c>
      <c r="AP183" t="str">
        <f t="shared" si="12"/>
        <v>G6M90</v>
      </c>
      <c r="AQ183" s="18">
        <v>76</v>
      </c>
      <c r="AW183" t="str">
        <f>IF(Tabela4[[#This Row],[JUSTIFICATIVA]]="","",CONCATENATE("B",Tabela4[[#This Row],[BLOCO]],Tabela4[[#This Row],[UO_COD]]))</f>
        <v/>
      </c>
      <c r="AX183">
        <f>Tabela4[[#This Row],[JUSTIFICATIVA]]</f>
        <v>0</v>
      </c>
    </row>
    <row r="184" spans="1:50" ht="15" customHeight="1">
      <c r="A184" s="11">
        <v>1261</v>
      </c>
      <c r="B184" s="11">
        <v>4509</v>
      </c>
      <c r="C184" s="12" t="str">
        <f t="shared" si="9"/>
        <v>12614509</v>
      </c>
      <c r="D184" s="11" t="s">
        <v>605</v>
      </c>
      <c r="E184" s="11" t="s">
        <v>612</v>
      </c>
      <c r="F184" s="11" t="s">
        <v>613</v>
      </c>
      <c r="G184" s="11">
        <v>0</v>
      </c>
      <c r="T184" s="11">
        <v>1261</v>
      </c>
      <c r="U184" s="11">
        <v>4509</v>
      </c>
      <c r="Z184" s="14"/>
      <c r="AK184" s="18">
        <v>6</v>
      </c>
      <c r="AL184" s="18" t="str">
        <f t="shared" si="10"/>
        <v>G6</v>
      </c>
      <c r="AM184" s="18">
        <v>90</v>
      </c>
      <c r="AO184" t="str">
        <f t="shared" si="11"/>
        <v>M90</v>
      </c>
      <c r="AP184" t="str">
        <f t="shared" si="12"/>
        <v>G6M90</v>
      </c>
      <c r="AQ184" s="18">
        <v>77</v>
      </c>
      <c r="AW184" t="str">
        <f>IF(Tabela4[[#This Row],[JUSTIFICATIVA]]="","",CONCATENATE("B",Tabela4[[#This Row],[BLOCO]],Tabela4[[#This Row],[UO_COD]]))</f>
        <v/>
      </c>
      <c r="AX184">
        <f>Tabela4[[#This Row],[JUSTIFICATIVA]]</f>
        <v>0</v>
      </c>
    </row>
    <row r="185" spans="1:50" ht="15" customHeight="1">
      <c r="A185" s="11">
        <v>1261</v>
      </c>
      <c r="B185" s="11">
        <v>4510</v>
      </c>
      <c r="C185" s="12" t="str">
        <f t="shared" si="9"/>
        <v>12614510</v>
      </c>
      <c r="D185" s="11" t="s">
        <v>605</v>
      </c>
      <c r="E185" s="11" t="s">
        <v>612</v>
      </c>
      <c r="F185" s="11" t="s">
        <v>624</v>
      </c>
      <c r="G185" s="11">
        <v>0</v>
      </c>
      <c r="T185" s="11">
        <v>1261</v>
      </c>
      <c r="U185" s="11">
        <v>4510</v>
      </c>
      <c r="Z185" s="14"/>
      <c r="AK185" s="18">
        <v>6</v>
      </c>
      <c r="AL185" s="18" t="str">
        <f t="shared" si="10"/>
        <v>G6</v>
      </c>
      <c r="AM185" s="18">
        <v>90</v>
      </c>
      <c r="AO185" t="str">
        <f t="shared" si="11"/>
        <v>M90</v>
      </c>
      <c r="AP185" t="str">
        <f t="shared" si="12"/>
        <v>G6M90</v>
      </c>
      <c r="AQ185" s="18">
        <v>91</v>
      </c>
      <c r="AW185" t="str">
        <f>IF(Tabela4[[#This Row],[JUSTIFICATIVA]]="","",CONCATENATE("B",Tabela4[[#This Row],[BLOCO]],Tabela4[[#This Row],[UO_COD]]))</f>
        <v/>
      </c>
      <c r="AX185">
        <f>Tabela4[[#This Row],[JUSTIFICATIVA]]</f>
        <v>0</v>
      </c>
    </row>
    <row r="186" spans="1:50" ht="15" customHeight="1">
      <c r="A186" s="11">
        <v>1261</v>
      </c>
      <c r="B186" s="11">
        <v>4511</v>
      </c>
      <c r="C186" s="12" t="str">
        <f t="shared" si="9"/>
        <v>12614511</v>
      </c>
      <c r="D186" s="11" t="s">
        <v>605</v>
      </c>
      <c r="E186" s="11" t="s">
        <v>608</v>
      </c>
      <c r="F186" s="11" t="s">
        <v>613</v>
      </c>
      <c r="G186" s="11">
        <v>0</v>
      </c>
      <c r="T186" s="11">
        <v>1261</v>
      </c>
      <c r="U186" s="11">
        <v>4511</v>
      </c>
      <c r="Z186" s="14"/>
      <c r="AK186" s="18">
        <v>6</v>
      </c>
      <c r="AL186" s="18" t="str">
        <f t="shared" si="10"/>
        <v>G6</v>
      </c>
      <c r="AM186" s="18">
        <v>90</v>
      </c>
      <c r="AO186" t="str">
        <f t="shared" si="11"/>
        <v>M90</v>
      </c>
      <c r="AP186" t="str">
        <f t="shared" si="12"/>
        <v>G6M90</v>
      </c>
      <c r="AQ186" s="18">
        <v>92</v>
      </c>
      <c r="AW186" t="str">
        <f>IF(Tabela4[[#This Row],[JUSTIFICATIVA]]="","",CONCATENATE("B",Tabela4[[#This Row],[BLOCO]],Tabela4[[#This Row],[UO_COD]]))</f>
        <v/>
      </c>
      <c r="AX186">
        <f>Tabela4[[#This Row],[JUSTIFICATIVA]]</f>
        <v>0</v>
      </c>
    </row>
    <row r="187" spans="1:50" ht="15" customHeight="1">
      <c r="A187" s="11">
        <v>1261</v>
      </c>
      <c r="B187" s="11">
        <v>4512</v>
      </c>
      <c r="C187" s="12" t="str">
        <f t="shared" si="9"/>
        <v>12614512</v>
      </c>
      <c r="D187" s="11" t="s">
        <v>605</v>
      </c>
      <c r="E187" s="11" t="s">
        <v>622</v>
      </c>
      <c r="F187" s="11" t="s">
        <v>613</v>
      </c>
      <c r="G187" s="11">
        <v>0</v>
      </c>
      <c r="T187" s="11">
        <v>1261</v>
      </c>
      <c r="U187" s="11">
        <v>4512</v>
      </c>
      <c r="Z187" s="14"/>
      <c r="AK187" s="18">
        <v>6</v>
      </c>
      <c r="AL187" s="18" t="str">
        <f t="shared" si="10"/>
        <v>G6</v>
      </c>
      <c r="AM187" s="18">
        <v>90</v>
      </c>
      <c r="AO187" t="str">
        <f t="shared" si="11"/>
        <v>M90</v>
      </c>
      <c r="AP187" t="str">
        <f t="shared" si="12"/>
        <v>G6M90</v>
      </c>
      <c r="AQ187" s="18">
        <v>93</v>
      </c>
      <c r="AW187" t="str">
        <f>IF(Tabela4[[#This Row],[JUSTIFICATIVA]]="","",CONCATENATE("B",Tabela4[[#This Row],[BLOCO]],Tabela4[[#This Row],[UO_COD]]))</f>
        <v/>
      </c>
      <c r="AX187">
        <f>Tabela4[[#This Row],[JUSTIFICATIVA]]</f>
        <v>0</v>
      </c>
    </row>
    <row r="188" spans="1:50" ht="15" customHeight="1">
      <c r="A188" s="11">
        <v>1261</v>
      </c>
      <c r="B188" s="11">
        <v>4519</v>
      </c>
      <c r="C188" s="12" t="str">
        <f t="shared" si="9"/>
        <v>12614519</v>
      </c>
      <c r="D188" s="11" t="s">
        <v>605</v>
      </c>
      <c r="E188" s="11" t="s">
        <v>612</v>
      </c>
      <c r="F188" s="11" t="s">
        <v>624</v>
      </c>
      <c r="G188" s="11">
        <v>1</v>
      </c>
      <c r="T188" s="11">
        <v>1261</v>
      </c>
      <c r="U188" s="11">
        <v>4519</v>
      </c>
      <c r="Z188" s="14"/>
      <c r="AK188" s="18">
        <v>6</v>
      </c>
      <c r="AL188" s="18" t="str">
        <f t="shared" si="10"/>
        <v>G6</v>
      </c>
      <c r="AM188" s="18">
        <v>91</v>
      </c>
      <c r="AO188" t="str">
        <f t="shared" si="11"/>
        <v>M91</v>
      </c>
      <c r="AP188" t="str">
        <f t="shared" si="12"/>
        <v>G6M91</v>
      </c>
      <c r="AQ188" s="18">
        <v>71</v>
      </c>
      <c r="AW188" t="str">
        <f>IF(Tabela4[[#This Row],[JUSTIFICATIVA]]="","",CONCATENATE("B",Tabela4[[#This Row],[BLOCO]],Tabela4[[#This Row],[UO_COD]]))</f>
        <v/>
      </c>
      <c r="AX188">
        <f>Tabela4[[#This Row],[JUSTIFICATIVA]]</f>
        <v>0</v>
      </c>
    </row>
    <row r="189" spans="1:50" ht="15" customHeight="1">
      <c r="A189" s="11">
        <v>1261</v>
      </c>
      <c r="B189" s="11">
        <v>4525</v>
      </c>
      <c r="C189" s="12" t="str">
        <f t="shared" si="9"/>
        <v>12614525</v>
      </c>
      <c r="D189" s="11" t="s">
        <v>605</v>
      </c>
      <c r="E189" s="11" t="s">
        <v>625</v>
      </c>
      <c r="F189" s="11" t="s">
        <v>624</v>
      </c>
      <c r="G189" s="11">
        <v>0</v>
      </c>
      <c r="T189" s="11">
        <v>1261</v>
      </c>
      <c r="U189" s="11">
        <v>4525</v>
      </c>
      <c r="Z189" s="14"/>
      <c r="AH189" s="18"/>
      <c r="AI189" s="18"/>
      <c r="AK189" s="18">
        <v>9</v>
      </c>
      <c r="AL189" s="18" t="str">
        <f t="shared" si="10"/>
        <v>G9</v>
      </c>
      <c r="AM189" s="18">
        <v>99</v>
      </c>
      <c r="AO189" t="str">
        <f t="shared" si="11"/>
        <v>M99</v>
      </c>
      <c r="AP189" t="str">
        <f t="shared" si="12"/>
        <v>G9M99</v>
      </c>
      <c r="AQ189" s="18">
        <v>99</v>
      </c>
      <c r="AW189" t="str">
        <f>IF(Tabela4[[#This Row],[JUSTIFICATIVA]]="","",CONCATENATE("B",Tabela4[[#This Row],[BLOCO]],Tabela4[[#This Row],[UO_COD]]))</f>
        <v/>
      </c>
      <c r="AX189">
        <f>Tabela4[[#This Row],[JUSTIFICATIVA]]</f>
        <v>0</v>
      </c>
    </row>
    <row r="190" spans="1:50" ht="15" customHeight="1">
      <c r="A190" s="11">
        <v>1261</v>
      </c>
      <c r="B190" s="11">
        <v>4527</v>
      </c>
      <c r="C190" s="12" t="str">
        <f t="shared" si="9"/>
        <v>12614527</v>
      </c>
      <c r="D190" s="11" t="s">
        <v>605</v>
      </c>
      <c r="E190" s="11" t="s">
        <v>612</v>
      </c>
      <c r="F190" s="11" t="s">
        <v>624</v>
      </c>
      <c r="G190" s="11">
        <v>0</v>
      </c>
      <c r="T190" s="11">
        <v>1261</v>
      </c>
      <c r="U190" s="11">
        <v>4527</v>
      </c>
      <c r="AW190" t="str">
        <f>IF(Tabela4[[#This Row],[JUSTIFICATIVA]]="","",CONCATENATE("B",Tabela4[[#This Row],[BLOCO]],Tabela4[[#This Row],[UO_COD]]))</f>
        <v/>
      </c>
      <c r="AX190">
        <f>Tabela4[[#This Row],[JUSTIFICATIVA]]</f>
        <v>0</v>
      </c>
    </row>
    <row r="191" spans="1:50" ht="15" customHeight="1">
      <c r="A191" s="11">
        <v>1261</v>
      </c>
      <c r="B191" s="11">
        <v>4543</v>
      </c>
      <c r="C191" s="12" t="str">
        <f t="shared" si="9"/>
        <v>12614543</v>
      </c>
      <c r="D191" s="11" t="s">
        <v>605</v>
      </c>
      <c r="E191" s="11" t="s">
        <v>606</v>
      </c>
      <c r="F191" s="11" t="s">
        <v>626</v>
      </c>
      <c r="G191" s="11">
        <v>1</v>
      </c>
      <c r="T191" s="11">
        <v>1261</v>
      </c>
      <c r="U191" s="11">
        <v>4543</v>
      </c>
      <c r="AW191" t="str">
        <f>IF(Tabela4[[#This Row],[JUSTIFICATIVA]]="","",CONCATENATE("B",Tabela4[[#This Row],[BLOCO]],Tabela4[[#This Row],[UO_COD]]))</f>
        <v/>
      </c>
      <c r="AX191">
        <f>Tabela4[[#This Row],[JUSTIFICATIVA]]</f>
        <v>0</v>
      </c>
    </row>
    <row r="192" spans="1:50" ht="15" customHeight="1">
      <c r="A192" s="11">
        <v>1261</v>
      </c>
      <c r="B192" s="11">
        <v>4545</v>
      </c>
      <c r="C192" s="12" t="str">
        <f t="shared" si="9"/>
        <v>12614545</v>
      </c>
      <c r="D192" s="11" t="s">
        <v>605</v>
      </c>
      <c r="E192" s="11" t="s">
        <v>606</v>
      </c>
      <c r="F192" s="11" t="s">
        <v>626</v>
      </c>
      <c r="G192" s="11">
        <v>0</v>
      </c>
      <c r="T192" s="11">
        <v>1261</v>
      </c>
      <c r="U192" s="11">
        <v>4545</v>
      </c>
      <c r="AW192" t="str">
        <f>IF(Tabela4[[#This Row],[JUSTIFICATIVA]]="","",CONCATENATE("B",Tabela4[[#This Row],[BLOCO]],Tabela4[[#This Row],[UO_COD]]))</f>
        <v/>
      </c>
      <c r="AX192">
        <f>Tabela4[[#This Row],[JUSTIFICATIVA]]</f>
        <v>0</v>
      </c>
    </row>
    <row r="193" spans="1:50" ht="15" customHeight="1">
      <c r="A193" s="11">
        <v>1261</v>
      </c>
      <c r="B193" s="11">
        <v>4547</v>
      </c>
      <c r="C193" s="12" t="str">
        <f t="shared" si="9"/>
        <v>12614547</v>
      </c>
      <c r="D193" s="11" t="s">
        <v>605</v>
      </c>
      <c r="E193" s="11" t="s">
        <v>515</v>
      </c>
      <c r="F193" s="11" t="s">
        <v>626</v>
      </c>
      <c r="G193" s="11">
        <v>0</v>
      </c>
      <c r="T193" s="11">
        <v>1261</v>
      </c>
      <c r="U193" s="11">
        <v>4547</v>
      </c>
      <c r="AW193" t="str">
        <f>IF(Tabela4[[#This Row],[JUSTIFICATIVA]]="","",CONCATENATE("B",Tabela4[[#This Row],[BLOCO]],Tabela4[[#This Row],[UO_COD]]))</f>
        <v/>
      </c>
      <c r="AX193">
        <f>Tabela4[[#This Row],[JUSTIFICATIVA]]</f>
        <v>0</v>
      </c>
    </row>
    <row r="194" spans="1:50" ht="15" customHeight="1">
      <c r="A194" s="11">
        <v>1271</v>
      </c>
      <c r="B194" s="11">
        <v>2417</v>
      </c>
      <c r="C194" s="12" t="str">
        <f t="shared" ref="C194:C257" si="13">CONCATENATE(A194,B194)</f>
        <v>12712417</v>
      </c>
      <c r="D194" s="11" t="s">
        <v>627</v>
      </c>
      <c r="E194" s="11" t="s">
        <v>470</v>
      </c>
      <c r="F194" s="11" t="s">
        <v>461</v>
      </c>
      <c r="G194" s="11">
        <v>0</v>
      </c>
      <c r="T194" s="11">
        <v>1271</v>
      </c>
      <c r="U194" s="11">
        <v>2417</v>
      </c>
      <c r="AW194" t="str">
        <f>IF(Tabela4[[#This Row],[JUSTIFICATIVA]]="","",CONCATENATE("B",Tabela4[[#This Row],[BLOCO]],Tabela4[[#This Row],[UO_COD]]))</f>
        <v/>
      </c>
      <c r="AX194">
        <f>Tabela4[[#This Row],[JUSTIFICATIVA]]</f>
        <v>0</v>
      </c>
    </row>
    <row r="195" spans="1:50" ht="15" customHeight="1">
      <c r="A195" s="11">
        <v>1271</v>
      </c>
      <c r="B195" s="11">
        <v>2500</v>
      </c>
      <c r="C195" s="12" t="str">
        <f t="shared" si="13"/>
        <v>12712500</v>
      </c>
      <c r="D195" s="11" t="s">
        <v>627</v>
      </c>
      <c r="E195" s="11" t="s">
        <v>470</v>
      </c>
      <c r="F195" s="11" t="s">
        <v>461</v>
      </c>
      <c r="G195" s="11">
        <v>0</v>
      </c>
      <c r="T195" s="11">
        <v>1271</v>
      </c>
      <c r="U195" s="11">
        <v>2500</v>
      </c>
      <c r="AW195" t="str">
        <f>IF(Tabela4[[#This Row],[JUSTIFICATIVA]]="","",CONCATENATE("B",Tabela4[[#This Row],[BLOCO]],Tabela4[[#This Row],[UO_COD]]))</f>
        <v/>
      </c>
      <c r="AX195">
        <f>Tabela4[[#This Row],[JUSTIFICATIVA]]</f>
        <v>0</v>
      </c>
    </row>
    <row r="196" spans="1:50" ht="15" customHeight="1">
      <c r="A196" s="11">
        <v>1271</v>
      </c>
      <c r="B196" s="11">
        <v>4322</v>
      </c>
      <c r="C196" s="12" t="str">
        <f t="shared" si="13"/>
        <v>12714322</v>
      </c>
      <c r="D196" s="11" t="s">
        <v>627</v>
      </c>
      <c r="E196" s="11" t="s">
        <v>628</v>
      </c>
      <c r="F196" s="11" t="s">
        <v>629</v>
      </c>
      <c r="G196" s="11">
        <v>0</v>
      </c>
      <c r="T196" s="11">
        <v>1271</v>
      </c>
      <c r="U196" s="11">
        <v>4322</v>
      </c>
      <c r="AW196" t="str">
        <f>IF(Tabela4[[#This Row],[JUSTIFICATIVA]]="","",CONCATENATE("B",Tabela4[[#This Row],[BLOCO]],Tabela4[[#This Row],[UO_COD]]))</f>
        <v/>
      </c>
      <c r="AX196">
        <f>Tabela4[[#This Row],[JUSTIFICATIVA]]</f>
        <v>0</v>
      </c>
    </row>
    <row r="197" spans="1:50" ht="15" customHeight="1">
      <c r="A197" s="11">
        <v>1271</v>
      </c>
      <c r="B197" s="11">
        <v>4324</v>
      </c>
      <c r="C197" s="12" t="str">
        <f t="shared" si="13"/>
        <v>12714324</v>
      </c>
      <c r="D197" s="11" t="s">
        <v>568</v>
      </c>
      <c r="E197" s="11" t="s">
        <v>630</v>
      </c>
      <c r="F197" s="11" t="s">
        <v>631</v>
      </c>
      <c r="G197" s="11">
        <v>0</v>
      </c>
      <c r="T197" s="11">
        <v>1271</v>
      </c>
      <c r="U197" s="11">
        <v>4324</v>
      </c>
      <c r="AW197" t="str">
        <f>IF(Tabela4[[#This Row],[JUSTIFICATIVA]]="","",CONCATENATE("B",Tabela4[[#This Row],[BLOCO]],Tabela4[[#This Row],[UO_COD]]))</f>
        <v/>
      </c>
      <c r="AX197">
        <f>Tabela4[[#This Row],[JUSTIFICATIVA]]</f>
        <v>0</v>
      </c>
    </row>
    <row r="198" spans="1:50" ht="15" customHeight="1">
      <c r="A198" s="11">
        <v>1271</v>
      </c>
      <c r="B198" s="11">
        <v>4326</v>
      </c>
      <c r="C198" s="12" t="str">
        <f t="shared" si="13"/>
        <v>12714326</v>
      </c>
      <c r="D198" s="11" t="s">
        <v>627</v>
      </c>
      <c r="E198" s="11" t="s">
        <v>628</v>
      </c>
      <c r="F198" s="11" t="s">
        <v>629</v>
      </c>
      <c r="G198" s="11">
        <v>0</v>
      </c>
      <c r="T198" s="11">
        <v>1271</v>
      </c>
      <c r="U198" s="11">
        <v>4326</v>
      </c>
      <c r="AW198" t="str">
        <f>IF(Tabela4[[#This Row],[JUSTIFICATIVA]]="","",CONCATENATE("B",Tabela4[[#This Row],[BLOCO]],Tabela4[[#This Row],[UO_COD]]))</f>
        <v/>
      </c>
      <c r="AX198">
        <f>Tabela4[[#This Row],[JUSTIFICATIVA]]</f>
        <v>0</v>
      </c>
    </row>
    <row r="199" spans="1:50" ht="15" customHeight="1">
      <c r="A199" s="11">
        <v>1271</v>
      </c>
      <c r="B199" s="11">
        <v>4327</v>
      </c>
      <c r="C199" s="12" t="str">
        <f t="shared" si="13"/>
        <v>12714327</v>
      </c>
      <c r="D199" s="11" t="s">
        <v>568</v>
      </c>
      <c r="E199" s="11" t="s">
        <v>630</v>
      </c>
      <c r="F199" s="11" t="s">
        <v>631</v>
      </c>
      <c r="G199" s="11">
        <v>0</v>
      </c>
      <c r="T199" s="11">
        <v>1271</v>
      </c>
      <c r="U199" s="11">
        <v>4327</v>
      </c>
      <c r="AW199" t="str">
        <f>IF(Tabela4[[#This Row],[JUSTIFICATIVA]]="","",CONCATENATE("B",Tabela4[[#This Row],[BLOCO]],Tabela4[[#This Row],[UO_COD]]))</f>
        <v/>
      </c>
      <c r="AX199">
        <f>Tabela4[[#This Row],[JUSTIFICATIVA]]</f>
        <v>0</v>
      </c>
    </row>
    <row r="200" spans="1:50" ht="15" customHeight="1">
      <c r="A200" s="11">
        <v>1271</v>
      </c>
      <c r="B200" s="11">
        <v>4328</v>
      </c>
      <c r="C200" s="12" t="str">
        <f t="shared" si="13"/>
        <v>12714328</v>
      </c>
      <c r="D200" s="11" t="s">
        <v>568</v>
      </c>
      <c r="E200" s="11" t="s">
        <v>630</v>
      </c>
      <c r="F200" s="11" t="s">
        <v>631</v>
      </c>
      <c r="G200" s="11">
        <v>1</v>
      </c>
      <c r="T200" s="11">
        <v>1271</v>
      </c>
      <c r="U200" s="11">
        <v>4328</v>
      </c>
      <c r="AW200" t="str">
        <f>IF(Tabela4[[#This Row],[JUSTIFICATIVA]]="","",CONCATENATE("B",Tabela4[[#This Row],[BLOCO]],Tabela4[[#This Row],[UO_COD]]))</f>
        <v/>
      </c>
      <c r="AX200">
        <f>Tabela4[[#This Row],[JUSTIFICATIVA]]</f>
        <v>0</v>
      </c>
    </row>
    <row r="201" spans="1:50" ht="15" customHeight="1">
      <c r="A201" s="11">
        <v>1271</v>
      </c>
      <c r="B201" s="11">
        <v>4329</v>
      </c>
      <c r="C201" s="12" t="str">
        <f t="shared" si="13"/>
        <v>12714329</v>
      </c>
      <c r="D201" s="11" t="s">
        <v>627</v>
      </c>
      <c r="E201" s="11" t="s">
        <v>628</v>
      </c>
      <c r="F201" s="11" t="s">
        <v>629</v>
      </c>
      <c r="G201" s="11">
        <v>0</v>
      </c>
      <c r="T201" s="11">
        <v>1271</v>
      </c>
      <c r="U201" s="11">
        <v>4329</v>
      </c>
      <c r="AW201" t="str">
        <f>IF(Tabela4[[#This Row],[JUSTIFICATIVA]]="","",CONCATENATE("B",Tabela4[[#This Row],[BLOCO]],Tabela4[[#This Row],[UO_COD]]))</f>
        <v/>
      </c>
      <c r="AX201">
        <f>Tabela4[[#This Row],[JUSTIFICATIVA]]</f>
        <v>0</v>
      </c>
    </row>
    <row r="202" spans="1:50" ht="15" customHeight="1">
      <c r="A202" s="11">
        <v>1271</v>
      </c>
      <c r="B202" s="11">
        <v>4330</v>
      </c>
      <c r="C202" s="12" t="str">
        <f t="shared" si="13"/>
        <v>12714330</v>
      </c>
      <c r="D202" s="11" t="s">
        <v>568</v>
      </c>
      <c r="E202" s="11" t="s">
        <v>630</v>
      </c>
      <c r="F202" s="11" t="s">
        <v>631</v>
      </c>
      <c r="G202" s="11">
        <v>0</v>
      </c>
      <c r="T202" s="11">
        <v>1271</v>
      </c>
      <c r="U202" s="11">
        <v>4330</v>
      </c>
      <c r="AW202" t="str">
        <f>IF(Tabela4[[#This Row],[JUSTIFICATIVA]]="","",CONCATENATE("B",Tabela4[[#This Row],[BLOCO]],Tabela4[[#This Row],[UO_COD]]))</f>
        <v/>
      </c>
      <c r="AX202">
        <f>Tabela4[[#This Row],[JUSTIFICATIVA]]</f>
        <v>0</v>
      </c>
    </row>
    <row r="203" spans="1:50" ht="15" customHeight="1">
      <c r="A203" s="11">
        <v>1271</v>
      </c>
      <c r="B203" s="11">
        <v>4331</v>
      </c>
      <c r="C203" s="12" t="str">
        <f t="shared" si="13"/>
        <v>12714331</v>
      </c>
      <c r="D203" s="11" t="s">
        <v>627</v>
      </c>
      <c r="E203" s="11" t="s">
        <v>628</v>
      </c>
      <c r="F203" s="11" t="s">
        <v>632</v>
      </c>
      <c r="G203" s="11">
        <v>0</v>
      </c>
      <c r="T203" s="11">
        <v>1271</v>
      </c>
      <c r="U203" s="11">
        <v>4331</v>
      </c>
      <c r="AW203" t="str">
        <f>IF(Tabela4[[#This Row],[JUSTIFICATIVA]]="","",CONCATENATE("B",Tabela4[[#This Row],[BLOCO]],Tabela4[[#This Row],[UO_COD]]))</f>
        <v/>
      </c>
      <c r="AX203">
        <f>Tabela4[[#This Row],[JUSTIFICATIVA]]</f>
        <v>0</v>
      </c>
    </row>
    <row r="204" spans="1:50" ht="15" customHeight="1">
      <c r="A204" s="11">
        <v>1271</v>
      </c>
      <c r="B204" s="11">
        <v>4332</v>
      </c>
      <c r="C204" s="12" t="str">
        <f t="shared" si="13"/>
        <v>12714332</v>
      </c>
      <c r="D204" s="11" t="s">
        <v>627</v>
      </c>
      <c r="E204" s="11" t="s">
        <v>628</v>
      </c>
      <c r="F204" s="11" t="s">
        <v>632</v>
      </c>
      <c r="G204" s="11">
        <v>0</v>
      </c>
      <c r="T204" s="11">
        <v>1271</v>
      </c>
      <c r="U204" s="11">
        <v>4332</v>
      </c>
      <c r="AW204" t="str">
        <f>IF(Tabela4[[#This Row],[JUSTIFICATIVA]]="","",CONCATENATE("B",Tabela4[[#This Row],[BLOCO]],Tabela4[[#This Row],[UO_COD]]))</f>
        <v/>
      </c>
      <c r="AX204">
        <f>Tabela4[[#This Row],[JUSTIFICATIVA]]</f>
        <v>0</v>
      </c>
    </row>
    <row r="205" spans="1:50" ht="15" customHeight="1">
      <c r="A205" s="11">
        <v>1271</v>
      </c>
      <c r="B205" s="11">
        <v>4336</v>
      </c>
      <c r="C205" s="12" t="str">
        <f t="shared" si="13"/>
        <v>12714336</v>
      </c>
      <c r="D205" s="11" t="s">
        <v>627</v>
      </c>
      <c r="E205" s="11" t="s">
        <v>628</v>
      </c>
      <c r="F205" s="11" t="s">
        <v>633</v>
      </c>
      <c r="G205" s="11">
        <v>0</v>
      </c>
      <c r="T205" s="11">
        <v>1271</v>
      </c>
      <c r="U205" s="11">
        <v>4336</v>
      </c>
      <c r="AW205" t="str">
        <f>IF(Tabela4[[#This Row],[JUSTIFICATIVA]]="","",CONCATENATE("B",Tabela4[[#This Row],[BLOCO]],Tabela4[[#This Row],[UO_COD]]))</f>
        <v/>
      </c>
      <c r="AX205">
        <f>Tabela4[[#This Row],[JUSTIFICATIVA]]</f>
        <v>0</v>
      </c>
    </row>
    <row r="206" spans="1:50" ht="15" customHeight="1">
      <c r="A206" s="11">
        <v>1271</v>
      </c>
      <c r="B206" s="11">
        <v>4337</v>
      </c>
      <c r="C206" s="12" t="str">
        <f t="shared" si="13"/>
        <v>12714337</v>
      </c>
      <c r="D206" s="11" t="s">
        <v>627</v>
      </c>
      <c r="E206" s="11" t="s">
        <v>628</v>
      </c>
      <c r="F206" s="11" t="s">
        <v>633</v>
      </c>
      <c r="G206" s="11">
        <v>0</v>
      </c>
      <c r="T206" s="11">
        <v>1271</v>
      </c>
      <c r="U206" s="11">
        <v>4337</v>
      </c>
      <c r="AW206" t="str">
        <f>IF(Tabela4[[#This Row],[JUSTIFICATIVA]]="","",CONCATENATE("B",Tabela4[[#This Row],[BLOCO]],Tabela4[[#This Row],[UO_COD]]))</f>
        <v/>
      </c>
      <c r="AX206">
        <f>Tabela4[[#This Row],[JUSTIFICATIVA]]</f>
        <v>0</v>
      </c>
    </row>
    <row r="207" spans="1:50" ht="15" customHeight="1">
      <c r="A207" s="11">
        <v>1271</v>
      </c>
      <c r="B207" s="11">
        <v>4338</v>
      </c>
      <c r="C207" s="12" t="str">
        <f t="shared" si="13"/>
        <v>12714338</v>
      </c>
      <c r="D207" s="11" t="s">
        <v>627</v>
      </c>
      <c r="E207" s="11" t="s">
        <v>634</v>
      </c>
      <c r="F207" s="11" t="s">
        <v>635</v>
      </c>
      <c r="G207" s="11">
        <v>0</v>
      </c>
      <c r="T207" s="11">
        <v>1271</v>
      </c>
      <c r="U207" s="11">
        <v>4338</v>
      </c>
      <c r="AW207" t="str">
        <f>IF(Tabela4[[#This Row],[JUSTIFICATIVA]]="","",CONCATENATE("B",Tabela4[[#This Row],[BLOCO]],Tabela4[[#This Row],[UO_COD]]))</f>
        <v/>
      </c>
      <c r="AX207">
        <f>Tabela4[[#This Row],[JUSTIFICATIVA]]</f>
        <v>0</v>
      </c>
    </row>
    <row r="208" spans="1:50" ht="15" customHeight="1">
      <c r="A208" s="11">
        <v>1271</v>
      </c>
      <c r="B208" s="11">
        <v>4339</v>
      </c>
      <c r="C208" s="12" t="str">
        <f t="shared" si="13"/>
        <v>12714339</v>
      </c>
      <c r="D208" s="11" t="s">
        <v>627</v>
      </c>
      <c r="E208" s="11" t="s">
        <v>634</v>
      </c>
      <c r="F208" s="11" t="s">
        <v>635</v>
      </c>
      <c r="G208" s="11">
        <v>0</v>
      </c>
      <c r="T208" s="11">
        <v>1271</v>
      </c>
      <c r="U208" s="11">
        <v>4339</v>
      </c>
      <c r="AW208" t="str">
        <f>IF(Tabela4[[#This Row],[JUSTIFICATIVA]]="","",CONCATENATE("B",Tabela4[[#This Row],[BLOCO]],Tabela4[[#This Row],[UO_COD]]))</f>
        <v/>
      </c>
      <c r="AX208">
        <f>Tabela4[[#This Row],[JUSTIFICATIVA]]</f>
        <v>0</v>
      </c>
    </row>
    <row r="209" spans="1:50" ht="15" customHeight="1">
      <c r="A209" s="11">
        <v>1271</v>
      </c>
      <c r="B209" s="11">
        <v>4342</v>
      </c>
      <c r="C209" s="12" t="str">
        <f t="shared" si="13"/>
        <v>12714342</v>
      </c>
      <c r="D209" s="11" t="s">
        <v>627</v>
      </c>
      <c r="E209" s="11" t="s">
        <v>634</v>
      </c>
      <c r="F209" s="11" t="s">
        <v>635</v>
      </c>
      <c r="G209" s="11">
        <v>0</v>
      </c>
      <c r="T209" s="11">
        <v>1271</v>
      </c>
      <c r="U209" s="11">
        <v>4342</v>
      </c>
      <c r="AW209" t="str">
        <f>IF(Tabela4[[#This Row],[JUSTIFICATIVA]]="","",CONCATENATE("B",Tabela4[[#This Row],[BLOCO]],Tabela4[[#This Row],[UO_COD]]))</f>
        <v/>
      </c>
      <c r="AX209">
        <f>Tabela4[[#This Row],[JUSTIFICATIVA]]</f>
        <v>0</v>
      </c>
    </row>
    <row r="210" spans="1:50" ht="15" customHeight="1">
      <c r="A210" s="11">
        <v>1271</v>
      </c>
      <c r="B210" s="11">
        <v>4343</v>
      </c>
      <c r="C210" s="12" t="str">
        <f t="shared" si="13"/>
        <v>12714343</v>
      </c>
      <c r="D210" s="11" t="s">
        <v>627</v>
      </c>
      <c r="E210" s="11" t="s">
        <v>628</v>
      </c>
      <c r="F210" s="11" t="s">
        <v>632</v>
      </c>
      <c r="G210" s="11">
        <v>0</v>
      </c>
      <c r="T210" s="11">
        <v>1271</v>
      </c>
      <c r="U210" s="11">
        <v>4343</v>
      </c>
      <c r="AW210" t="str">
        <f>IF(Tabela4[[#This Row],[JUSTIFICATIVA]]="","",CONCATENATE("B",Tabela4[[#This Row],[BLOCO]],Tabela4[[#This Row],[UO_COD]]))</f>
        <v/>
      </c>
      <c r="AX210">
        <f>Tabela4[[#This Row],[JUSTIFICATIVA]]</f>
        <v>0</v>
      </c>
    </row>
    <row r="211" spans="1:50" ht="15" customHeight="1">
      <c r="A211" s="11">
        <v>1271</v>
      </c>
      <c r="B211" s="11">
        <v>4479</v>
      </c>
      <c r="C211" s="12" t="str">
        <f t="shared" si="13"/>
        <v>12714479</v>
      </c>
      <c r="D211" s="11" t="s">
        <v>568</v>
      </c>
      <c r="E211" s="11" t="s">
        <v>630</v>
      </c>
      <c r="F211" s="11" t="s">
        <v>631</v>
      </c>
      <c r="G211" s="11">
        <v>0</v>
      </c>
      <c r="T211" s="11">
        <v>1271</v>
      </c>
      <c r="U211" s="11">
        <v>4479</v>
      </c>
      <c r="AW211" t="str">
        <f>IF(Tabela4[[#This Row],[JUSTIFICATIVA]]="","",CONCATENATE("B",Tabela4[[#This Row],[BLOCO]],Tabela4[[#This Row],[UO_COD]]))</f>
        <v/>
      </c>
      <c r="AX211">
        <f>Tabela4[[#This Row],[JUSTIFICATIVA]]</f>
        <v>0</v>
      </c>
    </row>
    <row r="212" spans="1:50" ht="15" customHeight="1">
      <c r="A212" s="11">
        <v>1301</v>
      </c>
      <c r="B212" s="11">
        <v>1035</v>
      </c>
      <c r="C212" s="12" t="str">
        <f t="shared" si="13"/>
        <v>13011035</v>
      </c>
      <c r="D212" s="11" t="s">
        <v>636</v>
      </c>
      <c r="E212" s="11" t="s">
        <v>637</v>
      </c>
      <c r="F212" s="11" t="s">
        <v>638</v>
      </c>
      <c r="G212" s="11">
        <v>0</v>
      </c>
      <c r="T212" s="11">
        <v>1301</v>
      </c>
      <c r="U212" s="11">
        <v>1035</v>
      </c>
      <c r="AW212" t="str">
        <f>IF(Tabela4[[#This Row],[JUSTIFICATIVA]]="","",CONCATENATE("B",Tabela4[[#This Row],[BLOCO]],Tabela4[[#This Row],[UO_COD]]))</f>
        <v/>
      </c>
      <c r="AX212">
        <f>Tabela4[[#This Row],[JUSTIFICATIVA]]</f>
        <v>0</v>
      </c>
    </row>
    <row r="213" spans="1:50" ht="15" customHeight="1">
      <c r="A213" s="11">
        <v>1301</v>
      </c>
      <c r="B213" s="11">
        <v>1036</v>
      </c>
      <c r="C213" s="12" t="str">
        <f t="shared" si="13"/>
        <v>13011036</v>
      </c>
      <c r="D213" s="11" t="s">
        <v>636</v>
      </c>
      <c r="E213" s="11" t="s">
        <v>637</v>
      </c>
      <c r="F213" s="11" t="s">
        <v>638</v>
      </c>
      <c r="G213" s="11">
        <v>0</v>
      </c>
      <c r="T213" s="11">
        <v>1301</v>
      </c>
      <c r="U213" s="11">
        <v>1036</v>
      </c>
      <c r="AW213" t="str">
        <f>IF(Tabela4[[#This Row],[JUSTIFICATIVA]]="","",CONCATENATE("B",Tabela4[[#This Row],[BLOCO]],Tabela4[[#This Row],[UO_COD]]))</f>
        <v/>
      </c>
      <c r="AX213">
        <f>Tabela4[[#This Row],[JUSTIFICATIVA]]</f>
        <v>0</v>
      </c>
    </row>
    <row r="214" spans="1:50" ht="15" customHeight="1">
      <c r="A214" s="11">
        <v>1301</v>
      </c>
      <c r="B214" s="11">
        <v>1037</v>
      </c>
      <c r="C214" s="12" t="str">
        <f t="shared" si="13"/>
        <v>13011037</v>
      </c>
      <c r="D214" s="11" t="s">
        <v>636</v>
      </c>
      <c r="E214" s="11" t="s">
        <v>637</v>
      </c>
      <c r="F214" s="11" t="s">
        <v>639</v>
      </c>
      <c r="G214" s="11">
        <v>0</v>
      </c>
      <c r="T214" s="11">
        <v>1301</v>
      </c>
      <c r="U214" s="11">
        <v>1037</v>
      </c>
      <c r="AW214" t="str">
        <f>IF(Tabela4[[#This Row],[JUSTIFICATIVA]]="","",CONCATENATE("B",Tabela4[[#This Row],[BLOCO]],Tabela4[[#This Row],[UO_COD]]))</f>
        <v/>
      </c>
      <c r="AX214">
        <f>Tabela4[[#This Row],[JUSTIFICATIVA]]</f>
        <v>0</v>
      </c>
    </row>
    <row r="215" spans="1:50" ht="15" customHeight="1">
      <c r="A215" s="11">
        <v>1301</v>
      </c>
      <c r="B215" s="11">
        <v>1038</v>
      </c>
      <c r="C215" s="12" t="str">
        <f t="shared" si="13"/>
        <v>13011038</v>
      </c>
      <c r="D215" s="11" t="s">
        <v>636</v>
      </c>
      <c r="E215" s="11" t="s">
        <v>637</v>
      </c>
      <c r="F215" s="11" t="s">
        <v>638</v>
      </c>
      <c r="G215" s="11">
        <v>0</v>
      </c>
      <c r="T215" s="11">
        <v>1301</v>
      </c>
      <c r="U215" s="11">
        <v>1038</v>
      </c>
      <c r="AW215" t="str">
        <f>IF(Tabela4[[#This Row],[JUSTIFICATIVA]]="","",CONCATENATE("B",Tabela4[[#This Row],[BLOCO]],Tabela4[[#This Row],[UO_COD]]))</f>
        <v/>
      </c>
      <c r="AX215">
        <f>Tabela4[[#This Row],[JUSTIFICATIVA]]</f>
        <v>0</v>
      </c>
    </row>
    <row r="216" spans="1:50" ht="15" customHeight="1">
      <c r="A216" s="11">
        <v>1301</v>
      </c>
      <c r="B216" s="11">
        <v>1039</v>
      </c>
      <c r="C216" s="12" t="str">
        <f t="shared" si="13"/>
        <v>13011039</v>
      </c>
      <c r="D216" s="11" t="s">
        <v>636</v>
      </c>
      <c r="E216" s="11" t="s">
        <v>637</v>
      </c>
      <c r="F216" s="11" t="s">
        <v>638</v>
      </c>
      <c r="G216" s="11">
        <v>0</v>
      </c>
      <c r="T216" s="11">
        <v>1301</v>
      </c>
      <c r="U216" s="11">
        <v>1039</v>
      </c>
      <c r="AW216" t="str">
        <f>IF(Tabela4[[#This Row],[JUSTIFICATIVA]]="","",CONCATENATE("B",Tabela4[[#This Row],[BLOCO]],Tabela4[[#This Row],[UO_COD]]))</f>
        <v/>
      </c>
      <c r="AX216">
        <f>Tabela4[[#This Row],[JUSTIFICATIVA]]</f>
        <v>0</v>
      </c>
    </row>
    <row r="217" spans="1:50" ht="15" customHeight="1">
      <c r="A217" s="11">
        <v>1301</v>
      </c>
      <c r="B217" s="11">
        <v>1040</v>
      </c>
      <c r="C217" s="12" t="str">
        <f t="shared" si="13"/>
        <v>13011040</v>
      </c>
      <c r="D217" s="11" t="s">
        <v>636</v>
      </c>
      <c r="E217" s="11" t="s">
        <v>637</v>
      </c>
      <c r="F217" s="11" t="s">
        <v>638</v>
      </c>
      <c r="G217" s="11">
        <v>0</v>
      </c>
      <c r="T217" s="11">
        <v>1301</v>
      </c>
      <c r="U217" s="11">
        <v>1040</v>
      </c>
      <c r="AW217" t="str">
        <f>IF(Tabela4[[#This Row],[JUSTIFICATIVA]]="","",CONCATENATE("B",Tabela4[[#This Row],[BLOCO]],Tabela4[[#This Row],[UO_COD]]))</f>
        <v/>
      </c>
      <c r="AX217">
        <f>Tabela4[[#This Row],[JUSTIFICATIVA]]</f>
        <v>0</v>
      </c>
    </row>
    <row r="218" spans="1:50" ht="15" customHeight="1">
      <c r="A218" s="11">
        <v>1301</v>
      </c>
      <c r="B218" s="11">
        <v>1041</v>
      </c>
      <c r="C218" s="12" t="str">
        <f t="shared" si="13"/>
        <v>13011041</v>
      </c>
      <c r="D218" s="11" t="s">
        <v>636</v>
      </c>
      <c r="E218" s="11" t="s">
        <v>637</v>
      </c>
      <c r="F218" s="11" t="s">
        <v>638</v>
      </c>
      <c r="G218" s="11">
        <v>0</v>
      </c>
      <c r="T218" s="11">
        <v>1301</v>
      </c>
      <c r="U218" s="11">
        <v>1041</v>
      </c>
      <c r="AW218" t="str">
        <f>IF(Tabela4[[#This Row],[JUSTIFICATIVA]]="","",CONCATENATE("B",Tabela4[[#This Row],[BLOCO]],Tabela4[[#This Row],[UO_COD]]))</f>
        <v/>
      </c>
      <c r="AX218">
        <f>Tabela4[[#This Row],[JUSTIFICATIVA]]</f>
        <v>0</v>
      </c>
    </row>
    <row r="219" spans="1:50" ht="15" customHeight="1">
      <c r="A219" s="11">
        <v>1301</v>
      </c>
      <c r="B219" s="11">
        <v>1042</v>
      </c>
      <c r="C219" s="12" t="str">
        <f t="shared" si="13"/>
        <v>13011042</v>
      </c>
      <c r="D219" s="11" t="s">
        <v>636</v>
      </c>
      <c r="E219" s="11" t="s">
        <v>637</v>
      </c>
      <c r="F219" s="11" t="s">
        <v>638</v>
      </c>
      <c r="G219" s="11">
        <v>0</v>
      </c>
      <c r="T219" s="11">
        <v>1301</v>
      </c>
      <c r="U219" s="11">
        <v>1042</v>
      </c>
      <c r="AW219" t="str">
        <f>IF(Tabela4[[#This Row],[JUSTIFICATIVA]]="","",CONCATENATE("B",Tabela4[[#This Row],[BLOCO]],Tabela4[[#This Row],[UO_COD]]))</f>
        <v/>
      </c>
      <c r="AX219">
        <f>Tabela4[[#This Row],[JUSTIFICATIVA]]</f>
        <v>0</v>
      </c>
    </row>
    <row r="220" spans="1:50">
      <c r="A220" s="11">
        <v>1301</v>
      </c>
      <c r="B220" s="11">
        <v>2417</v>
      </c>
      <c r="C220" s="12" t="str">
        <f t="shared" si="13"/>
        <v>13012417</v>
      </c>
      <c r="D220" s="11" t="s">
        <v>636</v>
      </c>
      <c r="E220" s="11" t="s">
        <v>637</v>
      </c>
      <c r="F220" s="11" t="s">
        <v>461</v>
      </c>
      <c r="G220" s="11">
        <v>0</v>
      </c>
      <c r="T220" s="11">
        <v>1301</v>
      </c>
      <c r="U220" s="11">
        <v>2417</v>
      </c>
      <c r="AW220" t="str">
        <f>IF(Tabela4[[#This Row],[JUSTIFICATIVA]]="","",CONCATENATE("B",Tabela4[[#This Row],[BLOCO]],Tabela4[[#This Row],[UO_COD]]))</f>
        <v/>
      </c>
      <c r="AX220">
        <f>Tabela4[[#This Row],[JUSTIFICATIVA]]</f>
        <v>0</v>
      </c>
    </row>
    <row r="221" spans="1:50">
      <c r="A221" s="11">
        <v>1301</v>
      </c>
      <c r="B221" s="11">
        <v>2500</v>
      </c>
      <c r="C221" s="12" t="str">
        <f t="shared" si="13"/>
        <v>13012500</v>
      </c>
      <c r="D221" s="11" t="s">
        <v>636</v>
      </c>
      <c r="E221" s="11" t="s">
        <v>470</v>
      </c>
      <c r="F221" s="11" t="s">
        <v>461</v>
      </c>
      <c r="G221" s="11">
        <v>0</v>
      </c>
      <c r="T221" s="11">
        <v>1301</v>
      </c>
      <c r="U221" s="11">
        <v>2500</v>
      </c>
      <c r="AW221" t="str">
        <f>IF(Tabela4[[#This Row],[JUSTIFICATIVA]]="","",CONCATENATE("B",Tabela4[[#This Row],[BLOCO]],Tabela4[[#This Row],[UO_COD]]))</f>
        <v/>
      </c>
      <c r="AX221">
        <f>Tabela4[[#This Row],[JUSTIFICATIVA]]</f>
        <v>0</v>
      </c>
    </row>
    <row r="222" spans="1:50">
      <c r="A222" s="11">
        <v>1301</v>
      </c>
      <c r="B222" s="11">
        <v>4156</v>
      </c>
      <c r="C222" s="12" t="str">
        <f t="shared" si="13"/>
        <v>13014156</v>
      </c>
      <c r="D222" s="11" t="s">
        <v>322</v>
      </c>
      <c r="E222" s="11" t="s">
        <v>640</v>
      </c>
      <c r="F222" s="11" t="s">
        <v>641</v>
      </c>
      <c r="G222" s="11">
        <v>0</v>
      </c>
      <c r="T222" s="11">
        <v>1301</v>
      </c>
      <c r="U222" s="11">
        <v>4156</v>
      </c>
      <c r="AW222" t="str">
        <f>IF(Tabela4[[#This Row],[JUSTIFICATIVA]]="","",CONCATENATE("B",Tabela4[[#This Row],[BLOCO]],Tabela4[[#This Row],[UO_COD]]))</f>
        <v/>
      </c>
      <c r="AX222">
        <f>Tabela4[[#This Row],[JUSTIFICATIVA]]</f>
        <v>0</v>
      </c>
    </row>
    <row r="223" spans="1:50">
      <c r="A223" s="11">
        <v>1301</v>
      </c>
      <c r="B223" s="11">
        <v>4205</v>
      </c>
      <c r="C223" s="12" t="str">
        <f t="shared" si="13"/>
        <v>13014205</v>
      </c>
      <c r="D223" s="11" t="s">
        <v>322</v>
      </c>
      <c r="E223" s="11" t="s">
        <v>640</v>
      </c>
      <c r="F223" s="11" t="s">
        <v>641</v>
      </c>
      <c r="G223" s="11">
        <v>0</v>
      </c>
      <c r="T223" s="11">
        <v>1301</v>
      </c>
      <c r="U223" s="11">
        <v>4205</v>
      </c>
      <c r="AW223" t="str">
        <f>IF(Tabela4[[#This Row],[JUSTIFICATIVA]]="","",CONCATENATE("B",Tabela4[[#This Row],[BLOCO]],Tabela4[[#This Row],[UO_COD]]))</f>
        <v/>
      </c>
      <c r="AX223">
        <f>Tabela4[[#This Row],[JUSTIFICATIVA]]</f>
        <v>0</v>
      </c>
    </row>
    <row r="224" spans="1:50">
      <c r="A224" s="11">
        <v>1301</v>
      </c>
      <c r="B224" s="11">
        <v>4253</v>
      </c>
      <c r="C224" s="12" t="str">
        <f t="shared" si="13"/>
        <v>13014253</v>
      </c>
      <c r="D224" s="11" t="s">
        <v>322</v>
      </c>
      <c r="E224" s="11" t="s">
        <v>640</v>
      </c>
      <c r="F224" s="11" t="s">
        <v>641</v>
      </c>
      <c r="G224" s="11">
        <v>0</v>
      </c>
      <c r="T224" s="11">
        <v>1301</v>
      </c>
      <c r="U224" s="11">
        <v>4253</v>
      </c>
      <c r="AW224" t="str">
        <f>IF(Tabela4[[#This Row],[JUSTIFICATIVA]]="","",CONCATENATE("B",Tabela4[[#This Row],[BLOCO]],Tabela4[[#This Row],[UO_COD]]))</f>
        <v/>
      </c>
      <c r="AX224">
        <f>Tabela4[[#This Row],[JUSTIFICATIVA]]</f>
        <v>0</v>
      </c>
    </row>
    <row r="225" spans="1:50">
      <c r="A225" s="11">
        <v>1301</v>
      </c>
      <c r="B225" s="11">
        <v>4261</v>
      </c>
      <c r="C225" s="12" t="str">
        <f t="shared" si="13"/>
        <v>13014261</v>
      </c>
      <c r="D225" s="11" t="s">
        <v>636</v>
      </c>
      <c r="E225" s="11" t="s">
        <v>637</v>
      </c>
      <c r="F225" s="11" t="s">
        <v>638</v>
      </c>
      <c r="G225" s="11">
        <v>0</v>
      </c>
      <c r="T225" s="11">
        <v>1301</v>
      </c>
      <c r="U225" s="11">
        <v>4261</v>
      </c>
      <c r="AW225" t="str">
        <f>IF(Tabela4[[#This Row],[JUSTIFICATIVA]]="","",CONCATENATE("B",Tabela4[[#This Row],[BLOCO]],Tabela4[[#This Row],[UO_COD]]))</f>
        <v/>
      </c>
      <c r="AX225">
        <f>Tabela4[[#This Row],[JUSTIFICATIVA]]</f>
        <v>0</v>
      </c>
    </row>
    <row r="226" spans="1:50">
      <c r="A226" s="11">
        <v>1301</v>
      </c>
      <c r="B226" s="11">
        <v>4262</v>
      </c>
      <c r="C226" s="12" t="str">
        <f t="shared" si="13"/>
        <v>13014262</v>
      </c>
      <c r="D226" s="11" t="s">
        <v>636</v>
      </c>
      <c r="E226" s="11" t="s">
        <v>637</v>
      </c>
      <c r="F226" s="11" t="s">
        <v>638</v>
      </c>
      <c r="G226" s="11">
        <v>0</v>
      </c>
      <c r="T226" s="11">
        <v>1301</v>
      </c>
      <c r="U226" s="11">
        <v>4262</v>
      </c>
      <c r="AW226" t="str">
        <f>IF(Tabela4[[#This Row],[JUSTIFICATIVA]]="","",CONCATENATE("B",Tabela4[[#This Row],[BLOCO]],Tabela4[[#This Row],[UO_COD]]))</f>
        <v/>
      </c>
      <c r="AX226">
        <f>Tabela4[[#This Row],[JUSTIFICATIVA]]</f>
        <v>0</v>
      </c>
    </row>
    <row r="227" spans="1:50">
      <c r="A227" s="11">
        <v>1301</v>
      </c>
      <c r="B227" s="11">
        <v>4265</v>
      </c>
      <c r="C227" s="12" t="str">
        <f t="shared" si="13"/>
        <v>13014265</v>
      </c>
      <c r="D227" s="11" t="s">
        <v>636</v>
      </c>
      <c r="E227" s="11" t="s">
        <v>637</v>
      </c>
      <c r="F227" s="11" t="s">
        <v>638</v>
      </c>
      <c r="G227" s="11">
        <v>0</v>
      </c>
      <c r="T227" s="11">
        <v>1301</v>
      </c>
      <c r="U227" s="11">
        <v>4265</v>
      </c>
      <c r="AW227" t="str">
        <f>IF(Tabela4[[#This Row],[JUSTIFICATIVA]]="","",CONCATENATE("B",Tabela4[[#This Row],[BLOCO]],Tabela4[[#This Row],[UO_COD]]))</f>
        <v/>
      </c>
      <c r="AX227">
        <f>Tabela4[[#This Row],[JUSTIFICATIVA]]</f>
        <v>0</v>
      </c>
    </row>
    <row r="228" spans="1:50">
      <c r="A228" s="11">
        <v>1301</v>
      </c>
      <c r="B228" s="11">
        <v>4266</v>
      </c>
      <c r="C228" s="12" t="str">
        <f t="shared" si="13"/>
        <v>13014266</v>
      </c>
      <c r="D228" s="11" t="s">
        <v>324</v>
      </c>
      <c r="E228" s="11" t="s">
        <v>504</v>
      </c>
      <c r="F228" s="11" t="s">
        <v>521</v>
      </c>
      <c r="G228" s="11">
        <v>0</v>
      </c>
      <c r="T228" s="11">
        <v>1301</v>
      </c>
      <c r="U228" s="11">
        <v>4266</v>
      </c>
      <c r="AW228" t="str">
        <f>IF(Tabela4[[#This Row],[JUSTIFICATIVA]]="","",CONCATENATE("B",Tabela4[[#This Row],[BLOCO]],Tabela4[[#This Row],[UO_COD]]))</f>
        <v/>
      </c>
      <c r="AX228">
        <f>Tabela4[[#This Row],[JUSTIFICATIVA]]</f>
        <v>0</v>
      </c>
    </row>
    <row r="229" spans="1:50">
      <c r="A229" s="11">
        <v>1301</v>
      </c>
      <c r="B229" s="11">
        <v>4290</v>
      </c>
      <c r="C229" s="12" t="str">
        <f t="shared" si="13"/>
        <v>13014290</v>
      </c>
      <c r="D229" s="11" t="s">
        <v>642</v>
      </c>
      <c r="E229" s="11" t="s">
        <v>643</v>
      </c>
      <c r="F229" s="11" t="s">
        <v>644</v>
      </c>
      <c r="G229" s="11">
        <v>0</v>
      </c>
      <c r="T229" s="11">
        <v>1301</v>
      </c>
      <c r="U229" s="11">
        <v>4290</v>
      </c>
      <c r="AW229" t="str">
        <f>IF(Tabela4[[#This Row],[JUSTIFICATIVA]]="","",CONCATENATE("B",Tabela4[[#This Row],[BLOCO]],Tabela4[[#This Row],[UO_COD]]))</f>
        <v/>
      </c>
      <c r="AX229">
        <f>Tabela4[[#This Row],[JUSTIFICATIVA]]</f>
        <v>0</v>
      </c>
    </row>
    <row r="230" spans="1:50">
      <c r="A230" s="11">
        <v>1301</v>
      </c>
      <c r="B230" s="11">
        <v>4292</v>
      </c>
      <c r="C230" s="12" t="str">
        <f t="shared" si="13"/>
        <v>13014292</v>
      </c>
      <c r="D230" s="11" t="s">
        <v>642</v>
      </c>
      <c r="E230" s="11" t="s">
        <v>524</v>
      </c>
      <c r="F230" s="11" t="s">
        <v>644</v>
      </c>
      <c r="G230" s="11">
        <v>0</v>
      </c>
      <c r="T230" s="11">
        <v>1301</v>
      </c>
      <c r="U230" s="11">
        <v>4292</v>
      </c>
      <c r="AW230" t="str">
        <f>IF(Tabela4[[#This Row],[JUSTIFICATIVA]]="","",CONCATENATE("B",Tabela4[[#This Row],[BLOCO]],Tabela4[[#This Row],[UO_COD]]))</f>
        <v/>
      </c>
      <c r="AX230">
        <f>Tabela4[[#This Row],[JUSTIFICATIVA]]</f>
        <v>0</v>
      </c>
    </row>
    <row r="231" spans="1:50">
      <c r="A231" s="11">
        <v>1301</v>
      </c>
      <c r="B231" s="11">
        <v>4345</v>
      </c>
      <c r="C231" s="12" t="str">
        <f t="shared" si="13"/>
        <v>13014345</v>
      </c>
      <c r="D231" s="11" t="s">
        <v>322</v>
      </c>
      <c r="E231" s="11" t="s">
        <v>640</v>
      </c>
      <c r="F231" s="11" t="s">
        <v>641</v>
      </c>
      <c r="G231" s="11">
        <v>0</v>
      </c>
      <c r="T231" s="11">
        <v>1301</v>
      </c>
      <c r="U231" s="11">
        <v>4345</v>
      </c>
      <c r="AW231" t="str">
        <f>IF(Tabela4[[#This Row],[JUSTIFICATIVA]]="","",CONCATENATE("B",Tabela4[[#This Row],[BLOCO]],Tabela4[[#This Row],[UO_COD]]))</f>
        <v/>
      </c>
      <c r="AX231">
        <f>Tabela4[[#This Row],[JUSTIFICATIVA]]</f>
        <v>0</v>
      </c>
    </row>
    <row r="232" spans="1:50">
      <c r="A232" s="11">
        <v>1301</v>
      </c>
      <c r="B232" s="11">
        <v>4346</v>
      </c>
      <c r="C232" s="12" t="str">
        <f t="shared" si="13"/>
        <v>13014346</v>
      </c>
      <c r="D232" s="11" t="s">
        <v>322</v>
      </c>
      <c r="E232" s="11" t="s">
        <v>640</v>
      </c>
      <c r="F232" s="11" t="s">
        <v>641</v>
      </c>
      <c r="G232" s="11">
        <v>0</v>
      </c>
      <c r="T232" s="11">
        <v>1301</v>
      </c>
      <c r="U232" s="11">
        <v>4346</v>
      </c>
      <c r="AW232" t="str">
        <f>IF(Tabela4[[#This Row],[JUSTIFICATIVA]]="","",CONCATENATE("B",Tabela4[[#This Row],[BLOCO]],Tabela4[[#This Row],[UO_COD]]))</f>
        <v/>
      </c>
      <c r="AX232">
        <f>Tabela4[[#This Row],[JUSTIFICATIVA]]</f>
        <v>0</v>
      </c>
    </row>
    <row r="233" spans="1:50">
      <c r="A233" s="11">
        <v>1301</v>
      </c>
      <c r="B233" s="11">
        <v>4501</v>
      </c>
      <c r="C233" s="12" t="str">
        <f t="shared" si="13"/>
        <v>13014501</v>
      </c>
      <c r="D233" s="11" t="s">
        <v>642</v>
      </c>
      <c r="E233" s="11" t="s">
        <v>645</v>
      </c>
      <c r="F233" s="11" t="s">
        <v>644</v>
      </c>
      <c r="G233" s="11">
        <v>0</v>
      </c>
      <c r="T233" s="11">
        <v>1301</v>
      </c>
      <c r="U233" s="11">
        <v>4501</v>
      </c>
      <c r="AW233" t="str">
        <f>IF(Tabela4[[#This Row],[JUSTIFICATIVA]]="","",CONCATENATE("B",Tabela4[[#This Row],[BLOCO]],Tabela4[[#This Row],[UO_COD]]))</f>
        <v/>
      </c>
      <c r="AX233">
        <f>Tabela4[[#This Row],[JUSTIFICATIVA]]</f>
        <v>0</v>
      </c>
    </row>
    <row r="234" spans="1:50">
      <c r="A234" s="11">
        <v>1301</v>
      </c>
      <c r="B234" s="11">
        <v>4503</v>
      </c>
      <c r="C234" s="12" t="str">
        <f t="shared" si="13"/>
        <v>13014503</v>
      </c>
      <c r="D234" s="11" t="s">
        <v>322</v>
      </c>
      <c r="E234" s="11" t="s">
        <v>640</v>
      </c>
      <c r="F234" s="11" t="s">
        <v>641</v>
      </c>
      <c r="G234" s="11">
        <v>0</v>
      </c>
      <c r="T234" s="11">
        <v>1301</v>
      </c>
      <c r="U234" s="11">
        <v>4503</v>
      </c>
      <c r="AW234" t="str">
        <f>IF(Tabela4[[#This Row],[JUSTIFICATIVA]]="","",CONCATENATE("B",Tabela4[[#This Row],[BLOCO]],Tabela4[[#This Row],[UO_COD]]))</f>
        <v/>
      </c>
      <c r="AX234">
        <f>Tabela4[[#This Row],[JUSTIFICATIVA]]</f>
        <v>0</v>
      </c>
    </row>
    <row r="235" spans="1:50">
      <c r="A235" s="11">
        <v>1371</v>
      </c>
      <c r="B235" s="11">
        <v>1074</v>
      </c>
      <c r="C235" s="12" t="str">
        <f t="shared" si="13"/>
        <v>13711074</v>
      </c>
      <c r="D235" s="11" t="s">
        <v>646</v>
      </c>
      <c r="E235" s="11" t="s">
        <v>647</v>
      </c>
      <c r="F235" s="11" t="s">
        <v>461</v>
      </c>
      <c r="G235" s="11">
        <v>0</v>
      </c>
      <c r="T235" s="11">
        <v>1371</v>
      </c>
      <c r="U235" s="11">
        <v>1074</v>
      </c>
      <c r="AW235" t="str">
        <f>IF(Tabela4[[#This Row],[JUSTIFICATIVA]]="","",CONCATENATE("B",Tabela4[[#This Row],[BLOCO]],Tabela4[[#This Row],[UO_COD]]))</f>
        <v/>
      </c>
      <c r="AX235">
        <f>Tabela4[[#This Row],[JUSTIFICATIVA]]</f>
        <v>0</v>
      </c>
    </row>
    <row r="236" spans="1:50">
      <c r="A236" s="11">
        <v>1371</v>
      </c>
      <c r="B236" s="11">
        <v>2417</v>
      </c>
      <c r="C236" s="12" t="str">
        <f t="shared" si="13"/>
        <v>13712417</v>
      </c>
      <c r="D236" s="11" t="s">
        <v>646</v>
      </c>
      <c r="E236" s="11" t="s">
        <v>470</v>
      </c>
      <c r="F236" s="11" t="s">
        <v>461</v>
      </c>
      <c r="G236" s="11">
        <v>0</v>
      </c>
      <c r="T236" s="11">
        <v>1371</v>
      </c>
      <c r="U236" s="11">
        <v>2417</v>
      </c>
      <c r="AW236" t="str">
        <f>IF(Tabela4[[#This Row],[JUSTIFICATIVA]]="","",CONCATENATE("B",Tabela4[[#This Row],[BLOCO]],Tabela4[[#This Row],[UO_COD]]))</f>
        <v/>
      </c>
      <c r="AX236">
        <f>Tabela4[[#This Row],[JUSTIFICATIVA]]</f>
        <v>0</v>
      </c>
    </row>
    <row r="237" spans="1:50">
      <c r="A237" s="11">
        <v>1371</v>
      </c>
      <c r="B237" s="11">
        <v>2500</v>
      </c>
      <c r="C237" s="12" t="str">
        <f t="shared" si="13"/>
        <v>13712500</v>
      </c>
      <c r="D237" s="11" t="s">
        <v>646</v>
      </c>
      <c r="E237" s="11" t="s">
        <v>470</v>
      </c>
      <c r="F237" s="11" t="s">
        <v>461</v>
      </c>
      <c r="G237" s="11">
        <v>0</v>
      </c>
      <c r="T237" s="11">
        <v>1371</v>
      </c>
      <c r="U237" s="11">
        <v>2500</v>
      </c>
      <c r="AW237" t="str">
        <f>IF(Tabela4[[#This Row],[JUSTIFICATIVA]]="","",CONCATENATE("B",Tabela4[[#This Row],[BLOCO]],Tabela4[[#This Row],[UO_COD]]))</f>
        <v/>
      </c>
      <c r="AX237">
        <f>Tabela4[[#This Row],[JUSTIFICATIVA]]</f>
        <v>0</v>
      </c>
    </row>
    <row r="238" spans="1:50">
      <c r="A238" s="11">
        <v>1371</v>
      </c>
      <c r="B238" s="11">
        <v>4028</v>
      </c>
      <c r="C238" s="12" t="str">
        <f t="shared" si="13"/>
        <v>13714028</v>
      </c>
      <c r="D238" s="11" t="s">
        <v>325</v>
      </c>
      <c r="E238" s="11" t="s">
        <v>648</v>
      </c>
      <c r="F238" s="11" t="s">
        <v>649</v>
      </c>
      <c r="G238" s="11">
        <v>0</v>
      </c>
      <c r="T238" s="11">
        <v>1371</v>
      </c>
      <c r="U238" s="11">
        <v>4028</v>
      </c>
      <c r="AW238" t="str">
        <f>IF(Tabela4[[#This Row],[JUSTIFICATIVA]]="","",CONCATENATE("B",Tabela4[[#This Row],[BLOCO]],Tabela4[[#This Row],[UO_COD]]))</f>
        <v/>
      </c>
      <c r="AX238">
        <f>Tabela4[[#This Row],[JUSTIFICATIVA]]</f>
        <v>0</v>
      </c>
    </row>
    <row r="239" spans="1:50">
      <c r="A239" s="11">
        <v>1371</v>
      </c>
      <c r="B239" s="11">
        <v>4037</v>
      </c>
      <c r="C239" s="12" t="str">
        <f t="shared" si="13"/>
        <v>13714037</v>
      </c>
      <c r="D239" s="11" t="s">
        <v>325</v>
      </c>
      <c r="E239" s="11" t="s">
        <v>648</v>
      </c>
      <c r="F239" s="11" t="s">
        <v>649</v>
      </c>
      <c r="G239" s="11">
        <v>0</v>
      </c>
      <c r="T239" s="11">
        <v>1371</v>
      </c>
      <c r="U239" s="11">
        <v>4037</v>
      </c>
      <c r="AW239" t="str">
        <f>IF(Tabela4[[#This Row],[JUSTIFICATIVA]]="","",CONCATENATE("B",Tabela4[[#This Row],[BLOCO]],Tabela4[[#This Row],[UO_COD]]))</f>
        <v/>
      </c>
      <c r="AX239">
        <f>Tabela4[[#This Row],[JUSTIFICATIVA]]</f>
        <v>0</v>
      </c>
    </row>
    <row r="240" spans="1:50">
      <c r="A240" s="11">
        <v>1371</v>
      </c>
      <c r="B240" s="11">
        <v>4038</v>
      </c>
      <c r="C240" s="12" t="str">
        <f t="shared" si="13"/>
        <v>13714038</v>
      </c>
      <c r="D240" s="11" t="s">
        <v>646</v>
      </c>
      <c r="E240" s="11" t="s">
        <v>647</v>
      </c>
      <c r="F240" s="11" t="s">
        <v>650</v>
      </c>
      <c r="G240" s="11">
        <v>0</v>
      </c>
      <c r="T240" s="11">
        <v>1371</v>
      </c>
      <c r="U240" s="11">
        <v>4038</v>
      </c>
      <c r="AW240" t="str">
        <f>IF(Tabela4[[#This Row],[JUSTIFICATIVA]]="","",CONCATENATE("B",Tabela4[[#This Row],[BLOCO]],Tabela4[[#This Row],[UO_COD]]))</f>
        <v/>
      </c>
      <c r="AX240">
        <f>Tabela4[[#This Row],[JUSTIFICATIVA]]</f>
        <v>0</v>
      </c>
    </row>
    <row r="241" spans="1:50">
      <c r="A241" s="11">
        <v>1371</v>
      </c>
      <c r="B241" s="11">
        <v>4039</v>
      </c>
      <c r="C241" s="12" t="str">
        <f t="shared" si="13"/>
        <v>13714039</v>
      </c>
      <c r="D241" s="11" t="s">
        <v>646</v>
      </c>
      <c r="E241" s="11" t="s">
        <v>647</v>
      </c>
      <c r="F241" s="11" t="s">
        <v>650</v>
      </c>
      <c r="G241" s="11">
        <v>0</v>
      </c>
      <c r="T241" s="11">
        <v>1371</v>
      </c>
      <c r="U241" s="11">
        <v>4039</v>
      </c>
      <c r="AW241" t="str">
        <f>IF(Tabela4[[#This Row],[JUSTIFICATIVA]]="","",CONCATENATE("B",Tabela4[[#This Row],[BLOCO]],Tabela4[[#This Row],[UO_COD]]))</f>
        <v/>
      </c>
      <c r="AX241">
        <f>Tabela4[[#This Row],[JUSTIFICATIVA]]</f>
        <v>0</v>
      </c>
    </row>
    <row r="242" spans="1:50">
      <c r="A242" s="11">
        <v>1371</v>
      </c>
      <c r="B242" s="11">
        <v>4044</v>
      </c>
      <c r="C242" s="12" t="str">
        <f t="shared" si="13"/>
        <v>13714044</v>
      </c>
      <c r="D242" s="11" t="s">
        <v>325</v>
      </c>
      <c r="E242" s="11" t="s">
        <v>648</v>
      </c>
      <c r="F242" s="11" t="s">
        <v>649</v>
      </c>
      <c r="G242" s="11">
        <v>0</v>
      </c>
      <c r="T242" s="11">
        <v>1371</v>
      </c>
      <c r="U242" s="11">
        <v>4044</v>
      </c>
      <c r="AW242" t="str">
        <f>IF(Tabela4[[#This Row],[JUSTIFICATIVA]]="","",CONCATENATE("B",Tabela4[[#This Row],[BLOCO]],Tabela4[[#This Row],[UO_COD]]))</f>
        <v/>
      </c>
      <c r="AX242">
        <f>Tabela4[[#This Row],[JUSTIFICATIVA]]</f>
        <v>0</v>
      </c>
    </row>
    <row r="243" spans="1:50">
      <c r="A243" s="11">
        <v>1371</v>
      </c>
      <c r="B243" s="11">
        <v>4045</v>
      </c>
      <c r="C243" s="12" t="str">
        <f t="shared" si="13"/>
        <v>13714045</v>
      </c>
      <c r="D243" s="11" t="s">
        <v>646</v>
      </c>
      <c r="E243" s="11" t="s">
        <v>651</v>
      </c>
      <c r="F243" s="11" t="s">
        <v>652</v>
      </c>
      <c r="G243" s="11">
        <v>0</v>
      </c>
      <c r="T243" s="11">
        <v>1371</v>
      </c>
      <c r="U243" s="11">
        <v>4045</v>
      </c>
      <c r="AW243" t="str">
        <f>IF(Tabela4[[#This Row],[JUSTIFICATIVA]]="","",CONCATENATE("B",Tabela4[[#This Row],[BLOCO]],Tabela4[[#This Row],[UO_COD]]))</f>
        <v/>
      </c>
      <c r="AX243">
        <f>Tabela4[[#This Row],[JUSTIFICATIVA]]</f>
        <v>0</v>
      </c>
    </row>
    <row r="244" spans="1:50">
      <c r="A244" s="11">
        <v>1371</v>
      </c>
      <c r="B244" s="11">
        <v>4046</v>
      </c>
      <c r="C244" s="12" t="str">
        <f t="shared" si="13"/>
        <v>13714046</v>
      </c>
      <c r="D244" s="11" t="s">
        <v>646</v>
      </c>
      <c r="E244" s="11" t="s">
        <v>651</v>
      </c>
      <c r="F244" s="11" t="s">
        <v>652</v>
      </c>
      <c r="G244" s="11">
        <v>1</v>
      </c>
      <c r="T244" s="11">
        <v>1371</v>
      </c>
      <c r="U244" s="11">
        <v>4046</v>
      </c>
      <c r="AW244" t="str">
        <f>IF(Tabela4[[#This Row],[JUSTIFICATIVA]]="","",CONCATENATE("B",Tabela4[[#This Row],[BLOCO]],Tabela4[[#This Row],[UO_COD]]))</f>
        <v/>
      </c>
      <c r="AX244">
        <f>Tabela4[[#This Row],[JUSTIFICATIVA]]</f>
        <v>0</v>
      </c>
    </row>
    <row r="245" spans="1:50">
      <c r="A245" s="11">
        <v>1371</v>
      </c>
      <c r="B245" s="11">
        <v>4047</v>
      </c>
      <c r="C245" s="12" t="str">
        <f t="shared" si="13"/>
        <v>13714047</v>
      </c>
      <c r="D245" s="11" t="s">
        <v>646</v>
      </c>
      <c r="E245" s="11" t="s">
        <v>651</v>
      </c>
      <c r="F245" s="11" t="s">
        <v>652</v>
      </c>
      <c r="G245" s="11">
        <v>0</v>
      </c>
      <c r="T245" s="11">
        <v>1371</v>
      </c>
      <c r="U245" s="11">
        <v>4047</v>
      </c>
      <c r="AW245" t="str">
        <f>IF(Tabela4[[#This Row],[JUSTIFICATIVA]]="","",CONCATENATE("B",Tabela4[[#This Row],[BLOCO]],Tabela4[[#This Row],[UO_COD]]))</f>
        <v/>
      </c>
      <c r="AX245">
        <f>Tabela4[[#This Row],[JUSTIFICATIVA]]</f>
        <v>0</v>
      </c>
    </row>
    <row r="246" spans="1:50">
      <c r="A246" s="11">
        <v>1371</v>
      </c>
      <c r="B246" s="11">
        <v>4053</v>
      </c>
      <c r="C246" s="12" t="str">
        <f t="shared" si="13"/>
        <v>13714053</v>
      </c>
      <c r="D246" s="11" t="s">
        <v>646</v>
      </c>
      <c r="E246" s="11" t="s">
        <v>647</v>
      </c>
      <c r="F246" s="11" t="s">
        <v>650</v>
      </c>
      <c r="G246" s="11">
        <v>0</v>
      </c>
      <c r="T246" s="11">
        <v>1371</v>
      </c>
      <c r="U246" s="11">
        <v>4053</v>
      </c>
      <c r="AW246" t="str">
        <f>IF(Tabela4[[#This Row],[JUSTIFICATIVA]]="","",CONCATENATE("B",Tabela4[[#This Row],[BLOCO]],Tabela4[[#This Row],[UO_COD]]))</f>
        <v/>
      </c>
      <c r="AX246">
        <f>Tabela4[[#This Row],[JUSTIFICATIVA]]</f>
        <v>0</v>
      </c>
    </row>
    <row r="247" spans="1:50">
      <c r="A247" s="11">
        <v>1371</v>
      </c>
      <c r="B247" s="11">
        <v>4118</v>
      </c>
      <c r="C247" s="12" t="str">
        <f t="shared" si="13"/>
        <v>13714118</v>
      </c>
      <c r="D247" s="11" t="s">
        <v>325</v>
      </c>
      <c r="E247" s="11" t="s">
        <v>587</v>
      </c>
      <c r="F247" s="11" t="s">
        <v>505</v>
      </c>
      <c r="G247" s="11">
        <v>0</v>
      </c>
      <c r="T247" s="11">
        <v>1371</v>
      </c>
      <c r="U247" s="11">
        <v>4118</v>
      </c>
      <c r="AW247" t="str">
        <f>IF(Tabela4[[#This Row],[JUSTIFICATIVA]]="","",CONCATENATE("B",Tabela4[[#This Row],[BLOCO]],Tabela4[[#This Row],[UO_COD]]))</f>
        <v/>
      </c>
      <c r="AX247">
        <f>Tabela4[[#This Row],[JUSTIFICATIVA]]</f>
        <v>0</v>
      </c>
    </row>
    <row r="248" spans="1:50">
      <c r="A248" s="11">
        <v>1371</v>
      </c>
      <c r="B248" s="11">
        <v>4124</v>
      </c>
      <c r="C248" s="12" t="str">
        <f t="shared" si="13"/>
        <v>13714124</v>
      </c>
      <c r="D248" s="11" t="s">
        <v>646</v>
      </c>
      <c r="E248" s="11" t="s">
        <v>651</v>
      </c>
      <c r="F248" s="11" t="s">
        <v>652</v>
      </c>
      <c r="G248" s="11">
        <v>0</v>
      </c>
      <c r="T248" s="11">
        <v>1371</v>
      </c>
      <c r="U248" s="11">
        <v>4124</v>
      </c>
      <c r="AW248" t="str">
        <f>IF(Tabela4[[#This Row],[JUSTIFICATIVA]]="","",CONCATENATE("B",Tabela4[[#This Row],[BLOCO]],Tabela4[[#This Row],[UO_COD]]))</f>
        <v/>
      </c>
      <c r="AX248">
        <f>Tabela4[[#This Row],[JUSTIFICATIVA]]</f>
        <v>0</v>
      </c>
    </row>
    <row r="249" spans="1:50">
      <c r="A249" s="11">
        <v>1401</v>
      </c>
      <c r="B249" s="11">
        <v>1098</v>
      </c>
      <c r="C249" s="12" t="str">
        <f t="shared" si="13"/>
        <v>14011098</v>
      </c>
      <c r="D249" s="11" t="s">
        <v>66</v>
      </c>
      <c r="E249" s="11" t="s">
        <v>504</v>
      </c>
      <c r="F249" s="11" t="s">
        <v>653</v>
      </c>
      <c r="G249" s="11">
        <v>1</v>
      </c>
      <c r="T249" s="11">
        <v>1401</v>
      </c>
      <c r="U249" s="11">
        <v>1098</v>
      </c>
      <c r="AW249" t="str">
        <f>IF(Tabela4[[#This Row],[JUSTIFICATIVA]]="","",CONCATENATE("B",Tabela4[[#This Row],[BLOCO]],Tabela4[[#This Row],[UO_COD]]))</f>
        <v/>
      </c>
      <c r="AX249">
        <f>Tabela4[[#This Row],[JUSTIFICATIVA]]</f>
        <v>0</v>
      </c>
    </row>
    <row r="250" spans="1:50">
      <c r="A250" s="11">
        <v>1401</v>
      </c>
      <c r="B250" s="11">
        <v>2021</v>
      </c>
      <c r="C250" s="12" t="str">
        <f t="shared" si="13"/>
        <v>14012021</v>
      </c>
      <c r="D250" s="11" t="s">
        <v>609</v>
      </c>
      <c r="E250" s="11" t="s">
        <v>610</v>
      </c>
      <c r="F250" s="11" t="s">
        <v>653</v>
      </c>
      <c r="G250" s="11">
        <v>0</v>
      </c>
      <c r="T250" s="11">
        <v>1401</v>
      </c>
      <c r="U250" s="11">
        <v>2021</v>
      </c>
      <c r="AW250" t="str">
        <f>IF(Tabela4[[#This Row],[JUSTIFICATIVA]]="","",CONCATENATE("B",Tabela4[[#This Row],[BLOCO]],Tabela4[[#This Row],[UO_COD]]))</f>
        <v/>
      </c>
      <c r="AX250">
        <f>Tabela4[[#This Row],[JUSTIFICATIVA]]</f>
        <v>0</v>
      </c>
    </row>
    <row r="251" spans="1:50">
      <c r="A251" s="11">
        <v>1401</v>
      </c>
      <c r="B251" s="11">
        <v>2103</v>
      </c>
      <c r="C251" s="12" t="str">
        <f t="shared" si="13"/>
        <v>14012103</v>
      </c>
      <c r="D251" s="11" t="s">
        <v>605</v>
      </c>
      <c r="E251" s="11" t="s">
        <v>612</v>
      </c>
      <c r="F251" s="11" t="s">
        <v>614</v>
      </c>
      <c r="G251" s="11">
        <v>0</v>
      </c>
      <c r="T251" s="11">
        <v>1401</v>
      </c>
      <c r="U251" s="11">
        <v>2103</v>
      </c>
      <c r="AW251" t="str">
        <f>IF(Tabela4[[#This Row],[JUSTIFICATIVA]]="","",CONCATENATE("B",Tabela4[[#This Row],[BLOCO]],Tabela4[[#This Row],[UO_COD]]))</f>
        <v/>
      </c>
      <c r="AX251">
        <f>Tabela4[[#This Row],[JUSTIFICATIVA]]</f>
        <v>0</v>
      </c>
    </row>
    <row r="252" spans="1:50">
      <c r="A252" s="11">
        <v>1401</v>
      </c>
      <c r="B252" s="11">
        <v>2104</v>
      </c>
      <c r="C252" s="12" t="str">
        <f t="shared" si="13"/>
        <v>14012104</v>
      </c>
      <c r="D252" s="11" t="s">
        <v>605</v>
      </c>
      <c r="E252" s="11" t="s">
        <v>612</v>
      </c>
      <c r="F252" s="11" t="s">
        <v>585</v>
      </c>
      <c r="G252" s="11">
        <v>0</v>
      </c>
      <c r="T252" s="11">
        <v>1401</v>
      </c>
      <c r="U252" s="11">
        <v>2104</v>
      </c>
      <c r="AW252" t="str">
        <f>IF(Tabela4[[#This Row],[JUSTIFICATIVA]]="","",CONCATENATE("B",Tabela4[[#This Row],[BLOCO]],Tabela4[[#This Row],[UO_COD]]))</f>
        <v/>
      </c>
      <c r="AX252">
        <f>Tabela4[[#This Row],[JUSTIFICATIVA]]</f>
        <v>0</v>
      </c>
    </row>
    <row r="253" spans="1:50">
      <c r="A253" s="11">
        <v>1401</v>
      </c>
      <c r="B253" s="11">
        <v>2500</v>
      </c>
      <c r="C253" s="12" t="str">
        <f t="shared" si="13"/>
        <v>14012500</v>
      </c>
      <c r="D253" s="11" t="s">
        <v>66</v>
      </c>
      <c r="E253" s="11" t="s">
        <v>470</v>
      </c>
      <c r="F253" s="11" t="s">
        <v>461</v>
      </c>
      <c r="G253" s="11">
        <v>0</v>
      </c>
      <c r="T253" s="11">
        <v>1401</v>
      </c>
      <c r="U253" s="11">
        <v>2500</v>
      </c>
      <c r="AW253" t="str">
        <f>IF(Tabela4[[#This Row],[JUSTIFICATIVA]]="","",CONCATENATE("B",Tabela4[[#This Row],[BLOCO]],Tabela4[[#This Row],[UO_COD]]))</f>
        <v/>
      </c>
      <c r="AX253">
        <f>Tabela4[[#This Row],[JUSTIFICATIVA]]</f>
        <v>0</v>
      </c>
    </row>
    <row r="254" spans="1:50">
      <c r="A254" s="11">
        <v>1401</v>
      </c>
      <c r="B254" s="11">
        <v>4094</v>
      </c>
      <c r="C254" s="12" t="str">
        <f t="shared" si="13"/>
        <v>14014094</v>
      </c>
      <c r="D254" s="11" t="s">
        <v>609</v>
      </c>
      <c r="E254" s="11" t="s">
        <v>610</v>
      </c>
      <c r="F254" s="11" t="s">
        <v>654</v>
      </c>
      <c r="G254" s="11">
        <v>0</v>
      </c>
      <c r="T254" s="11">
        <v>1401</v>
      </c>
      <c r="U254" s="11">
        <v>4094</v>
      </c>
      <c r="AW254" t="str">
        <f>IF(Tabela4[[#This Row],[JUSTIFICATIVA]]="","",CONCATENATE("B",Tabela4[[#This Row],[BLOCO]],Tabela4[[#This Row],[UO_COD]]))</f>
        <v/>
      </c>
      <c r="AX254">
        <f>Tabela4[[#This Row],[JUSTIFICATIVA]]</f>
        <v>0</v>
      </c>
    </row>
    <row r="255" spans="1:50">
      <c r="A255" s="11">
        <v>1401</v>
      </c>
      <c r="B255" s="11">
        <v>4113</v>
      </c>
      <c r="C255" s="12" t="str">
        <f t="shared" si="13"/>
        <v>14014113</v>
      </c>
      <c r="D255" s="11" t="s">
        <v>66</v>
      </c>
      <c r="E255" s="11" t="s">
        <v>504</v>
      </c>
      <c r="F255" s="11" t="s">
        <v>653</v>
      </c>
      <c r="G255" s="11">
        <v>0</v>
      </c>
      <c r="T255" s="11">
        <v>1401</v>
      </c>
      <c r="U255" s="11">
        <v>4113</v>
      </c>
      <c r="AW255" t="str">
        <f>IF(Tabela4[[#This Row],[JUSTIFICATIVA]]="","",CONCATENATE("B",Tabela4[[#This Row],[BLOCO]],Tabela4[[#This Row],[UO_COD]]))</f>
        <v/>
      </c>
      <c r="AX255">
        <f>Tabela4[[#This Row],[JUSTIFICATIVA]]</f>
        <v>0</v>
      </c>
    </row>
    <row r="256" spans="1:50">
      <c r="A256" s="11">
        <v>1401</v>
      </c>
      <c r="B256" s="11">
        <v>4114</v>
      </c>
      <c r="C256" s="12" t="str">
        <f t="shared" si="13"/>
        <v>14014114</v>
      </c>
      <c r="D256" s="11" t="s">
        <v>66</v>
      </c>
      <c r="E256" s="11" t="s">
        <v>504</v>
      </c>
      <c r="F256" s="11" t="s">
        <v>653</v>
      </c>
      <c r="G256" s="11">
        <v>0</v>
      </c>
      <c r="T256" s="11">
        <v>1401</v>
      </c>
      <c r="U256" s="11">
        <v>4114</v>
      </c>
      <c r="AW256" t="str">
        <f>IF(Tabela4[[#This Row],[JUSTIFICATIVA]]="","",CONCATENATE("B",Tabela4[[#This Row],[BLOCO]],Tabela4[[#This Row],[UO_COD]]))</f>
        <v/>
      </c>
      <c r="AX256">
        <f>Tabela4[[#This Row],[JUSTIFICATIVA]]</f>
        <v>0</v>
      </c>
    </row>
    <row r="257" spans="1:50">
      <c r="A257" s="11">
        <v>1401</v>
      </c>
      <c r="B257" s="11">
        <v>4115</v>
      </c>
      <c r="C257" s="12" t="str">
        <f t="shared" si="13"/>
        <v>14014115</v>
      </c>
      <c r="D257" s="11" t="s">
        <v>66</v>
      </c>
      <c r="E257" s="11" t="s">
        <v>504</v>
      </c>
      <c r="F257" s="11" t="s">
        <v>653</v>
      </c>
      <c r="G257" s="11">
        <v>0</v>
      </c>
      <c r="T257" s="11">
        <v>1401</v>
      </c>
      <c r="U257" s="11">
        <v>4115</v>
      </c>
      <c r="AW257" t="str">
        <f>IF(Tabela4[[#This Row],[JUSTIFICATIVA]]="","",CONCATENATE("B",Tabela4[[#This Row],[BLOCO]],Tabela4[[#This Row],[UO_COD]]))</f>
        <v/>
      </c>
      <c r="AX257">
        <f>Tabela4[[#This Row],[JUSTIFICATIVA]]</f>
        <v>0</v>
      </c>
    </row>
    <row r="258" spans="1:50">
      <c r="A258" s="11">
        <v>1401</v>
      </c>
      <c r="B258" s="11">
        <v>4116</v>
      </c>
      <c r="C258" s="12" t="str">
        <f t="shared" ref="C258:C321" si="14">CONCATENATE(A258,B258)</f>
        <v>14014116</v>
      </c>
      <c r="D258" s="11" t="s">
        <v>605</v>
      </c>
      <c r="E258" s="11" t="s">
        <v>622</v>
      </c>
      <c r="F258" s="11" t="s">
        <v>653</v>
      </c>
      <c r="G258" s="11">
        <v>0</v>
      </c>
      <c r="T258" s="11">
        <v>1401</v>
      </c>
      <c r="U258" s="11">
        <v>4116</v>
      </c>
      <c r="AW258" t="str">
        <f>IF(Tabela4[[#This Row],[JUSTIFICATIVA]]="","",CONCATENATE("B",Tabela4[[#This Row],[BLOCO]],Tabela4[[#This Row],[UO_COD]]))</f>
        <v/>
      </c>
      <c r="AX258">
        <f>Tabela4[[#This Row],[JUSTIFICATIVA]]</f>
        <v>0</v>
      </c>
    </row>
    <row r="259" spans="1:50">
      <c r="A259" s="11">
        <v>1401</v>
      </c>
      <c r="B259" s="11">
        <v>4117</v>
      </c>
      <c r="C259" s="12" t="str">
        <f t="shared" si="14"/>
        <v>14014117</v>
      </c>
      <c r="D259" s="11" t="s">
        <v>66</v>
      </c>
      <c r="E259" s="11" t="s">
        <v>504</v>
      </c>
      <c r="F259" s="11" t="s">
        <v>653</v>
      </c>
      <c r="G259" s="11">
        <v>0</v>
      </c>
      <c r="T259" s="11">
        <v>1401</v>
      </c>
      <c r="U259" s="11">
        <v>4117</v>
      </c>
      <c r="AW259" t="str">
        <f>IF(Tabela4[[#This Row],[JUSTIFICATIVA]]="","",CONCATENATE("B",Tabela4[[#This Row],[BLOCO]],Tabela4[[#This Row],[UO_COD]]))</f>
        <v/>
      </c>
      <c r="AX259">
        <f>Tabela4[[#This Row],[JUSTIFICATIVA]]</f>
        <v>0</v>
      </c>
    </row>
    <row r="260" spans="1:50">
      <c r="A260" s="11">
        <v>1401</v>
      </c>
      <c r="B260" s="11">
        <v>4119</v>
      </c>
      <c r="C260" s="12" t="str">
        <f t="shared" si="14"/>
        <v>14014119</v>
      </c>
      <c r="D260" s="11" t="s">
        <v>66</v>
      </c>
      <c r="E260" s="11" t="s">
        <v>474</v>
      </c>
      <c r="F260" s="11" t="s">
        <v>653</v>
      </c>
      <c r="G260" s="11">
        <v>0</v>
      </c>
      <c r="T260" s="11">
        <v>1401</v>
      </c>
      <c r="U260" s="11">
        <v>4119</v>
      </c>
      <c r="AW260" t="str">
        <f>IF(Tabela4[[#This Row],[JUSTIFICATIVA]]="","",CONCATENATE("B",Tabela4[[#This Row],[BLOCO]],Tabela4[[#This Row],[UO_COD]]))</f>
        <v/>
      </c>
      <c r="AX260">
        <f>Tabela4[[#This Row],[JUSTIFICATIVA]]</f>
        <v>0</v>
      </c>
    </row>
    <row r="261" spans="1:50">
      <c r="A261" s="11">
        <v>1401</v>
      </c>
      <c r="B261" s="11">
        <v>4120</v>
      </c>
      <c r="C261" s="12" t="str">
        <f t="shared" si="14"/>
        <v>14014120</v>
      </c>
      <c r="D261" s="11" t="s">
        <v>66</v>
      </c>
      <c r="E261" s="11" t="s">
        <v>504</v>
      </c>
      <c r="F261" s="11" t="s">
        <v>653</v>
      </c>
      <c r="G261" s="11">
        <v>0</v>
      </c>
      <c r="T261" s="11">
        <v>1401</v>
      </c>
      <c r="U261" s="11">
        <v>4120</v>
      </c>
      <c r="AW261" t="str">
        <f>IF(Tabela4[[#This Row],[JUSTIFICATIVA]]="","",CONCATENATE("B",Tabela4[[#This Row],[BLOCO]],Tabela4[[#This Row],[UO_COD]]))</f>
        <v/>
      </c>
      <c r="AX261">
        <f>Tabela4[[#This Row],[JUSTIFICATIVA]]</f>
        <v>0</v>
      </c>
    </row>
    <row r="262" spans="1:50">
      <c r="A262" s="11">
        <v>1401</v>
      </c>
      <c r="B262" s="11">
        <v>4138</v>
      </c>
      <c r="C262" s="12" t="str">
        <f t="shared" si="14"/>
        <v>14014138</v>
      </c>
      <c r="D262" s="11" t="s">
        <v>646</v>
      </c>
      <c r="E262" s="11" t="s">
        <v>504</v>
      </c>
      <c r="F262" s="11" t="s">
        <v>653</v>
      </c>
      <c r="G262" s="11">
        <v>0</v>
      </c>
      <c r="T262" s="11">
        <v>1401</v>
      </c>
      <c r="U262" s="11">
        <v>4138</v>
      </c>
      <c r="AW262" t="str">
        <f>IF(Tabela4[[#This Row],[JUSTIFICATIVA]]="","",CONCATENATE("B",Tabela4[[#This Row],[BLOCO]],Tabela4[[#This Row],[UO_COD]]))</f>
        <v/>
      </c>
      <c r="AX262">
        <f>Tabela4[[#This Row],[JUSTIFICATIVA]]</f>
        <v>0</v>
      </c>
    </row>
    <row r="263" spans="1:50">
      <c r="A263" s="11">
        <v>1401</v>
      </c>
      <c r="B263" s="11">
        <v>4140</v>
      </c>
      <c r="C263" s="12" t="str">
        <f t="shared" si="14"/>
        <v>14014140</v>
      </c>
      <c r="D263" s="11" t="s">
        <v>66</v>
      </c>
      <c r="E263" s="11" t="s">
        <v>504</v>
      </c>
      <c r="F263" s="11" t="s">
        <v>653</v>
      </c>
      <c r="G263" s="11">
        <v>0</v>
      </c>
      <c r="T263" s="11">
        <v>1401</v>
      </c>
      <c r="U263" s="11">
        <v>4140</v>
      </c>
      <c r="AW263" t="str">
        <f>IF(Tabela4[[#This Row],[JUSTIFICATIVA]]="","",CONCATENATE("B",Tabela4[[#This Row],[BLOCO]],Tabela4[[#This Row],[UO_COD]]))</f>
        <v/>
      </c>
      <c r="AX263">
        <f>Tabela4[[#This Row],[JUSTIFICATIVA]]</f>
        <v>0</v>
      </c>
    </row>
    <row r="264" spans="1:50">
      <c r="A264" s="11">
        <v>1401</v>
      </c>
      <c r="B264" s="11">
        <v>4141</v>
      </c>
      <c r="C264" s="12" t="str">
        <f t="shared" si="14"/>
        <v>14014141</v>
      </c>
      <c r="D264" s="11" t="s">
        <v>66</v>
      </c>
      <c r="E264" s="11" t="s">
        <v>504</v>
      </c>
      <c r="F264" s="11" t="s">
        <v>653</v>
      </c>
      <c r="G264" s="11">
        <v>0</v>
      </c>
      <c r="T264" s="11">
        <v>1401</v>
      </c>
      <c r="U264" s="11">
        <v>4141</v>
      </c>
      <c r="AW264" t="str">
        <f>IF(Tabela4[[#This Row],[JUSTIFICATIVA]]="","",CONCATENATE("B",Tabela4[[#This Row],[BLOCO]],Tabela4[[#This Row],[UO_COD]]))</f>
        <v/>
      </c>
      <c r="AX264">
        <f>Tabela4[[#This Row],[JUSTIFICATIVA]]</f>
        <v>0</v>
      </c>
    </row>
    <row r="265" spans="1:50">
      <c r="A265" s="11">
        <v>1401</v>
      </c>
      <c r="B265" s="11">
        <v>4142</v>
      </c>
      <c r="C265" s="12" t="str">
        <f t="shared" si="14"/>
        <v>14014142</v>
      </c>
      <c r="D265" s="11" t="s">
        <v>66</v>
      </c>
      <c r="E265" s="11" t="s">
        <v>504</v>
      </c>
      <c r="F265" s="11" t="s">
        <v>521</v>
      </c>
      <c r="G265" s="11">
        <v>0</v>
      </c>
      <c r="T265" s="11">
        <v>1401</v>
      </c>
      <c r="U265" s="11">
        <v>4142</v>
      </c>
      <c r="AW265" t="str">
        <f>IF(Tabela4[[#This Row],[JUSTIFICATIVA]]="","",CONCATENATE("B",Tabela4[[#This Row],[BLOCO]],Tabela4[[#This Row],[UO_COD]]))</f>
        <v/>
      </c>
      <c r="AX265">
        <f>Tabela4[[#This Row],[JUSTIFICATIVA]]</f>
        <v>0</v>
      </c>
    </row>
    <row r="266" spans="1:50">
      <c r="A266" s="11">
        <v>1401</v>
      </c>
      <c r="B266" s="11">
        <v>4556</v>
      </c>
      <c r="C266" s="12" t="str">
        <f t="shared" si="14"/>
        <v>14014556</v>
      </c>
      <c r="D266" s="11" t="s">
        <v>66</v>
      </c>
      <c r="E266" s="11" t="s">
        <v>504</v>
      </c>
      <c r="F266" s="11" t="s">
        <v>461</v>
      </c>
      <c r="G266" s="11">
        <v>0</v>
      </c>
      <c r="T266" s="11">
        <v>1401</v>
      </c>
      <c r="U266" s="11">
        <v>4556</v>
      </c>
      <c r="AW266" t="str">
        <f>IF(Tabela4[[#This Row],[JUSTIFICATIVA]]="","",CONCATENATE("B",Tabela4[[#This Row],[BLOCO]],Tabela4[[#This Row],[UO_COD]]))</f>
        <v/>
      </c>
      <c r="AX266">
        <f>Tabela4[[#This Row],[JUSTIFICATIVA]]</f>
        <v>0</v>
      </c>
    </row>
    <row r="267" spans="1:50">
      <c r="A267" s="11">
        <v>1401</v>
      </c>
      <c r="B267" s="11">
        <v>7007</v>
      </c>
      <c r="C267" s="12" t="str">
        <f t="shared" si="14"/>
        <v>14017007</v>
      </c>
      <c r="D267" s="11" t="s">
        <v>66</v>
      </c>
      <c r="E267" s="11" t="s">
        <v>466</v>
      </c>
      <c r="F267" s="11" t="s">
        <v>461</v>
      </c>
      <c r="G267" s="11">
        <v>0</v>
      </c>
      <c r="T267" s="11">
        <v>1401</v>
      </c>
      <c r="U267" s="11">
        <v>7007</v>
      </c>
      <c r="AW267" t="str">
        <f>IF(Tabela4[[#This Row],[JUSTIFICATIVA]]="","",CONCATENATE("B",Tabela4[[#This Row],[BLOCO]],Tabela4[[#This Row],[UO_COD]]))</f>
        <v/>
      </c>
      <c r="AX267">
        <f>Tabela4[[#This Row],[JUSTIFICATIVA]]</f>
        <v>0</v>
      </c>
    </row>
    <row r="268" spans="1:50">
      <c r="A268" s="11">
        <v>1401</v>
      </c>
      <c r="B268" s="11">
        <v>7010</v>
      </c>
      <c r="C268" s="12" t="str">
        <f t="shared" si="14"/>
        <v>14017010</v>
      </c>
      <c r="D268" s="11" t="s">
        <v>66</v>
      </c>
      <c r="E268" s="11" t="s">
        <v>470</v>
      </c>
      <c r="F268" s="11" t="s">
        <v>461</v>
      </c>
      <c r="G268" s="11">
        <v>0</v>
      </c>
      <c r="T268" s="11">
        <v>1401</v>
      </c>
      <c r="U268" s="11">
        <v>7010</v>
      </c>
      <c r="AW268" t="str">
        <f>IF(Tabela4[[#This Row],[JUSTIFICATIVA]]="","",CONCATENATE("B",Tabela4[[#This Row],[BLOCO]],Tabela4[[#This Row],[UO_COD]]))</f>
        <v/>
      </c>
      <c r="AX268">
        <f>Tabela4[[#This Row],[JUSTIFICATIVA]]</f>
        <v>0</v>
      </c>
    </row>
    <row r="269" spans="1:50">
      <c r="A269" s="11">
        <v>1441</v>
      </c>
      <c r="B269" s="11">
        <v>1050</v>
      </c>
      <c r="C269" s="12" t="str">
        <f t="shared" si="14"/>
        <v>14411050</v>
      </c>
      <c r="D269" s="11" t="s">
        <v>56</v>
      </c>
      <c r="E269" s="11" t="s">
        <v>527</v>
      </c>
      <c r="F269" s="11" t="s">
        <v>655</v>
      </c>
      <c r="G269" s="11">
        <v>0</v>
      </c>
      <c r="T269" s="11">
        <v>1441</v>
      </c>
      <c r="U269" s="11">
        <v>1050</v>
      </c>
      <c r="AW269" t="str">
        <f>IF(Tabela4[[#This Row],[JUSTIFICATIVA]]="","",CONCATENATE("B",Tabela4[[#This Row],[BLOCO]],Tabela4[[#This Row],[UO_COD]]))</f>
        <v/>
      </c>
      <c r="AX269">
        <f>Tabela4[[#This Row],[JUSTIFICATIVA]]</f>
        <v>0</v>
      </c>
    </row>
    <row r="270" spans="1:50">
      <c r="A270" s="11">
        <v>1441</v>
      </c>
      <c r="B270" s="11">
        <v>1099</v>
      </c>
      <c r="C270" s="12" t="str">
        <f t="shared" si="14"/>
        <v>14411099</v>
      </c>
      <c r="D270" s="11" t="s">
        <v>56</v>
      </c>
      <c r="E270" s="11" t="s">
        <v>527</v>
      </c>
      <c r="F270" s="11" t="s">
        <v>655</v>
      </c>
      <c r="G270" s="11">
        <v>0</v>
      </c>
      <c r="T270" s="11">
        <v>1441</v>
      </c>
      <c r="U270" s="11">
        <v>1099</v>
      </c>
      <c r="AW270" t="str">
        <f>IF(Tabela4[[#This Row],[JUSTIFICATIVA]]="","",CONCATENATE("B",Tabela4[[#This Row],[BLOCO]],Tabela4[[#This Row],[UO_COD]]))</f>
        <v/>
      </c>
      <c r="AX270">
        <f>Tabela4[[#This Row],[JUSTIFICATIVA]]</f>
        <v>0</v>
      </c>
    </row>
    <row r="271" spans="1:50">
      <c r="A271" s="11">
        <v>1441</v>
      </c>
      <c r="B271" s="11">
        <v>2068</v>
      </c>
      <c r="C271" s="12" t="str">
        <f t="shared" si="14"/>
        <v>14412068</v>
      </c>
      <c r="D271" s="11" t="s">
        <v>56</v>
      </c>
      <c r="E271" s="11" t="s">
        <v>474</v>
      </c>
      <c r="F271" s="11" t="s">
        <v>655</v>
      </c>
      <c r="G271" s="11">
        <v>0</v>
      </c>
      <c r="T271" s="11">
        <v>1441</v>
      </c>
      <c r="U271" s="11">
        <v>2068</v>
      </c>
      <c r="AW271" t="str">
        <f>IF(Tabela4[[#This Row],[JUSTIFICATIVA]]="","",CONCATENATE("B",Tabela4[[#This Row],[BLOCO]],Tabela4[[#This Row],[UO_COD]]))</f>
        <v/>
      </c>
      <c r="AX271">
        <f>Tabela4[[#This Row],[JUSTIFICATIVA]]</f>
        <v>0</v>
      </c>
    </row>
    <row r="272" spans="1:50">
      <c r="A272" s="11">
        <v>1441</v>
      </c>
      <c r="B272" s="11">
        <v>4033</v>
      </c>
      <c r="C272" s="12" t="str">
        <f t="shared" si="14"/>
        <v>14414033</v>
      </c>
      <c r="D272" s="11" t="s">
        <v>56</v>
      </c>
      <c r="E272" s="11" t="s">
        <v>527</v>
      </c>
      <c r="F272" s="11" t="s">
        <v>655</v>
      </c>
      <c r="G272" s="11">
        <v>0</v>
      </c>
      <c r="T272" s="11">
        <v>1441</v>
      </c>
      <c r="U272" s="11">
        <v>4033</v>
      </c>
      <c r="AW272" t="str">
        <f>IF(Tabela4[[#This Row],[JUSTIFICATIVA]]="","",CONCATENATE("B",Tabela4[[#This Row],[BLOCO]],Tabela4[[#This Row],[UO_COD]]))</f>
        <v/>
      </c>
      <c r="AX272">
        <f>Tabela4[[#This Row],[JUSTIFICATIVA]]</f>
        <v>0</v>
      </c>
    </row>
    <row r="273" spans="1:50">
      <c r="A273" s="11">
        <v>1441</v>
      </c>
      <c r="B273" s="11">
        <v>4150</v>
      </c>
      <c r="C273" s="12" t="str">
        <f t="shared" si="14"/>
        <v>14414150</v>
      </c>
      <c r="D273" s="11" t="s">
        <v>56</v>
      </c>
      <c r="E273" s="11" t="s">
        <v>527</v>
      </c>
      <c r="F273" s="11" t="s">
        <v>655</v>
      </c>
      <c r="G273" s="11">
        <v>0</v>
      </c>
      <c r="T273" s="11">
        <v>1441</v>
      </c>
      <c r="U273" s="11">
        <v>4150</v>
      </c>
      <c r="AW273" t="str">
        <f>IF(Tabela4[[#This Row],[JUSTIFICATIVA]]="","",CONCATENATE("B",Tabela4[[#This Row],[BLOCO]],Tabela4[[#This Row],[UO_COD]]))</f>
        <v/>
      </c>
      <c r="AX273">
        <f>Tabela4[[#This Row],[JUSTIFICATIVA]]</f>
        <v>0</v>
      </c>
    </row>
    <row r="274" spans="1:50">
      <c r="A274" s="11">
        <v>1441</v>
      </c>
      <c r="B274" s="11">
        <v>4193</v>
      </c>
      <c r="C274" s="12" t="str">
        <f t="shared" si="14"/>
        <v>14414193</v>
      </c>
      <c r="D274" s="11" t="s">
        <v>56</v>
      </c>
      <c r="E274" s="11" t="s">
        <v>527</v>
      </c>
      <c r="F274" s="11" t="s">
        <v>655</v>
      </c>
      <c r="G274" s="11">
        <v>0</v>
      </c>
      <c r="T274" s="11">
        <v>1441</v>
      </c>
      <c r="U274" s="11">
        <v>4193</v>
      </c>
      <c r="AW274" t="str">
        <f>IF(Tabela4[[#This Row],[JUSTIFICATIVA]]="","",CONCATENATE("B",Tabela4[[#This Row],[BLOCO]],Tabela4[[#This Row],[UO_COD]]))</f>
        <v/>
      </c>
      <c r="AX274">
        <f>Tabela4[[#This Row],[JUSTIFICATIVA]]</f>
        <v>0</v>
      </c>
    </row>
    <row r="275" spans="1:50">
      <c r="A275" s="11">
        <v>1441</v>
      </c>
      <c r="B275" s="11">
        <v>7004</v>
      </c>
      <c r="C275" s="12" t="str">
        <f t="shared" si="14"/>
        <v>14417004</v>
      </c>
      <c r="D275" s="11" t="s">
        <v>459</v>
      </c>
      <c r="E275" s="11" t="s">
        <v>460</v>
      </c>
      <c r="F275" s="11" t="s">
        <v>461</v>
      </c>
      <c r="G275" s="11">
        <v>0</v>
      </c>
      <c r="T275" s="11">
        <v>1441</v>
      </c>
      <c r="U275" s="11">
        <v>7004</v>
      </c>
      <c r="AW275" t="str">
        <f>IF(Tabela4[[#This Row],[JUSTIFICATIVA]]="","",CONCATENATE("B",Tabela4[[#This Row],[BLOCO]],Tabela4[[#This Row],[UO_COD]]))</f>
        <v/>
      </c>
      <c r="AX275">
        <f>Tabela4[[#This Row],[JUSTIFICATIVA]]</f>
        <v>0</v>
      </c>
    </row>
    <row r="276" spans="1:50">
      <c r="A276" s="11">
        <v>1441</v>
      </c>
      <c r="B276" s="11">
        <v>7006</v>
      </c>
      <c r="C276" s="12" t="str">
        <f t="shared" si="14"/>
        <v>14417006</v>
      </c>
      <c r="D276" s="11" t="s">
        <v>70</v>
      </c>
      <c r="E276" s="11" t="s">
        <v>466</v>
      </c>
      <c r="F276" s="11" t="s">
        <v>461</v>
      </c>
      <c r="G276" s="11">
        <v>0</v>
      </c>
      <c r="T276" s="11">
        <v>1441</v>
      </c>
      <c r="U276" s="11">
        <v>7006</v>
      </c>
      <c r="AW276" t="str">
        <f>IF(Tabela4[[#This Row],[JUSTIFICATIVA]]="","",CONCATENATE("B",Tabela4[[#This Row],[BLOCO]],Tabela4[[#This Row],[UO_COD]]))</f>
        <v/>
      </c>
      <c r="AX276">
        <f>Tabela4[[#This Row],[JUSTIFICATIVA]]</f>
        <v>0</v>
      </c>
    </row>
    <row r="277" spans="1:50">
      <c r="A277" s="11">
        <v>1451</v>
      </c>
      <c r="B277" s="11">
        <v>1047</v>
      </c>
      <c r="C277" s="12" t="str">
        <f t="shared" si="14"/>
        <v>14511047</v>
      </c>
      <c r="D277" s="11" t="s">
        <v>66</v>
      </c>
      <c r="E277" s="11" t="s">
        <v>656</v>
      </c>
      <c r="F277" s="11" t="s">
        <v>640</v>
      </c>
      <c r="G277" s="11">
        <v>0</v>
      </c>
      <c r="T277" s="11">
        <v>1451</v>
      </c>
      <c r="U277" s="11">
        <v>1047</v>
      </c>
      <c r="AW277" t="str">
        <f>IF(Tabela4[[#This Row],[JUSTIFICATIVA]]="","",CONCATENATE("B",Tabela4[[#This Row],[BLOCO]],Tabela4[[#This Row],[UO_COD]]))</f>
        <v/>
      </c>
      <c r="AX277">
        <f>Tabela4[[#This Row],[JUSTIFICATIVA]]</f>
        <v>0</v>
      </c>
    </row>
    <row r="278" spans="1:50">
      <c r="A278" s="11">
        <v>1451</v>
      </c>
      <c r="B278" s="11">
        <v>1048</v>
      </c>
      <c r="C278" s="12" t="str">
        <f t="shared" si="14"/>
        <v>14511048</v>
      </c>
      <c r="D278" s="11" t="s">
        <v>66</v>
      </c>
      <c r="E278" s="11" t="s">
        <v>656</v>
      </c>
      <c r="F278" s="11" t="s">
        <v>640</v>
      </c>
      <c r="G278" s="11">
        <v>1</v>
      </c>
      <c r="T278" s="11">
        <v>1451</v>
      </c>
      <c r="U278" s="11">
        <v>1048</v>
      </c>
      <c r="AW278" t="str">
        <f>IF(Tabela4[[#This Row],[JUSTIFICATIVA]]="","",CONCATENATE("B",Tabela4[[#This Row],[BLOCO]],Tabela4[[#This Row],[UO_COD]]))</f>
        <v/>
      </c>
      <c r="AX278">
        <f>Tabela4[[#This Row],[JUSTIFICATIVA]]</f>
        <v>0</v>
      </c>
    </row>
    <row r="279" spans="1:50">
      <c r="A279" s="11">
        <v>1451</v>
      </c>
      <c r="B279" s="11">
        <v>1054</v>
      </c>
      <c r="C279" s="12" t="str">
        <f t="shared" si="14"/>
        <v>14511054</v>
      </c>
      <c r="D279" s="11" t="s">
        <v>66</v>
      </c>
      <c r="E279" s="11" t="s">
        <v>512</v>
      </c>
      <c r="F279" s="11" t="s">
        <v>657</v>
      </c>
      <c r="G279" s="11">
        <v>0</v>
      </c>
      <c r="T279" s="11">
        <v>1451</v>
      </c>
      <c r="U279" s="11">
        <v>1054</v>
      </c>
      <c r="AW279" t="str">
        <f>IF(Tabela4[[#This Row],[JUSTIFICATIVA]]="","",CONCATENATE("B",Tabela4[[#This Row],[BLOCO]],Tabela4[[#This Row],[UO_COD]]))</f>
        <v/>
      </c>
      <c r="AX279">
        <f>Tabela4[[#This Row],[JUSTIFICATIVA]]</f>
        <v>0</v>
      </c>
    </row>
    <row r="280" spans="1:50">
      <c r="A280" s="11">
        <v>1451</v>
      </c>
      <c r="B280" s="11">
        <v>2417</v>
      </c>
      <c r="C280" s="12" t="str">
        <f t="shared" si="14"/>
        <v>14512417</v>
      </c>
      <c r="D280" s="11" t="s">
        <v>66</v>
      </c>
      <c r="E280" s="11" t="s">
        <v>470</v>
      </c>
      <c r="F280" s="11" t="s">
        <v>461</v>
      </c>
      <c r="G280" s="11">
        <v>0</v>
      </c>
      <c r="T280" s="11">
        <v>1451</v>
      </c>
      <c r="U280" s="11">
        <v>2417</v>
      </c>
      <c r="AW280" t="str">
        <f>IF(Tabela4[[#This Row],[JUSTIFICATIVA]]="","",CONCATENATE("B",Tabela4[[#This Row],[BLOCO]],Tabela4[[#This Row],[UO_COD]]))</f>
        <v/>
      </c>
      <c r="AX280">
        <f>Tabela4[[#This Row],[JUSTIFICATIVA]]</f>
        <v>0</v>
      </c>
    </row>
    <row r="281" spans="1:50">
      <c r="A281" s="11">
        <v>1451</v>
      </c>
      <c r="B281" s="11">
        <v>2500</v>
      </c>
      <c r="C281" s="12" t="str">
        <f t="shared" si="14"/>
        <v>14512500</v>
      </c>
      <c r="D281" s="11" t="s">
        <v>66</v>
      </c>
      <c r="E281" s="11" t="s">
        <v>470</v>
      </c>
      <c r="F281" s="11" t="s">
        <v>461</v>
      </c>
      <c r="G281" s="11">
        <v>0</v>
      </c>
      <c r="T281" s="11">
        <v>1451</v>
      </c>
      <c r="U281" s="11">
        <v>2500</v>
      </c>
      <c r="AW281" t="str">
        <f>IF(Tabela4[[#This Row],[JUSTIFICATIVA]]="","",CONCATENATE("B",Tabela4[[#This Row],[BLOCO]],Tabela4[[#This Row],[UO_COD]]))</f>
        <v/>
      </c>
      <c r="AX281">
        <f>Tabela4[[#This Row],[JUSTIFICATIVA]]</f>
        <v>0</v>
      </c>
    </row>
    <row r="282" spans="1:50">
      <c r="A282" s="11">
        <v>1451</v>
      </c>
      <c r="B282" s="11">
        <v>4344</v>
      </c>
      <c r="C282" s="12" t="str">
        <f t="shared" si="14"/>
        <v>14514344</v>
      </c>
      <c r="D282" s="11" t="s">
        <v>66</v>
      </c>
      <c r="E282" s="11" t="s">
        <v>656</v>
      </c>
      <c r="F282" s="11" t="s">
        <v>551</v>
      </c>
      <c r="G282" s="11">
        <v>0</v>
      </c>
      <c r="T282" s="11">
        <v>1451</v>
      </c>
      <c r="U282" s="11">
        <v>4344</v>
      </c>
      <c r="AW282" t="str">
        <f>IF(Tabela4[[#This Row],[JUSTIFICATIVA]]="","",CONCATENATE("B",Tabela4[[#This Row],[BLOCO]],Tabela4[[#This Row],[UO_COD]]))</f>
        <v/>
      </c>
      <c r="AX282">
        <f>Tabela4[[#This Row],[JUSTIFICATIVA]]</f>
        <v>0</v>
      </c>
    </row>
    <row r="283" spans="1:50">
      <c r="A283" s="11">
        <v>1451</v>
      </c>
      <c r="B283" s="11">
        <v>4347</v>
      </c>
      <c r="C283" s="12" t="str">
        <f t="shared" si="14"/>
        <v>14514347</v>
      </c>
      <c r="D283" s="11" t="s">
        <v>66</v>
      </c>
      <c r="E283" s="11" t="s">
        <v>656</v>
      </c>
      <c r="F283" s="11" t="s">
        <v>551</v>
      </c>
      <c r="G283" s="11">
        <v>0</v>
      </c>
      <c r="T283" s="11">
        <v>1451</v>
      </c>
      <c r="U283" s="11">
        <v>4347</v>
      </c>
      <c r="AW283" t="str">
        <f>IF(Tabela4[[#This Row],[JUSTIFICATIVA]]="","",CONCATENATE("B",Tabela4[[#This Row],[BLOCO]],Tabela4[[#This Row],[UO_COD]]))</f>
        <v/>
      </c>
      <c r="AX283">
        <f>Tabela4[[#This Row],[JUSTIFICATIVA]]</f>
        <v>0</v>
      </c>
    </row>
    <row r="284" spans="1:50">
      <c r="A284" s="11">
        <v>1451</v>
      </c>
      <c r="B284" s="11">
        <v>4348</v>
      </c>
      <c r="C284" s="12" t="str">
        <f t="shared" si="14"/>
        <v>14514348</v>
      </c>
      <c r="D284" s="11" t="s">
        <v>66</v>
      </c>
      <c r="E284" s="11" t="s">
        <v>656</v>
      </c>
      <c r="F284" s="11" t="s">
        <v>640</v>
      </c>
      <c r="G284" s="11">
        <v>0</v>
      </c>
      <c r="T284" s="11">
        <v>1451</v>
      </c>
      <c r="U284" s="11">
        <v>4348</v>
      </c>
      <c r="AW284" t="str">
        <f>IF(Tabela4[[#This Row],[JUSTIFICATIVA]]="","",CONCATENATE("B",Tabela4[[#This Row],[BLOCO]],Tabela4[[#This Row],[UO_COD]]))</f>
        <v/>
      </c>
      <c r="AX284">
        <f>Tabela4[[#This Row],[JUSTIFICATIVA]]</f>
        <v>0</v>
      </c>
    </row>
    <row r="285" spans="1:50" ht="15" customHeight="1">
      <c r="A285" s="11">
        <v>1451</v>
      </c>
      <c r="B285" s="11">
        <v>4350</v>
      </c>
      <c r="C285" s="12" t="str">
        <f t="shared" si="14"/>
        <v>14514350</v>
      </c>
      <c r="D285" s="11" t="s">
        <v>66</v>
      </c>
      <c r="E285" s="11" t="s">
        <v>656</v>
      </c>
      <c r="F285" s="11" t="s">
        <v>640</v>
      </c>
      <c r="G285" s="11">
        <v>0</v>
      </c>
      <c r="T285" s="11">
        <v>1451</v>
      </c>
      <c r="U285" s="11">
        <v>4350</v>
      </c>
      <c r="AW285" t="str">
        <f>IF(Tabela4[[#This Row],[JUSTIFICATIVA]]="","",CONCATENATE("B",Tabela4[[#This Row],[BLOCO]],Tabela4[[#This Row],[UO_COD]]))</f>
        <v/>
      </c>
      <c r="AX285">
        <f>Tabela4[[#This Row],[JUSTIFICATIVA]]</f>
        <v>0</v>
      </c>
    </row>
    <row r="286" spans="1:50" ht="15" customHeight="1">
      <c r="A286" s="11">
        <v>1451</v>
      </c>
      <c r="B286" s="11">
        <v>4351</v>
      </c>
      <c r="C286" s="12" t="str">
        <f t="shared" si="14"/>
        <v>14514351</v>
      </c>
      <c r="D286" s="11" t="s">
        <v>66</v>
      </c>
      <c r="E286" s="11" t="s">
        <v>656</v>
      </c>
      <c r="F286" s="11" t="s">
        <v>640</v>
      </c>
      <c r="G286" s="11">
        <v>0</v>
      </c>
      <c r="T286" s="11">
        <v>1451</v>
      </c>
      <c r="U286" s="11">
        <v>4351</v>
      </c>
      <c r="AW286" t="str">
        <f>IF(Tabela4[[#This Row],[JUSTIFICATIVA]]="","",CONCATENATE("B",Tabela4[[#This Row],[BLOCO]],Tabela4[[#This Row],[UO_COD]]))</f>
        <v/>
      </c>
      <c r="AX286">
        <f>Tabela4[[#This Row],[JUSTIFICATIVA]]</f>
        <v>0</v>
      </c>
    </row>
    <row r="287" spans="1:50" ht="15" customHeight="1">
      <c r="A287" s="11">
        <v>1451</v>
      </c>
      <c r="B287" s="11">
        <v>4353</v>
      </c>
      <c r="C287" s="12" t="str">
        <f t="shared" si="14"/>
        <v>14514353</v>
      </c>
      <c r="D287" s="11" t="s">
        <v>609</v>
      </c>
      <c r="E287" s="11" t="s">
        <v>656</v>
      </c>
      <c r="F287" s="11" t="s">
        <v>640</v>
      </c>
      <c r="G287" s="11">
        <v>0</v>
      </c>
      <c r="T287" s="11">
        <v>1451</v>
      </c>
      <c r="U287" s="11">
        <v>4353</v>
      </c>
      <c r="AW287" t="str">
        <f>IF(Tabela4[[#This Row],[JUSTIFICATIVA]]="","",CONCATENATE("B",Tabela4[[#This Row],[BLOCO]],Tabela4[[#This Row],[UO_COD]]))</f>
        <v/>
      </c>
      <c r="AX287">
        <f>Tabela4[[#This Row],[JUSTIFICATIVA]]</f>
        <v>0</v>
      </c>
    </row>
    <row r="288" spans="1:50" ht="15" customHeight="1">
      <c r="A288" s="11">
        <v>1451</v>
      </c>
      <c r="B288" s="11">
        <v>4375</v>
      </c>
      <c r="C288" s="12" t="str">
        <f t="shared" si="14"/>
        <v>14514375</v>
      </c>
      <c r="D288" s="11" t="s">
        <v>66</v>
      </c>
      <c r="E288" s="11" t="s">
        <v>512</v>
      </c>
      <c r="F288" s="11" t="s">
        <v>657</v>
      </c>
      <c r="G288" s="11">
        <v>0</v>
      </c>
      <c r="T288" s="11">
        <v>1451</v>
      </c>
      <c r="U288" s="11">
        <v>4375</v>
      </c>
      <c r="AW288" t="str">
        <f>IF(Tabela4[[#This Row],[JUSTIFICATIVA]]="","",CONCATENATE("B",Tabela4[[#This Row],[BLOCO]],Tabela4[[#This Row],[UO_COD]]))</f>
        <v/>
      </c>
      <c r="AX288">
        <f>Tabela4[[#This Row],[JUSTIFICATIVA]]</f>
        <v>0</v>
      </c>
    </row>
    <row r="289" spans="1:50" ht="15" customHeight="1">
      <c r="A289" s="11">
        <v>1451</v>
      </c>
      <c r="B289" s="11">
        <v>4376</v>
      </c>
      <c r="C289" s="12" t="str">
        <f t="shared" si="14"/>
        <v>14514376</v>
      </c>
      <c r="D289" s="11" t="s">
        <v>66</v>
      </c>
      <c r="E289" s="11" t="s">
        <v>603</v>
      </c>
      <c r="F289" s="11" t="s">
        <v>657</v>
      </c>
      <c r="G289" s="11">
        <v>0</v>
      </c>
      <c r="T289" s="11">
        <v>1451</v>
      </c>
      <c r="U289" s="11">
        <v>4376</v>
      </c>
      <c r="AW289" t="str">
        <f>IF(Tabela4[[#This Row],[JUSTIFICATIVA]]="","",CONCATENATE("B",Tabela4[[#This Row],[BLOCO]],Tabela4[[#This Row],[UO_COD]]))</f>
        <v/>
      </c>
      <c r="AX289">
        <f>Tabela4[[#This Row],[JUSTIFICATIVA]]</f>
        <v>0</v>
      </c>
    </row>
    <row r="290" spans="1:50" ht="15" customHeight="1">
      <c r="A290" s="11">
        <v>1451</v>
      </c>
      <c r="B290" s="11">
        <v>4377</v>
      </c>
      <c r="C290" s="12" t="str">
        <f t="shared" si="14"/>
        <v>14514377</v>
      </c>
      <c r="D290" s="11" t="s">
        <v>66</v>
      </c>
      <c r="E290" s="11" t="s">
        <v>658</v>
      </c>
      <c r="F290" s="11" t="s">
        <v>657</v>
      </c>
      <c r="G290" s="11">
        <v>0</v>
      </c>
      <c r="T290" s="11">
        <v>1451</v>
      </c>
      <c r="U290" s="11">
        <v>4377</v>
      </c>
      <c r="AW290" t="str">
        <f>IF(Tabela4[[#This Row],[JUSTIFICATIVA]]="","",CONCATENATE("B",Tabela4[[#This Row],[BLOCO]],Tabela4[[#This Row],[UO_COD]]))</f>
        <v/>
      </c>
      <c r="AX290">
        <f>Tabela4[[#This Row],[JUSTIFICATIVA]]</f>
        <v>0</v>
      </c>
    </row>
    <row r="291" spans="1:50" ht="15" customHeight="1">
      <c r="A291" s="11">
        <v>1451</v>
      </c>
      <c r="B291" s="11">
        <v>4378</v>
      </c>
      <c r="C291" s="12" t="str">
        <f t="shared" si="14"/>
        <v>14514378</v>
      </c>
      <c r="D291" s="11" t="s">
        <v>66</v>
      </c>
      <c r="E291" s="11" t="s">
        <v>603</v>
      </c>
      <c r="F291" s="11" t="s">
        <v>657</v>
      </c>
      <c r="G291" s="11">
        <v>1</v>
      </c>
      <c r="T291" s="11">
        <v>1451</v>
      </c>
      <c r="U291" s="11">
        <v>4378</v>
      </c>
      <c r="AW291" t="str">
        <f>IF(Tabela4[[#This Row],[JUSTIFICATIVA]]="","",CONCATENATE("B",Tabela4[[#This Row],[BLOCO]],Tabela4[[#This Row],[UO_COD]]))</f>
        <v/>
      </c>
      <c r="AX291">
        <f>Tabela4[[#This Row],[JUSTIFICATIVA]]</f>
        <v>0</v>
      </c>
    </row>
    <row r="292" spans="1:50" ht="15" customHeight="1">
      <c r="A292" s="11">
        <v>1451</v>
      </c>
      <c r="B292" s="11">
        <v>4379</v>
      </c>
      <c r="C292" s="12" t="str">
        <f t="shared" si="14"/>
        <v>14514379</v>
      </c>
      <c r="D292" s="11" t="s">
        <v>66</v>
      </c>
      <c r="E292" s="11" t="s">
        <v>622</v>
      </c>
      <c r="F292" s="11" t="s">
        <v>657</v>
      </c>
      <c r="G292" s="11">
        <v>0</v>
      </c>
      <c r="T292" s="11">
        <v>1451</v>
      </c>
      <c r="U292" s="11">
        <v>4379</v>
      </c>
      <c r="AW292" t="str">
        <f>IF(Tabela4[[#This Row],[JUSTIFICATIVA]]="","",CONCATENATE("B",Tabela4[[#This Row],[BLOCO]],Tabela4[[#This Row],[UO_COD]]))</f>
        <v/>
      </c>
      <c r="AX292">
        <f>Tabela4[[#This Row],[JUSTIFICATIVA]]</f>
        <v>0</v>
      </c>
    </row>
    <row r="293" spans="1:50" ht="15" customHeight="1">
      <c r="A293" s="11">
        <v>1451</v>
      </c>
      <c r="B293" s="11">
        <v>4437</v>
      </c>
      <c r="C293" s="12" t="str">
        <f t="shared" si="14"/>
        <v>14514437</v>
      </c>
      <c r="D293" s="11" t="s">
        <v>609</v>
      </c>
      <c r="E293" s="11" t="s">
        <v>542</v>
      </c>
      <c r="F293" s="11" t="s">
        <v>659</v>
      </c>
      <c r="G293" s="11">
        <v>0</v>
      </c>
      <c r="T293" s="11">
        <v>1451</v>
      </c>
      <c r="U293" s="11">
        <v>4437</v>
      </c>
      <c r="AW293" t="str">
        <f>IF(Tabela4[[#This Row],[JUSTIFICATIVA]]="","",CONCATENATE("B",Tabela4[[#This Row],[BLOCO]],Tabela4[[#This Row],[UO_COD]]))</f>
        <v/>
      </c>
      <c r="AX293">
        <f>Tabela4[[#This Row],[JUSTIFICATIVA]]</f>
        <v>0</v>
      </c>
    </row>
    <row r="294" spans="1:50" ht="15" customHeight="1">
      <c r="A294" s="11">
        <v>1451</v>
      </c>
      <c r="B294" s="11">
        <v>4438</v>
      </c>
      <c r="C294" s="12" t="str">
        <f t="shared" si="14"/>
        <v>14514438</v>
      </c>
      <c r="D294" s="11" t="s">
        <v>66</v>
      </c>
      <c r="E294" s="11" t="s">
        <v>542</v>
      </c>
      <c r="F294" s="11" t="s">
        <v>659</v>
      </c>
      <c r="G294" s="11">
        <v>0</v>
      </c>
      <c r="T294" s="11">
        <v>1451</v>
      </c>
      <c r="U294" s="11">
        <v>4438</v>
      </c>
      <c r="AW294" t="str">
        <f>IF(Tabela4[[#This Row],[JUSTIFICATIVA]]="","",CONCATENATE("B",Tabela4[[#This Row],[BLOCO]],Tabela4[[#This Row],[UO_COD]]))</f>
        <v/>
      </c>
      <c r="AX294">
        <f>Tabela4[[#This Row],[JUSTIFICATIVA]]</f>
        <v>0</v>
      </c>
    </row>
    <row r="295" spans="1:50" ht="15" customHeight="1">
      <c r="A295" s="11">
        <v>1451</v>
      </c>
      <c r="B295" s="11">
        <v>4441</v>
      </c>
      <c r="C295" s="12" t="str">
        <f t="shared" si="14"/>
        <v>14514441</v>
      </c>
      <c r="D295" s="11" t="s">
        <v>66</v>
      </c>
      <c r="E295" s="11" t="s">
        <v>660</v>
      </c>
      <c r="F295" s="11" t="s">
        <v>661</v>
      </c>
      <c r="G295" s="11">
        <v>1</v>
      </c>
      <c r="T295" s="11">
        <v>1451</v>
      </c>
      <c r="U295" s="11">
        <v>4441</v>
      </c>
      <c r="AW295" t="str">
        <f>IF(Tabela4[[#This Row],[JUSTIFICATIVA]]="","",CONCATENATE("B",Tabela4[[#This Row],[BLOCO]],Tabela4[[#This Row],[UO_COD]]))</f>
        <v/>
      </c>
      <c r="AX295">
        <f>Tabela4[[#This Row],[JUSTIFICATIVA]]</f>
        <v>0</v>
      </c>
    </row>
    <row r="296" spans="1:50" ht="15" customHeight="1">
      <c r="A296" s="11">
        <v>1451</v>
      </c>
      <c r="B296" s="11">
        <v>4442</v>
      </c>
      <c r="C296" s="12" t="str">
        <f t="shared" si="14"/>
        <v>14514442</v>
      </c>
      <c r="D296" s="11" t="s">
        <v>605</v>
      </c>
      <c r="E296" s="11" t="s">
        <v>660</v>
      </c>
      <c r="F296" s="11" t="s">
        <v>661</v>
      </c>
      <c r="G296" s="11">
        <v>0</v>
      </c>
      <c r="T296" s="11">
        <v>1451</v>
      </c>
      <c r="U296" s="11">
        <v>4442</v>
      </c>
      <c r="AW296" t="str">
        <f>IF(Tabela4[[#This Row],[JUSTIFICATIVA]]="","",CONCATENATE("B",Tabela4[[#This Row],[BLOCO]],Tabela4[[#This Row],[UO_COD]]))</f>
        <v/>
      </c>
      <c r="AX296">
        <f>Tabela4[[#This Row],[JUSTIFICATIVA]]</f>
        <v>0</v>
      </c>
    </row>
    <row r="297" spans="1:50" ht="15" customHeight="1">
      <c r="A297" s="11">
        <v>1451</v>
      </c>
      <c r="B297" s="11">
        <v>4443</v>
      </c>
      <c r="C297" s="12" t="str">
        <f t="shared" si="14"/>
        <v>14514443</v>
      </c>
      <c r="D297" s="11" t="s">
        <v>609</v>
      </c>
      <c r="E297" s="11" t="s">
        <v>660</v>
      </c>
      <c r="F297" s="11" t="s">
        <v>661</v>
      </c>
      <c r="G297" s="11">
        <v>0</v>
      </c>
      <c r="T297" s="11">
        <v>1451</v>
      </c>
      <c r="U297" s="11">
        <v>4443</v>
      </c>
      <c r="AW297" t="str">
        <f>IF(Tabela4[[#This Row],[JUSTIFICATIVA]]="","",CONCATENATE("B",Tabela4[[#This Row],[BLOCO]],Tabela4[[#This Row],[UO_COD]]))</f>
        <v/>
      </c>
      <c r="AX297">
        <f>Tabela4[[#This Row],[JUSTIFICATIVA]]</f>
        <v>0</v>
      </c>
    </row>
    <row r="298" spans="1:50" ht="15" customHeight="1">
      <c r="A298" s="11">
        <v>1481</v>
      </c>
      <c r="B298" s="11">
        <v>2033</v>
      </c>
      <c r="C298" s="12" t="str">
        <f t="shared" si="14"/>
        <v>14812033</v>
      </c>
      <c r="D298" s="11" t="s">
        <v>540</v>
      </c>
      <c r="E298" s="11" t="s">
        <v>623</v>
      </c>
      <c r="F298" s="11" t="s">
        <v>662</v>
      </c>
      <c r="G298" s="11">
        <v>0</v>
      </c>
      <c r="T298" s="11">
        <v>1481</v>
      </c>
      <c r="U298" s="11">
        <v>2033</v>
      </c>
      <c r="AW298" t="str">
        <f>IF(Tabela4[[#This Row],[JUSTIFICATIVA]]="","",CONCATENATE("B",Tabela4[[#This Row],[BLOCO]],Tabela4[[#This Row],[UO_COD]]))</f>
        <v/>
      </c>
      <c r="AX298">
        <f>Tabela4[[#This Row],[JUSTIFICATIVA]]</f>
        <v>0</v>
      </c>
    </row>
    <row r="299" spans="1:50" ht="15" customHeight="1">
      <c r="A299" s="11">
        <v>1481</v>
      </c>
      <c r="B299" s="11">
        <v>2035</v>
      </c>
      <c r="C299" s="12" t="str">
        <f t="shared" si="14"/>
        <v>14812035</v>
      </c>
      <c r="D299" s="11" t="s">
        <v>322</v>
      </c>
      <c r="E299" s="11" t="s">
        <v>470</v>
      </c>
      <c r="F299" s="11" t="s">
        <v>663</v>
      </c>
      <c r="G299" s="11">
        <v>0</v>
      </c>
      <c r="T299" s="11">
        <v>1481</v>
      </c>
      <c r="U299" s="11">
        <v>2035</v>
      </c>
      <c r="AW299" t="str">
        <f>IF(Tabela4[[#This Row],[JUSTIFICATIVA]]="","",CONCATENATE("B",Tabela4[[#This Row],[BLOCO]],Tabela4[[#This Row],[UO_COD]]))</f>
        <v/>
      </c>
      <c r="AX299">
        <f>Tabela4[[#This Row],[JUSTIFICATIVA]]</f>
        <v>0</v>
      </c>
    </row>
    <row r="300" spans="1:50" ht="15" customHeight="1">
      <c r="A300" s="11">
        <v>1481</v>
      </c>
      <c r="B300" s="11">
        <v>2036</v>
      </c>
      <c r="C300" s="12" t="str">
        <f t="shared" si="14"/>
        <v>14812036</v>
      </c>
      <c r="D300" s="11" t="s">
        <v>322</v>
      </c>
      <c r="E300" s="11" t="s">
        <v>470</v>
      </c>
      <c r="F300" s="11" t="s">
        <v>664</v>
      </c>
      <c r="G300" s="11">
        <v>0</v>
      </c>
      <c r="T300" s="11">
        <v>1481</v>
      </c>
      <c r="U300" s="11">
        <v>2036</v>
      </c>
      <c r="AW300" t="str">
        <f>IF(Tabela4[[#This Row],[JUSTIFICATIVA]]="","",CONCATENATE("B",Tabela4[[#This Row],[BLOCO]],Tabela4[[#This Row],[UO_COD]]))</f>
        <v/>
      </c>
      <c r="AX300">
        <f>Tabela4[[#This Row],[JUSTIFICATIVA]]</f>
        <v>0</v>
      </c>
    </row>
    <row r="301" spans="1:50" ht="15" customHeight="1">
      <c r="A301" s="11">
        <v>1481</v>
      </c>
      <c r="B301" s="11">
        <v>2037</v>
      </c>
      <c r="C301" s="12" t="str">
        <f t="shared" si="14"/>
        <v>14812037</v>
      </c>
      <c r="D301" s="11" t="s">
        <v>322</v>
      </c>
      <c r="E301" s="11" t="s">
        <v>470</v>
      </c>
      <c r="F301" s="11" t="s">
        <v>664</v>
      </c>
      <c r="G301" s="11">
        <v>0</v>
      </c>
      <c r="T301" s="11">
        <v>1481</v>
      </c>
      <c r="U301" s="11">
        <v>2037</v>
      </c>
      <c r="AW301" t="str">
        <f>IF(Tabela4[[#This Row],[JUSTIFICATIVA]]="","",CONCATENATE("B",Tabela4[[#This Row],[BLOCO]],Tabela4[[#This Row],[UO_COD]]))</f>
        <v/>
      </c>
      <c r="AX301">
        <f>Tabela4[[#This Row],[JUSTIFICATIVA]]</f>
        <v>0</v>
      </c>
    </row>
    <row r="302" spans="1:50" ht="15" customHeight="1">
      <c r="A302" s="11">
        <v>1481</v>
      </c>
      <c r="B302" s="11">
        <v>2076</v>
      </c>
      <c r="C302" s="12" t="str">
        <f t="shared" si="14"/>
        <v>14812076</v>
      </c>
      <c r="D302" s="11" t="s">
        <v>322</v>
      </c>
      <c r="E302" s="11" t="s">
        <v>470</v>
      </c>
      <c r="F302" s="11" t="s">
        <v>665</v>
      </c>
      <c r="G302" s="11">
        <v>0</v>
      </c>
      <c r="T302" s="11">
        <v>1481</v>
      </c>
      <c r="U302" s="11">
        <v>2076</v>
      </c>
      <c r="AW302" t="str">
        <f>IF(Tabela4[[#This Row],[JUSTIFICATIVA]]="","",CONCATENATE("B",Tabela4[[#This Row],[BLOCO]],Tabela4[[#This Row],[UO_COD]]))</f>
        <v/>
      </c>
      <c r="AX302">
        <f>Tabela4[[#This Row],[JUSTIFICATIVA]]</f>
        <v>0</v>
      </c>
    </row>
    <row r="303" spans="1:50" ht="15" customHeight="1">
      <c r="A303" s="11">
        <v>1481</v>
      </c>
      <c r="B303" s="11">
        <v>2079</v>
      </c>
      <c r="C303" s="12" t="str">
        <f t="shared" si="14"/>
        <v>14812079</v>
      </c>
      <c r="D303" s="11" t="s">
        <v>322</v>
      </c>
      <c r="E303" s="11" t="s">
        <v>470</v>
      </c>
      <c r="F303" s="11" t="s">
        <v>665</v>
      </c>
      <c r="G303" s="11">
        <v>0</v>
      </c>
      <c r="T303" s="11">
        <v>1481</v>
      </c>
      <c r="U303" s="11">
        <v>2079</v>
      </c>
      <c r="AW303" t="str">
        <f>IF(Tabela4[[#This Row],[JUSTIFICATIVA]]="","",CONCATENATE("B",Tabela4[[#This Row],[BLOCO]],Tabela4[[#This Row],[UO_COD]]))</f>
        <v/>
      </c>
      <c r="AX303">
        <f>Tabela4[[#This Row],[JUSTIFICATIVA]]</f>
        <v>0</v>
      </c>
    </row>
    <row r="304" spans="1:50" ht="15" customHeight="1">
      <c r="A304" s="11">
        <v>1481</v>
      </c>
      <c r="B304" s="11">
        <v>2417</v>
      </c>
      <c r="C304" s="12" t="str">
        <f t="shared" si="14"/>
        <v>14812417</v>
      </c>
      <c r="D304" s="11" t="s">
        <v>540</v>
      </c>
      <c r="E304" s="11" t="s">
        <v>470</v>
      </c>
      <c r="F304" s="11" t="s">
        <v>461</v>
      </c>
      <c r="G304" s="11">
        <v>0</v>
      </c>
      <c r="T304" s="11">
        <v>1481</v>
      </c>
      <c r="U304" s="11">
        <v>2417</v>
      </c>
      <c r="AW304" t="str">
        <f>IF(Tabela4[[#This Row],[JUSTIFICATIVA]]="","",CONCATENATE("B",Tabela4[[#This Row],[BLOCO]],Tabela4[[#This Row],[UO_COD]]))</f>
        <v/>
      </c>
      <c r="AX304">
        <f>Tabela4[[#This Row],[JUSTIFICATIVA]]</f>
        <v>0</v>
      </c>
    </row>
    <row r="305" spans="1:50" ht="15" customHeight="1">
      <c r="A305" s="11">
        <v>1481</v>
      </c>
      <c r="B305" s="11">
        <v>2500</v>
      </c>
      <c r="C305" s="12" t="str">
        <f t="shared" si="14"/>
        <v>14812500</v>
      </c>
      <c r="D305" s="11" t="s">
        <v>540</v>
      </c>
      <c r="E305" s="11" t="s">
        <v>470</v>
      </c>
      <c r="F305" s="11" t="s">
        <v>461</v>
      </c>
      <c r="G305" s="11">
        <v>0</v>
      </c>
      <c r="T305" s="11">
        <v>1481</v>
      </c>
      <c r="U305" s="11">
        <v>2500</v>
      </c>
      <c r="AW305" t="str">
        <f>IF(Tabela4[[#This Row],[JUSTIFICATIVA]]="","",CONCATENATE("B",Tabela4[[#This Row],[BLOCO]],Tabela4[[#This Row],[UO_COD]]))</f>
        <v/>
      </c>
      <c r="AX305">
        <f>Tabela4[[#This Row],[JUSTIFICATIVA]]</f>
        <v>0</v>
      </c>
    </row>
    <row r="306" spans="1:50" ht="15" customHeight="1">
      <c r="A306" s="11">
        <v>1481</v>
      </c>
      <c r="B306" s="11">
        <v>4153</v>
      </c>
      <c r="C306" s="12" t="str">
        <f t="shared" si="14"/>
        <v>14814153</v>
      </c>
      <c r="D306" s="11" t="s">
        <v>666</v>
      </c>
      <c r="E306" s="11" t="s">
        <v>571</v>
      </c>
      <c r="F306" s="11" t="s">
        <v>667</v>
      </c>
      <c r="G306" s="11">
        <v>0</v>
      </c>
      <c r="T306" s="11">
        <v>1481</v>
      </c>
      <c r="U306" s="11">
        <v>4153</v>
      </c>
      <c r="AW306" t="str">
        <f>IF(Tabela4[[#This Row],[JUSTIFICATIVA]]="","",CONCATENATE("B",Tabela4[[#This Row],[BLOCO]],Tabela4[[#This Row],[UO_COD]]))</f>
        <v/>
      </c>
      <c r="AX306">
        <f>Tabela4[[#This Row],[JUSTIFICATIVA]]</f>
        <v>0</v>
      </c>
    </row>
    <row r="307" spans="1:50" ht="15" customHeight="1">
      <c r="A307" s="11">
        <v>1481</v>
      </c>
      <c r="B307" s="11">
        <v>4154</v>
      </c>
      <c r="C307" s="12" t="str">
        <f t="shared" si="14"/>
        <v>14814154</v>
      </c>
      <c r="D307" s="11" t="s">
        <v>666</v>
      </c>
      <c r="E307" s="11" t="s">
        <v>571</v>
      </c>
      <c r="F307" s="11" t="s">
        <v>667</v>
      </c>
      <c r="G307" s="11">
        <v>0</v>
      </c>
      <c r="T307" s="11">
        <v>1481</v>
      </c>
      <c r="U307" s="11">
        <v>4154</v>
      </c>
      <c r="AW307" t="str">
        <f>IF(Tabela4[[#This Row],[JUSTIFICATIVA]]="","",CONCATENATE("B",Tabela4[[#This Row],[BLOCO]],Tabela4[[#This Row],[UO_COD]]))</f>
        <v/>
      </c>
      <c r="AX307">
        <f>Tabela4[[#This Row],[JUSTIFICATIVA]]</f>
        <v>0</v>
      </c>
    </row>
    <row r="308" spans="1:50" ht="15" customHeight="1">
      <c r="A308" s="11">
        <v>1481</v>
      </c>
      <c r="B308" s="11">
        <v>4157</v>
      </c>
      <c r="C308" s="12" t="str">
        <f t="shared" si="14"/>
        <v>14814157</v>
      </c>
      <c r="D308" s="11" t="s">
        <v>666</v>
      </c>
      <c r="E308" s="11" t="s">
        <v>571</v>
      </c>
      <c r="F308" s="11" t="s">
        <v>667</v>
      </c>
      <c r="G308" s="11">
        <v>1</v>
      </c>
      <c r="T308" s="11">
        <v>1481</v>
      </c>
      <c r="U308" s="11">
        <v>4157</v>
      </c>
      <c r="AW308" t="str">
        <f>IF(Tabela4[[#This Row],[JUSTIFICATIVA]]="","",CONCATENATE("B",Tabela4[[#This Row],[BLOCO]],Tabela4[[#This Row],[UO_COD]]))</f>
        <v/>
      </c>
      <c r="AX308">
        <f>Tabela4[[#This Row],[JUSTIFICATIVA]]</f>
        <v>0</v>
      </c>
    </row>
    <row r="309" spans="1:50" ht="15" customHeight="1">
      <c r="A309" s="11">
        <v>1481</v>
      </c>
      <c r="B309" s="11">
        <v>4158</v>
      </c>
      <c r="C309" s="12" t="str">
        <f t="shared" si="14"/>
        <v>14814158</v>
      </c>
      <c r="D309" s="11" t="s">
        <v>666</v>
      </c>
      <c r="E309" s="11" t="s">
        <v>622</v>
      </c>
      <c r="F309" s="11" t="s">
        <v>668</v>
      </c>
      <c r="G309" s="11">
        <v>1</v>
      </c>
      <c r="T309" s="11">
        <v>1481</v>
      </c>
      <c r="U309" s="11">
        <v>4158</v>
      </c>
      <c r="AW309" t="str">
        <f>IF(Tabela4[[#This Row],[JUSTIFICATIVA]]="","",CONCATENATE("B",Tabela4[[#This Row],[BLOCO]],Tabela4[[#This Row],[UO_COD]]))</f>
        <v/>
      </c>
      <c r="AX309">
        <f>Tabela4[[#This Row],[JUSTIFICATIVA]]</f>
        <v>0</v>
      </c>
    </row>
    <row r="310" spans="1:50" ht="15" customHeight="1">
      <c r="A310" s="11">
        <v>1481</v>
      </c>
      <c r="B310" s="11">
        <v>4163</v>
      </c>
      <c r="C310" s="12" t="str">
        <f t="shared" si="14"/>
        <v>14814163</v>
      </c>
      <c r="D310" s="11" t="s">
        <v>669</v>
      </c>
      <c r="E310" s="11" t="s">
        <v>670</v>
      </c>
      <c r="F310" s="11" t="s">
        <v>671</v>
      </c>
      <c r="G310" s="11">
        <v>0</v>
      </c>
      <c r="T310" s="11">
        <v>1481</v>
      </c>
      <c r="U310" s="11">
        <v>4163</v>
      </c>
      <c r="AW310" t="str">
        <f>IF(Tabela4[[#This Row],[JUSTIFICATIVA]]="","",CONCATENATE("B",Tabela4[[#This Row],[BLOCO]],Tabela4[[#This Row],[UO_COD]]))</f>
        <v/>
      </c>
      <c r="AX310">
        <f>Tabela4[[#This Row],[JUSTIFICATIVA]]</f>
        <v>0</v>
      </c>
    </row>
    <row r="311" spans="1:50" ht="15" customHeight="1">
      <c r="A311" s="11">
        <v>1481</v>
      </c>
      <c r="B311" s="11">
        <v>4164</v>
      </c>
      <c r="C311" s="12" t="str">
        <f t="shared" si="14"/>
        <v>14814164</v>
      </c>
      <c r="D311" s="11" t="s">
        <v>669</v>
      </c>
      <c r="E311" s="11" t="s">
        <v>672</v>
      </c>
      <c r="F311" s="11" t="s">
        <v>671</v>
      </c>
      <c r="G311" s="11">
        <v>0</v>
      </c>
      <c r="T311" s="11">
        <v>1481</v>
      </c>
      <c r="U311" s="11">
        <v>4164</v>
      </c>
      <c r="AW311" t="str">
        <f>IF(Tabela4[[#This Row],[JUSTIFICATIVA]]="","",CONCATENATE("B",Tabela4[[#This Row],[BLOCO]],Tabela4[[#This Row],[UO_COD]]))</f>
        <v/>
      </c>
      <c r="AX311">
        <f>Tabela4[[#This Row],[JUSTIFICATIVA]]</f>
        <v>0</v>
      </c>
    </row>
    <row r="312" spans="1:50" ht="15" customHeight="1">
      <c r="A312" s="11">
        <v>1481</v>
      </c>
      <c r="B312" s="11">
        <v>4165</v>
      </c>
      <c r="C312" s="12" t="str">
        <f t="shared" si="14"/>
        <v>14814165</v>
      </c>
      <c r="D312" s="11" t="s">
        <v>669</v>
      </c>
      <c r="E312" s="11" t="s">
        <v>672</v>
      </c>
      <c r="F312" s="11" t="s">
        <v>671</v>
      </c>
      <c r="G312" s="11">
        <v>0</v>
      </c>
      <c r="T312" s="11">
        <v>1481</v>
      </c>
      <c r="U312" s="11">
        <v>4165</v>
      </c>
      <c r="AW312" t="str">
        <f>IF(Tabela4[[#This Row],[JUSTIFICATIVA]]="","",CONCATENATE("B",Tabela4[[#This Row],[BLOCO]],Tabela4[[#This Row],[UO_COD]]))</f>
        <v/>
      </c>
      <c r="AX312">
        <f>Tabela4[[#This Row],[JUSTIFICATIVA]]</f>
        <v>0</v>
      </c>
    </row>
    <row r="313" spans="1:50" ht="15" customHeight="1">
      <c r="A313" s="11">
        <v>1481</v>
      </c>
      <c r="B313" s="11">
        <v>4166</v>
      </c>
      <c r="C313" s="12" t="str">
        <f t="shared" si="14"/>
        <v>14814166</v>
      </c>
      <c r="D313" s="11" t="s">
        <v>669</v>
      </c>
      <c r="E313" s="11" t="s">
        <v>670</v>
      </c>
      <c r="F313" s="11" t="s">
        <v>671</v>
      </c>
      <c r="G313" s="11">
        <v>0</v>
      </c>
      <c r="T313" s="11">
        <v>1481</v>
      </c>
      <c r="U313" s="11">
        <v>4166</v>
      </c>
      <c r="AW313" t="str">
        <f>IF(Tabela4[[#This Row],[JUSTIFICATIVA]]="","",CONCATENATE("B",Tabela4[[#This Row],[BLOCO]],Tabela4[[#This Row],[UO_COD]]))</f>
        <v/>
      </c>
      <c r="AX313">
        <f>Tabela4[[#This Row],[JUSTIFICATIVA]]</f>
        <v>0</v>
      </c>
    </row>
    <row r="314" spans="1:50" ht="15" customHeight="1">
      <c r="A314" s="11">
        <v>1481</v>
      </c>
      <c r="B314" s="11">
        <v>4167</v>
      </c>
      <c r="C314" s="12" t="str">
        <f t="shared" si="14"/>
        <v>14814167</v>
      </c>
      <c r="D314" s="11" t="s">
        <v>669</v>
      </c>
      <c r="E314" s="11" t="s">
        <v>670</v>
      </c>
      <c r="F314" s="11" t="s">
        <v>671</v>
      </c>
      <c r="G314" s="11">
        <v>0</v>
      </c>
      <c r="T314" s="11">
        <v>1481</v>
      </c>
      <c r="U314" s="11">
        <v>4167</v>
      </c>
      <c r="AW314" t="str">
        <f>IF(Tabela4[[#This Row],[JUSTIFICATIVA]]="","",CONCATENATE("B",Tabela4[[#This Row],[BLOCO]],Tabela4[[#This Row],[UO_COD]]))</f>
        <v/>
      </c>
      <c r="AX314">
        <f>Tabela4[[#This Row],[JUSTIFICATIVA]]</f>
        <v>0</v>
      </c>
    </row>
    <row r="315" spans="1:50" ht="15" customHeight="1">
      <c r="A315" s="11">
        <v>1481</v>
      </c>
      <c r="B315" s="11">
        <v>4168</v>
      </c>
      <c r="C315" s="12" t="str">
        <f t="shared" si="14"/>
        <v>14814168</v>
      </c>
      <c r="D315" s="11" t="s">
        <v>669</v>
      </c>
      <c r="E315" s="11" t="s">
        <v>620</v>
      </c>
      <c r="F315" s="11" t="s">
        <v>671</v>
      </c>
      <c r="G315" s="11">
        <v>0</v>
      </c>
      <c r="T315" s="11">
        <v>1481</v>
      </c>
      <c r="U315" s="11">
        <v>4168</v>
      </c>
      <c r="AW315" t="str">
        <f>IF(Tabela4[[#This Row],[JUSTIFICATIVA]]="","",CONCATENATE("B",Tabela4[[#This Row],[BLOCO]],Tabela4[[#This Row],[UO_COD]]))</f>
        <v/>
      </c>
      <c r="AX315">
        <f>Tabela4[[#This Row],[JUSTIFICATIVA]]</f>
        <v>0</v>
      </c>
    </row>
    <row r="316" spans="1:50" ht="15" customHeight="1">
      <c r="A316" s="11">
        <v>1481</v>
      </c>
      <c r="B316" s="11">
        <v>4169</v>
      </c>
      <c r="C316" s="12" t="str">
        <f t="shared" si="14"/>
        <v>14814169</v>
      </c>
      <c r="D316" s="11" t="s">
        <v>669</v>
      </c>
      <c r="E316" s="11" t="s">
        <v>673</v>
      </c>
      <c r="F316" s="11" t="s">
        <v>671</v>
      </c>
      <c r="G316" s="11">
        <v>0</v>
      </c>
      <c r="T316" s="11">
        <v>1481</v>
      </c>
      <c r="U316" s="11">
        <v>4169</v>
      </c>
      <c r="AW316" t="str">
        <f>IF(Tabela4[[#This Row],[JUSTIFICATIVA]]="","",CONCATENATE("B",Tabela4[[#This Row],[BLOCO]],Tabela4[[#This Row],[UO_COD]]))</f>
        <v/>
      </c>
      <c r="AX316">
        <f>Tabela4[[#This Row],[JUSTIFICATIVA]]</f>
        <v>0</v>
      </c>
    </row>
    <row r="317" spans="1:50" ht="15" customHeight="1">
      <c r="A317" s="11">
        <v>1481</v>
      </c>
      <c r="B317" s="11">
        <v>4170</v>
      </c>
      <c r="C317" s="12" t="str">
        <f t="shared" si="14"/>
        <v>14814170</v>
      </c>
      <c r="D317" s="11" t="s">
        <v>669</v>
      </c>
      <c r="E317" s="11" t="s">
        <v>670</v>
      </c>
      <c r="F317" s="11" t="s">
        <v>671</v>
      </c>
      <c r="G317" s="11">
        <v>0</v>
      </c>
      <c r="T317" s="11">
        <v>1481</v>
      </c>
      <c r="U317" s="11">
        <v>4170</v>
      </c>
      <c r="AW317" t="str">
        <f>IF(Tabela4[[#This Row],[JUSTIFICATIVA]]="","",CONCATENATE("B",Tabela4[[#This Row],[BLOCO]],Tabela4[[#This Row],[UO_COD]]))</f>
        <v/>
      </c>
      <c r="AX317">
        <f>Tabela4[[#This Row],[JUSTIFICATIVA]]</f>
        <v>0</v>
      </c>
    </row>
    <row r="318" spans="1:50" ht="15" customHeight="1">
      <c r="A318" s="11">
        <v>1481</v>
      </c>
      <c r="B318" s="11">
        <v>4171</v>
      </c>
      <c r="C318" s="12" t="str">
        <f t="shared" si="14"/>
        <v>14814171</v>
      </c>
      <c r="D318" s="11" t="s">
        <v>540</v>
      </c>
      <c r="E318" s="11" t="s">
        <v>542</v>
      </c>
      <c r="F318" s="11" t="s">
        <v>674</v>
      </c>
      <c r="G318" s="11">
        <v>0</v>
      </c>
      <c r="T318" s="11">
        <v>1481</v>
      </c>
      <c r="U318" s="11">
        <v>4171</v>
      </c>
      <c r="AW318" t="str">
        <f>IF(Tabela4[[#This Row],[JUSTIFICATIVA]]="","",CONCATENATE("B",Tabela4[[#This Row],[BLOCO]],Tabela4[[#This Row],[UO_COD]]))</f>
        <v/>
      </c>
      <c r="AX318">
        <f>Tabela4[[#This Row],[JUSTIFICATIVA]]</f>
        <v>0</v>
      </c>
    </row>
    <row r="319" spans="1:50" ht="15" customHeight="1">
      <c r="A319" s="11">
        <v>1481</v>
      </c>
      <c r="B319" s="11">
        <v>4173</v>
      </c>
      <c r="C319" s="12" t="str">
        <f t="shared" si="14"/>
        <v>14814173</v>
      </c>
      <c r="D319" s="11" t="s">
        <v>540</v>
      </c>
      <c r="E319" s="11" t="s">
        <v>542</v>
      </c>
      <c r="F319" s="11" t="s">
        <v>674</v>
      </c>
      <c r="G319" s="11">
        <v>0</v>
      </c>
      <c r="T319" s="11">
        <v>1481</v>
      </c>
      <c r="U319" s="11">
        <v>4173</v>
      </c>
      <c r="AW319" t="str">
        <f>IF(Tabela4[[#This Row],[JUSTIFICATIVA]]="","",CONCATENATE("B",Tabela4[[#This Row],[BLOCO]],Tabela4[[#This Row],[UO_COD]]))</f>
        <v/>
      </c>
      <c r="AX319">
        <f>Tabela4[[#This Row],[JUSTIFICATIVA]]</f>
        <v>0</v>
      </c>
    </row>
    <row r="320" spans="1:50" ht="15" customHeight="1">
      <c r="A320" s="11">
        <v>1481</v>
      </c>
      <c r="B320" s="11">
        <v>4174</v>
      </c>
      <c r="C320" s="12" t="str">
        <f t="shared" si="14"/>
        <v>14814174</v>
      </c>
      <c r="D320" s="11" t="s">
        <v>540</v>
      </c>
      <c r="E320" s="11" t="s">
        <v>542</v>
      </c>
      <c r="F320" s="11" t="s">
        <v>674</v>
      </c>
      <c r="G320" s="11">
        <v>0</v>
      </c>
      <c r="T320" s="11">
        <v>1481</v>
      </c>
      <c r="U320" s="11">
        <v>4174</v>
      </c>
      <c r="AW320" t="str">
        <f>IF(Tabela4[[#This Row],[JUSTIFICATIVA]]="","",CONCATENATE("B",Tabela4[[#This Row],[BLOCO]],Tabela4[[#This Row],[UO_COD]]))</f>
        <v/>
      </c>
      <c r="AX320">
        <f>Tabela4[[#This Row],[JUSTIFICATIVA]]</f>
        <v>0</v>
      </c>
    </row>
    <row r="321" spans="1:50" ht="15" customHeight="1">
      <c r="A321" s="11">
        <v>1481</v>
      </c>
      <c r="B321" s="11">
        <v>4176</v>
      </c>
      <c r="C321" s="12" t="str">
        <f t="shared" si="14"/>
        <v>14814176</v>
      </c>
      <c r="D321" s="11" t="s">
        <v>540</v>
      </c>
      <c r="E321" s="11" t="s">
        <v>542</v>
      </c>
      <c r="F321" s="11" t="s">
        <v>674</v>
      </c>
      <c r="G321" s="11">
        <v>0</v>
      </c>
      <c r="T321" s="11">
        <v>1481</v>
      </c>
      <c r="U321" s="11">
        <v>4176</v>
      </c>
      <c r="AW321" t="str">
        <f>IF(Tabela4[[#This Row],[JUSTIFICATIVA]]="","",CONCATENATE("B",Tabela4[[#This Row],[BLOCO]],Tabela4[[#This Row],[UO_COD]]))</f>
        <v/>
      </c>
      <c r="AX321">
        <f>Tabela4[[#This Row],[JUSTIFICATIVA]]</f>
        <v>0</v>
      </c>
    </row>
    <row r="322" spans="1:50" ht="15" customHeight="1">
      <c r="A322" s="11">
        <v>1481</v>
      </c>
      <c r="B322" s="11">
        <v>4178</v>
      </c>
      <c r="C322" s="12" t="str">
        <f t="shared" ref="C322:C385" si="15">CONCATENATE(A322,B322)</f>
        <v>14814178</v>
      </c>
      <c r="D322" s="11" t="s">
        <v>540</v>
      </c>
      <c r="E322" s="11" t="s">
        <v>542</v>
      </c>
      <c r="F322" s="11" t="s">
        <v>674</v>
      </c>
      <c r="G322" s="11">
        <v>0</v>
      </c>
      <c r="T322" s="11">
        <v>1481</v>
      </c>
      <c r="U322" s="11">
        <v>4178</v>
      </c>
      <c r="AW322" t="str">
        <f>IF(Tabela4[[#This Row],[JUSTIFICATIVA]]="","",CONCATENATE("B",Tabela4[[#This Row],[BLOCO]],Tabela4[[#This Row],[UO_COD]]))</f>
        <v/>
      </c>
      <c r="AX322">
        <f>Tabela4[[#This Row],[JUSTIFICATIVA]]</f>
        <v>0</v>
      </c>
    </row>
    <row r="323" spans="1:50" ht="15" customHeight="1">
      <c r="A323" s="11">
        <v>1481</v>
      </c>
      <c r="B323" s="11">
        <v>4181</v>
      </c>
      <c r="C323" s="12" t="str">
        <f t="shared" si="15"/>
        <v>14814181</v>
      </c>
      <c r="D323" s="11" t="s">
        <v>540</v>
      </c>
      <c r="E323" s="11" t="s">
        <v>542</v>
      </c>
      <c r="F323" s="11" t="s">
        <v>674</v>
      </c>
      <c r="G323" s="11">
        <v>0</v>
      </c>
      <c r="T323" s="11">
        <v>1481</v>
      </c>
      <c r="U323" s="11">
        <v>4181</v>
      </c>
      <c r="AW323" t="str">
        <f>IF(Tabela4[[#This Row],[JUSTIFICATIVA]]="","",CONCATENATE("B",Tabela4[[#This Row],[BLOCO]],Tabela4[[#This Row],[UO_COD]]))</f>
        <v/>
      </c>
      <c r="AX323">
        <f>Tabela4[[#This Row],[JUSTIFICATIVA]]</f>
        <v>0</v>
      </c>
    </row>
    <row r="324" spans="1:50" ht="15" customHeight="1">
      <c r="A324" s="11">
        <v>1481</v>
      </c>
      <c r="B324" s="11">
        <v>4182</v>
      </c>
      <c r="C324" s="12" t="str">
        <f t="shared" si="15"/>
        <v>14814182</v>
      </c>
      <c r="D324" s="11" t="s">
        <v>540</v>
      </c>
      <c r="E324" s="11" t="s">
        <v>542</v>
      </c>
      <c r="F324" s="11" t="s">
        <v>674</v>
      </c>
      <c r="G324" s="11">
        <v>0</v>
      </c>
      <c r="T324" s="11">
        <v>1481</v>
      </c>
      <c r="U324" s="11">
        <v>4182</v>
      </c>
      <c r="AW324" t="str">
        <f>IF(Tabela4[[#This Row],[JUSTIFICATIVA]]="","",CONCATENATE("B",Tabela4[[#This Row],[BLOCO]],Tabela4[[#This Row],[UO_COD]]))</f>
        <v/>
      </c>
      <c r="AX324">
        <f>Tabela4[[#This Row],[JUSTIFICATIVA]]</f>
        <v>0</v>
      </c>
    </row>
    <row r="325" spans="1:50" ht="15" customHeight="1">
      <c r="A325" s="11">
        <v>1481</v>
      </c>
      <c r="B325" s="11">
        <v>4183</v>
      </c>
      <c r="C325" s="12" t="str">
        <f t="shared" si="15"/>
        <v>14814183</v>
      </c>
      <c r="D325" s="11" t="s">
        <v>540</v>
      </c>
      <c r="E325" s="11" t="s">
        <v>542</v>
      </c>
      <c r="F325" s="11" t="s">
        <v>674</v>
      </c>
      <c r="G325" s="11">
        <v>0</v>
      </c>
      <c r="T325" s="11">
        <v>1481</v>
      </c>
      <c r="U325" s="11">
        <v>4183</v>
      </c>
      <c r="AW325" t="str">
        <f>IF(Tabela4[[#This Row],[JUSTIFICATIVA]]="","",CONCATENATE("B",Tabela4[[#This Row],[BLOCO]],Tabela4[[#This Row],[UO_COD]]))</f>
        <v/>
      </c>
      <c r="AX325">
        <f>Tabela4[[#This Row],[JUSTIFICATIVA]]</f>
        <v>0</v>
      </c>
    </row>
    <row r="326" spans="1:50" ht="15" customHeight="1">
      <c r="A326" s="11">
        <v>1481</v>
      </c>
      <c r="B326" s="11">
        <v>4184</v>
      </c>
      <c r="C326" s="12" t="str">
        <f t="shared" si="15"/>
        <v>14814184</v>
      </c>
      <c r="D326" s="11" t="s">
        <v>326</v>
      </c>
      <c r="E326" s="11" t="s">
        <v>470</v>
      </c>
      <c r="F326" s="11" t="s">
        <v>675</v>
      </c>
      <c r="G326" s="11">
        <v>0</v>
      </c>
      <c r="T326" s="11">
        <v>1481</v>
      </c>
      <c r="U326" s="11">
        <v>4184</v>
      </c>
      <c r="AW326" t="str">
        <f>IF(Tabela4[[#This Row],[JUSTIFICATIVA]]="","",CONCATENATE("B",Tabela4[[#This Row],[BLOCO]],Tabela4[[#This Row],[UO_COD]]))</f>
        <v/>
      </c>
      <c r="AX326">
        <f>Tabela4[[#This Row],[JUSTIFICATIVA]]</f>
        <v>0</v>
      </c>
    </row>
    <row r="327" spans="1:50" ht="15" customHeight="1">
      <c r="A327" s="11">
        <v>1481</v>
      </c>
      <c r="B327" s="11">
        <v>4185</v>
      </c>
      <c r="C327" s="12" t="str">
        <f t="shared" si="15"/>
        <v>14814185</v>
      </c>
      <c r="D327" s="11" t="s">
        <v>326</v>
      </c>
      <c r="E327" s="11" t="s">
        <v>676</v>
      </c>
      <c r="F327" s="11" t="s">
        <v>675</v>
      </c>
      <c r="G327" s="11">
        <v>0</v>
      </c>
      <c r="T327" s="11">
        <v>1481</v>
      </c>
      <c r="U327" s="11">
        <v>4185</v>
      </c>
      <c r="AW327" t="str">
        <f>IF(Tabela4[[#This Row],[JUSTIFICATIVA]]="","",CONCATENATE("B",Tabela4[[#This Row],[BLOCO]],Tabela4[[#This Row],[UO_COD]]))</f>
        <v/>
      </c>
      <c r="AX327">
        <f>Tabela4[[#This Row],[JUSTIFICATIVA]]</f>
        <v>0</v>
      </c>
    </row>
    <row r="328" spans="1:50" ht="15" customHeight="1">
      <c r="A328" s="11">
        <v>1481</v>
      </c>
      <c r="B328" s="11">
        <v>4186</v>
      </c>
      <c r="C328" s="12" t="str">
        <f t="shared" si="15"/>
        <v>14814186</v>
      </c>
      <c r="D328" s="11" t="s">
        <v>540</v>
      </c>
      <c r="E328" s="11" t="s">
        <v>660</v>
      </c>
      <c r="F328" s="11" t="s">
        <v>677</v>
      </c>
      <c r="G328" s="11">
        <v>0</v>
      </c>
      <c r="T328" s="11">
        <v>1481</v>
      </c>
      <c r="U328" s="11">
        <v>4186</v>
      </c>
      <c r="AW328" t="str">
        <f>IF(Tabela4[[#This Row],[JUSTIFICATIVA]]="","",CONCATENATE("B",Tabela4[[#This Row],[BLOCO]],Tabela4[[#This Row],[UO_COD]]))</f>
        <v/>
      </c>
      <c r="AX328">
        <f>Tabela4[[#This Row],[JUSTIFICATIVA]]</f>
        <v>0</v>
      </c>
    </row>
    <row r="329" spans="1:50" ht="15" customHeight="1">
      <c r="A329" s="11">
        <v>1481</v>
      </c>
      <c r="B329" s="11">
        <v>4196</v>
      </c>
      <c r="C329" s="12" t="str">
        <f t="shared" si="15"/>
        <v>14814196</v>
      </c>
      <c r="D329" s="11" t="s">
        <v>540</v>
      </c>
      <c r="E329" s="11" t="s">
        <v>623</v>
      </c>
      <c r="F329" s="11" t="s">
        <v>662</v>
      </c>
      <c r="G329" s="11">
        <v>0</v>
      </c>
      <c r="T329" s="11">
        <v>1481</v>
      </c>
      <c r="U329" s="11">
        <v>4196</v>
      </c>
      <c r="AW329" t="str">
        <f>IF(Tabela4[[#This Row],[JUSTIFICATIVA]]="","",CONCATENATE("B",Tabela4[[#This Row],[BLOCO]],Tabela4[[#This Row],[UO_COD]]))</f>
        <v/>
      </c>
      <c r="AX329">
        <f>Tabela4[[#This Row],[JUSTIFICATIVA]]</f>
        <v>0</v>
      </c>
    </row>
    <row r="330" spans="1:50" ht="15" customHeight="1">
      <c r="A330" s="11">
        <v>1481</v>
      </c>
      <c r="B330" s="11">
        <v>4197</v>
      </c>
      <c r="C330" s="12" t="str">
        <f t="shared" si="15"/>
        <v>14814197</v>
      </c>
      <c r="D330" s="11" t="s">
        <v>540</v>
      </c>
      <c r="E330" s="11" t="s">
        <v>623</v>
      </c>
      <c r="F330" s="11" t="s">
        <v>662</v>
      </c>
      <c r="G330" s="11">
        <v>0</v>
      </c>
      <c r="T330" s="11">
        <v>1481</v>
      </c>
      <c r="U330" s="11">
        <v>4197</v>
      </c>
      <c r="AW330" t="str">
        <f>IF(Tabela4[[#This Row],[JUSTIFICATIVA]]="","",CONCATENATE("B",Tabela4[[#This Row],[BLOCO]],Tabela4[[#This Row],[UO_COD]]))</f>
        <v/>
      </c>
      <c r="AX330">
        <f>Tabela4[[#This Row],[JUSTIFICATIVA]]</f>
        <v>0</v>
      </c>
    </row>
    <row r="331" spans="1:50" ht="15" customHeight="1">
      <c r="A331" s="11">
        <v>1481</v>
      </c>
      <c r="B331" s="11">
        <v>4204</v>
      </c>
      <c r="C331" s="12" t="str">
        <f t="shared" si="15"/>
        <v>14814204</v>
      </c>
      <c r="D331" s="11" t="s">
        <v>322</v>
      </c>
      <c r="E331" s="11" t="s">
        <v>474</v>
      </c>
      <c r="F331" s="11" t="s">
        <v>664</v>
      </c>
      <c r="G331" s="11">
        <v>0</v>
      </c>
      <c r="T331" s="11">
        <v>1481</v>
      </c>
      <c r="U331" s="11">
        <v>4204</v>
      </c>
      <c r="AW331" t="str">
        <f>IF(Tabela4[[#This Row],[JUSTIFICATIVA]]="","",CONCATENATE("B",Tabela4[[#This Row],[BLOCO]],Tabela4[[#This Row],[UO_COD]]))</f>
        <v/>
      </c>
      <c r="AX331">
        <f>Tabela4[[#This Row],[JUSTIFICATIVA]]</f>
        <v>0</v>
      </c>
    </row>
    <row r="332" spans="1:50" ht="15" customHeight="1">
      <c r="A332" s="11">
        <v>1481</v>
      </c>
      <c r="B332" s="11">
        <v>4270</v>
      </c>
      <c r="C332" s="12" t="str">
        <f t="shared" si="15"/>
        <v>14814270</v>
      </c>
      <c r="D332" s="11" t="s">
        <v>540</v>
      </c>
      <c r="E332" s="11" t="s">
        <v>660</v>
      </c>
      <c r="F332" s="11" t="s">
        <v>677</v>
      </c>
      <c r="G332" s="11">
        <v>0</v>
      </c>
      <c r="T332" s="11">
        <v>1481</v>
      </c>
      <c r="U332" s="11">
        <v>4270</v>
      </c>
      <c r="AW332" t="str">
        <f>IF(Tabela4[[#This Row],[JUSTIFICATIVA]]="","",CONCATENATE("B",Tabela4[[#This Row],[BLOCO]],Tabela4[[#This Row],[UO_COD]]))</f>
        <v/>
      </c>
      <c r="AX332">
        <f>Tabela4[[#This Row],[JUSTIFICATIVA]]</f>
        <v>0</v>
      </c>
    </row>
    <row r="333" spans="1:50" ht="15" customHeight="1">
      <c r="A333" s="11">
        <v>1481</v>
      </c>
      <c r="B333" s="11">
        <v>4301</v>
      </c>
      <c r="C333" s="12" t="str">
        <f t="shared" si="15"/>
        <v>14814301</v>
      </c>
      <c r="D333" s="11" t="s">
        <v>540</v>
      </c>
      <c r="E333" s="11" t="s">
        <v>660</v>
      </c>
      <c r="F333" s="11" t="s">
        <v>677</v>
      </c>
      <c r="G333" s="11">
        <v>0</v>
      </c>
      <c r="T333" s="11">
        <v>1481</v>
      </c>
      <c r="U333" s="11">
        <v>4301</v>
      </c>
      <c r="AW333" t="str">
        <f>IF(Tabela4[[#This Row],[JUSTIFICATIVA]]="","",CONCATENATE("B",Tabela4[[#This Row],[BLOCO]],Tabela4[[#This Row],[UO_COD]]))</f>
        <v/>
      </c>
      <c r="AX333">
        <f>Tabela4[[#This Row],[JUSTIFICATIVA]]</f>
        <v>0</v>
      </c>
    </row>
    <row r="334" spans="1:50" ht="15" customHeight="1">
      <c r="A334" s="11">
        <v>1481</v>
      </c>
      <c r="B334" s="11">
        <v>4321</v>
      </c>
      <c r="C334" s="12" t="str">
        <f t="shared" si="15"/>
        <v>14814321</v>
      </c>
      <c r="D334" s="11" t="s">
        <v>540</v>
      </c>
      <c r="E334" s="11" t="s">
        <v>660</v>
      </c>
      <c r="F334" s="11" t="s">
        <v>677</v>
      </c>
      <c r="G334" s="11">
        <v>0</v>
      </c>
      <c r="T334" s="11">
        <v>1481</v>
      </c>
      <c r="U334" s="11">
        <v>4321</v>
      </c>
      <c r="AW334" t="str">
        <f>IF(Tabela4[[#This Row],[JUSTIFICATIVA]]="","",CONCATENATE("B",Tabela4[[#This Row],[BLOCO]],Tabela4[[#This Row],[UO_COD]]))</f>
        <v/>
      </c>
      <c r="AX334">
        <f>Tabela4[[#This Row],[JUSTIFICATIVA]]</f>
        <v>0</v>
      </c>
    </row>
    <row r="335" spans="1:50" ht="15" customHeight="1">
      <c r="A335" s="11">
        <v>1481</v>
      </c>
      <c r="B335" s="11">
        <v>4352</v>
      </c>
      <c r="C335" s="12" t="str">
        <f t="shared" si="15"/>
        <v>14814352</v>
      </c>
      <c r="D335" s="11" t="s">
        <v>540</v>
      </c>
      <c r="E335" s="11" t="s">
        <v>660</v>
      </c>
      <c r="F335" s="11" t="s">
        <v>677</v>
      </c>
      <c r="G335" s="11">
        <v>0</v>
      </c>
      <c r="T335" s="11">
        <v>1481</v>
      </c>
      <c r="U335" s="11">
        <v>4352</v>
      </c>
      <c r="AW335" t="str">
        <f>IF(Tabela4[[#This Row],[JUSTIFICATIVA]]="","",CONCATENATE("B",Tabela4[[#This Row],[BLOCO]],Tabela4[[#This Row],[UO_COD]]))</f>
        <v/>
      </c>
      <c r="AX335">
        <f>Tabela4[[#This Row],[JUSTIFICATIVA]]</f>
        <v>0</v>
      </c>
    </row>
    <row r="336" spans="1:50" ht="15" customHeight="1">
      <c r="A336" s="11">
        <v>1481</v>
      </c>
      <c r="B336" s="11">
        <v>4364</v>
      </c>
      <c r="C336" s="12" t="str">
        <f t="shared" si="15"/>
        <v>14814364</v>
      </c>
      <c r="D336" s="11" t="s">
        <v>540</v>
      </c>
      <c r="E336" s="11" t="s">
        <v>660</v>
      </c>
      <c r="F336" s="11" t="s">
        <v>678</v>
      </c>
      <c r="G336" s="11">
        <v>1</v>
      </c>
      <c r="T336" s="11">
        <v>1481</v>
      </c>
      <c r="U336" s="11">
        <v>4364</v>
      </c>
      <c r="AW336" t="str">
        <f>IF(Tabela4[[#This Row],[JUSTIFICATIVA]]="","",CONCATENATE("B",Tabela4[[#This Row],[BLOCO]],Tabela4[[#This Row],[UO_COD]]))</f>
        <v/>
      </c>
      <c r="AX336">
        <f>Tabela4[[#This Row],[JUSTIFICATIVA]]</f>
        <v>0</v>
      </c>
    </row>
    <row r="337" spans="1:50" ht="15" customHeight="1">
      <c r="A337" s="11">
        <v>1481</v>
      </c>
      <c r="B337" s="11">
        <v>4367</v>
      </c>
      <c r="C337" s="12" t="str">
        <f t="shared" si="15"/>
        <v>14814367</v>
      </c>
      <c r="D337" s="11" t="s">
        <v>540</v>
      </c>
      <c r="E337" s="11" t="s">
        <v>660</v>
      </c>
      <c r="F337" s="11" t="s">
        <v>678</v>
      </c>
      <c r="G337" s="11">
        <v>0</v>
      </c>
      <c r="T337" s="11">
        <v>1481</v>
      </c>
      <c r="U337" s="11">
        <v>4367</v>
      </c>
      <c r="AW337" t="str">
        <f>IF(Tabela4[[#This Row],[JUSTIFICATIVA]]="","",CONCATENATE("B",Tabela4[[#This Row],[BLOCO]],Tabela4[[#This Row],[UO_COD]]))</f>
        <v/>
      </c>
      <c r="AX337">
        <f>Tabela4[[#This Row],[JUSTIFICATIVA]]</f>
        <v>0</v>
      </c>
    </row>
    <row r="338" spans="1:50" ht="15" customHeight="1">
      <c r="A338" s="11">
        <v>1481</v>
      </c>
      <c r="B338" s="11">
        <v>4368</v>
      </c>
      <c r="C338" s="12" t="str">
        <f t="shared" si="15"/>
        <v>14814368</v>
      </c>
      <c r="D338" s="11" t="s">
        <v>540</v>
      </c>
      <c r="E338" s="11" t="s">
        <v>660</v>
      </c>
      <c r="F338" s="11" t="s">
        <v>678</v>
      </c>
      <c r="G338" s="11">
        <v>0</v>
      </c>
      <c r="T338" s="11">
        <v>1481</v>
      </c>
      <c r="U338" s="11">
        <v>4368</v>
      </c>
      <c r="AW338" t="str">
        <f>IF(Tabela4[[#This Row],[JUSTIFICATIVA]]="","",CONCATENATE("B",Tabela4[[#This Row],[BLOCO]],Tabela4[[#This Row],[UO_COD]]))</f>
        <v/>
      </c>
      <c r="AX338">
        <f>Tabela4[[#This Row],[JUSTIFICATIVA]]</f>
        <v>0</v>
      </c>
    </row>
    <row r="339" spans="1:50" ht="15" customHeight="1">
      <c r="A339" s="11">
        <v>1481</v>
      </c>
      <c r="B339" s="11">
        <v>4388</v>
      </c>
      <c r="C339" s="12" t="str">
        <f t="shared" si="15"/>
        <v>14814388</v>
      </c>
      <c r="D339" s="11" t="s">
        <v>326</v>
      </c>
      <c r="E339" s="11" t="s">
        <v>676</v>
      </c>
      <c r="F339" s="11" t="s">
        <v>675</v>
      </c>
      <c r="G339" s="11">
        <v>1</v>
      </c>
      <c r="T339" s="11">
        <v>1481</v>
      </c>
      <c r="U339" s="11">
        <v>4388</v>
      </c>
      <c r="AW339" t="str">
        <f>IF(Tabela4[[#This Row],[JUSTIFICATIVA]]="","",CONCATENATE("B",Tabela4[[#This Row],[BLOCO]],Tabela4[[#This Row],[UO_COD]]))</f>
        <v/>
      </c>
      <c r="AX339">
        <f>Tabela4[[#This Row],[JUSTIFICATIVA]]</f>
        <v>0</v>
      </c>
    </row>
    <row r="340" spans="1:50" ht="15" customHeight="1">
      <c r="A340" s="11">
        <v>1481</v>
      </c>
      <c r="B340" s="11">
        <v>4412</v>
      </c>
      <c r="C340" s="12" t="str">
        <f t="shared" si="15"/>
        <v>14814412</v>
      </c>
      <c r="D340" s="11" t="s">
        <v>666</v>
      </c>
      <c r="E340" s="11" t="s">
        <v>571</v>
      </c>
      <c r="F340" s="11" t="s">
        <v>663</v>
      </c>
      <c r="G340" s="11">
        <v>1</v>
      </c>
      <c r="T340" s="11">
        <v>1481</v>
      </c>
      <c r="U340" s="11">
        <v>4412</v>
      </c>
      <c r="AW340" t="str">
        <f>IF(Tabela4[[#This Row],[JUSTIFICATIVA]]="","",CONCATENATE("B",Tabela4[[#This Row],[BLOCO]],Tabela4[[#This Row],[UO_COD]]))</f>
        <v/>
      </c>
      <c r="AX340">
        <f>Tabela4[[#This Row],[JUSTIFICATIVA]]</f>
        <v>0</v>
      </c>
    </row>
    <row r="341" spans="1:50" ht="15" customHeight="1">
      <c r="A341" s="11">
        <v>1481</v>
      </c>
      <c r="B341" s="11">
        <v>4414</v>
      </c>
      <c r="C341" s="12" t="str">
        <f t="shared" si="15"/>
        <v>14814414</v>
      </c>
      <c r="D341" s="11" t="s">
        <v>540</v>
      </c>
      <c r="E341" s="11" t="s">
        <v>542</v>
      </c>
      <c r="F341" s="11" t="s">
        <v>679</v>
      </c>
      <c r="G341" s="11">
        <v>0</v>
      </c>
      <c r="T341" s="11">
        <v>1481</v>
      </c>
      <c r="U341" s="11">
        <v>4414</v>
      </c>
      <c r="AW341" t="str">
        <f>IF(Tabela4[[#This Row],[JUSTIFICATIVA]]="","",CONCATENATE("B",Tabela4[[#This Row],[BLOCO]],Tabela4[[#This Row],[UO_COD]]))</f>
        <v/>
      </c>
      <c r="AX341">
        <f>Tabela4[[#This Row],[JUSTIFICATIVA]]</f>
        <v>0</v>
      </c>
    </row>
    <row r="342" spans="1:50" ht="15" customHeight="1">
      <c r="A342" s="11">
        <v>1481</v>
      </c>
      <c r="B342" s="11">
        <v>4415</v>
      </c>
      <c r="C342" s="12" t="str">
        <f t="shared" si="15"/>
        <v>14814415</v>
      </c>
      <c r="D342" s="11" t="s">
        <v>540</v>
      </c>
      <c r="E342" s="11" t="s">
        <v>542</v>
      </c>
      <c r="F342" s="11" t="s">
        <v>679</v>
      </c>
      <c r="G342" s="11">
        <v>0</v>
      </c>
      <c r="T342" s="11">
        <v>1481</v>
      </c>
      <c r="U342" s="11">
        <v>4415</v>
      </c>
      <c r="AW342" t="str">
        <f>IF(Tabela4[[#This Row],[JUSTIFICATIVA]]="","",CONCATENATE("B",Tabela4[[#This Row],[BLOCO]],Tabela4[[#This Row],[UO_COD]]))</f>
        <v/>
      </c>
      <c r="AX342">
        <f>Tabela4[[#This Row],[JUSTIFICATIVA]]</f>
        <v>0</v>
      </c>
    </row>
    <row r="343" spans="1:50" ht="15" customHeight="1">
      <c r="A343" s="11">
        <v>1481</v>
      </c>
      <c r="B343" s="11">
        <v>4416</v>
      </c>
      <c r="C343" s="12" t="str">
        <f t="shared" si="15"/>
        <v>14814416</v>
      </c>
      <c r="D343" s="11" t="s">
        <v>540</v>
      </c>
      <c r="E343" s="11" t="s">
        <v>623</v>
      </c>
      <c r="F343" s="11" t="s">
        <v>663</v>
      </c>
      <c r="G343" s="11">
        <v>1</v>
      </c>
      <c r="T343" s="11">
        <v>1481</v>
      </c>
      <c r="U343" s="11">
        <v>4416</v>
      </c>
      <c r="AW343" t="str">
        <f>IF(Tabela4[[#This Row],[JUSTIFICATIVA]]="","",CONCATENATE("B",Tabela4[[#This Row],[BLOCO]],Tabela4[[#This Row],[UO_COD]]))</f>
        <v/>
      </c>
      <c r="AX343">
        <f>Tabela4[[#This Row],[JUSTIFICATIVA]]</f>
        <v>0</v>
      </c>
    </row>
    <row r="344" spans="1:50" ht="15" customHeight="1">
      <c r="A344" s="11">
        <v>1481</v>
      </c>
      <c r="B344" s="11">
        <v>4480</v>
      </c>
      <c r="C344" s="12" t="str">
        <f t="shared" si="15"/>
        <v>14814480</v>
      </c>
      <c r="D344" s="11" t="s">
        <v>540</v>
      </c>
      <c r="E344" s="11" t="s">
        <v>542</v>
      </c>
      <c r="F344" s="11" t="s">
        <v>619</v>
      </c>
      <c r="G344" s="11">
        <v>0</v>
      </c>
      <c r="T344" s="11">
        <v>1481</v>
      </c>
      <c r="U344" s="11">
        <v>4480</v>
      </c>
      <c r="AW344" t="str">
        <f>IF(Tabela4[[#This Row],[JUSTIFICATIVA]]="","",CONCATENATE("B",Tabela4[[#This Row],[BLOCO]],Tabela4[[#This Row],[UO_COD]]))</f>
        <v/>
      </c>
      <c r="AX344">
        <f>Tabela4[[#This Row],[JUSTIFICATIVA]]</f>
        <v>0</v>
      </c>
    </row>
    <row r="345" spans="1:50" ht="15" customHeight="1">
      <c r="A345" s="11">
        <v>1481</v>
      </c>
      <c r="B345" s="11">
        <v>4514</v>
      </c>
      <c r="C345" s="12" t="str">
        <f t="shared" si="15"/>
        <v>14814514</v>
      </c>
      <c r="D345" s="11" t="s">
        <v>669</v>
      </c>
      <c r="E345" s="11" t="s">
        <v>670</v>
      </c>
      <c r="F345" s="11" t="s">
        <v>671</v>
      </c>
      <c r="G345" s="11">
        <v>0</v>
      </c>
      <c r="T345" s="11">
        <v>1481</v>
      </c>
      <c r="U345" s="11">
        <v>4514</v>
      </c>
      <c r="AW345" t="str">
        <f>IF(Tabela4[[#This Row],[JUSTIFICATIVA]]="","",CONCATENATE("B",Tabela4[[#This Row],[BLOCO]],Tabela4[[#This Row],[UO_COD]]))</f>
        <v/>
      </c>
      <c r="AX345">
        <f>Tabela4[[#This Row],[JUSTIFICATIVA]]</f>
        <v>0</v>
      </c>
    </row>
    <row r="346" spans="1:50" ht="15" customHeight="1">
      <c r="A346" s="11">
        <v>1491</v>
      </c>
      <c r="B346" s="11">
        <v>2041</v>
      </c>
      <c r="C346" s="12" t="str">
        <f t="shared" si="15"/>
        <v>14912041</v>
      </c>
      <c r="D346" s="11" t="s">
        <v>322</v>
      </c>
      <c r="E346" s="11" t="s">
        <v>547</v>
      </c>
      <c r="F346" s="11" t="s">
        <v>680</v>
      </c>
      <c r="G346" s="11">
        <v>0</v>
      </c>
      <c r="T346" s="11">
        <v>1491</v>
      </c>
      <c r="U346" s="11">
        <v>2041</v>
      </c>
      <c r="AW346" t="str">
        <f>IF(Tabela4[[#This Row],[JUSTIFICATIVA]]="","",CONCATENATE("B",Tabela4[[#This Row],[BLOCO]],Tabela4[[#This Row],[UO_COD]]))</f>
        <v/>
      </c>
      <c r="AX346">
        <f>Tabela4[[#This Row],[JUSTIFICATIVA]]</f>
        <v>0</v>
      </c>
    </row>
    <row r="347" spans="1:50" ht="15" customHeight="1">
      <c r="A347" s="11">
        <v>1491</v>
      </c>
      <c r="B347" s="11">
        <v>2042</v>
      </c>
      <c r="C347" s="12" t="str">
        <f t="shared" si="15"/>
        <v>14912042</v>
      </c>
      <c r="D347" s="11" t="s">
        <v>322</v>
      </c>
      <c r="E347" s="11" t="s">
        <v>470</v>
      </c>
      <c r="F347" s="11" t="s">
        <v>681</v>
      </c>
      <c r="G347" s="11">
        <v>0</v>
      </c>
      <c r="T347" s="11">
        <v>1491</v>
      </c>
      <c r="U347" s="11">
        <v>2042</v>
      </c>
      <c r="AW347" t="str">
        <f>IF(Tabela4[[#This Row],[JUSTIFICATIVA]]="","",CONCATENATE("B",Tabela4[[#This Row],[BLOCO]],Tabela4[[#This Row],[UO_COD]]))</f>
        <v/>
      </c>
      <c r="AX347">
        <f>Tabela4[[#This Row],[JUSTIFICATIVA]]</f>
        <v>0</v>
      </c>
    </row>
    <row r="348" spans="1:50" ht="15" customHeight="1">
      <c r="A348" s="11">
        <v>1491</v>
      </c>
      <c r="B348" s="11">
        <v>2043</v>
      </c>
      <c r="C348" s="12" t="str">
        <f t="shared" si="15"/>
        <v>14912043</v>
      </c>
      <c r="D348" s="11" t="s">
        <v>322</v>
      </c>
      <c r="E348" s="11" t="s">
        <v>470</v>
      </c>
      <c r="F348" s="11" t="s">
        <v>682</v>
      </c>
      <c r="G348" s="11">
        <v>0</v>
      </c>
      <c r="T348" s="11">
        <v>1491</v>
      </c>
      <c r="U348" s="11">
        <v>2043</v>
      </c>
      <c r="AW348" t="str">
        <f>IF(Tabela4[[#This Row],[JUSTIFICATIVA]]="","",CONCATENATE("B",Tabela4[[#This Row],[BLOCO]],Tabela4[[#This Row],[UO_COD]]))</f>
        <v/>
      </c>
      <c r="AX348">
        <f>Tabela4[[#This Row],[JUSTIFICATIVA]]</f>
        <v>0</v>
      </c>
    </row>
    <row r="349" spans="1:50" ht="15" customHeight="1">
      <c r="A349" s="11">
        <v>1491</v>
      </c>
      <c r="B349" s="11">
        <v>2044</v>
      </c>
      <c r="C349" s="12" t="str">
        <f t="shared" si="15"/>
        <v>14912044</v>
      </c>
      <c r="D349" s="11" t="s">
        <v>322</v>
      </c>
      <c r="E349" s="11" t="s">
        <v>470</v>
      </c>
      <c r="F349" s="11" t="s">
        <v>683</v>
      </c>
      <c r="G349" s="11">
        <v>0</v>
      </c>
      <c r="T349" s="11">
        <v>1491</v>
      </c>
      <c r="U349" s="11">
        <v>2044</v>
      </c>
      <c r="AW349" t="str">
        <f>IF(Tabela4[[#This Row],[JUSTIFICATIVA]]="","",CONCATENATE("B",Tabela4[[#This Row],[BLOCO]],Tabela4[[#This Row],[UO_COD]]))</f>
        <v/>
      </c>
      <c r="AX349">
        <f>Tabela4[[#This Row],[JUSTIFICATIVA]]</f>
        <v>0</v>
      </c>
    </row>
    <row r="350" spans="1:50" ht="15" customHeight="1">
      <c r="A350" s="11">
        <v>1491</v>
      </c>
      <c r="B350" s="11">
        <v>2045</v>
      </c>
      <c r="C350" s="12" t="str">
        <f t="shared" si="15"/>
        <v>14912045</v>
      </c>
      <c r="D350" s="11" t="s">
        <v>322</v>
      </c>
      <c r="E350" s="11" t="s">
        <v>470</v>
      </c>
      <c r="F350" s="11" t="s">
        <v>682</v>
      </c>
      <c r="G350" s="11">
        <v>0</v>
      </c>
      <c r="T350" s="11">
        <v>1491</v>
      </c>
      <c r="U350" s="11">
        <v>2045</v>
      </c>
      <c r="AW350" t="str">
        <f>IF(Tabela4[[#This Row],[JUSTIFICATIVA]]="","",CONCATENATE("B",Tabela4[[#This Row],[BLOCO]],Tabela4[[#This Row],[UO_COD]]))</f>
        <v/>
      </c>
      <c r="AX350">
        <f>Tabela4[[#This Row],[JUSTIFICATIVA]]</f>
        <v>0</v>
      </c>
    </row>
    <row r="351" spans="1:50" ht="15" customHeight="1">
      <c r="A351" s="11">
        <v>1491</v>
      </c>
      <c r="B351" s="11">
        <v>2046</v>
      </c>
      <c r="C351" s="12" t="str">
        <f t="shared" si="15"/>
        <v>14912046</v>
      </c>
      <c r="D351" s="11" t="s">
        <v>322</v>
      </c>
      <c r="E351" s="11" t="s">
        <v>470</v>
      </c>
      <c r="F351" s="11" t="s">
        <v>682</v>
      </c>
      <c r="G351" s="11">
        <v>0</v>
      </c>
      <c r="T351" s="11">
        <v>1491</v>
      </c>
      <c r="U351" s="11">
        <v>2046</v>
      </c>
      <c r="AW351" t="str">
        <f>IF(Tabela4[[#This Row],[JUSTIFICATIVA]]="","",CONCATENATE("B",Tabela4[[#This Row],[BLOCO]],Tabela4[[#This Row],[UO_COD]]))</f>
        <v/>
      </c>
      <c r="AX351">
        <f>Tabela4[[#This Row],[JUSTIFICATIVA]]</f>
        <v>0</v>
      </c>
    </row>
    <row r="352" spans="1:50" ht="15" customHeight="1">
      <c r="A352" s="11">
        <v>1491</v>
      </c>
      <c r="B352" s="11">
        <v>2048</v>
      </c>
      <c r="C352" s="12" t="str">
        <f t="shared" si="15"/>
        <v>14912048</v>
      </c>
      <c r="D352" s="11" t="s">
        <v>322</v>
      </c>
      <c r="E352" s="11" t="s">
        <v>470</v>
      </c>
      <c r="F352" s="11" t="s">
        <v>682</v>
      </c>
      <c r="G352" s="11">
        <v>1</v>
      </c>
      <c r="T352" s="11">
        <v>1491</v>
      </c>
      <c r="U352" s="11">
        <v>2048</v>
      </c>
      <c r="AW352" t="str">
        <f>IF(Tabela4[[#This Row],[JUSTIFICATIVA]]="","",CONCATENATE("B",Tabela4[[#This Row],[BLOCO]],Tabela4[[#This Row],[UO_COD]]))</f>
        <v/>
      </c>
      <c r="AX352">
        <f>Tabela4[[#This Row],[JUSTIFICATIVA]]</f>
        <v>0</v>
      </c>
    </row>
    <row r="353" spans="1:50" ht="15" customHeight="1">
      <c r="A353" s="11">
        <v>1491</v>
      </c>
      <c r="B353" s="11">
        <v>2050</v>
      </c>
      <c r="C353" s="12" t="str">
        <f t="shared" si="15"/>
        <v>14912050</v>
      </c>
      <c r="D353" s="11" t="s">
        <v>322</v>
      </c>
      <c r="E353" s="11" t="s">
        <v>470</v>
      </c>
      <c r="F353" s="11" t="s">
        <v>470</v>
      </c>
      <c r="G353" s="11">
        <v>0</v>
      </c>
      <c r="T353" s="11">
        <v>1491</v>
      </c>
      <c r="U353" s="11">
        <v>2050</v>
      </c>
      <c r="AW353" t="str">
        <f>IF(Tabela4[[#This Row],[JUSTIFICATIVA]]="","",CONCATENATE("B",Tabela4[[#This Row],[BLOCO]],Tabela4[[#This Row],[UO_COD]]))</f>
        <v/>
      </c>
      <c r="AX353">
        <f>Tabela4[[#This Row],[JUSTIFICATIVA]]</f>
        <v>0</v>
      </c>
    </row>
    <row r="354" spans="1:50" ht="15" customHeight="1">
      <c r="A354" s="11">
        <v>1491</v>
      </c>
      <c r="B354" s="11">
        <v>2051</v>
      </c>
      <c r="C354" s="12" t="str">
        <f t="shared" si="15"/>
        <v>14912051</v>
      </c>
      <c r="D354" s="11" t="s">
        <v>322</v>
      </c>
      <c r="E354" s="11" t="s">
        <v>470</v>
      </c>
      <c r="F354" s="11" t="s">
        <v>470</v>
      </c>
      <c r="G354" s="11">
        <v>0</v>
      </c>
      <c r="T354" s="11">
        <v>1491</v>
      </c>
      <c r="U354" s="11">
        <v>2051</v>
      </c>
      <c r="AW354" t="str">
        <f>IF(Tabela4[[#This Row],[JUSTIFICATIVA]]="","",CONCATENATE("B",Tabela4[[#This Row],[BLOCO]],Tabela4[[#This Row],[UO_COD]]))</f>
        <v/>
      </c>
      <c r="AX354">
        <f>Tabela4[[#This Row],[JUSTIFICATIVA]]</f>
        <v>0</v>
      </c>
    </row>
    <row r="355" spans="1:50" ht="15" customHeight="1">
      <c r="A355" s="11">
        <v>1491</v>
      </c>
      <c r="B355" s="11">
        <v>2138</v>
      </c>
      <c r="C355" s="12" t="str">
        <f t="shared" si="15"/>
        <v>14912138</v>
      </c>
      <c r="D355" s="11" t="s">
        <v>322</v>
      </c>
      <c r="E355" s="11" t="s">
        <v>470</v>
      </c>
      <c r="F355" s="11" t="s">
        <v>470</v>
      </c>
      <c r="G355" s="11">
        <v>0</v>
      </c>
      <c r="T355" s="11">
        <v>1491</v>
      </c>
      <c r="U355" s="11">
        <v>2138</v>
      </c>
      <c r="AW355" t="str">
        <f>IF(Tabela4[[#This Row],[JUSTIFICATIVA]]="","",CONCATENATE("B",Tabela4[[#This Row],[BLOCO]],Tabela4[[#This Row],[UO_COD]]))</f>
        <v/>
      </c>
      <c r="AX355">
        <f>Tabela4[[#This Row],[JUSTIFICATIVA]]</f>
        <v>0</v>
      </c>
    </row>
    <row r="356" spans="1:50" ht="15" customHeight="1">
      <c r="A356" s="11">
        <v>1491</v>
      </c>
      <c r="B356" s="11">
        <v>2417</v>
      </c>
      <c r="C356" s="12" t="str">
        <f t="shared" si="15"/>
        <v>14912417</v>
      </c>
      <c r="D356" s="11" t="s">
        <v>322</v>
      </c>
      <c r="E356" s="11" t="s">
        <v>470</v>
      </c>
      <c r="F356" s="11" t="s">
        <v>461</v>
      </c>
      <c r="G356" s="11">
        <v>0</v>
      </c>
      <c r="T356" s="11">
        <v>1491</v>
      </c>
      <c r="U356" s="11">
        <v>2417</v>
      </c>
      <c r="AW356" t="str">
        <f>IF(Tabela4[[#This Row],[JUSTIFICATIVA]]="","",CONCATENATE("B",Tabela4[[#This Row],[BLOCO]],Tabela4[[#This Row],[UO_COD]]))</f>
        <v/>
      </c>
      <c r="AX356">
        <f>Tabela4[[#This Row],[JUSTIFICATIVA]]</f>
        <v>0</v>
      </c>
    </row>
    <row r="357" spans="1:50" ht="15" customHeight="1">
      <c r="A357" s="11">
        <v>1491</v>
      </c>
      <c r="B357" s="11">
        <v>2500</v>
      </c>
      <c r="C357" s="12" t="str">
        <f t="shared" si="15"/>
        <v>14912500</v>
      </c>
      <c r="D357" s="11" t="s">
        <v>322</v>
      </c>
      <c r="E357" s="11" t="s">
        <v>470</v>
      </c>
      <c r="F357" s="11" t="s">
        <v>461</v>
      </c>
      <c r="G357" s="11">
        <v>0</v>
      </c>
      <c r="T357" s="11">
        <v>1491</v>
      </c>
      <c r="U357" s="11">
        <v>2500</v>
      </c>
      <c r="AW357" t="str">
        <f>IF(Tabela4[[#This Row],[JUSTIFICATIVA]]="","",CONCATENATE("B",Tabela4[[#This Row],[BLOCO]],Tabela4[[#This Row],[UO_COD]]))</f>
        <v/>
      </c>
      <c r="AX357">
        <f>Tabela4[[#This Row],[JUSTIFICATIVA]]</f>
        <v>0</v>
      </c>
    </row>
    <row r="358" spans="1:50" ht="15" customHeight="1">
      <c r="A358" s="11">
        <v>1501</v>
      </c>
      <c r="B358" s="11">
        <v>1084</v>
      </c>
      <c r="C358" s="12" t="str">
        <f t="shared" si="15"/>
        <v>15011084</v>
      </c>
      <c r="D358" s="11" t="s">
        <v>322</v>
      </c>
      <c r="E358" s="11" t="s">
        <v>470</v>
      </c>
      <c r="F358" s="11" t="s">
        <v>684</v>
      </c>
      <c r="G358" s="11">
        <v>1</v>
      </c>
      <c r="T358" s="11">
        <v>1501</v>
      </c>
      <c r="U358" s="11">
        <v>1084</v>
      </c>
      <c r="AW358" t="str">
        <f>IF(Tabela4[[#This Row],[JUSTIFICATIVA]]="","",CONCATENATE("B",Tabela4[[#This Row],[BLOCO]],Tabela4[[#This Row],[UO_COD]]))</f>
        <v/>
      </c>
      <c r="AX358">
        <f>Tabela4[[#This Row],[JUSTIFICATIVA]]</f>
        <v>0</v>
      </c>
    </row>
    <row r="359" spans="1:50" ht="15" customHeight="1">
      <c r="A359" s="11">
        <v>1501</v>
      </c>
      <c r="B359" s="11">
        <v>1085</v>
      </c>
      <c r="C359" s="12" t="str">
        <f t="shared" si="15"/>
        <v>15011085</v>
      </c>
      <c r="D359" s="11" t="s">
        <v>322</v>
      </c>
      <c r="E359" s="11" t="s">
        <v>470</v>
      </c>
      <c r="F359" s="11" t="s">
        <v>685</v>
      </c>
      <c r="G359" s="11">
        <v>0</v>
      </c>
      <c r="T359" s="11">
        <v>1501</v>
      </c>
      <c r="U359" s="11">
        <v>1085</v>
      </c>
      <c r="AW359" t="str">
        <f>IF(Tabela4[[#This Row],[JUSTIFICATIVA]]="","",CONCATENATE("B",Tabela4[[#This Row],[BLOCO]],Tabela4[[#This Row],[UO_COD]]))</f>
        <v/>
      </c>
      <c r="AX359">
        <f>Tabela4[[#This Row],[JUSTIFICATIVA]]</f>
        <v>0</v>
      </c>
    </row>
    <row r="360" spans="1:50" ht="15" customHeight="1">
      <c r="A360" s="11">
        <v>1501</v>
      </c>
      <c r="B360" s="11">
        <v>2417</v>
      </c>
      <c r="C360" s="12" t="str">
        <f t="shared" si="15"/>
        <v>15012417</v>
      </c>
      <c r="D360" s="11" t="s">
        <v>322</v>
      </c>
      <c r="E360" s="11" t="s">
        <v>470</v>
      </c>
      <c r="F360" s="11" t="s">
        <v>461</v>
      </c>
      <c r="G360" s="11">
        <v>0</v>
      </c>
      <c r="T360" s="11">
        <v>1501</v>
      </c>
      <c r="U360" s="11">
        <v>2417</v>
      </c>
      <c r="AW360" t="str">
        <f>IF(Tabela4[[#This Row],[JUSTIFICATIVA]]="","",CONCATENATE("B",Tabela4[[#This Row],[BLOCO]],Tabela4[[#This Row],[UO_COD]]))</f>
        <v/>
      </c>
      <c r="AX360">
        <f>Tabela4[[#This Row],[JUSTIFICATIVA]]</f>
        <v>0</v>
      </c>
    </row>
    <row r="361" spans="1:50" ht="15" customHeight="1">
      <c r="A361" s="11">
        <v>1501</v>
      </c>
      <c r="B361" s="11">
        <v>2500</v>
      </c>
      <c r="C361" s="12" t="str">
        <f t="shared" si="15"/>
        <v>15012500</v>
      </c>
      <c r="D361" s="11" t="s">
        <v>322</v>
      </c>
      <c r="E361" s="11" t="s">
        <v>470</v>
      </c>
      <c r="F361" s="11" t="s">
        <v>461</v>
      </c>
      <c r="G361" s="11">
        <v>0</v>
      </c>
      <c r="T361" s="11">
        <v>1501</v>
      </c>
      <c r="U361" s="11">
        <v>2500</v>
      </c>
      <c r="AW361" t="str">
        <f>IF(Tabela4[[#This Row],[JUSTIFICATIVA]]="","",CONCATENATE("B",Tabela4[[#This Row],[BLOCO]],Tabela4[[#This Row],[UO_COD]]))</f>
        <v/>
      </c>
      <c r="AX361">
        <f>Tabela4[[#This Row],[JUSTIFICATIVA]]</f>
        <v>0</v>
      </c>
    </row>
    <row r="362" spans="1:50" ht="15" customHeight="1">
      <c r="A362" s="11">
        <v>1501</v>
      </c>
      <c r="B362" s="11">
        <v>4112</v>
      </c>
      <c r="C362" s="12" t="str">
        <f t="shared" si="15"/>
        <v>15014112</v>
      </c>
      <c r="D362" s="11" t="s">
        <v>322</v>
      </c>
      <c r="E362" s="11" t="s">
        <v>470</v>
      </c>
      <c r="F362" s="11" t="s">
        <v>686</v>
      </c>
      <c r="G362" s="11">
        <v>0</v>
      </c>
      <c r="T362" s="11">
        <v>1501</v>
      </c>
      <c r="U362" s="11">
        <v>4112</v>
      </c>
      <c r="AW362" t="str">
        <f>IF(Tabela4[[#This Row],[JUSTIFICATIVA]]="","",CONCATENATE("B",Tabela4[[#This Row],[BLOCO]],Tabela4[[#This Row],[UO_COD]]))</f>
        <v/>
      </c>
      <c r="AX362">
        <f>Tabela4[[#This Row],[JUSTIFICATIVA]]</f>
        <v>0</v>
      </c>
    </row>
    <row r="363" spans="1:50" ht="15" customHeight="1">
      <c r="A363" s="11">
        <v>1501</v>
      </c>
      <c r="B363" s="11">
        <v>4160</v>
      </c>
      <c r="C363" s="12" t="str">
        <f t="shared" si="15"/>
        <v>15014160</v>
      </c>
      <c r="D363" s="11" t="s">
        <v>322</v>
      </c>
      <c r="E363" s="11" t="s">
        <v>549</v>
      </c>
      <c r="F363" s="11" t="s">
        <v>687</v>
      </c>
      <c r="G363" s="11">
        <v>0</v>
      </c>
      <c r="T363" s="11">
        <v>1501</v>
      </c>
      <c r="U363" s="11">
        <v>4160</v>
      </c>
      <c r="AW363" t="str">
        <f>IF(Tabela4[[#This Row],[JUSTIFICATIVA]]="","",CONCATENATE("B",Tabela4[[#This Row],[BLOCO]],Tabela4[[#This Row],[UO_COD]]))</f>
        <v/>
      </c>
      <c r="AX363">
        <f>Tabela4[[#This Row],[JUSTIFICATIVA]]</f>
        <v>0</v>
      </c>
    </row>
    <row r="364" spans="1:50" ht="15" customHeight="1">
      <c r="A364" s="11">
        <v>1501</v>
      </c>
      <c r="B364" s="11">
        <v>4380</v>
      </c>
      <c r="C364" s="12" t="str">
        <f t="shared" si="15"/>
        <v>15014380</v>
      </c>
      <c r="D364" s="11" t="s">
        <v>322</v>
      </c>
      <c r="E364" s="11" t="s">
        <v>470</v>
      </c>
      <c r="F364" s="11" t="s">
        <v>688</v>
      </c>
      <c r="G364" s="11">
        <v>1</v>
      </c>
      <c r="T364" s="11">
        <v>1501</v>
      </c>
      <c r="U364" s="11">
        <v>4380</v>
      </c>
      <c r="AW364" t="str">
        <f>IF(Tabela4[[#This Row],[JUSTIFICATIVA]]="","",CONCATENATE("B",Tabela4[[#This Row],[BLOCO]],Tabela4[[#This Row],[UO_COD]]))</f>
        <v/>
      </c>
      <c r="AX364">
        <f>Tabela4[[#This Row],[JUSTIFICATIVA]]</f>
        <v>0</v>
      </c>
    </row>
    <row r="365" spans="1:50" ht="15" customHeight="1">
      <c r="A365" s="11">
        <v>1501</v>
      </c>
      <c r="B365" s="11">
        <v>4450</v>
      </c>
      <c r="C365" s="12" t="str">
        <f t="shared" si="15"/>
        <v>15014450</v>
      </c>
      <c r="D365" s="11" t="s">
        <v>322</v>
      </c>
      <c r="E365" s="11" t="s">
        <v>549</v>
      </c>
      <c r="F365" s="11" t="s">
        <v>687</v>
      </c>
      <c r="G365" s="11">
        <v>0</v>
      </c>
      <c r="T365" s="11">
        <v>1501</v>
      </c>
      <c r="U365" s="11">
        <v>4450</v>
      </c>
      <c r="AW365" t="str">
        <f>IF(Tabela4[[#This Row],[JUSTIFICATIVA]]="","",CONCATENATE("B",Tabela4[[#This Row],[BLOCO]],Tabela4[[#This Row],[UO_COD]]))</f>
        <v/>
      </c>
      <c r="AX365">
        <f>Tabela4[[#This Row],[JUSTIFICATIVA]]</f>
        <v>0</v>
      </c>
    </row>
    <row r="366" spans="1:50" ht="15" customHeight="1">
      <c r="A366" s="11">
        <v>1501</v>
      </c>
      <c r="B366" s="11">
        <v>4451</v>
      </c>
      <c r="C366" s="12" t="str">
        <f t="shared" si="15"/>
        <v>15014451</v>
      </c>
      <c r="D366" s="11" t="s">
        <v>322</v>
      </c>
      <c r="E366" s="11" t="s">
        <v>549</v>
      </c>
      <c r="F366" s="11" t="s">
        <v>687</v>
      </c>
      <c r="G366" s="11">
        <v>0</v>
      </c>
      <c r="T366" s="11">
        <v>1501</v>
      </c>
      <c r="U366" s="11">
        <v>4451</v>
      </c>
      <c r="AW366" t="str">
        <f>IF(Tabela4[[#This Row],[JUSTIFICATIVA]]="","",CONCATENATE("B",Tabela4[[#This Row],[BLOCO]],Tabela4[[#This Row],[UO_COD]]))</f>
        <v/>
      </c>
      <c r="AX366">
        <f>Tabela4[[#This Row],[JUSTIFICATIVA]]</f>
        <v>0</v>
      </c>
    </row>
    <row r="367" spans="1:50" ht="15" customHeight="1">
      <c r="A367" s="11">
        <v>1501</v>
      </c>
      <c r="B367" s="11">
        <v>4452</v>
      </c>
      <c r="C367" s="12" t="str">
        <f t="shared" si="15"/>
        <v>15014452</v>
      </c>
      <c r="D367" s="11" t="s">
        <v>322</v>
      </c>
      <c r="E367" s="11" t="s">
        <v>470</v>
      </c>
      <c r="F367" s="11" t="s">
        <v>687</v>
      </c>
      <c r="G367" s="11">
        <v>0</v>
      </c>
      <c r="T367" s="11">
        <v>1501</v>
      </c>
      <c r="U367" s="11">
        <v>4452</v>
      </c>
      <c r="AW367" t="str">
        <f>IF(Tabela4[[#This Row],[JUSTIFICATIVA]]="","",CONCATENATE("B",Tabela4[[#This Row],[BLOCO]],Tabela4[[#This Row],[UO_COD]]))</f>
        <v/>
      </c>
      <c r="AX367">
        <f>Tabela4[[#This Row],[JUSTIFICATIVA]]</f>
        <v>0</v>
      </c>
    </row>
    <row r="368" spans="1:50" ht="15" customHeight="1">
      <c r="A368" s="11">
        <v>1501</v>
      </c>
      <c r="B368" s="11">
        <v>4453</v>
      </c>
      <c r="C368" s="12" t="str">
        <f t="shared" si="15"/>
        <v>15014453</v>
      </c>
      <c r="D368" s="11" t="s">
        <v>322</v>
      </c>
      <c r="E368" s="11" t="s">
        <v>470</v>
      </c>
      <c r="F368" s="11" t="s">
        <v>688</v>
      </c>
      <c r="G368" s="11">
        <v>0</v>
      </c>
      <c r="T368" s="11">
        <v>1501</v>
      </c>
      <c r="U368" s="11">
        <v>4453</v>
      </c>
      <c r="AW368" t="str">
        <f>IF(Tabela4[[#This Row],[JUSTIFICATIVA]]="","",CONCATENATE("B",Tabela4[[#This Row],[BLOCO]],Tabela4[[#This Row],[UO_COD]]))</f>
        <v/>
      </c>
      <c r="AX368">
        <f>Tabela4[[#This Row],[JUSTIFICATIVA]]</f>
        <v>0</v>
      </c>
    </row>
    <row r="369" spans="1:50" ht="15" customHeight="1">
      <c r="A369" s="11">
        <v>1501</v>
      </c>
      <c r="B369" s="11">
        <v>4454</v>
      </c>
      <c r="C369" s="12" t="str">
        <f t="shared" si="15"/>
        <v>15014454</v>
      </c>
      <c r="D369" s="11" t="s">
        <v>322</v>
      </c>
      <c r="E369" s="11" t="s">
        <v>470</v>
      </c>
      <c r="F369" s="11" t="s">
        <v>688</v>
      </c>
      <c r="G369" s="11">
        <v>0</v>
      </c>
      <c r="T369" s="11">
        <v>1501</v>
      </c>
      <c r="U369" s="11">
        <v>4454</v>
      </c>
      <c r="AW369" t="str">
        <f>IF(Tabela4[[#This Row],[JUSTIFICATIVA]]="","",CONCATENATE("B",Tabela4[[#This Row],[BLOCO]],Tabela4[[#This Row],[UO_COD]]))</f>
        <v/>
      </c>
      <c r="AX369">
        <f>Tabela4[[#This Row],[JUSTIFICATIVA]]</f>
        <v>0</v>
      </c>
    </row>
    <row r="370" spans="1:50" ht="15" customHeight="1">
      <c r="A370" s="11">
        <v>1501</v>
      </c>
      <c r="B370" s="11">
        <v>4461</v>
      </c>
      <c r="C370" s="12" t="str">
        <f t="shared" si="15"/>
        <v>15014461</v>
      </c>
      <c r="D370" s="11" t="s">
        <v>322</v>
      </c>
      <c r="E370" s="11" t="s">
        <v>470</v>
      </c>
      <c r="F370" s="11" t="s">
        <v>689</v>
      </c>
      <c r="G370" s="11">
        <v>0</v>
      </c>
      <c r="T370" s="11">
        <v>1501</v>
      </c>
      <c r="U370" s="11">
        <v>4461</v>
      </c>
      <c r="AW370" t="str">
        <f>IF(Tabela4[[#This Row],[JUSTIFICATIVA]]="","",CONCATENATE("B",Tabela4[[#This Row],[BLOCO]],Tabela4[[#This Row],[UO_COD]]))</f>
        <v/>
      </c>
      <c r="AX370">
        <f>Tabela4[[#This Row],[JUSTIFICATIVA]]</f>
        <v>0</v>
      </c>
    </row>
    <row r="371" spans="1:50" ht="15" customHeight="1">
      <c r="A371" s="11">
        <v>1501</v>
      </c>
      <c r="B371" s="11">
        <v>4462</v>
      </c>
      <c r="C371" s="12" t="str">
        <f t="shared" si="15"/>
        <v>15014462</v>
      </c>
      <c r="D371" s="11" t="s">
        <v>322</v>
      </c>
      <c r="E371" s="11" t="s">
        <v>470</v>
      </c>
      <c r="F371" s="11" t="s">
        <v>689</v>
      </c>
      <c r="G371" s="11">
        <v>0</v>
      </c>
      <c r="T371" s="11">
        <v>1501</v>
      </c>
      <c r="U371" s="11">
        <v>4462</v>
      </c>
      <c r="AW371" t="str">
        <f>IF(Tabela4[[#This Row],[JUSTIFICATIVA]]="","",CONCATENATE("B",Tabela4[[#This Row],[BLOCO]],Tabela4[[#This Row],[UO_COD]]))</f>
        <v/>
      </c>
      <c r="AX371">
        <f>Tabela4[[#This Row],[JUSTIFICATIVA]]</f>
        <v>0</v>
      </c>
    </row>
    <row r="372" spans="1:50" ht="15" customHeight="1">
      <c r="A372" s="11">
        <v>1501</v>
      </c>
      <c r="B372" s="11">
        <v>4464</v>
      </c>
      <c r="C372" s="12" t="str">
        <f t="shared" si="15"/>
        <v>15014464</v>
      </c>
      <c r="D372" s="11" t="s">
        <v>322</v>
      </c>
      <c r="E372" s="11" t="s">
        <v>690</v>
      </c>
      <c r="F372" s="11" t="s">
        <v>691</v>
      </c>
      <c r="G372" s="11">
        <v>0</v>
      </c>
      <c r="T372" s="11">
        <v>1501</v>
      </c>
      <c r="U372" s="11">
        <v>4464</v>
      </c>
      <c r="AW372" t="str">
        <f>IF(Tabela4[[#This Row],[JUSTIFICATIVA]]="","",CONCATENATE("B",Tabela4[[#This Row],[BLOCO]],Tabela4[[#This Row],[UO_COD]]))</f>
        <v/>
      </c>
      <c r="AX372">
        <f>Tabela4[[#This Row],[JUSTIFICATIVA]]</f>
        <v>0</v>
      </c>
    </row>
    <row r="373" spans="1:50" ht="15" customHeight="1">
      <c r="A373" s="11">
        <v>1501</v>
      </c>
      <c r="B373" s="11">
        <v>4465</v>
      </c>
      <c r="C373" s="12" t="str">
        <f t="shared" si="15"/>
        <v>15014465</v>
      </c>
      <c r="D373" s="11" t="s">
        <v>322</v>
      </c>
      <c r="E373" s="11" t="s">
        <v>470</v>
      </c>
      <c r="F373" s="11" t="s">
        <v>685</v>
      </c>
      <c r="G373" s="11">
        <v>0</v>
      </c>
      <c r="T373" s="11">
        <v>1501</v>
      </c>
      <c r="U373" s="11">
        <v>4465</v>
      </c>
      <c r="AW373" t="str">
        <f>IF(Tabela4[[#This Row],[JUSTIFICATIVA]]="","",CONCATENATE("B",Tabela4[[#This Row],[BLOCO]],Tabela4[[#This Row],[UO_COD]]))</f>
        <v/>
      </c>
      <c r="AX373">
        <f>Tabela4[[#This Row],[JUSTIFICATIVA]]</f>
        <v>0</v>
      </c>
    </row>
    <row r="374" spans="1:50" ht="15" customHeight="1">
      <c r="A374" s="11">
        <v>1501</v>
      </c>
      <c r="B374" s="11">
        <v>4466</v>
      </c>
      <c r="C374" s="12" t="str">
        <f t="shared" si="15"/>
        <v>15014466</v>
      </c>
      <c r="D374" s="11" t="s">
        <v>322</v>
      </c>
      <c r="E374" s="11" t="s">
        <v>470</v>
      </c>
      <c r="F374" s="11" t="s">
        <v>685</v>
      </c>
      <c r="G374" s="11">
        <v>0</v>
      </c>
      <c r="T374" s="11">
        <v>1501</v>
      </c>
      <c r="U374" s="11">
        <v>4466</v>
      </c>
      <c r="AW374" t="str">
        <f>IF(Tabela4[[#This Row],[JUSTIFICATIVA]]="","",CONCATENATE("B",Tabela4[[#This Row],[BLOCO]],Tabela4[[#This Row],[UO_COD]]))</f>
        <v/>
      </c>
      <c r="AX374">
        <f>Tabela4[[#This Row],[JUSTIFICATIVA]]</f>
        <v>0</v>
      </c>
    </row>
    <row r="375" spans="1:50" ht="15" customHeight="1">
      <c r="A375" s="11">
        <v>1501</v>
      </c>
      <c r="B375" s="11">
        <v>4467</v>
      </c>
      <c r="C375" s="12" t="str">
        <f t="shared" si="15"/>
        <v>15014467</v>
      </c>
      <c r="D375" s="11" t="s">
        <v>322</v>
      </c>
      <c r="E375" s="11" t="s">
        <v>470</v>
      </c>
      <c r="F375" s="11" t="s">
        <v>685</v>
      </c>
      <c r="G375" s="11">
        <v>0</v>
      </c>
      <c r="T375" s="11">
        <v>1501</v>
      </c>
      <c r="U375" s="11">
        <v>4467</v>
      </c>
      <c r="AW375" t="str">
        <f>IF(Tabela4[[#This Row],[JUSTIFICATIVA]]="","",CONCATENATE("B",Tabela4[[#This Row],[BLOCO]],Tabela4[[#This Row],[UO_COD]]))</f>
        <v/>
      </c>
      <c r="AX375">
        <f>Tabela4[[#This Row],[JUSTIFICATIVA]]</f>
        <v>0</v>
      </c>
    </row>
    <row r="376" spans="1:50" ht="15" customHeight="1">
      <c r="A376" s="11">
        <v>1501</v>
      </c>
      <c r="B376" s="11">
        <v>4468</v>
      </c>
      <c r="C376" s="12" t="str">
        <f t="shared" si="15"/>
        <v>15014468</v>
      </c>
      <c r="D376" s="11" t="s">
        <v>322</v>
      </c>
      <c r="E376" s="11" t="s">
        <v>470</v>
      </c>
      <c r="F376" s="11" t="s">
        <v>692</v>
      </c>
      <c r="G376" s="11">
        <v>0</v>
      </c>
      <c r="T376" s="11">
        <v>1501</v>
      </c>
      <c r="U376" s="11">
        <v>4468</v>
      </c>
      <c r="AW376" t="str">
        <f>IF(Tabela4[[#This Row],[JUSTIFICATIVA]]="","",CONCATENATE("B",Tabela4[[#This Row],[BLOCO]],Tabela4[[#This Row],[UO_COD]]))</f>
        <v/>
      </c>
      <c r="AX376">
        <f>Tabela4[[#This Row],[JUSTIFICATIVA]]</f>
        <v>0</v>
      </c>
    </row>
    <row r="377" spans="1:50" ht="15" customHeight="1">
      <c r="A377" s="11">
        <v>1501</v>
      </c>
      <c r="B377" s="11">
        <v>4473</v>
      </c>
      <c r="C377" s="12" t="str">
        <f t="shared" si="15"/>
        <v>15014473</v>
      </c>
      <c r="D377" s="11" t="s">
        <v>322</v>
      </c>
      <c r="E377" s="11" t="s">
        <v>470</v>
      </c>
      <c r="F377" s="11" t="s">
        <v>686</v>
      </c>
      <c r="G377" s="11">
        <v>0</v>
      </c>
      <c r="T377" s="11">
        <v>1501</v>
      </c>
      <c r="U377" s="11">
        <v>4473</v>
      </c>
      <c r="AW377" t="str">
        <f>IF(Tabela4[[#This Row],[JUSTIFICATIVA]]="","",CONCATENATE("B",Tabela4[[#This Row],[BLOCO]],Tabela4[[#This Row],[UO_COD]]))</f>
        <v/>
      </c>
      <c r="AX377">
        <f>Tabela4[[#This Row],[JUSTIFICATIVA]]</f>
        <v>0</v>
      </c>
    </row>
    <row r="378" spans="1:50" ht="15" customHeight="1">
      <c r="A378" s="11">
        <v>1501</v>
      </c>
      <c r="B378" s="11">
        <v>4475</v>
      </c>
      <c r="C378" s="12" t="str">
        <f t="shared" si="15"/>
        <v>15014475</v>
      </c>
      <c r="D378" s="11" t="s">
        <v>322</v>
      </c>
      <c r="E378" s="11" t="s">
        <v>470</v>
      </c>
      <c r="F378" s="11" t="s">
        <v>692</v>
      </c>
      <c r="G378" s="11">
        <v>0</v>
      </c>
      <c r="T378" s="11">
        <v>1501</v>
      </c>
      <c r="U378" s="11">
        <v>4475</v>
      </c>
      <c r="AW378" t="str">
        <f>IF(Tabela4[[#This Row],[JUSTIFICATIVA]]="","",CONCATENATE("B",Tabela4[[#This Row],[BLOCO]],Tabela4[[#This Row],[UO_COD]]))</f>
        <v/>
      </c>
      <c r="AX378">
        <f>Tabela4[[#This Row],[JUSTIFICATIVA]]</f>
        <v>0</v>
      </c>
    </row>
    <row r="379" spans="1:50" ht="15" customHeight="1">
      <c r="A379" s="11">
        <v>1501</v>
      </c>
      <c r="B379" s="11">
        <v>4476</v>
      </c>
      <c r="C379" s="12" t="str">
        <f t="shared" si="15"/>
        <v>15014476</v>
      </c>
      <c r="D379" s="11" t="s">
        <v>322</v>
      </c>
      <c r="E379" s="11" t="s">
        <v>470</v>
      </c>
      <c r="F379" s="11" t="s">
        <v>692</v>
      </c>
      <c r="G379" s="11">
        <v>0</v>
      </c>
      <c r="T379" s="11">
        <v>1501</v>
      </c>
      <c r="U379" s="11">
        <v>4476</v>
      </c>
      <c r="AW379" t="str">
        <f>IF(Tabela4[[#This Row],[JUSTIFICATIVA]]="","",CONCATENATE("B",Tabela4[[#This Row],[BLOCO]],Tabela4[[#This Row],[UO_COD]]))</f>
        <v/>
      </c>
      <c r="AX379">
        <f>Tabela4[[#This Row],[JUSTIFICATIVA]]</f>
        <v>0</v>
      </c>
    </row>
    <row r="380" spans="1:50" ht="15" customHeight="1">
      <c r="A380" s="11">
        <v>1501</v>
      </c>
      <c r="B380" s="11">
        <v>4477</v>
      </c>
      <c r="C380" s="12" t="str">
        <f t="shared" si="15"/>
        <v>15014477</v>
      </c>
      <c r="D380" s="11" t="s">
        <v>322</v>
      </c>
      <c r="E380" s="11" t="s">
        <v>470</v>
      </c>
      <c r="F380" s="11" t="s">
        <v>692</v>
      </c>
      <c r="G380" s="11">
        <v>0</v>
      </c>
      <c r="T380" s="11">
        <v>1501</v>
      </c>
      <c r="U380" s="11">
        <v>4477</v>
      </c>
      <c r="AW380" t="str">
        <f>IF(Tabela4[[#This Row],[JUSTIFICATIVA]]="","",CONCATENATE("B",Tabela4[[#This Row],[BLOCO]],Tabela4[[#This Row],[UO_COD]]))</f>
        <v/>
      </c>
      <c r="AX380">
        <f>Tabela4[[#This Row],[JUSTIFICATIVA]]</f>
        <v>0</v>
      </c>
    </row>
    <row r="381" spans="1:50" ht="15" customHeight="1">
      <c r="A381" s="11">
        <v>1501</v>
      </c>
      <c r="B381" s="11">
        <v>4478</v>
      </c>
      <c r="C381" s="12" t="str">
        <f t="shared" si="15"/>
        <v>15014478</v>
      </c>
      <c r="D381" s="11" t="s">
        <v>322</v>
      </c>
      <c r="E381" s="11" t="s">
        <v>470</v>
      </c>
      <c r="F381" s="11" t="s">
        <v>692</v>
      </c>
      <c r="G381" s="11">
        <v>1</v>
      </c>
      <c r="T381" s="11">
        <v>1501</v>
      </c>
      <c r="U381" s="11">
        <v>4478</v>
      </c>
      <c r="AW381" t="str">
        <f>IF(Tabela4[[#This Row],[JUSTIFICATIVA]]="","",CONCATENATE("B",Tabela4[[#This Row],[BLOCO]],Tabela4[[#This Row],[UO_COD]]))</f>
        <v/>
      </c>
      <c r="AX381">
        <f>Tabela4[[#This Row],[JUSTIFICATIVA]]</f>
        <v>0</v>
      </c>
    </row>
    <row r="382" spans="1:50" ht="15" customHeight="1">
      <c r="A382" s="11">
        <v>1501</v>
      </c>
      <c r="B382" s="11">
        <v>4483</v>
      </c>
      <c r="C382" s="12" t="str">
        <f t="shared" si="15"/>
        <v>15014483</v>
      </c>
      <c r="D382" s="11" t="s">
        <v>322</v>
      </c>
      <c r="E382" s="11" t="s">
        <v>470</v>
      </c>
      <c r="F382" s="11" t="s">
        <v>687</v>
      </c>
      <c r="G382" s="11">
        <v>0</v>
      </c>
      <c r="T382" s="11">
        <v>1501</v>
      </c>
      <c r="U382" s="11">
        <v>4483</v>
      </c>
      <c r="AW382" t="str">
        <f>IF(Tabela4[[#This Row],[JUSTIFICATIVA]]="","",CONCATENATE("B",Tabela4[[#This Row],[BLOCO]],Tabela4[[#This Row],[UO_COD]]))</f>
        <v/>
      </c>
      <c r="AX382">
        <f>Tabela4[[#This Row],[JUSTIFICATIVA]]</f>
        <v>0</v>
      </c>
    </row>
    <row r="383" spans="1:50" ht="15" customHeight="1">
      <c r="A383" s="11">
        <v>1501</v>
      </c>
      <c r="B383" s="11">
        <v>4485</v>
      </c>
      <c r="C383" s="12" t="str">
        <f t="shared" si="15"/>
        <v>15014485</v>
      </c>
      <c r="D383" s="11" t="s">
        <v>322</v>
      </c>
      <c r="E383" s="11" t="s">
        <v>470</v>
      </c>
      <c r="F383" s="11" t="s">
        <v>684</v>
      </c>
      <c r="G383" s="11">
        <v>0</v>
      </c>
      <c r="T383" s="11">
        <v>1501</v>
      </c>
      <c r="U383" s="11">
        <v>4485</v>
      </c>
      <c r="AW383" t="str">
        <f>IF(Tabela4[[#This Row],[JUSTIFICATIVA]]="","",CONCATENATE("B",Tabela4[[#This Row],[BLOCO]],Tabela4[[#This Row],[UO_COD]]))</f>
        <v/>
      </c>
      <c r="AX383">
        <f>Tabela4[[#This Row],[JUSTIFICATIVA]]</f>
        <v>0</v>
      </c>
    </row>
    <row r="384" spans="1:50" ht="15" customHeight="1">
      <c r="A384" s="11">
        <v>1501</v>
      </c>
      <c r="B384" s="11">
        <v>4486</v>
      </c>
      <c r="C384" s="12" t="str">
        <f t="shared" si="15"/>
        <v>15014486</v>
      </c>
      <c r="D384" s="11" t="s">
        <v>322</v>
      </c>
      <c r="E384" s="11" t="s">
        <v>470</v>
      </c>
      <c r="F384" s="11" t="s">
        <v>684</v>
      </c>
      <c r="G384" s="11">
        <v>0</v>
      </c>
      <c r="T384" s="11">
        <v>1501</v>
      </c>
      <c r="U384" s="11">
        <v>4486</v>
      </c>
      <c r="AW384" t="str">
        <f>IF(Tabela4[[#This Row],[JUSTIFICATIVA]]="","",CONCATENATE("B",Tabela4[[#This Row],[BLOCO]],Tabela4[[#This Row],[UO_COD]]))</f>
        <v/>
      </c>
      <c r="AX384">
        <f>Tabela4[[#This Row],[JUSTIFICATIVA]]</f>
        <v>0</v>
      </c>
    </row>
    <row r="385" spans="1:50" ht="15" customHeight="1">
      <c r="A385" s="11">
        <v>1501</v>
      </c>
      <c r="B385" s="11">
        <v>4487</v>
      </c>
      <c r="C385" s="12" t="str">
        <f t="shared" si="15"/>
        <v>15014487</v>
      </c>
      <c r="D385" s="11" t="s">
        <v>322</v>
      </c>
      <c r="E385" s="11" t="s">
        <v>470</v>
      </c>
      <c r="F385" s="11" t="s">
        <v>684</v>
      </c>
      <c r="G385" s="11">
        <v>0</v>
      </c>
      <c r="T385" s="11">
        <v>1501</v>
      </c>
      <c r="U385" s="11">
        <v>4487</v>
      </c>
      <c r="AW385" t="str">
        <f>IF(Tabela4[[#This Row],[JUSTIFICATIVA]]="","",CONCATENATE("B",Tabela4[[#This Row],[BLOCO]],Tabela4[[#This Row],[UO_COD]]))</f>
        <v/>
      </c>
      <c r="AX385">
        <f>Tabela4[[#This Row],[JUSTIFICATIVA]]</f>
        <v>0</v>
      </c>
    </row>
    <row r="386" spans="1:50" ht="15" customHeight="1">
      <c r="A386" s="11">
        <v>1501</v>
      </c>
      <c r="B386" s="11">
        <v>4491</v>
      </c>
      <c r="C386" s="12" t="str">
        <f t="shared" ref="C386:C449" si="16">CONCATENATE(A386,B386)</f>
        <v>15014491</v>
      </c>
      <c r="D386" s="11" t="s">
        <v>322</v>
      </c>
      <c r="E386" s="11" t="s">
        <v>574</v>
      </c>
      <c r="F386" s="11" t="s">
        <v>693</v>
      </c>
      <c r="G386" s="11">
        <v>0</v>
      </c>
      <c r="T386" s="11">
        <v>1501</v>
      </c>
      <c r="U386" s="11">
        <v>4491</v>
      </c>
      <c r="AW386" t="str">
        <f>IF(Tabela4[[#This Row],[JUSTIFICATIVA]]="","",CONCATENATE("B",Tabela4[[#This Row],[BLOCO]],Tabela4[[#This Row],[UO_COD]]))</f>
        <v/>
      </c>
      <c r="AX386">
        <f>Tabela4[[#This Row],[JUSTIFICATIVA]]</f>
        <v>0</v>
      </c>
    </row>
    <row r="387" spans="1:50" ht="15" customHeight="1">
      <c r="A387" s="11">
        <v>1501</v>
      </c>
      <c r="B387" s="11">
        <v>4492</v>
      </c>
      <c r="C387" s="12" t="str">
        <f t="shared" si="16"/>
        <v>15014492</v>
      </c>
      <c r="D387" s="11" t="s">
        <v>322</v>
      </c>
      <c r="E387" s="11" t="s">
        <v>574</v>
      </c>
      <c r="F387" s="11" t="s">
        <v>693</v>
      </c>
      <c r="G387" s="11">
        <v>0</v>
      </c>
      <c r="T387" s="11">
        <v>1501</v>
      </c>
      <c r="U387" s="11">
        <v>4492</v>
      </c>
      <c r="AW387" t="str">
        <f>IF(Tabela4[[#This Row],[JUSTIFICATIVA]]="","",CONCATENATE("B",Tabela4[[#This Row],[BLOCO]],Tabela4[[#This Row],[UO_COD]]))</f>
        <v/>
      </c>
      <c r="AX387">
        <f>Tabela4[[#This Row],[JUSTIFICATIVA]]</f>
        <v>0</v>
      </c>
    </row>
    <row r="388" spans="1:50" ht="15" customHeight="1">
      <c r="A388" s="11">
        <v>1501</v>
      </c>
      <c r="B388" s="11">
        <v>4494</v>
      </c>
      <c r="C388" s="12" t="str">
        <f t="shared" si="16"/>
        <v>15014494</v>
      </c>
      <c r="D388" s="11" t="s">
        <v>322</v>
      </c>
      <c r="E388" s="11" t="s">
        <v>470</v>
      </c>
      <c r="F388" s="11" t="s">
        <v>693</v>
      </c>
      <c r="G388" s="11">
        <v>0</v>
      </c>
      <c r="T388" s="11">
        <v>1501</v>
      </c>
      <c r="U388" s="11">
        <v>4494</v>
      </c>
      <c r="AW388" t="str">
        <f>IF(Tabela4[[#This Row],[JUSTIFICATIVA]]="","",CONCATENATE("B",Tabela4[[#This Row],[BLOCO]],Tabela4[[#This Row],[UO_COD]]))</f>
        <v/>
      </c>
      <c r="AX388">
        <f>Tabela4[[#This Row],[JUSTIFICATIVA]]</f>
        <v>0</v>
      </c>
    </row>
    <row r="389" spans="1:50" ht="15" customHeight="1">
      <c r="A389" s="11">
        <v>1501</v>
      </c>
      <c r="B389" s="11">
        <v>4495</v>
      </c>
      <c r="C389" s="12" t="str">
        <f t="shared" si="16"/>
        <v>15014495</v>
      </c>
      <c r="D389" s="11" t="s">
        <v>322</v>
      </c>
      <c r="E389" s="11" t="s">
        <v>470</v>
      </c>
      <c r="F389" s="11" t="s">
        <v>693</v>
      </c>
      <c r="G389" s="11">
        <v>0</v>
      </c>
      <c r="T389" s="11">
        <v>1501</v>
      </c>
      <c r="U389" s="11">
        <v>4495</v>
      </c>
      <c r="AW389" t="str">
        <f>IF(Tabela4[[#This Row],[JUSTIFICATIVA]]="","",CONCATENATE("B",Tabela4[[#This Row],[BLOCO]],Tabela4[[#This Row],[UO_COD]]))</f>
        <v/>
      </c>
      <c r="AX389">
        <f>Tabela4[[#This Row],[JUSTIFICATIVA]]</f>
        <v>0</v>
      </c>
    </row>
    <row r="390" spans="1:50" ht="15" customHeight="1">
      <c r="A390" s="11">
        <v>1501</v>
      </c>
      <c r="B390" s="11">
        <v>4496</v>
      </c>
      <c r="C390" s="12" t="str">
        <f t="shared" si="16"/>
        <v>15014496</v>
      </c>
      <c r="D390" s="11" t="s">
        <v>322</v>
      </c>
      <c r="E390" s="11" t="s">
        <v>470</v>
      </c>
      <c r="F390" s="11" t="s">
        <v>693</v>
      </c>
      <c r="G390" s="11">
        <v>0</v>
      </c>
      <c r="T390" s="11">
        <v>1501</v>
      </c>
      <c r="U390" s="11">
        <v>4496</v>
      </c>
      <c r="AW390" t="str">
        <f>IF(Tabela4[[#This Row],[JUSTIFICATIVA]]="","",CONCATENATE("B",Tabela4[[#This Row],[BLOCO]],Tabela4[[#This Row],[UO_COD]]))</f>
        <v/>
      </c>
      <c r="AX390">
        <f>Tabela4[[#This Row],[JUSTIFICATIVA]]</f>
        <v>0</v>
      </c>
    </row>
    <row r="391" spans="1:50" ht="15" customHeight="1">
      <c r="A391" s="11">
        <v>1511</v>
      </c>
      <c r="B391" s="11">
        <v>1003</v>
      </c>
      <c r="C391" s="12" t="str">
        <f t="shared" si="16"/>
        <v>15111003</v>
      </c>
      <c r="D391" s="11" t="s">
        <v>66</v>
      </c>
      <c r="E391" s="11" t="s">
        <v>603</v>
      </c>
      <c r="F391" s="11" t="s">
        <v>478</v>
      </c>
      <c r="G391" s="11">
        <v>1</v>
      </c>
      <c r="T391" s="11">
        <v>1511</v>
      </c>
      <c r="U391" s="11">
        <v>1003</v>
      </c>
      <c r="AW391" t="str">
        <f>IF(Tabela4[[#This Row],[JUSTIFICATIVA]]="","",CONCATENATE("B",Tabela4[[#This Row],[BLOCO]],Tabela4[[#This Row],[UO_COD]]))</f>
        <v/>
      </c>
      <c r="AX391">
        <f>Tabela4[[#This Row],[JUSTIFICATIVA]]</f>
        <v>0</v>
      </c>
    </row>
    <row r="392" spans="1:50" ht="15" customHeight="1">
      <c r="A392" s="11">
        <v>1511</v>
      </c>
      <c r="B392" s="11">
        <v>1004</v>
      </c>
      <c r="C392" s="12" t="str">
        <f t="shared" si="16"/>
        <v>15111004</v>
      </c>
      <c r="D392" s="11" t="s">
        <v>66</v>
      </c>
      <c r="E392" s="11" t="s">
        <v>512</v>
      </c>
      <c r="F392" s="11" t="s">
        <v>694</v>
      </c>
      <c r="G392" s="11">
        <v>0</v>
      </c>
      <c r="T392" s="11">
        <v>1511</v>
      </c>
      <c r="U392" s="11">
        <v>1004</v>
      </c>
      <c r="AW392" t="str">
        <f>IF(Tabela4[[#This Row],[JUSTIFICATIVA]]="","",CONCATENATE("B",Tabela4[[#This Row],[BLOCO]],Tabela4[[#This Row],[UO_COD]]))</f>
        <v/>
      </c>
      <c r="AX392">
        <f>Tabela4[[#This Row],[JUSTIFICATIVA]]</f>
        <v>0</v>
      </c>
    </row>
    <row r="393" spans="1:50" ht="15" customHeight="1">
      <c r="A393" s="11">
        <v>1511</v>
      </c>
      <c r="B393" s="11">
        <v>1005</v>
      </c>
      <c r="C393" s="12" t="str">
        <f t="shared" si="16"/>
        <v>15111005</v>
      </c>
      <c r="D393" s="11" t="s">
        <v>66</v>
      </c>
      <c r="E393" s="11" t="s">
        <v>603</v>
      </c>
      <c r="F393" s="11" t="s">
        <v>478</v>
      </c>
      <c r="G393" s="11">
        <v>0</v>
      </c>
      <c r="T393" s="11">
        <v>1511</v>
      </c>
      <c r="U393" s="11">
        <v>1005</v>
      </c>
      <c r="AW393" t="str">
        <f>IF(Tabela4[[#This Row],[JUSTIFICATIVA]]="","",CONCATENATE("B",Tabela4[[#This Row],[BLOCO]],Tabela4[[#This Row],[UO_COD]]))</f>
        <v/>
      </c>
      <c r="AX393">
        <f>Tabela4[[#This Row],[JUSTIFICATIVA]]</f>
        <v>0</v>
      </c>
    </row>
    <row r="394" spans="1:50" ht="15" customHeight="1">
      <c r="A394" s="11">
        <v>1511</v>
      </c>
      <c r="B394" s="11">
        <v>1006</v>
      </c>
      <c r="C394" s="12" t="str">
        <f t="shared" si="16"/>
        <v>15111006</v>
      </c>
      <c r="D394" s="11" t="s">
        <v>66</v>
      </c>
      <c r="E394" s="11" t="s">
        <v>603</v>
      </c>
      <c r="F394" s="11" t="s">
        <v>478</v>
      </c>
      <c r="G394" s="11">
        <v>0</v>
      </c>
      <c r="T394" s="11">
        <v>1511</v>
      </c>
      <c r="U394" s="11">
        <v>1006</v>
      </c>
      <c r="AW394" t="str">
        <f>IF(Tabela4[[#This Row],[JUSTIFICATIVA]]="","",CONCATENATE("B",Tabela4[[#This Row],[BLOCO]],Tabela4[[#This Row],[UO_COD]]))</f>
        <v/>
      </c>
      <c r="AX394">
        <f>Tabela4[[#This Row],[JUSTIFICATIVA]]</f>
        <v>0</v>
      </c>
    </row>
    <row r="395" spans="1:50" ht="15" customHeight="1">
      <c r="A395" s="11">
        <v>1511</v>
      </c>
      <c r="B395" s="11">
        <v>1007</v>
      </c>
      <c r="C395" s="12" t="str">
        <f t="shared" si="16"/>
        <v>15111007</v>
      </c>
      <c r="D395" s="11" t="s">
        <v>66</v>
      </c>
      <c r="E395" s="11" t="s">
        <v>603</v>
      </c>
      <c r="F395" s="11" t="s">
        <v>478</v>
      </c>
      <c r="G395" s="11">
        <v>1</v>
      </c>
      <c r="T395" s="11">
        <v>1511</v>
      </c>
      <c r="U395" s="11">
        <v>1007</v>
      </c>
      <c r="AW395" t="str">
        <f>IF(Tabela4[[#This Row],[JUSTIFICATIVA]]="","",CONCATENATE("B",Tabela4[[#This Row],[BLOCO]],Tabela4[[#This Row],[UO_COD]]))</f>
        <v/>
      </c>
      <c r="AX395">
        <f>Tabela4[[#This Row],[JUSTIFICATIVA]]</f>
        <v>0</v>
      </c>
    </row>
    <row r="396" spans="1:50" ht="15" customHeight="1">
      <c r="A396" s="11">
        <v>1511</v>
      </c>
      <c r="B396" s="11">
        <v>1051</v>
      </c>
      <c r="C396" s="12" t="str">
        <f t="shared" si="16"/>
        <v>15111051</v>
      </c>
      <c r="D396" s="11" t="s">
        <v>66</v>
      </c>
      <c r="E396" s="11" t="s">
        <v>603</v>
      </c>
      <c r="F396" s="11" t="s">
        <v>478</v>
      </c>
      <c r="G396" s="11">
        <v>0</v>
      </c>
      <c r="T396" s="11">
        <v>1511</v>
      </c>
      <c r="U396" s="11">
        <v>1051</v>
      </c>
      <c r="AW396" t="str">
        <f>IF(Tabela4[[#This Row],[JUSTIFICATIVA]]="","",CONCATENATE("B",Tabela4[[#This Row],[BLOCO]],Tabela4[[#This Row],[UO_COD]]))</f>
        <v/>
      </c>
      <c r="AX396">
        <f>Tabela4[[#This Row],[JUSTIFICATIVA]]</f>
        <v>0</v>
      </c>
    </row>
    <row r="397" spans="1:50" ht="15" customHeight="1">
      <c r="A397" s="11">
        <v>1511</v>
      </c>
      <c r="B397" s="11">
        <v>1052</v>
      </c>
      <c r="C397" s="12" t="str">
        <f t="shared" si="16"/>
        <v>15111052</v>
      </c>
      <c r="D397" s="11" t="s">
        <v>66</v>
      </c>
      <c r="E397" s="11" t="s">
        <v>603</v>
      </c>
      <c r="F397" s="11" t="s">
        <v>478</v>
      </c>
      <c r="G397" s="11">
        <v>0</v>
      </c>
      <c r="T397" s="11">
        <v>1511</v>
      </c>
      <c r="U397" s="11">
        <v>1052</v>
      </c>
      <c r="AW397" t="str">
        <f>IF(Tabela4[[#This Row],[JUSTIFICATIVA]]="","",CONCATENATE("B",Tabela4[[#This Row],[BLOCO]],Tabela4[[#This Row],[UO_COD]]))</f>
        <v/>
      </c>
      <c r="AX397">
        <f>Tabela4[[#This Row],[JUSTIFICATIVA]]</f>
        <v>0</v>
      </c>
    </row>
    <row r="398" spans="1:50" ht="15" customHeight="1">
      <c r="A398" s="11">
        <v>1511</v>
      </c>
      <c r="B398" s="11">
        <v>2008</v>
      </c>
      <c r="C398" s="12" t="str">
        <f t="shared" si="16"/>
        <v>15112008</v>
      </c>
      <c r="D398" s="11" t="s">
        <v>609</v>
      </c>
      <c r="E398" s="11" t="s">
        <v>610</v>
      </c>
      <c r="F398" s="11" t="s">
        <v>695</v>
      </c>
      <c r="G398" s="11">
        <v>0</v>
      </c>
      <c r="T398" s="11">
        <v>1511</v>
      </c>
      <c r="U398" s="11">
        <v>2008</v>
      </c>
      <c r="AW398" t="str">
        <f>IF(Tabela4[[#This Row],[JUSTIFICATIVA]]="","",CONCATENATE("B",Tabela4[[#This Row],[BLOCO]],Tabela4[[#This Row],[UO_COD]]))</f>
        <v/>
      </c>
      <c r="AX398">
        <f>Tabela4[[#This Row],[JUSTIFICATIVA]]</f>
        <v>0</v>
      </c>
    </row>
    <row r="399" spans="1:50" ht="15" customHeight="1">
      <c r="A399" s="11">
        <v>1511</v>
      </c>
      <c r="B399" s="11">
        <v>2011</v>
      </c>
      <c r="C399" s="12" t="str">
        <f t="shared" si="16"/>
        <v>15112011</v>
      </c>
      <c r="D399" s="11" t="s">
        <v>605</v>
      </c>
      <c r="E399" s="11" t="s">
        <v>612</v>
      </c>
      <c r="F399" s="11" t="s">
        <v>695</v>
      </c>
      <c r="G399" s="11">
        <v>0</v>
      </c>
      <c r="T399" s="11">
        <v>1511</v>
      </c>
      <c r="U399" s="11">
        <v>2011</v>
      </c>
      <c r="AW399" t="str">
        <f>IF(Tabela4[[#This Row],[JUSTIFICATIVA]]="","",CONCATENATE("B",Tabela4[[#This Row],[BLOCO]],Tabela4[[#This Row],[UO_COD]]))</f>
        <v/>
      </c>
      <c r="AX399">
        <f>Tabela4[[#This Row],[JUSTIFICATIVA]]</f>
        <v>0</v>
      </c>
    </row>
    <row r="400" spans="1:50" ht="15" customHeight="1">
      <c r="A400" s="11">
        <v>1511</v>
      </c>
      <c r="B400" s="11">
        <v>2417</v>
      </c>
      <c r="C400" s="12" t="str">
        <f t="shared" si="16"/>
        <v>15112417</v>
      </c>
      <c r="D400" s="11" t="s">
        <v>66</v>
      </c>
      <c r="E400" s="11" t="s">
        <v>470</v>
      </c>
      <c r="F400" s="11" t="s">
        <v>461</v>
      </c>
      <c r="G400" s="11">
        <v>0</v>
      </c>
      <c r="T400" s="11">
        <v>1511</v>
      </c>
      <c r="U400" s="11">
        <v>2417</v>
      </c>
      <c r="AW400" t="str">
        <f>IF(Tabela4[[#This Row],[JUSTIFICATIVA]]="","",CONCATENATE("B",Tabela4[[#This Row],[BLOCO]],Tabela4[[#This Row],[UO_COD]]))</f>
        <v/>
      </c>
      <c r="AX400">
        <f>Tabela4[[#This Row],[JUSTIFICATIVA]]</f>
        <v>0</v>
      </c>
    </row>
    <row r="401" spans="1:50" ht="15" customHeight="1">
      <c r="A401" s="11">
        <v>1511</v>
      </c>
      <c r="B401" s="11">
        <v>2500</v>
      </c>
      <c r="C401" s="12" t="str">
        <f t="shared" si="16"/>
        <v>15112500</v>
      </c>
      <c r="D401" s="11" t="s">
        <v>66</v>
      </c>
      <c r="E401" s="11" t="s">
        <v>470</v>
      </c>
      <c r="F401" s="11" t="s">
        <v>461</v>
      </c>
      <c r="G401" s="11">
        <v>0</v>
      </c>
      <c r="T401" s="11">
        <v>1511</v>
      </c>
      <c r="U401" s="11">
        <v>2500</v>
      </c>
      <c r="AW401" t="str">
        <f>IF(Tabela4[[#This Row],[JUSTIFICATIVA]]="","",CONCATENATE("B",Tabela4[[#This Row],[BLOCO]],Tabela4[[#This Row],[UO_COD]]))</f>
        <v/>
      </c>
      <c r="AX401">
        <f>Tabela4[[#This Row],[JUSTIFICATIVA]]</f>
        <v>0</v>
      </c>
    </row>
    <row r="402" spans="1:50" ht="15" customHeight="1">
      <c r="A402" s="11">
        <v>1511</v>
      </c>
      <c r="B402" s="11">
        <v>4060</v>
      </c>
      <c r="C402" s="12" t="str">
        <f t="shared" si="16"/>
        <v>15114060</v>
      </c>
      <c r="D402" s="11" t="s">
        <v>66</v>
      </c>
      <c r="E402" s="11" t="s">
        <v>603</v>
      </c>
      <c r="F402" s="11" t="s">
        <v>478</v>
      </c>
      <c r="G402" s="11">
        <v>0</v>
      </c>
      <c r="T402" s="11">
        <v>1511</v>
      </c>
      <c r="U402" s="11">
        <v>4060</v>
      </c>
      <c r="AW402" t="str">
        <f>IF(Tabela4[[#This Row],[JUSTIFICATIVA]]="","",CONCATENATE("B",Tabela4[[#This Row],[BLOCO]],Tabela4[[#This Row],[UO_COD]]))</f>
        <v/>
      </c>
      <c r="AX402">
        <f>Tabela4[[#This Row],[JUSTIFICATIVA]]</f>
        <v>0</v>
      </c>
    </row>
    <row r="403" spans="1:50" ht="15" customHeight="1">
      <c r="A403" s="11">
        <v>1511</v>
      </c>
      <c r="B403" s="11">
        <v>4061</v>
      </c>
      <c r="C403" s="12" t="str">
        <f t="shared" si="16"/>
        <v>15114061</v>
      </c>
      <c r="D403" s="11" t="s">
        <v>66</v>
      </c>
      <c r="E403" s="11" t="s">
        <v>603</v>
      </c>
      <c r="F403" s="11" t="s">
        <v>478</v>
      </c>
      <c r="G403" s="11">
        <v>0</v>
      </c>
      <c r="T403" s="11">
        <v>1511</v>
      </c>
      <c r="U403" s="11">
        <v>4061</v>
      </c>
      <c r="AW403" t="str">
        <f>IF(Tabela4[[#This Row],[JUSTIFICATIVA]]="","",CONCATENATE("B",Tabela4[[#This Row],[BLOCO]],Tabela4[[#This Row],[UO_COD]]))</f>
        <v/>
      </c>
      <c r="AX403">
        <f>Tabela4[[#This Row],[JUSTIFICATIVA]]</f>
        <v>0</v>
      </c>
    </row>
    <row r="404" spans="1:50" ht="15" customHeight="1">
      <c r="A404" s="11">
        <v>1511</v>
      </c>
      <c r="B404" s="11">
        <v>4062</v>
      </c>
      <c r="C404" s="12" t="str">
        <f t="shared" si="16"/>
        <v>15114062</v>
      </c>
      <c r="D404" s="11" t="s">
        <v>66</v>
      </c>
      <c r="E404" s="11" t="s">
        <v>603</v>
      </c>
      <c r="F404" s="11" t="s">
        <v>478</v>
      </c>
      <c r="G404" s="11">
        <v>0</v>
      </c>
      <c r="T404" s="11">
        <v>1511</v>
      </c>
      <c r="U404" s="11">
        <v>4062</v>
      </c>
      <c r="AW404" t="str">
        <f>IF(Tabela4[[#This Row],[JUSTIFICATIVA]]="","",CONCATENATE("B",Tabela4[[#This Row],[BLOCO]],Tabela4[[#This Row],[UO_COD]]))</f>
        <v/>
      </c>
      <c r="AX404">
        <f>Tabela4[[#This Row],[JUSTIFICATIVA]]</f>
        <v>0</v>
      </c>
    </row>
    <row r="405" spans="1:50" ht="15" customHeight="1">
      <c r="A405" s="11">
        <v>1511</v>
      </c>
      <c r="B405" s="11">
        <v>4063</v>
      </c>
      <c r="C405" s="12" t="str">
        <f t="shared" si="16"/>
        <v>15114063</v>
      </c>
      <c r="D405" s="11" t="s">
        <v>66</v>
      </c>
      <c r="E405" s="11" t="s">
        <v>603</v>
      </c>
      <c r="F405" s="11" t="s">
        <v>478</v>
      </c>
      <c r="G405" s="11">
        <v>0</v>
      </c>
      <c r="T405" s="11">
        <v>1511</v>
      </c>
      <c r="U405" s="11">
        <v>4063</v>
      </c>
      <c r="AW405" t="str">
        <f>IF(Tabela4[[#This Row],[JUSTIFICATIVA]]="","",CONCATENATE("B",Tabela4[[#This Row],[BLOCO]],Tabela4[[#This Row],[UO_COD]]))</f>
        <v/>
      </c>
      <c r="AX405">
        <f>Tabela4[[#This Row],[JUSTIFICATIVA]]</f>
        <v>0</v>
      </c>
    </row>
    <row r="406" spans="1:50" ht="15" customHeight="1">
      <c r="A406" s="11">
        <v>1511</v>
      </c>
      <c r="B406" s="11">
        <v>4065</v>
      </c>
      <c r="C406" s="12" t="str">
        <f t="shared" si="16"/>
        <v>15114065</v>
      </c>
      <c r="D406" s="11" t="s">
        <v>66</v>
      </c>
      <c r="E406" s="11" t="s">
        <v>542</v>
      </c>
      <c r="F406" s="11" t="s">
        <v>694</v>
      </c>
      <c r="G406" s="11">
        <v>0</v>
      </c>
      <c r="T406" s="11">
        <v>1511</v>
      </c>
      <c r="U406" s="11">
        <v>4065</v>
      </c>
      <c r="AW406" t="str">
        <f>IF(Tabela4[[#This Row],[JUSTIFICATIVA]]="","",CONCATENATE("B",Tabela4[[#This Row],[BLOCO]],Tabela4[[#This Row],[UO_COD]]))</f>
        <v/>
      </c>
      <c r="AX406">
        <f>Tabela4[[#This Row],[JUSTIFICATIVA]]</f>
        <v>0</v>
      </c>
    </row>
    <row r="407" spans="1:50" ht="15" customHeight="1">
      <c r="A407" s="11">
        <v>1511</v>
      </c>
      <c r="B407" s="11">
        <v>4066</v>
      </c>
      <c r="C407" s="12" t="str">
        <f t="shared" si="16"/>
        <v>15114066</v>
      </c>
      <c r="D407" s="11" t="s">
        <v>66</v>
      </c>
      <c r="E407" s="11" t="s">
        <v>474</v>
      </c>
      <c r="F407" s="11" t="s">
        <v>695</v>
      </c>
      <c r="G407" s="11">
        <v>0</v>
      </c>
      <c r="T407" s="11">
        <v>1511</v>
      </c>
      <c r="U407" s="11">
        <v>4066</v>
      </c>
      <c r="AW407" t="str">
        <f>IF(Tabela4[[#This Row],[JUSTIFICATIVA]]="","",CONCATENATE("B",Tabela4[[#This Row],[BLOCO]],Tabela4[[#This Row],[UO_COD]]))</f>
        <v/>
      </c>
      <c r="AX407">
        <f>Tabela4[[#This Row],[JUSTIFICATIVA]]</f>
        <v>0</v>
      </c>
    </row>
    <row r="408" spans="1:50" ht="15" customHeight="1">
      <c r="A408" s="11">
        <v>1511</v>
      </c>
      <c r="B408" s="11">
        <v>4067</v>
      </c>
      <c r="C408" s="12" t="str">
        <f t="shared" si="16"/>
        <v>15114067</v>
      </c>
      <c r="D408" s="11" t="s">
        <v>66</v>
      </c>
      <c r="E408" s="11" t="s">
        <v>603</v>
      </c>
      <c r="F408" s="11" t="s">
        <v>478</v>
      </c>
      <c r="G408" s="11">
        <v>1</v>
      </c>
      <c r="T408" s="11">
        <v>1511</v>
      </c>
      <c r="U408" s="11">
        <v>4067</v>
      </c>
      <c r="AW408" t="str">
        <f>IF(Tabela4[[#This Row],[JUSTIFICATIVA]]="","",CONCATENATE("B",Tabela4[[#This Row],[BLOCO]],Tabela4[[#This Row],[UO_COD]]))</f>
        <v/>
      </c>
      <c r="AX408">
        <f>Tabela4[[#This Row],[JUSTIFICATIVA]]</f>
        <v>0</v>
      </c>
    </row>
    <row r="409" spans="1:50" ht="15" customHeight="1">
      <c r="A409" s="11">
        <v>1511</v>
      </c>
      <c r="B409" s="11">
        <v>7010</v>
      </c>
      <c r="C409" s="12" t="str">
        <f t="shared" si="16"/>
        <v>15117010</v>
      </c>
      <c r="D409" s="11" t="s">
        <v>66</v>
      </c>
      <c r="E409" s="11" t="s">
        <v>470</v>
      </c>
      <c r="F409" s="11" t="s">
        <v>461</v>
      </c>
      <c r="G409" s="11">
        <v>0</v>
      </c>
      <c r="T409" s="11">
        <v>1511</v>
      </c>
      <c r="U409" s="11">
        <v>7010</v>
      </c>
      <c r="AW409" t="str">
        <f>IF(Tabela4[[#This Row],[JUSTIFICATIVA]]="","",CONCATENATE("B",Tabela4[[#This Row],[BLOCO]],Tabela4[[#This Row],[UO_COD]]))</f>
        <v/>
      </c>
      <c r="AX409">
        <f>Tabela4[[#This Row],[JUSTIFICATIVA]]</f>
        <v>0</v>
      </c>
    </row>
    <row r="410" spans="1:50" ht="15" customHeight="1">
      <c r="A410" s="11">
        <v>1521</v>
      </c>
      <c r="B410" s="11">
        <v>2417</v>
      </c>
      <c r="C410" s="12" t="str">
        <f t="shared" si="16"/>
        <v>15212417</v>
      </c>
      <c r="D410" s="11" t="s">
        <v>322</v>
      </c>
      <c r="E410" s="11" t="s">
        <v>470</v>
      </c>
      <c r="F410" s="11" t="s">
        <v>461</v>
      </c>
      <c r="G410" s="11">
        <v>0</v>
      </c>
      <c r="T410" s="11">
        <v>1521</v>
      </c>
      <c r="U410" s="11">
        <v>2417</v>
      </c>
      <c r="AW410" t="str">
        <f>IF(Tabela4[[#This Row],[JUSTIFICATIVA]]="","",CONCATENATE("B",Tabela4[[#This Row],[BLOCO]],Tabela4[[#This Row],[UO_COD]]))</f>
        <v/>
      </c>
      <c r="AX410">
        <f>Tabela4[[#This Row],[JUSTIFICATIVA]]</f>
        <v>0</v>
      </c>
    </row>
    <row r="411" spans="1:50" ht="15" customHeight="1">
      <c r="A411" s="11">
        <v>1521</v>
      </c>
      <c r="B411" s="11">
        <v>2500</v>
      </c>
      <c r="C411" s="12" t="str">
        <f t="shared" si="16"/>
        <v>15212500</v>
      </c>
      <c r="D411" s="11" t="s">
        <v>322</v>
      </c>
      <c r="E411" s="11" t="s">
        <v>470</v>
      </c>
      <c r="F411" s="11" t="s">
        <v>461</v>
      </c>
      <c r="G411" s="11">
        <v>0</v>
      </c>
      <c r="T411" s="11">
        <v>1521</v>
      </c>
      <c r="U411" s="11">
        <v>2500</v>
      </c>
      <c r="AW411" t="str">
        <f>IF(Tabela4[[#This Row],[JUSTIFICATIVA]]="","",CONCATENATE("B",Tabela4[[#This Row],[BLOCO]],Tabela4[[#This Row],[UO_COD]]))</f>
        <v/>
      </c>
      <c r="AX411">
        <f>Tabela4[[#This Row],[JUSTIFICATIVA]]</f>
        <v>0</v>
      </c>
    </row>
    <row r="412" spans="1:50" ht="15" customHeight="1">
      <c r="A412" s="11">
        <v>1521</v>
      </c>
      <c r="B412" s="11">
        <v>4303</v>
      </c>
      <c r="C412" s="12" t="str">
        <f t="shared" si="16"/>
        <v>15214303</v>
      </c>
      <c r="D412" s="11" t="s">
        <v>322</v>
      </c>
      <c r="E412" s="11" t="s">
        <v>544</v>
      </c>
      <c r="F412" s="11" t="s">
        <v>696</v>
      </c>
      <c r="G412" s="11">
        <v>0</v>
      </c>
      <c r="T412" s="11">
        <v>1521</v>
      </c>
      <c r="U412" s="11">
        <v>4303</v>
      </c>
      <c r="AW412" t="str">
        <f>IF(Tabela4[[#This Row],[JUSTIFICATIVA]]="","",CONCATENATE("B",Tabela4[[#This Row],[BLOCO]],Tabela4[[#This Row],[UO_COD]]))</f>
        <v/>
      </c>
      <c r="AX412">
        <f>Tabela4[[#This Row],[JUSTIFICATIVA]]</f>
        <v>0</v>
      </c>
    </row>
    <row r="413" spans="1:50" ht="15" customHeight="1">
      <c r="A413" s="11">
        <v>1521</v>
      </c>
      <c r="B413" s="11">
        <v>4304</v>
      </c>
      <c r="C413" s="12" t="str">
        <f t="shared" si="16"/>
        <v>15214304</v>
      </c>
      <c r="D413" s="11" t="s">
        <v>322</v>
      </c>
      <c r="E413" s="11" t="s">
        <v>544</v>
      </c>
      <c r="F413" s="11" t="s">
        <v>697</v>
      </c>
      <c r="G413" s="11">
        <v>0</v>
      </c>
      <c r="T413" s="11">
        <v>1521</v>
      </c>
      <c r="U413" s="11">
        <v>4304</v>
      </c>
      <c r="AW413" t="str">
        <f>IF(Tabela4[[#This Row],[JUSTIFICATIVA]]="","",CONCATENATE("B",Tabela4[[#This Row],[BLOCO]],Tabela4[[#This Row],[UO_COD]]))</f>
        <v/>
      </c>
      <c r="AX413">
        <f>Tabela4[[#This Row],[JUSTIFICATIVA]]</f>
        <v>0</v>
      </c>
    </row>
    <row r="414" spans="1:50" ht="15" customHeight="1">
      <c r="A414" s="11">
        <v>1521</v>
      </c>
      <c r="B414" s="11">
        <v>4305</v>
      </c>
      <c r="C414" s="12" t="str">
        <f t="shared" si="16"/>
        <v>15214305</v>
      </c>
      <c r="D414" s="11" t="s">
        <v>322</v>
      </c>
      <c r="E414" s="11" t="s">
        <v>544</v>
      </c>
      <c r="F414" s="11" t="s">
        <v>697</v>
      </c>
      <c r="G414" s="11">
        <v>0</v>
      </c>
      <c r="T414" s="11">
        <v>1521</v>
      </c>
      <c r="U414" s="11">
        <v>4305</v>
      </c>
      <c r="AW414" t="str">
        <f>IF(Tabela4[[#This Row],[JUSTIFICATIVA]]="","",CONCATENATE("B",Tabela4[[#This Row],[BLOCO]],Tabela4[[#This Row],[UO_COD]]))</f>
        <v/>
      </c>
      <c r="AX414">
        <f>Tabela4[[#This Row],[JUSTIFICATIVA]]</f>
        <v>0</v>
      </c>
    </row>
    <row r="415" spans="1:50" ht="15" customHeight="1">
      <c r="A415" s="11">
        <v>1521</v>
      </c>
      <c r="B415" s="11">
        <v>4306</v>
      </c>
      <c r="C415" s="12" t="str">
        <f t="shared" si="16"/>
        <v>15214306</v>
      </c>
      <c r="D415" s="11" t="s">
        <v>540</v>
      </c>
      <c r="E415" s="11" t="s">
        <v>542</v>
      </c>
      <c r="F415" s="11" t="s">
        <v>697</v>
      </c>
      <c r="G415" s="11">
        <v>0</v>
      </c>
      <c r="T415" s="11">
        <v>1521</v>
      </c>
      <c r="U415" s="11">
        <v>4306</v>
      </c>
      <c r="AW415" t="str">
        <f>IF(Tabela4[[#This Row],[JUSTIFICATIVA]]="","",CONCATENATE("B",Tabela4[[#This Row],[BLOCO]],Tabela4[[#This Row],[UO_COD]]))</f>
        <v/>
      </c>
      <c r="AX415">
        <f>Tabela4[[#This Row],[JUSTIFICATIVA]]</f>
        <v>0</v>
      </c>
    </row>
    <row r="416" spans="1:50" ht="15" customHeight="1">
      <c r="A416" s="11">
        <v>1521</v>
      </c>
      <c r="B416" s="11">
        <v>4307</v>
      </c>
      <c r="C416" s="12" t="str">
        <f t="shared" si="16"/>
        <v>15214307</v>
      </c>
      <c r="D416" s="11" t="s">
        <v>322</v>
      </c>
      <c r="E416" s="11" t="s">
        <v>544</v>
      </c>
      <c r="F416" s="11" t="s">
        <v>698</v>
      </c>
      <c r="G416" s="11">
        <v>0</v>
      </c>
      <c r="T416" s="11">
        <v>1521</v>
      </c>
      <c r="U416" s="11">
        <v>4307</v>
      </c>
      <c r="AW416" t="str">
        <f>IF(Tabela4[[#This Row],[JUSTIFICATIVA]]="","",CONCATENATE("B",Tabela4[[#This Row],[BLOCO]],Tabela4[[#This Row],[UO_COD]]))</f>
        <v/>
      </c>
      <c r="AX416">
        <f>Tabela4[[#This Row],[JUSTIFICATIVA]]</f>
        <v>0</v>
      </c>
    </row>
    <row r="417" spans="1:50" ht="15" customHeight="1">
      <c r="A417" s="11">
        <v>1521</v>
      </c>
      <c r="B417" s="11">
        <v>4309</v>
      </c>
      <c r="C417" s="12" t="str">
        <f t="shared" si="16"/>
        <v>15214309</v>
      </c>
      <c r="D417" s="11" t="s">
        <v>322</v>
      </c>
      <c r="E417" s="11" t="s">
        <v>544</v>
      </c>
      <c r="F417" s="11" t="s">
        <v>698</v>
      </c>
      <c r="G417" s="11">
        <v>0</v>
      </c>
      <c r="T417" s="11">
        <v>1521</v>
      </c>
      <c r="U417" s="11">
        <v>4309</v>
      </c>
      <c r="AW417" t="str">
        <f>IF(Tabela4[[#This Row],[JUSTIFICATIVA]]="","",CONCATENATE("B",Tabela4[[#This Row],[BLOCO]],Tabela4[[#This Row],[UO_COD]]))</f>
        <v/>
      </c>
      <c r="AX417">
        <f>Tabela4[[#This Row],[JUSTIFICATIVA]]</f>
        <v>0</v>
      </c>
    </row>
    <row r="418" spans="1:50" ht="15" customHeight="1">
      <c r="A418" s="11">
        <v>1521</v>
      </c>
      <c r="B418" s="11">
        <v>4310</v>
      </c>
      <c r="C418" s="12" t="str">
        <f t="shared" si="16"/>
        <v>15214310</v>
      </c>
      <c r="D418" s="11" t="s">
        <v>322</v>
      </c>
      <c r="E418" s="11" t="s">
        <v>544</v>
      </c>
      <c r="F418" s="11" t="s">
        <v>696</v>
      </c>
      <c r="G418" s="11">
        <v>0</v>
      </c>
      <c r="T418" s="11">
        <v>1521</v>
      </c>
      <c r="U418" s="11">
        <v>4310</v>
      </c>
      <c r="AW418" t="str">
        <f>IF(Tabela4[[#This Row],[JUSTIFICATIVA]]="","",CONCATENATE("B",Tabela4[[#This Row],[BLOCO]],Tabela4[[#This Row],[UO_COD]]))</f>
        <v/>
      </c>
      <c r="AX418">
        <f>Tabela4[[#This Row],[JUSTIFICATIVA]]</f>
        <v>0</v>
      </c>
    </row>
    <row r="419" spans="1:50" ht="15" customHeight="1">
      <c r="A419" s="11">
        <v>1521</v>
      </c>
      <c r="B419" s="11">
        <v>4311</v>
      </c>
      <c r="C419" s="12" t="str">
        <f t="shared" si="16"/>
        <v>15214311</v>
      </c>
      <c r="D419" s="11" t="s">
        <v>322</v>
      </c>
      <c r="E419" s="11" t="s">
        <v>544</v>
      </c>
      <c r="F419" s="11" t="s">
        <v>696</v>
      </c>
      <c r="G419" s="11">
        <v>0</v>
      </c>
      <c r="T419" s="11">
        <v>1521</v>
      </c>
      <c r="U419" s="11">
        <v>4311</v>
      </c>
      <c r="AW419" t="str">
        <f>IF(Tabela4[[#This Row],[JUSTIFICATIVA]]="","",CONCATENATE("B",Tabela4[[#This Row],[BLOCO]],Tabela4[[#This Row],[UO_COD]]))</f>
        <v/>
      </c>
      <c r="AX419">
        <f>Tabela4[[#This Row],[JUSTIFICATIVA]]</f>
        <v>0</v>
      </c>
    </row>
    <row r="420" spans="1:50" ht="15" customHeight="1">
      <c r="A420" s="11">
        <v>1521</v>
      </c>
      <c r="B420" s="11">
        <v>4312</v>
      </c>
      <c r="C420" s="12" t="str">
        <f t="shared" si="16"/>
        <v>15214312</v>
      </c>
      <c r="D420" s="11" t="s">
        <v>322</v>
      </c>
      <c r="E420" s="11" t="s">
        <v>544</v>
      </c>
      <c r="F420" s="11" t="s">
        <v>699</v>
      </c>
      <c r="G420" s="11">
        <v>0</v>
      </c>
      <c r="T420" s="11">
        <v>1521</v>
      </c>
      <c r="U420" s="11">
        <v>4312</v>
      </c>
      <c r="AW420" t="str">
        <f>IF(Tabela4[[#This Row],[JUSTIFICATIVA]]="","",CONCATENATE("B",Tabela4[[#This Row],[BLOCO]],Tabela4[[#This Row],[UO_COD]]))</f>
        <v/>
      </c>
      <c r="AX420">
        <f>Tabela4[[#This Row],[JUSTIFICATIVA]]</f>
        <v>0</v>
      </c>
    </row>
    <row r="421" spans="1:50" ht="15" customHeight="1">
      <c r="A421" s="11">
        <v>1521</v>
      </c>
      <c r="B421" s="11">
        <v>4313</v>
      </c>
      <c r="C421" s="12" t="str">
        <f t="shared" si="16"/>
        <v>15214313</v>
      </c>
      <c r="D421" s="11" t="s">
        <v>322</v>
      </c>
      <c r="E421" s="11" t="s">
        <v>544</v>
      </c>
      <c r="F421" s="11" t="s">
        <v>699</v>
      </c>
      <c r="G421" s="11">
        <v>0</v>
      </c>
      <c r="T421" s="11">
        <v>1521</v>
      </c>
      <c r="U421" s="11">
        <v>4313</v>
      </c>
      <c r="AW421" t="str">
        <f>IF(Tabela4[[#This Row],[JUSTIFICATIVA]]="","",CONCATENATE("B",Tabela4[[#This Row],[BLOCO]],Tabela4[[#This Row],[UO_COD]]))</f>
        <v/>
      </c>
      <c r="AX421">
        <f>Tabela4[[#This Row],[JUSTIFICATIVA]]</f>
        <v>0</v>
      </c>
    </row>
    <row r="422" spans="1:50" ht="15" customHeight="1">
      <c r="A422" s="11">
        <v>1521</v>
      </c>
      <c r="B422" s="11">
        <v>4314</v>
      </c>
      <c r="C422" s="12" t="str">
        <f t="shared" si="16"/>
        <v>15214314</v>
      </c>
      <c r="D422" s="11" t="s">
        <v>322</v>
      </c>
      <c r="E422" s="11" t="s">
        <v>549</v>
      </c>
      <c r="F422" s="11" t="s">
        <v>699</v>
      </c>
      <c r="G422" s="11">
        <v>0</v>
      </c>
      <c r="T422" s="11">
        <v>1521</v>
      </c>
      <c r="U422" s="11">
        <v>4314</v>
      </c>
      <c r="AW422" t="str">
        <f>IF(Tabela4[[#This Row],[JUSTIFICATIVA]]="","",CONCATENATE("B",Tabela4[[#This Row],[BLOCO]],Tabela4[[#This Row],[UO_COD]]))</f>
        <v/>
      </c>
      <c r="AX422">
        <f>Tabela4[[#This Row],[JUSTIFICATIVA]]</f>
        <v>0</v>
      </c>
    </row>
    <row r="423" spans="1:50" ht="15" customHeight="1">
      <c r="A423" s="11">
        <v>1541</v>
      </c>
      <c r="B423" s="11">
        <v>2417</v>
      </c>
      <c r="C423" s="12" t="str">
        <f t="shared" si="16"/>
        <v>15412417</v>
      </c>
      <c r="D423" s="11" t="s">
        <v>609</v>
      </c>
      <c r="E423" s="11" t="s">
        <v>470</v>
      </c>
      <c r="F423" s="11" t="s">
        <v>461</v>
      </c>
      <c r="G423" s="11">
        <v>0</v>
      </c>
      <c r="T423" s="11">
        <v>1541</v>
      </c>
      <c r="U423" s="11">
        <v>2417</v>
      </c>
      <c r="AW423" t="str">
        <f>IF(Tabela4[[#This Row],[JUSTIFICATIVA]]="","",CONCATENATE("B",Tabela4[[#This Row],[BLOCO]],Tabela4[[#This Row],[UO_COD]]))</f>
        <v/>
      </c>
      <c r="AX423">
        <f>Tabela4[[#This Row],[JUSTIFICATIVA]]</f>
        <v>0</v>
      </c>
    </row>
    <row r="424" spans="1:50" ht="15" customHeight="1">
      <c r="A424" s="11">
        <v>1541</v>
      </c>
      <c r="B424" s="11">
        <v>2500</v>
      </c>
      <c r="C424" s="12" t="str">
        <f t="shared" si="16"/>
        <v>15412500</v>
      </c>
      <c r="D424" s="11" t="s">
        <v>609</v>
      </c>
      <c r="E424" s="11" t="s">
        <v>470</v>
      </c>
      <c r="F424" s="11" t="s">
        <v>461</v>
      </c>
      <c r="G424" s="11">
        <v>0</v>
      </c>
      <c r="T424" s="11">
        <v>1541</v>
      </c>
      <c r="U424" s="11">
        <v>2500</v>
      </c>
      <c r="AW424" t="str">
        <f>IF(Tabela4[[#This Row],[JUSTIFICATIVA]]="","",CONCATENATE("B",Tabela4[[#This Row],[BLOCO]],Tabela4[[#This Row],[UO_COD]]))</f>
        <v/>
      </c>
      <c r="AX424">
        <f>Tabela4[[#This Row],[JUSTIFICATIVA]]</f>
        <v>0</v>
      </c>
    </row>
    <row r="425" spans="1:50" ht="15" customHeight="1">
      <c r="A425" s="11">
        <v>1541</v>
      </c>
      <c r="B425" s="11">
        <v>4049</v>
      </c>
      <c r="C425" s="12" t="str">
        <f t="shared" si="16"/>
        <v>15414049</v>
      </c>
      <c r="D425" s="11" t="s">
        <v>609</v>
      </c>
      <c r="E425" s="11" t="s">
        <v>474</v>
      </c>
      <c r="F425" s="11" t="s">
        <v>700</v>
      </c>
      <c r="G425" s="11">
        <v>0</v>
      </c>
      <c r="T425" s="11">
        <v>1541</v>
      </c>
      <c r="U425" s="11">
        <v>4049</v>
      </c>
      <c r="AW425" t="str">
        <f>IF(Tabela4[[#This Row],[JUSTIFICATIVA]]="","",CONCATENATE("B",Tabela4[[#This Row],[BLOCO]],Tabela4[[#This Row],[UO_COD]]))</f>
        <v/>
      </c>
      <c r="AX425">
        <f>Tabela4[[#This Row],[JUSTIFICATIVA]]</f>
        <v>0</v>
      </c>
    </row>
    <row r="426" spans="1:50" ht="15" customHeight="1">
      <c r="A426" s="11">
        <v>1541</v>
      </c>
      <c r="B426" s="11">
        <v>4050</v>
      </c>
      <c r="C426" s="12" t="str">
        <f t="shared" si="16"/>
        <v>15414050</v>
      </c>
      <c r="D426" s="11" t="s">
        <v>609</v>
      </c>
      <c r="E426" s="11" t="s">
        <v>474</v>
      </c>
      <c r="F426" s="11" t="s">
        <v>700</v>
      </c>
      <c r="G426" s="11">
        <v>0</v>
      </c>
      <c r="T426" s="11">
        <v>1541</v>
      </c>
      <c r="U426" s="11">
        <v>4050</v>
      </c>
      <c r="AW426" t="str">
        <f>IF(Tabela4[[#This Row],[JUSTIFICATIVA]]="","",CONCATENATE("B",Tabela4[[#This Row],[BLOCO]],Tabela4[[#This Row],[UO_COD]]))</f>
        <v/>
      </c>
      <c r="AX426">
        <f>Tabela4[[#This Row],[JUSTIFICATIVA]]</f>
        <v>0</v>
      </c>
    </row>
    <row r="427" spans="1:50" ht="15" customHeight="1">
      <c r="A427" s="11">
        <v>1631</v>
      </c>
      <c r="B427" s="11">
        <v>2417</v>
      </c>
      <c r="C427" s="12" t="str">
        <f t="shared" si="16"/>
        <v>16312417</v>
      </c>
      <c r="D427" s="11" t="s">
        <v>322</v>
      </c>
      <c r="E427" s="11" t="s">
        <v>470</v>
      </c>
      <c r="F427" s="11" t="s">
        <v>461</v>
      </c>
      <c r="G427" s="11">
        <v>0</v>
      </c>
      <c r="T427" s="11">
        <v>1631</v>
      </c>
      <c r="U427" s="11">
        <v>2417</v>
      </c>
      <c r="AW427" t="str">
        <f>IF(Tabela4[[#This Row],[JUSTIFICATIVA]]="","",CONCATENATE("B",Tabela4[[#This Row],[BLOCO]],Tabela4[[#This Row],[UO_COD]]))</f>
        <v/>
      </c>
      <c r="AX427">
        <f>Tabela4[[#This Row],[JUSTIFICATIVA]]</f>
        <v>0</v>
      </c>
    </row>
    <row r="428" spans="1:50" ht="15" customHeight="1">
      <c r="A428" s="11">
        <v>1631</v>
      </c>
      <c r="B428" s="11">
        <v>2500</v>
      </c>
      <c r="C428" s="12" t="str">
        <f t="shared" si="16"/>
        <v>16312500</v>
      </c>
      <c r="D428" s="11" t="s">
        <v>322</v>
      </c>
      <c r="E428" s="11" t="s">
        <v>470</v>
      </c>
      <c r="F428" s="11" t="s">
        <v>461</v>
      </c>
      <c r="G428" s="11">
        <v>0</v>
      </c>
      <c r="T428" s="11">
        <v>1631</v>
      </c>
      <c r="U428" s="11">
        <v>2500</v>
      </c>
      <c r="AW428" t="str">
        <f>IF(Tabela4[[#This Row],[JUSTIFICATIVA]]="","",CONCATENATE("B",Tabela4[[#This Row],[BLOCO]],Tabela4[[#This Row],[UO_COD]]))</f>
        <v/>
      </c>
      <c r="AX428">
        <f>Tabela4[[#This Row],[JUSTIFICATIVA]]</f>
        <v>0</v>
      </c>
    </row>
    <row r="429" spans="1:50" ht="15" customHeight="1">
      <c r="A429" s="11">
        <v>1631</v>
      </c>
      <c r="B429" s="11">
        <v>4007</v>
      </c>
      <c r="C429" s="12" t="str">
        <f t="shared" si="16"/>
        <v>16314007</v>
      </c>
      <c r="D429" s="11" t="s">
        <v>322</v>
      </c>
      <c r="E429" s="11" t="s">
        <v>470</v>
      </c>
      <c r="F429" s="11" t="s">
        <v>701</v>
      </c>
      <c r="G429" s="11">
        <v>0</v>
      </c>
      <c r="T429" s="11">
        <v>1631</v>
      </c>
      <c r="U429" s="11">
        <v>4007</v>
      </c>
      <c r="AW429" t="str">
        <f>IF(Tabela4[[#This Row],[JUSTIFICATIVA]]="","",CONCATENATE("B",Tabela4[[#This Row],[BLOCO]],Tabela4[[#This Row],[UO_COD]]))</f>
        <v/>
      </c>
      <c r="AX429">
        <f>Tabela4[[#This Row],[JUSTIFICATIVA]]</f>
        <v>0</v>
      </c>
    </row>
    <row r="430" spans="1:50" ht="15" customHeight="1">
      <c r="A430" s="11">
        <v>1711</v>
      </c>
      <c r="B430" s="11">
        <v>2001</v>
      </c>
      <c r="C430" s="12" t="str">
        <f t="shared" si="16"/>
        <v>17112001</v>
      </c>
      <c r="D430" s="11" t="s">
        <v>322</v>
      </c>
      <c r="E430" s="11" t="s">
        <v>547</v>
      </c>
      <c r="F430" s="11" t="s">
        <v>702</v>
      </c>
      <c r="G430" s="11">
        <v>0</v>
      </c>
      <c r="T430">
        <v>1711</v>
      </c>
      <c r="U430">
        <v>2001</v>
      </c>
      <c r="AW430" t="str">
        <f>IF(Tabela4[[#This Row],[JUSTIFICATIVA]]="","",CONCATENATE("B",Tabela4[[#This Row],[BLOCO]],Tabela4[[#This Row],[UO_COD]]))</f>
        <v/>
      </c>
      <c r="AX430">
        <f>Tabela4[[#This Row],[JUSTIFICATIVA]]</f>
        <v>0</v>
      </c>
    </row>
    <row r="431" spans="1:50" ht="15" customHeight="1">
      <c r="A431" s="11">
        <v>1711</v>
      </c>
      <c r="B431" s="11">
        <v>2002</v>
      </c>
      <c r="C431" s="12" t="str">
        <f t="shared" si="16"/>
        <v>17112002</v>
      </c>
      <c r="D431" s="11" t="s">
        <v>322</v>
      </c>
      <c r="E431" s="11" t="s">
        <v>547</v>
      </c>
      <c r="F431" s="11" t="s">
        <v>702</v>
      </c>
      <c r="G431" s="11">
        <v>0</v>
      </c>
      <c r="T431">
        <v>1711</v>
      </c>
      <c r="U431">
        <v>2002</v>
      </c>
      <c r="AW431" t="str">
        <f>IF(Tabela4[[#This Row],[JUSTIFICATIVA]]="","",CONCATENATE("B",Tabela4[[#This Row],[BLOCO]],Tabela4[[#This Row],[UO_COD]]))</f>
        <v/>
      </c>
      <c r="AX431">
        <f>Tabela4[[#This Row],[JUSTIFICATIVA]]</f>
        <v>0</v>
      </c>
    </row>
    <row r="432" spans="1:50" ht="15" customHeight="1">
      <c r="A432" s="11">
        <v>1711</v>
      </c>
      <c r="B432" s="11">
        <v>2003</v>
      </c>
      <c r="C432" s="12" t="str">
        <f t="shared" si="16"/>
        <v>17112003</v>
      </c>
      <c r="D432" s="11" t="s">
        <v>322</v>
      </c>
      <c r="E432" s="11" t="s">
        <v>547</v>
      </c>
      <c r="F432" s="11" t="s">
        <v>702</v>
      </c>
      <c r="G432" s="11">
        <v>0</v>
      </c>
      <c r="T432">
        <v>1711</v>
      </c>
      <c r="U432">
        <v>2003</v>
      </c>
      <c r="AW432" t="str">
        <f>IF(Tabela4[[#This Row],[JUSTIFICATIVA]]="","",CONCATENATE("B",Tabela4[[#This Row],[BLOCO]],Tabela4[[#This Row],[UO_COD]]))</f>
        <v/>
      </c>
      <c r="AX432">
        <f>Tabela4[[#This Row],[JUSTIFICATIVA]]</f>
        <v>0</v>
      </c>
    </row>
    <row r="433" spans="1:50" ht="15" customHeight="1">
      <c r="A433" s="11">
        <v>1711</v>
      </c>
      <c r="B433" s="11">
        <v>2417</v>
      </c>
      <c r="C433" s="12" t="str">
        <f t="shared" si="16"/>
        <v>17112417</v>
      </c>
      <c r="D433" s="11" t="s">
        <v>322</v>
      </c>
      <c r="E433" s="11" t="s">
        <v>470</v>
      </c>
      <c r="F433" s="11" t="s">
        <v>461</v>
      </c>
      <c r="G433" s="11">
        <v>0</v>
      </c>
      <c r="T433" s="11">
        <v>1711</v>
      </c>
      <c r="U433" s="11">
        <v>2417</v>
      </c>
      <c r="AW433" t="str">
        <f>IF(Tabela4[[#This Row],[JUSTIFICATIVA]]="","",CONCATENATE("B",Tabela4[[#This Row],[BLOCO]],Tabela4[[#This Row],[UO_COD]]))</f>
        <v/>
      </c>
      <c r="AX433">
        <f>Tabela4[[#This Row],[JUSTIFICATIVA]]</f>
        <v>0</v>
      </c>
    </row>
    <row r="434" spans="1:50" ht="15" customHeight="1">
      <c r="A434" s="11">
        <v>1711</v>
      </c>
      <c r="B434" s="11">
        <v>2500</v>
      </c>
      <c r="C434" s="12" t="str">
        <f t="shared" si="16"/>
        <v>17112500</v>
      </c>
      <c r="D434" s="11" t="s">
        <v>322</v>
      </c>
      <c r="E434" s="11" t="s">
        <v>470</v>
      </c>
      <c r="F434" s="11" t="s">
        <v>461</v>
      </c>
      <c r="G434" s="11">
        <v>0</v>
      </c>
      <c r="T434">
        <v>1711</v>
      </c>
      <c r="U434">
        <v>2500</v>
      </c>
      <c r="AW434" t="str">
        <f>IF(Tabela4[[#This Row],[JUSTIFICATIVA]]="","",CONCATENATE("B",Tabela4[[#This Row],[BLOCO]],Tabela4[[#This Row],[UO_COD]]))</f>
        <v/>
      </c>
      <c r="AX434">
        <f>Tabela4[[#This Row],[JUSTIFICATIVA]]</f>
        <v>0</v>
      </c>
    </row>
    <row r="435" spans="1:50" ht="15" customHeight="1">
      <c r="A435" s="11">
        <v>1721</v>
      </c>
      <c r="B435" s="11">
        <v>2062</v>
      </c>
      <c r="C435" s="12" t="str">
        <f t="shared" si="16"/>
        <v>17212062</v>
      </c>
      <c r="D435" s="11" t="s">
        <v>322</v>
      </c>
      <c r="E435" s="11" t="s">
        <v>470</v>
      </c>
      <c r="F435" s="11" t="s">
        <v>547</v>
      </c>
      <c r="G435" s="11">
        <v>0</v>
      </c>
      <c r="T435">
        <v>1721</v>
      </c>
      <c r="U435">
        <v>2062</v>
      </c>
      <c r="AW435" t="str">
        <f>IF(Tabela4[[#This Row],[JUSTIFICATIVA]]="","",CONCATENATE("B",Tabela4[[#This Row],[BLOCO]],Tabela4[[#This Row],[UO_COD]]))</f>
        <v/>
      </c>
      <c r="AX435">
        <f>Tabela4[[#This Row],[JUSTIFICATIVA]]</f>
        <v>0</v>
      </c>
    </row>
    <row r="436" spans="1:50" ht="15" customHeight="1">
      <c r="A436" s="11">
        <v>1721</v>
      </c>
      <c r="B436" s="11">
        <v>2066</v>
      </c>
      <c r="C436" s="12" t="str">
        <f t="shared" si="16"/>
        <v>17212066</v>
      </c>
      <c r="D436" s="11" t="s">
        <v>323</v>
      </c>
      <c r="E436" s="11" t="s">
        <v>703</v>
      </c>
      <c r="F436" s="11" t="s">
        <v>547</v>
      </c>
      <c r="G436" s="11">
        <v>0</v>
      </c>
      <c r="T436">
        <v>1721</v>
      </c>
      <c r="U436">
        <v>2066</v>
      </c>
      <c r="AW436" t="str">
        <f>IF(Tabela4[[#This Row],[JUSTIFICATIVA]]="","",CONCATENATE("B",Tabela4[[#This Row],[BLOCO]],Tabela4[[#This Row],[UO_COD]]))</f>
        <v/>
      </c>
      <c r="AX436">
        <f>Tabela4[[#This Row],[JUSTIFICATIVA]]</f>
        <v>0</v>
      </c>
    </row>
    <row r="437" spans="1:50" ht="15" customHeight="1">
      <c r="A437" s="11">
        <v>1721</v>
      </c>
      <c r="B437" s="11">
        <v>2070</v>
      </c>
      <c r="C437" s="12" t="str">
        <f t="shared" si="16"/>
        <v>17212070</v>
      </c>
      <c r="D437" s="11" t="s">
        <v>322</v>
      </c>
      <c r="E437" s="11" t="s">
        <v>690</v>
      </c>
      <c r="F437" s="11" t="s">
        <v>547</v>
      </c>
      <c r="G437" s="11">
        <v>0</v>
      </c>
      <c r="T437">
        <v>1721</v>
      </c>
      <c r="U437">
        <v>2070</v>
      </c>
      <c r="AW437" t="str">
        <f>IF(Tabela4[[#This Row],[JUSTIFICATIVA]]="","",CONCATENATE("B",Tabela4[[#This Row],[BLOCO]],Tabela4[[#This Row],[UO_COD]]))</f>
        <v/>
      </c>
      <c r="AX437">
        <f>Tabela4[[#This Row],[JUSTIFICATIVA]]</f>
        <v>0</v>
      </c>
    </row>
    <row r="438" spans="1:50" ht="15" customHeight="1">
      <c r="A438" s="11">
        <v>1721</v>
      </c>
      <c r="B438" s="11">
        <v>2417</v>
      </c>
      <c r="C438" s="12" t="str">
        <f t="shared" si="16"/>
        <v>17212417</v>
      </c>
      <c r="D438" s="11" t="s">
        <v>322</v>
      </c>
      <c r="E438" s="11" t="s">
        <v>470</v>
      </c>
      <c r="F438" s="11" t="s">
        <v>461</v>
      </c>
      <c r="G438" s="11">
        <v>0</v>
      </c>
      <c r="T438">
        <v>1721</v>
      </c>
      <c r="U438">
        <v>2417</v>
      </c>
      <c r="AW438" t="str">
        <f>IF(Tabela4[[#This Row],[JUSTIFICATIVA]]="","",CONCATENATE("B",Tabela4[[#This Row],[BLOCO]],Tabela4[[#This Row],[UO_COD]]))</f>
        <v/>
      </c>
      <c r="AX438">
        <f>Tabela4[[#This Row],[JUSTIFICATIVA]]</f>
        <v>0</v>
      </c>
    </row>
    <row r="439" spans="1:50" ht="15" customHeight="1">
      <c r="A439" s="11">
        <v>1721</v>
      </c>
      <c r="B439" s="11">
        <v>2500</v>
      </c>
      <c r="C439" s="12" t="str">
        <f t="shared" si="16"/>
        <v>17212500</v>
      </c>
      <c r="D439" s="11" t="s">
        <v>322</v>
      </c>
      <c r="E439" s="11" t="s">
        <v>470</v>
      </c>
      <c r="F439" s="11" t="s">
        <v>461</v>
      </c>
      <c r="G439" s="11">
        <v>0</v>
      </c>
      <c r="T439">
        <v>1721</v>
      </c>
      <c r="U439">
        <v>2500</v>
      </c>
      <c r="AW439" t="str">
        <f>IF(Tabela4[[#This Row],[JUSTIFICATIVA]]="","",CONCATENATE("B",Tabela4[[#This Row],[BLOCO]],Tabela4[[#This Row],[UO_COD]]))</f>
        <v/>
      </c>
      <c r="AX439">
        <f>Tabela4[[#This Row],[JUSTIFICATIVA]]</f>
        <v>0</v>
      </c>
    </row>
    <row r="440" spans="1:50" ht="15" customHeight="1">
      <c r="A440" s="11">
        <v>1721</v>
      </c>
      <c r="B440" s="11">
        <v>4111</v>
      </c>
      <c r="C440" s="12" t="str">
        <f t="shared" si="16"/>
        <v>17214111</v>
      </c>
      <c r="D440" s="11" t="s">
        <v>322</v>
      </c>
      <c r="E440" s="11" t="s">
        <v>470</v>
      </c>
      <c r="F440" s="11" t="s">
        <v>619</v>
      </c>
      <c r="G440" s="11">
        <v>0</v>
      </c>
      <c r="T440">
        <v>1721</v>
      </c>
      <c r="U440">
        <v>4111</v>
      </c>
      <c r="AW440" t="str">
        <f>IF(Tabela4[[#This Row],[JUSTIFICATIVA]]="","",CONCATENATE("B",Tabela4[[#This Row],[BLOCO]],Tabela4[[#This Row],[UO_COD]]))</f>
        <v/>
      </c>
      <c r="AX440">
        <f>Tabela4[[#This Row],[JUSTIFICATIVA]]</f>
        <v>0</v>
      </c>
    </row>
    <row r="441" spans="1:50" ht="15" customHeight="1">
      <c r="A441" s="11">
        <v>1911</v>
      </c>
      <c r="B441" s="11">
        <v>2049</v>
      </c>
      <c r="C441" s="12" t="str">
        <f t="shared" si="16"/>
        <v>19112049</v>
      </c>
      <c r="D441" s="11" t="s">
        <v>322</v>
      </c>
      <c r="E441" s="11" t="s">
        <v>560</v>
      </c>
      <c r="F441" s="11" t="s">
        <v>461</v>
      </c>
      <c r="G441" s="11">
        <v>0</v>
      </c>
      <c r="T441">
        <v>1911</v>
      </c>
      <c r="U441">
        <v>2049</v>
      </c>
      <c r="AW441" t="str">
        <f>IF(Tabela4[[#This Row],[JUSTIFICATIVA]]="","",CONCATENATE("B",Tabela4[[#This Row],[BLOCO]],Tabela4[[#This Row],[UO_COD]]))</f>
        <v/>
      </c>
      <c r="AX441">
        <f>Tabela4[[#This Row],[JUSTIFICATIVA]]</f>
        <v>0</v>
      </c>
    </row>
    <row r="442" spans="1:50" ht="15" customHeight="1">
      <c r="A442" s="11">
        <v>1911</v>
      </c>
      <c r="B442" s="11">
        <v>7663</v>
      </c>
      <c r="C442" s="12" t="str">
        <f t="shared" si="16"/>
        <v>19117663</v>
      </c>
      <c r="D442" s="11" t="s">
        <v>459</v>
      </c>
      <c r="E442" s="11" t="s">
        <v>460</v>
      </c>
      <c r="F442" s="11" t="s">
        <v>461</v>
      </c>
      <c r="G442" s="11">
        <v>0</v>
      </c>
      <c r="T442">
        <v>1911</v>
      </c>
      <c r="U442">
        <v>7663</v>
      </c>
      <c r="AW442" t="str">
        <f>IF(Tabela4[[#This Row],[JUSTIFICATIVA]]="","",CONCATENATE("B",Tabela4[[#This Row],[BLOCO]],Tabela4[[#This Row],[UO_COD]]))</f>
        <v/>
      </c>
      <c r="AX442">
        <f>Tabela4[[#This Row],[JUSTIFICATIVA]]</f>
        <v>0</v>
      </c>
    </row>
    <row r="443" spans="1:50" ht="15" customHeight="1">
      <c r="A443" s="11">
        <v>1915</v>
      </c>
      <c r="B443" s="11">
        <v>7054</v>
      </c>
      <c r="C443" s="12" t="str">
        <f t="shared" si="16"/>
        <v>19157054</v>
      </c>
      <c r="D443" s="11" t="s">
        <v>565</v>
      </c>
      <c r="E443" s="11" t="s">
        <v>704</v>
      </c>
      <c r="F443" s="11" t="s">
        <v>461</v>
      </c>
      <c r="G443" s="11">
        <v>0</v>
      </c>
      <c r="T443">
        <v>1915</v>
      </c>
      <c r="U443">
        <v>7054</v>
      </c>
      <c r="AW443" t="str">
        <f>IF(Tabela4[[#This Row],[JUSTIFICATIVA]]="","",CONCATENATE("B",Tabela4[[#This Row],[BLOCO]],Tabela4[[#This Row],[UO_COD]]))</f>
        <v/>
      </c>
      <c r="AX443">
        <f>Tabela4[[#This Row],[JUSTIFICATIVA]]</f>
        <v>0</v>
      </c>
    </row>
    <row r="444" spans="1:50" ht="15" customHeight="1">
      <c r="A444" s="11">
        <v>1915</v>
      </c>
      <c r="B444" s="11">
        <v>7541</v>
      </c>
      <c r="C444" s="12" t="str">
        <f t="shared" si="16"/>
        <v>19157541</v>
      </c>
      <c r="D444" s="11" t="s">
        <v>565</v>
      </c>
      <c r="E444" s="11" t="s">
        <v>704</v>
      </c>
      <c r="F444" s="11" t="s">
        <v>461</v>
      </c>
      <c r="G444" s="11">
        <v>0</v>
      </c>
      <c r="T444">
        <v>1915</v>
      </c>
      <c r="U444">
        <v>7541</v>
      </c>
      <c r="AW444" t="str">
        <f>IF(Tabela4[[#This Row],[JUSTIFICATIVA]]="","",CONCATENATE("B",Tabela4[[#This Row],[BLOCO]],Tabela4[[#This Row],[UO_COD]]))</f>
        <v/>
      </c>
      <c r="AX444">
        <f>Tabela4[[#This Row],[JUSTIFICATIVA]]</f>
        <v>0</v>
      </c>
    </row>
    <row r="445" spans="1:50" ht="15" customHeight="1">
      <c r="A445" s="11">
        <v>1915</v>
      </c>
      <c r="B445" s="11">
        <v>7700</v>
      </c>
      <c r="C445" s="12" t="str">
        <f t="shared" si="16"/>
        <v>19157700</v>
      </c>
      <c r="D445" s="11" t="s">
        <v>322</v>
      </c>
      <c r="E445" s="11" t="s">
        <v>560</v>
      </c>
      <c r="F445" s="11" t="s">
        <v>461</v>
      </c>
      <c r="G445" s="11">
        <v>0</v>
      </c>
      <c r="T445">
        <v>1915</v>
      </c>
      <c r="U445">
        <v>7700</v>
      </c>
      <c r="AW445" t="str">
        <f>IF(Tabela4[[#This Row],[JUSTIFICATIVA]]="","",CONCATENATE("B",Tabela4[[#This Row],[BLOCO]],Tabela4[[#This Row],[UO_COD]]))</f>
        <v/>
      </c>
      <c r="AX445">
        <f>Tabela4[[#This Row],[JUSTIFICATIVA]]</f>
        <v>0</v>
      </c>
    </row>
    <row r="446" spans="1:50" ht="15" customHeight="1">
      <c r="A446" s="11">
        <v>1915</v>
      </c>
      <c r="B446" s="11">
        <v>7707</v>
      </c>
      <c r="C446" s="12" t="str">
        <f t="shared" si="16"/>
        <v>19157707</v>
      </c>
      <c r="D446" s="11" t="s">
        <v>322</v>
      </c>
      <c r="E446" s="11" t="s">
        <v>470</v>
      </c>
      <c r="F446" s="11" t="s">
        <v>461</v>
      </c>
      <c r="G446" s="11">
        <v>0</v>
      </c>
      <c r="T446">
        <v>1915</v>
      </c>
      <c r="U446">
        <v>7707</v>
      </c>
      <c r="AW446" t="str">
        <f>IF(Tabela4[[#This Row],[JUSTIFICATIVA]]="","",CONCATENATE("B",Tabela4[[#This Row],[BLOCO]],Tabela4[[#This Row],[UO_COD]]))</f>
        <v/>
      </c>
      <c r="AX446">
        <f>Tabela4[[#This Row],[JUSTIFICATIVA]]</f>
        <v>0</v>
      </c>
    </row>
    <row r="447" spans="1:50" ht="15" customHeight="1">
      <c r="A447" s="11">
        <v>1915</v>
      </c>
      <c r="B447" s="11">
        <v>7723</v>
      </c>
      <c r="C447" s="12" t="str">
        <f t="shared" si="16"/>
        <v>19157723</v>
      </c>
      <c r="D447" s="11" t="s">
        <v>322</v>
      </c>
      <c r="E447" s="11" t="s">
        <v>549</v>
      </c>
      <c r="F447" s="11" t="s">
        <v>461</v>
      </c>
      <c r="G447" s="11">
        <v>0</v>
      </c>
      <c r="T447">
        <v>1915</v>
      </c>
      <c r="U447">
        <v>7723</v>
      </c>
      <c r="AW447" t="str">
        <f>IF(Tabela4[[#This Row],[JUSTIFICATIVA]]="","",CONCATENATE("B",Tabela4[[#This Row],[BLOCO]],Tabela4[[#This Row],[UO_COD]]))</f>
        <v/>
      </c>
      <c r="AX447">
        <f>Tabela4[[#This Row],[JUSTIFICATIVA]]</f>
        <v>0</v>
      </c>
    </row>
    <row r="448" spans="1:50" ht="15" customHeight="1">
      <c r="A448" s="11">
        <v>1915</v>
      </c>
      <c r="B448" s="11">
        <v>7734</v>
      </c>
      <c r="C448" s="12" t="str">
        <f t="shared" si="16"/>
        <v>19157734</v>
      </c>
      <c r="D448" s="11" t="s">
        <v>326</v>
      </c>
      <c r="E448" s="11" t="s">
        <v>705</v>
      </c>
      <c r="F448" s="11" t="s">
        <v>461</v>
      </c>
      <c r="G448" s="11">
        <v>0</v>
      </c>
      <c r="T448">
        <v>1915</v>
      </c>
      <c r="U448">
        <v>7734</v>
      </c>
      <c r="AW448" t="str">
        <f>IF(Tabela4[[#This Row],[JUSTIFICATIVA]]="","",CONCATENATE("B",Tabela4[[#This Row],[BLOCO]],Tabela4[[#This Row],[UO_COD]]))</f>
        <v/>
      </c>
      <c r="AX448">
        <f>Tabela4[[#This Row],[JUSTIFICATIVA]]</f>
        <v>0</v>
      </c>
    </row>
    <row r="449" spans="1:50" ht="15" customHeight="1">
      <c r="A449" s="11">
        <v>1915</v>
      </c>
      <c r="B449" s="11">
        <v>7737</v>
      </c>
      <c r="C449" s="12" t="str">
        <f t="shared" si="16"/>
        <v>19157737</v>
      </c>
      <c r="D449" s="11" t="s">
        <v>325</v>
      </c>
      <c r="E449" s="11" t="s">
        <v>648</v>
      </c>
      <c r="F449" s="11" t="s">
        <v>461</v>
      </c>
      <c r="G449" s="11">
        <v>0</v>
      </c>
      <c r="T449">
        <v>1915</v>
      </c>
      <c r="U449">
        <v>7737</v>
      </c>
      <c r="AW449" t="str">
        <f>IF(Tabela4[[#This Row],[JUSTIFICATIVA]]="","",CONCATENATE("B",Tabela4[[#This Row],[BLOCO]],Tabela4[[#This Row],[UO_COD]]))</f>
        <v/>
      </c>
      <c r="AX449">
        <f>Tabela4[[#This Row],[JUSTIFICATIVA]]</f>
        <v>0</v>
      </c>
    </row>
    <row r="450" spans="1:50" ht="15" customHeight="1">
      <c r="A450" s="11">
        <v>1915</v>
      </c>
      <c r="B450" s="11">
        <v>7752</v>
      </c>
      <c r="C450" s="12" t="str">
        <f t="shared" ref="C450:C513" si="17">CONCATENATE(A450,B450)</f>
        <v>19157752</v>
      </c>
      <c r="D450" s="11" t="s">
        <v>568</v>
      </c>
      <c r="E450" s="11" t="s">
        <v>706</v>
      </c>
      <c r="F450" s="11" t="s">
        <v>461</v>
      </c>
      <c r="G450" s="11">
        <v>0</v>
      </c>
      <c r="T450">
        <v>1915</v>
      </c>
      <c r="U450">
        <v>7752</v>
      </c>
      <c r="AW450" t="str">
        <f>IF(Tabela4[[#This Row],[JUSTIFICATIVA]]="","",CONCATENATE("B",Tabela4[[#This Row],[BLOCO]],Tabela4[[#This Row],[UO_COD]]))</f>
        <v/>
      </c>
      <c r="AX450">
        <f>Tabela4[[#This Row],[JUSTIFICATIVA]]</f>
        <v>0</v>
      </c>
    </row>
    <row r="451" spans="1:50" ht="15" customHeight="1">
      <c r="A451" s="11">
        <v>1915</v>
      </c>
      <c r="B451" s="11">
        <v>7758</v>
      </c>
      <c r="C451" s="12" t="str">
        <f t="shared" si="17"/>
        <v>19157758</v>
      </c>
      <c r="D451" s="11" t="s">
        <v>578</v>
      </c>
      <c r="E451" s="11" t="s">
        <v>707</v>
      </c>
      <c r="F451" s="11" t="s">
        <v>461</v>
      </c>
      <c r="G451" s="11">
        <v>0</v>
      </c>
      <c r="T451">
        <v>1915</v>
      </c>
      <c r="U451">
        <v>7758</v>
      </c>
      <c r="AW451" t="str">
        <f>IF(Tabela4[[#This Row],[JUSTIFICATIVA]]="","",CONCATENATE("B",Tabela4[[#This Row],[BLOCO]],Tabela4[[#This Row],[UO_COD]]))</f>
        <v/>
      </c>
      <c r="AX451">
        <f>Tabela4[[#This Row],[JUSTIFICATIVA]]</f>
        <v>0</v>
      </c>
    </row>
    <row r="452" spans="1:50" ht="15" customHeight="1">
      <c r="A452" s="11">
        <v>1915</v>
      </c>
      <c r="B452" s="11">
        <v>7759</v>
      </c>
      <c r="C452" s="12" t="str">
        <f t="shared" si="17"/>
        <v>19157759</v>
      </c>
      <c r="D452" s="11" t="s">
        <v>642</v>
      </c>
      <c r="E452" s="11" t="s">
        <v>645</v>
      </c>
      <c r="F452" s="11" t="s">
        <v>461</v>
      </c>
      <c r="G452" s="11">
        <v>0</v>
      </c>
      <c r="T452">
        <v>1915</v>
      </c>
      <c r="U452">
        <v>7759</v>
      </c>
      <c r="AW452" t="str">
        <f>IF(Tabela4[[#This Row],[JUSTIFICATIVA]]="","",CONCATENATE("B",Tabela4[[#This Row],[BLOCO]],Tabela4[[#This Row],[UO_COD]]))</f>
        <v/>
      </c>
      <c r="AX452">
        <f>Tabela4[[#This Row],[JUSTIFICATIVA]]</f>
        <v>0</v>
      </c>
    </row>
    <row r="453" spans="1:50" ht="15" customHeight="1">
      <c r="A453" s="11">
        <v>1916</v>
      </c>
      <c r="B453" s="11">
        <v>7003</v>
      </c>
      <c r="C453" s="12" t="str">
        <f t="shared" si="17"/>
        <v>19167003</v>
      </c>
      <c r="D453" s="11" t="s">
        <v>459</v>
      </c>
      <c r="E453" s="11" t="s">
        <v>460</v>
      </c>
      <c r="F453" s="11" t="s">
        <v>461</v>
      </c>
      <c r="G453" s="11">
        <v>0</v>
      </c>
      <c r="T453">
        <v>1916</v>
      </c>
      <c r="U453">
        <v>7003</v>
      </c>
      <c r="AW453" t="str">
        <f>IF(Tabela4[[#This Row],[JUSTIFICATIVA]]="","",CONCATENATE("B",Tabela4[[#This Row],[BLOCO]],Tabela4[[#This Row],[UO_COD]]))</f>
        <v/>
      </c>
      <c r="AX453">
        <f>Tabela4[[#This Row],[JUSTIFICATIVA]]</f>
        <v>0</v>
      </c>
    </row>
    <row r="454" spans="1:50" ht="15" customHeight="1">
      <c r="A454" s="11">
        <v>1916</v>
      </c>
      <c r="B454" s="11">
        <v>7013</v>
      </c>
      <c r="C454" s="12" t="str">
        <f t="shared" si="17"/>
        <v>19167013</v>
      </c>
      <c r="D454" s="11" t="s">
        <v>459</v>
      </c>
      <c r="E454" s="11" t="s">
        <v>460</v>
      </c>
      <c r="F454" s="11" t="s">
        <v>461</v>
      </c>
      <c r="G454" s="11">
        <v>0</v>
      </c>
      <c r="T454">
        <v>1916</v>
      </c>
      <c r="U454">
        <v>7013</v>
      </c>
      <c r="AW454" t="str">
        <f>IF(Tabela4[[#This Row],[JUSTIFICATIVA]]="","",CONCATENATE("B",Tabela4[[#This Row],[BLOCO]],Tabela4[[#This Row],[UO_COD]]))</f>
        <v/>
      </c>
      <c r="AX454">
        <f>Tabela4[[#This Row],[JUSTIFICATIVA]]</f>
        <v>0</v>
      </c>
    </row>
    <row r="455" spans="1:50" ht="15" customHeight="1">
      <c r="A455" s="11">
        <v>1916</v>
      </c>
      <c r="B455" s="11">
        <v>7019</v>
      </c>
      <c r="C455" s="12" t="str">
        <f t="shared" si="17"/>
        <v>19167019</v>
      </c>
      <c r="D455" s="11" t="s">
        <v>459</v>
      </c>
      <c r="E455" s="11" t="s">
        <v>460</v>
      </c>
      <c r="F455" s="11" t="s">
        <v>461</v>
      </c>
      <c r="G455" s="11">
        <v>0</v>
      </c>
      <c r="T455">
        <v>1916</v>
      </c>
      <c r="U455">
        <v>7019</v>
      </c>
      <c r="AW455" t="str">
        <f>IF(Tabela4[[#This Row],[JUSTIFICATIVA]]="","",CONCATENATE("B",Tabela4[[#This Row],[BLOCO]],Tabela4[[#This Row],[UO_COD]]))</f>
        <v/>
      </c>
      <c r="AX455">
        <f>Tabela4[[#This Row],[JUSTIFICATIVA]]</f>
        <v>0</v>
      </c>
    </row>
    <row r="456" spans="1:50" ht="15" customHeight="1">
      <c r="A456" s="11">
        <v>1916</v>
      </c>
      <c r="B456" s="11">
        <v>7030</v>
      </c>
      <c r="C456" s="12" t="str">
        <f t="shared" si="17"/>
        <v>19167030</v>
      </c>
      <c r="D456" s="11" t="s">
        <v>459</v>
      </c>
      <c r="E456" s="11" t="s">
        <v>460</v>
      </c>
      <c r="F456" s="11" t="s">
        <v>461</v>
      </c>
      <c r="G456" s="11">
        <v>0</v>
      </c>
      <c r="T456">
        <v>1916</v>
      </c>
      <c r="U456">
        <v>7030</v>
      </c>
      <c r="AW456" t="str">
        <f>IF(Tabela4[[#This Row],[JUSTIFICATIVA]]="","",CONCATENATE("B",Tabela4[[#This Row],[BLOCO]],Tabela4[[#This Row],[UO_COD]]))</f>
        <v/>
      </c>
      <c r="AX456">
        <f>Tabela4[[#This Row],[JUSTIFICATIVA]]</f>
        <v>0</v>
      </c>
    </row>
    <row r="457" spans="1:50" ht="15" customHeight="1">
      <c r="A457" s="11">
        <v>1916</v>
      </c>
      <c r="B457" s="11">
        <v>7043</v>
      </c>
      <c r="C457" s="12" t="str">
        <f t="shared" si="17"/>
        <v>19167043</v>
      </c>
      <c r="D457" s="11" t="s">
        <v>459</v>
      </c>
      <c r="E457" s="11" t="s">
        <v>460</v>
      </c>
      <c r="F457" s="11" t="s">
        <v>461</v>
      </c>
      <c r="G457" s="11">
        <v>0</v>
      </c>
      <c r="T457">
        <v>1916</v>
      </c>
      <c r="U457">
        <v>7043</v>
      </c>
      <c r="AW457" t="str">
        <f>IF(Tabela4[[#This Row],[JUSTIFICATIVA]]="","",CONCATENATE("B",Tabela4[[#This Row],[BLOCO]],Tabela4[[#This Row],[UO_COD]]))</f>
        <v/>
      </c>
      <c r="AX457">
        <f>Tabela4[[#This Row],[JUSTIFICATIVA]]</f>
        <v>0</v>
      </c>
    </row>
    <row r="458" spans="1:50" ht="15" customHeight="1">
      <c r="A458" s="11">
        <v>1916</v>
      </c>
      <c r="B458" s="11">
        <v>7658</v>
      </c>
      <c r="C458" s="12" t="str">
        <f t="shared" si="17"/>
        <v>19167658</v>
      </c>
      <c r="D458" s="11" t="s">
        <v>459</v>
      </c>
      <c r="E458" s="11" t="s">
        <v>460</v>
      </c>
      <c r="F458" s="11" t="s">
        <v>461</v>
      </c>
      <c r="G458" s="11">
        <v>0</v>
      </c>
      <c r="T458">
        <v>1916</v>
      </c>
      <c r="U458">
        <v>7658</v>
      </c>
      <c r="AW458" t="str">
        <f>IF(Tabela4[[#This Row],[JUSTIFICATIVA]]="","",CONCATENATE("B",Tabela4[[#This Row],[BLOCO]],Tabela4[[#This Row],[UO_COD]]))</f>
        <v/>
      </c>
      <c r="AX458">
        <f>Tabela4[[#This Row],[JUSTIFICATIVA]]</f>
        <v>0</v>
      </c>
    </row>
    <row r="459" spans="1:50" ht="15" customHeight="1">
      <c r="A459" s="11">
        <v>1916</v>
      </c>
      <c r="B459" s="11">
        <v>7886</v>
      </c>
      <c r="C459" s="12" t="str">
        <f t="shared" si="17"/>
        <v>19167886</v>
      </c>
      <c r="D459" s="11" t="s">
        <v>459</v>
      </c>
      <c r="E459" s="11" t="s">
        <v>708</v>
      </c>
      <c r="F459" s="11" t="s">
        <v>461</v>
      </c>
      <c r="G459" s="11">
        <v>0</v>
      </c>
      <c r="T459">
        <v>1916</v>
      </c>
      <c r="U459">
        <v>7886</v>
      </c>
      <c r="AW459" t="str">
        <f>IF(Tabela4[[#This Row],[JUSTIFICATIVA]]="","",CONCATENATE("B",Tabela4[[#This Row],[BLOCO]],Tabela4[[#This Row],[UO_COD]]))</f>
        <v/>
      </c>
      <c r="AX459">
        <f>Tabela4[[#This Row],[JUSTIFICATIVA]]</f>
        <v>0</v>
      </c>
    </row>
    <row r="460" spans="1:50" ht="15" customHeight="1">
      <c r="A460" s="11">
        <v>1916</v>
      </c>
      <c r="B460" s="11">
        <v>7896</v>
      </c>
      <c r="C460" s="12" t="str">
        <f t="shared" si="17"/>
        <v>19167896</v>
      </c>
      <c r="D460" s="11" t="s">
        <v>459</v>
      </c>
      <c r="E460" s="11" t="s">
        <v>709</v>
      </c>
      <c r="F460" s="11" t="s">
        <v>461</v>
      </c>
      <c r="G460" s="11">
        <v>0</v>
      </c>
      <c r="T460">
        <v>1916</v>
      </c>
      <c r="U460">
        <v>7896</v>
      </c>
      <c r="AW460" t="str">
        <f>IF(Tabela4[[#This Row],[JUSTIFICATIVA]]="","",CONCATENATE("B",Tabela4[[#This Row],[BLOCO]],Tabela4[[#This Row],[UO_COD]]))</f>
        <v/>
      </c>
      <c r="AX460">
        <f>Tabela4[[#This Row],[JUSTIFICATIVA]]</f>
        <v>0</v>
      </c>
    </row>
    <row r="461" spans="1:50" ht="15" customHeight="1">
      <c r="A461" s="11">
        <v>1941</v>
      </c>
      <c r="B461" s="11">
        <v>4488</v>
      </c>
      <c r="C461" s="12" t="str">
        <f t="shared" si="17"/>
        <v>19414488</v>
      </c>
      <c r="D461" s="11" t="s">
        <v>322</v>
      </c>
      <c r="E461" s="11" t="s">
        <v>470</v>
      </c>
      <c r="F461" s="11" t="s">
        <v>684</v>
      </c>
      <c r="G461" s="11">
        <v>0</v>
      </c>
      <c r="T461">
        <v>1941</v>
      </c>
      <c r="U461">
        <v>4488</v>
      </c>
      <c r="AW461" t="str">
        <f>IF(Tabela4[[#This Row],[JUSTIFICATIVA]]="","",CONCATENATE("B",Tabela4[[#This Row],[BLOCO]],Tabela4[[#This Row],[UO_COD]]))</f>
        <v/>
      </c>
      <c r="AX461">
        <f>Tabela4[[#This Row],[JUSTIFICATIVA]]</f>
        <v>0</v>
      </c>
    </row>
    <row r="462" spans="1:50" ht="15" customHeight="1">
      <c r="A462" s="11">
        <v>1941</v>
      </c>
      <c r="B462" s="11">
        <v>4489</v>
      </c>
      <c r="C462" s="12" t="str">
        <f t="shared" si="17"/>
        <v>19414489</v>
      </c>
      <c r="D462" s="11" t="s">
        <v>322</v>
      </c>
      <c r="E462" s="11" t="s">
        <v>470</v>
      </c>
      <c r="F462" s="11" t="s">
        <v>684</v>
      </c>
      <c r="G462" s="11">
        <v>0</v>
      </c>
      <c r="T462">
        <v>1941</v>
      </c>
      <c r="U462">
        <v>4489</v>
      </c>
      <c r="AW462" t="str">
        <f>IF(Tabela4[[#This Row],[JUSTIFICATIVA]]="","",CONCATENATE("B",Tabela4[[#This Row],[BLOCO]],Tabela4[[#This Row],[UO_COD]]))</f>
        <v/>
      </c>
      <c r="AX462">
        <f>Tabela4[[#This Row],[JUSTIFICATIVA]]</f>
        <v>0</v>
      </c>
    </row>
    <row r="463" spans="1:50" ht="15" customHeight="1">
      <c r="A463" s="11">
        <v>1941</v>
      </c>
      <c r="B463" s="11">
        <v>7024</v>
      </c>
      <c r="C463" s="12" t="str">
        <f t="shared" si="17"/>
        <v>19417024</v>
      </c>
      <c r="D463" s="11" t="s">
        <v>322</v>
      </c>
      <c r="E463" s="11" t="s">
        <v>710</v>
      </c>
      <c r="F463" s="11" t="s">
        <v>461</v>
      </c>
      <c r="G463" s="11">
        <v>0</v>
      </c>
      <c r="T463">
        <v>1941</v>
      </c>
      <c r="U463">
        <v>7024</v>
      </c>
      <c r="AW463" t="str">
        <f>IF(Tabela4[[#This Row],[JUSTIFICATIVA]]="","",CONCATENATE("B",Tabela4[[#This Row],[BLOCO]],Tabela4[[#This Row],[UO_COD]]))</f>
        <v/>
      </c>
      <c r="AX463">
        <f>Tabela4[[#This Row],[JUSTIFICATIVA]]</f>
        <v>0</v>
      </c>
    </row>
    <row r="464" spans="1:50" ht="15" customHeight="1">
      <c r="A464" s="11">
        <v>1941</v>
      </c>
      <c r="B464" s="11">
        <v>7441</v>
      </c>
      <c r="C464" s="12" t="str">
        <f t="shared" si="17"/>
        <v>19417441</v>
      </c>
      <c r="D464" s="11" t="s">
        <v>322</v>
      </c>
      <c r="E464" s="11" t="s">
        <v>710</v>
      </c>
      <c r="F464" s="11" t="s">
        <v>461</v>
      </c>
      <c r="G464" s="11">
        <v>0</v>
      </c>
      <c r="T464">
        <v>1941</v>
      </c>
      <c r="U464">
        <v>7441</v>
      </c>
      <c r="AW464" t="str">
        <f>IF(Tabela4[[#This Row],[JUSTIFICATIVA]]="","",CONCATENATE("B",Tabela4[[#This Row],[BLOCO]],Tabela4[[#This Row],[UO_COD]]))</f>
        <v/>
      </c>
      <c r="AX464">
        <f>Tabela4[[#This Row],[JUSTIFICATIVA]]</f>
        <v>0</v>
      </c>
    </row>
    <row r="465" spans="1:50" ht="15" customHeight="1">
      <c r="A465" s="11">
        <v>1951</v>
      </c>
      <c r="B465" s="11">
        <v>2132</v>
      </c>
      <c r="C465" s="12" t="str">
        <f t="shared" si="17"/>
        <v>19512132</v>
      </c>
      <c r="D465" s="11" t="s">
        <v>322</v>
      </c>
      <c r="E465" s="11" t="s">
        <v>470</v>
      </c>
      <c r="F465" s="11" t="s">
        <v>461</v>
      </c>
      <c r="G465" s="11">
        <v>0</v>
      </c>
      <c r="T465">
        <v>1951</v>
      </c>
      <c r="U465">
        <v>2132</v>
      </c>
      <c r="AW465" t="str">
        <f>IF(Tabela4[[#This Row],[JUSTIFICATIVA]]="","",CONCATENATE("B",Tabela4[[#This Row],[BLOCO]],Tabela4[[#This Row],[UO_COD]]))</f>
        <v/>
      </c>
      <c r="AX465">
        <f>Tabela4[[#This Row],[JUSTIFICATIVA]]</f>
        <v>0</v>
      </c>
    </row>
    <row r="466" spans="1:50" ht="15" customHeight="1">
      <c r="A466" s="11">
        <v>1991</v>
      </c>
      <c r="B466" s="11">
        <v>9999</v>
      </c>
      <c r="C466" s="12" t="str">
        <f t="shared" si="17"/>
        <v>19919999</v>
      </c>
      <c r="D466" s="11" t="s">
        <v>469</v>
      </c>
      <c r="E466" s="11" t="s">
        <v>711</v>
      </c>
      <c r="F466" s="11" t="s">
        <v>711</v>
      </c>
      <c r="G466" s="11">
        <v>0</v>
      </c>
      <c r="T466">
        <v>1991</v>
      </c>
      <c r="U466">
        <v>9999</v>
      </c>
      <c r="AW466" t="str">
        <f>IF(Tabela4[[#This Row],[JUSTIFICATIVA]]="","",CONCATENATE("B",Tabela4[[#This Row],[BLOCO]],Tabela4[[#This Row],[UO_COD]]))</f>
        <v/>
      </c>
      <c r="AX466">
        <f>Tabela4[[#This Row],[JUSTIFICATIVA]]</f>
        <v>0</v>
      </c>
    </row>
    <row r="467" spans="1:50" ht="15" customHeight="1">
      <c r="A467" s="11">
        <v>2011</v>
      </c>
      <c r="B467" s="11">
        <v>2012</v>
      </c>
      <c r="C467" s="12" t="str">
        <f t="shared" si="17"/>
        <v>20112012</v>
      </c>
      <c r="D467" s="11" t="s">
        <v>609</v>
      </c>
      <c r="E467" s="11" t="s">
        <v>470</v>
      </c>
      <c r="F467" s="11" t="s">
        <v>712</v>
      </c>
      <c r="G467" s="11">
        <v>0</v>
      </c>
      <c r="T467" s="11">
        <v>2011</v>
      </c>
      <c r="U467" s="11">
        <v>2012</v>
      </c>
      <c r="AW467" t="str">
        <f>IF(Tabela4[[#This Row],[JUSTIFICATIVA]]="","",CONCATENATE("B",Tabela4[[#This Row],[BLOCO]],Tabela4[[#This Row],[UO_COD]]))</f>
        <v/>
      </c>
      <c r="AX467">
        <f>Tabela4[[#This Row],[JUSTIFICATIVA]]</f>
        <v>0</v>
      </c>
    </row>
    <row r="468" spans="1:50" ht="15" customHeight="1">
      <c r="A468" s="11">
        <v>2011</v>
      </c>
      <c r="B468" s="11">
        <v>2014</v>
      </c>
      <c r="C468" s="12" t="str">
        <f t="shared" si="17"/>
        <v>20112014</v>
      </c>
      <c r="D468" s="11" t="s">
        <v>322</v>
      </c>
      <c r="E468" s="11" t="s">
        <v>470</v>
      </c>
      <c r="F468" s="11" t="s">
        <v>461</v>
      </c>
      <c r="G468" s="11">
        <v>0</v>
      </c>
      <c r="T468" s="11">
        <v>2011</v>
      </c>
      <c r="U468" s="11">
        <v>2014</v>
      </c>
      <c r="AW468" t="str">
        <f>IF(Tabela4[[#This Row],[JUSTIFICATIVA]]="","",CONCATENATE("B",Tabela4[[#This Row],[BLOCO]],Tabela4[[#This Row],[UO_COD]]))</f>
        <v/>
      </c>
      <c r="AX468">
        <f>Tabela4[[#This Row],[JUSTIFICATIVA]]</f>
        <v>0</v>
      </c>
    </row>
    <row r="469" spans="1:50" ht="15" customHeight="1">
      <c r="A469" s="11">
        <v>2011</v>
      </c>
      <c r="B469" s="11">
        <v>2039</v>
      </c>
      <c r="C469" s="12" t="str">
        <f t="shared" si="17"/>
        <v>20112039</v>
      </c>
      <c r="D469" s="11" t="s">
        <v>609</v>
      </c>
      <c r="E469" s="11" t="s">
        <v>470</v>
      </c>
      <c r="F469" s="11" t="s">
        <v>461</v>
      </c>
      <c r="G469" s="11">
        <v>0</v>
      </c>
      <c r="T469" s="11">
        <v>2011</v>
      </c>
      <c r="U469" s="11">
        <v>2039</v>
      </c>
      <c r="AW469" t="str">
        <f>IF(Tabela4[[#This Row],[JUSTIFICATIVA]]="","",CONCATENATE("B",Tabela4[[#This Row],[BLOCO]],Tabela4[[#This Row],[UO_COD]]))</f>
        <v/>
      </c>
      <c r="AX469">
        <f>Tabela4[[#This Row],[JUSTIFICATIVA]]</f>
        <v>0</v>
      </c>
    </row>
    <row r="470" spans="1:50" ht="15" customHeight="1">
      <c r="A470" s="11">
        <v>2011</v>
      </c>
      <c r="B470" s="11">
        <v>2417</v>
      </c>
      <c r="C470" s="12" t="str">
        <f t="shared" si="17"/>
        <v>20112417</v>
      </c>
      <c r="D470" s="11" t="s">
        <v>609</v>
      </c>
      <c r="E470" s="11" t="s">
        <v>470</v>
      </c>
      <c r="F470" s="11" t="s">
        <v>461</v>
      </c>
      <c r="G470" s="11">
        <v>0</v>
      </c>
      <c r="T470" s="11">
        <v>2011</v>
      </c>
      <c r="U470" s="11">
        <v>2417</v>
      </c>
      <c r="AW470" t="str">
        <f>IF(Tabela4[[#This Row],[JUSTIFICATIVA]]="","",CONCATENATE("B",Tabela4[[#This Row],[BLOCO]],Tabela4[[#This Row],[UO_COD]]))</f>
        <v/>
      </c>
      <c r="AX470">
        <f>Tabela4[[#This Row],[JUSTIFICATIVA]]</f>
        <v>0</v>
      </c>
    </row>
    <row r="471" spans="1:50" ht="15" customHeight="1">
      <c r="A471" s="11">
        <v>2011</v>
      </c>
      <c r="B471" s="11">
        <v>2500</v>
      </c>
      <c r="C471" s="12" t="str">
        <f t="shared" si="17"/>
        <v>20112500</v>
      </c>
      <c r="D471" s="11" t="s">
        <v>609</v>
      </c>
      <c r="E471" s="11" t="s">
        <v>470</v>
      </c>
      <c r="F471" s="11" t="s">
        <v>461</v>
      </c>
      <c r="G471" s="11">
        <v>0</v>
      </c>
      <c r="T471" s="11">
        <v>2011</v>
      </c>
      <c r="U471" s="11">
        <v>2500</v>
      </c>
      <c r="AW471" t="str">
        <f>IF(Tabela4[[#This Row],[JUSTIFICATIVA]]="","",CONCATENATE("B",Tabela4[[#This Row],[BLOCO]],Tabela4[[#This Row],[UO_COD]]))</f>
        <v/>
      </c>
      <c r="AX471">
        <f>Tabela4[[#This Row],[JUSTIFICATIVA]]</f>
        <v>0</v>
      </c>
    </row>
    <row r="472" spans="1:50" ht="15" customHeight="1">
      <c r="A472" s="11">
        <v>2011</v>
      </c>
      <c r="B472" s="11">
        <v>4068</v>
      </c>
      <c r="C472" s="12" t="str">
        <f t="shared" si="17"/>
        <v>20114068</v>
      </c>
      <c r="D472" s="11" t="s">
        <v>609</v>
      </c>
      <c r="E472" s="11" t="s">
        <v>610</v>
      </c>
      <c r="F472" s="11" t="s">
        <v>712</v>
      </c>
      <c r="G472" s="11">
        <v>0</v>
      </c>
      <c r="T472" s="11">
        <v>2011</v>
      </c>
      <c r="U472" s="11">
        <v>4068</v>
      </c>
      <c r="AW472" t="str">
        <f>IF(Tabela4[[#This Row],[JUSTIFICATIVA]]="","",CONCATENATE("B",Tabela4[[#This Row],[BLOCO]],Tabela4[[#This Row],[UO_COD]]))</f>
        <v/>
      </c>
      <c r="AX472">
        <f>Tabela4[[#This Row],[JUSTIFICATIVA]]</f>
        <v>0</v>
      </c>
    </row>
    <row r="473" spans="1:50" ht="15" customHeight="1">
      <c r="A473" s="11">
        <v>2011</v>
      </c>
      <c r="B473" s="11">
        <v>4073</v>
      </c>
      <c r="C473" s="12" t="str">
        <f t="shared" si="17"/>
        <v>20114073</v>
      </c>
      <c r="D473" s="11" t="s">
        <v>609</v>
      </c>
      <c r="E473" s="11" t="s">
        <v>610</v>
      </c>
      <c r="F473" s="11" t="s">
        <v>712</v>
      </c>
      <c r="G473" s="11">
        <v>0</v>
      </c>
      <c r="T473" s="11">
        <v>2011</v>
      </c>
      <c r="U473" s="11">
        <v>4073</v>
      </c>
      <c r="AW473" t="str">
        <f>IF(Tabela4[[#This Row],[JUSTIFICATIVA]]="","",CONCATENATE("B",Tabela4[[#This Row],[BLOCO]],Tabela4[[#This Row],[UO_COD]]))</f>
        <v/>
      </c>
      <c r="AX473">
        <f>Tabela4[[#This Row],[JUSTIFICATIVA]]</f>
        <v>0</v>
      </c>
    </row>
    <row r="474" spans="1:50" ht="15" customHeight="1">
      <c r="A474" s="11">
        <v>2011</v>
      </c>
      <c r="B474" s="11">
        <v>4074</v>
      </c>
      <c r="C474" s="12" t="str">
        <f t="shared" si="17"/>
        <v>20114074</v>
      </c>
      <c r="D474" s="11" t="s">
        <v>609</v>
      </c>
      <c r="E474" s="11" t="s">
        <v>610</v>
      </c>
      <c r="F474" s="11" t="s">
        <v>712</v>
      </c>
      <c r="G474" s="11">
        <v>0</v>
      </c>
      <c r="T474" s="11">
        <v>2011</v>
      </c>
      <c r="U474" s="11">
        <v>4074</v>
      </c>
      <c r="AW474" t="str">
        <f>IF(Tabela4[[#This Row],[JUSTIFICATIVA]]="","",CONCATENATE("B",Tabela4[[#This Row],[BLOCO]],Tabela4[[#This Row],[UO_COD]]))</f>
        <v/>
      </c>
      <c r="AX474">
        <f>Tabela4[[#This Row],[JUSTIFICATIVA]]</f>
        <v>0</v>
      </c>
    </row>
    <row r="475" spans="1:50" ht="15" customHeight="1">
      <c r="A475" s="11">
        <v>2011</v>
      </c>
      <c r="B475" s="11">
        <v>4229</v>
      </c>
      <c r="C475" s="12" t="str">
        <f t="shared" si="17"/>
        <v>20114229</v>
      </c>
      <c r="D475" s="11" t="s">
        <v>609</v>
      </c>
      <c r="E475" s="11" t="s">
        <v>610</v>
      </c>
      <c r="F475" s="11" t="s">
        <v>713</v>
      </c>
      <c r="G475" s="11">
        <v>0</v>
      </c>
      <c r="T475" s="11">
        <v>2011</v>
      </c>
      <c r="U475" s="11">
        <v>4229</v>
      </c>
      <c r="AW475" t="str">
        <f>IF(Tabela4[[#This Row],[JUSTIFICATIVA]]="","",CONCATENATE("B",Tabela4[[#This Row],[BLOCO]],Tabela4[[#This Row],[UO_COD]]))</f>
        <v/>
      </c>
      <c r="AX475">
        <f>Tabela4[[#This Row],[JUSTIFICATIVA]]</f>
        <v>0</v>
      </c>
    </row>
    <row r="476" spans="1:50" ht="15" customHeight="1">
      <c r="A476" s="11">
        <v>2011</v>
      </c>
      <c r="B476" s="11">
        <v>4230</v>
      </c>
      <c r="C476" s="12" t="str">
        <f t="shared" si="17"/>
        <v>20114230</v>
      </c>
      <c r="D476" s="11" t="s">
        <v>609</v>
      </c>
      <c r="E476" s="11" t="s">
        <v>610</v>
      </c>
      <c r="F476" s="11" t="s">
        <v>713</v>
      </c>
      <c r="G476" s="11">
        <v>0</v>
      </c>
      <c r="T476" s="11">
        <v>2011</v>
      </c>
      <c r="U476" s="11">
        <v>4230</v>
      </c>
      <c r="AW476" t="str">
        <f>IF(Tabela4[[#This Row],[JUSTIFICATIVA]]="","",CONCATENATE("B",Tabela4[[#This Row],[BLOCO]],Tabela4[[#This Row],[UO_COD]]))</f>
        <v/>
      </c>
      <c r="AX476">
        <f>Tabela4[[#This Row],[JUSTIFICATIVA]]</f>
        <v>0</v>
      </c>
    </row>
    <row r="477" spans="1:50" ht="15" customHeight="1">
      <c r="A477" s="11">
        <v>2011</v>
      </c>
      <c r="B477" s="11">
        <v>4231</v>
      </c>
      <c r="C477" s="12" t="str">
        <f t="shared" si="17"/>
        <v>20114231</v>
      </c>
      <c r="D477" s="11" t="s">
        <v>609</v>
      </c>
      <c r="E477" s="11" t="s">
        <v>610</v>
      </c>
      <c r="F477" s="11" t="s">
        <v>713</v>
      </c>
      <c r="G477" s="11">
        <v>0</v>
      </c>
      <c r="T477" s="11">
        <v>2011</v>
      </c>
      <c r="U477" s="11">
        <v>4231</v>
      </c>
      <c r="AW477" t="str">
        <f>IF(Tabela4[[#This Row],[JUSTIFICATIVA]]="","",CONCATENATE("B",Tabela4[[#This Row],[BLOCO]],Tabela4[[#This Row],[UO_COD]]))</f>
        <v/>
      </c>
      <c r="AX477">
        <f>Tabela4[[#This Row],[JUSTIFICATIVA]]</f>
        <v>0</v>
      </c>
    </row>
    <row r="478" spans="1:50" ht="15" customHeight="1">
      <c r="A478" s="11">
        <v>2011</v>
      </c>
      <c r="B478" s="11">
        <v>4409</v>
      </c>
      <c r="C478" s="12" t="str">
        <f t="shared" si="17"/>
        <v>20114409</v>
      </c>
      <c r="D478" s="11" t="s">
        <v>324</v>
      </c>
      <c r="E478" s="11" t="s">
        <v>676</v>
      </c>
      <c r="F478" s="11" t="s">
        <v>714</v>
      </c>
      <c r="G478" s="11">
        <v>0</v>
      </c>
      <c r="T478" s="11">
        <v>2011</v>
      </c>
      <c r="U478" s="11">
        <v>4409</v>
      </c>
      <c r="AW478" t="str">
        <f>IF(Tabela4[[#This Row],[JUSTIFICATIVA]]="","",CONCATENATE("B",Tabela4[[#This Row],[BLOCO]],Tabela4[[#This Row],[UO_COD]]))</f>
        <v/>
      </c>
      <c r="AX478">
        <f>Tabela4[[#This Row],[JUSTIFICATIVA]]</f>
        <v>0</v>
      </c>
    </row>
    <row r="479" spans="1:50" ht="15" customHeight="1">
      <c r="A479" s="11">
        <v>2011</v>
      </c>
      <c r="B479" s="11">
        <v>4410</v>
      </c>
      <c r="C479" s="12" t="str">
        <f t="shared" si="17"/>
        <v>20114410</v>
      </c>
      <c r="D479" s="11" t="s">
        <v>609</v>
      </c>
      <c r="E479" s="11" t="s">
        <v>610</v>
      </c>
      <c r="F479" s="11" t="s">
        <v>712</v>
      </c>
      <c r="G479" s="11">
        <v>0</v>
      </c>
      <c r="T479" s="11">
        <v>2011</v>
      </c>
      <c r="U479" s="11">
        <v>4410</v>
      </c>
      <c r="AW479" t="str">
        <f>IF(Tabela4[[#This Row],[JUSTIFICATIVA]]="","",CONCATENATE("B",Tabela4[[#This Row],[BLOCO]],Tabela4[[#This Row],[UO_COD]]))</f>
        <v/>
      </c>
      <c r="AX479">
        <f>Tabela4[[#This Row],[JUSTIFICATIVA]]</f>
        <v>0</v>
      </c>
    </row>
    <row r="480" spans="1:50" ht="15" customHeight="1">
      <c r="A480" s="11">
        <v>2011</v>
      </c>
      <c r="B480" s="11">
        <v>7004</v>
      </c>
      <c r="C480" s="12" t="str">
        <f t="shared" si="17"/>
        <v>20117004</v>
      </c>
      <c r="D480" s="11" t="s">
        <v>459</v>
      </c>
      <c r="E480" s="11" t="s">
        <v>460</v>
      </c>
      <c r="F480" s="11" t="s">
        <v>461</v>
      </c>
      <c r="G480" s="11">
        <v>0</v>
      </c>
      <c r="T480" s="11">
        <v>2011</v>
      </c>
      <c r="U480" s="11">
        <v>7004</v>
      </c>
      <c r="AW480" t="str">
        <f>IF(Tabela4[[#This Row],[JUSTIFICATIVA]]="","",CONCATENATE("B",Tabela4[[#This Row],[BLOCO]],Tabela4[[#This Row],[UO_COD]]))</f>
        <v/>
      </c>
      <c r="AX480">
        <f>Tabela4[[#This Row],[JUSTIFICATIVA]]</f>
        <v>0</v>
      </c>
    </row>
    <row r="481" spans="1:50" ht="15" customHeight="1">
      <c r="A481" s="11">
        <v>2041</v>
      </c>
      <c r="B481" s="11">
        <v>2417</v>
      </c>
      <c r="C481" s="12" t="str">
        <f t="shared" si="17"/>
        <v>20412417</v>
      </c>
      <c r="D481" s="11" t="s">
        <v>568</v>
      </c>
      <c r="E481" s="11" t="s">
        <v>470</v>
      </c>
      <c r="F481" s="11" t="s">
        <v>461</v>
      </c>
      <c r="G481" s="11">
        <v>0</v>
      </c>
      <c r="T481" s="11">
        <v>2041</v>
      </c>
      <c r="U481" s="11">
        <v>2417</v>
      </c>
      <c r="AW481" t="str">
        <f>IF(Tabela4[[#This Row],[JUSTIFICATIVA]]="","",CONCATENATE("B",Tabela4[[#This Row],[BLOCO]],Tabela4[[#This Row],[UO_COD]]))</f>
        <v/>
      </c>
      <c r="AX481">
        <f>Tabela4[[#This Row],[JUSTIFICATIVA]]</f>
        <v>0</v>
      </c>
    </row>
    <row r="482" spans="1:50" ht="15" customHeight="1">
      <c r="A482" s="11">
        <v>2041</v>
      </c>
      <c r="B482" s="11">
        <v>2500</v>
      </c>
      <c r="C482" s="12" t="str">
        <f t="shared" si="17"/>
        <v>20412500</v>
      </c>
      <c r="D482" s="11" t="s">
        <v>568</v>
      </c>
      <c r="E482" s="11" t="s">
        <v>470</v>
      </c>
      <c r="F482" s="11" t="s">
        <v>461</v>
      </c>
      <c r="G482" s="11">
        <v>0</v>
      </c>
      <c r="T482" s="11">
        <v>2041</v>
      </c>
      <c r="U482" s="11">
        <v>2500</v>
      </c>
      <c r="AW482" t="str">
        <f>IF(Tabela4[[#This Row],[JUSTIFICATIVA]]="","",CONCATENATE("B",Tabela4[[#This Row],[BLOCO]],Tabela4[[#This Row],[UO_COD]]))</f>
        <v/>
      </c>
      <c r="AX482">
        <f>Tabela4[[#This Row],[JUSTIFICATIVA]]</f>
        <v>0</v>
      </c>
    </row>
    <row r="483" spans="1:50" ht="15" customHeight="1">
      <c r="A483" s="11">
        <v>2041</v>
      </c>
      <c r="B483" s="11">
        <v>4340</v>
      </c>
      <c r="C483" s="12" t="str">
        <f t="shared" si="17"/>
        <v>20414340</v>
      </c>
      <c r="D483" s="11" t="s">
        <v>568</v>
      </c>
      <c r="E483" s="11" t="s">
        <v>715</v>
      </c>
      <c r="F483" s="11" t="s">
        <v>549</v>
      </c>
      <c r="G483" s="11">
        <v>0</v>
      </c>
      <c r="T483" s="11">
        <v>2041</v>
      </c>
      <c r="U483" s="11">
        <v>4340</v>
      </c>
      <c r="AW483" t="str">
        <f>IF(Tabela4[[#This Row],[JUSTIFICATIVA]]="","",CONCATENATE("B",Tabela4[[#This Row],[BLOCO]],Tabela4[[#This Row],[UO_COD]]))</f>
        <v/>
      </c>
      <c r="AX483">
        <f>Tabela4[[#This Row],[JUSTIFICATIVA]]</f>
        <v>0</v>
      </c>
    </row>
    <row r="484" spans="1:50" ht="15" customHeight="1">
      <c r="A484" s="11">
        <v>2041</v>
      </c>
      <c r="B484" s="11">
        <v>7004</v>
      </c>
      <c r="C484" s="12" t="str">
        <f t="shared" si="17"/>
        <v>20417004</v>
      </c>
      <c r="D484" s="11" t="s">
        <v>459</v>
      </c>
      <c r="E484" s="11" t="s">
        <v>460</v>
      </c>
      <c r="F484" s="11" t="s">
        <v>461</v>
      </c>
      <c r="G484" s="11">
        <v>0</v>
      </c>
      <c r="T484" s="11">
        <v>2041</v>
      </c>
      <c r="U484" s="11">
        <v>7004</v>
      </c>
      <c r="AW484" t="str">
        <f>IF(Tabela4[[#This Row],[JUSTIFICATIVA]]="","",CONCATENATE("B",Tabela4[[#This Row],[BLOCO]],Tabela4[[#This Row],[UO_COD]]))</f>
        <v/>
      </c>
      <c r="AX484">
        <f>Tabela4[[#This Row],[JUSTIFICATIVA]]</f>
        <v>0</v>
      </c>
    </row>
    <row r="485" spans="1:50" ht="15" customHeight="1">
      <c r="A485" s="11">
        <v>2061</v>
      </c>
      <c r="B485" s="11">
        <v>2417</v>
      </c>
      <c r="C485" s="12" t="str">
        <f t="shared" si="17"/>
        <v>20612417</v>
      </c>
      <c r="D485" s="11" t="s">
        <v>605</v>
      </c>
      <c r="E485" s="11" t="s">
        <v>470</v>
      </c>
      <c r="F485" s="11" t="s">
        <v>461</v>
      </c>
      <c r="G485" s="11">
        <v>0</v>
      </c>
      <c r="T485" s="11">
        <v>2061</v>
      </c>
      <c r="U485" s="11">
        <v>2417</v>
      </c>
      <c r="AW485" t="str">
        <f>IF(Tabela4[[#This Row],[JUSTIFICATIVA]]="","",CONCATENATE("B",Tabela4[[#This Row],[BLOCO]],Tabela4[[#This Row],[UO_COD]]))</f>
        <v/>
      </c>
      <c r="AX485">
        <f>Tabela4[[#This Row],[JUSTIFICATIVA]]</f>
        <v>0</v>
      </c>
    </row>
    <row r="486" spans="1:50" ht="15" customHeight="1">
      <c r="A486" s="11">
        <v>2061</v>
      </c>
      <c r="B486" s="11">
        <v>2500</v>
      </c>
      <c r="C486" s="12" t="str">
        <f t="shared" si="17"/>
        <v>20612500</v>
      </c>
      <c r="D486" s="11" t="s">
        <v>605</v>
      </c>
      <c r="E486" s="11" t="s">
        <v>470</v>
      </c>
      <c r="F486" s="11" t="s">
        <v>461</v>
      </c>
      <c r="G486" s="11">
        <v>0</v>
      </c>
      <c r="T486" s="11">
        <v>2061</v>
      </c>
      <c r="U486" s="11">
        <v>2500</v>
      </c>
      <c r="AW486" t="str">
        <f>IF(Tabela4[[#This Row],[JUSTIFICATIVA]]="","",CONCATENATE("B",Tabela4[[#This Row],[BLOCO]],Tabela4[[#This Row],[UO_COD]]))</f>
        <v/>
      </c>
      <c r="AX486">
        <f>Tabela4[[#This Row],[JUSTIFICATIVA]]</f>
        <v>0</v>
      </c>
    </row>
    <row r="487" spans="1:50" ht="15" customHeight="1">
      <c r="A487" s="11">
        <v>2061</v>
      </c>
      <c r="B487" s="11">
        <v>4027</v>
      </c>
      <c r="C487" s="12" t="str">
        <f t="shared" si="17"/>
        <v>20614027</v>
      </c>
      <c r="D487" s="11" t="s">
        <v>605</v>
      </c>
      <c r="E487" s="11" t="s">
        <v>625</v>
      </c>
      <c r="F487" s="11" t="s">
        <v>716</v>
      </c>
      <c r="G487" s="11">
        <v>0</v>
      </c>
      <c r="T487" s="11">
        <v>2061</v>
      </c>
      <c r="U487" s="11">
        <v>4027</v>
      </c>
      <c r="AW487" t="str">
        <f>IF(Tabela4[[#This Row],[JUSTIFICATIVA]]="","",CONCATENATE("B",Tabela4[[#This Row],[BLOCO]],Tabela4[[#This Row],[UO_COD]]))</f>
        <v/>
      </c>
      <c r="AX487">
        <f>Tabela4[[#This Row],[JUSTIFICATIVA]]</f>
        <v>0</v>
      </c>
    </row>
    <row r="488" spans="1:50" ht="15" customHeight="1">
      <c r="A488" s="11">
        <v>2061</v>
      </c>
      <c r="B488" s="11">
        <v>4240</v>
      </c>
      <c r="C488" s="12" t="str">
        <f t="shared" si="17"/>
        <v>20614240</v>
      </c>
      <c r="D488" s="11" t="s">
        <v>605</v>
      </c>
      <c r="E488" s="11" t="s">
        <v>625</v>
      </c>
      <c r="F488" s="11" t="s">
        <v>716</v>
      </c>
      <c r="G488" s="11">
        <v>0</v>
      </c>
      <c r="T488" s="11">
        <v>2061</v>
      </c>
      <c r="U488" s="11">
        <v>4240</v>
      </c>
      <c r="AW488" t="str">
        <f>IF(Tabela4[[#This Row],[JUSTIFICATIVA]]="","",CONCATENATE("B",Tabela4[[#This Row],[BLOCO]],Tabela4[[#This Row],[UO_COD]]))</f>
        <v/>
      </c>
      <c r="AX488">
        <f>Tabela4[[#This Row],[JUSTIFICATIVA]]</f>
        <v>0</v>
      </c>
    </row>
    <row r="489" spans="1:50" ht="15" customHeight="1">
      <c r="A489" s="11">
        <v>2061</v>
      </c>
      <c r="B489" s="11">
        <v>4242</v>
      </c>
      <c r="C489" s="12" t="str">
        <f t="shared" si="17"/>
        <v>20614242</v>
      </c>
      <c r="D489" s="11" t="s">
        <v>605</v>
      </c>
      <c r="E489" s="11" t="s">
        <v>625</v>
      </c>
      <c r="F489" s="11" t="s">
        <v>716</v>
      </c>
      <c r="G489" s="11">
        <v>0</v>
      </c>
      <c r="T489" s="11">
        <v>2061</v>
      </c>
      <c r="U489" s="11">
        <v>4242</v>
      </c>
      <c r="AW489" t="str">
        <f>IF(Tabela4[[#This Row],[JUSTIFICATIVA]]="","",CONCATENATE("B",Tabela4[[#This Row],[BLOCO]],Tabela4[[#This Row],[UO_COD]]))</f>
        <v/>
      </c>
      <c r="AX489">
        <f>Tabela4[[#This Row],[JUSTIFICATIVA]]</f>
        <v>0</v>
      </c>
    </row>
    <row r="490" spans="1:50" ht="15" customHeight="1">
      <c r="A490" s="11">
        <v>2061</v>
      </c>
      <c r="B490" s="11">
        <v>4243</v>
      </c>
      <c r="C490" s="12" t="str">
        <f t="shared" si="17"/>
        <v>20614243</v>
      </c>
      <c r="D490" s="11" t="s">
        <v>605</v>
      </c>
      <c r="E490" s="11" t="s">
        <v>625</v>
      </c>
      <c r="F490" s="11" t="s">
        <v>716</v>
      </c>
      <c r="G490" s="11">
        <v>0</v>
      </c>
      <c r="T490" s="11">
        <v>2061</v>
      </c>
      <c r="U490" s="11">
        <v>4243</v>
      </c>
      <c r="AW490" t="str">
        <f>IF(Tabela4[[#This Row],[JUSTIFICATIVA]]="","",CONCATENATE("B",Tabela4[[#This Row],[BLOCO]],Tabela4[[#This Row],[UO_COD]]))</f>
        <v/>
      </c>
      <c r="AX490">
        <f>Tabela4[[#This Row],[JUSTIFICATIVA]]</f>
        <v>0</v>
      </c>
    </row>
    <row r="491" spans="1:50" ht="15" customHeight="1">
      <c r="A491" s="11">
        <v>2061</v>
      </c>
      <c r="B491" s="11">
        <v>4244</v>
      </c>
      <c r="C491" s="12" t="str">
        <f t="shared" si="17"/>
        <v>20614244</v>
      </c>
      <c r="D491" s="11" t="s">
        <v>605</v>
      </c>
      <c r="E491" s="11" t="s">
        <v>625</v>
      </c>
      <c r="F491" s="11" t="s">
        <v>716</v>
      </c>
      <c r="G491" s="11">
        <v>0</v>
      </c>
      <c r="T491" s="11">
        <v>2061</v>
      </c>
      <c r="U491" s="11">
        <v>4244</v>
      </c>
      <c r="AW491" t="str">
        <f>IF(Tabela4[[#This Row],[JUSTIFICATIVA]]="","",CONCATENATE("B",Tabela4[[#This Row],[BLOCO]],Tabela4[[#This Row],[UO_COD]]))</f>
        <v/>
      </c>
      <c r="AX491">
        <f>Tabela4[[#This Row],[JUSTIFICATIVA]]</f>
        <v>0</v>
      </c>
    </row>
    <row r="492" spans="1:50" ht="15" customHeight="1">
      <c r="A492" s="11">
        <v>2061</v>
      </c>
      <c r="B492" s="11">
        <v>4245</v>
      </c>
      <c r="C492" s="12" t="str">
        <f t="shared" si="17"/>
        <v>20614245</v>
      </c>
      <c r="D492" s="11" t="s">
        <v>605</v>
      </c>
      <c r="E492" s="11" t="s">
        <v>625</v>
      </c>
      <c r="F492" s="11" t="s">
        <v>716</v>
      </c>
      <c r="G492" s="11">
        <v>0</v>
      </c>
      <c r="T492" s="11">
        <v>2061</v>
      </c>
      <c r="U492" s="11">
        <v>4245</v>
      </c>
      <c r="AW492" t="str">
        <f>IF(Tabela4[[#This Row],[JUSTIFICATIVA]]="","",CONCATENATE("B",Tabela4[[#This Row],[BLOCO]],Tabela4[[#This Row],[UO_COD]]))</f>
        <v/>
      </c>
      <c r="AX492">
        <f>Tabela4[[#This Row],[JUSTIFICATIVA]]</f>
        <v>0</v>
      </c>
    </row>
    <row r="493" spans="1:50" ht="15" customHeight="1">
      <c r="A493" s="11">
        <v>2061</v>
      </c>
      <c r="B493" s="11">
        <v>4246</v>
      </c>
      <c r="C493" s="12" t="str">
        <f t="shared" si="17"/>
        <v>20614246</v>
      </c>
      <c r="D493" s="11" t="s">
        <v>605</v>
      </c>
      <c r="E493" s="11" t="s">
        <v>625</v>
      </c>
      <c r="F493" s="11" t="s">
        <v>716</v>
      </c>
      <c r="G493" s="11">
        <v>0</v>
      </c>
      <c r="T493" s="11">
        <v>2061</v>
      </c>
      <c r="U493" s="11">
        <v>4246</v>
      </c>
      <c r="AW493" t="str">
        <f>IF(Tabela4[[#This Row],[JUSTIFICATIVA]]="","",CONCATENATE("B",Tabela4[[#This Row],[BLOCO]],Tabela4[[#This Row],[UO_COD]]))</f>
        <v/>
      </c>
      <c r="AX493">
        <f>Tabela4[[#This Row],[JUSTIFICATIVA]]</f>
        <v>0</v>
      </c>
    </row>
    <row r="494" spans="1:50" ht="15" customHeight="1">
      <c r="A494" s="11">
        <v>2061</v>
      </c>
      <c r="B494" s="11">
        <v>4248</v>
      </c>
      <c r="C494" s="12" t="str">
        <f t="shared" si="17"/>
        <v>20614248</v>
      </c>
      <c r="D494" s="11" t="s">
        <v>627</v>
      </c>
      <c r="E494" s="11" t="s">
        <v>590</v>
      </c>
      <c r="F494" s="11" t="s">
        <v>717</v>
      </c>
      <c r="G494" s="11">
        <v>0</v>
      </c>
      <c r="T494" s="11">
        <v>2061</v>
      </c>
      <c r="U494" s="11">
        <v>4248</v>
      </c>
      <c r="AW494" t="str">
        <f>IF(Tabela4[[#This Row],[JUSTIFICATIVA]]="","",CONCATENATE("B",Tabela4[[#This Row],[BLOCO]],Tabela4[[#This Row],[UO_COD]]))</f>
        <v/>
      </c>
      <c r="AX494">
        <f>Tabela4[[#This Row],[JUSTIFICATIVA]]</f>
        <v>0</v>
      </c>
    </row>
    <row r="495" spans="1:50" ht="15" customHeight="1">
      <c r="A495" s="11">
        <v>2061</v>
      </c>
      <c r="B495" s="11">
        <v>4249</v>
      </c>
      <c r="C495" s="12" t="str">
        <f t="shared" si="17"/>
        <v>20614249</v>
      </c>
      <c r="D495" s="11" t="s">
        <v>322</v>
      </c>
      <c r="E495" s="11" t="s">
        <v>690</v>
      </c>
      <c r="F495" s="11" t="s">
        <v>718</v>
      </c>
      <c r="G495" s="11">
        <v>0</v>
      </c>
      <c r="T495" s="11">
        <v>2061</v>
      </c>
      <c r="U495" s="11">
        <v>4249</v>
      </c>
      <c r="AW495" t="str">
        <f>IF(Tabela4[[#This Row],[JUSTIFICATIVA]]="","",CONCATENATE("B",Tabela4[[#This Row],[BLOCO]],Tabela4[[#This Row],[UO_COD]]))</f>
        <v/>
      </c>
      <c r="AX495">
        <f>Tabela4[[#This Row],[JUSTIFICATIVA]]</f>
        <v>0</v>
      </c>
    </row>
    <row r="496" spans="1:50" ht="15" customHeight="1">
      <c r="A496" s="11">
        <v>2061</v>
      </c>
      <c r="B496" s="11">
        <v>4250</v>
      </c>
      <c r="C496" s="12" t="str">
        <f t="shared" si="17"/>
        <v>20614250</v>
      </c>
      <c r="D496" s="11" t="s">
        <v>322</v>
      </c>
      <c r="E496" s="11" t="s">
        <v>690</v>
      </c>
      <c r="F496" s="11" t="s">
        <v>718</v>
      </c>
      <c r="G496" s="11">
        <v>0</v>
      </c>
      <c r="T496" s="11">
        <v>2061</v>
      </c>
      <c r="U496" s="11">
        <v>4250</v>
      </c>
      <c r="AW496" t="str">
        <f>IF(Tabela4[[#This Row],[JUSTIFICATIVA]]="","",CONCATENATE("B",Tabela4[[#This Row],[BLOCO]],Tabela4[[#This Row],[UO_COD]]))</f>
        <v/>
      </c>
      <c r="AX496">
        <f>Tabela4[[#This Row],[JUSTIFICATIVA]]</f>
        <v>0</v>
      </c>
    </row>
    <row r="497" spans="1:50" ht="15" customHeight="1">
      <c r="A497" s="11">
        <v>2061</v>
      </c>
      <c r="B497" s="11">
        <v>4251</v>
      </c>
      <c r="C497" s="12" t="str">
        <f t="shared" si="17"/>
        <v>20614251</v>
      </c>
      <c r="D497" s="11" t="s">
        <v>322</v>
      </c>
      <c r="E497" s="11" t="s">
        <v>690</v>
      </c>
      <c r="F497" s="11" t="s">
        <v>718</v>
      </c>
      <c r="G497" s="11">
        <v>0</v>
      </c>
      <c r="T497" s="11">
        <v>2061</v>
      </c>
      <c r="U497" s="11">
        <v>4251</v>
      </c>
      <c r="AW497" t="str">
        <f>IF(Tabela4[[#This Row],[JUSTIFICATIVA]]="","",CONCATENATE("B",Tabela4[[#This Row],[BLOCO]],Tabela4[[#This Row],[UO_COD]]))</f>
        <v/>
      </c>
      <c r="AX497">
        <f>Tabela4[[#This Row],[JUSTIFICATIVA]]</f>
        <v>0</v>
      </c>
    </row>
    <row r="498" spans="1:50" ht="15" customHeight="1">
      <c r="A498" s="11">
        <v>2061</v>
      </c>
      <c r="B498" s="11">
        <v>4254</v>
      </c>
      <c r="C498" s="12" t="str">
        <f t="shared" si="17"/>
        <v>20614254</v>
      </c>
      <c r="D498" s="11" t="s">
        <v>322</v>
      </c>
      <c r="E498" s="11" t="s">
        <v>690</v>
      </c>
      <c r="F498" s="11" t="s">
        <v>719</v>
      </c>
      <c r="G498" s="11">
        <v>0</v>
      </c>
      <c r="T498" s="11">
        <v>2061</v>
      </c>
      <c r="U498" s="11">
        <v>4254</v>
      </c>
      <c r="AW498" t="str">
        <f>IF(Tabela4[[#This Row],[JUSTIFICATIVA]]="","",CONCATENATE("B",Tabela4[[#This Row],[BLOCO]],Tabela4[[#This Row],[UO_COD]]))</f>
        <v/>
      </c>
      <c r="AX498">
        <f>Tabela4[[#This Row],[JUSTIFICATIVA]]</f>
        <v>0</v>
      </c>
    </row>
    <row r="499" spans="1:50" ht="15" customHeight="1">
      <c r="A499" s="11">
        <v>2061</v>
      </c>
      <c r="B499" s="11">
        <v>4255</v>
      </c>
      <c r="C499" s="12" t="str">
        <f t="shared" si="17"/>
        <v>20614255</v>
      </c>
      <c r="D499" s="11" t="s">
        <v>322</v>
      </c>
      <c r="E499" s="11" t="s">
        <v>690</v>
      </c>
      <c r="F499" s="11" t="s">
        <v>719</v>
      </c>
      <c r="G499" s="11">
        <v>0</v>
      </c>
      <c r="T499" s="11">
        <v>2061</v>
      </c>
      <c r="U499" s="11">
        <v>4255</v>
      </c>
      <c r="AW499" t="str">
        <f>IF(Tabela4[[#This Row],[JUSTIFICATIVA]]="","",CONCATENATE("B",Tabela4[[#This Row],[BLOCO]],Tabela4[[#This Row],[UO_COD]]))</f>
        <v/>
      </c>
      <c r="AX499">
        <f>Tabela4[[#This Row],[JUSTIFICATIVA]]</f>
        <v>0</v>
      </c>
    </row>
    <row r="500" spans="1:50" ht="15" customHeight="1">
      <c r="A500" s="11">
        <v>2061</v>
      </c>
      <c r="B500" s="11">
        <v>4257</v>
      </c>
      <c r="C500" s="12" t="str">
        <f t="shared" si="17"/>
        <v>20614257</v>
      </c>
      <c r="D500" s="11" t="s">
        <v>322</v>
      </c>
      <c r="E500" s="11" t="s">
        <v>690</v>
      </c>
      <c r="F500" s="11" t="s">
        <v>719</v>
      </c>
      <c r="G500" s="11">
        <v>0</v>
      </c>
      <c r="T500" s="11">
        <v>2061</v>
      </c>
      <c r="U500" s="11">
        <v>4257</v>
      </c>
      <c r="AW500" t="str">
        <f>IF(Tabela4[[#This Row],[JUSTIFICATIVA]]="","",CONCATENATE("B",Tabela4[[#This Row],[BLOCO]],Tabela4[[#This Row],[UO_COD]]))</f>
        <v/>
      </c>
      <c r="AX500">
        <f>Tabela4[[#This Row],[JUSTIFICATIVA]]</f>
        <v>0</v>
      </c>
    </row>
    <row r="501" spans="1:50" ht="15" customHeight="1">
      <c r="A501" s="11">
        <v>2061</v>
      </c>
      <c r="B501" s="11">
        <v>7004</v>
      </c>
      <c r="C501" s="12" t="str">
        <f t="shared" si="17"/>
        <v>20617004</v>
      </c>
      <c r="D501" s="11" t="s">
        <v>459</v>
      </c>
      <c r="E501" s="11" t="s">
        <v>460</v>
      </c>
      <c r="F501" s="11" t="s">
        <v>461</v>
      </c>
      <c r="G501" s="11">
        <v>0</v>
      </c>
      <c r="T501" s="11">
        <v>2061</v>
      </c>
      <c r="U501" s="11">
        <v>7004</v>
      </c>
      <c r="AW501" t="str">
        <f>IF(Tabela4[[#This Row],[JUSTIFICATIVA]]="","",CONCATENATE("B",Tabela4[[#This Row],[BLOCO]],Tabela4[[#This Row],[UO_COD]]))</f>
        <v/>
      </c>
      <c r="AX501">
        <f>Tabela4[[#This Row],[JUSTIFICATIVA]]</f>
        <v>0</v>
      </c>
    </row>
    <row r="502" spans="1:50" ht="15" customHeight="1">
      <c r="A502" s="11">
        <v>2071</v>
      </c>
      <c r="B502" s="11">
        <v>1068</v>
      </c>
      <c r="C502" s="12" t="str">
        <f t="shared" si="17"/>
        <v>20711068</v>
      </c>
      <c r="D502" s="11" t="s">
        <v>589</v>
      </c>
      <c r="E502" s="11" t="s">
        <v>590</v>
      </c>
      <c r="F502" s="11" t="s">
        <v>591</v>
      </c>
      <c r="G502" s="11">
        <v>1</v>
      </c>
      <c r="T502" s="11">
        <v>2071</v>
      </c>
      <c r="U502" s="11">
        <v>1068</v>
      </c>
      <c r="AW502" t="str">
        <f>IF(Tabela4[[#This Row],[JUSTIFICATIVA]]="","",CONCATENATE("B",Tabela4[[#This Row],[BLOCO]],Tabela4[[#This Row],[UO_COD]]))</f>
        <v/>
      </c>
      <c r="AX502">
        <f>Tabela4[[#This Row],[JUSTIFICATIVA]]</f>
        <v>0</v>
      </c>
    </row>
    <row r="503" spans="1:50" ht="15" customHeight="1">
      <c r="A503" s="11">
        <v>2071</v>
      </c>
      <c r="B503" s="11">
        <v>1069</v>
      </c>
      <c r="C503" s="12" t="str">
        <f t="shared" si="17"/>
        <v>20711069</v>
      </c>
      <c r="D503" s="11" t="s">
        <v>589</v>
      </c>
      <c r="E503" s="11" t="s">
        <v>590</v>
      </c>
      <c r="F503" s="11" t="s">
        <v>591</v>
      </c>
      <c r="G503" s="11">
        <v>1</v>
      </c>
      <c r="T503" s="11">
        <v>2071</v>
      </c>
      <c r="U503" s="11">
        <v>1069</v>
      </c>
      <c r="AW503" t="str">
        <f>IF(Tabela4[[#This Row],[JUSTIFICATIVA]]="","",CONCATENATE("B",Tabela4[[#This Row],[BLOCO]],Tabela4[[#This Row],[UO_COD]]))</f>
        <v/>
      </c>
      <c r="AX503">
        <f>Tabela4[[#This Row],[JUSTIFICATIVA]]</f>
        <v>0</v>
      </c>
    </row>
    <row r="504" spans="1:50" ht="15" customHeight="1">
      <c r="A504" s="11">
        <v>2071</v>
      </c>
      <c r="B504" s="11">
        <v>1087</v>
      </c>
      <c r="C504" s="12" t="str">
        <f t="shared" si="17"/>
        <v>20711087</v>
      </c>
      <c r="D504" s="11" t="s">
        <v>589</v>
      </c>
      <c r="E504" s="11" t="s">
        <v>592</v>
      </c>
      <c r="F504" s="11" t="s">
        <v>591</v>
      </c>
      <c r="G504" s="11">
        <v>1</v>
      </c>
      <c r="T504" s="11">
        <v>2071</v>
      </c>
      <c r="U504" s="11">
        <v>1087</v>
      </c>
      <c r="AW504" t="str">
        <f>IF(Tabela4[[#This Row],[JUSTIFICATIVA]]="","",CONCATENATE("B",Tabela4[[#This Row],[BLOCO]],Tabela4[[#This Row],[UO_COD]]))</f>
        <v/>
      </c>
      <c r="AX504">
        <f>Tabela4[[#This Row],[JUSTIFICATIVA]]</f>
        <v>0</v>
      </c>
    </row>
    <row r="505" spans="1:50" ht="15" customHeight="1">
      <c r="A505" s="11">
        <v>2071</v>
      </c>
      <c r="B505" s="11">
        <v>1088</v>
      </c>
      <c r="C505" s="12" t="str">
        <f t="shared" si="17"/>
        <v>20711088</v>
      </c>
      <c r="D505" s="11" t="s">
        <v>589</v>
      </c>
      <c r="E505" s="11" t="s">
        <v>592</v>
      </c>
      <c r="F505" s="11" t="s">
        <v>591</v>
      </c>
      <c r="G505" s="11">
        <v>1</v>
      </c>
      <c r="T505" s="11">
        <v>2071</v>
      </c>
      <c r="U505" s="11">
        <v>1088</v>
      </c>
      <c r="AW505" t="str">
        <f>IF(Tabela4[[#This Row],[JUSTIFICATIVA]]="","",CONCATENATE("B",Tabela4[[#This Row],[BLOCO]],Tabela4[[#This Row],[UO_COD]]))</f>
        <v/>
      </c>
      <c r="AX505">
        <f>Tabela4[[#This Row],[JUSTIFICATIVA]]</f>
        <v>0</v>
      </c>
    </row>
    <row r="506" spans="1:50" ht="15" customHeight="1">
      <c r="A506" s="11">
        <v>2071</v>
      </c>
      <c r="B506" s="11">
        <v>2417</v>
      </c>
      <c r="C506" s="12" t="str">
        <f t="shared" si="17"/>
        <v>20712417</v>
      </c>
      <c r="D506" s="11" t="s">
        <v>589</v>
      </c>
      <c r="E506" s="11" t="s">
        <v>592</v>
      </c>
      <c r="F506" s="11" t="s">
        <v>461</v>
      </c>
      <c r="G506" s="11">
        <v>0</v>
      </c>
      <c r="T506" s="11">
        <v>2071</v>
      </c>
      <c r="U506" s="11">
        <v>2417</v>
      </c>
      <c r="AW506" t="str">
        <f>IF(Tabela4[[#This Row],[JUSTIFICATIVA]]="","",CONCATENATE("B",Tabela4[[#This Row],[BLOCO]],Tabela4[[#This Row],[UO_COD]]))</f>
        <v/>
      </c>
      <c r="AX506">
        <f>Tabela4[[#This Row],[JUSTIFICATIVA]]</f>
        <v>0</v>
      </c>
    </row>
    <row r="507" spans="1:50" ht="15" customHeight="1">
      <c r="A507" s="11">
        <v>2071</v>
      </c>
      <c r="B507" s="11">
        <v>2500</v>
      </c>
      <c r="C507" s="12" t="str">
        <f t="shared" si="17"/>
        <v>20712500</v>
      </c>
      <c r="D507" s="11" t="s">
        <v>589</v>
      </c>
      <c r="E507" s="11" t="s">
        <v>470</v>
      </c>
      <c r="F507" s="11" t="s">
        <v>461</v>
      </c>
      <c r="G507" s="11">
        <v>0</v>
      </c>
      <c r="T507" s="11">
        <v>2071</v>
      </c>
      <c r="U507" s="11">
        <v>2500</v>
      </c>
      <c r="AW507" t="str">
        <f>IF(Tabela4[[#This Row],[JUSTIFICATIVA]]="","",CONCATENATE("B",Tabela4[[#This Row],[BLOCO]],Tabela4[[#This Row],[UO_COD]]))</f>
        <v/>
      </c>
      <c r="AX507">
        <f>Tabela4[[#This Row],[JUSTIFICATIVA]]</f>
        <v>0</v>
      </c>
    </row>
    <row r="508" spans="1:50" ht="15" customHeight="1">
      <c r="A508" s="11">
        <v>2071</v>
      </c>
      <c r="B508" s="11">
        <v>4048</v>
      </c>
      <c r="C508" s="12" t="str">
        <f t="shared" si="17"/>
        <v>20714048</v>
      </c>
      <c r="D508" s="11" t="s">
        <v>589</v>
      </c>
      <c r="E508" s="11" t="s">
        <v>592</v>
      </c>
      <c r="F508" s="11" t="s">
        <v>720</v>
      </c>
      <c r="G508" s="11">
        <v>0</v>
      </c>
      <c r="T508" s="11">
        <v>2071</v>
      </c>
      <c r="U508" s="11">
        <v>4048</v>
      </c>
      <c r="AW508" t="str">
        <f>IF(Tabela4[[#This Row],[JUSTIFICATIVA]]="","",CONCATENATE("B",Tabela4[[#This Row],[BLOCO]],Tabela4[[#This Row],[UO_COD]]))</f>
        <v/>
      </c>
      <c r="AX508">
        <f>Tabela4[[#This Row],[JUSTIFICATIVA]]</f>
        <v>0</v>
      </c>
    </row>
    <row r="509" spans="1:50" ht="15" customHeight="1">
      <c r="A509" s="11">
        <v>2071</v>
      </c>
      <c r="B509" s="11">
        <v>4362</v>
      </c>
      <c r="C509" s="12" t="str">
        <f t="shared" si="17"/>
        <v>20714362</v>
      </c>
      <c r="D509" s="11" t="s">
        <v>589</v>
      </c>
      <c r="E509" s="11" t="s">
        <v>590</v>
      </c>
      <c r="F509" s="11" t="s">
        <v>720</v>
      </c>
      <c r="G509" s="11">
        <v>0</v>
      </c>
      <c r="T509" s="11">
        <v>2071</v>
      </c>
      <c r="U509" s="11">
        <v>4362</v>
      </c>
      <c r="AW509" t="str">
        <f>IF(Tabela4[[#This Row],[JUSTIFICATIVA]]="","",CONCATENATE("B",Tabela4[[#This Row],[BLOCO]],Tabela4[[#This Row],[UO_COD]]))</f>
        <v/>
      </c>
      <c r="AX509">
        <f>Tabela4[[#This Row],[JUSTIFICATIVA]]</f>
        <v>0</v>
      </c>
    </row>
    <row r="510" spans="1:50" ht="15" customHeight="1">
      <c r="A510" s="11">
        <v>2071</v>
      </c>
      <c r="B510" s="11">
        <v>4387</v>
      </c>
      <c r="C510" s="12" t="str">
        <f t="shared" si="17"/>
        <v>20714387</v>
      </c>
      <c r="D510" s="11" t="s">
        <v>589</v>
      </c>
      <c r="E510" s="11" t="s">
        <v>592</v>
      </c>
      <c r="F510" s="11" t="s">
        <v>720</v>
      </c>
      <c r="G510" s="11">
        <v>0</v>
      </c>
      <c r="T510" s="11">
        <v>2071</v>
      </c>
      <c r="U510" s="11">
        <v>4387</v>
      </c>
      <c r="AW510" t="str">
        <f>IF(Tabela4[[#This Row],[JUSTIFICATIVA]]="","",CONCATENATE("B",Tabela4[[#This Row],[BLOCO]],Tabela4[[#This Row],[UO_COD]]))</f>
        <v/>
      </c>
      <c r="AX510">
        <f>Tabela4[[#This Row],[JUSTIFICATIVA]]</f>
        <v>0</v>
      </c>
    </row>
    <row r="511" spans="1:50" ht="15" customHeight="1">
      <c r="A511" s="11">
        <v>2071</v>
      </c>
      <c r="B511" s="11">
        <v>4389</v>
      </c>
      <c r="C511" s="12" t="str">
        <f t="shared" si="17"/>
        <v>20714389</v>
      </c>
      <c r="D511" s="11" t="s">
        <v>589</v>
      </c>
      <c r="E511" s="11" t="s">
        <v>721</v>
      </c>
      <c r="F511" s="11" t="s">
        <v>720</v>
      </c>
      <c r="G511" s="11">
        <v>0</v>
      </c>
      <c r="T511" s="11">
        <v>2071</v>
      </c>
      <c r="U511" s="11">
        <v>4389</v>
      </c>
      <c r="AW511" t="str">
        <f>IF(Tabela4[[#This Row],[JUSTIFICATIVA]]="","",CONCATENATE("B",Tabela4[[#This Row],[BLOCO]],Tabela4[[#This Row],[UO_COD]]))</f>
        <v/>
      </c>
      <c r="AX511">
        <f>Tabela4[[#This Row],[JUSTIFICATIVA]]</f>
        <v>0</v>
      </c>
    </row>
    <row r="512" spans="1:50" ht="15" customHeight="1">
      <c r="A512" s="11">
        <v>2071</v>
      </c>
      <c r="B512" s="11">
        <v>4513</v>
      </c>
      <c r="C512" s="12" t="str">
        <f t="shared" si="17"/>
        <v>20714513</v>
      </c>
      <c r="D512" s="11" t="s">
        <v>589</v>
      </c>
      <c r="E512" s="11" t="s">
        <v>592</v>
      </c>
      <c r="F512" s="11" t="s">
        <v>720</v>
      </c>
      <c r="G512" s="11">
        <v>0</v>
      </c>
      <c r="T512" s="11">
        <v>2071</v>
      </c>
      <c r="U512" s="11">
        <v>4513</v>
      </c>
      <c r="AW512" t="str">
        <f>IF(Tabela4[[#This Row],[JUSTIFICATIVA]]="","",CONCATENATE("B",Tabela4[[#This Row],[BLOCO]],Tabela4[[#This Row],[UO_COD]]))</f>
        <v/>
      </c>
      <c r="AX512">
        <f>Tabela4[[#This Row],[JUSTIFICATIVA]]</f>
        <v>0</v>
      </c>
    </row>
    <row r="513" spans="1:50" ht="15" customHeight="1">
      <c r="A513" s="11">
        <v>2071</v>
      </c>
      <c r="B513" s="11">
        <v>7004</v>
      </c>
      <c r="C513" s="12" t="str">
        <f t="shared" si="17"/>
        <v>20717004</v>
      </c>
      <c r="D513" s="11" t="s">
        <v>459</v>
      </c>
      <c r="E513" s="11" t="s">
        <v>460</v>
      </c>
      <c r="F513" s="11" t="s">
        <v>461</v>
      </c>
      <c r="G513" s="11">
        <v>0</v>
      </c>
      <c r="T513" s="11">
        <v>2071</v>
      </c>
      <c r="U513" s="11">
        <v>7004</v>
      </c>
      <c r="AW513" t="str">
        <f>IF(Tabela4[[#This Row],[JUSTIFICATIVA]]="","",CONCATENATE("B",Tabela4[[#This Row],[BLOCO]],Tabela4[[#This Row],[UO_COD]]))</f>
        <v/>
      </c>
      <c r="AX513">
        <f>Tabela4[[#This Row],[JUSTIFICATIVA]]</f>
        <v>0</v>
      </c>
    </row>
    <row r="514" spans="1:50" ht="15" customHeight="1">
      <c r="A514" s="11">
        <v>2091</v>
      </c>
      <c r="B514" s="11">
        <v>2417</v>
      </c>
      <c r="C514" s="12" t="str">
        <f t="shared" ref="C514:C577" si="18">CONCATENATE(A514,B514)</f>
        <v>20912417</v>
      </c>
      <c r="D514" s="11" t="s">
        <v>646</v>
      </c>
      <c r="E514" s="11" t="s">
        <v>470</v>
      </c>
      <c r="F514" s="11" t="s">
        <v>461</v>
      </c>
      <c r="G514" s="11">
        <v>0</v>
      </c>
      <c r="T514" s="11">
        <v>2091</v>
      </c>
      <c r="U514" s="11">
        <v>2417</v>
      </c>
      <c r="AW514" t="str">
        <f>IF(Tabela4[[#This Row],[JUSTIFICATIVA]]="","",CONCATENATE("B",Tabela4[[#This Row],[BLOCO]],Tabela4[[#This Row],[UO_COD]]))</f>
        <v/>
      </c>
      <c r="AX514">
        <f>Tabela4[[#This Row],[JUSTIFICATIVA]]</f>
        <v>0</v>
      </c>
    </row>
    <row r="515" spans="1:50" ht="15" customHeight="1">
      <c r="A515" s="11">
        <v>2091</v>
      </c>
      <c r="B515" s="11">
        <v>2500</v>
      </c>
      <c r="C515" s="12" t="str">
        <f t="shared" si="18"/>
        <v>20912500</v>
      </c>
      <c r="D515" s="11" t="s">
        <v>646</v>
      </c>
      <c r="E515" s="11" t="s">
        <v>470</v>
      </c>
      <c r="F515" s="11" t="s">
        <v>461</v>
      </c>
      <c r="G515" s="11">
        <v>0</v>
      </c>
      <c r="T515" s="11">
        <v>2091</v>
      </c>
      <c r="U515" s="11">
        <v>2500</v>
      </c>
      <c r="AW515" t="str">
        <f>IF(Tabela4[[#This Row],[JUSTIFICATIVA]]="","",CONCATENATE("B",Tabela4[[#This Row],[BLOCO]],Tabela4[[#This Row],[UO_COD]]))</f>
        <v/>
      </c>
      <c r="AX515">
        <f>Tabela4[[#This Row],[JUSTIFICATIVA]]</f>
        <v>0</v>
      </c>
    </row>
    <row r="516" spans="1:50" ht="15" customHeight="1">
      <c r="A516" s="11">
        <v>2091</v>
      </c>
      <c r="B516" s="11">
        <v>4069</v>
      </c>
      <c r="C516" s="12" t="str">
        <f t="shared" si="18"/>
        <v>20914069</v>
      </c>
      <c r="D516" s="11" t="s">
        <v>646</v>
      </c>
      <c r="E516" s="11" t="s">
        <v>651</v>
      </c>
      <c r="F516" s="11" t="s">
        <v>563</v>
      </c>
      <c r="G516" s="11">
        <v>0</v>
      </c>
      <c r="T516" s="11">
        <v>2091</v>
      </c>
      <c r="U516" s="11">
        <v>4069</v>
      </c>
      <c r="AW516" t="str">
        <f>IF(Tabela4[[#This Row],[JUSTIFICATIVA]]="","",CONCATENATE("B",Tabela4[[#This Row],[BLOCO]],Tabela4[[#This Row],[UO_COD]]))</f>
        <v/>
      </c>
      <c r="AX516">
        <f>Tabela4[[#This Row],[JUSTIFICATIVA]]</f>
        <v>0</v>
      </c>
    </row>
    <row r="517" spans="1:50" ht="15" customHeight="1">
      <c r="A517" s="11">
        <v>2091</v>
      </c>
      <c r="B517" s="11">
        <v>4070</v>
      </c>
      <c r="C517" s="12" t="str">
        <f t="shared" si="18"/>
        <v>20914070</v>
      </c>
      <c r="D517" s="11" t="s">
        <v>646</v>
      </c>
      <c r="E517" s="11" t="s">
        <v>722</v>
      </c>
      <c r="F517" s="11" t="s">
        <v>563</v>
      </c>
      <c r="G517" s="11">
        <v>0</v>
      </c>
      <c r="T517" s="11">
        <v>2091</v>
      </c>
      <c r="U517" s="11">
        <v>4070</v>
      </c>
      <c r="AW517" t="str">
        <f>IF(Tabela4[[#This Row],[JUSTIFICATIVA]]="","",CONCATENATE("B",Tabela4[[#This Row],[BLOCO]],Tabela4[[#This Row],[UO_COD]]))</f>
        <v/>
      </c>
      <c r="AX517">
        <f>Tabela4[[#This Row],[JUSTIFICATIVA]]</f>
        <v>0</v>
      </c>
    </row>
    <row r="518" spans="1:50" ht="15" customHeight="1">
      <c r="A518" s="11">
        <v>2091</v>
      </c>
      <c r="B518" s="11">
        <v>4071</v>
      </c>
      <c r="C518" s="12" t="str">
        <f t="shared" si="18"/>
        <v>20914071</v>
      </c>
      <c r="D518" s="11" t="s">
        <v>646</v>
      </c>
      <c r="E518" s="11" t="s">
        <v>647</v>
      </c>
      <c r="F518" s="11" t="s">
        <v>723</v>
      </c>
      <c r="G518" s="11">
        <v>0</v>
      </c>
      <c r="T518" s="11">
        <v>2091</v>
      </c>
      <c r="U518" s="11">
        <v>4071</v>
      </c>
      <c r="AW518" t="str">
        <f>IF(Tabela4[[#This Row],[JUSTIFICATIVA]]="","",CONCATENATE("B",Tabela4[[#This Row],[BLOCO]],Tabela4[[#This Row],[UO_COD]]))</f>
        <v/>
      </c>
      <c r="AX518">
        <f>Tabela4[[#This Row],[JUSTIFICATIVA]]</f>
        <v>0</v>
      </c>
    </row>
    <row r="519" spans="1:50" ht="15" customHeight="1">
      <c r="A519" s="11">
        <v>2091</v>
      </c>
      <c r="B519" s="11">
        <v>4072</v>
      </c>
      <c r="C519" s="12" t="str">
        <f t="shared" si="18"/>
        <v>20914072</v>
      </c>
      <c r="D519" s="11" t="s">
        <v>646</v>
      </c>
      <c r="E519" s="11" t="s">
        <v>647</v>
      </c>
      <c r="F519" s="11" t="s">
        <v>723</v>
      </c>
      <c r="G519" s="11">
        <v>0</v>
      </c>
      <c r="T519" s="11">
        <v>2091</v>
      </c>
      <c r="U519" s="11">
        <v>4072</v>
      </c>
      <c r="AW519" t="str">
        <f>IF(Tabela4[[#This Row],[JUSTIFICATIVA]]="","",CONCATENATE("B",Tabela4[[#This Row],[BLOCO]],Tabela4[[#This Row],[UO_COD]]))</f>
        <v/>
      </c>
      <c r="AX519">
        <f>Tabela4[[#This Row],[JUSTIFICATIVA]]</f>
        <v>0</v>
      </c>
    </row>
    <row r="520" spans="1:50" ht="15" customHeight="1">
      <c r="A520" s="11">
        <v>2091</v>
      </c>
      <c r="B520" s="11">
        <v>7004</v>
      </c>
      <c r="C520" s="12" t="str">
        <f t="shared" si="18"/>
        <v>20917004</v>
      </c>
      <c r="D520" s="11" t="s">
        <v>459</v>
      </c>
      <c r="E520" s="11" t="s">
        <v>460</v>
      </c>
      <c r="F520" s="11" t="s">
        <v>461</v>
      </c>
      <c r="G520" s="11">
        <v>0</v>
      </c>
      <c r="T520" s="11">
        <v>2091</v>
      </c>
      <c r="U520" s="11">
        <v>7004</v>
      </c>
      <c r="AW520" t="str">
        <f>IF(Tabela4[[#This Row],[JUSTIFICATIVA]]="","",CONCATENATE("B",Tabela4[[#This Row],[BLOCO]],Tabela4[[#This Row],[UO_COD]]))</f>
        <v/>
      </c>
      <c r="AX520">
        <f>Tabela4[[#This Row],[JUSTIFICATIVA]]</f>
        <v>0</v>
      </c>
    </row>
    <row r="521" spans="1:50" ht="15" customHeight="1">
      <c r="A521" s="11">
        <v>2101</v>
      </c>
      <c r="B521" s="11">
        <v>2417</v>
      </c>
      <c r="C521" s="12" t="str">
        <f t="shared" si="18"/>
        <v>21012417</v>
      </c>
      <c r="D521" s="11" t="s">
        <v>646</v>
      </c>
      <c r="E521" s="11" t="s">
        <v>470</v>
      </c>
      <c r="F521" s="11" t="s">
        <v>461</v>
      </c>
      <c r="G521" s="11">
        <v>0</v>
      </c>
      <c r="T521" s="11">
        <v>2101</v>
      </c>
      <c r="U521" s="11">
        <v>2417</v>
      </c>
      <c r="AW521" t="str">
        <f>IF(Tabela4[[#This Row],[JUSTIFICATIVA]]="","",CONCATENATE("B",Tabela4[[#This Row],[BLOCO]],Tabela4[[#This Row],[UO_COD]]))</f>
        <v/>
      </c>
      <c r="AX521">
        <f>Tabela4[[#This Row],[JUSTIFICATIVA]]</f>
        <v>0</v>
      </c>
    </row>
    <row r="522" spans="1:50" ht="15" customHeight="1">
      <c r="A522" s="11">
        <v>2101</v>
      </c>
      <c r="B522" s="11">
        <v>2500</v>
      </c>
      <c r="C522" s="12" t="str">
        <f t="shared" si="18"/>
        <v>21012500</v>
      </c>
      <c r="D522" s="11" t="s">
        <v>646</v>
      </c>
      <c r="E522" s="11" t="s">
        <v>470</v>
      </c>
      <c r="F522" s="11" t="s">
        <v>461</v>
      </c>
      <c r="G522" s="11">
        <v>0</v>
      </c>
      <c r="T522" s="11">
        <v>2101</v>
      </c>
      <c r="U522" s="11">
        <v>2500</v>
      </c>
      <c r="AW522" t="str">
        <f>IF(Tabela4[[#This Row],[JUSTIFICATIVA]]="","",CONCATENATE("B",Tabela4[[#This Row],[BLOCO]],Tabela4[[#This Row],[UO_COD]]))</f>
        <v/>
      </c>
      <c r="AX522">
        <f>Tabela4[[#This Row],[JUSTIFICATIVA]]</f>
        <v>0</v>
      </c>
    </row>
    <row r="523" spans="1:50" ht="15" customHeight="1">
      <c r="A523" s="11">
        <v>2101</v>
      </c>
      <c r="B523" s="11">
        <v>4054</v>
      </c>
      <c r="C523" s="12" t="str">
        <f t="shared" si="18"/>
        <v>21014054</v>
      </c>
      <c r="D523" s="11" t="s">
        <v>646</v>
      </c>
      <c r="E523" s="11" t="s">
        <v>651</v>
      </c>
      <c r="F523" s="11" t="s">
        <v>452</v>
      </c>
      <c r="G523" s="11">
        <v>0</v>
      </c>
      <c r="T523" s="11">
        <v>2101</v>
      </c>
      <c r="U523" s="11">
        <v>4054</v>
      </c>
      <c r="AW523" t="str">
        <f>IF(Tabela4[[#This Row],[JUSTIFICATIVA]]="","",CONCATENATE("B",Tabela4[[#This Row],[BLOCO]],Tabela4[[#This Row],[UO_COD]]))</f>
        <v/>
      </c>
      <c r="AX523">
        <f>Tabela4[[#This Row],[JUSTIFICATIVA]]</f>
        <v>0</v>
      </c>
    </row>
    <row r="524" spans="1:50" ht="15" customHeight="1">
      <c r="A524" s="11">
        <v>2101</v>
      </c>
      <c r="B524" s="11">
        <v>4055</v>
      </c>
      <c r="C524" s="12" t="str">
        <f t="shared" si="18"/>
        <v>21014055</v>
      </c>
      <c r="D524" s="11" t="s">
        <v>646</v>
      </c>
      <c r="E524" s="11" t="s">
        <v>647</v>
      </c>
      <c r="F524" s="11" t="s">
        <v>452</v>
      </c>
      <c r="G524" s="11">
        <v>0</v>
      </c>
      <c r="T524" s="11">
        <v>2101</v>
      </c>
      <c r="U524" s="11">
        <v>4055</v>
      </c>
      <c r="AW524" t="str">
        <f>IF(Tabela4[[#This Row],[JUSTIFICATIVA]]="","",CONCATENATE("B",Tabela4[[#This Row],[BLOCO]],Tabela4[[#This Row],[UO_COD]]))</f>
        <v/>
      </c>
      <c r="AX524">
        <f>Tabela4[[#This Row],[JUSTIFICATIVA]]</f>
        <v>0</v>
      </c>
    </row>
    <row r="525" spans="1:50" ht="15" customHeight="1">
      <c r="A525" s="11">
        <v>2101</v>
      </c>
      <c r="B525" s="11">
        <v>4056</v>
      </c>
      <c r="C525" s="12" t="str">
        <f t="shared" si="18"/>
        <v>21014056</v>
      </c>
      <c r="D525" s="11" t="s">
        <v>646</v>
      </c>
      <c r="E525" s="11" t="s">
        <v>722</v>
      </c>
      <c r="F525" s="11" t="s">
        <v>452</v>
      </c>
      <c r="G525" s="11">
        <v>0</v>
      </c>
      <c r="T525" s="11">
        <v>2101</v>
      </c>
      <c r="U525" s="11">
        <v>4056</v>
      </c>
      <c r="AW525" t="str">
        <f>IF(Tabela4[[#This Row],[JUSTIFICATIVA]]="","",CONCATENATE("B",Tabela4[[#This Row],[BLOCO]],Tabela4[[#This Row],[UO_COD]]))</f>
        <v/>
      </c>
      <c r="AX525">
        <f>Tabela4[[#This Row],[JUSTIFICATIVA]]</f>
        <v>0</v>
      </c>
    </row>
    <row r="526" spans="1:50" ht="15" customHeight="1">
      <c r="A526" s="11">
        <v>2101</v>
      </c>
      <c r="B526" s="11">
        <v>4057</v>
      </c>
      <c r="C526" s="12" t="str">
        <f t="shared" si="18"/>
        <v>21014057</v>
      </c>
      <c r="D526" s="11" t="s">
        <v>646</v>
      </c>
      <c r="E526" s="11" t="s">
        <v>651</v>
      </c>
      <c r="F526" s="11" t="s">
        <v>452</v>
      </c>
      <c r="G526" s="11">
        <v>0</v>
      </c>
      <c r="T526" s="11">
        <v>2101</v>
      </c>
      <c r="U526" s="11">
        <v>4057</v>
      </c>
      <c r="AW526" t="str">
        <f>IF(Tabela4[[#This Row],[JUSTIFICATIVA]]="","",CONCATENATE("B",Tabela4[[#This Row],[BLOCO]],Tabela4[[#This Row],[UO_COD]]))</f>
        <v/>
      </c>
      <c r="AX526">
        <f>Tabela4[[#This Row],[JUSTIFICATIVA]]</f>
        <v>0</v>
      </c>
    </row>
    <row r="527" spans="1:50" ht="15" customHeight="1">
      <c r="A527" s="11">
        <v>2101</v>
      </c>
      <c r="B527" s="11">
        <v>4058</v>
      </c>
      <c r="C527" s="12" t="str">
        <f t="shared" si="18"/>
        <v>21014058</v>
      </c>
      <c r="D527" s="11" t="s">
        <v>646</v>
      </c>
      <c r="E527" s="11" t="s">
        <v>651</v>
      </c>
      <c r="F527" s="11" t="s">
        <v>452</v>
      </c>
      <c r="G527" s="11">
        <v>0</v>
      </c>
      <c r="T527" s="11">
        <v>2101</v>
      </c>
      <c r="U527" s="11">
        <v>4058</v>
      </c>
      <c r="AW527" t="str">
        <f>IF(Tabela4[[#This Row],[JUSTIFICATIVA]]="","",CONCATENATE("B",Tabela4[[#This Row],[BLOCO]],Tabela4[[#This Row],[UO_COD]]))</f>
        <v/>
      </c>
      <c r="AX527">
        <f>Tabela4[[#This Row],[JUSTIFICATIVA]]</f>
        <v>0</v>
      </c>
    </row>
    <row r="528" spans="1:50" ht="15" customHeight="1">
      <c r="A528" s="11">
        <v>2101</v>
      </c>
      <c r="B528" s="11">
        <v>4059</v>
      </c>
      <c r="C528" s="12" t="str">
        <f t="shared" si="18"/>
        <v>21014059</v>
      </c>
      <c r="D528" s="11" t="s">
        <v>646</v>
      </c>
      <c r="E528" s="11" t="s">
        <v>651</v>
      </c>
      <c r="F528" s="11" t="s">
        <v>452</v>
      </c>
      <c r="G528" s="11">
        <v>0</v>
      </c>
      <c r="T528" s="11">
        <v>2101</v>
      </c>
      <c r="U528" s="11">
        <v>4059</v>
      </c>
      <c r="AW528" t="str">
        <f>IF(Tabela4[[#This Row],[JUSTIFICATIVA]]="","",CONCATENATE("B",Tabela4[[#This Row],[BLOCO]],Tabela4[[#This Row],[UO_COD]]))</f>
        <v/>
      </c>
      <c r="AX528">
        <f>Tabela4[[#This Row],[JUSTIFICATIVA]]</f>
        <v>0</v>
      </c>
    </row>
    <row r="529" spans="1:50" ht="15" customHeight="1">
      <c r="A529" s="11">
        <v>2101</v>
      </c>
      <c r="B529" s="11">
        <v>4091</v>
      </c>
      <c r="C529" s="12" t="str">
        <f t="shared" si="18"/>
        <v>21014091</v>
      </c>
      <c r="D529" s="11" t="s">
        <v>646</v>
      </c>
      <c r="E529" s="11" t="s">
        <v>651</v>
      </c>
      <c r="F529" s="11" t="s">
        <v>525</v>
      </c>
      <c r="G529" s="11">
        <v>0</v>
      </c>
      <c r="T529" s="11">
        <v>2101</v>
      </c>
      <c r="U529" s="11">
        <v>4091</v>
      </c>
      <c r="AW529" t="str">
        <f>IF(Tabela4[[#This Row],[JUSTIFICATIVA]]="","",CONCATENATE("B",Tabela4[[#This Row],[BLOCO]],Tabela4[[#This Row],[UO_COD]]))</f>
        <v/>
      </c>
      <c r="AX529">
        <f>Tabela4[[#This Row],[JUSTIFICATIVA]]</f>
        <v>0</v>
      </c>
    </row>
    <row r="530" spans="1:50" ht="15" customHeight="1">
      <c r="A530" s="11">
        <v>2101</v>
      </c>
      <c r="B530" s="11">
        <v>4500</v>
      </c>
      <c r="C530" s="12" t="str">
        <f t="shared" si="18"/>
        <v>21014500</v>
      </c>
      <c r="D530" s="11" t="s">
        <v>646</v>
      </c>
      <c r="E530" s="11" t="s">
        <v>651</v>
      </c>
      <c r="F530" s="11" t="s">
        <v>452</v>
      </c>
      <c r="G530" s="11">
        <v>0</v>
      </c>
      <c r="T530" s="11">
        <v>2101</v>
      </c>
      <c r="U530" s="11">
        <v>4500</v>
      </c>
      <c r="AW530" t="str">
        <f>IF(Tabela4[[#This Row],[JUSTIFICATIVA]]="","",CONCATENATE("B",Tabela4[[#This Row],[BLOCO]],Tabela4[[#This Row],[UO_COD]]))</f>
        <v/>
      </c>
      <c r="AX530">
        <f>Tabela4[[#This Row],[JUSTIFICATIVA]]</f>
        <v>0</v>
      </c>
    </row>
    <row r="531" spans="1:50" ht="15" customHeight="1">
      <c r="A531" s="11">
        <v>2101</v>
      </c>
      <c r="B531" s="11">
        <v>7004</v>
      </c>
      <c r="C531" s="12" t="str">
        <f t="shared" si="18"/>
        <v>21017004</v>
      </c>
      <c r="D531" s="11" t="s">
        <v>459</v>
      </c>
      <c r="E531" s="11" t="s">
        <v>460</v>
      </c>
      <c r="F531" s="11" t="s">
        <v>461</v>
      </c>
      <c r="G531" s="11">
        <v>0</v>
      </c>
      <c r="T531" s="11">
        <v>2101</v>
      </c>
      <c r="U531" s="11">
        <v>7004</v>
      </c>
      <c r="AW531" t="str">
        <f>IF(Tabela4[[#This Row],[JUSTIFICATIVA]]="","",CONCATENATE("B",Tabela4[[#This Row],[BLOCO]],Tabela4[[#This Row],[UO_COD]]))</f>
        <v/>
      </c>
      <c r="AX531">
        <f>Tabela4[[#This Row],[JUSTIFICATIVA]]</f>
        <v>0</v>
      </c>
    </row>
    <row r="532" spans="1:50" ht="15" customHeight="1">
      <c r="A532" s="11">
        <v>2121</v>
      </c>
      <c r="B532" s="11">
        <v>2017</v>
      </c>
      <c r="C532" s="12" t="str">
        <f t="shared" si="18"/>
        <v>21212017</v>
      </c>
      <c r="D532" s="11" t="s">
        <v>609</v>
      </c>
      <c r="E532" s="11" t="s">
        <v>470</v>
      </c>
      <c r="F532" s="11" t="s">
        <v>461</v>
      </c>
      <c r="G532" s="11">
        <v>0</v>
      </c>
      <c r="T532" s="11">
        <v>2121</v>
      </c>
      <c r="U532" s="11">
        <v>2017</v>
      </c>
      <c r="AW532" t="str">
        <f>IF(Tabela4[[#This Row],[JUSTIFICATIVA]]="","",CONCATENATE("B",Tabela4[[#This Row],[BLOCO]],Tabela4[[#This Row],[UO_COD]]))</f>
        <v/>
      </c>
      <c r="AX532">
        <f>Tabela4[[#This Row],[JUSTIFICATIVA]]</f>
        <v>0</v>
      </c>
    </row>
    <row r="533" spans="1:50" ht="15" customHeight="1">
      <c r="A533" s="11">
        <v>2121</v>
      </c>
      <c r="B533" s="11">
        <v>2018</v>
      </c>
      <c r="C533" s="12" t="str">
        <f t="shared" si="18"/>
        <v>21212018</v>
      </c>
      <c r="D533" s="11" t="s">
        <v>70</v>
      </c>
      <c r="E533" s="11" t="s">
        <v>470</v>
      </c>
      <c r="F533" s="11" t="s">
        <v>461</v>
      </c>
      <c r="G533" s="11">
        <v>0</v>
      </c>
      <c r="T533" s="11">
        <v>2121</v>
      </c>
      <c r="U533" s="11">
        <v>2018</v>
      </c>
      <c r="AW533" t="str">
        <f>IF(Tabela4[[#This Row],[JUSTIFICATIVA]]="","",CONCATENATE("B",Tabela4[[#This Row],[BLOCO]],Tabela4[[#This Row],[UO_COD]]))</f>
        <v/>
      </c>
      <c r="AX533">
        <f>Tabela4[[#This Row],[JUSTIFICATIVA]]</f>
        <v>0</v>
      </c>
    </row>
    <row r="534" spans="1:50" ht="15" customHeight="1">
      <c r="A534" s="11">
        <v>2121</v>
      </c>
      <c r="B534" s="11">
        <v>2417</v>
      </c>
      <c r="C534" s="12" t="str">
        <f t="shared" si="18"/>
        <v>21212417</v>
      </c>
      <c r="D534" s="11" t="s">
        <v>70</v>
      </c>
      <c r="E534" s="11" t="s">
        <v>470</v>
      </c>
      <c r="F534" s="11" t="s">
        <v>461</v>
      </c>
      <c r="G534" s="11">
        <v>0</v>
      </c>
      <c r="T534" s="11">
        <v>2121</v>
      </c>
      <c r="U534" s="11">
        <v>2417</v>
      </c>
      <c r="AW534" t="str">
        <f>IF(Tabela4[[#This Row],[JUSTIFICATIVA]]="","",CONCATENATE("B",Tabela4[[#This Row],[BLOCO]],Tabela4[[#This Row],[UO_COD]]))</f>
        <v/>
      </c>
      <c r="AX534">
        <f>Tabela4[[#This Row],[JUSTIFICATIVA]]</f>
        <v>0</v>
      </c>
    </row>
    <row r="535" spans="1:50" ht="15" customHeight="1">
      <c r="A535" s="11">
        <v>2121</v>
      </c>
      <c r="B535" s="11">
        <v>4008</v>
      </c>
      <c r="C535" s="12" t="str">
        <f t="shared" si="18"/>
        <v>21214008</v>
      </c>
      <c r="D535" s="11" t="s">
        <v>609</v>
      </c>
      <c r="E535" s="11" t="s">
        <v>610</v>
      </c>
      <c r="F535" s="11" t="s">
        <v>724</v>
      </c>
      <c r="G535" s="11">
        <v>0</v>
      </c>
      <c r="T535" s="11">
        <v>2121</v>
      </c>
      <c r="U535" s="11">
        <v>4008</v>
      </c>
      <c r="AW535" t="str">
        <f>IF(Tabela4[[#This Row],[JUSTIFICATIVA]]="","",CONCATENATE("B",Tabela4[[#This Row],[BLOCO]],Tabela4[[#This Row],[UO_COD]]))</f>
        <v/>
      </c>
      <c r="AX535">
        <f>Tabela4[[#This Row],[JUSTIFICATIVA]]</f>
        <v>0</v>
      </c>
    </row>
    <row r="536" spans="1:50" ht="15" customHeight="1">
      <c r="A536" s="11">
        <v>2121</v>
      </c>
      <c r="B536" s="11">
        <v>4009</v>
      </c>
      <c r="C536" s="12" t="str">
        <f t="shared" si="18"/>
        <v>21214009</v>
      </c>
      <c r="D536" s="11" t="s">
        <v>609</v>
      </c>
      <c r="E536" s="11" t="s">
        <v>610</v>
      </c>
      <c r="F536" s="11" t="s">
        <v>724</v>
      </c>
      <c r="G536" s="11">
        <v>0</v>
      </c>
      <c r="T536" s="11">
        <v>2121</v>
      </c>
      <c r="U536" s="11">
        <v>4009</v>
      </c>
      <c r="AW536" t="str">
        <f>IF(Tabela4[[#This Row],[JUSTIFICATIVA]]="","",CONCATENATE("B",Tabela4[[#This Row],[BLOCO]],Tabela4[[#This Row],[UO_COD]]))</f>
        <v/>
      </c>
      <c r="AX536">
        <f>Tabela4[[#This Row],[JUSTIFICATIVA]]</f>
        <v>0</v>
      </c>
    </row>
    <row r="537" spans="1:50" ht="15" customHeight="1">
      <c r="A537" s="11">
        <v>2121</v>
      </c>
      <c r="B537" s="11">
        <v>4010</v>
      </c>
      <c r="C537" s="12" t="str">
        <f t="shared" si="18"/>
        <v>21214010</v>
      </c>
      <c r="D537" s="11" t="s">
        <v>70</v>
      </c>
      <c r="E537" s="11" t="s">
        <v>466</v>
      </c>
      <c r="F537" s="11" t="s">
        <v>725</v>
      </c>
      <c r="G537" s="11">
        <v>0</v>
      </c>
      <c r="T537" s="11">
        <v>2121</v>
      </c>
      <c r="U537" s="11">
        <v>4010</v>
      </c>
      <c r="AW537" t="str">
        <f>IF(Tabela4[[#This Row],[JUSTIFICATIVA]]="","",CONCATENATE("B",Tabela4[[#This Row],[BLOCO]],Tabela4[[#This Row],[UO_COD]]))</f>
        <v/>
      </c>
      <c r="AX537">
        <f>Tabela4[[#This Row],[JUSTIFICATIVA]]</f>
        <v>0</v>
      </c>
    </row>
    <row r="538" spans="1:50" ht="15" customHeight="1">
      <c r="A538" s="11">
        <v>2121</v>
      </c>
      <c r="B538" s="11">
        <v>4011</v>
      </c>
      <c r="C538" s="12" t="str">
        <f t="shared" si="18"/>
        <v>21214011</v>
      </c>
      <c r="D538" s="11" t="s">
        <v>70</v>
      </c>
      <c r="E538" s="11" t="s">
        <v>466</v>
      </c>
      <c r="F538" s="11" t="s">
        <v>725</v>
      </c>
      <c r="G538" s="11">
        <v>0</v>
      </c>
      <c r="T538" s="11">
        <v>2121</v>
      </c>
      <c r="U538" s="11">
        <v>4011</v>
      </c>
      <c r="AW538" t="str">
        <f>IF(Tabela4[[#This Row],[JUSTIFICATIVA]]="","",CONCATENATE("B",Tabela4[[#This Row],[BLOCO]],Tabela4[[#This Row],[UO_COD]]))</f>
        <v/>
      </c>
      <c r="AX538">
        <f>Tabela4[[#This Row],[JUSTIFICATIVA]]</f>
        <v>0</v>
      </c>
    </row>
    <row r="539" spans="1:50" ht="15" customHeight="1">
      <c r="A539" s="11">
        <v>2121</v>
      </c>
      <c r="B539" s="11">
        <v>7002</v>
      </c>
      <c r="C539" s="12" t="str">
        <f t="shared" si="18"/>
        <v>21217002</v>
      </c>
      <c r="D539" s="11" t="s">
        <v>70</v>
      </c>
      <c r="E539" s="11" t="s">
        <v>466</v>
      </c>
      <c r="F539" s="11" t="s">
        <v>461</v>
      </c>
      <c r="G539" s="11">
        <v>0</v>
      </c>
      <c r="T539" s="11">
        <v>2121</v>
      </c>
      <c r="U539" s="11">
        <v>7002</v>
      </c>
      <c r="AW539" t="str">
        <f>IF(Tabela4[[#This Row],[JUSTIFICATIVA]]="","",CONCATENATE("B",Tabela4[[#This Row],[BLOCO]],Tabela4[[#This Row],[UO_COD]]))</f>
        <v/>
      </c>
      <c r="AX539">
        <f>Tabela4[[#This Row],[JUSTIFICATIVA]]</f>
        <v>0</v>
      </c>
    </row>
    <row r="540" spans="1:50" ht="15" customHeight="1">
      <c r="A540" s="11">
        <v>2121</v>
      </c>
      <c r="B540" s="11">
        <v>7004</v>
      </c>
      <c r="C540" s="12" t="str">
        <f t="shared" si="18"/>
        <v>21217004</v>
      </c>
      <c r="D540" s="11" t="s">
        <v>459</v>
      </c>
      <c r="E540" s="11" t="s">
        <v>460</v>
      </c>
      <c r="F540" s="11" t="s">
        <v>461</v>
      </c>
      <c r="G540" s="11">
        <v>0</v>
      </c>
      <c r="T540" s="11">
        <v>2121</v>
      </c>
      <c r="U540" s="11">
        <v>7004</v>
      </c>
      <c r="AW540" t="str">
        <f>IF(Tabela4[[#This Row],[JUSTIFICATIVA]]="","",CONCATENATE("B",Tabela4[[#This Row],[BLOCO]],Tabela4[[#This Row],[UO_COD]]))</f>
        <v/>
      </c>
      <c r="AX540">
        <f>Tabela4[[#This Row],[JUSTIFICATIVA]]</f>
        <v>0</v>
      </c>
    </row>
    <row r="541" spans="1:50" ht="15" customHeight="1">
      <c r="A541" s="11">
        <v>2151</v>
      </c>
      <c r="B541" s="11">
        <v>1023</v>
      </c>
      <c r="C541" s="12" t="str">
        <f t="shared" si="18"/>
        <v>21511023</v>
      </c>
      <c r="D541" s="11" t="s">
        <v>605</v>
      </c>
      <c r="E541" s="11" t="s">
        <v>721</v>
      </c>
      <c r="F541" s="11" t="s">
        <v>726</v>
      </c>
      <c r="G541" s="11">
        <v>0</v>
      </c>
      <c r="T541" s="11">
        <v>2151</v>
      </c>
      <c r="U541" s="11">
        <v>1023</v>
      </c>
      <c r="AW541" t="str">
        <f>IF(Tabela4[[#This Row],[JUSTIFICATIVA]]="","",CONCATENATE("B",Tabela4[[#This Row],[BLOCO]],Tabela4[[#This Row],[UO_COD]]))</f>
        <v/>
      </c>
      <c r="AX541">
        <f>Tabela4[[#This Row],[JUSTIFICATIVA]]</f>
        <v>0</v>
      </c>
    </row>
    <row r="542" spans="1:50" ht="15" customHeight="1">
      <c r="A542" s="11">
        <v>2151</v>
      </c>
      <c r="B542" s="11">
        <v>1024</v>
      </c>
      <c r="C542" s="12" t="str">
        <f t="shared" si="18"/>
        <v>21511024</v>
      </c>
      <c r="D542" s="11" t="s">
        <v>605</v>
      </c>
      <c r="E542" s="11" t="s">
        <v>670</v>
      </c>
      <c r="F542" s="11" t="s">
        <v>726</v>
      </c>
      <c r="G542" s="11">
        <v>0</v>
      </c>
      <c r="T542" s="11">
        <v>2151</v>
      </c>
      <c r="U542" s="11">
        <v>1024</v>
      </c>
      <c r="AW542" t="str">
        <f>IF(Tabela4[[#This Row],[JUSTIFICATIVA]]="","",CONCATENATE("B",Tabela4[[#This Row],[BLOCO]],Tabela4[[#This Row],[UO_COD]]))</f>
        <v/>
      </c>
      <c r="AX542">
        <f>Tabela4[[#This Row],[JUSTIFICATIVA]]</f>
        <v>0</v>
      </c>
    </row>
    <row r="543" spans="1:50" ht="15" customHeight="1">
      <c r="A543" s="11">
        <v>2151</v>
      </c>
      <c r="B543" s="11">
        <v>2015</v>
      </c>
      <c r="C543" s="12" t="str">
        <f t="shared" si="18"/>
        <v>21512015</v>
      </c>
      <c r="D543" s="11" t="s">
        <v>605</v>
      </c>
      <c r="E543" s="11" t="s">
        <v>612</v>
      </c>
      <c r="F543" s="11" t="s">
        <v>727</v>
      </c>
      <c r="G543" s="11">
        <v>0</v>
      </c>
      <c r="T543" s="11">
        <v>2151</v>
      </c>
      <c r="U543" s="11">
        <v>2015</v>
      </c>
      <c r="AW543" t="str">
        <f>IF(Tabela4[[#This Row],[JUSTIFICATIVA]]="","",CONCATENATE("B",Tabela4[[#This Row],[BLOCO]],Tabela4[[#This Row],[UO_COD]]))</f>
        <v/>
      </c>
      <c r="AX543">
        <f>Tabela4[[#This Row],[JUSTIFICATIVA]]</f>
        <v>0</v>
      </c>
    </row>
    <row r="544" spans="1:50" ht="15" customHeight="1">
      <c r="A544" s="11">
        <v>2151</v>
      </c>
      <c r="B544" s="11">
        <v>2022</v>
      </c>
      <c r="C544" s="12" t="str">
        <f t="shared" si="18"/>
        <v>21512022</v>
      </c>
      <c r="D544" s="11" t="s">
        <v>605</v>
      </c>
      <c r="E544" s="11" t="s">
        <v>676</v>
      </c>
      <c r="F544" s="11" t="s">
        <v>727</v>
      </c>
      <c r="G544" s="11">
        <v>0</v>
      </c>
      <c r="T544" s="11">
        <v>2151</v>
      </c>
      <c r="U544" s="11">
        <v>2022</v>
      </c>
      <c r="AW544" t="str">
        <f>IF(Tabela4[[#This Row],[JUSTIFICATIVA]]="","",CONCATENATE("B",Tabela4[[#This Row],[BLOCO]],Tabela4[[#This Row],[UO_COD]]))</f>
        <v/>
      </c>
      <c r="AX544">
        <f>Tabela4[[#This Row],[JUSTIFICATIVA]]</f>
        <v>0</v>
      </c>
    </row>
    <row r="545" spans="1:50" ht="15" customHeight="1">
      <c r="A545" s="11">
        <v>2151</v>
      </c>
      <c r="B545" s="11">
        <v>2027</v>
      </c>
      <c r="C545" s="12" t="str">
        <f t="shared" si="18"/>
        <v>21512027</v>
      </c>
      <c r="D545" s="11" t="s">
        <v>605</v>
      </c>
      <c r="E545" s="11" t="s">
        <v>728</v>
      </c>
      <c r="F545" s="11" t="s">
        <v>726</v>
      </c>
      <c r="G545" s="11">
        <v>0</v>
      </c>
      <c r="T545" s="11">
        <v>2151</v>
      </c>
      <c r="U545" s="11">
        <v>2027</v>
      </c>
      <c r="AW545" t="str">
        <f>IF(Tabela4[[#This Row],[JUSTIFICATIVA]]="","",CONCATENATE("B",Tabela4[[#This Row],[BLOCO]],Tabela4[[#This Row],[UO_COD]]))</f>
        <v/>
      </c>
      <c r="AX545">
        <f>Tabela4[[#This Row],[JUSTIFICATIVA]]</f>
        <v>0</v>
      </c>
    </row>
    <row r="546" spans="1:50" ht="15" customHeight="1">
      <c r="A546" s="11">
        <v>2151</v>
      </c>
      <c r="B546" s="11">
        <v>2130</v>
      </c>
      <c r="C546" s="12" t="str">
        <f t="shared" si="18"/>
        <v>21512130</v>
      </c>
      <c r="D546" s="11" t="s">
        <v>605</v>
      </c>
      <c r="E546" s="11" t="s">
        <v>623</v>
      </c>
      <c r="F546" s="11" t="s">
        <v>615</v>
      </c>
      <c r="G546" s="11">
        <v>0</v>
      </c>
      <c r="T546" s="11">
        <v>2151</v>
      </c>
      <c r="U546" s="11">
        <v>2130</v>
      </c>
      <c r="AW546" t="str">
        <f>IF(Tabela4[[#This Row],[JUSTIFICATIVA]]="","",CONCATENATE("B",Tabela4[[#This Row],[BLOCO]],Tabela4[[#This Row],[UO_COD]]))</f>
        <v/>
      </c>
      <c r="AX546">
        <f>Tabela4[[#This Row],[JUSTIFICATIVA]]</f>
        <v>0</v>
      </c>
    </row>
    <row r="547" spans="1:50" ht="15" customHeight="1">
      <c r="A547" s="11">
        <v>2151</v>
      </c>
      <c r="B547" s="11">
        <v>2500</v>
      </c>
      <c r="C547" s="12" t="str">
        <f t="shared" si="18"/>
        <v>21512500</v>
      </c>
      <c r="D547" s="11" t="s">
        <v>605</v>
      </c>
      <c r="E547" s="11" t="s">
        <v>470</v>
      </c>
      <c r="F547" s="11" t="s">
        <v>461</v>
      </c>
      <c r="G547" s="11">
        <v>0</v>
      </c>
      <c r="T547" s="11">
        <v>2151</v>
      </c>
      <c r="U547" s="11">
        <v>2500</v>
      </c>
      <c r="AW547" t="str">
        <f>IF(Tabela4[[#This Row],[JUSTIFICATIVA]]="","",CONCATENATE("B",Tabela4[[#This Row],[BLOCO]],Tabela4[[#This Row],[UO_COD]]))</f>
        <v/>
      </c>
      <c r="AX547">
        <f>Tabela4[[#This Row],[JUSTIFICATIVA]]</f>
        <v>0</v>
      </c>
    </row>
    <row r="548" spans="1:50" ht="15" customHeight="1">
      <c r="A548" s="11">
        <v>2151</v>
      </c>
      <c r="B548" s="11">
        <v>4075</v>
      </c>
      <c r="C548" s="12" t="str">
        <f t="shared" si="18"/>
        <v>21514075</v>
      </c>
      <c r="D548" s="11" t="s">
        <v>605</v>
      </c>
      <c r="E548" s="11" t="s">
        <v>612</v>
      </c>
      <c r="F548" s="11" t="s">
        <v>729</v>
      </c>
      <c r="G548" s="11">
        <v>0</v>
      </c>
      <c r="T548" s="11">
        <v>2151</v>
      </c>
      <c r="U548" s="11">
        <v>4075</v>
      </c>
      <c r="AW548" t="str">
        <f>IF(Tabela4[[#This Row],[JUSTIFICATIVA]]="","",CONCATENATE("B",Tabela4[[#This Row],[BLOCO]],Tabela4[[#This Row],[UO_COD]]))</f>
        <v/>
      </c>
      <c r="AX548">
        <f>Tabela4[[#This Row],[JUSTIFICATIVA]]</f>
        <v>0</v>
      </c>
    </row>
    <row r="549" spans="1:50" ht="15" customHeight="1">
      <c r="A549" s="11">
        <v>2151</v>
      </c>
      <c r="B549" s="11">
        <v>4076</v>
      </c>
      <c r="C549" s="12" t="str">
        <f t="shared" si="18"/>
        <v>21514076</v>
      </c>
      <c r="D549" s="11" t="s">
        <v>605</v>
      </c>
      <c r="E549" s="11" t="s">
        <v>612</v>
      </c>
      <c r="F549" s="11" t="s">
        <v>729</v>
      </c>
      <c r="G549" s="11">
        <v>0</v>
      </c>
      <c r="T549" s="11">
        <v>2151</v>
      </c>
      <c r="U549" s="11">
        <v>4076</v>
      </c>
      <c r="AW549" t="str">
        <f>IF(Tabela4[[#This Row],[JUSTIFICATIVA]]="","",CONCATENATE("B",Tabela4[[#This Row],[BLOCO]],Tabela4[[#This Row],[UO_COD]]))</f>
        <v/>
      </c>
      <c r="AX549">
        <f>Tabela4[[#This Row],[JUSTIFICATIVA]]</f>
        <v>0</v>
      </c>
    </row>
    <row r="550" spans="1:50" ht="15" customHeight="1">
      <c r="A550" s="11">
        <v>2151</v>
      </c>
      <c r="B550" s="11">
        <v>4077</v>
      </c>
      <c r="C550" s="12" t="str">
        <f t="shared" si="18"/>
        <v>21514077</v>
      </c>
      <c r="D550" s="11" t="s">
        <v>605</v>
      </c>
      <c r="E550" s="11" t="s">
        <v>612</v>
      </c>
      <c r="F550" s="11" t="s">
        <v>729</v>
      </c>
      <c r="G550" s="11">
        <v>0</v>
      </c>
      <c r="T550" s="11">
        <v>2151</v>
      </c>
      <c r="U550" s="11">
        <v>4077</v>
      </c>
      <c r="AW550" t="str">
        <f>IF(Tabela4[[#This Row],[JUSTIFICATIVA]]="","",CONCATENATE("B",Tabela4[[#This Row],[BLOCO]],Tabela4[[#This Row],[UO_COD]]))</f>
        <v/>
      </c>
      <c r="AX550">
        <f>Tabela4[[#This Row],[JUSTIFICATIVA]]</f>
        <v>0</v>
      </c>
    </row>
    <row r="551" spans="1:50" ht="15" customHeight="1">
      <c r="A551" s="11">
        <v>2151</v>
      </c>
      <c r="B551" s="11">
        <v>4078</v>
      </c>
      <c r="C551" s="12" t="str">
        <f t="shared" si="18"/>
        <v>21514078</v>
      </c>
      <c r="D551" s="11" t="s">
        <v>605</v>
      </c>
      <c r="E551" s="11" t="s">
        <v>606</v>
      </c>
      <c r="F551" s="11" t="s">
        <v>729</v>
      </c>
      <c r="G551" s="11">
        <v>0</v>
      </c>
      <c r="T551" s="11">
        <v>2151</v>
      </c>
      <c r="U551" s="11">
        <v>4078</v>
      </c>
      <c r="AW551" t="str">
        <f>IF(Tabela4[[#This Row],[JUSTIFICATIVA]]="","",CONCATENATE("B",Tabela4[[#This Row],[BLOCO]],Tabela4[[#This Row],[UO_COD]]))</f>
        <v/>
      </c>
      <c r="AX551">
        <f>Tabela4[[#This Row],[JUSTIFICATIVA]]</f>
        <v>0</v>
      </c>
    </row>
    <row r="552" spans="1:50" ht="15" customHeight="1">
      <c r="A552" s="11">
        <v>2151</v>
      </c>
      <c r="B552" s="11">
        <v>4080</v>
      </c>
      <c r="C552" s="12" t="str">
        <f t="shared" si="18"/>
        <v>21514080</v>
      </c>
      <c r="D552" s="11" t="s">
        <v>605</v>
      </c>
      <c r="E552" s="11" t="s">
        <v>608</v>
      </c>
      <c r="F552" s="11" t="s">
        <v>729</v>
      </c>
      <c r="G552" s="11">
        <v>0</v>
      </c>
      <c r="T552" s="11">
        <v>2151</v>
      </c>
      <c r="U552" s="11">
        <v>4080</v>
      </c>
      <c r="AW552" t="str">
        <f>IF(Tabela4[[#This Row],[JUSTIFICATIVA]]="","",CONCATENATE("B",Tabela4[[#This Row],[BLOCO]],Tabela4[[#This Row],[UO_COD]]))</f>
        <v/>
      </c>
      <c r="AX552">
        <f>Tabela4[[#This Row],[JUSTIFICATIVA]]</f>
        <v>0</v>
      </c>
    </row>
    <row r="553" spans="1:50" ht="15" customHeight="1">
      <c r="A553" s="11">
        <v>2151</v>
      </c>
      <c r="B553" s="11">
        <v>4092</v>
      </c>
      <c r="C553" s="12" t="str">
        <f t="shared" si="18"/>
        <v>21514092</v>
      </c>
      <c r="D553" s="11" t="s">
        <v>605</v>
      </c>
      <c r="E553" s="11" t="s">
        <v>676</v>
      </c>
      <c r="F553" s="11" t="s">
        <v>727</v>
      </c>
      <c r="G553" s="11">
        <v>0</v>
      </c>
      <c r="T553" s="11">
        <v>2151</v>
      </c>
      <c r="U553" s="11">
        <v>4092</v>
      </c>
      <c r="AW553" t="str">
        <f>IF(Tabela4[[#This Row],[JUSTIFICATIVA]]="","",CONCATENATE("B",Tabela4[[#This Row],[BLOCO]],Tabela4[[#This Row],[UO_COD]]))</f>
        <v/>
      </c>
      <c r="AX553">
        <f>Tabela4[[#This Row],[JUSTIFICATIVA]]</f>
        <v>0</v>
      </c>
    </row>
    <row r="554" spans="1:50" ht="15" customHeight="1">
      <c r="A554" s="11">
        <v>2151</v>
      </c>
      <c r="B554" s="11">
        <v>4093</v>
      </c>
      <c r="C554" s="12" t="str">
        <f t="shared" si="18"/>
        <v>21514093</v>
      </c>
      <c r="D554" s="11" t="s">
        <v>605</v>
      </c>
      <c r="E554" s="11" t="s">
        <v>676</v>
      </c>
      <c r="F554" s="11" t="s">
        <v>727</v>
      </c>
      <c r="G554" s="11">
        <v>0</v>
      </c>
      <c r="T554" s="11">
        <v>2151</v>
      </c>
      <c r="U554" s="11">
        <v>4093</v>
      </c>
      <c r="AW554" t="str">
        <f>IF(Tabela4[[#This Row],[JUSTIFICATIVA]]="","",CONCATENATE("B",Tabela4[[#This Row],[BLOCO]],Tabela4[[#This Row],[UO_COD]]))</f>
        <v/>
      </c>
      <c r="AX554">
        <f>Tabela4[[#This Row],[JUSTIFICATIVA]]</f>
        <v>0</v>
      </c>
    </row>
    <row r="555" spans="1:50" ht="15" customHeight="1">
      <c r="A555" s="11">
        <v>2151</v>
      </c>
      <c r="B555" s="11">
        <v>4175</v>
      </c>
      <c r="C555" s="12" t="str">
        <f t="shared" si="18"/>
        <v>21514175</v>
      </c>
      <c r="D555" s="11" t="s">
        <v>605</v>
      </c>
      <c r="E555" s="11" t="s">
        <v>612</v>
      </c>
      <c r="F555" s="11" t="s">
        <v>729</v>
      </c>
      <c r="G555" s="11">
        <v>0</v>
      </c>
      <c r="T555" s="11">
        <v>2151</v>
      </c>
      <c r="U555" s="11">
        <v>4175</v>
      </c>
      <c r="AW555" t="str">
        <f>IF(Tabela4[[#This Row],[JUSTIFICATIVA]]="","",CONCATENATE("B",Tabela4[[#This Row],[BLOCO]],Tabela4[[#This Row],[UO_COD]]))</f>
        <v/>
      </c>
      <c r="AX555">
        <f>Tabela4[[#This Row],[JUSTIFICATIVA]]</f>
        <v>0</v>
      </c>
    </row>
    <row r="556" spans="1:50" ht="15" customHeight="1">
      <c r="A556" s="11">
        <v>2151</v>
      </c>
      <c r="B556" s="11">
        <v>4198</v>
      </c>
      <c r="C556" s="12" t="str">
        <f t="shared" si="18"/>
        <v>21514198</v>
      </c>
      <c r="D556" s="11" t="s">
        <v>605</v>
      </c>
      <c r="E556" s="11" t="s">
        <v>612</v>
      </c>
      <c r="F556" s="11" t="s">
        <v>730</v>
      </c>
      <c r="G556" s="11">
        <v>0</v>
      </c>
      <c r="T556" s="11">
        <v>2151</v>
      </c>
      <c r="U556" s="11">
        <v>4198</v>
      </c>
      <c r="AW556" t="str">
        <f>IF(Tabela4[[#This Row],[JUSTIFICATIVA]]="","",CONCATENATE("B",Tabela4[[#This Row],[BLOCO]],Tabela4[[#This Row],[UO_COD]]))</f>
        <v/>
      </c>
      <c r="AX556">
        <f>Tabela4[[#This Row],[JUSTIFICATIVA]]</f>
        <v>0</v>
      </c>
    </row>
    <row r="557" spans="1:50" ht="15" customHeight="1">
      <c r="A557" s="11">
        <v>2151</v>
      </c>
      <c r="B557" s="11">
        <v>4199</v>
      </c>
      <c r="C557" s="12" t="str">
        <f t="shared" si="18"/>
        <v>21514199</v>
      </c>
      <c r="D557" s="11" t="s">
        <v>605</v>
      </c>
      <c r="E557" s="11" t="s">
        <v>612</v>
      </c>
      <c r="F557" s="11" t="s">
        <v>730</v>
      </c>
      <c r="G557" s="11">
        <v>0</v>
      </c>
      <c r="T557" s="11">
        <v>2151</v>
      </c>
      <c r="U557" s="11">
        <v>4199</v>
      </c>
      <c r="AW557" t="str">
        <f>IF(Tabela4[[#This Row],[JUSTIFICATIVA]]="","",CONCATENATE("B",Tabela4[[#This Row],[BLOCO]],Tabela4[[#This Row],[UO_COD]]))</f>
        <v/>
      </c>
      <c r="AX557">
        <f>Tabela4[[#This Row],[JUSTIFICATIVA]]</f>
        <v>0</v>
      </c>
    </row>
    <row r="558" spans="1:50" ht="15" customHeight="1">
      <c r="A558" s="11">
        <v>2151</v>
      </c>
      <c r="B558" s="11">
        <v>4232</v>
      </c>
      <c r="C558" s="12" t="str">
        <f t="shared" si="18"/>
        <v>21514232</v>
      </c>
      <c r="D558" s="11" t="s">
        <v>605</v>
      </c>
      <c r="E558" s="11" t="s">
        <v>612</v>
      </c>
      <c r="F558" s="11" t="s">
        <v>729</v>
      </c>
      <c r="G558" s="11">
        <v>0</v>
      </c>
      <c r="T558" s="11">
        <v>2151</v>
      </c>
      <c r="U558" s="11">
        <v>4232</v>
      </c>
      <c r="AW558" t="str">
        <f>IF(Tabela4[[#This Row],[JUSTIFICATIVA]]="","",CONCATENATE("B",Tabela4[[#This Row],[BLOCO]],Tabela4[[#This Row],[UO_COD]]))</f>
        <v/>
      </c>
      <c r="AX558">
        <f>Tabela4[[#This Row],[JUSTIFICATIVA]]</f>
        <v>0</v>
      </c>
    </row>
    <row r="559" spans="1:50" ht="15" customHeight="1">
      <c r="A559" s="11">
        <v>2151</v>
      </c>
      <c r="B559" s="11">
        <v>4233</v>
      </c>
      <c r="C559" s="12" t="str">
        <f t="shared" si="18"/>
        <v>21514233</v>
      </c>
      <c r="D559" s="11" t="s">
        <v>605</v>
      </c>
      <c r="E559" s="11" t="s">
        <v>612</v>
      </c>
      <c r="F559" s="11" t="s">
        <v>731</v>
      </c>
      <c r="G559" s="11">
        <v>0</v>
      </c>
      <c r="T559" s="11">
        <v>2151</v>
      </c>
      <c r="U559" s="11">
        <v>4233</v>
      </c>
      <c r="AW559" t="str">
        <f>IF(Tabela4[[#This Row],[JUSTIFICATIVA]]="","",CONCATENATE("B",Tabela4[[#This Row],[BLOCO]],Tabela4[[#This Row],[UO_COD]]))</f>
        <v/>
      </c>
      <c r="AX559">
        <f>Tabela4[[#This Row],[JUSTIFICATIVA]]</f>
        <v>0</v>
      </c>
    </row>
    <row r="560" spans="1:50" ht="15" customHeight="1">
      <c r="A560" s="11">
        <v>2151</v>
      </c>
      <c r="B560" s="11">
        <v>4234</v>
      </c>
      <c r="C560" s="12" t="str">
        <f t="shared" si="18"/>
        <v>21514234</v>
      </c>
      <c r="D560" s="11" t="s">
        <v>605</v>
      </c>
      <c r="E560" s="11" t="s">
        <v>612</v>
      </c>
      <c r="F560" s="11" t="s">
        <v>731</v>
      </c>
      <c r="G560" s="11">
        <v>0</v>
      </c>
      <c r="T560" s="11">
        <v>2151</v>
      </c>
      <c r="U560" s="11">
        <v>4234</v>
      </c>
      <c r="AW560" t="str">
        <f>IF(Tabela4[[#This Row],[JUSTIFICATIVA]]="","",CONCATENATE("B",Tabela4[[#This Row],[BLOCO]],Tabela4[[#This Row],[UO_COD]]))</f>
        <v/>
      </c>
      <c r="AX560">
        <f>Tabela4[[#This Row],[JUSTIFICATIVA]]</f>
        <v>0</v>
      </c>
    </row>
    <row r="561" spans="1:50" ht="15" customHeight="1">
      <c r="A561" s="11">
        <v>2151</v>
      </c>
      <c r="B561" s="11">
        <v>7004</v>
      </c>
      <c r="C561" s="12" t="str">
        <f t="shared" si="18"/>
        <v>21517004</v>
      </c>
      <c r="D561" s="11" t="s">
        <v>459</v>
      </c>
      <c r="E561" s="11" t="s">
        <v>460</v>
      </c>
      <c r="F561" s="11" t="s">
        <v>461</v>
      </c>
      <c r="G561" s="11">
        <v>0</v>
      </c>
      <c r="T561" s="11">
        <v>2151</v>
      </c>
      <c r="U561" s="11">
        <v>7004</v>
      </c>
      <c r="AW561" t="str">
        <f>IF(Tabela4[[#This Row],[JUSTIFICATIVA]]="","",CONCATENATE("B",Tabela4[[#This Row],[BLOCO]],Tabela4[[#This Row],[UO_COD]]))</f>
        <v/>
      </c>
      <c r="AX561">
        <f>Tabela4[[#This Row],[JUSTIFICATIVA]]</f>
        <v>0</v>
      </c>
    </row>
    <row r="562" spans="1:50" ht="15" customHeight="1">
      <c r="A562" s="11">
        <v>2161</v>
      </c>
      <c r="B562" s="11">
        <v>1011</v>
      </c>
      <c r="C562" s="12" t="str">
        <f t="shared" si="18"/>
        <v>21611011</v>
      </c>
      <c r="D562" s="11" t="s">
        <v>666</v>
      </c>
      <c r="E562" s="11" t="s">
        <v>728</v>
      </c>
      <c r="F562" s="11" t="s">
        <v>619</v>
      </c>
      <c r="G562" s="11">
        <v>0</v>
      </c>
      <c r="T562" s="11">
        <v>2161</v>
      </c>
      <c r="U562" s="11">
        <v>1011</v>
      </c>
      <c r="AW562" t="str">
        <f>IF(Tabela4[[#This Row],[JUSTIFICATIVA]]="","",CONCATENATE("B",Tabela4[[#This Row],[BLOCO]],Tabela4[[#This Row],[UO_COD]]))</f>
        <v/>
      </c>
      <c r="AX562">
        <f>Tabela4[[#This Row],[JUSTIFICATIVA]]</f>
        <v>0</v>
      </c>
    </row>
    <row r="563" spans="1:50" ht="15" customHeight="1">
      <c r="A563" s="11">
        <v>2161</v>
      </c>
      <c r="B563" s="11">
        <v>1030</v>
      </c>
      <c r="C563" s="12" t="str">
        <f t="shared" si="18"/>
        <v>21611030</v>
      </c>
      <c r="D563" s="11" t="s">
        <v>666</v>
      </c>
      <c r="E563" s="11" t="s">
        <v>728</v>
      </c>
      <c r="F563" s="11" t="s">
        <v>619</v>
      </c>
      <c r="G563" s="11">
        <v>0</v>
      </c>
      <c r="T563" s="11">
        <v>2161</v>
      </c>
      <c r="U563" s="11">
        <v>1030</v>
      </c>
      <c r="AW563" t="str">
        <f>IF(Tabela4[[#This Row],[JUSTIFICATIVA]]="","",CONCATENATE("B",Tabela4[[#This Row],[BLOCO]],Tabela4[[#This Row],[UO_COD]]))</f>
        <v/>
      </c>
      <c r="AX563">
        <f>Tabela4[[#This Row],[JUSTIFICATIVA]]</f>
        <v>0</v>
      </c>
    </row>
    <row r="564" spans="1:50" ht="15" customHeight="1">
      <c r="A564" s="11">
        <v>2161</v>
      </c>
      <c r="B564" s="11">
        <v>2417</v>
      </c>
      <c r="C564" s="12" t="str">
        <f t="shared" si="18"/>
        <v>21612417</v>
      </c>
      <c r="D564" s="11" t="s">
        <v>666</v>
      </c>
      <c r="E564" s="11" t="s">
        <v>470</v>
      </c>
      <c r="F564" s="11" t="s">
        <v>461</v>
      </c>
      <c r="G564" s="11">
        <v>0</v>
      </c>
      <c r="T564" s="11">
        <v>2161</v>
      </c>
      <c r="U564" s="11">
        <v>2417</v>
      </c>
      <c r="AW564" t="str">
        <f>IF(Tabela4[[#This Row],[JUSTIFICATIVA]]="","",CONCATENATE("B",Tabela4[[#This Row],[BLOCO]],Tabela4[[#This Row],[UO_COD]]))</f>
        <v/>
      </c>
      <c r="AX564">
        <f>Tabela4[[#This Row],[JUSTIFICATIVA]]</f>
        <v>0</v>
      </c>
    </row>
    <row r="565" spans="1:50" ht="15" customHeight="1">
      <c r="A565" s="11">
        <v>2161</v>
      </c>
      <c r="B565" s="11">
        <v>2500</v>
      </c>
      <c r="C565" s="12" t="str">
        <f t="shared" si="18"/>
        <v>21612500</v>
      </c>
      <c r="D565" s="11" t="s">
        <v>666</v>
      </c>
      <c r="E565" s="11" t="s">
        <v>470</v>
      </c>
      <c r="F565" s="11" t="s">
        <v>461</v>
      </c>
      <c r="G565" s="11">
        <v>0</v>
      </c>
      <c r="T565" s="11">
        <v>2161</v>
      </c>
      <c r="U565" s="11">
        <v>2500</v>
      </c>
      <c r="AW565" t="str">
        <f>IF(Tabela4[[#This Row],[JUSTIFICATIVA]]="","",CONCATENATE("B",Tabela4[[#This Row],[BLOCO]],Tabela4[[#This Row],[UO_COD]]))</f>
        <v/>
      </c>
      <c r="AX565">
        <f>Tabela4[[#This Row],[JUSTIFICATIVA]]</f>
        <v>0</v>
      </c>
    </row>
    <row r="566" spans="1:50" ht="15" customHeight="1">
      <c r="A566" s="11">
        <v>2161</v>
      </c>
      <c r="B566" s="11">
        <v>4277</v>
      </c>
      <c r="C566" s="12" t="str">
        <f t="shared" si="18"/>
        <v>21614277</v>
      </c>
      <c r="D566" s="11" t="s">
        <v>605</v>
      </c>
      <c r="E566" s="11" t="s">
        <v>606</v>
      </c>
      <c r="F566" s="11" t="s">
        <v>732</v>
      </c>
      <c r="G566" s="11">
        <v>0</v>
      </c>
      <c r="T566" s="11">
        <v>2161</v>
      </c>
      <c r="U566" s="11">
        <v>4277</v>
      </c>
      <c r="AW566" t="str">
        <f>IF(Tabela4[[#This Row],[JUSTIFICATIVA]]="","",CONCATENATE("B",Tabela4[[#This Row],[BLOCO]],Tabela4[[#This Row],[UO_COD]]))</f>
        <v/>
      </c>
      <c r="AX566">
        <f>Tabela4[[#This Row],[JUSTIFICATIVA]]</f>
        <v>0</v>
      </c>
    </row>
    <row r="567" spans="1:50" ht="15" customHeight="1">
      <c r="A567" s="11">
        <v>2161</v>
      </c>
      <c r="B567" s="11">
        <v>4282</v>
      </c>
      <c r="C567" s="12" t="str">
        <f t="shared" si="18"/>
        <v>21614282</v>
      </c>
      <c r="D567" s="11" t="s">
        <v>605</v>
      </c>
      <c r="E567" s="11" t="s">
        <v>608</v>
      </c>
      <c r="F567" s="11" t="s">
        <v>732</v>
      </c>
      <c r="G567" s="11">
        <v>0</v>
      </c>
      <c r="T567" s="11">
        <v>2161</v>
      </c>
      <c r="U567" s="11">
        <v>4282</v>
      </c>
      <c r="AW567" t="str">
        <f>IF(Tabela4[[#This Row],[JUSTIFICATIVA]]="","",CONCATENATE("B",Tabela4[[#This Row],[BLOCO]],Tabela4[[#This Row],[UO_COD]]))</f>
        <v/>
      </c>
      <c r="AX567">
        <f>Tabela4[[#This Row],[JUSTIFICATIVA]]</f>
        <v>0</v>
      </c>
    </row>
    <row r="568" spans="1:50" ht="15" customHeight="1">
      <c r="A568" s="11">
        <v>2161</v>
      </c>
      <c r="B568" s="11">
        <v>4283</v>
      </c>
      <c r="C568" s="12" t="str">
        <f t="shared" si="18"/>
        <v>21614283</v>
      </c>
      <c r="D568" s="11" t="s">
        <v>605</v>
      </c>
      <c r="E568" s="11" t="s">
        <v>622</v>
      </c>
      <c r="F568" s="11" t="s">
        <v>732</v>
      </c>
      <c r="G568" s="11">
        <v>0</v>
      </c>
      <c r="T568" s="11">
        <v>2161</v>
      </c>
      <c r="U568" s="11">
        <v>4283</v>
      </c>
      <c r="AW568" t="str">
        <f>IF(Tabela4[[#This Row],[JUSTIFICATIVA]]="","",CONCATENATE("B",Tabela4[[#This Row],[BLOCO]],Tabela4[[#This Row],[UO_COD]]))</f>
        <v/>
      </c>
      <c r="AX568">
        <f>Tabela4[[#This Row],[JUSTIFICATIVA]]</f>
        <v>0</v>
      </c>
    </row>
    <row r="569" spans="1:50" ht="15" customHeight="1">
      <c r="A569" s="11">
        <v>2161</v>
      </c>
      <c r="B569" s="11">
        <v>4285</v>
      </c>
      <c r="C569" s="12" t="str">
        <f t="shared" si="18"/>
        <v>21614285</v>
      </c>
      <c r="D569" s="11" t="s">
        <v>666</v>
      </c>
      <c r="E569" s="11" t="s">
        <v>571</v>
      </c>
      <c r="F569" s="11" t="s">
        <v>732</v>
      </c>
      <c r="G569" s="11">
        <v>0</v>
      </c>
      <c r="T569" s="11">
        <v>2161</v>
      </c>
      <c r="U569" s="11">
        <v>4285</v>
      </c>
      <c r="AW569" t="str">
        <f>IF(Tabela4[[#This Row],[JUSTIFICATIVA]]="","",CONCATENATE("B",Tabela4[[#This Row],[BLOCO]],Tabela4[[#This Row],[UO_COD]]))</f>
        <v/>
      </c>
      <c r="AX569">
        <f>Tabela4[[#This Row],[JUSTIFICATIVA]]</f>
        <v>0</v>
      </c>
    </row>
    <row r="570" spans="1:50" ht="15" customHeight="1">
      <c r="A570" s="11">
        <v>2161</v>
      </c>
      <c r="B570" s="11">
        <v>4515</v>
      </c>
      <c r="C570" s="12" t="str">
        <f t="shared" si="18"/>
        <v>21614515</v>
      </c>
      <c r="D570" s="11" t="s">
        <v>322</v>
      </c>
      <c r="E570" s="11" t="s">
        <v>470</v>
      </c>
      <c r="F570" s="11" t="s">
        <v>732</v>
      </c>
      <c r="G570" s="11">
        <v>0</v>
      </c>
      <c r="T570" s="11">
        <v>2161</v>
      </c>
      <c r="U570" s="11">
        <v>4515</v>
      </c>
      <c r="AW570" t="str">
        <f>IF(Tabela4[[#This Row],[JUSTIFICATIVA]]="","",CONCATENATE("B",Tabela4[[#This Row],[BLOCO]],Tabela4[[#This Row],[UO_COD]]))</f>
        <v/>
      </c>
      <c r="AX570">
        <f>Tabela4[[#This Row],[JUSTIFICATIVA]]</f>
        <v>0</v>
      </c>
    </row>
    <row r="571" spans="1:50" ht="15" customHeight="1">
      <c r="A571" s="11">
        <v>2161</v>
      </c>
      <c r="B571" s="11">
        <v>7004</v>
      </c>
      <c r="C571" s="12" t="str">
        <f t="shared" si="18"/>
        <v>21617004</v>
      </c>
      <c r="D571" s="11" t="s">
        <v>459</v>
      </c>
      <c r="E571" s="11" t="s">
        <v>460</v>
      </c>
      <c r="F571" s="11" t="s">
        <v>461</v>
      </c>
      <c r="G571" s="11">
        <v>0</v>
      </c>
      <c r="T571" s="11">
        <v>2161</v>
      </c>
      <c r="U571" s="11">
        <v>7004</v>
      </c>
      <c r="AW571" t="str">
        <f>IF(Tabela4[[#This Row],[JUSTIFICATIVA]]="","",CONCATENATE("B",Tabela4[[#This Row],[BLOCO]],Tabela4[[#This Row],[UO_COD]]))</f>
        <v/>
      </c>
      <c r="AX571">
        <f>Tabela4[[#This Row],[JUSTIFICATIVA]]</f>
        <v>0</v>
      </c>
    </row>
    <row r="572" spans="1:50" ht="15" customHeight="1">
      <c r="A572" s="11">
        <v>2171</v>
      </c>
      <c r="B572" s="11">
        <v>1001</v>
      </c>
      <c r="C572" s="12" t="str">
        <f t="shared" si="18"/>
        <v>21711001</v>
      </c>
      <c r="D572" s="11" t="s">
        <v>627</v>
      </c>
      <c r="E572" s="11" t="s">
        <v>628</v>
      </c>
      <c r="F572" s="11" t="s">
        <v>632</v>
      </c>
      <c r="G572" s="11">
        <v>1</v>
      </c>
      <c r="T572" s="11">
        <v>2171</v>
      </c>
      <c r="U572" s="11">
        <v>1001</v>
      </c>
      <c r="AW572" t="str">
        <f>IF(Tabela4[[#This Row],[JUSTIFICATIVA]]="","",CONCATENATE("B",Tabela4[[#This Row],[BLOCO]],Tabela4[[#This Row],[UO_COD]]))</f>
        <v/>
      </c>
      <c r="AX572">
        <f>Tabela4[[#This Row],[JUSTIFICATIVA]]</f>
        <v>0</v>
      </c>
    </row>
    <row r="573" spans="1:50" ht="15" customHeight="1">
      <c r="A573" s="11">
        <v>2171</v>
      </c>
      <c r="B573" s="11">
        <v>1058</v>
      </c>
      <c r="C573" s="12" t="str">
        <f t="shared" si="18"/>
        <v>21711058</v>
      </c>
      <c r="D573" s="11" t="s">
        <v>627</v>
      </c>
      <c r="E573" s="11" t="s">
        <v>628</v>
      </c>
      <c r="F573" s="11" t="s">
        <v>632</v>
      </c>
      <c r="G573" s="11">
        <v>0</v>
      </c>
      <c r="T573" s="11">
        <v>2171</v>
      </c>
      <c r="U573" s="11">
        <v>1058</v>
      </c>
      <c r="AW573" t="str">
        <f>IF(Tabela4[[#This Row],[JUSTIFICATIVA]]="","",CONCATENATE("B",Tabela4[[#This Row],[BLOCO]],Tabela4[[#This Row],[UO_COD]]))</f>
        <v/>
      </c>
      <c r="AX573">
        <f>Tabela4[[#This Row],[JUSTIFICATIVA]]</f>
        <v>0</v>
      </c>
    </row>
    <row r="574" spans="1:50" ht="15" customHeight="1">
      <c r="A574" s="11">
        <v>2171</v>
      </c>
      <c r="B574" s="11">
        <v>1061</v>
      </c>
      <c r="C574" s="12" t="str">
        <f t="shared" si="18"/>
        <v>21711061</v>
      </c>
      <c r="D574" s="11" t="s">
        <v>627</v>
      </c>
      <c r="E574" s="11" t="s">
        <v>628</v>
      </c>
      <c r="F574" s="11" t="s">
        <v>629</v>
      </c>
      <c r="G574" s="11">
        <v>0</v>
      </c>
      <c r="T574" s="11">
        <v>2171</v>
      </c>
      <c r="U574" s="11">
        <v>1061</v>
      </c>
      <c r="AW574" t="str">
        <f>IF(Tabela4[[#This Row],[JUSTIFICATIVA]]="","",CONCATENATE("B",Tabela4[[#This Row],[BLOCO]],Tabela4[[#This Row],[UO_COD]]))</f>
        <v/>
      </c>
      <c r="AX574">
        <f>Tabela4[[#This Row],[JUSTIFICATIVA]]</f>
        <v>0</v>
      </c>
    </row>
    <row r="575" spans="1:50" ht="15" customHeight="1">
      <c r="A575" s="11">
        <v>2171</v>
      </c>
      <c r="B575" s="11">
        <v>1062</v>
      </c>
      <c r="C575" s="12" t="str">
        <f t="shared" si="18"/>
        <v>21711062</v>
      </c>
      <c r="D575" s="11" t="s">
        <v>627</v>
      </c>
      <c r="E575" s="11" t="s">
        <v>628</v>
      </c>
      <c r="F575" s="11" t="s">
        <v>633</v>
      </c>
      <c r="G575" s="11">
        <v>0</v>
      </c>
      <c r="T575" s="11">
        <v>2171</v>
      </c>
      <c r="U575" s="11">
        <v>1062</v>
      </c>
      <c r="AW575" t="str">
        <f>IF(Tabela4[[#This Row],[JUSTIFICATIVA]]="","",CONCATENATE("B",Tabela4[[#This Row],[BLOCO]],Tabela4[[#This Row],[UO_COD]]))</f>
        <v/>
      </c>
      <c r="AX575">
        <f>Tabela4[[#This Row],[JUSTIFICATIVA]]</f>
        <v>0</v>
      </c>
    </row>
    <row r="576" spans="1:50" ht="15" customHeight="1">
      <c r="A576" s="11">
        <v>2171</v>
      </c>
      <c r="B576" s="11">
        <v>1066</v>
      </c>
      <c r="C576" s="12" t="str">
        <f t="shared" si="18"/>
        <v>21711066</v>
      </c>
      <c r="D576" s="11" t="s">
        <v>627</v>
      </c>
      <c r="E576" s="11" t="s">
        <v>634</v>
      </c>
      <c r="F576" s="11" t="s">
        <v>635</v>
      </c>
      <c r="G576" s="11">
        <v>0</v>
      </c>
      <c r="T576" s="11">
        <v>2171</v>
      </c>
      <c r="U576" s="11">
        <v>1066</v>
      </c>
      <c r="AW576" t="str">
        <f>IF(Tabela4[[#This Row],[JUSTIFICATIVA]]="","",CONCATENATE("B",Tabela4[[#This Row],[BLOCO]],Tabela4[[#This Row],[UO_COD]]))</f>
        <v/>
      </c>
      <c r="AX576">
        <f>Tabela4[[#This Row],[JUSTIFICATIVA]]</f>
        <v>0</v>
      </c>
    </row>
    <row r="577" spans="1:50" ht="15" customHeight="1">
      <c r="A577" s="11">
        <v>2171</v>
      </c>
      <c r="B577" s="11">
        <v>2417</v>
      </c>
      <c r="C577" s="12" t="str">
        <f t="shared" si="18"/>
        <v>21712417</v>
      </c>
      <c r="D577" s="11" t="s">
        <v>627</v>
      </c>
      <c r="E577" s="11" t="s">
        <v>470</v>
      </c>
      <c r="F577" s="11" t="s">
        <v>461</v>
      </c>
      <c r="G577" s="11">
        <v>0</v>
      </c>
      <c r="T577" s="11">
        <v>2171</v>
      </c>
      <c r="U577" s="11">
        <v>2417</v>
      </c>
      <c r="AW577" t="str">
        <f>IF(Tabela4[[#This Row],[JUSTIFICATIVA]]="","",CONCATENATE("B",Tabela4[[#This Row],[BLOCO]],Tabela4[[#This Row],[UO_COD]]))</f>
        <v/>
      </c>
      <c r="AX577">
        <f>Tabela4[[#This Row],[JUSTIFICATIVA]]</f>
        <v>0</v>
      </c>
    </row>
    <row r="578" spans="1:50" ht="15" customHeight="1">
      <c r="A578" s="11">
        <v>2171</v>
      </c>
      <c r="B578" s="11">
        <v>2500</v>
      </c>
      <c r="C578" s="12" t="str">
        <f t="shared" ref="C578:C641" si="19">CONCATENATE(A578,B578)</f>
        <v>21712500</v>
      </c>
      <c r="D578" s="11" t="s">
        <v>627</v>
      </c>
      <c r="E578" s="11" t="s">
        <v>470</v>
      </c>
      <c r="F578" s="11" t="s">
        <v>461</v>
      </c>
      <c r="G578" s="11">
        <v>0</v>
      </c>
      <c r="T578" s="11">
        <v>2171</v>
      </c>
      <c r="U578" s="11">
        <v>2500</v>
      </c>
      <c r="AW578" t="str">
        <f>IF(Tabela4[[#This Row],[JUSTIFICATIVA]]="","",CONCATENATE("B",Tabela4[[#This Row],[BLOCO]],Tabela4[[#This Row],[UO_COD]]))</f>
        <v/>
      </c>
      <c r="AX578">
        <f>Tabela4[[#This Row],[JUSTIFICATIVA]]</f>
        <v>0</v>
      </c>
    </row>
    <row r="579" spans="1:50" ht="15" customHeight="1">
      <c r="A579" s="11">
        <v>2171</v>
      </c>
      <c r="B579" s="11">
        <v>7004</v>
      </c>
      <c r="C579" s="12" t="str">
        <f t="shared" si="19"/>
        <v>21717004</v>
      </c>
      <c r="D579" s="11" t="s">
        <v>459</v>
      </c>
      <c r="E579" s="11" t="s">
        <v>460</v>
      </c>
      <c r="F579" s="11" t="s">
        <v>461</v>
      </c>
      <c r="G579" s="11">
        <v>0</v>
      </c>
      <c r="T579" s="11">
        <v>2171</v>
      </c>
      <c r="U579" s="11">
        <v>7004</v>
      </c>
      <c r="AW579" t="str">
        <f>IF(Tabela4[[#This Row],[JUSTIFICATIVA]]="","",CONCATENATE("B",Tabela4[[#This Row],[BLOCO]],Tabela4[[#This Row],[UO_COD]]))</f>
        <v/>
      </c>
      <c r="AX579">
        <f>Tabela4[[#This Row],[JUSTIFICATIVA]]</f>
        <v>0</v>
      </c>
    </row>
    <row r="580" spans="1:50" ht="15" customHeight="1">
      <c r="A580" s="11">
        <v>2181</v>
      </c>
      <c r="B580" s="11">
        <v>2417</v>
      </c>
      <c r="C580" s="12" t="str">
        <f t="shared" si="19"/>
        <v>21812417</v>
      </c>
      <c r="D580" s="11" t="s">
        <v>627</v>
      </c>
      <c r="E580" s="11" t="s">
        <v>470</v>
      </c>
      <c r="F580" s="11" t="s">
        <v>461</v>
      </c>
      <c r="G580" s="11">
        <v>0</v>
      </c>
      <c r="T580" s="11">
        <v>2181</v>
      </c>
      <c r="U580" s="11">
        <v>2417</v>
      </c>
      <c r="AW580" t="str">
        <f>IF(Tabela4[[#This Row],[JUSTIFICATIVA]]="","",CONCATENATE("B",Tabela4[[#This Row],[BLOCO]],Tabela4[[#This Row],[UO_COD]]))</f>
        <v/>
      </c>
      <c r="AX580">
        <f>Tabela4[[#This Row],[JUSTIFICATIVA]]</f>
        <v>0</v>
      </c>
    </row>
    <row r="581" spans="1:50" ht="15" customHeight="1">
      <c r="A581" s="11">
        <v>2181</v>
      </c>
      <c r="B581" s="11">
        <v>2500</v>
      </c>
      <c r="C581" s="12" t="str">
        <f t="shared" si="19"/>
        <v>21812500</v>
      </c>
      <c r="D581" s="11" t="s">
        <v>627</v>
      </c>
      <c r="E581" s="11" t="s">
        <v>470</v>
      </c>
      <c r="F581" s="11" t="s">
        <v>461</v>
      </c>
      <c r="G581" s="11">
        <v>0</v>
      </c>
      <c r="T581" s="11">
        <v>2181</v>
      </c>
      <c r="U581" s="11">
        <v>2500</v>
      </c>
      <c r="AW581" t="str">
        <f>IF(Tabela4[[#This Row],[JUSTIFICATIVA]]="","",CONCATENATE("B",Tabela4[[#This Row],[BLOCO]],Tabela4[[#This Row],[UO_COD]]))</f>
        <v/>
      </c>
      <c r="AX581">
        <f>Tabela4[[#This Row],[JUSTIFICATIVA]]</f>
        <v>0</v>
      </c>
    </row>
    <row r="582" spans="1:50" ht="15" customHeight="1">
      <c r="A582" s="11">
        <v>2181</v>
      </c>
      <c r="B582" s="11">
        <v>4172</v>
      </c>
      <c r="C582" s="12" t="str">
        <f t="shared" si="19"/>
        <v>21814172</v>
      </c>
      <c r="D582" s="11" t="s">
        <v>627</v>
      </c>
      <c r="E582" s="11" t="s">
        <v>628</v>
      </c>
      <c r="F582" s="11" t="s">
        <v>632</v>
      </c>
      <c r="G582" s="11">
        <v>1</v>
      </c>
      <c r="T582" s="11">
        <v>2181</v>
      </c>
      <c r="U582" s="11">
        <v>4172</v>
      </c>
      <c r="AW582" t="str">
        <f>IF(Tabela4[[#This Row],[JUSTIFICATIVA]]="","",CONCATENATE("B",Tabela4[[#This Row],[BLOCO]],Tabela4[[#This Row],[UO_COD]]))</f>
        <v/>
      </c>
      <c r="AX582">
        <f>Tabela4[[#This Row],[JUSTIFICATIVA]]</f>
        <v>0</v>
      </c>
    </row>
    <row r="583" spans="1:50" ht="15" customHeight="1">
      <c r="A583" s="11">
        <v>2181</v>
      </c>
      <c r="B583" s="11">
        <v>4369</v>
      </c>
      <c r="C583" s="12" t="str">
        <f t="shared" si="19"/>
        <v>21814369</v>
      </c>
      <c r="D583" s="11" t="s">
        <v>627</v>
      </c>
      <c r="E583" s="11" t="s">
        <v>628</v>
      </c>
      <c r="F583" s="11" t="s">
        <v>619</v>
      </c>
      <c r="G583" s="11">
        <v>0</v>
      </c>
      <c r="T583" s="11">
        <v>2181</v>
      </c>
      <c r="U583" s="11">
        <v>4369</v>
      </c>
      <c r="AW583" t="str">
        <f>IF(Tabela4[[#This Row],[JUSTIFICATIVA]]="","",CONCATENATE("B",Tabela4[[#This Row],[BLOCO]],Tabela4[[#This Row],[UO_COD]]))</f>
        <v/>
      </c>
      <c r="AX583">
        <f>Tabela4[[#This Row],[JUSTIFICATIVA]]</f>
        <v>0</v>
      </c>
    </row>
    <row r="584" spans="1:50" ht="15" customHeight="1">
      <c r="A584" s="11">
        <v>2181</v>
      </c>
      <c r="B584" s="11">
        <v>4417</v>
      </c>
      <c r="C584" s="12" t="str">
        <f t="shared" si="19"/>
        <v>21814417</v>
      </c>
      <c r="D584" s="11" t="s">
        <v>627</v>
      </c>
      <c r="E584" s="11" t="s">
        <v>628</v>
      </c>
      <c r="F584" s="11" t="s">
        <v>629</v>
      </c>
      <c r="G584" s="11">
        <v>0</v>
      </c>
      <c r="T584" s="11">
        <v>2181</v>
      </c>
      <c r="U584" s="11">
        <v>4417</v>
      </c>
      <c r="AW584" t="str">
        <f>IF(Tabela4[[#This Row],[JUSTIFICATIVA]]="","",CONCATENATE("B",Tabela4[[#This Row],[BLOCO]],Tabela4[[#This Row],[UO_COD]]))</f>
        <v/>
      </c>
      <c r="AX584">
        <f>Tabela4[[#This Row],[JUSTIFICATIVA]]</f>
        <v>0</v>
      </c>
    </row>
    <row r="585" spans="1:50" ht="15" customHeight="1">
      <c r="A585" s="11">
        <v>2181</v>
      </c>
      <c r="B585" s="11">
        <v>4421</v>
      </c>
      <c r="C585" s="12" t="str">
        <f t="shared" si="19"/>
        <v>21814421</v>
      </c>
      <c r="D585" s="11" t="s">
        <v>627</v>
      </c>
      <c r="E585" s="11" t="s">
        <v>628</v>
      </c>
      <c r="F585" s="11" t="s">
        <v>629</v>
      </c>
      <c r="G585" s="11">
        <v>0</v>
      </c>
      <c r="T585" s="11">
        <v>2181</v>
      </c>
      <c r="U585" s="11">
        <v>4421</v>
      </c>
      <c r="AW585" t="str">
        <f>IF(Tabela4[[#This Row],[JUSTIFICATIVA]]="","",CONCATENATE("B",Tabela4[[#This Row],[BLOCO]],Tabela4[[#This Row],[UO_COD]]))</f>
        <v/>
      </c>
      <c r="AX585">
        <f>Tabela4[[#This Row],[JUSTIFICATIVA]]</f>
        <v>0</v>
      </c>
    </row>
    <row r="586" spans="1:50" ht="15" customHeight="1">
      <c r="A586" s="11">
        <v>2181</v>
      </c>
      <c r="B586" s="11">
        <v>4422</v>
      </c>
      <c r="C586" s="12" t="str">
        <f t="shared" si="19"/>
        <v>21814422</v>
      </c>
      <c r="D586" s="11" t="s">
        <v>627</v>
      </c>
      <c r="E586" s="11" t="s">
        <v>628</v>
      </c>
      <c r="F586" s="11" t="s">
        <v>629</v>
      </c>
      <c r="G586" s="11">
        <v>0</v>
      </c>
      <c r="T586" s="11">
        <v>2181</v>
      </c>
      <c r="U586" s="11">
        <v>4422</v>
      </c>
      <c r="AW586" t="str">
        <f>IF(Tabela4[[#This Row],[JUSTIFICATIVA]]="","",CONCATENATE("B",Tabela4[[#This Row],[BLOCO]],Tabela4[[#This Row],[UO_COD]]))</f>
        <v/>
      </c>
      <c r="AX586">
        <f>Tabela4[[#This Row],[JUSTIFICATIVA]]</f>
        <v>0</v>
      </c>
    </row>
    <row r="587" spans="1:50" ht="15" customHeight="1">
      <c r="A587" s="11">
        <v>2181</v>
      </c>
      <c r="B587" s="11">
        <v>4423</v>
      </c>
      <c r="C587" s="12" t="str">
        <f t="shared" si="19"/>
        <v>21814423</v>
      </c>
      <c r="D587" s="11" t="s">
        <v>627</v>
      </c>
      <c r="E587" s="11" t="s">
        <v>628</v>
      </c>
      <c r="F587" s="11" t="s">
        <v>629</v>
      </c>
      <c r="G587" s="11">
        <v>0</v>
      </c>
      <c r="T587" s="11">
        <v>2181</v>
      </c>
      <c r="U587" s="11">
        <v>4423</v>
      </c>
      <c r="AW587" t="str">
        <f>IF(Tabela4[[#This Row],[JUSTIFICATIVA]]="","",CONCATENATE("B",Tabela4[[#This Row],[BLOCO]],Tabela4[[#This Row],[UO_COD]]))</f>
        <v/>
      </c>
      <c r="AX587">
        <f>Tabela4[[#This Row],[JUSTIFICATIVA]]</f>
        <v>0</v>
      </c>
    </row>
    <row r="588" spans="1:50" ht="15" customHeight="1">
      <c r="A588" s="11">
        <v>2181</v>
      </c>
      <c r="B588" s="11">
        <v>4425</v>
      </c>
      <c r="C588" s="12" t="str">
        <f t="shared" si="19"/>
        <v>21814425</v>
      </c>
      <c r="D588" s="11" t="s">
        <v>605</v>
      </c>
      <c r="E588" s="11" t="s">
        <v>622</v>
      </c>
      <c r="F588" s="11" t="s">
        <v>633</v>
      </c>
      <c r="G588" s="11">
        <v>0</v>
      </c>
      <c r="T588" s="11">
        <v>2181</v>
      </c>
      <c r="U588" s="11">
        <v>4425</v>
      </c>
      <c r="AW588" t="str">
        <f>IF(Tabela4[[#This Row],[JUSTIFICATIVA]]="","",CONCATENATE("B",Tabela4[[#This Row],[BLOCO]],Tabela4[[#This Row],[UO_COD]]))</f>
        <v/>
      </c>
      <c r="AX588">
        <f>Tabela4[[#This Row],[JUSTIFICATIVA]]</f>
        <v>0</v>
      </c>
    </row>
    <row r="589" spans="1:50" ht="15" customHeight="1">
      <c r="A589" s="11">
        <v>2181</v>
      </c>
      <c r="B589" s="11">
        <v>7004</v>
      </c>
      <c r="C589" s="12" t="str">
        <f t="shared" si="19"/>
        <v>21817004</v>
      </c>
      <c r="D589" s="11" t="s">
        <v>459</v>
      </c>
      <c r="E589" s="11" t="s">
        <v>460</v>
      </c>
      <c r="F589" s="11" t="s">
        <v>461</v>
      </c>
      <c r="G589" s="11">
        <v>0</v>
      </c>
      <c r="T589" s="11">
        <v>2181</v>
      </c>
      <c r="U589" s="11">
        <v>7004</v>
      </c>
      <c r="AW589" t="str">
        <f>IF(Tabela4[[#This Row],[JUSTIFICATIVA]]="","",CONCATENATE("B",Tabela4[[#This Row],[BLOCO]],Tabela4[[#This Row],[UO_COD]]))</f>
        <v/>
      </c>
      <c r="AX589">
        <f>Tabela4[[#This Row],[JUSTIFICATIVA]]</f>
        <v>0</v>
      </c>
    </row>
    <row r="590" spans="1:50" ht="15" customHeight="1">
      <c r="A590" s="11">
        <v>2201</v>
      </c>
      <c r="B590" s="11">
        <v>2417</v>
      </c>
      <c r="C590" s="12" t="str">
        <f t="shared" si="19"/>
        <v>22012417</v>
      </c>
      <c r="D590" s="11" t="s">
        <v>627</v>
      </c>
      <c r="E590" s="11" t="s">
        <v>470</v>
      </c>
      <c r="F590" s="11" t="s">
        <v>461</v>
      </c>
      <c r="G590" s="11">
        <v>0</v>
      </c>
      <c r="T590" s="11">
        <v>2201</v>
      </c>
      <c r="U590" s="11">
        <v>2417</v>
      </c>
      <c r="AW590" t="str">
        <f>IF(Tabela4[[#This Row],[JUSTIFICATIVA]]="","",CONCATENATE("B",Tabela4[[#This Row],[BLOCO]],Tabela4[[#This Row],[UO_COD]]))</f>
        <v/>
      </c>
      <c r="AX590">
        <f>Tabela4[[#This Row],[JUSTIFICATIVA]]</f>
        <v>0</v>
      </c>
    </row>
    <row r="591" spans="1:50" ht="15" customHeight="1">
      <c r="A591" s="11">
        <v>2201</v>
      </c>
      <c r="B591" s="11">
        <v>2500</v>
      </c>
      <c r="C591" s="12" t="str">
        <f t="shared" si="19"/>
        <v>22012500</v>
      </c>
      <c r="D591" s="11" t="s">
        <v>627</v>
      </c>
      <c r="E591" s="11" t="s">
        <v>470</v>
      </c>
      <c r="F591" s="11" t="s">
        <v>461</v>
      </c>
      <c r="G591" s="11">
        <v>0</v>
      </c>
      <c r="T591" s="11">
        <v>2201</v>
      </c>
      <c r="U591" s="11">
        <v>2500</v>
      </c>
      <c r="AW591" t="str">
        <f>IF(Tabela4[[#This Row],[JUSTIFICATIVA]]="","",CONCATENATE("B",Tabela4[[#This Row],[BLOCO]],Tabela4[[#This Row],[UO_COD]]))</f>
        <v/>
      </c>
      <c r="AX591">
        <f>Tabela4[[#This Row],[JUSTIFICATIVA]]</f>
        <v>0</v>
      </c>
    </row>
    <row r="592" spans="1:50" ht="15" customHeight="1">
      <c r="A592" s="11">
        <v>2201</v>
      </c>
      <c r="B592" s="11">
        <v>4267</v>
      </c>
      <c r="C592" s="12" t="str">
        <f t="shared" si="19"/>
        <v>22014267</v>
      </c>
      <c r="D592" s="11" t="s">
        <v>627</v>
      </c>
      <c r="E592" s="11" t="s">
        <v>628</v>
      </c>
      <c r="F592" s="11" t="s">
        <v>632</v>
      </c>
      <c r="G592" s="11">
        <v>0</v>
      </c>
      <c r="T592" s="11">
        <v>2201</v>
      </c>
      <c r="U592" s="11">
        <v>4267</v>
      </c>
      <c r="AW592" t="str">
        <f>IF(Tabela4[[#This Row],[JUSTIFICATIVA]]="","",CONCATENATE("B",Tabela4[[#This Row],[BLOCO]],Tabela4[[#This Row],[UO_COD]]))</f>
        <v/>
      </c>
      <c r="AX592">
        <f>Tabela4[[#This Row],[JUSTIFICATIVA]]</f>
        <v>0</v>
      </c>
    </row>
    <row r="593" spans="1:50" ht="15" customHeight="1">
      <c r="A593" s="11">
        <v>2201</v>
      </c>
      <c r="B593" s="11">
        <v>4269</v>
      </c>
      <c r="C593" s="12" t="str">
        <f t="shared" si="19"/>
        <v>22014269</v>
      </c>
      <c r="D593" s="11" t="s">
        <v>627</v>
      </c>
      <c r="E593" s="11" t="s">
        <v>634</v>
      </c>
      <c r="F593" s="11" t="s">
        <v>632</v>
      </c>
      <c r="G593" s="11">
        <v>0</v>
      </c>
      <c r="T593" s="11">
        <v>2201</v>
      </c>
      <c r="U593" s="11">
        <v>4269</v>
      </c>
      <c r="AW593" t="str">
        <f>IF(Tabela4[[#This Row],[JUSTIFICATIVA]]="","",CONCATENATE("B",Tabela4[[#This Row],[BLOCO]],Tabela4[[#This Row],[UO_COD]]))</f>
        <v/>
      </c>
      <c r="AX593">
        <f>Tabela4[[#This Row],[JUSTIFICATIVA]]</f>
        <v>0</v>
      </c>
    </row>
    <row r="594" spans="1:50" ht="15" customHeight="1">
      <c r="A594" s="11">
        <v>2201</v>
      </c>
      <c r="B594" s="11">
        <v>4271</v>
      </c>
      <c r="C594" s="12" t="str">
        <f t="shared" si="19"/>
        <v>22014271</v>
      </c>
      <c r="D594" s="11" t="s">
        <v>627</v>
      </c>
      <c r="E594" s="11" t="s">
        <v>634</v>
      </c>
      <c r="F594" s="11" t="s">
        <v>633</v>
      </c>
      <c r="G594" s="11">
        <v>0</v>
      </c>
      <c r="T594" s="11">
        <v>2201</v>
      </c>
      <c r="U594" s="11">
        <v>4271</v>
      </c>
      <c r="AW594" t="str">
        <f>IF(Tabela4[[#This Row],[JUSTIFICATIVA]]="","",CONCATENATE("B",Tabela4[[#This Row],[BLOCO]],Tabela4[[#This Row],[UO_COD]]))</f>
        <v/>
      </c>
      <c r="AX594">
        <f>Tabela4[[#This Row],[JUSTIFICATIVA]]</f>
        <v>0</v>
      </c>
    </row>
    <row r="595" spans="1:50" ht="15" customHeight="1">
      <c r="A595" s="11">
        <v>2201</v>
      </c>
      <c r="B595" s="11">
        <v>4274</v>
      </c>
      <c r="C595" s="12" t="str">
        <f t="shared" si="19"/>
        <v>22014274</v>
      </c>
      <c r="D595" s="11" t="s">
        <v>627</v>
      </c>
      <c r="E595" s="11" t="s">
        <v>634</v>
      </c>
      <c r="F595" s="11" t="s">
        <v>629</v>
      </c>
      <c r="G595" s="11">
        <v>0</v>
      </c>
      <c r="T595" s="11">
        <v>2201</v>
      </c>
      <c r="U595" s="11">
        <v>4274</v>
      </c>
      <c r="AW595" t="str">
        <f>IF(Tabela4[[#This Row],[JUSTIFICATIVA]]="","",CONCATENATE("B",Tabela4[[#This Row],[BLOCO]],Tabela4[[#This Row],[UO_COD]]))</f>
        <v/>
      </c>
      <c r="AX595">
        <f>Tabela4[[#This Row],[JUSTIFICATIVA]]</f>
        <v>0</v>
      </c>
    </row>
    <row r="596" spans="1:50" ht="15" customHeight="1">
      <c r="A596" s="11">
        <v>2201</v>
      </c>
      <c r="B596" s="11">
        <v>4276</v>
      </c>
      <c r="C596" s="12" t="str">
        <f t="shared" si="19"/>
        <v>22014276</v>
      </c>
      <c r="D596" s="11" t="s">
        <v>627</v>
      </c>
      <c r="E596" s="11" t="s">
        <v>634</v>
      </c>
      <c r="F596" s="11" t="s">
        <v>635</v>
      </c>
      <c r="G596" s="11">
        <v>0</v>
      </c>
      <c r="T596" s="11">
        <v>2201</v>
      </c>
      <c r="U596" s="11">
        <v>4276</v>
      </c>
      <c r="AW596" t="str">
        <f>IF(Tabela4[[#This Row],[JUSTIFICATIVA]]="","",CONCATENATE("B",Tabela4[[#This Row],[BLOCO]],Tabela4[[#This Row],[UO_COD]]))</f>
        <v/>
      </c>
      <c r="AX596">
        <f>Tabela4[[#This Row],[JUSTIFICATIVA]]</f>
        <v>0</v>
      </c>
    </row>
    <row r="597" spans="1:50" ht="15" customHeight="1">
      <c r="A597" s="11">
        <v>2201</v>
      </c>
      <c r="B597" s="11">
        <v>4278</v>
      </c>
      <c r="C597" s="12" t="str">
        <f t="shared" si="19"/>
        <v>22014278</v>
      </c>
      <c r="D597" s="11" t="s">
        <v>627</v>
      </c>
      <c r="E597" s="11" t="s">
        <v>634</v>
      </c>
      <c r="F597" s="11" t="s">
        <v>635</v>
      </c>
      <c r="G597" s="11">
        <v>0</v>
      </c>
      <c r="T597" s="11">
        <v>2201</v>
      </c>
      <c r="U597" s="11">
        <v>4278</v>
      </c>
      <c r="AW597" t="str">
        <f>IF(Tabela4[[#This Row],[JUSTIFICATIVA]]="","",CONCATENATE("B",Tabela4[[#This Row],[BLOCO]],Tabela4[[#This Row],[UO_COD]]))</f>
        <v/>
      </c>
      <c r="AX597">
        <f>Tabela4[[#This Row],[JUSTIFICATIVA]]</f>
        <v>0</v>
      </c>
    </row>
    <row r="598" spans="1:50" ht="15" customHeight="1">
      <c r="A598" s="11">
        <v>2201</v>
      </c>
      <c r="B598" s="11">
        <v>4279</v>
      </c>
      <c r="C598" s="12" t="str">
        <f t="shared" si="19"/>
        <v>22014279</v>
      </c>
      <c r="D598" s="11" t="s">
        <v>627</v>
      </c>
      <c r="E598" s="11" t="s">
        <v>634</v>
      </c>
      <c r="F598" s="11" t="s">
        <v>635</v>
      </c>
      <c r="G598" s="11">
        <v>0</v>
      </c>
      <c r="T598" s="11">
        <v>2201</v>
      </c>
      <c r="U598" s="11">
        <v>4279</v>
      </c>
      <c r="AW598" t="str">
        <f>IF(Tabela4[[#This Row],[JUSTIFICATIVA]]="","",CONCATENATE("B",Tabela4[[#This Row],[BLOCO]],Tabela4[[#This Row],[UO_COD]]))</f>
        <v/>
      </c>
      <c r="AX598">
        <f>Tabela4[[#This Row],[JUSTIFICATIVA]]</f>
        <v>0</v>
      </c>
    </row>
    <row r="599" spans="1:50" ht="15" customHeight="1">
      <c r="A599" s="11">
        <v>2201</v>
      </c>
      <c r="B599" s="11">
        <v>4281</v>
      </c>
      <c r="C599" s="12" t="str">
        <f t="shared" si="19"/>
        <v>22014281</v>
      </c>
      <c r="D599" s="11" t="s">
        <v>627</v>
      </c>
      <c r="E599" s="11" t="s">
        <v>634</v>
      </c>
      <c r="F599" s="11" t="s">
        <v>635</v>
      </c>
      <c r="G599" s="11">
        <v>0</v>
      </c>
      <c r="T599" s="11">
        <v>2201</v>
      </c>
      <c r="U599" s="11">
        <v>4281</v>
      </c>
      <c r="AW599" t="str">
        <f>IF(Tabela4[[#This Row],[JUSTIFICATIVA]]="","",CONCATENATE("B",Tabela4[[#This Row],[BLOCO]],Tabela4[[#This Row],[UO_COD]]))</f>
        <v/>
      </c>
      <c r="AX599">
        <f>Tabela4[[#This Row],[JUSTIFICATIVA]]</f>
        <v>0</v>
      </c>
    </row>
    <row r="600" spans="1:50" ht="15" customHeight="1">
      <c r="A600" s="11">
        <v>2201</v>
      </c>
      <c r="B600" s="11">
        <v>4484</v>
      </c>
      <c r="C600" s="12" t="str">
        <f t="shared" si="19"/>
        <v>22014484</v>
      </c>
      <c r="D600" s="11" t="s">
        <v>627</v>
      </c>
      <c r="E600" s="11" t="s">
        <v>628</v>
      </c>
      <c r="F600" s="11" t="s">
        <v>632</v>
      </c>
      <c r="G600" s="11">
        <v>0</v>
      </c>
      <c r="T600" s="11">
        <v>2201</v>
      </c>
      <c r="U600" s="11">
        <v>4484</v>
      </c>
      <c r="AW600" t="str">
        <f>IF(Tabela4[[#This Row],[JUSTIFICATIVA]]="","",CONCATENATE("B",Tabela4[[#This Row],[BLOCO]],Tabela4[[#This Row],[UO_COD]]))</f>
        <v/>
      </c>
      <c r="AX600">
        <f>Tabela4[[#This Row],[JUSTIFICATIVA]]</f>
        <v>0</v>
      </c>
    </row>
    <row r="601" spans="1:50" ht="15" customHeight="1">
      <c r="A601" s="11">
        <v>2201</v>
      </c>
      <c r="B601" s="11">
        <v>7004</v>
      </c>
      <c r="C601" s="12" t="str">
        <f t="shared" si="19"/>
        <v>22017004</v>
      </c>
      <c r="D601" s="11" t="s">
        <v>459</v>
      </c>
      <c r="E601" s="11" t="s">
        <v>460</v>
      </c>
      <c r="F601" s="11" t="s">
        <v>461</v>
      </c>
      <c r="G601" s="11">
        <v>0</v>
      </c>
      <c r="T601" s="11">
        <v>2201</v>
      </c>
      <c r="U601" s="11">
        <v>7004</v>
      </c>
      <c r="AW601" t="str">
        <f>IF(Tabela4[[#This Row],[JUSTIFICATIVA]]="","",CONCATENATE("B",Tabela4[[#This Row],[BLOCO]],Tabela4[[#This Row],[UO_COD]]))</f>
        <v/>
      </c>
      <c r="AX601">
        <f>Tabela4[[#This Row],[JUSTIFICATIVA]]</f>
        <v>0</v>
      </c>
    </row>
    <row r="602" spans="1:50" ht="15" customHeight="1">
      <c r="A602" s="11">
        <v>2211</v>
      </c>
      <c r="B602" s="11">
        <v>2417</v>
      </c>
      <c r="C602" s="12" t="str">
        <f t="shared" si="19"/>
        <v>22112417</v>
      </c>
      <c r="D602" s="11" t="s">
        <v>627</v>
      </c>
      <c r="E602" s="11" t="s">
        <v>547</v>
      </c>
      <c r="F602" s="11" t="s">
        <v>461</v>
      </c>
      <c r="G602" s="11">
        <v>0</v>
      </c>
      <c r="T602">
        <v>2211</v>
      </c>
      <c r="U602">
        <v>2417</v>
      </c>
      <c r="AW602" t="str">
        <f>IF(Tabela4[[#This Row],[JUSTIFICATIVA]]="","",CONCATENATE("B",Tabela4[[#This Row],[BLOCO]],Tabela4[[#This Row],[UO_COD]]))</f>
        <v/>
      </c>
      <c r="AX602">
        <f>Tabela4[[#This Row],[JUSTIFICATIVA]]</f>
        <v>0</v>
      </c>
    </row>
    <row r="603" spans="1:50" ht="15" customHeight="1">
      <c r="A603" s="11">
        <v>2211</v>
      </c>
      <c r="B603" s="11">
        <v>2500</v>
      </c>
      <c r="C603" s="12" t="str">
        <f t="shared" si="19"/>
        <v>22112500</v>
      </c>
      <c r="D603" s="11" t="s">
        <v>627</v>
      </c>
      <c r="E603" s="11" t="s">
        <v>470</v>
      </c>
      <c r="F603" s="11" t="s">
        <v>461</v>
      </c>
      <c r="G603" s="11">
        <v>0</v>
      </c>
      <c r="T603">
        <v>2211</v>
      </c>
      <c r="U603">
        <v>2500</v>
      </c>
      <c r="AW603" t="str">
        <f>IF(Tabela4[[#This Row],[JUSTIFICATIVA]]="","",CONCATENATE("B",Tabela4[[#This Row],[BLOCO]],Tabela4[[#This Row],[UO_COD]]))</f>
        <v/>
      </c>
      <c r="AX603">
        <f>Tabela4[[#This Row],[JUSTIFICATIVA]]</f>
        <v>0</v>
      </c>
    </row>
    <row r="604" spans="1:50" ht="15" customHeight="1">
      <c r="A604" s="11">
        <v>2211</v>
      </c>
      <c r="B604" s="11">
        <v>4298</v>
      </c>
      <c r="C604" s="12" t="str">
        <f t="shared" si="19"/>
        <v>22114298</v>
      </c>
      <c r="D604" s="11" t="s">
        <v>627</v>
      </c>
      <c r="E604" s="11" t="s">
        <v>733</v>
      </c>
      <c r="F604" s="11" t="s">
        <v>690</v>
      </c>
      <c r="G604" s="11">
        <v>0</v>
      </c>
      <c r="T604">
        <v>2211</v>
      </c>
      <c r="U604">
        <v>4298</v>
      </c>
      <c r="AW604" t="str">
        <f>IF(Tabela4[[#This Row],[JUSTIFICATIVA]]="","",CONCATENATE("B",Tabela4[[#This Row],[BLOCO]],Tabela4[[#This Row],[UO_COD]]))</f>
        <v/>
      </c>
      <c r="AX604">
        <f>Tabela4[[#This Row],[JUSTIFICATIVA]]</f>
        <v>0</v>
      </c>
    </row>
    <row r="605" spans="1:50" ht="15" customHeight="1">
      <c r="A605" s="11">
        <v>2211</v>
      </c>
      <c r="B605" s="11">
        <v>4299</v>
      </c>
      <c r="C605" s="12" t="str">
        <f t="shared" si="19"/>
        <v>22114299</v>
      </c>
      <c r="D605" s="11" t="s">
        <v>627</v>
      </c>
      <c r="E605" s="11" t="s">
        <v>733</v>
      </c>
      <c r="F605" s="11" t="s">
        <v>690</v>
      </c>
      <c r="G605" s="11">
        <v>0</v>
      </c>
      <c r="T605">
        <v>2211</v>
      </c>
      <c r="U605">
        <v>4299</v>
      </c>
      <c r="AW605" t="str">
        <f>IF(Tabela4[[#This Row],[JUSTIFICATIVA]]="","",CONCATENATE("B",Tabela4[[#This Row],[BLOCO]],Tabela4[[#This Row],[UO_COD]]))</f>
        <v/>
      </c>
      <c r="AX605">
        <f>Tabela4[[#This Row],[JUSTIFICATIVA]]</f>
        <v>0</v>
      </c>
    </row>
    <row r="606" spans="1:50" ht="15" customHeight="1">
      <c r="A606" s="11">
        <v>2211</v>
      </c>
      <c r="B606" s="11">
        <v>4302</v>
      </c>
      <c r="C606" s="12" t="str">
        <f t="shared" si="19"/>
        <v>22114302</v>
      </c>
      <c r="D606" s="11" t="s">
        <v>627</v>
      </c>
      <c r="E606" s="11" t="s">
        <v>547</v>
      </c>
      <c r="F606" s="11" t="s">
        <v>690</v>
      </c>
      <c r="G606" s="11">
        <v>0</v>
      </c>
      <c r="T606">
        <v>2211</v>
      </c>
      <c r="U606">
        <v>4302</v>
      </c>
      <c r="AW606" t="str">
        <f>IF(Tabela4[[#This Row],[JUSTIFICATIVA]]="","",CONCATENATE("B",Tabela4[[#This Row],[BLOCO]],Tabela4[[#This Row],[UO_COD]]))</f>
        <v/>
      </c>
      <c r="AX606">
        <f>Tabela4[[#This Row],[JUSTIFICATIVA]]</f>
        <v>0</v>
      </c>
    </row>
    <row r="607" spans="1:50" ht="15" customHeight="1">
      <c r="A607" s="11">
        <v>2211</v>
      </c>
      <c r="B607" s="11">
        <v>7004</v>
      </c>
      <c r="C607" s="12" t="str">
        <f t="shared" si="19"/>
        <v>22117004</v>
      </c>
      <c r="D607" s="11" t="s">
        <v>459</v>
      </c>
      <c r="E607" s="11" t="s">
        <v>460</v>
      </c>
      <c r="F607" s="11" t="s">
        <v>461</v>
      </c>
      <c r="G607" s="11">
        <v>0</v>
      </c>
      <c r="T607">
        <v>2211</v>
      </c>
      <c r="U607">
        <v>7004</v>
      </c>
      <c r="AW607" t="str">
        <f>IF(Tabela4[[#This Row],[JUSTIFICATIVA]]="","",CONCATENATE("B",Tabela4[[#This Row],[BLOCO]],Tabela4[[#This Row],[UO_COD]]))</f>
        <v/>
      </c>
      <c r="AX607">
        <f>Tabela4[[#This Row],[JUSTIFICATIVA]]</f>
        <v>0</v>
      </c>
    </row>
    <row r="608" spans="1:50" ht="15" customHeight="1">
      <c r="A608" s="11">
        <v>2241</v>
      </c>
      <c r="B608" s="11">
        <v>2417</v>
      </c>
      <c r="C608" s="12" t="str">
        <f t="shared" si="19"/>
        <v>22412417</v>
      </c>
      <c r="D608" s="11" t="s">
        <v>646</v>
      </c>
      <c r="E608" s="11" t="s">
        <v>470</v>
      </c>
      <c r="F608" s="11" t="s">
        <v>461</v>
      </c>
      <c r="G608" s="11">
        <v>0</v>
      </c>
      <c r="T608" s="11">
        <v>2241</v>
      </c>
      <c r="U608" s="11">
        <v>2417</v>
      </c>
      <c r="AW608" t="str">
        <f>IF(Tabela4[[#This Row],[JUSTIFICATIVA]]="","",CONCATENATE("B",Tabela4[[#This Row],[BLOCO]],Tabela4[[#This Row],[UO_COD]]))</f>
        <v/>
      </c>
      <c r="AX608">
        <f>Tabela4[[#This Row],[JUSTIFICATIVA]]</f>
        <v>0</v>
      </c>
    </row>
    <row r="609" spans="1:50" ht="15" customHeight="1">
      <c r="A609" s="11">
        <v>2241</v>
      </c>
      <c r="B609" s="11">
        <v>2500</v>
      </c>
      <c r="C609" s="12" t="str">
        <f t="shared" si="19"/>
        <v>22412500</v>
      </c>
      <c r="D609" s="11" t="s">
        <v>646</v>
      </c>
      <c r="E609" s="11" t="s">
        <v>470</v>
      </c>
      <c r="F609" s="11" t="s">
        <v>461</v>
      </c>
      <c r="G609" s="11">
        <v>0</v>
      </c>
      <c r="T609" s="11">
        <v>2241</v>
      </c>
      <c r="U609" s="11">
        <v>2500</v>
      </c>
      <c r="AW609" t="str">
        <f>IF(Tabela4[[#This Row],[JUSTIFICATIVA]]="","",CONCATENATE("B",Tabela4[[#This Row],[BLOCO]],Tabela4[[#This Row],[UO_COD]]))</f>
        <v/>
      </c>
      <c r="AX609">
        <f>Tabela4[[#This Row],[JUSTIFICATIVA]]</f>
        <v>0</v>
      </c>
    </row>
    <row r="610" spans="1:50" ht="15" customHeight="1">
      <c r="A610" s="11">
        <v>2241</v>
      </c>
      <c r="B610" s="11">
        <v>4187</v>
      </c>
      <c r="C610" s="12" t="str">
        <f t="shared" si="19"/>
        <v>22414187</v>
      </c>
      <c r="D610" s="11" t="s">
        <v>646</v>
      </c>
      <c r="E610" s="11" t="s">
        <v>562</v>
      </c>
      <c r="F610" s="11" t="s">
        <v>734</v>
      </c>
      <c r="G610" s="11">
        <v>0</v>
      </c>
      <c r="T610" s="11">
        <v>2241</v>
      </c>
      <c r="U610" s="11">
        <v>4187</v>
      </c>
      <c r="AW610" t="str">
        <f>IF(Tabela4[[#This Row],[JUSTIFICATIVA]]="","",CONCATENATE("B",Tabela4[[#This Row],[BLOCO]],Tabela4[[#This Row],[UO_COD]]))</f>
        <v/>
      </c>
      <c r="AX610">
        <f>Tabela4[[#This Row],[JUSTIFICATIVA]]</f>
        <v>0</v>
      </c>
    </row>
    <row r="611" spans="1:50" ht="15" customHeight="1">
      <c r="A611" s="11">
        <v>2241</v>
      </c>
      <c r="B611" s="11">
        <v>4188</v>
      </c>
      <c r="C611" s="12" t="str">
        <f t="shared" si="19"/>
        <v>22414188</v>
      </c>
      <c r="D611" s="11" t="s">
        <v>646</v>
      </c>
      <c r="E611" s="11" t="s">
        <v>562</v>
      </c>
      <c r="F611" s="11" t="s">
        <v>734</v>
      </c>
      <c r="G611" s="11">
        <v>0</v>
      </c>
      <c r="T611" s="11">
        <v>2241</v>
      </c>
      <c r="U611" s="11">
        <v>4188</v>
      </c>
      <c r="AW611" t="str">
        <f>IF(Tabela4[[#This Row],[JUSTIFICATIVA]]="","",CONCATENATE("B",Tabela4[[#This Row],[BLOCO]],Tabela4[[#This Row],[UO_COD]]))</f>
        <v/>
      </c>
      <c r="AX611">
        <f>Tabela4[[#This Row],[JUSTIFICATIVA]]</f>
        <v>0</v>
      </c>
    </row>
    <row r="612" spans="1:50" ht="15" customHeight="1">
      <c r="A612" s="11">
        <v>2241</v>
      </c>
      <c r="B612" s="11">
        <v>4189</v>
      </c>
      <c r="C612" s="12" t="str">
        <f t="shared" si="19"/>
        <v>22414189</v>
      </c>
      <c r="D612" s="11" t="s">
        <v>646</v>
      </c>
      <c r="E612" s="11" t="s">
        <v>562</v>
      </c>
      <c r="F612" s="11" t="s">
        <v>734</v>
      </c>
      <c r="G612" s="11">
        <v>0</v>
      </c>
      <c r="T612" s="11">
        <v>2241</v>
      </c>
      <c r="U612" s="11">
        <v>4189</v>
      </c>
      <c r="AW612" t="str">
        <f>IF(Tabela4[[#This Row],[JUSTIFICATIVA]]="","",CONCATENATE("B",Tabela4[[#This Row],[BLOCO]],Tabela4[[#This Row],[UO_COD]]))</f>
        <v/>
      </c>
      <c r="AX612">
        <f>Tabela4[[#This Row],[JUSTIFICATIVA]]</f>
        <v>0</v>
      </c>
    </row>
    <row r="613" spans="1:50" ht="15" customHeight="1">
      <c r="A613" s="11">
        <v>2241</v>
      </c>
      <c r="B613" s="11">
        <v>4190</v>
      </c>
      <c r="C613" s="12" t="str">
        <f t="shared" si="19"/>
        <v>22414190</v>
      </c>
      <c r="D613" s="11" t="s">
        <v>646</v>
      </c>
      <c r="E613" s="11" t="s">
        <v>562</v>
      </c>
      <c r="F613" s="11" t="s">
        <v>734</v>
      </c>
      <c r="G613" s="11">
        <v>0</v>
      </c>
      <c r="T613" s="11">
        <v>2241</v>
      </c>
      <c r="U613" s="11">
        <v>4190</v>
      </c>
      <c r="AW613" t="str">
        <f>IF(Tabela4[[#This Row],[JUSTIFICATIVA]]="","",CONCATENATE("B",Tabela4[[#This Row],[BLOCO]],Tabela4[[#This Row],[UO_COD]]))</f>
        <v/>
      </c>
      <c r="AX613">
        <f>Tabela4[[#This Row],[JUSTIFICATIVA]]</f>
        <v>0</v>
      </c>
    </row>
    <row r="614" spans="1:50" ht="15" customHeight="1">
      <c r="A614" s="11">
        <v>2241</v>
      </c>
      <c r="B614" s="11">
        <v>4191</v>
      </c>
      <c r="C614" s="12" t="str">
        <f t="shared" si="19"/>
        <v>22414191</v>
      </c>
      <c r="D614" s="11" t="s">
        <v>646</v>
      </c>
      <c r="E614" s="11" t="s">
        <v>562</v>
      </c>
      <c r="F614" s="11" t="s">
        <v>734</v>
      </c>
      <c r="G614" s="11">
        <v>0</v>
      </c>
      <c r="T614" s="11">
        <v>2241</v>
      </c>
      <c r="U614" s="11">
        <v>4191</v>
      </c>
      <c r="AW614" t="str">
        <f>IF(Tabela4[[#This Row],[JUSTIFICATIVA]]="","",CONCATENATE("B",Tabela4[[#This Row],[BLOCO]],Tabela4[[#This Row],[UO_COD]]))</f>
        <v/>
      </c>
      <c r="AX614">
        <f>Tabela4[[#This Row],[JUSTIFICATIVA]]</f>
        <v>0</v>
      </c>
    </row>
    <row r="615" spans="1:50" ht="15" customHeight="1">
      <c r="A615" s="11">
        <v>2241</v>
      </c>
      <c r="B615" s="11">
        <v>4192</v>
      </c>
      <c r="C615" s="12" t="str">
        <f t="shared" si="19"/>
        <v>22414192</v>
      </c>
      <c r="D615" s="11" t="s">
        <v>646</v>
      </c>
      <c r="E615" s="11" t="s">
        <v>562</v>
      </c>
      <c r="F615" s="11" t="s">
        <v>734</v>
      </c>
      <c r="G615" s="11">
        <v>0</v>
      </c>
      <c r="T615" s="11">
        <v>2241</v>
      </c>
      <c r="U615" s="11">
        <v>4192</v>
      </c>
      <c r="AW615" t="str">
        <f>IF(Tabela4[[#This Row],[JUSTIFICATIVA]]="","",CONCATENATE("B",Tabela4[[#This Row],[BLOCO]],Tabela4[[#This Row],[UO_COD]]))</f>
        <v/>
      </c>
      <c r="AX615">
        <f>Tabela4[[#This Row],[JUSTIFICATIVA]]</f>
        <v>0</v>
      </c>
    </row>
    <row r="616" spans="1:50" ht="15" customHeight="1">
      <c r="A616" s="11">
        <v>2241</v>
      </c>
      <c r="B616" s="11">
        <v>4194</v>
      </c>
      <c r="C616" s="12" t="str">
        <f t="shared" si="19"/>
        <v>22414194</v>
      </c>
      <c r="D616" s="11" t="s">
        <v>646</v>
      </c>
      <c r="E616" s="11" t="s">
        <v>562</v>
      </c>
      <c r="F616" s="11" t="s">
        <v>734</v>
      </c>
      <c r="G616" s="11">
        <v>0</v>
      </c>
      <c r="T616" s="11">
        <v>2241</v>
      </c>
      <c r="U616" s="11">
        <v>4194</v>
      </c>
      <c r="AW616" t="str">
        <f>IF(Tabela4[[#This Row],[JUSTIFICATIVA]]="","",CONCATENATE("B",Tabela4[[#This Row],[BLOCO]],Tabela4[[#This Row],[UO_COD]]))</f>
        <v/>
      </c>
      <c r="AX616">
        <f>Tabela4[[#This Row],[JUSTIFICATIVA]]</f>
        <v>0</v>
      </c>
    </row>
    <row r="617" spans="1:50" ht="15" customHeight="1">
      <c r="A617" s="11">
        <v>2241</v>
      </c>
      <c r="B617" s="11">
        <v>4195</v>
      </c>
      <c r="C617" s="12" t="str">
        <f t="shared" si="19"/>
        <v>22414195</v>
      </c>
      <c r="D617" s="11" t="s">
        <v>646</v>
      </c>
      <c r="E617" s="11" t="s">
        <v>562</v>
      </c>
      <c r="F617" s="11" t="s">
        <v>734</v>
      </c>
      <c r="G617" s="11">
        <v>0</v>
      </c>
      <c r="T617" s="11">
        <v>2241</v>
      </c>
      <c r="U617" s="11">
        <v>4195</v>
      </c>
      <c r="AW617" t="str">
        <f>IF(Tabela4[[#This Row],[JUSTIFICATIVA]]="","",CONCATENATE("B",Tabela4[[#This Row],[BLOCO]],Tabela4[[#This Row],[UO_COD]]))</f>
        <v/>
      </c>
      <c r="AX617">
        <f>Tabela4[[#This Row],[JUSTIFICATIVA]]</f>
        <v>0</v>
      </c>
    </row>
    <row r="618" spans="1:50" ht="15" customHeight="1">
      <c r="A618" s="11">
        <v>2241</v>
      </c>
      <c r="B618" s="11">
        <v>4200</v>
      </c>
      <c r="C618" s="12" t="str">
        <f t="shared" si="19"/>
        <v>22414200</v>
      </c>
      <c r="D618" s="11" t="s">
        <v>646</v>
      </c>
      <c r="E618" s="11" t="s">
        <v>562</v>
      </c>
      <c r="F618" s="11" t="s">
        <v>521</v>
      </c>
      <c r="G618" s="11">
        <v>0</v>
      </c>
      <c r="T618" s="11">
        <v>2241</v>
      </c>
      <c r="U618" s="11">
        <v>4200</v>
      </c>
      <c r="AW618" t="str">
        <f>IF(Tabela4[[#This Row],[JUSTIFICATIVA]]="","",CONCATENATE("B",Tabela4[[#This Row],[BLOCO]],Tabela4[[#This Row],[UO_COD]]))</f>
        <v/>
      </c>
      <c r="AX618">
        <f>Tabela4[[#This Row],[JUSTIFICATIVA]]</f>
        <v>0</v>
      </c>
    </row>
    <row r="619" spans="1:50" ht="15" customHeight="1">
      <c r="A619" s="11">
        <v>2241</v>
      </c>
      <c r="B619" s="11">
        <v>7004</v>
      </c>
      <c r="C619" s="12" t="str">
        <f t="shared" si="19"/>
        <v>22417004</v>
      </c>
      <c r="D619" s="11" t="s">
        <v>459</v>
      </c>
      <c r="E619" s="11" t="s">
        <v>460</v>
      </c>
      <c r="F619" s="11" t="s">
        <v>461</v>
      </c>
      <c r="G619" s="11">
        <v>0</v>
      </c>
      <c r="T619" s="11">
        <v>2241</v>
      </c>
      <c r="U619" s="11">
        <v>7004</v>
      </c>
      <c r="AW619" t="str">
        <f>IF(Tabela4[[#This Row],[JUSTIFICATIVA]]="","",CONCATENATE("B",Tabela4[[#This Row],[BLOCO]],Tabela4[[#This Row],[UO_COD]]))</f>
        <v/>
      </c>
      <c r="AX619">
        <f>Tabela4[[#This Row],[JUSTIFICATIVA]]</f>
        <v>0</v>
      </c>
    </row>
    <row r="620" spans="1:50" ht="15" customHeight="1">
      <c r="A620" s="11">
        <v>2251</v>
      </c>
      <c r="B620" s="11">
        <v>2417</v>
      </c>
      <c r="C620" s="12" t="str">
        <f t="shared" si="19"/>
        <v>22512417</v>
      </c>
      <c r="D620" s="11" t="s">
        <v>568</v>
      </c>
      <c r="E620" s="11" t="s">
        <v>470</v>
      </c>
      <c r="F620" s="11" t="s">
        <v>461</v>
      </c>
      <c r="G620" s="11">
        <v>0</v>
      </c>
      <c r="T620" s="11">
        <v>2251</v>
      </c>
      <c r="U620" s="11">
        <v>2417</v>
      </c>
      <c r="AW620" t="str">
        <f>IF(Tabela4[[#This Row],[JUSTIFICATIVA]]="","",CONCATENATE("B",Tabela4[[#This Row],[BLOCO]],Tabela4[[#This Row],[UO_COD]]))</f>
        <v/>
      </c>
      <c r="AX620">
        <f>Tabela4[[#This Row],[JUSTIFICATIVA]]</f>
        <v>0</v>
      </c>
    </row>
    <row r="621" spans="1:50" ht="15" customHeight="1">
      <c r="A621" s="11">
        <v>2251</v>
      </c>
      <c r="B621" s="11">
        <v>2500</v>
      </c>
      <c r="C621" s="12" t="str">
        <f t="shared" si="19"/>
        <v>22512500</v>
      </c>
      <c r="D621" s="11" t="s">
        <v>568</v>
      </c>
      <c r="E621" s="11" t="s">
        <v>470</v>
      </c>
      <c r="F621" s="11" t="s">
        <v>461</v>
      </c>
      <c r="G621" s="11">
        <v>0</v>
      </c>
      <c r="T621" s="11">
        <v>2251</v>
      </c>
      <c r="U621" s="11">
        <v>2500</v>
      </c>
      <c r="AW621" t="str">
        <f>IF(Tabela4[[#This Row],[JUSTIFICATIVA]]="","",CONCATENATE("B",Tabela4[[#This Row],[BLOCO]],Tabela4[[#This Row],[UO_COD]]))</f>
        <v/>
      </c>
      <c r="AX621">
        <f>Tabela4[[#This Row],[JUSTIFICATIVA]]</f>
        <v>0</v>
      </c>
    </row>
    <row r="622" spans="1:50" ht="15" customHeight="1">
      <c r="A622" s="11">
        <v>2251</v>
      </c>
      <c r="B622" s="11">
        <v>4051</v>
      </c>
      <c r="C622" s="12" t="str">
        <f t="shared" si="19"/>
        <v>22514051</v>
      </c>
      <c r="D622" s="11" t="s">
        <v>568</v>
      </c>
      <c r="E622" s="11" t="s">
        <v>574</v>
      </c>
      <c r="F622" s="11" t="s">
        <v>735</v>
      </c>
      <c r="G622" s="11">
        <v>0</v>
      </c>
      <c r="T622" s="11">
        <v>2251</v>
      </c>
      <c r="U622" s="11">
        <v>4051</v>
      </c>
      <c r="AW622" t="str">
        <f>IF(Tabela4[[#This Row],[JUSTIFICATIVA]]="","",CONCATENATE("B",Tabela4[[#This Row],[BLOCO]],Tabela4[[#This Row],[UO_COD]]))</f>
        <v/>
      </c>
      <c r="AX622">
        <f>Tabela4[[#This Row],[JUSTIFICATIVA]]</f>
        <v>0</v>
      </c>
    </row>
    <row r="623" spans="1:50" ht="15" customHeight="1">
      <c r="A623" s="11">
        <v>2251</v>
      </c>
      <c r="B623" s="11">
        <v>4052</v>
      </c>
      <c r="C623" s="12" t="str">
        <f t="shared" si="19"/>
        <v>22514052</v>
      </c>
      <c r="D623" s="11" t="s">
        <v>568</v>
      </c>
      <c r="E623" s="11" t="s">
        <v>470</v>
      </c>
      <c r="F623" s="11" t="s">
        <v>735</v>
      </c>
      <c r="G623" s="11">
        <v>0</v>
      </c>
      <c r="T623" s="11">
        <v>2251</v>
      </c>
      <c r="U623" s="11">
        <v>4052</v>
      </c>
      <c r="AW623" t="str">
        <f>IF(Tabela4[[#This Row],[JUSTIFICATIVA]]="","",CONCATENATE("B",Tabela4[[#This Row],[BLOCO]],Tabela4[[#This Row],[UO_COD]]))</f>
        <v/>
      </c>
      <c r="AX623">
        <f>Tabela4[[#This Row],[JUSTIFICATIVA]]</f>
        <v>0</v>
      </c>
    </row>
    <row r="624" spans="1:50" ht="15" customHeight="1">
      <c r="A624" s="11">
        <v>2251</v>
      </c>
      <c r="B624" s="11">
        <v>7004</v>
      </c>
      <c r="C624" s="12" t="str">
        <f t="shared" si="19"/>
        <v>22517004</v>
      </c>
      <c r="D624" s="11" t="s">
        <v>459</v>
      </c>
      <c r="E624" s="11" t="s">
        <v>460</v>
      </c>
      <c r="F624" s="11" t="s">
        <v>461</v>
      </c>
      <c r="G624" s="11">
        <v>0</v>
      </c>
      <c r="T624" s="11">
        <v>2251</v>
      </c>
      <c r="U624" s="11">
        <v>7004</v>
      </c>
      <c r="AW624" t="str">
        <f>IF(Tabela4[[#This Row],[JUSTIFICATIVA]]="","",CONCATENATE("B",Tabela4[[#This Row],[BLOCO]],Tabela4[[#This Row],[UO_COD]]))</f>
        <v/>
      </c>
      <c r="AX624">
        <f>Tabela4[[#This Row],[JUSTIFICATIVA]]</f>
        <v>0</v>
      </c>
    </row>
    <row r="625" spans="1:50" ht="15" customHeight="1">
      <c r="A625" s="11">
        <v>2261</v>
      </c>
      <c r="B625" s="11">
        <v>2417</v>
      </c>
      <c r="C625" s="12" t="str">
        <f t="shared" si="19"/>
        <v>22612417</v>
      </c>
      <c r="D625" s="11" t="s">
        <v>609</v>
      </c>
      <c r="E625" s="11" t="s">
        <v>736</v>
      </c>
      <c r="F625" s="11" t="s">
        <v>461</v>
      </c>
      <c r="G625" s="11">
        <v>0</v>
      </c>
      <c r="T625" s="11">
        <v>2261</v>
      </c>
      <c r="U625" s="11">
        <v>2417</v>
      </c>
      <c r="AW625" t="str">
        <f>IF(Tabela4[[#This Row],[JUSTIFICATIVA]]="","",CONCATENATE("B",Tabela4[[#This Row],[BLOCO]],Tabela4[[#This Row],[UO_COD]]))</f>
        <v/>
      </c>
      <c r="AX625">
        <f>Tabela4[[#This Row],[JUSTIFICATIVA]]</f>
        <v>0</v>
      </c>
    </row>
    <row r="626" spans="1:50" ht="15" customHeight="1">
      <c r="A626" s="11">
        <v>2261</v>
      </c>
      <c r="B626" s="11">
        <v>2500</v>
      </c>
      <c r="C626" s="12" t="str">
        <f t="shared" si="19"/>
        <v>22612500</v>
      </c>
      <c r="D626" s="11" t="s">
        <v>609</v>
      </c>
      <c r="E626" s="11" t="s">
        <v>470</v>
      </c>
      <c r="F626" s="11" t="s">
        <v>461</v>
      </c>
      <c r="G626" s="11">
        <v>0</v>
      </c>
      <c r="T626" s="11">
        <v>2261</v>
      </c>
      <c r="U626" s="11">
        <v>2500</v>
      </c>
      <c r="AW626" t="str">
        <f>IF(Tabela4[[#This Row],[JUSTIFICATIVA]]="","",CONCATENATE("B",Tabela4[[#This Row],[BLOCO]],Tabela4[[#This Row],[UO_COD]]))</f>
        <v/>
      </c>
      <c r="AX626">
        <f>Tabela4[[#This Row],[JUSTIFICATIVA]]</f>
        <v>0</v>
      </c>
    </row>
    <row r="627" spans="1:50" ht="15" customHeight="1">
      <c r="A627" s="11">
        <v>2261</v>
      </c>
      <c r="B627" s="11">
        <v>4455</v>
      </c>
      <c r="C627" s="12" t="str">
        <f t="shared" si="19"/>
        <v>22614455</v>
      </c>
      <c r="D627" s="11" t="s">
        <v>609</v>
      </c>
      <c r="E627" s="11" t="s">
        <v>592</v>
      </c>
      <c r="F627" s="11" t="s">
        <v>737</v>
      </c>
      <c r="G627" s="11">
        <v>0</v>
      </c>
      <c r="T627" s="11">
        <v>2261</v>
      </c>
      <c r="U627" s="11">
        <v>4455</v>
      </c>
      <c r="AW627" t="str">
        <f>IF(Tabela4[[#This Row],[JUSTIFICATIVA]]="","",CONCATENATE("B",Tabela4[[#This Row],[BLOCO]],Tabela4[[#This Row],[UO_COD]]))</f>
        <v/>
      </c>
      <c r="AX627">
        <f>Tabela4[[#This Row],[JUSTIFICATIVA]]</f>
        <v>0</v>
      </c>
    </row>
    <row r="628" spans="1:50" ht="15" customHeight="1">
      <c r="A628" s="11">
        <v>2261</v>
      </c>
      <c r="B628" s="11">
        <v>4456</v>
      </c>
      <c r="C628" s="12" t="str">
        <f t="shared" si="19"/>
        <v>22614456</v>
      </c>
      <c r="D628" s="11" t="s">
        <v>609</v>
      </c>
      <c r="E628" s="11" t="s">
        <v>592</v>
      </c>
      <c r="F628" s="11" t="s">
        <v>738</v>
      </c>
      <c r="G628" s="11">
        <v>0</v>
      </c>
      <c r="T628" s="11">
        <v>2261</v>
      </c>
      <c r="U628" s="11">
        <v>4456</v>
      </c>
      <c r="AW628" t="str">
        <f>IF(Tabela4[[#This Row],[JUSTIFICATIVA]]="","",CONCATENATE("B",Tabela4[[#This Row],[BLOCO]],Tabela4[[#This Row],[UO_COD]]))</f>
        <v/>
      </c>
      <c r="AX628">
        <f>Tabela4[[#This Row],[JUSTIFICATIVA]]</f>
        <v>0</v>
      </c>
    </row>
    <row r="629" spans="1:50" ht="15" customHeight="1">
      <c r="A629" s="11">
        <v>2261</v>
      </c>
      <c r="B629" s="11">
        <v>4457</v>
      </c>
      <c r="C629" s="12" t="str">
        <f t="shared" si="19"/>
        <v>22614457</v>
      </c>
      <c r="D629" s="11" t="s">
        <v>609</v>
      </c>
      <c r="E629" s="11" t="s">
        <v>736</v>
      </c>
      <c r="F629" s="11" t="s">
        <v>739</v>
      </c>
      <c r="G629" s="11">
        <v>0</v>
      </c>
      <c r="T629" s="11">
        <v>2261</v>
      </c>
      <c r="U629" s="11">
        <v>4457</v>
      </c>
      <c r="AW629" t="str">
        <f>IF(Tabela4[[#This Row],[JUSTIFICATIVA]]="","",CONCATENATE("B",Tabela4[[#This Row],[BLOCO]],Tabela4[[#This Row],[UO_COD]]))</f>
        <v/>
      </c>
      <c r="AX629">
        <f>Tabela4[[#This Row],[JUSTIFICATIVA]]</f>
        <v>0</v>
      </c>
    </row>
    <row r="630" spans="1:50" ht="15" customHeight="1">
      <c r="A630" s="11">
        <v>2261</v>
      </c>
      <c r="B630" s="11">
        <v>4459</v>
      </c>
      <c r="C630" s="12" t="str">
        <f t="shared" si="19"/>
        <v>22614459</v>
      </c>
      <c r="D630" s="11" t="s">
        <v>609</v>
      </c>
      <c r="E630" s="11" t="s">
        <v>736</v>
      </c>
      <c r="F630" s="11" t="s">
        <v>740</v>
      </c>
      <c r="G630" s="11">
        <v>0</v>
      </c>
      <c r="T630" s="11">
        <v>2261</v>
      </c>
      <c r="U630" s="11">
        <v>4459</v>
      </c>
      <c r="AW630" t="str">
        <f>IF(Tabela4[[#This Row],[JUSTIFICATIVA]]="","",CONCATENATE("B",Tabela4[[#This Row],[BLOCO]],Tabela4[[#This Row],[UO_COD]]))</f>
        <v/>
      </c>
      <c r="AX630">
        <f>Tabela4[[#This Row],[JUSTIFICATIVA]]</f>
        <v>0</v>
      </c>
    </row>
    <row r="631" spans="1:50" ht="15" customHeight="1">
      <c r="A631" s="11">
        <v>2261</v>
      </c>
      <c r="B631" s="11">
        <v>4460</v>
      </c>
      <c r="C631" s="12" t="str">
        <f t="shared" si="19"/>
        <v>22614460</v>
      </c>
      <c r="D631" s="11" t="s">
        <v>609</v>
      </c>
      <c r="E631" s="11" t="s">
        <v>736</v>
      </c>
      <c r="F631" s="11" t="s">
        <v>740</v>
      </c>
      <c r="G631" s="11">
        <v>0</v>
      </c>
      <c r="T631" s="11">
        <v>2261</v>
      </c>
      <c r="U631" s="11">
        <v>4460</v>
      </c>
      <c r="AW631" t="str">
        <f>IF(Tabela4[[#This Row],[JUSTIFICATIVA]]="","",CONCATENATE("B",Tabela4[[#This Row],[BLOCO]],Tabela4[[#This Row],[UO_COD]]))</f>
        <v/>
      </c>
      <c r="AX631">
        <f>Tabela4[[#This Row],[JUSTIFICATIVA]]</f>
        <v>0</v>
      </c>
    </row>
    <row r="632" spans="1:50" ht="15" customHeight="1">
      <c r="A632" s="11">
        <v>2261</v>
      </c>
      <c r="B632" s="11">
        <v>7004</v>
      </c>
      <c r="C632" s="12" t="str">
        <f t="shared" si="19"/>
        <v>22617004</v>
      </c>
      <c r="D632" s="11" t="s">
        <v>459</v>
      </c>
      <c r="E632" s="11" t="s">
        <v>460</v>
      </c>
      <c r="F632" s="11" t="s">
        <v>461</v>
      </c>
      <c r="G632" s="11">
        <v>0</v>
      </c>
      <c r="T632" s="11">
        <v>2261</v>
      </c>
      <c r="U632" s="11">
        <v>7004</v>
      </c>
      <c r="AW632" t="str">
        <f>IF(Tabela4[[#This Row],[JUSTIFICATIVA]]="","",CONCATENATE("B",Tabela4[[#This Row],[BLOCO]],Tabela4[[#This Row],[UO_COD]]))</f>
        <v/>
      </c>
      <c r="AX632">
        <f>Tabela4[[#This Row],[JUSTIFICATIVA]]</f>
        <v>0</v>
      </c>
    </row>
    <row r="633" spans="1:50" ht="15" customHeight="1">
      <c r="A633" s="11">
        <v>2271</v>
      </c>
      <c r="B633" s="11">
        <v>2417</v>
      </c>
      <c r="C633" s="12" t="str">
        <f t="shared" si="19"/>
        <v>22712417</v>
      </c>
      <c r="D633" s="11" t="s">
        <v>609</v>
      </c>
      <c r="E633" s="11" t="s">
        <v>470</v>
      </c>
      <c r="F633" s="11" t="s">
        <v>461</v>
      </c>
      <c r="G633" s="11">
        <v>0</v>
      </c>
      <c r="T633" s="11">
        <v>2271</v>
      </c>
      <c r="U633" s="11">
        <v>2417</v>
      </c>
      <c r="AW633" t="str">
        <f>IF(Tabela4[[#This Row],[JUSTIFICATIVA]]="","",CONCATENATE("B",Tabela4[[#This Row],[BLOCO]],Tabela4[[#This Row],[UO_COD]]))</f>
        <v/>
      </c>
      <c r="AX633">
        <f>Tabela4[[#This Row],[JUSTIFICATIVA]]</f>
        <v>0</v>
      </c>
    </row>
    <row r="634" spans="1:50" ht="15" customHeight="1">
      <c r="A634" s="11">
        <v>2271</v>
      </c>
      <c r="B634" s="11">
        <v>2500</v>
      </c>
      <c r="C634" s="12" t="str">
        <f t="shared" si="19"/>
        <v>22712500</v>
      </c>
      <c r="D634" s="11" t="s">
        <v>609</v>
      </c>
      <c r="E634" s="11" t="s">
        <v>470</v>
      </c>
      <c r="F634" s="11" t="s">
        <v>461</v>
      </c>
      <c r="G634" s="11">
        <v>0</v>
      </c>
      <c r="T634" s="11">
        <v>2271</v>
      </c>
      <c r="U634" s="11">
        <v>2500</v>
      </c>
      <c r="AW634" t="str">
        <f>IF(Tabela4[[#This Row],[JUSTIFICATIVA]]="","",CONCATENATE("B",Tabela4[[#This Row],[BLOCO]],Tabela4[[#This Row],[UO_COD]]))</f>
        <v/>
      </c>
      <c r="AX634">
        <f>Tabela4[[#This Row],[JUSTIFICATIVA]]</f>
        <v>0</v>
      </c>
    </row>
    <row r="635" spans="1:50" ht="15" customHeight="1">
      <c r="A635" s="11">
        <v>2271</v>
      </c>
      <c r="B635" s="11">
        <v>4029</v>
      </c>
      <c r="C635" s="12" t="str">
        <f t="shared" si="19"/>
        <v>22714029</v>
      </c>
      <c r="D635" s="11" t="s">
        <v>609</v>
      </c>
      <c r="E635" s="11" t="s">
        <v>610</v>
      </c>
      <c r="F635" s="11" t="s">
        <v>741</v>
      </c>
      <c r="G635" s="11">
        <v>0</v>
      </c>
      <c r="T635" s="11">
        <v>2271</v>
      </c>
      <c r="U635" s="11">
        <v>4029</v>
      </c>
      <c r="AW635" t="str">
        <f>IF(Tabela4[[#This Row],[JUSTIFICATIVA]]="","",CONCATENATE("B",Tabela4[[#This Row],[BLOCO]],Tabela4[[#This Row],[UO_COD]]))</f>
        <v/>
      </c>
      <c r="AX635">
        <f>Tabela4[[#This Row],[JUSTIFICATIVA]]</f>
        <v>0</v>
      </c>
    </row>
    <row r="636" spans="1:50" ht="15" customHeight="1">
      <c r="A636" s="11">
        <v>2271</v>
      </c>
      <c r="B636" s="11">
        <v>4030</v>
      </c>
      <c r="C636" s="12" t="str">
        <f t="shared" si="19"/>
        <v>22714030</v>
      </c>
      <c r="D636" s="11" t="s">
        <v>609</v>
      </c>
      <c r="E636" s="11" t="s">
        <v>610</v>
      </c>
      <c r="F636" s="11" t="s">
        <v>741</v>
      </c>
      <c r="G636" s="11">
        <v>0</v>
      </c>
      <c r="T636" s="11">
        <v>2271</v>
      </c>
      <c r="U636" s="11">
        <v>4030</v>
      </c>
      <c r="AW636" t="str">
        <f>IF(Tabela4[[#This Row],[JUSTIFICATIVA]]="","",CONCATENATE("B",Tabela4[[#This Row],[BLOCO]],Tabela4[[#This Row],[UO_COD]]))</f>
        <v/>
      </c>
      <c r="AX636">
        <f>Tabela4[[#This Row],[JUSTIFICATIVA]]</f>
        <v>0</v>
      </c>
    </row>
    <row r="637" spans="1:50" ht="15" customHeight="1">
      <c r="A637" s="11">
        <v>2271</v>
      </c>
      <c r="B637" s="11">
        <v>4031</v>
      </c>
      <c r="C637" s="12" t="str">
        <f t="shared" si="19"/>
        <v>22714031</v>
      </c>
      <c r="D637" s="11" t="s">
        <v>609</v>
      </c>
      <c r="E637" s="11" t="s">
        <v>610</v>
      </c>
      <c r="F637" s="11" t="s">
        <v>741</v>
      </c>
      <c r="G637" s="11">
        <v>0</v>
      </c>
      <c r="T637" s="11">
        <v>2271</v>
      </c>
      <c r="U637" s="11">
        <v>4031</v>
      </c>
      <c r="AW637" t="str">
        <f>IF(Tabela4[[#This Row],[JUSTIFICATIVA]]="","",CONCATENATE("B",Tabela4[[#This Row],[BLOCO]],Tabela4[[#This Row],[UO_COD]]))</f>
        <v/>
      </c>
      <c r="AX637">
        <f>Tabela4[[#This Row],[JUSTIFICATIVA]]</f>
        <v>0</v>
      </c>
    </row>
    <row r="638" spans="1:50" ht="15" customHeight="1">
      <c r="A638" s="11">
        <v>2271</v>
      </c>
      <c r="B638" s="11">
        <v>4032</v>
      </c>
      <c r="C638" s="12" t="str">
        <f t="shared" si="19"/>
        <v>22714032</v>
      </c>
      <c r="D638" s="11" t="s">
        <v>609</v>
      </c>
      <c r="E638" s="11" t="s">
        <v>610</v>
      </c>
      <c r="F638" s="11" t="s">
        <v>741</v>
      </c>
      <c r="G638" s="11">
        <v>0</v>
      </c>
      <c r="T638" s="11">
        <v>2271</v>
      </c>
      <c r="U638" s="11">
        <v>4032</v>
      </c>
      <c r="AW638" t="str">
        <f>IF(Tabela4[[#This Row],[JUSTIFICATIVA]]="","",CONCATENATE("B",Tabela4[[#This Row],[BLOCO]],Tabela4[[#This Row],[UO_COD]]))</f>
        <v/>
      </c>
      <c r="AX638">
        <f>Tabela4[[#This Row],[JUSTIFICATIVA]]</f>
        <v>0</v>
      </c>
    </row>
    <row r="639" spans="1:50" ht="15" customHeight="1">
      <c r="A639" s="11">
        <v>2271</v>
      </c>
      <c r="B639" s="11">
        <v>4034</v>
      </c>
      <c r="C639" s="12" t="str">
        <f t="shared" si="19"/>
        <v>22714034</v>
      </c>
      <c r="D639" s="11" t="s">
        <v>609</v>
      </c>
      <c r="E639" s="11" t="s">
        <v>610</v>
      </c>
      <c r="F639" s="11" t="s">
        <v>741</v>
      </c>
      <c r="G639" s="11">
        <v>0</v>
      </c>
      <c r="T639" s="11">
        <v>2271</v>
      </c>
      <c r="U639" s="11">
        <v>4034</v>
      </c>
      <c r="AW639" t="str">
        <f>IF(Tabela4[[#This Row],[JUSTIFICATIVA]]="","",CONCATENATE("B",Tabela4[[#This Row],[BLOCO]],Tabela4[[#This Row],[UO_COD]]))</f>
        <v/>
      </c>
      <c r="AX639">
        <f>Tabela4[[#This Row],[JUSTIFICATIVA]]</f>
        <v>0</v>
      </c>
    </row>
    <row r="640" spans="1:50" ht="15" customHeight="1">
      <c r="A640" s="11">
        <v>2271</v>
      </c>
      <c r="B640" s="11">
        <v>4035</v>
      </c>
      <c r="C640" s="12" t="str">
        <f t="shared" si="19"/>
        <v>22714035</v>
      </c>
      <c r="D640" s="11" t="s">
        <v>609</v>
      </c>
      <c r="E640" s="11" t="s">
        <v>610</v>
      </c>
      <c r="F640" s="11" t="s">
        <v>741</v>
      </c>
      <c r="G640" s="11">
        <v>0</v>
      </c>
      <c r="T640" s="11">
        <v>2271</v>
      </c>
      <c r="U640" s="11">
        <v>4035</v>
      </c>
      <c r="AW640" t="str">
        <f>IF(Tabela4[[#This Row],[JUSTIFICATIVA]]="","",CONCATENATE("B",Tabela4[[#This Row],[BLOCO]],Tabela4[[#This Row],[UO_COD]]))</f>
        <v/>
      </c>
      <c r="AX640">
        <f>Tabela4[[#This Row],[JUSTIFICATIVA]]</f>
        <v>0</v>
      </c>
    </row>
    <row r="641" spans="1:50" ht="15" customHeight="1">
      <c r="A641" s="11">
        <v>2271</v>
      </c>
      <c r="B641" s="11">
        <v>4036</v>
      </c>
      <c r="C641" s="12" t="str">
        <f t="shared" si="19"/>
        <v>22714036</v>
      </c>
      <c r="D641" s="11" t="s">
        <v>609</v>
      </c>
      <c r="E641" s="11" t="s">
        <v>610</v>
      </c>
      <c r="F641" s="11" t="s">
        <v>741</v>
      </c>
      <c r="G641" s="11">
        <v>0</v>
      </c>
      <c r="T641" s="11">
        <v>2271</v>
      </c>
      <c r="U641" s="11">
        <v>4036</v>
      </c>
      <c r="AW641" t="str">
        <f>IF(Tabela4[[#This Row],[JUSTIFICATIVA]]="","",CONCATENATE("B",Tabela4[[#This Row],[BLOCO]],Tabela4[[#This Row],[UO_COD]]))</f>
        <v/>
      </c>
      <c r="AX641">
        <f>Tabela4[[#This Row],[JUSTIFICATIVA]]</f>
        <v>0</v>
      </c>
    </row>
    <row r="642" spans="1:50" ht="15" customHeight="1">
      <c r="A642" s="11">
        <v>2271</v>
      </c>
      <c r="B642" s="11">
        <v>7004</v>
      </c>
      <c r="C642" s="12" t="str">
        <f t="shared" ref="C642:C705" si="20">CONCATENATE(A642,B642)</f>
        <v>22717004</v>
      </c>
      <c r="D642" s="11" t="s">
        <v>459</v>
      </c>
      <c r="E642" s="11" t="s">
        <v>460</v>
      </c>
      <c r="F642" s="11" t="s">
        <v>461</v>
      </c>
      <c r="G642" s="11">
        <v>0</v>
      </c>
      <c r="T642" s="11">
        <v>2271</v>
      </c>
      <c r="U642" s="11">
        <v>7004</v>
      </c>
      <c r="AW642" t="str">
        <f>IF(Tabela4[[#This Row],[JUSTIFICATIVA]]="","",CONCATENATE("B",Tabela4[[#This Row],[BLOCO]],Tabela4[[#This Row],[UO_COD]]))</f>
        <v/>
      </c>
      <c r="AX642">
        <f>Tabela4[[#This Row],[JUSTIFICATIVA]]</f>
        <v>0</v>
      </c>
    </row>
    <row r="643" spans="1:50" ht="15" customHeight="1">
      <c r="A643" s="11">
        <v>2281</v>
      </c>
      <c r="B643" s="11">
        <v>2417</v>
      </c>
      <c r="C643" s="12" t="str">
        <f t="shared" si="20"/>
        <v>22812417</v>
      </c>
      <c r="D643" s="11" t="s">
        <v>605</v>
      </c>
      <c r="E643" s="11" t="s">
        <v>622</v>
      </c>
      <c r="F643" s="11" t="s">
        <v>461</v>
      </c>
      <c r="G643" s="11">
        <v>0</v>
      </c>
      <c r="T643" s="11">
        <v>2281</v>
      </c>
      <c r="U643" s="11">
        <v>2417</v>
      </c>
      <c r="AW643" t="str">
        <f>IF(Tabela4[[#This Row],[JUSTIFICATIVA]]="","",CONCATENATE("B",Tabela4[[#This Row],[BLOCO]],Tabela4[[#This Row],[UO_COD]]))</f>
        <v/>
      </c>
      <c r="AX643">
        <f>Tabela4[[#This Row],[JUSTIFICATIVA]]</f>
        <v>0</v>
      </c>
    </row>
    <row r="644" spans="1:50" ht="15" customHeight="1">
      <c r="A644" s="11">
        <v>2281</v>
      </c>
      <c r="B644" s="11">
        <v>2500</v>
      </c>
      <c r="C644" s="12" t="str">
        <f t="shared" si="20"/>
        <v>22812500</v>
      </c>
      <c r="D644" s="11" t="s">
        <v>605</v>
      </c>
      <c r="E644" s="11" t="s">
        <v>622</v>
      </c>
      <c r="F644" s="11" t="s">
        <v>461</v>
      </c>
      <c r="G644" s="11">
        <v>0</v>
      </c>
      <c r="T644" s="11">
        <v>2281</v>
      </c>
      <c r="U644" s="11">
        <v>2500</v>
      </c>
      <c r="AW644" t="str">
        <f>IF(Tabela4[[#This Row],[JUSTIFICATIVA]]="","",CONCATENATE("B",Tabela4[[#This Row],[BLOCO]],Tabela4[[#This Row],[UO_COD]]))</f>
        <v/>
      </c>
      <c r="AX644">
        <f>Tabela4[[#This Row],[JUSTIFICATIVA]]</f>
        <v>0</v>
      </c>
    </row>
    <row r="645" spans="1:50" ht="15" customHeight="1">
      <c r="A645" s="11">
        <v>2281</v>
      </c>
      <c r="B645" s="11">
        <v>4300</v>
      </c>
      <c r="C645" s="12" t="str">
        <f t="shared" si="20"/>
        <v>22814300</v>
      </c>
      <c r="D645" s="11" t="s">
        <v>605</v>
      </c>
      <c r="E645" s="11" t="s">
        <v>622</v>
      </c>
      <c r="F645" s="11" t="s">
        <v>668</v>
      </c>
      <c r="G645" s="11">
        <v>0</v>
      </c>
      <c r="T645" s="11">
        <v>2281</v>
      </c>
      <c r="U645" s="11">
        <v>4300</v>
      </c>
      <c r="AW645" t="str">
        <f>IF(Tabela4[[#This Row],[JUSTIFICATIVA]]="","",CONCATENATE("B",Tabela4[[#This Row],[BLOCO]],Tabela4[[#This Row],[UO_COD]]))</f>
        <v/>
      </c>
      <c r="AX645">
        <f>Tabela4[[#This Row],[JUSTIFICATIVA]]</f>
        <v>0</v>
      </c>
    </row>
    <row r="646" spans="1:50" ht="15" customHeight="1">
      <c r="A646" s="11">
        <v>2281</v>
      </c>
      <c r="B646" s="11">
        <v>7004</v>
      </c>
      <c r="C646" s="12" t="str">
        <f t="shared" si="20"/>
        <v>22817004</v>
      </c>
      <c r="D646" s="11" t="s">
        <v>459</v>
      </c>
      <c r="E646" s="11" t="s">
        <v>460</v>
      </c>
      <c r="F646" s="11" t="s">
        <v>461</v>
      </c>
      <c r="G646" s="11">
        <v>0</v>
      </c>
      <c r="T646" s="11">
        <v>2281</v>
      </c>
      <c r="U646" s="11">
        <v>7004</v>
      </c>
      <c r="AW646" t="str">
        <f>IF(Tabela4[[#This Row],[JUSTIFICATIVA]]="","",CONCATENATE("B",Tabela4[[#This Row],[BLOCO]],Tabela4[[#This Row],[UO_COD]]))</f>
        <v/>
      </c>
      <c r="AX646">
        <f>Tabela4[[#This Row],[JUSTIFICATIVA]]</f>
        <v>0</v>
      </c>
    </row>
    <row r="647" spans="1:50" ht="15" customHeight="1">
      <c r="A647" s="11">
        <v>2301</v>
      </c>
      <c r="B647" s="11">
        <v>2417</v>
      </c>
      <c r="C647" s="12" t="str">
        <f t="shared" si="20"/>
        <v>23012417</v>
      </c>
      <c r="D647" s="11" t="s">
        <v>642</v>
      </c>
      <c r="E647" s="11" t="s">
        <v>515</v>
      </c>
      <c r="F647" s="11" t="s">
        <v>461</v>
      </c>
      <c r="G647" s="11">
        <v>0</v>
      </c>
      <c r="T647" s="11">
        <v>2301</v>
      </c>
      <c r="U647" s="11">
        <v>2417</v>
      </c>
      <c r="AW647" t="str">
        <f>IF(Tabela4[[#This Row],[JUSTIFICATIVA]]="","",CONCATENATE("B",Tabela4[[#This Row],[BLOCO]],Tabela4[[#This Row],[UO_COD]]))</f>
        <v/>
      </c>
      <c r="AX647">
        <f>Tabela4[[#This Row],[JUSTIFICATIVA]]</f>
        <v>0</v>
      </c>
    </row>
    <row r="648" spans="1:50" ht="15" customHeight="1">
      <c r="A648" s="11">
        <v>2301</v>
      </c>
      <c r="B648" s="11">
        <v>2500</v>
      </c>
      <c r="C648" s="12" t="str">
        <f t="shared" si="20"/>
        <v>23012500</v>
      </c>
      <c r="D648" s="11" t="s">
        <v>642</v>
      </c>
      <c r="E648" s="11" t="s">
        <v>470</v>
      </c>
      <c r="F648" s="11" t="s">
        <v>461</v>
      </c>
      <c r="G648" s="11">
        <v>0</v>
      </c>
      <c r="T648" s="11">
        <v>2301</v>
      </c>
      <c r="U648" s="11">
        <v>2500</v>
      </c>
      <c r="AW648" t="str">
        <f>IF(Tabela4[[#This Row],[JUSTIFICATIVA]]="","",CONCATENATE("B",Tabela4[[#This Row],[BLOCO]],Tabela4[[#This Row],[UO_COD]]))</f>
        <v/>
      </c>
      <c r="AX648">
        <f>Tabela4[[#This Row],[JUSTIFICATIVA]]</f>
        <v>0</v>
      </c>
    </row>
    <row r="649" spans="1:50" ht="15" customHeight="1">
      <c r="A649" s="11">
        <v>2301</v>
      </c>
      <c r="B649" s="11">
        <v>4162</v>
      </c>
      <c r="C649" s="12" t="str">
        <f t="shared" si="20"/>
        <v>23014162</v>
      </c>
      <c r="D649" s="11" t="s">
        <v>642</v>
      </c>
      <c r="E649" s="11" t="s">
        <v>515</v>
      </c>
      <c r="F649" s="11" t="s">
        <v>639</v>
      </c>
      <c r="G649" s="11">
        <v>0</v>
      </c>
      <c r="T649" s="11">
        <v>2301</v>
      </c>
      <c r="U649" s="11">
        <v>4162</v>
      </c>
      <c r="AW649" t="str">
        <f>IF(Tabela4[[#This Row],[JUSTIFICATIVA]]="","",CONCATENATE("B",Tabela4[[#This Row],[BLOCO]],Tabela4[[#This Row],[UO_COD]]))</f>
        <v/>
      </c>
      <c r="AX649">
        <f>Tabela4[[#This Row],[JUSTIFICATIVA]]</f>
        <v>0</v>
      </c>
    </row>
    <row r="650" spans="1:50" ht="15" customHeight="1">
      <c r="A650" s="11">
        <v>2301</v>
      </c>
      <c r="B650" s="11">
        <v>4268</v>
      </c>
      <c r="C650" s="12" t="str">
        <f t="shared" si="20"/>
        <v>23014268</v>
      </c>
      <c r="D650" s="11" t="s">
        <v>642</v>
      </c>
      <c r="E650" s="11" t="s">
        <v>515</v>
      </c>
      <c r="F650" s="11" t="s">
        <v>639</v>
      </c>
      <c r="G650" s="11">
        <v>0</v>
      </c>
      <c r="T650" s="11">
        <v>2301</v>
      </c>
      <c r="U650" s="11">
        <v>4268</v>
      </c>
      <c r="AW650" t="str">
        <f>IF(Tabela4[[#This Row],[JUSTIFICATIVA]]="","",CONCATENATE("B",Tabela4[[#This Row],[BLOCO]],Tabela4[[#This Row],[UO_COD]]))</f>
        <v/>
      </c>
      <c r="AX650">
        <f>Tabela4[[#This Row],[JUSTIFICATIVA]]</f>
        <v>0</v>
      </c>
    </row>
    <row r="651" spans="1:50" ht="15" customHeight="1">
      <c r="A651" s="11">
        <v>2301</v>
      </c>
      <c r="B651" s="11">
        <v>4272</v>
      </c>
      <c r="C651" s="12" t="str">
        <f t="shared" si="20"/>
        <v>23014272</v>
      </c>
      <c r="D651" s="11" t="s">
        <v>642</v>
      </c>
      <c r="E651" s="11" t="s">
        <v>515</v>
      </c>
      <c r="F651" s="11" t="s">
        <v>639</v>
      </c>
      <c r="G651" s="11">
        <v>0</v>
      </c>
      <c r="T651" s="11">
        <v>2301</v>
      </c>
      <c r="U651" s="11">
        <v>4272</v>
      </c>
      <c r="AW651" t="str">
        <f>IF(Tabela4[[#This Row],[JUSTIFICATIVA]]="","",CONCATENATE("B",Tabela4[[#This Row],[BLOCO]],Tabela4[[#This Row],[UO_COD]]))</f>
        <v/>
      </c>
      <c r="AX651">
        <f>Tabela4[[#This Row],[JUSTIFICATIVA]]</f>
        <v>0</v>
      </c>
    </row>
    <row r="652" spans="1:50" ht="15" customHeight="1">
      <c r="A652" s="11">
        <v>2301</v>
      </c>
      <c r="B652" s="11">
        <v>4275</v>
      </c>
      <c r="C652" s="12" t="str">
        <f t="shared" si="20"/>
        <v>23014275</v>
      </c>
      <c r="D652" s="11" t="s">
        <v>642</v>
      </c>
      <c r="E652" s="11" t="s">
        <v>515</v>
      </c>
      <c r="F652" s="11" t="s">
        <v>639</v>
      </c>
      <c r="G652" s="11">
        <v>0</v>
      </c>
      <c r="T652" s="11">
        <v>2301</v>
      </c>
      <c r="U652" s="11">
        <v>4275</v>
      </c>
      <c r="AW652" t="str">
        <f>IF(Tabela4[[#This Row],[JUSTIFICATIVA]]="","",CONCATENATE("B",Tabela4[[#This Row],[BLOCO]],Tabela4[[#This Row],[UO_COD]]))</f>
        <v/>
      </c>
      <c r="AX652">
        <f>Tabela4[[#This Row],[JUSTIFICATIVA]]</f>
        <v>0</v>
      </c>
    </row>
    <row r="653" spans="1:50" ht="15" customHeight="1">
      <c r="A653" s="11">
        <v>2301</v>
      </c>
      <c r="B653" s="11">
        <v>4280</v>
      </c>
      <c r="C653" s="12" t="str">
        <f t="shared" si="20"/>
        <v>23014280</v>
      </c>
      <c r="D653" s="11" t="s">
        <v>642</v>
      </c>
      <c r="E653" s="11" t="s">
        <v>515</v>
      </c>
      <c r="F653" s="11" t="s">
        <v>521</v>
      </c>
      <c r="G653" s="11">
        <v>0</v>
      </c>
      <c r="T653" s="11">
        <v>2301</v>
      </c>
      <c r="U653" s="11">
        <v>4280</v>
      </c>
      <c r="AW653" t="str">
        <f>IF(Tabela4[[#This Row],[JUSTIFICATIVA]]="","",CONCATENATE("B",Tabela4[[#This Row],[BLOCO]],Tabela4[[#This Row],[UO_COD]]))</f>
        <v/>
      </c>
      <c r="AX653">
        <f>Tabela4[[#This Row],[JUSTIFICATIVA]]</f>
        <v>0</v>
      </c>
    </row>
    <row r="654" spans="1:50" ht="15" customHeight="1">
      <c r="A654" s="11">
        <v>2301</v>
      </c>
      <c r="B654" s="11">
        <v>4284</v>
      </c>
      <c r="C654" s="12" t="str">
        <f t="shared" si="20"/>
        <v>23014284</v>
      </c>
      <c r="D654" s="11" t="s">
        <v>642</v>
      </c>
      <c r="E654" s="11" t="s">
        <v>515</v>
      </c>
      <c r="F654" s="11" t="s">
        <v>639</v>
      </c>
      <c r="G654" s="11">
        <v>0</v>
      </c>
      <c r="T654" s="11">
        <v>2301</v>
      </c>
      <c r="U654" s="11">
        <v>4284</v>
      </c>
      <c r="AW654" t="str">
        <f>IF(Tabela4[[#This Row],[JUSTIFICATIVA]]="","",CONCATENATE("B",Tabela4[[#This Row],[BLOCO]],Tabela4[[#This Row],[UO_COD]]))</f>
        <v/>
      </c>
      <c r="AX654">
        <f>Tabela4[[#This Row],[JUSTIFICATIVA]]</f>
        <v>0</v>
      </c>
    </row>
    <row r="655" spans="1:50" ht="15" customHeight="1">
      <c r="A655" s="11">
        <v>2301</v>
      </c>
      <c r="B655" s="11">
        <v>4287</v>
      </c>
      <c r="C655" s="12" t="str">
        <f t="shared" si="20"/>
        <v>23014287</v>
      </c>
      <c r="D655" s="11" t="s">
        <v>642</v>
      </c>
      <c r="E655" s="11" t="s">
        <v>515</v>
      </c>
      <c r="F655" s="11" t="s">
        <v>639</v>
      </c>
      <c r="G655" s="11">
        <v>0</v>
      </c>
      <c r="T655" s="11">
        <v>2301</v>
      </c>
      <c r="U655" s="11">
        <v>4287</v>
      </c>
      <c r="AW655" t="str">
        <f>IF(Tabela4[[#This Row],[JUSTIFICATIVA]]="","",CONCATENATE("B",Tabela4[[#This Row],[BLOCO]],Tabela4[[#This Row],[UO_COD]]))</f>
        <v/>
      </c>
      <c r="AX655">
        <f>Tabela4[[#This Row],[JUSTIFICATIVA]]</f>
        <v>0</v>
      </c>
    </row>
    <row r="656" spans="1:50" ht="15" customHeight="1">
      <c r="A656" s="11">
        <v>2301</v>
      </c>
      <c r="B656" s="11">
        <v>4289</v>
      </c>
      <c r="C656" s="12" t="str">
        <f t="shared" si="20"/>
        <v>23014289</v>
      </c>
      <c r="D656" s="11" t="s">
        <v>642</v>
      </c>
      <c r="E656" s="11" t="s">
        <v>515</v>
      </c>
      <c r="F656" s="11" t="s">
        <v>639</v>
      </c>
      <c r="G656" s="11">
        <v>0</v>
      </c>
      <c r="T656" s="11">
        <v>2301</v>
      </c>
      <c r="U656" s="11">
        <v>4289</v>
      </c>
      <c r="AW656" t="str">
        <f>IF(Tabela4[[#This Row],[JUSTIFICATIVA]]="","",CONCATENATE("B",Tabela4[[#This Row],[BLOCO]],Tabela4[[#This Row],[UO_COD]]))</f>
        <v/>
      </c>
      <c r="AX656">
        <f>Tabela4[[#This Row],[JUSTIFICATIVA]]</f>
        <v>0</v>
      </c>
    </row>
    <row r="657" spans="1:50" ht="15" customHeight="1">
      <c r="A657" s="11">
        <v>2301</v>
      </c>
      <c r="B657" s="11">
        <v>4293</v>
      </c>
      <c r="C657" s="12" t="str">
        <f t="shared" si="20"/>
        <v>23014293</v>
      </c>
      <c r="D657" s="11" t="s">
        <v>642</v>
      </c>
      <c r="E657" s="11" t="s">
        <v>515</v>
      </c>
      <c r="F657" s="11" t="s">
        <v>639</v>
      </c>
      <c r="G657" s="11">
        <v>0</v>
      </c>
      <c r="T657" s="11">
        <v>2301</v>
      </c>
      <c r="U657" s="11">
        <v>4293</v>
      </c>
      <c r="AW657" t="str">
        <f>IF(Tabela4[[#This Row],[JUSTIFICATIVA]]="","",CONCATENATE("B",Tabela4[[#This Row],[BLOCO]],Tabela4[[#This Row],[UO_COD]]))</f>
        <v/>
      </c>
      <c r="AX657">
        <f>Tabela4[[#This Row],[JUSTIFICATIVA]]</f>
        <v>0</v>
      </c>
    </row>
    <row r="658" spans="1:50" ht="15" customHeight="1">
      <c r="A658" s="11">
        <v>2301</v>
      </c>
      <c r="B658" s="11">
        <v>4385</v>
      </c>
      <c r="C658" s="12" t="str">
        <f t="shared" si="20"/>
        <v>23014385</v>
      </c>
      <c r="D658" s="11" t="s">
        <v>642</v>
      </c>
      <c r="E658" s="11" t="s">
        <v>515</v>
      </c>
      <c r="F658" s="11" t="s">
        <v>639</v>
      </c>
      <c r="G658" s="11">
        <v>0</v>
      </c>
      <c r="T658" s="11">
        <v>2301</v>
      </c>
      <c r="U658" s="11">
        <v>4385</v>
      </c>
      <c r="AW658" t="str">
        <f>IF(Tabela4[[#This Row],[JUSTIFICATIVA]]="","",CONCATENATE("B",Tabela4[[#This Row],[BLOCO]],Tabela4[[#This Row],[UO_COD]]))</f>
        <v/>
      </c>
      <c r="AX658">
        <f>Tabela4[[#This Row],[JUSTIFICATIVA]]</f>
        <v>0</v>
      </c>
    </row>
    <row r="659" spans="1:50" ht="15" customHeight="1">
      <c r="A659" s="11">
        <v>2301</v>
      </c>
      <c r="B659" s="11">
        <v>4530</v>
      </c>
      <c r="C659" s="12" t="str">
        <f t="shared" si="20"/>
        <v>23014530</v>
      </c>
      <c r="D659" s="11" t="s">
        <v>642</v>
      </c>
      <c r="E659" s="11" t="s">
        <v>515</v>
      </c>
      <c r="F659" s="11" t="s">
        <v>639</v>
      </c>
      <c r="G659" s="11">
        <v>0</v>
      </c>
      <c r="T659" s="11">
        <v>2301</v>
      </c>
      <c r="U659" s="11">
        <v>4530</v>
      </c>
      <c r="AW659" t="str">
        <f>IF(Tabela4[[#This Row],[JUSTIFICATIVA]]="","",CONCATENATE("B",Tabela4[[#This Row],[BLOCO]],Tabela4[[#This Row],[UO_COD]]))</f>
        <v/>
      </c>
      <c r="AX659">
        <f>Tabela4[[#This Row],[JUSTIFICATIVA]]</f>
        <v>0</v>
      </c>
    </row>
    <row r="660" spans="1:50" ht="15" customHeight="1">
      <c r="A660" s="11">
        <v>2301</v>
      </c>
      <c r="B660" s="11">
        <v>7004</v>
      </c>
      <c r="C660" s="12" t="str">
        <f t="shared" si="20"/>
        <v>23017004</v>
      </c>
      <c r="D660" s="11" t="s">
        <v>459</v>
      </c>
      <c r="E660" s="11" t="s">
        <v>460</v>
      </c>
      <c r="F660" s="11" t="s">
        <v>461</v>
      </c>
      <c r="G660" s="11">
        <v>0</v>
      </c>
      <c r="T660" s="11">
        <v>2301</v>
      </c>
      <c r="U660" s="11">
        <v>7004</v>
      </c>
      <c r="AW660" t="str">
        <f>IF(Tabela4[[#This Row],[JUSTIFICATIVA]]="","",CONCATENATE("B",Tabela4[[#This Row],[BLOCO]],Tabela4[[#This Row],[UO_COD]]))</f>
        <v/>
      </c>
      <c r="AX660">
        <f>Tabela4[[#This Row],[JUSTIFICATIVA]]</f>
        <v>0</v>
      </c>
    </row>
    <row r="661" spans="1:50" ht="15" customHeight="1">
      <c r="A661" s="11">
        <v>2311</v>
      </c>
      <c r="B661" s="11">
        <v>2417</v>
      </c>
      <c r="C661" s="12" t="str">
        <f t="shared" si="20"/>
        <v>23112417</v>
      </c>
      <c r="D661" s="11" t="s">
        <v>605</v>
      </c>
      <c r="E661" s="11" t="s">
        <v>470</v>
      </c>
      <c r="F661" s="11" t="s">
        <v>461</v>
      </c>
      <c r="G661" s="11">
        <v>0</v>
      </c>
      <c r="T661" s="11">
        <v>2311</v>
      </c>
      <c r="U661" s="11">
        <v>2417</v>
      </c>
      <c r="AW661" t="str">
        <f>IF(Tabela4[[#This Row],[JUSTIFICATIVA]]="","",CONCATENATE("B",Tabela4[[#This Row],[BLOCO]],Tabela4[[#This Row],[UO_COD]]))</f>
        <v/>
      </c>
      <c r="AX661">
        <f>Tabela4[[#This Row],[JUSTIFICATIVA]]</f>
        <v>0</v>
      </c>
    </row>
    <row r="662" spans="1:50" ht="15" customHeight="1">
      <c r="A662" s="11">
        <v>2311</v>
      </c>
      <c r="B662" s="11">
        <v>2500</v>
      </c>
      <c r="C662" s="12" t="str">
        <f t="shared" si="20"/>
        <v>23112500</v>
      </c>
      <c r="D662" s="11" t="s">
        <v>605</v>
      </c>
      <c r="E662" s="11" t="s">
        <v>470</v>
      </c>
      <c r="F662" s="11" t="s">
        <v>461</v>
      </c>
      <c r="G662" s="11">
        <v>0</v>
      </c>
      <c r="T662" s="11">
        <v>2311</v>
      </c>
      <c r="U662" s="11">
        <v>2500</v>
      </c>
      <c r="AW662" t="str">
        <f>IF(Tabela4[[#This Row],[JUSTIFICATIVA]]="","",CONCATENATE("B",Tabela4[[#This Row],[BLOCO]],Tabela4[[#This Row],[UO_COD]]))</f>
        <v/>
      </c>
      <c r="AX662">
        <f>Tabela4[[#This Row],[JUSTIFICATIVA]]</f>
        <v>0</v>
      </c>
    </row>
    <row r="663" spans="1:50" ht="15" customHeight="1">
      <c r="A663" s="11">
        <v>2311</v>
      </c>
      <c r="B663" s="11">
        <v>4001</v>
      </c>
      <c r="C663" s="12" t="str">
        <f t="shared" si="20"/>
        <v>23114001</v>
      </c>
      <c r="D663" s="11" t="s">
        <v>605</v>
      </c>
      <c r="E663" s="11" t="s">
        <v>625</v>
      </c>
      <c r="F663" s="11" t="s">
        <v>742</v>
      </c>
      <c r="G663" s="11">
        <v>0</v>
      </c>
      <c r="T663" s="11">
        <v>2311</v>
      </c>
      <c r="U663" s="11">
        <v>4001</v>
      </c>
      <c r="AW663" t="str">
        <f>IF(Tabela4[[#This Row],[JUSTIFICATIVA]]="","",CONCATENATE("B",Tabela4[[#This Row],[BLOCO]],Tabela4[[#This Row],[UO_COD]]))</f>
        <v/>
      </c>
      <c r="AX663">
        <f>Tabela4[[#This Row],[JUSTIFICATIVA]]</f>
        <v>0</v>
      </c>
    </row>
    <row r="664" spans="1:50" ht="15" customHeight="1">
      <c r="A664" s="11">
        <v>2311</v>
      </c>
      <c r="B664" s="11">
        <v>4002</v>
      </c>
      <c r="C664" s="12" t="str">
        <f t="shared" si="20"/>
        <v>23114002</v>
      </c>
      <c r="D664" s="11" t="s">
        <v>605</v>
      </c>
      <c r="E664" s="11" t="s">
        <v>625</v>
      </c>
      <c r="F664" s="11" t="s">
        <v>742</v>
      </c>
      <c r="G664" s="11">
        <v>0</v>
      </c>
      <c r="T664" s="11">
        <v>2311</v>
      </c>
      <c r="U664" s="11">
        <v>4002</v>
      </c>
      <c r="AW664" t="str">
        <f>IF(Tabela4[[#This Row],[JUSTIFICATIVA]]="","",CONCATENATE("B",Tabela4[[#This Row],[BLOCO]],Tabela4[[#This Row],[UO_COD]]))</f>
        <v/>
      </c>
      <c r="AX664">
        <f>Tabela4[[#This Row],[JUSTIFICATIVA]]</f>
        <v>0</v>
      </c>
    </row>
    <row r="665" spans="1:50" ht="15" customHeight="1">
      <c r="A665" s="11">
        <v>2311</v>
      </c>
      <c r="B665" s="11">
        <v>4004</v>
      </c>
      <c r="C665" s="12" t="str">
        <f t="shared" si="20"/>
        <v>23114004</v>
      </c>
      <c r="D665" s="11" t="s">
        <v>605</v>
      </c>
      <c r="E665" s="11" t="s">
        <v>625</v>
      </c>
      <c r="F665" s="11" t="s">
        <v>742</v>
      </c>
      <c r="G665" s="11">
        <v>0</v>
      </c>
      <c r="T665" s="11">
        <v>2311</v>
      </c>
      <c r="U665" s="11">
        <v>4004</v>
      </c>
      <c r="AW665" t="str">
        <f>IF(Tabela4[[#This Row],[JUSTIFICATIVA]]="","",CONCATENATE("B",Tabela4[[#This Row],[BLOCO]],Tabela4[[#This Row],[UO_COD]]))</f>
        <v/>
      </c>
      <c r="AX665">
        <f>Tabela4[[#This Row],[JUSTIFICATIVA]]</f>
        <v>0</v>
      </c>
    </row>
    <row r="666" spans="1:50" ht="15" customHeight="1">
      <c r="A666" s="11">
        <v>2311</v>
      </c>
      <c r="B666" s="11">
        <v>4005</v>
      </c>
      <c r="C666" s="12" t="str">
        <f t="shared" si="20"/>
        <v>23114005</v>
      </c>
      <c r="D666" s="11" t="s">
        <v>605</v>
      </c>
      <c r="E666" s="11" t="s">
        <v>625</v>
      </c>
      <c r="F666" s="11" t="s">
        <v>742</v>
      </c>
      <c r="G666" s="11">
        <v>0</v>
      </c>
      <c r="T666" s="11">
        <v>2311</v>
      </c>
      <c r="U666" s="11">
        <v>4005</v>
      </c>
      <c r="AW666" t="str">
        <f>IF(Tabela4[[#This Row],[JUSTIFICATIVA]]="","",CONCATENATE("B",Tabela4[[#This Row],[BLOCO]],Tabela4[[#This Row],[UO_COD]]))</f>
        <v/>
      </c>
      <c r="AX666">
        <f>Tabela4[[#This Row],[JUSTIFICATIVA]]</f>
        <v>0</v>
      </c>
    </row>
    <row r="667" spans="1:50" ht="15" customHeight="1">
      <c r="A667" s="11">
        <v>2311</v>
      </c>
      <c r="B667" s="11">
        <v>4006</v>
      </c>
      <c r="C667" s="12" t="str">
        <f t="shared" si="20"/>
        <v>23114006</v>
      </c>
      <c r="D667" s="11" t="s">
        <v>605</v>
      </c>
      <c r="E667" s="11" t="s">
        <v>622</v>
      </c>
      <c r="F667" s="11" t="s">
        <v>742</v>
      </c>
      <c r="G667" s="11">
        <v>0</v>
      </c>
      <c r="T667" s="11">
        <v>2311</v>
      </c>
      <c r="U667" s="11">
        <v>4006</v>
      </c>
      <c r="AW667" t="str">
        <f>IF(Tabela4[[#This Row],[JUSTIFICATIVA]]="","",CONCATENATE("B",Tabela4[[#This Row],[BLOCO]],Tabela4[[#This Row],[UO_COD]]))</f>
        <v/>
      </c>
      <c r="AX667">
        <f>Tabela4[[#This Row],[JUSTIFICATIVA]]</f>
        <v>0</v>
      </c>
    </row>
    <row r="668" spans="1:50" ht="15" customHeight="1">
      <c r="A668" s="11">
        <v>2311</v>
      </c>
      <c r="B668" s="11">
        <v>4017</v>
      </c>
      <c r="C668" s="12" t="str">
        <f t="shared" si="20"/>
        <v>23114017</v>
      </c>
      <c r="D668" s="11" t="s">
        <v>605</v>
      </c>
      <c r="E668" s="11" t="s">
        <v>610</v>
      </c>
      <c r="F668" s="11" t="s">
        <v>742</v>
      </c>
      <c r="G668" s="11">
        <v>0</v>
      </c>
      <c r="T668" s="11">
        <v>2311</v>
      </c>
      <c r="U668" s="11">
        <v>4017</v>
      </c>
      <c r="AW668" t="str">
        <f>IF(Tabela4[[#This Row],[JUSTIFICATIVA]]="","",CONCATENATE("B",Tabela4[[#This Row],[BLOCO]],Tabela4[[#This Row],[UO_COD]]))</f>
        <v/>
      </c>
      <c r="AX668">
        <f>Tabela4[[#This Row],[JUSTIFICATIVA]]</f>
        <v>0</v>
      </c>
    </row>
    <row r="669" spans="1:50" ht="15" customHeight="1">
      <c r="A669" s="11">
        <v>2311</v>
      </c>
      <c r="B669" s="11">
        <v>4411</v>
      </c>
      <c r="C669" s="12" t="str">
        <f t="shared" si="20"/>
        <v>23114411</v>
      </c>
      <c r="D669" s="11" t="s">
        <v>609</v>
      </c>
      <c r="E669" s="11" t="s">
        <v>610</v>
      </c>
      <c r="F669" s="11" t="s">
        <v>742</v>
      </c>
      <c r="G669" s="11">
        <v>0</v>
      </c>
      <c r="T669" s="11">
        <v>2311</v>
      </c>
      <c r="U669" s="11">
        <v>4411</v>
      </c>
      <c r="AW669" t="str">
        <f>IF(Tabela4[[#This Row],[JUSTIFICATIVA]]="","",CONCATENATE("B",Tabela4[[#This Row],[BLOCO]],Tabela4[[#This Row],[UO_COD]]))</f>
        <v/>
      </c>
      <c r="AX669">
        <f>Tabela4[[#This Row],[JUSTIFICATIVA]]</f>
        <v>0</v>
      </c>
    </row>
    <row r="670" spans="1:50" ht="15" customHeight="1">
      <c r="A670" s="11">
        <v>2311</v>
      </c>
      <c r="B670" s="11">
        <v>4550</v>
      </c>
      <c r="C670" s="12" t="str">
        <f t="shared" si="20"/>
        <v>23114550</v>
      </c>
      <c r="D670" s="11" t="s">
        <v>605</v>
      </c>
      <c r="E670" s="11" t="s">
        <v>625</v>
      </c>
      <c r="F670" s="11" t="s">
        <v>742</v>
      </c>
      <c r="G670" s="11">
        <v>0</v>
      </c>
      <c r="T670" s="11">
        <v>2311</v>
      </c>
      <c r="U670" s="11">
        <v>4550</v>
      </c>
      <c r="AW670" t="str">
        <f>IF(Tabela4[[#This Row],[JUSTIFICATIVA]]="","",CONCATENATE("B",Tabela4[[#This Row],[BLOCO]],Tabela4[[#This Row],[UO_COD]]))</f>
        <v/>
      </c>
      <c r="AX670">
        <f>Tabela4[[#This Row],[JUSTIFICATIVA]]</f>
        <v>0</v>
      </c>
    </row>
    <row r="671" spans="1:50" ht="15" customHeight="1">
      <c r="A671" s="11">
        <v>2311</v>
      </c>
      <c r="B671" s="11">
        <v>7004</v>
      </c>
      <c r="C671" s="12" t="str">
        <f t="shared" si="20"/>
        <v>23117004</v>
      </c>
      <c r="D671" s="11" t="s">
        <v>459</v>
      </c>
      <c r="E671" s="11" t="s">
        <v>460</v>
      </c>
      <c r="F671" s="11" t="s">
        <v>461</v>
      </c>
      <c r="G671" s="11">
        <v>0</v>
      </c>
      <c r="T671" s="11">
        <v>2311</v>
      </c>
      <c r="U671" s="11">
        <v>7004</v>
      </c>
      <c r="AW671" t="str">
        <f>IF(Tabela4[[#This Row],[JUSTIFICATIVA]]="","",CONCATENATE("B",Tabela4[[#This Row],[BLOCO]],Tabela4[[#This Row],[UO_COD]]))</f>
        <v/>
      </c>
      <c r="AX671">
        <f>Tabela4[[#This Row],[JUSTIFICATIVA]]</f>
        <v>0</v>
      </c>
    </row>
    <row r="672" spans="1:50" ht="15" customHeight="1">
      <c r="A672" s="11">
        <v>2321</v>
      </c>
      <c r="B672" s="11">
        <v>2417</v>
      </c>
      <c r="C672" s="12" t="str">
        <f t="shared" si="20"/>
        <v>23212417</v>
      </c>
      <c r="D672" s="11" t="s">
        <v>609</v>
      </c>
      <c r="E672" s="11" t="s">
        <v>470</v>
      </c>
      <c r="F672" s="11" t="s">
        <v>461</v>
      </c>
      <c r="G672" s="11">
        <v>0</v>
      </c>
      <c r="T672" s="11">
        <v>2321</v>
      </c>
      <c r="U672" s="11">
        <v>2417</v>
      </c>
      <c r="AW672" t="str">
        <f>IF(Tabela4[[#This Row],[JUSTIFICATIVA]]="","",CONCATENATE("B",Tabela4[[#This Row],[BLOCO]],Tabela4[[#This Row],[UO_COD]]))</f>
        <v/>
      </c>
      <c r="AX672">
        <f>Tabela4[[#This Row],[JUSTIFICATIVA]]</f>
        <v>0</v>
      </c>
    </row>
    <row r="673" spans="1:50" ht="15" customHeight="1">
      <c r="A673" s="11">
        <v>2321</v>
      </c>
      <c r="B673" s="11">
        <v>4212</v>
      </c>
      <c r="C673" s="12" t="str">
        <f t="shared" si="20"/>
        <v>23214212</v>
      </c>
      <c r="D673" s="11" t="s">
        <v>609</v>
      </c>
      <c r="E673" s="11" t="s">
        <v>610</v>
      </c>
      <c r="F673" s="11" t="s">
        <v>743</v>
      </c>
      <c r="G673" s="11">
        <v>0</v>
      </c>
      <c r="T673" s="11">
        <v>2321</v>
      </c>
      <c r="U673" s="11">
        <v>4212</v>
      </c>
      <c r="AW673" t="str">
        <f>IF(Tabela4[[#This Row],[JUSTIFICATIVA]]="","",CONCATENATE("B",Tabela4[[#This Row],[BLOCO]],Tabela4[[#This Row],[UO_COD]]))</f>
        <v/>
      </c>
      <c r="AX673">
        <f>Tabela4[[#This Row],[JUSTIFICATIVA]]</f>
        <v>0</v>
      </c>
    </row>
    <row r="674" spans="1:50" ht="15" customHeight="1">
      <c r="A674" s="11">
        <v>2321</v>
      </c>
      <c r="B674" s="11">
        <v>4222</v>
      </c>
      <c r="C674" s="12" t="str">
        <f t="shared" si="20"/>
        <v>23214222</v>
      </c>
      <c r="D674" s="11" t="s">
        <v>609</v>
      </c>
      <c r="E674" s="11" t="s">
        <v>610</v>
      </c>
      <c r="F674" s="11" t="s">
        <v>743</v>
      </c>
      <c r="G674" s="11">
        <v>0</v>
      </c>
      <c r="T674" s="11">
        <v>2321</v>
      </c>
      <c r="U674" s="11">
        <v>4222</v>
      </c>
      <c r="AW674" t="str">
        <f>IF(Tabela4[[#This Row],[JUSTIFICATIVA]]="","",CONCATENATE("B",Tabela4[[#This Row],[BLOCO]],Tabela4[[#This Row],[UO_COD]]))</f>
        <v/>
      </c>
      <c r="AX674">
        <f>Tabela4[[#This Row],[JUSTIFICATIVA]]</f>
        <v>0</v>
      </c>
    </row>
    <row r="675" spans="1:50" ht="15" customHeight="1">
      <c r="A675" s="11">
        <v>2321</v>
      </c>
      <c r="B675" s="11">
        <v>4237</v>
      </c>
      <c r="C675" s="12" t="str">
        <f t="shared" si="20"/>
        <v>23214237</v>
      </c>
      <c r="D675" s="11" t="s">
        <v>609</v>
      </c>
      <c r="E675" s="11" t="s">
        <v>610</v>
      </c>
      <c r="F675" s="11" t="s">
        <v>743</v>
      </c>
      <c r="G675" s="11">
        <v>0</v>
      </c>
      <c r="T675" s="11">
        <v>2321</v>
      </c>
      <c r="U675" s="11">
        <v>4237</v>
      </c>
      <c r="AW675" t="str">
        <f>IF(Tabela4[[#This Row],[JUSTIFICATIVA]]="","",CONCATENATE("B",Tabela4[[#This Row],[BLOCO]],Tabela4[[#This Row],[UO_COD]]))</f>
        <v/>
      </c>
      <c r="AX675">
        <f>Tabela4[[#This Row],[JUSTIFICATIVA]]</f>
        <v>0</v>
      </c>
    </row>
    <row r="676" spans="1:50" ht="15" customHeight="1">
      <c r="A676" s="11">
        <v>2321</v>
      </c>
      <c r="B676" s="11">
        <v>7004</v>
      </c>
      <c r="C676" s="12" t="str">
        <f t="shared" si="20"/>
        <v>23217004</v>
      </c>
      <c r="D676" s="11" t="s">
        <v>459</v>
      </c>
      <c r="E676" s="11" t="s">
        <v>460</v>
      </c>
      <c r="F676" s="11" t="s">
        <v>461</v>
      </c>
      <c r="G676" s="11">
        <v>0</v>
      </c>
      <c r="T676" s="11">
        <v>2321</v>
      </c>
      <c r="U676" s="11">
        <v>7004</v>
      </c>
      <c r="AW676" t="str">
        <f>IF(Tabela4[[#This Row],[JUSTIFICATIVA]]="","",CONCATENATE("B",Tabela4[[#This Row],[BLOCO]],Tabela4[[#This Row],[UO_COD]]))</f>
        <v/>
      </c>
      <c r="AX676">
        <f>Tabela4[[#This Row],[JUSTIFICATIVA]]</f>
        <v>0</v>
      </c>
    </row>
    <row r="677" spans="1:50" ht="15" customHeight="1">
      <c r="A677" s="11">
        <v>2331</v>
      </c>
      <c r="B677" s="11">
        <v>2417</v>
      </c>
      <c r="C677" s="12" t="str">
        <f t="shared" si="20"/>
        <v>23312417</v>
      </c>
      <c r="D677" s="11" t="s">
        <v>568</v>
      </c>
      <c r="E677" s="11" t="s">
        <v>470</v>
      </c>
      <c r="F677" s="11" t="s">
        <v>461</v>
      </c>
      <c r="G677" s="11">
        <v>0</v>
      </c>
      <c r="T677" s="11">
        <v>2331</v>
      </c>
      <c r="U677" s="11">
        <v>2417</v>
      </c>
      <c r="AW677" t="str">
        <f>IF(Tabela4[[#This Row],[JUSTIFICATIVA]]="","",CONCATENATE("B",Tabela4[[#This Row],[BLOCO]],Tabela4[[#This Row],[UO_COD]]))</f>
        <v/>
      </c>
      <c r="AX677">
        <f>Tabela4[[#This Row],[JUSTIFICATIVA]]</f>
        <v>0</v>
      </c>
    </row>
    <row r="678" spans="1:50" ht="15" customHeight="1">
      <c r="A678" s="11">
        <v>2331</v>
      </c>
      <c r="B678" s="11">
        <v>2500</v>
      </c>
      <c r="C678" s="12" t="str">
        <f t="shared" si="20"/>
        <v>23312500</v>
      </c>
      <c r="D678" s="11" t="s">
        <v>568</v>
      </c>
      <c r="E678" s="11" t="s">
        <v>470</v>
      </c>
      <c r="F678" s="11" t="s">
        <v>461</v>
      </c>
      <c r="G678" s="11">
        <v>0</v>
      </c>
      <c r="T678" s="11">
        <v>2331</v>
      </c>
      <c r="U678" s="11">
        <v>2500</v>
      </c>
      <c r="AW678" t="str">
        <f>IF(Tabela4[[#This Row],[JUSTIFICATIVA]]="","",CONCATENATE("B",Tabela4[[#This Row],[BLOCO]],Tabela4[[#This Row],[UO_COD]]))</f>
        <v/>
      </c>
      <c r="AX678">
        <f>Tabela4[[#This Row],[JUSTIFICATIVA]]</f>
        <v>0</v>
      </c>
    </row>
    <row r="679" spans="1:50" ht="15" customHeight="1">
      <c r="A679" s="11">
        <v>2331</v>
      </c>
      <c r="B679" s="11">
        <v>4024</v>
      </c>
      <c r="C679" s="12" t="str">
        <f t="shared" si="20"/>
        <v>23314024</v>
      </c>
      <c r="D679" s="11" t="s">
        <v>568</v>
      </c>
      <c r="E679" s="11" t="s">
        <v>574</v>
      </c>
      <c r="F679" s="11" t="s">
        <v>744</v>
      </c>
      <c r="G679" s="11">
        <v>0</v>
      </c>
      <c r="T679" s="11">
        <v>2331</v>
      </c>
      <c r="U679" s="11">
        <v>4024</v>
      </c>
      <c r="AW679" t="str">
        <f>IF(Tabela4[[#This Row],[JUSTIFICATIVA]]="","",CONCATENATE("B",Tabela4[[#This Row],[BLOCO]],Tabela4[[#This Row],[UO_COD]]))</f>
        <v/>
      </c>
      <c r="AX679">
        <f>Tabela4[[#This Row],[JUSTIFICATIVA]]</f>
        <v>0</v>
      </c>
    </row>
    <row r="680" spans="1:50" ht="15" customHeight="1">
      <c r="A680" s="11">
        <v>2331</v>
      </c>
      <c r="B680" s="11">
        <v>4026</v>
      </c>
      <c r="C680" s="12" t="str">
        <f t="shared" si="20"/>
        <v>23314026</v>
      </c>
      <c r="D680" s="11" t="s">
        <v>568</v>
      </c>
      <c r="E680" s="11" t="s">
        <v>745</v>
      </c>
      <c r="F680" s="11" t="s">
        <v>744</v>
      </c>
      <c r="G680" s="11">
        <v>0</v>
      </c>
      <c r="T680" s="11">
        <v>2331</v>
      </c>
      <c r="U680" s="11">
        <v>4026</v>
      </c>
      <c r="AW680" t="str">
        <f>IF(Tabela4[[#This Row],[JUSTIFICATIVA]]="","",CONCATENATE("B",Tabela4[[#This Row],[BLOCO]],Tabela4[[#This Row],[UO_COD]]))</f>
        <v/>
      </c>
      <c r="AX680">
        <f>Tabela4[[#This Row],[JUSTIFICATIVA]]</f>
        <v>0</v>
      </c>
    </row>
    <row r="681" spans="1:50" ht="15" customHeight="1">
      <c r="A681" s="11">
        <v>2331</v>
      </c>
      <c r="B681" s="11">
        <v>7004</v>
      </c>
      <c r="C681" s="12" t="str">
        <f t="shared" si="20"/>
        <v>23317004</v>
      </c>
      <c r="D681" s="11" t="s">
        <v>459</v>
      </c>
      <c r="E681" s="11" t="s">
        <v>460</v>
      </c>
      <c r="F681" s="11" t="s">
        <v>461</v>
      </c>
      <c r="G681" s="11">
        <v>0</v>
      </c>
      <c r="T681" s="11">
        <v>2331</v>
      </c>
      <c r="U681" s="11">
        <v>7004</v>
      </c>
      <c r="AW681" t="str">
        <f>IF(Tabela4[[#This Row],[JUSTIFICATIVA]]="","",CONCATENATE("B",Tabela4[[#This Row],[BLOCO]],Tabela4[[#This Row],[UO_COD]]))</f>
        <v/>
      </c>
      <c r="AX681">
        <f>Tabela4[[#This Row],[JUSTIFICATIVA]]</f>
        <v>0</v>
      </c>
    </row>
    <row r="682" spans="1:50" ht="15" customHeight="1">
      <c r="A682" s="11">
        <v>2351</v>
      </c>
      <c r="B682" s="11">
        <v>1018</v>
      </c>
      <c r="C682" s="12" t="str">
        <f t="shared" si="20"/>
        <v>23511018</v>
      </c>
      <c r="D682" s="11" t="s">
        <v>605</v>
      </c>
      <c r="E682" s="11" t="s">
        <v>625</v>
      </c>
      <c r="F682" s="11" t="s">
        <v>746</v>
      </c>
      <c r="G682" s="11">
        <v>0</v>
      </c>
      <c r="T682" s="11">
        <v>2351</v>
      </c>
      <c r="U682" s="11">
        <v>1018</v>
      </c>
      <c r="AW682" t="str">
        <f>IF(Tabela4[[#This Row],[JUSTIFICATIVA]]="","",CONCATENATE("B",Tabela4[[#This Row],[BLOCO]],Tabela4[[#This Row],[UO_COD]]))</f>
        <v/>
      </c>
      <c r="AX682">
        <f>Tabela4[[#This Row],[JUSTIFICATIVA]]</f>
        <v>0</v>
      </c>
    </row>
    <row r="683" spans="1:50" ht="15" customHeight="1">
      <c r="A683" s="11">
        <v>2351</v>
      </c>
      <c r="B683" s="11">
        <v>2417</v>
      </c>
      <c r="C683" s="12" t="str">
        <f t="shared" si="20"/>
        <v>23512417</v>
      </c>
      <c r="D683" s="11" t="s">
        <v>605</v>
      </c>
      <c r="E683" s="11" t="s">
        <v>470</v>
      </c>
      <c r="F683" s="11" t="s">
        <v>461</v>
      </c>
      <c r="G683" s="11">
        <v>0</v>
      </c>
      <c r="T683" s="11">
        <v>2351</v>
      </c>
      <c r="U683" s="11">
        <v>2417</v>
      </c>
      <c r="AW683" t="str">
        <f>IF(Tabela4[[#This Row],[JUSTIFICATIVA]]="","",CONCATENATE("B",Tabela4[[#This Row],[BLOCO]],Tabela4[[#This Row],[UO_COD]]))</f>
        <v/>
      </c>
      <c r="AX683">
        <f>Tabela4[[#This Row],[JUSTIFICATIVA]]</f>
        <v>0</v>
      </c>
    </row>
    <row r="684" spans="1:50" ht="15" customHeight="1">
      <c r="A684" s="11">
        <v>2351</v>
      </c>
      <c r="B684" s="11">
        <v>2500</v>
      </c>
      <c r="C684" s="12" t="str">
        <f t="shared" si="20"/>
        <v>23512500</v>
      </c>
      <c r="D684" s="11" t="s">
        <v>605</v>
      </c>
      <c r="E684" s="11" t="s">
        <v>470</v>
      </c>
      <c r="F684" s="11" t="s">
        <v>461</v>
      </c>
      <c r="G684" s="11">
        <v>0</v>
      </c>
      <c r="T684" s="11">
        <v>2351</v>
      </c>
      <c r="U684" s="11">
        <v>2500</v>
      </c>
      <c r="AW684" t="str">
        <f>IF(Tabela4[[#This Row],[JUSTIFICATIVA]]="","",CONCATENATE("B",Tabela4[[#This Row],[BLOCO]],Tabela4[[#This Row],[UO_COD]]))</f>
        <v/>
      </c>
      <c r="AX684">
        <f>Tabela4[[#This Row],[JUSTIFICATIVA]]</f>
        <v>0</v>
      </c>
    </row>
    <row r="685" spans="1:50" ht="15" customHeight="1">
      <c r="A685" s="11">
        <v>2351</v>
      </c>
      <c r="B685" s="11">
        <v>4086</v>
      </c>
      <c r="C685" s="12" t="str">
        <f t="shared" si="20"/>
        <v>23514086</v>
      </c>
      <c r="D685" s="11" t="s">
        <v>605</v>
      </c>
      <c r="E685" s="11" t="s">
        <v>625</v>
      </c>
      <c r="F685" s="11" t="s">
        <v>746</v>
      </c>
      <c r="G685" s="11">
        <v>0</v>
      </c>
      <c r="T685" s="11">
        <v>2351</v>
      </c>
      <c r="U685" s="11">
        <v>4086</v>
      </c>
      <c r="AW685" t="str">
        <f>IF(Tabela4[[#This Row],[JUSTIFICATIVA]]="","",CONCATENATE("B",Tabela4[[#This Row],[BLOCO]],Tabela4[[#This Row],[UO_COD]]))</f>
        <v/>
      </c>
      <c r="AX685">
        <f>Tabela4[[#This Row],[JUSTIFICATIVA]]</f>
        <v>0</v>
      </c>
    </row>
    <row r="686" spans="1:50" ht="15" customHeight="1">
      <c r="A686" s="11">
        <v>2351</v>
      </c>
      <c r="B686" s="11">
        <v>4087</v>
      </c>
      <c r="C686" s="12" t="str">
        <f t="shared" si="20"/>
        <v>23514087</v>
      </c>
      <c r="D686" s="11" t="s">
        <v>605</v>
      </c>
      <c r="E686" s="11" t="s">
        <v>625</v>
      </c>
      <c r="F686" s="11" t="s">
        <v>746</v>
      </c>
      <c r="G686" s="11">
        <v>0</v>
      </c>
      <c r="T686" s="11">
        <v>2351</v>
      </c>
      <c r="U686" s="11">
        <v>4087</v>
      </c>
      <c r="AW686" t="str">
        <f>IF(Tabela4[[#This Row],[JUSTIFICATIVA]]="","",CONCATENATE("B",Tabela4[[#This Row],[BLOCO]],Tabela4[[#This Row],[UO_COD]]))</f>
        <v/>
      </c>
      <c r="AX686">
        <f>Tabela4[[#This Row],[JUSTIFICATIVA]]</f>
        <v>0</v>
      </c>
    </row>
    <row r="687" spans="1:50" ht="15" customHeight="1">
      <c r="A687" s="11">
        <v>2351</v>
      </c>
      <c r="B687" s="11">
        <v>4088</v>
      </c>
      <c r="C687" s="12" t="str">
        <f t="shared" si="20"/>
        <v>23514088</v>
      </c>
      <c r="D687" s="11" t="s">
        <v>605</v>
      </c>
      <c r="E687" s="11" t="s">
        <v>625</v>
      </c>
      <c r="F687" s="11" t="s">
        <v>746</v>
      </c>
      <c r="G687" s="11">
        <v>0</v>
      </c>
      <c r="T687" s="11">
        <v>2351</v>
      </c>
      <c r="U687" s="11">
        <v>4088</v>
      </c>
      <c r="AW687" t="str">
        <f>IF(Tabela4[[#This Row],[JUSTIFICATIVA]]="","",CONCATENATE("B",Tabela4[[#This Row],[BLOCO]],Tabela4[[#This Row],[UO_COD]]))</f>
        <v/>
      </c>
      <c r="AX687">
        <f>Tabela4[[#This Row],[JUSTIFICATIVA]]</f>
        <v>0</v>
      </c>
    </row>
    <row r="688" spans="1:50" ht="15" customHeight="1">
      <c r="A688" s="11">
        <v>2351</v>
      </c>
      <c r="B688" s="11">
        <v>4089</v>
      </c>
      <c r="C688" s="12" t="str">
        <f t="shared" si="20"/>
        <v>23514089</v>
      </c>
      <c r="D688" s="11" t="s">
        <v>605</v>
      </c>
      <c r="E688" s="11" t="s">
        <v>625</v>
      </c>
      <c r="F688" s="11" t="s">
        <v>746</v>
      </c>
      <c r="G688" s="11">
        <v>0</v>
      </c>
      <c r="T688" s="11">
        <v>2351</v>
      </c>
      <c r="U688" s="11">
        <v>4089</v>
      </c>
      <c r="AW688" t="str">
        <f>IF(Tabela4[[#This Row],[JUSTIFICATIVA]]="","",CONCATENATE("B",Tabela4[[#This Row],[BLOCO]],Tabela4[[#This Row],[UO_COD]]))</f>
        <v/>
      </c>
      <c r="AX688">
        <f>Tabela4[[#This Row],[JUSTIFICATIVA]]</f>
        <v>0</v>
      </c>
    </row>
    <row r="689" spans="1:50" ht="15" customHeight="1">
      <c r="A689" s="11">
        <v>2351</v>
      </c>
      <c r="B689" s="11">
        <v>4090</v>
      </c>
      <c r="C689" s="12" t="str">
        <f t="shared" si="20"/>
        <v>23514090</v>
      </c>
      <c r="D689" s="11" t="s">
        <v>605</v>
      </c>
      <c r="E689" s="11" t="s">
        <v>625</v>
      </c>
      <c r="F689" s="11" t="s">
        <v>746</v>
      </c>
      <c r="G689" s="11">
        <v>0</v>
      </c>
      <c r="T689" s="11">
        <v>2351</v>
      </c>
      <c r="U689" s="11">
        <v>4090</v>
      </c>
      <c r="AW689" t="str">
        <f>IF(Tabela4[[#This Row],[JUSTIFICATIVA]]="","",CONCATENATE("B",Tabela4[[#This Row],[BLOCO]],Tabela4[[#This Row],[UO_COD]]))</f>
        <v/>
      </c>
      <c r="AX689">
        <f>Tabela4[[#This Row],[JUSTIFICATIVA]]</f>
        <v>0</v>
      </c>
    </row>
    <row r="690" spans="1:50" ht="15" customHeight="1">
      <c r="A690" s="11">
        <v>2351</v>
      </c>
      <c r="B690" s="11">
        <v>7004</v>
      </c>
      <c r="C690" s="12" t="str">
        <f t="shared" si="20"/>
        <v>23517004</v>
      </c>
      <c r="D690" s="11" t="s">
        <v>459</v>
      </c>
      <c r="E690" s="11" t="s">
        <v>460</v>
      </c>
      <c r="F690" s="11" t="s">
        <v>461</v>
      </c>
      <c r="G690" s="11">
        <v>0</v>
      </c>
      <c r="T690" s="11">
        <v>2351</v>
      </c>
      <c r="U690" s="11">
        <v>7004</v>
      </c>
      <c r="AW690" t="str">
        <f>IF(Tabela4[[#This Row],[JUSTIFICATIVA]]="","",CONCATENATE("B",Tabela4[[#This Row],[BLOCO]],Tabela4[[#This Row],[UO_COD]]))</f>
        <v/>
      </c>
      <c r="AX690">
        <f>Tabela4[[#This Row],[JUSTIFICATIVA]]</f>
        <v>0</v>
      </c>
    </row>
    <row r="691" spans="1:50" ht="15" customHeight="1">
      <c r="A691" s="11">
        <v>2361</v>
      </c>
      <c r="B691" s="11">
        <v>2009</v>
      </c>
      <c r="C691" s="12" t="str">
        <f t="shared" si="20"/>
        <v>23612009</v>
      </c>
      <c r="D691" s="11" t="s">
        <v>41</v>
      </c>
      <c r="E691" s="11" t="s">
        <v>470</v>
      </c>
      <c r="F691" s="11" t="s">
        <v>461</v>
      </c>
      <c r="G691" s="11">
        <v>0</v>
      </c>
      <c r="T691" s="11">
        <v>2361</v>
      </c>
      <c r="U691" s="11">
        <v>2009</v>
      </c>
      <c r="AW691" t="str">
        <f>IF(Tabela4[[#This Row],[JUSTIFICATIVA]]="","",CONCATENATE("B",Tabela4[[#This Row],[BLOCO]],Tabela4[[#This Row],[UO_COD]]))</f>
        <v/>
      </c>
      <c r="AX691">
        <f>Tabela4[[#This Row],[JUSTIFICATIVA]]</f>
        <v>0</v>
      </c>
    </row>
    <row r="692" spans="1:50" ht="15" customHeight="1">
      <c r="A692" s="11">
        <v>2361</v>
      </c>
      <c r="B692" s="11">
        <v>2113</v>
      </c>
      <c r="C692" s="12" t="str">
        <f t="shared" si="20"/>
        <v>23612113</v>
      </c>
      <c r="D692" s="11" t="s">
        <v>70</v>
      </c>
      <c r="E692" s="11" t="s">
        <v>710</v>
      </c>
      <c r="F692" s="11" t="s">
        <v>747</v>
      </c>
      <c r="G692" s="11">
        <v>0</v>
      </c>
      <c r="T692" s="11">
        <v>2361</v>
      </c>
      <c r="U692" s="11">
        <v>2113</v>
      </c>
      <c r="AW692" t="str">
        <f>IF(Tabela4[[#This Row],[JUSTIFICATIVA]]="","",CONCATENATE("B",Tabela4[[#This Row],[BLOCO]],Tabela4[[#This Row],[UO_COD]]))</f>
        <v/>
      </c>
      <c r="AX692">
        <f>Tabela4[[#This Row],[JUSTIFICATIVA]]</f>
        <v>0</v>
      </c>
    </row>
    <row r="693" spans="1:50" ht="15" customHeight="1">
      <c r="A693" s="11">
        <v>2361</v>
      </c>
      <c r="B693" s="11">
        <v>2114</v>
      </c>
      <c r="C693" s="12" t="str">
        <f t="shared" si="20"/>
        <v>23612114</v>
      </c>
      <c r="D693" s="11" t="s">
        <v>70</v>
      </c>
      <c r="E693" s="11" t="s">
        <v>710</v>
      </c>
      <c r="F693" s="11" t="s">
        <v>748</v>
      </c>
      <c r="G693" s="11">
        <v>0</v>
      </c>
      <c r="T693" s="11">
        <v>2361</v>
      </c>
      <c r="U693" s="11">
        <v>2114</v>
      </c>
      <c r="AW693" t="str">
        <f>IF(Tabela4[[#This Row],[JUSTIFICATIVA]]="","",CONCATENATE("B",Tabela4[[#This Row],[BLOCO]],Tabela4[[#This Row],[UO_COD]]))</f>
        <v/>
      </c>
      <c r="AX693">
        <f>Tabela4[[#This Row],[JUSTIFICATIVA]]</f>
        <v>0</v>
      </c>
    </row>
    <row r="694" spans="1:50" ht="15" customHeight="1">
      <c r="A694" s="11">
        <v>2361</v>
      </c>
      <c r="B694" s="11">
        <v>7004</v>
      </c>
      <c r="C694" s="12" t="str">
        <f t="shared" si="20"/>
        <v>23617004</v>
      </c>
      <c r="D694" s="11" t="s">
        <v>459</v>
      </c>
      <c r="E694" s="11" t="s">
        <v>460</v>
      </c>
      <c r="F694" s="11" t="s">
        <v>461</v>
      </c>
      <c r="G694" s="11">
        <v>0</v>
      </c>
      <c r="T694" s="11">
        <v>2361</v>
      </c>
      <c r="U694" s="11">
        <v>7004</v>
      </c>
      <c r="AW694" t="str">
        <f>IF(Tabela4[[#This Row],[JUSTIFICATIVA]]="","",CONCATENATE("B",Tabela4[[#This Row],[BLOCO]],Tabela4[[#This Row],[UO_COD]]))</f>
        <v/>
      </c>
      <c r="AX694">
        <f>Tabela4[[#This Row],[JUSTIFICATIVA]]</f>
        <v>0</v>
      </c>
    </row>
    <row r="695" spans="1:50" ht="15" customHeight="1">
      <c r="A695" s="11">
        <v>2361</v>
      </c>
      <c r="B695" s="11">
        <v>7208</v>
      </c>
      <c r="C695" s="12" t="str">
        <f t="shared" si="20"/>
        <v>23617208</v>
      </c>
      <c r="D695" s="11" t="s">
        <v>70</v>
      </c>
      <c r="E695" s="11" t="s">
        <v>710</v>
      </c>
      <c r="F695" s="11" t="s">
        <v>461</v>
      </c>
      <c r="G695" s="11">
        <v>0</v>
      </c>
      <c r="T695" s="11">
        <v>2361</v>
      </c>
      <c r="U695" s="11">
        <v>7208</v>
      </c>
      <c r="AW695" t="str">
        <f>IF(Tabela4[[#This Row],[JUSTIFICATIVA]]="","",CONCATENATE("B",Tabela4[[#This Row],[BLOCO]],Tabela4[[#This Row],[UO_COD]]))</f>
        <v/>
      </c>
      <c r="AX695">
        <f>Tabela4[[#This Row],[JUSTIFICATIVA]]</f>
        <v>0</v>
      </c>
    </row>
    <row r="696" spans="1:50" ht="15" customHeight="1">
      <c r="A696" s="11">
        <v>2371</v>
      </c>
      <c r="B696" s="11">
        <v>2417</v>
      </c>
      <c r="C696" s="12" t="str">
        <f t="shared" si="20"/>
        <v>23712417</v>
      </c>
      <c r="D696" s="11" t="s">
        <v>481</v>
      </c>
      <c r="E696" s="11" t="s">
        <v>470</v>
      </c>
      <c r="F696" s="11" t="s">
        <v>461</v>
      </c>
      <c r="G696" s="11">
        <v>0</v>
      </c>
      <c r="T696" s="11">
        <v>2371</v>
      </c>
      <c r="U696" s="11">
        <v>2417</v>
      </c>
      <c r="AW696" t="str">
        <f>IF(Tabela4[[#This Row],[JUSTIFICATIVA]]="","",CONCATENATE("B",Tabela4[[#This Row],[BLOCO]],Tabela4[[#This Row],[UO_COD]]))</f>
        <v/>
      </c>
      <c r="AX696">
        <f>Tabela4[[#This Row],[JUSTIFICATIVA]]</f>
        <v>0</v>
      </c>
    </row>
    <row r="697" spans="1:50" ht="15" customHeight="1">
      <c r="A697" s="11">
        <v>2371</v>
      </c>
      <c r="B697" s="11">
        <v>2500</v>
      </c>
      <c r="C697" s="12" t="str">
        <f t="shared" si="20"/>
        <v>23712500</v>
      </c>
      <c r="D697" s="11" t="s">
        <v>481</v>
      </c>
      <c r="E697" s="11" t="s">
        <v>470</v>
      </c>
      <c r="F697" s="11" t="s">
        <v>461</v>
      </c>
      <c r="G697" s="11">
        <v>0</v>
      </c>
      <c r="T697" s="11">
        <v>2371</v>
      </c>
      <c r="U697" s="11">
        <v>2500</v>
      </c>
      <c r="AW697" t="str">
        <f>IF(Tabela4[[#This Row],[JUSTIFICATIVA]]="","",CONCATENATE("B",Tabela4[[#This Row],[BLOCO]],Tabela4[[#This Row],[UO_COD]]))</f>
        <v/>
      </c>
      <c r="AX697">
        <f>Tabela4[[#This Row],[JUSTIFICATIVA]]</f>
        <v>0</v>
      </c>
    </row>
    <row r="698" spans="1:50" ht="15" customHeight="1">
      <c r="A698" s="11">
        <v>2371</v>
      </c>
      <c r="B698" s="11">
        <v>4202</v>
      </c>
      <c r="C698" s="12" t="str">
        <f t="shared" si="20"/>
        <v>23714202</v>
      </c>
      <c r="D698" s="11" t="s">
        <v>481</v>
      </c>
      <c r="E698" s="11" t="s">
        <v>749</v>
      </c>
      <c r="F698" s="11" t="s">
        <v>750</v>
      </c>
      <c r="G698" s="11">
        <v>0</v>
      </c>
      <c r="T698" s="11">
        <v>2371</v>
      </c>
      <c r="U698" s="11">
        <v>4202</v>
      </c>
      <c r="AW698" t="str">
        <f>IF(Tabela4[[#This Row],[JUSTIFICATIVA]]="","",CONCATENATE("B",Tabela4[[#This Row],[BLOCO]],Tabela4[[#This Row],[UO_COD]]))</f>
        <v/>
      </c>
      <c r="AX698">
        <f>Tabela4[[#This Row],[JUSTIFICATIVA]]</f>
        <v>0</v>
      </c>
    </row>
    <row r="699" spans="1:50" ht="15" customHeight="1">
      <c r="A699" s="11">
        <v>2371</v>
      </c>
      <c r="B699" s="11">
        <v>4203</v>
      </c>
      <c r="C699" s="12" t="str">
        <f t="shared" si="20"/>
        <v>23714203</v>
      </c>
      <c r="D699" s="11" t="s">
        <v>481</v>
      </c>
      <c r="E699" s="11" t="s">
        <v>749</v>
      </c>
      <c r="F699" s="11" t="s">
        <v>750</v>
      </c>
      <c r="G699" s="11">
        <v>0</v>
      </c>
      <c r="T699" s="11">
        <v>2371</v>
      </c>
      <c r="U699" s="11">
        <v>4203</v>
      </c>
      <c r="AW699" t="str">
        <f>IF(Tabela4[[#This Row],[JUSTIFICATIVA]]="","",CONCATENATE("B",Tabela4[[#This Row],[BLOCO]],Tabela4[[#This Row],[UO_COD]]))</f>
        <v/>
      </c>
      <c r="AX699">
        <f>Tabela4[[#This Row],[JUSTIFICATIVA]]</f>
        <v>0</v>
      </c>
    </row>
    <row r="700" spans="1:50" ht="15" customHeight="1">
      <c r="A700" s="11">
        <v>2371</v>
      </c>
      <c r="B700" s="11">
        <v>4206</v>
      </c>
      <c r="C700" s="12" t="str">
        <f t="shared" si="20"/>
        <v>23714206</v>
      </c>
      <c r="D700" s="11" t="s">
        <v>481</v>
      </c>
      <c r="E700" s="11" t="s">
        <v>749</v>
      </c>
      <c r="F700" s="11" t="s">
        <v>750</v>
      </c>
      <c r="G700" s="11">
        <v>0</v>
      </c>
      <c r="T700" s="11">
        <v>2371</v>
      </c>
      <c r="U700" s="11">
        <v>4206</v>
      </c>
      <c r="AW700" t="str">
        <f>IF(Tabela4[[#This Row],[JUSTIFICATIVA]]="","",CONCATENATE("B",Tabela4[[#This Row],[BLOCO]],Tabela4[[#This Row],[UO_COD]]))</f>
        <v/>
      </c>
      <c r="AX700">
        <f>Tabela4[[#This Row],[JUSTIFICATIVA]]</f>
        <v>0</v>
      </c>
    </row>
    <row r="701" spans="1:50" ht="15" customHeight="1">
      <c r="A701" s="11">
        <v>2371</v>
      </c>
      <c r="B701" s="11">
        <v>4228</v>
      </c>
      <c r="C701" s="12" t="str">
        <f t="shared" si="20"/>
        <v>23714228</v>
      </c>
      <c r="D701" s="11" t="s">
        <v>481</v>
      </c>
      <c r="E701" s="11" t="s">
        <v>749</v>
      </c>
      <c r="F701" s="11" t="s">
        <v>750</v>
      </c>
      <c r="G701" s="11">
        <v>1</v>
      </c>
      <c r="T701" s="11">
        <v>2371</v>
      </c>
      <c r="U701" s="11">
        <v>4228</v>
      </c>
      <c r="AW701" t="str">
        <f>IF(Tabela4[[#This Row],[JUSTIFICATIVA]]="","",CONCATENATE("B",Tabela4[[#This Row],[BLOCO]],Tabela4[[#This Row],[UO_COD]]))</f>
        <v/>
      </c>
      <c r="AX701">
        <f>Tabela4[[#This Row],[JUSTIFICATIVA]]</f>
        <v>0</v>
      </c>
    </row>
    <row r="702" spans="1:50" ht="15" customHeight="1">
      <c r="A702" s="11">
        <v>2371</v>
      </c>
      <c r="B702" s="11">
        <v>4238</v>
      </c>
      <c r="C702" s="12" t="str">
        <f t="shared" si="20"/>
        <v>23714238</v>
      </c>
      <c r="D702" s="11" t="s">
        <v>481</v>
      </c>
      <c r="E702" s="11" t="s">
        <v>749</v>
      </c>
      <c r="F702" s="11" t="s">
        <v>750</v>
      </c>
      <c r="G702" s="11">
        <v>0</v>
      </c>
      <c r="T702" s="11">
        <v>2371</v>
      </c>
      <c r="U702" s="11">
        <v>4238</v>
      </c>
      <c r="AW702" t="str">
        <f>IF(Tabela4[[#This Row],[JUSTIFICATIVA]]="","",CONCATENATE("B",Tabela4[[#This Row],[BLOCO]],Tabela4[[#This Row],[UO_COD]]))</f>
        <v/>
      </c>
      <c r="AX702">
        <f>Tabela4[[#This Row],[JUSTIFICATIVA]]</f>
        <v>0</v>
      </c>
    </row>
    <row r="703" spans="1:50" ht="15" customHeight="1">
      <c r="A703" s="11">
        <v>2371</v>
      </c>
      <c r="B703" s="11">
        <v>4252</v>
      </c>
      <c r="C703" s="12" t="str">
        <f t="shared" si="20"/>
        <v>23714252</v>
      </c>
      <c r="D703" s="11" t="s">
        <v>481</v>
      </c>
      <c r="E703" s="11" t="s">
        <v>749</v>
      </c>
      <c r="F703" s="11" t="s">
        <v>750</v>
      </c>
      <c r="G703" s="11">
        <v>0</v>
      </c>
      <c r="T703" s="11">
        <v>2371</v>
      </c>
      <c r="U703" s="11">
        <v>4252</v>
      </c>
      <c r="AW703" t="str">
        <f>IF(Tabela4[[#This Row],[JUSTIFICATIVA]]="","",CONCATENATE("B",Tabela4[[#This Row],[BLOCO]],Tabela4[[#This Row],[UO_COD]]))</f>
        <v/>
      </c>
      <c r="AX703">
        <f>Tabela4[[#This Row],[JUSTIFICATIVA]]</f>
        <v>0</v>
      </c>
    </row>
    <row r="704" spans="1:50" ht="15" customHeight="1">
      <c r="A704" s="11">
        <v>2371</v>
      </c>
      <c r="B704" s="11">
        <v>4317</v>
      </c>
      <c r="C704" s="12" t="str">
        <f t="shared" si="20"/>
        <v>23714317</v>
      </c>
      <c r="D704" s="11" t="s">
        <v>481</v>
      </c>
      <c r="E704" s="11" t="s">
        <v>751</v>
      </c>
      <c r="F704" s="11" t="s">
        <v>752</v>
      </c>
      <c r="G704" s="11">
        <v>0</v>
      </c>
      <c r="T704" s="11">
        <v>2371</v>
      </c>
      <c r="U704" s="11">
        <v>4317</v>
      </c>
      <c r="AW704" t="str">
        <f>IF(Tabela4[[#This Row],[JUSTIFICATIVA]]="","",CONCATENATE("B",Tabela4[[#This Row],[BLOCO]],Tabela4[[#This Row],[UO_COD]]))</f>
        <v/>
      </c>
      <c r="AX704">
        <f>Tabela4[[#This Row],[JUSTIFICATIVA]]</f>
        <v>0</v>
      </c>
    </row>
    <row r="705" spans="1:50" ht="15" customHeight="1">
      <c r="A705" s="11">
        <v>2371</v>
      </c>
      <c r="B705" s="11">
        <v>4318</v>
      </c>
      <c r="C705" s="12" t="str">
        <f t="shared" si="20"/>
        <v>23714318</v>
      </c>
      <c r="D705" s="11" t="s">
        <v>481</v>
      </c>
      <c r="E705" s="11" t="s">
        <v>751</v>
      </c>
      <c r="F705" s="11" t="s">
        <v>752</v>
      </c>
      <c r="G705" s="11">
        <v>0</v>
      </c>
      <c r="T705" s="11">
        <v>2371</v>
      </c>
      <c r="U705" s="11">
        <v>4318</v>
      </c>
      <c r="AW705" t="str">
        <f>IF(Tabela4[[#This Row],[JUSTIFICATIVA]]="","",CONCATENATE("B",Tabela4[[#This Row],[BLOCO]],Tabela4[[#This Row],[UO_COD]]))</f>
        <v/>
      </c>
      <c r="AX705">
        <f>Tabela4[[#This Row],[JUSTIFICATIVA]]</f>
        <v>0</v>
      </c>
    </row>
    <row r="706" spans="1:50" ht="15" customHeight="1">
      <c r="A706" s="11">
        <v>2371</v>
      </c>
      <c r="B706" s="11">
        <v>4319</v>
      </c>
      <c r="C706" s="12" t="str">
        <f t="shared" ref="C706:C769" si="21">CONCATENATE(A706,B706)</f>
        <v>23714319</v>
      </c>
      <c r="D706" s="11" t="s">
        <v>481</v>
      </c>
      <c r="E706" s="11" t="s">
        <v>751</v>
      </c>
      <c r="F706" s="11" t="s">
        <v>752</v>
      </c>
      <c r="G706" s="11">
        <v>0</v>
      </c>
      <c r="T706" s="11">
        <v>2371</v>
      </c>
      <c r="U706" s="11">
        <v>4319</v>
      </c>
      <c r="AW706" t="str">
        <f>IF(Tabela4[[#This Row],[JUSTIFICATIVA]]="","",CONCATENATE("B",Tabela4[[#This Row],[BLOCO]],Tabela4[[#This Row],[UO_COD]]))</f>
        <v/>
      </c>
      <c r="AX706">
        <f>Tabela4[[#This Row],[JUSTIFICATIVA]]</f>
        <v>0</v>
      </c>
    </row>
    <row r="707" spans="1:50" ht="15" customHeight="1">
      <c r="A707" s="11">
        <v>2371</v>
      </c>
      <c r="B707" s="11">
        <v>4439</v>
      </c>
      <c r="C707" s="12" t="str">
        <f t="shared" si="21"/>
        <v>23714439</v>
      </c>
      <c r="D707" s="11" t="s">
        <v>481</v>
      </c>
      <c r="E707" s="11" t="s">
        <v>751</v>
      </c>
      <c r="F707" s="11" t="s">
        <v>753</v>
      </c>
      <c r="G707" s="11">
        <v>0</v>
      </c>
      <c r="T707" s="11">
        <v>2371</v>
      </c>
      <c r="U707" s="11">
        <v>4439</v>
      </c>
      <c r="AW707" t="str">
        <f>IF(Tabela4[[#This Row],[JUSTIFICATIVA]]="","",CONCATENATE("B",Tabela4[[#This Row],[BLOCO]],Tabela4[[#This Row],[UO_COD]]))</f>
        <v/>
      </c>
      <c r="AX707">
        <f>Tabela4[[#This Row],[JUSTIFICATIVA]]</f>
        <v>0</v>
      </c>
    </row>
    <row r="708" spans="1:50" ht="15" customHeight="1">
      <c r="A708" s="11">
        <v>2371</v>
      </c>
      <c r="B708" s="11">
        <v>4440</v>
      </c>
      <c r="C708" s="12" t="str">
        <f t="shared" si="21"/>
        <v>23714440</v>
      </c>
      <c r="D708" s="11" t="s">
        <v>481</v>
      </c>
      <c r="E708" s="11" t="s">
        <v>751</v>
      </c>
      <c r="F708" s="11" t="s">
        <v>602</v>
      </c>
      <c r="G708" s="11">
        <v>0</v>
      </c>
      <c r="T708" s="11">
        <v>2371</v>
      </c>
      <c r="U708" s="11">
        <v>4440</v>
      </c>
      <c r="AW708" t="str">
        <f>IF(Tabela4[[#This Row],[JUSTIFICATIVA]]="","",CONCATENATE("B",Tabela4[[#This Row],[BLOCO]],Tabela4[[#This Row],[UO_COD]]))</f>
        <v/>
      </c>
      <c r="AX708">
        <f>Tabela4[[#This Row],[JUSTIFICATIVA]]</f>
        <v>0</v>
      </c>
    </row>
    <row r="709" spans="1:50" ht="15" customHeight="1">
      <c r="A709" s="11">
        <v>2371</v>
      </c>
      <c r="B709" s="11">
        <v>4498</v>
      </c>
      <c r="C709" s="12" t="str">
        <f t="shared" si="21"/>
        <v>23714498</v>
      </c>
      <c r="D709" s="11" t="s">
        <v>481</v>
      </c>
      <c r="E709" s="11" t="s">
        <v>749</v>
      </c>
      <c r="F709" s="11" t="s">
        <v>595</v>
      </c>
      <c r="G709" s="11">
        <v>0</v>
      </c>
      <c r="T709" s="11">
        <v>2371</v>
      </c>
      <c r="U709" s="11">
        <v>4498</v>
      </c>
      <c r="AW709" t="str">
        <f>IF(Tabela4[[#This Row],[JUSTIFICATIVA]]="","",CONCATENATE("B",Tabela4[[#This Row],[BLOCO]],Tabela4[[#This Row],[UO_COD]]))</f>
        <v/>
      </c>
      <c r="AX709">
        <f>Tabela4[[#This Row],[JUSTIFICATIVA]]</f>
        <v>0</v>
      </c>
    </row>
    <row r="710" spans="1:50" ht="15" customHeight="1">
      <c r="A710" s="11">
        <v>2371</v>
      </c>
      <c r="B710" s="11">
        <v>7004</v>
      </c>
      <c r="C710" s="12" t="str">
        <f t="shared" si="21"/>
        <v>23717004</v>
      </c>
      <c r="D710" s="11" t="s">
        <v>459</v>
      </c>
      <c r="E710" s="11" t="s">
        <v>460</v>
      </c>
      <c r="F710" s="11" t="s">
        <v>461</v>
      </c>
      <c r="G710" s="11">
        <v>0</v>
      </c>
      <c r="T710" s="11">
        <v>2371</v>
      </c>
      <c r="U710" s="11">
        <v>7004</v>
      </c>
      <c r="AW710" t="str">
        <f>IF(Tabela4[[#This Row],[JUSTIFICATIVA]]="","",CONCATENATE("B",Tabela4[[#This Row],[BLOCO]],Tabela4[[#This Row],[UO_COD]]))</f>
        <v/>
      </c>
      <c r="AX710">
        <f>Tabela4[[#This Row],[JUSTIFICATIVA]]</f>
        <v>0</v>
      </c>
    </row>
    <row r="711" spans="1:50" ht="15" customHeight="1">
      <c r="A711" s="11">
        <v>2421</v>
      </c>
      <c r="B711" s="11">
        <v>1016</v>
      </c>
      <c r="C711" s="12" t="str">
        <f t="shared" si="21"/>
        <v>24211016</v>
      </c>
      <c r="D711" s="11" t="s">
        <v>324</v>
      </c>
      <c r="E711" s="11" t="s">
        <v>562</v>
      </c>
      <c r="F711" s="11" t="s">
        <v>505</v>
      </c>
      <c r="G711" s="11">
        <v>0</v>
      </c>
      <c r="T711" s="11">
        <v>2421</v>
      </c>
      <c r="U711" s="11">
        <v>1016</v>
      </c>
      <c r="AW711" t="str">
        <f>IF(Tabela4[[#This Row],[JUSTIFICATIVA]]="","",CONCATENATE("B",Tabela4[[#This Row],[BLOCO]],Tabela4[[#This Row],[UO_COD]]))</f>
        <v/>
      </c>
      <c r="AX711">
        <f>Tabela4[[#This Row],[JUSTIFICATIVA]]</f>
        <v>0</v>
      </c>
    </row>
    <row r="712" spans="1:50" ht="15" customHeight="1">
      <c r="A712" s="11">
        <v>2421</v>
      </c>
      <c r="B712" s="11">
        <v>1032</v>
      </c>
      <c r="C712" s="12" t="str">
        <f t="shared" si="21"/>
        <v>24211032</v>
      </c>
      <c r="D712" s="11" t="s">
        <v>324</v>
      </c>
      <c r="E712" s="11" t="s">
        <v>562</v>
      </c>
      <c r="F712" s="11" t="s">
        <v>505</v>
      </c>
      <c r="G712" s="11">
        <v>0</v>
      </c>
      <c r="T712" s="11">
        <v>2421</v>
      </c>
      <c r="U712" s="11">
        <v>1032</v>
      </c>
      <c r="AW712" t="str">
        <f>IF(Tabela4[[#This Row],[JUSTIFICATIVA]]="","",CONCATENATE("B",Tabela4[[#This Row],[BLOCO]],Tabela4[[#This Row],[UO_COD]]))</f>
        <v/>
      </c>
      <c r="AX712">
        <f>Tabela4[[#This Row],[JUSTIFICATIVA]]</f>
        <v>0</v>
      </c>
    </row>
    <row r="713" spans="1:50" ht="15" customHeight="1">
      <c r="A713" s="11">
        <v>2421</v>
      </c>
      <c r="B713" s="11">
        <v>1043</v>
      </c>
      <c r="C713" s="12" t="str">
        <f t="shared" si="21"/>
        <v>24211043</v>
      </c>
      <c r="D713" s="11" t="s">
        <v>324</v>
      </c>
      <c r="E713" s="11" t="s">
        <v>587</v>
      </c>
      <c r="F713" s="11" t="s">
        <v>588</v>
      </c>
      <c r="G713" s="11">
        <v>0</v>
      </c>
      <c r="T713" s="11">
        <v>2421</v>
      </c>
      <c r="U713" s="11">
        <v>1043</v>
      </c>
      <c r="AW713" t="str">
        <f>IF(Tabela4[[#This Row],[JUSTIFICATIVA]]="","",CONCATENATE("B",Tabela4[[#This Row],[BLOCO]],Tabela4[[#This Row],[UO_COD]]))</f>
        <v/>
      </c>
      <c r="AX713">
        <f>Tabela4[[#This Row],[JUSTIFICATIVA]]</f>
        <v>0</v>
      </c>
    </row>
    <row r="714" spans="1:50" ht="15" customHeight="1">
      <c r="A714" s="11">
        <v>2421</v>
      </c>
      <c r="B714" s="11">
        <v>1095</v>
      </c>
      <c r="C714" s="12" t="str">
        <f t="shared" si="21"/>
        <v>24211095</v>
      </c>
      <c r="D714" s="11" t="s">
        <v>481</v>
      </c>
      <c r="E714" s="11" t="s">
        <v>562</v>
      </c>
      <c r="F714" s="11" t="s">
        <v>588</v>
      </c>
      <c r="G714" s="11">
        <v>0</v>
      </c>
      <c r="T714" s="11">
        <v>2421</v>
      </c>
      <c r="U714" s="11">
        <v>1095</v>
      </c>
      <c r="AW714" t="str">
        <f>IF(Tabela4[[#This Row],[JUSTIFICATIVA]]="","",CONCATENATE("B",Tabela4[[#This Row],[BLOCO]],Tabela4[[#This Row],[UO_COD]]))</f>
        <v/>
      </c>
      <c r="AX714">
        <f>Tabela4[[#This Row],[JUSTIFICATIVA]]</f>
        <v>0</v>
      </c>
    </row>
    <row r="715" spans="1:50" ht="15" customHeight="1">
      <c r="A715" s="11">
        <v>2421</v>
      </c>
      <c r="B715" s="11">
        <v>2500</v>
      </c>
      <c r="C715" s="12" t="str">
        <f t="shared" si="21"/>
        <v>24212500</v>
      </c>
      <c r="D715" s="11" t="s">
        <v>481</v>
      </c>
      <c r="E715" s="11" t="s">
        <v>470</v>
      </c>
      <c r="F715" s="11" t="s">
        <v>461</v>
      </c>
      <c r="G715" s="11">
        <v>0</v>
      </c>
      <c r="T715" s="11">
        <v>2421</v>
      </c>
      <c r="U715" s="11">
        <v>2500</v>
      </c>
      <c r="AW715" t="str">
        <f>IF(Tabela4[[#This Row],[JUSTIFICATIVA]]="","",CONCATENATE("B",Tabela4[[#This Row],[BLOCO]],Tabela4[[#This Row],[UO_COD]]))</f>
        <v/>
      </c>
      <c r="AX715">
        <f>Tabela4[[#This Row],[JUSTIFICATIVA]]</f>
        <v>0</v>
      </c>
    </row>
    <row r="716" spans="1:50" ht="15" customHeight="1">
      <c r="A716" s="11">
        <v>2421</v>
      </c>
      <c r="B716" s="11">
        <v>4320</v>
      </c>
      <c r="C716" s="12" t="str">
        <f t="shared" si="21"/>
        <v>24214320</v>
      </c>
      <c r="D716" s="11" t="s">
        <v>481</v>
      </c>
      <c r="E716" s="11" t="s">
        <v>593</v>
      </c>
      <c r="F716" s="11" t="s">
        <v>544</v>
      </c>
      <c r="G716" s="11">
        <v>0</v>
      </c>
      <c r="T716" s="11">
        <v>2421</v>
      </c>
      <c r="U716" s="11">
        <v>4320</v>
      </c>
      <c r="AW716" t="str">
        <f>IF(Tabela4[[#This Row],[JUSTIFICATIVA]]="","",CONCATENATE("B",Tabela4[[#This Row],[BLOCO]],Tabela4[[#This Row],[UO_COD]]))</f>
        <v/>
      </c>
      <c r="AX716">
        <f>Tabela4[[#This Row],[JUSTIFICATIVA]]</f>
        <v>0</v>
      </c>
    </row>
    <row r="717" spans="1:50" ht="15" customHeight="1">
      <c r="A717" s="11">
        <v>2421</v>
      </c>
      <c r="B717" s="11">
        <v>4323</v>
      </c>
      <c r="C717" s="12" t="str">
        <f t="shared" si="21"/>
        <v>24214323</v>
      </c>
      <c r="D717" s="11" t="s">
        <v>481</v>
      </c>
      <c r="E717" s="11" t="s">
        <v>593</v>
      </c>
      <c r="F717" s="11" t="s">
        <v>544</v>
      </c>
      <c r="G717" s="11">
        <v>0</v>
      </c>
      <c r="T717" s="11">
        <v>2421</v>
      </c>
      <c r="U717" s="11">
        <v>4323</v>
      </c>
      <c r="AW717" t="str">
        <f>IF(Tabela4[[#This Row],[JUSTIFICATIVA]]="","",CONCATENATE("B",Tabela4[[#This Row],[BLOCO]],Tabela4[[#This Row],[UO_COD]]))</f>
        <v/>
      </c>
      <c r="AX717">
        <f>Tabela4[[#This Row],[JUSTIFICATIVA]]</f>
        <v>0</v>
      </c>
    </row>
    <row r="718" spans="1:50" ht="15" customHeight="1">
      <c r="A718" s="11">
        <v>2421</v>
      </c>
      <c r="B718" s="11">
        <v>4325</v>
      </c>
      <c r="C718" s="12" t="str">
        <f t="shared" si="21"/>
        <v>24214325</v>
      </c>
      <c r="D718" s="11" t="s">
        <v>481</v>
      </c>
      <c r="E718" s="11" t="s">
        <v>593</v>
      </c>
      <c r="F718" s="11" t="s">
        <v>544</v>
      </c>
      <c r="G718" s="11">
        <v>0</v>
      </c>
      <c r="T718" s="11">
        <v>2421</v>
      </c>
      <c r="U718" s="11">
        <v>4325</v>
      </c>
      <c r="AW718" t="str">
        <f>IF(Tabela4[[#This Row],[JUSTIFICATIVA]]="","",CONCATENATE("B",Tabela4[[#This Row],[BLOCO]],Tabela4[[#This Row],[UO_COD]]))</f>
        <v/>
      </c>
      <c r="AX718">
        <f>Tabela4[[#This Row],[JUSTIFICATIVA]]</f>
        <v>0</v>
      </c>
    </row>
    <row r="719" spans="1:50" ht="15" customHeight="1">
      <c r="A719" s="11">
        <v>2421</v>
      </c>
      <c r="B719" s="11">
        <v>4516</v>
      </c>
      <c r="C719" s="12" t="str">
        <f t="shared" si="21"/>
        <v>24214516</v>
      </c>
      <c r="D719" s="11" t="s">
        <v>481</v>
      </c>
      <c r="E719" s="11" t="s">
        <v>593</v>
      </c>
      <c r="F719" s="11" t="s">
        <v>544</v>
      </c>
      <c r="G719" s="11">
        <v>0</v>
      </c>
      <c r="T719" s="11">
        <v>2421</v>
      </c>
      <c r="U719" s="11">
        <v>4516</v>
      </c>
      <c r="AW719" t="str">
        <f>IF(Tabela4[[#This Row],[JUSTIFICATIVA]]="","",CONCATENATE("B",Tabela4[[#This Row],[BLOCO]],Tabela4[[#This Row],[UO_COD]]))</f>
        <v/>
      </c>
      <c r="AX719">
        <f>Tabela4[[#This Row],[JUSTIFICATIVA]]</f>
        <v>0</v>
      </c>
    </row>
    <row r="720" spans="1:50" ht="15" customHeight="1">
      <c r="A720" s="11">
        <v>2421</v>
      </c>
      <c r="B720" s="11">
        <v>7004</v>
      </c>
      <c r="C720" s="12" t="str">
        <f t="shared" si="21"/>
        <v>24217004</v>
      </c>
      <c r="D720" s="11" t="s">
        <v>459</v>
      </c>
      <c r="E720" s="11" t="s">
        <v>460</v>
      </c>
      <c r="F720" s="11" t="s">
        <v>461</v>
      </c>
      <c r="G720" s="11">
        <v>0</v>
      </c>
      <c r="T720" s="11">
        <v>2421</v>
      </c>
      <c r="U720" s="11">
        <v>7004</v>
      </c>
      <c r="AW720" t="str">
        <f>IF(Tabela4[[#This Row],[JUSTIFICATIVA]]="","",CONCATENATE("B",Tabela4[[#This Row],[BLOCO]],Tabela4[[#This Row],[UO_COD]]))</f>
        <v/>
      </c>
      <c r="AX720">
        <f>Tabela4[[#This Row],[JUSTIFICATIVA]]</f>
        <v>0</v>
      </c>
    </row>
    <row r="721" spans="1:50" ht="15" customHeight="1">
      <c r="A721" s="11">
        <v>2431</v>
      </c>
      <c r="B721" s="11">
        <v>2417</v>
      </c>
      <c r="C721" s="12" t="str">
        <f t="shared" si="21"/>
        <v>24312417</v>
      </c>
      <c r="D721" s="11" t="s">
        <v>636</v>
      </c>
      <c r="E721" s="11" t="s">
        <v>470</v>
      </c>
      <c r="F721" s="11" t="s">
        <v>461</v>
      </c>
      <c r="G721" s="11">
        <v>0</v>
      </c>
      <c r="T721" s="11">
        <v>2431</v>
      </c>
      <c r="U721" s="11">
        <v>2417</v>
      </c>
      <c r="AW721" t="str">
        <f>IF(Tabela4[[#This Row],[JUSTIFICATIVA]]="","",CONCATENATE("B",Tabela4[[#This Row],[BLOCO]],Tabela4[[#This Row],[UO_COD]]))</f>
        <v/>
      </c>
      <c r="AX721">
        <f>Tabela4[[#This Row],[JUSTIFICATIVA]]</f>
        <v>0</v>
      </c>
    </row>
    <row r="722" spans="1:50" ht="15" customHeight="1">
      <c r="A722" s="11">
        <v>2431</v>
      </c>
      <c r="B722" s="11">
        <v>2500</v>
      </c>
      <c r="C722" s="12" t="str">
        <f t="shared" si="21"/>
        <v>24312500</v>
      </c>
      <c r="D722" s="11" t="s">
        <v>636</v>
      </c>
      <c r="E722" s="11" t="s">
        <v>470</v>
      </c>
      <c r="F722" s="11" t="s">
        <v>461</v>
      </c>
      <c r="G722" s="11">
        <v>0</v>
      </c>
      <c r="T722" s="11">
        <v>2431</v>
      </c>
      <c r="U722" s="11">
        <v>2500</v>
      </c>
      <c r="AW722" t="str">
        <f>IF(Tabela4[[#This Row],[JUSTIFICATIVA]]="","",CONCATENATE("B",Tabela4[[#This Row],[BLOCO]],Tabela4[[#This Row],[UO_COD]]))</f>
        <v/>
      </c>
      <c r="AX722">
        <f>Tabela4[[#This Row],[JUSTIFICATIVA]]</f>
        <v>0</v>
      </c>
    </row>
    <row r="723" spans="1:50" ht="15" customHeight="1">
      <c r="A723" s="11">
        <v>2431</v>
      </c>
      <c r="B723" s="11">
        <v>4446</v>
      </c>
      <c r="C723" s="12" t="str">
        <f t="shared" si="21"/>
        <v>24314446</v>
      </c>
      <c r="D723" s="11" t="s">
        <v>636</v>
      </c>
      <c r="E723" s="11" t="s">
        <v>585</v>
      </c>
      <c r="F723" s="11" t="s">
        <v>754</v>
      </c>
      <c r="G723" s="11">
        <v>0</v>
      </c>
      <c r="T723" s="11">
        <v>2431</v>
      </c>
      <c r="U723" s="11">
        <v>4446</v>
      </c>
      <c r="AW723" t="str">
        <f>IF(Tabela4[[#This Row],[JUSTIFICATIVA]]="","",CONCATENATE("B",Tabela4[[#This Row],[BLOCO]],Tabela4[[#This Row],[UO_COD]]))</f>
        <v/>
      </c>
      <c r="AX723">
        <f>Tabela4[[#This Row],[JUSTIFICATIVA]]</f>
        <v>0</v>
      </c>
    </row>
    <row r="724" spans="1:50" ht="15" customHeight="1">
      <c r="A724" s="11">
        <v>2431</v>
      </c>
      <c r="B724" s="11">
        <v>4447</v>
      </c>
      <c r="C724" s="12" t="str">
        <f t="shared" si="21"/>
        <v>24314447</v>
      </c>
      <c r="D724" s="11" t="s">
        <v>636</v>
      </c>
      <c r="E724" s="11" t="s">
        <v>585</v>
      </c>
      <c r="F724" s="11" t="s">
        <v>754</v>
      </c>
      <c r="G724" s="11">
        <v>0</v>
      </c>
      <c r="T724" s="11">
        <v>2431</v>
      </c>
      <c r="U724" s="11">
        <v>4447</v>
      </c>
      <c r="AW724" t="str">
        <f>IF(Tabela4[[#This Row],[JUSTIFICATIVA]]="","",CONCATENATE("B",Tabela4[[#This Row],[BLOCO]],Tabela4[[#This Row],[UO_COD]]))</f>
        <v/>
      </c>
      <c r="AX724">
        <f>Tabela4[[#This Row],[JUSTIFICATIVA]]</f>
        <v>0</v>
      </c>
    </row>
    <row r="725" spans="1:50" ht="15" customHeight="1">
      <c r="A725" s="11">
        <v>2431</v>
      </c>
      <c r="B725" s="11">
        <v>7004</v>
      </c>
      <c r="C725" s="12" t="str">
        <f t="shared" si="21"/>
        <v>24317004</v>
      </c>
      <c r="D725" s="11" t="s">
        <v>459</v>
      </c>
      <c r="E725" s="11" t="s">
        <v>460</v>
      </c>
      <c r="F725" s="11" t="s">
        <v>461</v>
      </c>
      <c r="G725" s="11">
        <v>0</v>
      </c>
      <c r="T725" s="11">
        <v>2431</v>
      </c>
      <c r="U725" s="11">
        <v>7004</v>
      </c>
      <c r="AW725" t="str">
        <f>IF(Tabela4[[#This Row],[JUSTIFICATIVA]]="","",CONCATENATE("B",Tabela4[[#This Row],[BLOCO]],Tabela4[[#This Row],[UO_COD]]))</f>
        <v/>
      </c>
      <c r="AX725">
        <f>Tabela4[[#This Row],[JUSTIFICATIVA]]</f>
        <v>0</v>
      </c>
    </row>
    <row r="726" spans="1:50" ht="15" customHeight="1">
      <c r="A726" s="11">
        <v>2441</v>
      </c>
      <c r="B726" s="11">
        <v>2417</v>
      </c>
      <c r="C726" s="12" t="str">
        <f t="shared" si="21"/>
        <v>24412417</v>
      </c>
      <c r="D726" s="11" t="s">
        <v>325</v>
      </c>
      <c r="E726" s="11" t="s">
        <v>470</v>
      </c>
      <c r="F726" s="11" t="s">
        <v>461</v>
      </c>
      <c r="G726" s="11">
        <v>0</v>
      </c>
      <c r="T726" s="11">
        <v>2441</v>
      </c>
      <c r="U726" s="11">
        <v>2417</v>
      </c>
      <c r="AW726" t="str">
        <f>IF(Tabela4[[#This Row],[JUSTIFICATIVA]]="","",CONCATENATE("B",Tabela4[[#This Row],[BLOCO]],Tabela4[[#This Row],[UO_COD]]))</f>
        <v/>
      </c>
      <c r="AX726">
        <f>Tabela4[[#This Row],[JUSTIFICATIVA]]</f>
        <v>0</v>
      </c>
    </row>
    <row r="727" spans="1:50" ht="15" customHeight="1">
      <c r="A727" s="11">
        <v>2441</v>
      </c>
      <c r="B727" s="11">
        <v>2500</v>
      </c>
      <c r="C727" s="12" t="str">
        <f t="shared" si="21"/>
        <v>24412500</v>
      </c>
      <c r="D727" s="11" t="s">
        <v>325</v>
      </c>
      <c r="E727" s="11" t="s">
        <v>470</v>
      </c>
      <c r="F727" s="11" t="s">
        <v>461</v>
      </c>
      <c r="G727" s="11">
        <v>0</v>
      </c>
      <c r="T727" s="11">
        <v>2441</v>
      </c>
      <c r="U727" s="11">
        <v>2500</v>
      </c>
      <c r="AW727" t="str">
        <f>IF(Tabela4[[#This Row],[JUSTIFICATIVA]]="","",CONCATENATE("B",Tabela4[[#This Row],[BLOCO]],Tabela4[[#This Row],[UO_COD]]))</f>
        <v/>
      </c>
      <c r="AX727">
        <f>Tabela4[[#This Row],[JUSTIFICATIVA]]</f>
        <v>0</v>
      </c>
    </row>
    <row r="728" spans="1:50" ht="15" customHeight="1">
      <c r="A728" s="11">
        <v>2441</v>
      </c>
      <c r="B728" s="11">
        <v>4013</v>
      </c>
      <c r="C728" s="12" t="str">
        <f t="shared" si="21"/>
        <v>24414013</v>
      </c>
      <c r="D728" s="11" t="s">
        <v>325</v>
      </c>
      <c r="E728" s="11" t="s">
        <v>574</v>
      </c>
      <c r="F728" s="11" t="s">
        <v>755</v>
      </c>
      <c r="G728" s="11">
        <v>0</v>
      </c>
      <c r="T728" s="11">
        <v>2441</v>
      </c>
      <c r="U728" s="11">
        <v>4013</v>
      </c>
      <c r="AW728" t="str">
        <f>IF(Tabela4[[#This Row],[JUSTIFICATIVA]]="","",CONCATENATE("B",Tabela4[[#This Row],[BLOCO]],Tabela4[[#This Row],[UO_COD]]))</f>
        <v/>
      </c>
      <c r="AX728">
        <f>Tabela4[[#This Row],[JUSTIFICATIVA]]</f>
        <v>0</v>
      </c>
    </row>
    <row r="729" spans="1:50" ht="15" customHeight="1">
      <c r="A729" s="11">
        <v>2441</v>
      </c>
      <c r="B729" s="11">
        <v>4014</v>
      </c>
      <c r="C729" s="12" t="str">
        <f t="shared" si="21"/>
        <v>24414014</v>
      </c>
      <c r="D729" s="11" t="s">
        <v>325</v>
      </c>
      <c r="E729" s="11" t="s">
        <v>574</v>
      </c>
      <c r="F729" s="11" t="s">
        <v>755</v>
      </c>
      <c r="G729" s="11">
        <v>0</v>
      </c>
      <c r="T729" s="11">
        <v>2441</v>
      </c>
      <c r="U729" s="11">
        <v>4014</v>
      </c>
      <c r="AW729" t="str">
        <f>IF(Tabela4[[#This Row],[JUSTIFICATIVA]]="","",CONCATENATE("B",Tabela4[[#This Row],[BLOCO]],Tabela4[[#This Row],[UO_COD]]))</f>
        <v/>
      </c>
      <c r="AX729">
        <f>Tabela4[[#This Row],[JUSTIFICATIVA]]</f>
        <v>0</v>
      </c>
    </row>
    <row r="730" spans="1:50" ht="15" customHeight="1">
      <c r="A730" s="11">
        <v>2441</v>
      </c>
      <c r="B730" s="11">
        <v>4015</v>
      </c>
      <c r="C730" s="12" t="str">
        <f t="shared" si="21"/>
        <v>24414015</v>
      </c>
      <c r="D730" s="11" t="s">
        <v>325</v>
      </c>
      <c r="E730" s="11" t="s">
        <v>574</v>
      </c>
      <c r="F730" s="11" t="s">
        <v>755</v>
      </c>
      <c r="G730" s="11">
        <v>0</v>
      </c>
      <c r="T730" s="11">
        <v>2441</v>
      </c>
      <c r="U730" s="11">
        <v>4015</v>
      </c>
      <c r="AW730" t="str">
        <f>IF(Tabela4[[#This Row],[JUSTIFICATIVA]]="","",CONCATENATE("B",Tabela4[[#This Row],[BLOCO]],Tabela4[[#This Row],[UO_COD]]))</f>
        <v/>
      </c>
      <c r="AX730">
        <f>Tabela4[[#This Row],[JUSTIFICATIVA]]</f>
        <v>0</v>
      </c>
    </row>
    <row r="731" spans="1:50" ht="15" customHeight="1">
      <c r="A731" s="11">
        <v>2441</v>
      </c>
      <c r="B731" s="11">
        <v>7004</v>
      </c>
      <c r="C731" s="12" t="str">
        <f t="shared" si="21"/>
        <v>24417004</v>
      </c>
      <c r="D731" s="11" t="s">
        <v>459</v>
      </c>
      <c r="E731" s="11" t="s">
        <v>460</v>
      </c>
      <c r="F731" s="11" t="s">
        <v>461</v>
      </c>
      <c r="G731" s="11">
        <v>0</v>
      </c>
      <c r="T731" s="11">
        <v>2441</v>
      </c>
      <c r="U731" s="11">
        <v>7004</v>
      </c>
      <c r="AW731" t="str">
        <f>IF(Tabela4[[#This Row],[JUSTIFICATIVA]]="","",CONCATENATE("B",Tabela4[[#This Row],[BLOCO]],Tabela4[[#This Row],[UO_COD]]))</f>
        <v/>
      </c>
      <c r="AX731">
        <f>Tabela4[[#This Row],[JUSTIFICATIVA]]</f>
        <v>0</v>
      </c>
    </row>
    <row r="732" spans="1:50" ht="15" customHeight="1">
      <c r="A732" s="11">
        <v>2461</v>
      </c>
      <c r="B732" s="11">
        <v>2417</v>
      </c>
      <c r="C732" s="12" t="str">
        <f t="shared" si="21"/>
        <v>24612417</v>
      </c>
      <c r="D732" s="11" t="s">
        <v>636</v>
      </c>
      <c r="E732" s="11" t="s">
        <v>470</v>
      </c>
      <c r="F732" s="11" t="s">
        <v>461</v>
      </c>
      <c r="G732" s="11">
        <v>0</v>
      </c>
      <c r="T732" s="11">
        <v>2461</v>
      </c>
      <c r="U732" s="11">
        <v>2417</v>
      </c>
      <c r="AW732" t="str">
        <f>IF(Tabela4[[#This Row],[JUSTIFICATIVA]]="","",CONCATENATE("B",Tabela4[[#This Row],[BLOCO]],Tabela4[[#This Row],[UO_COD]]))</f>
        <v/>
      </c>
      <c r="AX732">
        <f>Tabela4[[#This Row],[JUSTIFICATIVA]]</f>
        <v>0</v>
      </c>
    </row>
    <row r="733" spans="1:50" ht="15" customHeight="1">
      <c r="A733" s="11">
        <v>2461</v>
      </c>
      <c r="B733" s="11">
        <v>2500</v>
      </c>
      <c r="C733" s="12" t="str">
        <f t="shared" si="21"/>
        <v>24612500</v>
      </c>
      <c r="D733" s="11" t="s">
        <v>636</v>
      </c>
      <c r="E733" s="11" t="s">
        <v>470</v>
      </c>
      <c r="F733" s="11" t="s">
        <v>461</v>
      </c>
      <c r="G733" s="11">
        <v>0</v>
      </c>
      <c r="T733" s="11">
        <v>2461</v>
      </c>
      <c r="U733" s="11">
        <v>2500</v>
      </c>
      <c r="AW733" t="str">
        <f>IF(Tabela4[[#This Row],[JUSTIFICATIVA]]="","",CONCATENATE("B",Tabela4[[#This Row],[BLOCO]],Tabela4[[#This Row],[UO_COD]]))</f>
        <v/>
      </c>
      <c r="AX733">
        <f>Tabela4[[#This Row],[JUSTIFICATIVA]]</f>
        <v>0</v>
      </c>
    </row>
    <row r="734" spans="1:50" ht="15" customHeight="1">
      <c r="A734" s="11">
        <v>2461</v>
      </c>
      <c r="B734" s="11">
        <v>4273</v>
      </c>
      <c r="C734" s="12" t="str">
        <f t="shared" si="21"/>
        <v>24614273</v>
      </c>
      <c r="D734" s="11" t="s">
        <v>636</v>
      </c>
      <c r="E734" s="11" t="s">
        <v>585</v>
      </c>
      <c r="F734" s="11" t="s">
        <v>754</v>
      </c>
      <c r="G734" s="11">
        <v>0</v>
      </c>
      <c r="T734" s="11">
        <v>2461</v>
      </c>
      <c r="U734" s="11">
        <v>4273</v>
      </c>
      <c r="AW734" t="str">
        <f>IF(Tabela4[[#This Row],[JUSTIFICATIVA]]="","",CONCATENATE("B",Tabela4[[#This Row],[BLOCO]],Tabela4[[#This Row],[UO_COD]]))</f>
        <v/>
      </c>
      <c r="AX734">
        <f>Tabela4[[#This Row],[JUSTIFICATIVA]]</f>
        <v>0</v>
      </c>
    </row>
    <row r="735" spans="1:50" ht="15" customHeight="1">
      <c r="A735" s="11">
        <v>2461</v>
      </c>
      <c r="B735" s="11">
        <v>4286</v>
      </c>
      <c r="C735" s="12" t="str">
        <f t="shared" si="21"/>
        <v>24614286</v>
      </c>
      <c r="D735" s="11" t="s">
        <v>636</v>
      </c>
      <c r="E735" s="11" t="s">
        <v>585</v>
      </c>
      <c r="F735" s="11" t="s">
        <v>754</v>
      </c>
      <c r="G735" s="11">
        <v>0</v>
      </c>
      <c r="T735" s="11">
        <v>2461</v>
      </c>
      <c r="U735" s="11">
        <v>4286</v>
      </c>
      <c r="AW735" t="str">
        <f>IF(Tabela4[[#This Row],[JUSTIFICATIVA]]="","",CONCATENATE("B",Tabela4[[#This Row],[BLOCO]],Tabela4[[#This Row],[UO_COD]]))</f>
        <v/>
      </c>
      <c r="AX735">
        <f>Tabela4[[#This Row],[JUSTIFICATIVA]]</f>
        <v>0</v>
      </c>
    </row>
    <row r="736" spans="1:50" ht="15" customHeight="1">
      <c r="A736" s="11">
        <v>2461</v>
      </c>
      <c r="B736" s="11">
        <v>4528</v>
      </c>
      <c r="C736" s="12" t="str">
        <f t="shared" si="21"/>
        <v>24614528</v>
      </c>
      <c r="D736" s="11" t="s">
        <v>636</v>
      </c>
      <c r="E736" s="11" t="s">
        <v>585</v>
      </c>
      <c r="F736" s="11" t="s">
        <v>574</v>
      </c>
      <c r="G736" s="11">
        <v>1</v>
      </c>
      <c r="T736" s="11">
        <v>2461</v>
      </c>
      <c r="U736" s="11">
        <v>4528</v>
      </c>
      <c r="AW736" t="str">
        <f>IF(Tabela4[[#This Row],[JUSTIFICATIVA]]="","",CONCATENATE("B",Tabela4[[#This Row],[BLOCO]],Tabela4[[#This Row],[UO_COD]]))</f>
        <v/>
      </c>
      <c r="AX736">
        <f>Tabela4[[#This Row],[JUSTIFICATIVA]]</f>
        <v>0</v>
      </c>
    </row>
    <row r="737" spans="1:50" ht="15" customHeight="1">
      <c r="A737" s="11">
        <v>2461</v>
      </c>
      <c r="B737" s="11">
        <v>7004</v>
      </c>
      <c r="C737" s="12" t="str">
        <f t="shared" si="21"/>
        <v>24617004</v>
      </c>
      <c r="D737" s="11" t="s">
        <v>459</v>
      </c>
      <c r="E737" s="11" t="s">
        <v>460</v>
      </c>
      <c r="F737" s="11" t="s">
        <v>461</v>
      </c>
      <c r="G737" s="11">
        <v>0</v>
      </c>
      <c r="T737" s="11">
        <v>2461</v>
      </c>
      <c r="U737" s="11">
        <v>7004</v>
      </c>
      <c r="AW737" t="str">
        <f>IF(Tabela4[[#This Row],[JUSTIFICATIVA]]="","",CONCATENATE("B",Tabela4[[#This Row],[BLOCO]],Tabela4[[#This Row],[UO_COD]]))</f>
        <v/>
      </c>
      <c r="AX737">
        <f>Tabela4[[#This Row],[JUSTIFICATIVA]]</f>
        <v>0</v>
      </c>
    </row>
    <row r="738" spans="1:50" ht="15" customHeight="1">
      <c r="A738" s="11">
        <v>2471</v>
      </c>
      <c r="B738" s="11">
        <v>2417</v>
      </c>
      <c r="C738" s="12" t="str">
        <f t="shared" si="21"/>
        <v>24712417</v>
      </c>
      <c r="D738" s="11" t="s">
        <v>322</v>
      </c>
      <c r="E738" s="11" t="s">
        <v>470</v>
      </c>
      <c r="F738" s="11" t="s">
        <v>461</v>
      </c>
      <c r="G738" s="11">
        <v>0</v>
      </c>
      <c r="T738" s="11">
        <v>2471</v>
      </c>
      <c r="U738" s="11">
        <v>2417</v>
      </c>
      <c r="AW738" t="str">
        <f>IF(Tabela4[[#This Row],[JUSTIFICATIVA]]="","",CONCATENATE("B",Tabela4[[#This Row],[BLOCO]],Tabela4[[#This Row],[UO_COD]]))</f>
        <v/>
      </c>
      <c r="AX738">
        <f>Tabela4[[#This Row],[JUSTIFICATIVA]]</f>
        <v>0</v>
      </c>
    </row>
    <row r="739" spans="1:50" ht="15" customHeight="1">
      <c r="A739" s="11">
        <v>2471</v>
      </c>
      <c r="B739" s="11">
        <v>2500</v>
      </c>
      <c r="C739" s="12" t="str">
        <f t="shared" si="21"/>
        <v>24712500</v>
      </c>
      <c r="D739" s="11" t="s">
        <v>568</v>
      </c>
      <c r="E739" s="11" t="s">
        <v>470</v>
      </c>
      <c r="F739" s="11" t="s">
        <v>461</v>
      </c>
      <c r="G739" s="11">
        <v>0</v>
      </c>
      <c r="T739" s="11">
        <v>2471</v>
      </c>
      <c r="U739" s="11">
        <v>2500</v>
      </c>
      <c r="AW739" t="str">
        <f>IF(Tabela4[[#This Row],[JUSTIFICATIVA]]="","",CONCATENATE("B",Tabela4[[#This Row],[BLOCO]],Tabela4[[#This Row],[UO_COD]]))</f>
        <v/>
      </c>
      <c r="AX739">
        <f>Tabela4[[#This Row],[JUSTIFICATIVA]]</f>
        <v>0</v>
      </c>
    </row>
    <row r="740" spans="1:50" ht="15" customHeight="1">
      <c r="A740" s="11">
        <v>2471</v>
      </c>
      <c r="B740" s="11">
        <v>4406</v>
      </c>
      <c r="C740" s="12" t="str">
        <f t="shared" si="21"/>
        <v>24714406</v>
      </c>
      <c r="D740" s="11" t="s">
        <v>322</v>
      </c>
      <c r="E740" s="11" t="s">
        <v>640</v>
      </c>
      <c r="F740" s="11" t="s">
        <v>560</v>
      </c>
      <c r="G740" s="11">
        <v>0</v>
      </c>
      <c r="T740" s="11">
        <v>2471</v>
      </c>
      <c r="U740" s="11">
        <v>4406</v>
      </c>
      <c r="AW740" t="str">
        <f>IF(Tabela4[[#This Row],[JUSTIFICATIVA]]="","",CONCATENATE("B",Tabela4[[#This Row],[BLOCO]],Tabela4[[#This Row],[UO_COD]]))</f>
        <v/>
      </c>
      <c r="AX740">
        <f>Tabela4[[#This Row],[JUSTIFICATIVA]]</f>
        <v>0</v>
      </c>
    </row>
    <row r="741" spans="1:50" ht="15" customHeight="1">
      <c r="A741" s="11">
        <v>3041</v>
      </c>
      <c r="B741" s="11">
        <v>1044</v>
      </c>
      <c r="C741" s="12" t="str">
        <f t="shared" si="21"/>
        <v>30411044</v>
      </c>
      <c r="D741" s="11" t="s">
        <v>481</v>
      </c>
      <c r="E741" s="11" t="s">
        <v>596</v>
      </c>
      <c r="F741" s="11" t="s">
        <v>595</v>
      </c>
      <c r="G741" s="11">
        <v>0</v>
      </c>
      <c r="T741" s="11">
        <v>3041</v>
      </c>
      <c r="U741" s="11">
        <v>1044</v>
      </c>
      <c r="AW741" t="str">
        <f>IF(Tabela4[[#This Row],[JUSTIFICATIVA]]="","",CONCATENATE("B",Tabela4[[#This Row],[BLOCO]],Tabela4[[#This Row],[UO_COD]]))</f>
        <v/>
      </c>
      <c r="AX741">
        <f>Tabela4[[#This Row],[JUSTIFICATIVA]]</f>
        <v>0</v>
      </c>
    </row>
    <row r="742" spans="1:50" ht="15" customHeight="1">
      <c r="A742" s="11">
        <v>3041</v>
      </c>
      <c r="B742" s="11">
        <v>1045</v>
      </c>
      <c r="C742" s="12" t="str">
        <f t="shared" si="21"/>
        <v>30411045</v>
      </c>
      <c r="D742" s="11" t="s">
        <v>481</v>
      </c>
      <c r="E742" s="11" t="s">
        <v>756</v>
      </c>
      <c r="F742" s="11" t="s">
        <v>597</v>
      </c>
      <c r="G742" s="11">
        <v>0</v>
      </c>
      <c r="T742" s="11">
        <v>3041</v>
      </c>
      <c r="U742" s="11">
        <v>1045</v>
      </c>
      <c r="AW742" t="str">
        <f>IF(Tabela4[[#This Row],[JUSTIFICATIVA]]="","",CONCATENATE("B",Tabela4[[#This Row],[BLOCO]],Tabela4[[#This Row],[UO_COD]]))</f>
        <v/>
      </c>
      <c r="AX742">
        <f>Tabela4[[#This Row],[JUSTIFICATIVA]]</f>
        <v>0</v>
      </c>
    </row>
    <row r="743" spans="1:50" ht="15" customHeight="1">
      <c r="A743" s="11">
        <v>3041</v>
      </c>
      <c r="B743" s="11">
        <v>2417</v>
      </c>
      <c r="C743" s="12" t="str">
        <f t="shared" si="21"/>
        <v>30412417</v>
      </c>
      <c r="D743" s="11" t="s">
        <v>481</v>
      </c>
      <c r="E743" s="11" t="s">
        <v>470</v>
      </c>
      <c r="F743" s="11" t="s">
        <v>461</v>
      </c>
      <c r="G743" s="11">
        <v>0</v>
      </c>
      <c r="T743" s="11">
        <v>3041</v>
      </c>
      <c r="U743" s="11">
        <v>2417</v>
      </c>
      <c r="AW743" t="str">
        <f>IF(Tabela4[[#This Row],[JUSTIFICATIVA]]="","",CONCATENATE("B",Tabela4[[#This Row],[BLOCO]],Tabela4[[#This Row],[UO_COD]]))</f>
        <v/>
      </c>
      <c r="AX743">
        <f>Tabela4[[#This Row],[JUSTIFICATIVA]]</f>
        <v>0</v>
      </c>
    </row>
    <row r="744" spans="1:50" ht="15" customHeight="1">
      <c r="A744" s="11">
        <v>3041</v>
      </c>
      <c r="B744" s="11">
        <v>2500</v>
      </c>
      <c r="C744" s="12" t="str">
        <f t="shared" si="21"/>
        <v>30412500</v>
      </c>
      <c r="D744" s="11" t="s">
        <v>481</v>
      </c>
      <c r="E744" s="11" t="s">
        <v>470</v>
      </c>
      <c r="F744" s="11" t="s">
        <v>461</v>
      </c>
      <c r="G744" s="11">
        <v>0</v>
      </c>
      <c r="T744" s="11">
        <v>3041</v>
      </c>
      <c r="U744" s="11">
        <v>2500</v>
      </c>
      <c r="AW744" t="str">
        <f>IF(Tabela4[[#This Row],[JUSTIFICATIVA]]="","",CONCATENATE("B",Tabela4[[#This Row],[BLOCO]],Tabela4[[#This Row],[UO_COD]]))</f>
        <v/>
      </c>
      <c r="AX744">
        <f>Tabela4[[#This Row],[JUSTIFICATIVA]]</f>
        <v>0</v>
      </c>
    </row>
    <row r="745" spans="1:50" ht="15" customHeight="1">
      <c r="A745" s="11">
        <v>3041</v>
      </c>
      <c r="B745" s="11">
        <v>4235</v>
      </c>
      <c r="C745" s="12" t="str">
        <f t="shared" si="21"/>
        <v>30414235</v>
      </c>
      <c r="D745" s="11" t="s">
        <v>481</v>
      </c>
      <c r="E745" s="11" t="s">
        <v>756</v>
      </c>
      <c r="F745" s="11" t="s">
        <v>757</v>
      </c>
      <c r="G745" s="11">
        <v>0</v>
      </c>
      <c r="T745" s="11">
        <v>3041</v>
      </c>
      <c r="U745" s="11">
        <v>4235</v>
      </c>
      <c r="AW745" t="str">
        <f>IF(Tabela4[[#This Row],[JUSTIFICATIVA]]="","",CONCATENATE("B",Tabela4[[#This Row],[BLOCO]],Tabela4[[#This Row],[UO_COD]]))</f>
        <v/>
      </c>
      <c r="AX745">
        <f>Tabela4[[#This Row],[JUSTIFICATIVA]]</f>
        <v>0</v>
      </c>
    </row>
    <row r="746" spans="1:50" ht="15" customHeight="1">
      <c r="A746" s="11">
        <v>3041</v>
      </c>
      <c r="B746" s="11">
        <v>4236</v>
      </c>
      <c r="C746" s="12" t="str">
        <f t="shared" si="21"/>
        <v>30414236</v>
      </c>
      <c r="D746" s="11" t="s">
        <v>481</v>
      </c>
      <c r="E746" s="11" t="s">
        <v>593</v>
      </c>
      <c r="F746" s="11" t="s">
        <v>758</v>
      </c>
      <c r="G746" s="11">
        <v>0</v>
      </c>
      <c r="T746" s="11">
        <v>3041</v>
      </c>
      <c r="U746" s="11">
        <v>4236</v>
      </c>
      <c r="AW746" t="str">
        <f>IF(Tabela4[[#This Row],[JUSTIFICATIVA]]="","",CONCATENATE("B",Tabela4[[#This Row],[BLOCO]],Tabela4[[#This Row],[UO_COD]]))</f>
        <v/>
      </c>
      <c r="AX746">
        <f>Tabela4[[#This Row],[JUSTIFICATIVA]]</f>
        <v>0</v>
      </c>
    </row>
    <row r="747" spans="1:50" ht="15" customHeight="1">
      <c r="A747" s="11">
        <v>3041</v>
      </c>
      <c r="B747" s="11">
        <v>7004</v>
      </c>
      <c r="C747" s="12" t="str">
        <f t="shared" si="21"/>
        <v>30417004</v>
      </c>
      <c r="D747" s="11" t="s">
        <v>459</v>
      </c>
      <c r="E747" s="11" t="s">
        <v>460</v>
      </c>
      <c r="F747" s="11" t="s">
        <v>461</v>
      </c>
      <c r="G747" s="11">
        <v>0</v>
      </c>
      <c r="T747" s="11">
        <v>3041</v>
      </c>
      <c r="U747" s="11">
        <v>7004</v>
      </c>
      <c r="AW747" t="str">
        <f>IF(Tabela4[[#This Row],[JUSTIFICATIVA]]="","",CONCATENATE("B",Tabela4[[#This Row],[BLOCO]],Tabela4[[#This Row],[UO_COD]]))</f>
        <v/>
      </c>
      <c r="AX747">
        <f>Tabela4[[#This Row],[JUSTIFICATIVA]]</f>
        <v>0</v>
      </c>
    </row>
    <row r="748" spans="1:50" ht="15" customHeight="1">
      <c r="A748" s="11">
        <v>3051</v>
      </c>
      <c r="B748" s="11">
        <v>2417</v>
      </c>
      <c r="C748" s="12" t="str">
        <f t="shared" si="21"/>
        <v>30512417</v>
      </c>
      <c r="D748" s="11" t="s">
        <v>481</v>
      </c>
      <c r="E748" s="11" t="s">
        <v>470</v>
      </c>
      <c r="F748" s="11" t="s">
        <v>461</v>
      </c>
      <c r="G748" s="11">
        <v>0</v>
      </c>
      <c r="T748" s="11">
        <v>3051</v>
      </c>
      <c r="U748" s="11">
        <v>2417</v>
      </c>
      <c r="AW748" t="str">
        <f>IF(Tabela4[[#This Row],[JUSTIFICATIVA]]="","",CONCATENATE("B",Tabela4[[#This Row],[BLOCO]],Tabela4[[#This Row],[UO_COD]]))</f>
        <v/>
      </c>
      <c r="AX748">
        <f>Tabela4[[#This Row],[JUSTIFICATIVA]]</f>
        <v>0</v>
      </c>
    </row>
    <row r="749" spans="1:50" ht="15" customHeight="1">
      <c r="A749" s="11">
        <v>3051</v>
      </c>
      <c r="B749" s="11">
        <v>2500</v>
      </c>
      <c r="C749" s="12" t="str">
        <f t="shared" si="21"/>
        <v>30512500</v>
      </c>
      <c r="D749" s="11" t="s">
        <v>481</v>
      </c>
      <c r="E749" s="11" t="s">
        <v>470</v>
      </c>
      <c r="F749" s="11" t="s">
        <v>461</v>
      </c>
      <c r="G749" s="11">
        <v>0</v>
      </c>
      <c r="T749" s="11">
        <v>3051</v>
      </c>
      <c r="U749" s="11">
        <v>2500</v>
      </c>
      <c r="AW749" t="str">
        <f>IF(Tabela4[[#This Row],[JUSTIFICATIVA]]="","",CONCATENATE("B",Tabela4[[#This Row],[BLOCO]],Tabela4[[#This Row],[UO_COD]]))</f>
        <v/>
      </c>
      <c r="AX749">
        <f>Tabela4[[#This Row],[JUSTIFICATIVA]]</f>
        <v>0</v>
      </c>
    </row>
    <row r="750" spans="1:50" ht="15" customHeight="1">
      <c r="A750" s="11">
        <v>3051</v>
      </c>
      <c r="B750" s="11">
        <v>4016</v>
      </c>
      <c r="C750" s="12" t="str">
        <f t="shared" si="21"/>
        <v>30514016</v>
      </c>
      <c r="D750" s="11" t="s">
        <v>605</v>
      </c>
      <c r="E750" s="11" t="s">
        <v>625</v>
      </c>
      <c r="F750" s="11" t="s">
        <v>759</v>
      </c>
      <c r="G750" s="11">
        <v>0</v>
      </c>
      <c r="T750" s="11">
        <v>3051</v>
      </c>
      <c r="U750" s="11">
        <v>4016</v>
      </c>
      <c r="AW750" t="str">
        <f>IF(Tabela4[[#This Row],[JUSTIFICATIVA]]="","",CONCATENATE("B",Tabela4[[#This Row],[BLOCO]],Tabela4[[#This Row],[UO_COD]]))</f>
        <v/>
      </c>
      <c r="AX750">
        <f>Tabela4[[#This Row],[JUSTIFICATIVA]]</f>
        <v>0</v>
      </c>
    </row>
    <row r="751" spans="1:50" ht="15" customHeight="1">
      <c r="A751" s="11">
        <v>3051</v>
      </c>
      <c r="B751" s="11">
        <v>4018</v>
      </c>
      <c r="C751" s="12" t="str">
        <f t="shared" si="21"/>
        <v>30514018</v>
      </c>
      <c r="D751" s="11" t="s">
        <v>589</v>
      </c>
      <c r="E751" s="11" t="s">
        <v>592</v>
      </c>
      <c r="F751" s="11" t="s">
        <v>760</v>
      </c>
      <c r="G751" s="11">
        <v>0</v>
      </c>
      <c r="T751" s="11">
        <v>3051</v>
      </c>
      <c r="U751" s="11">
        <v>4018</v>
      </c>
      <c r="AW751" t="str">
        <f>IF(Tabela4[[#This Row],[JUSTIFICATIVA]]="","",CONCATENATE("B",Tabela4[[#This Row],[BLOCO]],Tabela4[[#This Row],[UO_COD]]))</f>
        <v/>
      </c>
      <c r="AX751">
        <f>Tabela4[[#This Row],[JUSTIFICATIVA]]</f>
        <v>0</v>
      </c>
    </row>
    <row r="752" spans="1:50" ht="15" customHeight="1">
      <c r="A752" s="11">
        <v>3051</v>
      </c>
      <c r="B752" s="11">
        <v>4019</v>
      </c>
      <c r="C752" s="12" t="str">
        <f t="shared" si="21"/>
        <v>30514019</v>
      </c>
      <c r="D752" s="11" t="s">
        <v>481</v>
      </c>
      <c r="E752" s="11" t="s">
        <v>592</v>
      </c>
      <c r="F752" s="11" t="s">
        <v>760</v>
      </c>
      <c r="G752" s="11">
        <v>0</v>
      </c>
      <c r="T752" s="11">
        <v>3051</v>
      </c>
      <c r="U752" s="11">
        <v>4019</v>
      </c>
      <c r="AW752" t="str">
        <f>IF(Tabela4[[#This Row],[JUSTIFICATIVA]]="","",CONCATENATE("B",Tabela4[[#This Row],[BLOCO]],Tabela4[[#This Row],[UO_COD]]))</f>
        <v/>
      </c>
      <c r="AX752">
        <f>Tabela4[[#This Row],[JUSTIFICATIVA]]</f>
        <v>0</v>
      </c>
    </row>
    <row r="753" spans="1:50" ht="15" customHeight="1">
      <c r="A753" s="11">
        <v>3051</v>
      </c>
      <c r="B753" s="11">
        <v>4020</v>
      </c>
      <c r="C753" s="12" t="str">
        <f t="shared" si="21"/>
        <v>30514020</v>
      </c>
      <c r="D753" s="11" t="s">
        <v>481</v>
      </c>
      <c r="E753" s="11" t="s">
        <v>592</v>
      </c>
      <c r="F753" s="11" t="s">
        <v>760</v>
      </c>
      <c r="G753" s="11">
        <v>0</v>
      </c>
      <c r="T753" s="11">
        <v>3051</v>
      </c>
      <c r="U753" s="11">
        <v>4020</v>
      </c>
      <c r="AW753" t="str">
        <f>IF(Tabela4[[#This Row],[JUSTIFICATIVA]]="","",CONCATENATE("B",Tabela4[[#This Row],[BLOCO]],Tabela4[[#This Row],[UO_COD]]))</f>
        <v/>
      </c>
      <c r="AX753">
        <f>Tabela4[[#This Row],[JUSTIFICATIVA]]</f>
        <v>0</v>
      </c>
    </row>
    <row r="754" spans="1:50" ht="15" customHeight="1">
      <c r="A754" s="11">
        <v>3051</v>
      </c>
      <c r="B754" s="11">
        <v>4021</v>
      </c>
      <c r="C754" s="12" t="str">
        <f t="shared" si="21"/>
        <v>30514021</v>
      </c>
      <c r="D754" s="11" t="s">
        <v>481</v>
      </c>
      <c r="E754" s="11" t="s">
        <v>592</v>
      </c>
      <c r="F754" s="11" t="s">
        <v>760</v>
      </c>
      <c r="G754" s="11">
        <v>0</v>
      </c>
      <c r="T754" s="11">
        <v>3051</v>
      </c>
      <c r="U754" s="11">
        <v>4021</v>
      </c>
      <c r="AW754" t="str">
        <f>IF(Tabela4[[#This Row],[JUSTIFICATIVA]]="","",CONCATENATE("B",Tabela4[[#This Row],[BLOCO]],Tabela4[[#This Row],[UO_COD]]))</f>
        <v/>
      </c>
      <c r="AX754">
        <f>Tabela4[[#This Row],[JUSTIFICATIVA]]</f>
        <v>0</v>
      </c>
    </row>
    <row r="755" spans="1:50" ht="15" customHeight="1">
      <c r="A755" s="11">
        <v>3051</v>
      </c>
      <c r="B755" s="11">
        <v>4022</v>
      </c>
      <c r="C755" s="12" t="str">
        <f t="shared" si="21"/>
        <v>30514022</v>
      </c>
      <c r="D755" s="11" t="s">
        <v>481</v>
      </c>
      <c r="E755" s="11" t="s">
        <v>592</v>
      </c>
      <c r="F755" s="11" t="s">
        <v>760</v>
      </c>
      <c r="G755" s="11">
        <v>0</v>
      </c>
      <c r="T755" s="11">
        <v>3051</v>
      </c>
      <c r="U755" s="11">
        <v>4022</v>
      </c>
      <c r="AW755" t="str">
        <f>IF(Tabela4[[#This Row],[JUSTIFICATIVA]]="","",CONCATENATE("B",Tabela4[[#This Row],[BLOCO]],Tabela4[[#This Row],[UO_COD]]))</f>
        <v/>
      </c>
      <c r="AX755">
        <f>Tabela4[[#This Row],[JUSTIFICATIVA]]</f>
        <v>0</v>
      </c>
    </row>
    <row r="756" spans="1:50" ht="15" customHeight="1">
      <c r="A756" s="11">
        <v>3051</v>
      </c>
      <c r="B756" s="11">
        <v>4023</v>
      </c>
      <c r="C756" s="12" t="str">
        <f t="shared" si="21"/>
        <v>30514023</v>
      </c>
      <c r="D756" s="11" t="s">
        <v>481</v>
      </c>
      <c r="E756" s="11" t="s">
        <v>590</v>
      </c>
      <c r="F756" s="11" t="s">
        <v>760</v>
      </c>
      <c r="G756" s="11">
        <v>0</v>
      </c>
      <c r="T756" s="11">
        <v>3051</v>
      </c>
      <c r="U756" s="11">
        <v>4023</v>
      </c>
      <c r="AW756" t="str">
        <f>IF(Tabela4[[#This Row],[JUSTIFICATIVA]]="","",CONCATENATE("B",Tabela4[[#This Row],[BLOCO]],Tabela4[[#This Row],[UO_COD]]))</f>
        <v/>
      </c>
      <c r="AX756">
        <f>Tabela4[[#This Row],[JUSTIFICATIVA]]</f>
        <v>0</v>
      </c>
    </row>
    <row r="757" spans="1:50" ht="15" customHeight="1">
      <c r="A757" s="11">
        <v>3051</v>
      </c>
      <c r="B757" s="11">
        <v>4370</v>
      </c>
      <c r="C757" s="12" t="str">
        <f t="shared" si="21"/>
        <v>30514370</v>
      </c>
      <c r="D757" s="11" t="s">
        <v>605</v>
      </c>
      <c r="E757" s="11" t="s">
        <v>625</v>
      </c>
      <c r="F757" s="11" t="s">
        <v>759</v>
      </c>
      <c r="G757" s="11">
        <v>0</v>
      </c>
      <c r="T757" s="11">
        <v>3051</v>
      </c>
      <c r="U757" s="11">
        <v>4370</v>
      </c>
      <c r="AW757" t="str">
        <f>IF(Tabela4[[#This Row],[JUSTIFICATIVA]]="","",CONCATENATE("B",Tabela4[[#This Row],[BLOCO]],Tabela4[[#This Row],[UO_COD]]))</f>
        <v/>
      </c>
      <c r="AX757">
        <f>Tabela4[[#This Row],[JUSTIFICATIVA]]</f>
        <v>0</v>
      </c>
    </row>
    <row r="758" spans="1:50" ht="15" customHeight="1">
      <c r="A758" s="11">
        <v>3051</v>
      </c>
      <c r="B758" s="11">
        <v>4371</v>
      </c>
      <c r="C758" s="12" t="str">
        <f t="shared" si="21"/>
        <v>30514371</v>
      </c>
      <c r="D758" s="11" t="s">
        <v>605</v>
      </c>
      <c r="E758" s="11" t="s">
        <v>625</v>
      </c>
      <c r="F758" s="11" t="s">
        <v>759</v>
      </c>
      <c r="G758" s="11">
        <v>0</v>
      </c>
      <c r="T758" s="11">
        <v>3051</v>
      </c>
      <c r="U758" s="11">
        <v>4371</v>
      </c>
      <c r="AW758" t="str">
        <f>IF(Tabela4[[#This Row],[JUSTIFICATIVA]]="","",CONCATENATE("B",Tabela4[[#This Row],[BLOCO]],Tabela4[[#This Row],[UO_COD]]))</f>
        <v/>
      </c>
      <c r="AX758">
        <f>Tabela4[[#This Row],[JUSTIFICATIVA]]</f>
        <v>0</v>
      </c>
    </row>
    <row r="759" spans="1:50" ht="15" customHeight="1">
      <c r="A759" s="11">
        <v>3051</v>
      </c>
      <c r="B759" s="11">
        <v>7004</v>
      </c>
      <c r="C759" s="12" t="str">
        <f t="shared" si="21"/>
        <v>30517004</v>
      </c>
      <c r="D759" s="11" t="s">
        <v>459</v>
      </c>
      <c r="E759" s="11" t="s">
        <v>460</v>
      </c>
      <c r="F759" s="11" t="s">
        <v>461</v>
      </c>
      <c r="G759" s="11">
        <v>0</v>
      </c>
      <c r="T759" s="11">
        <v>3051</v>
      </c>
      <c r="U759" s="11">
        <v>7004</v>
      </c>
      <c r="AW759" t="str">
        <f>IF(Tabela4[[#This Row],[JUSTIFICATIVA]]="","",CONCATENATE("B",Tabela4[[#This Row],[BLOCO]],Tabela4[[#This Row],[UO_COD]]))</f>
        <v/>
      </c>
      <c r="AX759">
        <f>Tabela4[[#This Row],[JUSTIFICATIVA]]</f>
        <v>0</v>
      </c>
    </row>
    <row r="760" spans="1:50" ht="15" customHeight="1">
      <c r="A760" s="11">
        <v>3151</v>
      </c>
      <c r="B760" s="11">
        <v>2031</v>
      </c>
      <c r="C760" s="12" t="str">
        <f t="shared" si="21"/>
        <v>31512031</v>
      </c>
      <c r="D760" s="11" t="s">
        <v>627</v>
      </c>
      <c r="E760" s="11" t="s">
        <v>547</v>
      </c>
      <c r="F760" s="11" t="s">
        <v>690</v>
      </c>
      <c r="G760" s="11">
        <v>0</v>
      </c>
      <c r="T760">
        <v>3151</v>
      </c>
      <c r="U760">
        <v>2031</v>
      </c>
      <c r="AW760" t="str">
        <f>IF(Tabela4[[#This Row],[JUSTIFICATIVA]]="","",CONCATENATE("B",Tabela4[[#This Row],[BLOCO]],Tabela4[[#This Row],[UO_COD]]))</f>
        <v/>
      </c>
      <c r="AX760">
        <f>Tabela4[[#This Row],[JUSTIFICATIVA]]</f>
        <v>0</v>
      </c>
    </row>
    <row r="761" spans="1:50" ht="15" customHeight="1">
      <c r="A761" s="11">
        <v>3151</v>
      </c>
      <c r="B761" s="11">
        <v>2052</v>
      </c>
      <c r="C761" s="12" t="str">
        <f t="shared" si="21"/>
        <v>31512052</v>
      </c>
      <c r="D761" s="11" t="s">
        <v>627</v>
      </c>
      <c r="E761" s="11" t="s">
        <v>547</v>
      </c>
      <c r="F761" s="11" t="s">
        <v>690</v>
      </c>
      <c r="G761" s="11">
        <v>0</v>
      </c>
      <c r="T761">
        <v>3151</v>
      </c>
      <c r="U761">
        <v>2052</v>
      </c>
      <c r="AW761" t="str">
        <f>IF(Tabela4[[#This Row],[JUSTIFICATIVA]]="","",CONCATENATE("B",Tabela4[[#This Row],[BLOCO]],Tabela4[[#This Row],[UO_COD]]))</f>
        <v/>
      </c>
      <c r="AX761">
        <f>Tabela4[[#This Row],[JUSTIFICATIVA]]</f>
        <v>0</v>
      </c>
    </row>
    <row r="762" spans="1:50" ht="15" customHeight="1">
      <c r="A762" s="11">
        <v>3151</v>
      </c>
      <c r="B762" s="11">
        <v>2500</v>
      </c>
      <c r="C762" s="12" t="str">
        <f t="shared" si="21"/>
        <v>31512500</v>
      </c>
      <c r="D762" s="11" t="s">
        <v>627</v>
      </c>
      <c r="E762" s="11" t="s">
        <v>470</v>
      </c>
      <c r="F762" s="11" t="s">
        <v>461</v>
      </c>
      <c r="G762" s="11">
        <v>0</v>
      </c>
      <c r="T762">
        <v>3151</v>
      </c>
      <c r="U762">
        <v>2500</v>
      </c>
      <c r="AW762" t="str">
        <f>IF(Tabela4[[#This Row],[JUSTIFICATIVA]]="","",CONCATENATE("B",Tabela4[[#This Row],[BLOCO]],Tabela4[[#This Row],[UO_COD]]))</f>
        <v/>
      </c>
      <c r="AX762">
        <f>Tabela4[[#This Row],[JUSTIFICATIVA]]</f>
        <v>0</v>
      </c>
    </row>
    <row r="763" spans="1:50" ht="15" customHeight="1">
      <c r="A763" s="11">
        <v>3151</v>
      </c>
      <c r="B763" s="11">
        <v>4294</v>
      </c>
      <c r="C763" s="12" t="str">
        <f t="shared" si="21"/>
        <v>31514294</v>
      </c>
      <c r="D763" s="11" t="s">
        <v>627</v>
      </c>
      <c r="E763" s="11" t="s">
        <v>547</v>
      </c>
      <c r="F763" s="11" t="s">
        <v>690</v>
      </c>
      <c r="G763" s="11">
        <v>0</v>
      </c>
      <c r="T763">
        <v>3151</v>
      </c>
      <c r="U763">
        <v>4294</v>
      </c>
      <c r="AW763" t="str">
        <f>IF(Tabela4[[#This Row],[JUSTIFICATIVA]]="","",CONCATENATE("B",Tabela4[[#This Row],[BLOCO]],Tabela4[[#This Row],[UO_COD]]))</f>
        <v/>
      </c>
      <c r="AX763">
        <f>Tabela4[[#This Row],[JUSTIFICATIVA]]</f>
        <v>0</v>
      </c>
    </row>
    <row r="764" spans="1:50" ht="15" customHeight="1">
      <c r="A764" s="11">
        <v>3151</v>
      </c>
      <c r="B764" s="11">
        <v>4295</v>
      </c>
      <c r="C764" s="12" t="str">
        <f t="shared" si="21"/>
        <v>31514295</v>
      </c>
      <c r="D764" s="11" t="s">
        <v>627</v>
      </c>
      <c r="E764" s="11" t="s">
        <v>547</v>
      </c>
      <c r="F764" s="11" t="s">
        <v>690</v>
      </c>
      <c r="G764" s="11">
        <v>0</v>
      </c>
      <c r="T764">
        <v>3151</v>
      </c>
      <c r="U764">
        <v>4295</v>
      </c>
      <c r="AW764" t="str">
        <f>IF(Tabela4[[#This Row],[JUSTIFICATIVA]]="","",CONCATENATE("B",Tabela4[[#This Row],[BLOCO]],Tabela4[[#This Row],[UO_COD]]))</f>
        <v/>
      </c>
      <c r="AX764">
        <f>Tabela4[[#This Row],[JUSTIFICATIVA]]</f>
        <v>0</v>
      </c>
    </row>
    <row r="765" spans="1:50" ht="15" customHeight="1">
      <c r="A765" s="11">
        <v>3151</v>
      </c>
      <c r="B765" s="11">
        <v>4296</v>
      </c>
      <c r="C765" s="12" t="str">
        <f t="shared" si="21"/>
        <v>31514296</v>
      </c>
      <c r="D765" s="11" t="s">
        <v>627</v>
      </c>
      <c r="E765" s="11" t="s">
        <v>733</v>
      </c>
      <c r="F765" s="11" t="s">
        <v>690</v>
      </c>
      <c r="G765" s="11">
        <v>0</v>
      </c>
      <c r="T765">
        <v>3151</v>
      </c>
      <c r="U765">
        <v>4296</v>
      </c>
      <c r="AW765" t="str">
        <f>IF(Tabela4[[#This Row],[JUSTIFICATIVA]]="","",CONCATENATE("B",Tabela4[[#This Row],[BLOCO]],Tabela4[[#This Row],[UO_COD]]))</f>
        <v/>
      </c>
      <c r="AX765">
        <f>Tabela4[[#This Row],[JUSTIFICATIVA]]</f>
        <v>0</v>
      </c>
    </row>
    <row r="766" spans="1:50" ht="15" customHeight="1">
      <c r="A766" s="11">
        <v>3151</v>
      </c>
      <c r="B766" s="11">
        <v>4297</v>
      </c>
      <c r="C766" s="12" t="str">
        <f t="shared" si="21"/>
        <v>31514297</v>
      </c>
      <c r="D766" s="11" t="s">
        <v>627</v>
      </c>
      <c r="E766" s="11" t="s">
        <v>733</v>
      </c>
      <c r="F766" s="11" t="s">
        <v>690</v>
      </c>
      <c r="G766" s="11">
        <v>0</v>
      </c>
      <c r="T766">
        <v>3151</v>
      </c>
      <c r="U766">
        <v>4297</v>
      </c>
      <c r="AW766" t="str">
        <f>IF(Tabela4[[#This Row],[JUSTIFICATIVA]]="","",CONCATENATE("B",Tabela4[[#This Row],[BLOCO]],Tabela4[[#This Row],[UO_COD]]))</f>
        <v/>
      </c>
      <c r="AX766">
        <f>Tabela4[[#This Row],[JUSTIFICATIVA]]</f>
        <v>0</v>
      </c>
    </row>
    <row r="767" spans="1:50" ht="15" customHeight="1">
      <c r="A767" s="11">
        <v>3151</v>
      </c>
      <c r="B767" s="11">
        <v>4315</v>
      </c>
      <c r="C767" s="12" t="str">
        <f t="shared" si="21"/>
        <v>31514315</v>
      </c>
      <c r="D767" s="11" t="s">
        <v>627</v>
      </c>
      <c r="E767" s="11" t="s">
        <v>733</v>
      </c>
      <c r="F767" s="11" t="s">
        <v>690</v>
      </c>
      <c r="G767" s="11">
        <v>0</v>
      </c>
      <c r="T767">
        <v>3151</v>
      </c>
      <c r="U767">
        <v>4315</v>
      </c>
      <c r="AW767" t="str">
        <f>IF(Tabela4[[#This Row],[JUSTIFICATIVA]]="","",CONCATENATE("B",Tabela4[[#This Row],[BLOCO]],Tabela4[[#This Row],[UO_COD]]))</f>
        <v/>
      </c>
      <c r="AX767">
        <f>Tabela4[[#This Row],[JUSTIFICATIVA]]</f>
        <v>0</v>
      </c>
    </row>
    <row r="768" spans="1:50" ht="15" customHeight="1">
      <c r="A768" s="11">
        <v>3151</v>
      </c>
      <c r="B768" s="11">
        <v>4316</v>
      </c>
      <c r="C768" s="12" t="str">
        <f t="shared" si="21"/>
        <v>31514316</v>
      </c>
      <c r="D768" s="11" t="s">
        <v>627</v>
      </c>
      <c r="E768" s="11" t="s">
        <v>547</v>
      </c>
      <c r="F768" s="11" t="s">
        <v>690</v>
      </c>
      <c r="G768" s="11">
        <v>0</v>
      </c>
      <c r="T768">
        <v>3151</v>
      </c>
      <c r="U768">
        <v>4316</v>
      </c>
      <c r="AW768" t="str">
        <f>IF(Tabela4[[#This Row],[JUSTIFICATIVA]]="","",CONCATENATE("B",Tabela4[[#This Row],[BLOCO]],Tabela4[[#This Row],[UO_COD]]))</f>
        <v/>
      </c>
      <c r="AX768">
        <f>Tabela4[[#This Row],[JUSTIFICATIVA]]</f>
        <v>0</v>
      </c>
    </row>
    <row r="769" spans="1:50" ht="15" customHeight="1">
      <c r="A769" s="11">
        <v>3151</v>
      </c>
      <c r="B769" s="11">
        <v>4333</v>
      </c>
      <c r="C769" s="12" t="str">
        <f t="shared" si="21"/>
        <v>31514333</v>
      </c>
      <c r="D769" s="11" t="s">
        <v>627</v>
      </c>
      <c r="E769" s="11" t="s">
        <v>547</v>
      </c>
      <c r="F769" s="11" t="s">
        <v>690</v>
      </c>
      <c r="G769" s="11">
        <v>0</v>
      </c>
      <c r="T769">
        <v>3151</v>
      </c>
      <c r="U769">
        <v>4333</v>
      </c>
      <c r="AW769" t="str">
        <f>IF(Tabela4[[#This Row],[JUSTIFICATIVA]]="","",CONCATENATE("B",Tabela4[[#This Row],[BLOCO]],Tabela4[[#This Row],[UO_COD]]))</f>
        <v/>
      </c>
      <c r="AX769">
        <f>Tabela4[[#This Row],[JUSTIFICATIVA]]</f>
        <v>0</v>
      </c>
    </row>
    <row r="770" spans="1:50" ht="15" customHeight="1">
      <c r="A770" s="11">
        <v>3151</v>
      </c>
      <c r="B770" s="11">
        <v>4424</v>
      </c>
      <c r="C770" s="12" t="str">
        <f t="shared" ref="C770:C833" si="22">CONCATENATE(A770,B770)</f>
        <v>31514424</v>
      </c>
      <c r="D770" s="11" t="s">
        <v>627</v>
      </c>
      <c r="E770" s="11" t="s">
        <v>547</v>
      </c>
      <c r="F770" s="11" t="s">
        <v>632</v>
      </c>
      <c r="G770" s="11">
        <v>1</v>
      </c>
      <c r="T770">
        <v>3151</v>
      </c>
      <c r="U770">
        <v>4424</v>
      </c>
      <c r="AW770" t="str">
        <f>IF(Tabela4[[#This Row],[JUSTIFICATIVA]]="","",CONCATENATE("B",Tabela4[[#This Row],[BLOCO]],Tabela4[[#This Row],[UO_COD]]))</f>
        <v/>
      </c>
      <c r="AX770">
        <f>Tabela4[[#This Row],[JUSTIFICATIVA]]</f>
        <v>0</v>
      </c>
    </row>
    <row r="771" spans="1:50" ht="15" customHeight="1">
      <c r="A771" s="11">
        <v>3151</v>
      </c>
      <c r="B771" s="11">
        <v>7004</v>
      </c>
      <c r="C771" s="12" t="str">
        <f t="shared" si="22"/>
        <v>31517004</v>
      </c>
      <c r="D771" s="11" t="s">
        <v>459</v>
      </c>
      <c r="E771" s="11" t="s">
        <v>460</v>
      </c>
      <c r="F771" s="11" t="s">
        <v>461</v>
      </c>
      <c r="G771" s="11">
        <v>0</v>
      </c>
      <c r="T771">
        <v>3151</v>
      </c>
      <c r="U771">
        <v>7004</v>
      </c>
      <c r="AW771" t="str">
        <f>IF(Tabela4[[#This Row],[JUSTIFICATIVA]]="","",CONCATENATE("B",Tabela4[[#This Row],[BLOCO]],Tabela4[[#This Row],[UO_COD]]))</f>
        <v/>
      </c>
      <c r="AX771">
        <f>Tabela4[[#This Row],[JUSTIFICATIVA]]</f>
        <v>0</v>
      </c>
    </row>
    <row r="772" spans="1:50" ht="15" customHeight="1">
      <c r="A772" s="11">
        <v>4031</v>
      </c>
      <c r="B772" s="11">
        <v>2025</v>
      </c>
      <c r="C772" s="12" t="str">
        <f t="shared" si="22"/>
        <v>40312025</v>
      </c>
      <c r="D772" s="11" t="s">
        <v>52</v>
      </c>
      <c r="E772" s="11" t="s">
        <v>495</v>
      </c>
      <c r="F772" s="11" t="s">
        <v>487</v>
      </c>
      <c r="G772" s="11">
        <v>0</v>
      </c>
      <c r="T772" s="11">
        <v>4031</v>
      </c>
      <c r="U772" s="11">
        <v>2025</v>
      </c>
      <c r="AW772" t="str">
        <f>IF(Tabela4[[#This Row],[JUSTIFICATIVA]]="","",CONCATENATE("B",Tabela4[[#This Row],[BLOCO]],Tabela4[[#This Row],[UO_COD]]))</f>
        <v/>
      </c>
      <c r="AX772">
        <f>Tabela4[[#This Row],[JUSTIFICATIVA]]</f>
        <v>0</v>
      </c>
    </row>
    <row r="773" spans="1:50" ht="15" customHeight="1">
      <c r="A773" s="11">
        <v>4031</v>
      </c>
      <c r="B773" s="11">
        <v>2055</v>
      </c>
      <c r="C773" s="12" t="str">
        <f t="shared" si="22"/>
        <v>40312055</v>
      </c>
      <c r="D773" s="11" t="s">
        <v>52</v>
      </c>
      <c r="E773" s="11" t="s">
        <v>495</v>
      </c>
      <c r="F773" s="11" t="s">
        <v>487</v>
      </c>
      <c r="G773" s="11">
        <v>0</v>
      </c>
      <c r="T773" s="11">
        <v>4031</v>
      </c>
      <c r="U773" s="11">
        <v>2055</v>
      </c>
      <c r="AW773" t="str">
        <f>IF(Tabela4[[#This Row],[JUSTIFICATIVA]]="","",CONCATENATE("B",Tabela4[[#This Row],[BLOCO]],Tabela4[[#This Row],[UO_COD]]))</f>
        <v/>
      </c>
      <c r="AX773">
        <f>Tabela4[[#This Row],[JUSTIFICATIVA]]</f>
        <v>0</v>
      </c>
    </row>
    <row r="774" spans="1:50" ht="15" customHeight="1">
      <c r="A774" s="11">
        <v>4031</v>
      </c>
      <c r="B774" s="11">
        <v>2091</v>
      </c>
      <c r="C774" s="12" t="str">
        <f t="shared" si="22"/>
        <v>40312091</v>
      </c>
      <c r="D774" s="11" t="s">
        <v>52</v>
      </c>
      <c r="E774" s="11" t="s">
        <v>495</v>
      </c>
      <c r="F774" s="11" t="s">
        <v>487</v>
      </c>
      <c r="G774" s="11">
        <v>0</v>
      </c>
      <c r="T774" s="11">
        <v>4031</v>
      </c>
      <c r="U774" s="11">
        <v>2091</v>
      </c>
      <c r="AW774" t="str">
        <f>IF(Tabela4[[#This Row],[JUSTIFICATIVA]]="","",CONCATENATE("B",Tabela4[[#This Row],[BLOCO]],Tabela4[[#This Row],[UO_COD]]))</f>
        <v/>
      </c>
      <c r="AX774">
        <f>Tabela4[[#This Row],[JUSTIFICATIVA]]</f>
        <v>0</v>
      </c>
    </row>
    <row r="775" spans="1:50" ht="15" customHeight="1">
      <c r="A775" s="11">
        <v>4031</v>
      </c>
      <c r="B775" s="11">
        <v>2109</v>
      </c>
      <c r="C775" s="12" t="str">
        <f t="shared" si="22"/>
        <v>40312109</v>
      </c>
      <c r="D775" s="11" t="s">
        <v>52</v>
      </c>
      <c r="E775" s="11" t="s">
        <v>474</v>
      </c>
      <c r="F775" s="11" t="s">
        <v>487</v>
      </c>
      <c r="G775" s="11">
        <v>0</v>
      </c>
      <c r="T775" s="11">
        <v>4031</v>
      </c>
      <c r="U775" s="11">
        <v>2109</v>
      </c>
      <c r="AW775" t="str">
        <f>IF(Tabela4[[#This Row],[JUSTIFICATIVA]]="","",CONCATENATE("B",Tabela4[[#This Row],[BLOCO]],Tabela4[[#This Row],[UO_COD]]))</f>
        <v/>
      </c>
      <c r="AX775">
        <f>Tabela4[[#This Row],[JUSTIFICATIVA]]</f>
        <v>0</v>
      </c>
    </row>
    <row r="776" spans="1:50" ht="15" customHeight="1">
      <c r="A776" s="11">
        <v>4031</v>
      </c>
      <c r="B776" s="11">
        <v>4395</v>
      </c>
      <c r="C776" s="12" t="str">
        <f t="shared" si="22"/>
        <v>40314395</v>
      </c>
      <c r="D776" s="11" t="s">
        <v>52</v>
      </c>
      <c r="E776" s="11" t="s">
        <v>495</v>
      </c>
      <c r="F776" s="11" t="s">
        <v>487</v>
      </c>
      <c r="G776" s="11">
        <v>0</v>
      </c>
      <c r="T776" s="11">
        <v>4031</v>
      </c>
      <c r="U776" s="11">
        <v>4395</v>
      </c>
      <c r="AW776" t="str">
        <f>IF(Tabela4[[#This Row],[JUSTIFICATIVA]]="","",CONCATENATE("B",Tabela4[[#This Row],[BLOCO]],Tabela4[[#This Row],[UO_COD]]))</f>
        <v/>
      </c>
      <c r="AX776">
        <f>Tabela4[[#This Row],[JUSTIFICATIVA]]</f>
        <v>0</v>
      </c>
    </row>
    <row r="777" spans="1:50" ht="15" customHeight="1">
      <c r="A777" s="11">
        <v>4091</v>
      </c>
      <c r="B777" s="11">
        <v>4207</v>
      </c>
      <c r="C777" s="12" t="str">
        <f t="shared" si="22"/>
        <v>40914207</v>
      </c>
      <c r="D777" s="11" t="s">
        <v>540</v>
      </c>
      <c r="E777" s="11" t="s">
        <v>660</v>
      </c>
      <c r="F777" s="11" t="s">
        <v>677</v>
      </c>
      <c r="G777" s="11">
        <v>0</v>
      </c>
      <c r="T777" s="11">
        <v>4091</v>
      </c>
      <c r="U777" s="11">
        <v>4207</v>
      </c>
      <c r="AW777" t="str">
        <f>IF(Tabela4[[#This Row],[JUSTIFICATIVA]]="","",CONCATENATE("B",Tabela4[[#This Row],[BLOCO]],Tabela4[[#This Row],[UO_COD]]))</f>
        <v/>
      </c>
      <c r="AX777">
        <f>Tabela4[[#This Row],[JUSTIFICATIVA]]</f>
        <v>0</v>
      </c>
    </row>
    <row r="778" spans="1:50" ht="15" customHeight="1">
      <c r="A778" s="11">
        <v>4091</v>
      </c>
      <c r="B778" s="11">
        <v>4428</v>
      </c>
      <c r="C778" s="12" t="str">
        <f t="shared" si="22"/>
        <v>40914428</v>
      </c>
      <c r="D778" s="11" t="s">
        <v>540</v>
      </c>
      <c r="E778" s="11" t="s">
        <v>660</v>
      </c>
      <c r="F778" s="11" t="s">
        <v>678</v>
      </c>
      <c r="G778" s="11">
        <v>0</v>
      </c>
      <c r="T778" s="11">
        <v>4091</v>
      </c>
      <c r="U778" s="11">
        <v>4428</v>
      </c>
      <c r="AW778" t="str">
        <f>IF(Tabela4[[#This Row],[JUSTIFICATIVA]]="","",CONCATENATE("B",Tabela4[[#This Row],[BLOCO]],Tabela4[[#This Row],[UO_COD]]))</f>
        <v/>
      </c>
      <c r="AX778">
        <f>Tabela4[[#This Row],[JUSTIFICATIVA]]</f>
        <v>0</v>
      </c>
    </row>
    <row r="779" spans="1:50" ht="15" customHeight="1">
      <c r="A779" s="11">
        <v>4101</v>
      </c>
      <c r="B779" s="11">
        <v>2075</v>
      </c>
      <c r="C779" s="12" t="str">
        <f t="shared" si="22"/>
        <v>41012075</v>
      </c>
      <c r="D779" s="11" t="s">
        <v>326</v>
      </c>
      <c r="E779" s="11" t="s">
        <v>470</v>
      </c>
      <c r="F779" s="11" t="s">
        <v>675</v>
      </c>
      <c r="G779" s="11">
        <v>0</v>
      </c>
      <c r="T779" s="11">
        <v>4101</v>
      </c>
      <c r="U779" s="11">
        <v>2075</v>
      </c>
      <c r="AW779" t="str">
        <f>IF(Tabela4[[#This Row],[JUSTIFICATIVA]]="","",CONCATENATE("B",Tabela4[[#This Row],[BLOCO]],Tabela4[[#This Row],[UO_COD]]))</f>
        <v/>
      </c>
      <c r="AX779">
        <f>Tabela4[[#This Row],[JUSTIFICATIVA]]</f>
        <v>0</v>
      </c>
    </row>
    <row r="780" spans="1:50" ht="15" customHeight="1">
      <c r="A780" s="11">
        <v>4101</v>
      </c>
      <c r="B780" s="11">
        <v>4427</v>
      </c>
      <c r="C780" s="12" t="str">
        <f t="shared" si="22"/>
        <v>41014427</v>
      </c>
      <c r="D780" s="11" t="s">
        <v>326</v>
      </c>
      <c r="E780" s="11" t="s">
        <v>705</v>
      </c>
      <c r="F780" s="11" t="s">
        <v>675</v>
      </c>
      <c r="G780" s="11">
        <v>0</v>
      </c>
      <c r="T780" s="11">
        <v>4101</v>
      </c>
      <c r="U780" s="11">
        <v>4427</v>
      </c>
      <c r="AW780" t="str">
        <f>IF(Tabela4[[#This Row],[JUSTIFICATIVA]]="","",CONCATENATE("B",Tabela4[[#This Row],[BLOCO]],Tabela4[[#This Row],[UO_COD]]))</f>
        <v/>
      </c>
      <c r="AX780">
        <f>Tabela4[[#This Row],[JUSTIFICATIVA]]</f>
        <v>0</v>
      </c>
    </row>
    <row r="781" spans="1:50" ht="15" customHeight="1">
      <c r="A781" s="11">
        <v>4111</v>
      </c>
      <c r="B781" s="11">
        <v>4041</v>
      </c>
      <c r="C781" s="12" t="str">
        <f t="shared" si="22"/>
        <v>41114041</v>
      </c>
      <c r="D781" s="11" t="s">
        <v>568</v>
      </c>
      <c r="E781" s="11" t="s">
        <v>569</v>
      </c>
      <c r="F781" s="11" t="s">
        <v>761</v>
      </c>
      <c r="G781" s="11">
        <v>0</v>
      </c>
      <c r="T781" s="11">
        <v>4111</v>
      </c>
      <c r="U781" s="11">
        <v>4041</v>
      </c>
      <c r="AW781" t="str">
        <f>IF(Tabela4[[#This Row],[JUSTIFICATIVA]]="","",CONCATENATE("B",Tabela4[[#This Row],[BLOCO]],Tabela4[[#This Row],[UO_COD]]))</f>
        <v/>
      </c>
      <c r="AX781">
        <f>Tabela4[[#This Row],[JUSTIFICATIVA]]</f>
        <v>0</v>
      </c>
    </row>
    <row r="782" spans="1:50" ht="15" customHeight="1">
      <c r="A782" s="11">
        <v>4111</v>
      </c>
      <c r="B782" s="11">
        <v>4042</v>
      </c>
      <c r="C782" s="12" t="str">
        <f t="shared" si="22"/>
        <v>41114042</v>
      </c>
      <c r="D782" s="11" t="s">
        <v>568</v>
      </c>
      <c r="E782" s="11" t="s">
        <v>569</v>
      </c>
      <c r="F782" s="11" t="s">
        <v>761</v>
      </c>
      <c r="G782" s="11">
        <v>0</v>
      </c>
      <c r="T782" s="11">
        <v>4111</v>
      </c>
      <c r="U782" s="11">
        <v>4042</v>
      </c>
      <c r="AW782" t="str">
        <f>IF(Tabela4[[#This Row],[JUSTIFICATIVA]]="","",CONCATENATE("B",Tabela4[[#This Row],[BLOCO]],Tabela4[[#This Row],[UO_COD]]))</f>
        <v/>
      </c>
      <c r="AX782">
        <f>Tabela4[[#This Row],[JUSTIFICATIVA]]</f>
        <v>0</v>
      </c>
    </row>
    <row r="783" spans="1:50" ht="15" customHeight="1">
      <c r="A783" s="11">
        <v>4111</v>
      </c>
      <c r="B783" s="11">
        <v>4043</v>
      </c>
      <c r="C783" s="12" t="str">
        <f t="shared" si="22"/>
        <v>41114043</v>
      </c>
      <c r="D783" s="11" t="s">
        <v>568</v>
      </c>
      <c r="E783" s="11" t="s">
        <v>569</v>
      </c>
      <c r="F783" s="11" t="s">
        <v>761</v>
      </c>
      <c r="G783" s="11">
        <v>0</v>
      </c>
      <c r="T783" s="11">
        <v>4111</v>
      </c>
      <c r="U783" s="11">
        <v>4043</v>
      </c>
      <c r="AW783" t="str">
        <f>IF(Tabela4[[#This Row],[JUSTIFICATIVA]]="","",CONCATENATE("B",Tabela4[[#This Row],[BLOCO]],Tabela4[[#This Row],[UO_COD]]))</f>
        <v/>
      </c>
      <c r="AX783">
        <f>Tabela4[[#This Row],[JUSTIFICATIVA]]</f>
        <v>0</v>
      </c>
    </row>
    <row r="784" spans="1:50" ht="15" customHeight="1">
      <c r="A784" s="11">
        <v>4121</v>
      </c>
      <c r="B784" s="11">
        <v>2013</v>
      </c>
      <c r="C784" s="12" t="str">
        <f t="shared" si="22"/>
        <v>41212013</v>
      </c>
      <c r="D784" s="11" t="s">
        <v>41</v>
      </c>
      <c r="E784" s="11" t="s">
        <v>470</v>
      </c>
      <c r="F784" s="11" t="s">
        <v>762</v>
      </c>
      <c r="G784" s="11">
        <v>0</v>
      </c>
      <c r="T784" s="11">
        <v>4121</v>
      </c>
      <c r="U784" s="11">
        <v>2013</v>
      </c>
      <c r="AW784" t="str">
        <f>IF(Tabela4[[#This Row],[JUSTIFICATIVA]]="","",CONCATENATE("B",Tabela4[[#This Row],[BLOCO]],Tabela4[[#This Row],[UO_COD]]))</f>
        <v/>
      </c>
      <c r="AX784">
        <f>Tabela4[[#This Row],[JUSTIFICATIVA]]</f>
        <v>0</v>
      </c>
    </row>
    <row r="785" spans="1:50" ht="15" customHeight="1">
      <c r="A785" s="11">
        <v>4121</v>
      </c>
      <c r="B785" s="11">
        <v>4084</v>
      </c>
      <c r="C785" s="12" t="str">
        <f t="shared" si="22"/>
        <v>41214084</v>
      </c>
      <c r="D785" s="11" t="s">
        <v>326</v>
      </c>
      <c r="E785" s="11" t="s">
        <v>705</v>
      </c>
      <c r="F785" s="11" t="s">
        <v>763</v>
      </c>
      <c r="G785" s="11">
        <v>0</v>
      </c>
      <c r="T785" s="11">
        <v>4121</v>
      </c>
      <c r="U785" s="11">
        <v>4084</v>
      </c>
      <c r="AW785" t="str">
        <f>IF(Tabela4[[#This Row],[JUSTIFICATIVA]]="","",CONCATENATE("B",Tabela4[[#This Row],[BLOCO]],Tabela4[[#This Row],[UO_COD]]))</f>
        <v/>
      </c>
      <c r="AX785">
        <f>Tabela4[[#This Row],[JUSTIFICATIVA]]</f>
        <v>0</v>
      </c>
    </row>
    <row r="786" spans="1:50" ht="15" customHeight="1">
      <c r="A786" s="11">
        <v>4121</v>
      </c>
      <c r="B786" s="11">
        <v>4539</v>
      </c>
      <c r="C786" s="12" t="str">
        <f t="shared" si="22"/>
        <v>41214539</v>
      </c>
      <c r="D786" s="11" t="s">
        <v>609</v>
      </c>
      <c r="E786" s="11" t="s">
        <v>610</v>
      </c>
      <c r="F786" s="11" t="s">
        <v>764</v>
      </c>
      <c r="G786" s="11">
        <v>0</v>
      </c>
      <c r="T786" s="11">
        <v>4121</v>
      </c>
      <c r="U786" s="11">
        <v>4539</v>
      </c>
      <c r="AW786" t="str">
        <f>IF(Tabela4[[#This Row],[JUSTIFICATIVA]]="","",CONCATENATE("B",Tabela4[[#This Row],[BLOCO]],Tabela4[[#This Row],[UO_COD]]))</f>
        <v/>
      </c>
      <c r="AX786">
        <f>Tabela4[[#This Row],[JUSTIFICATIVA]]</f>
        <v>0</v>
      </c>
    </row>
    <row r="787" spans="1:50" ht="15" customHeight="1">
      <c r="A787" s="11">
        <v>4141</v>
      </c>
      <c r="B787" s="11">
        <v>1046</v>
      </c>
      <c r="C787" s="12" t="str">
        <f t="shared" si="22"/>
        <v>41411046</v>
      </c>
      <c r="D787" s="11" t="s">
        <v>66</v>
      </c>
      <c r="E787" s="11" t="s">
        <v>656</v>
      </c>
      <c r="F787" s="11" t="s">
        <v>474</v>
      </c>
      <c r="G787" s="11">
        <v>0</v>
      </c>
      <c r="T787" s="11">
        <v>4141</v>
      </c>
      <c r="U787" s="11">
        <v>1046</v>
      </c>
      <c r="AW787" t="str">
        <f>IF(Tabela4[[#This Row],[JUSTIFICATIVA]]="","",CONCATENATE("B",Tabela4[[#This Row],[BLOCO]],Tabela4[[#This Row],[UO_COD]]))</f>
        <v/>
      </c>
      <c r="AX787">
        <f>Tabela4[[#This Row],[JUSTIFICATIVA]]</f>
        <v>0</v>
      </c>
    </row>
    <row r="788" spans="1:50" ht="15" customHeight="1">
      <c r="A788" s="11">
        <v>4151</v>
      </c>
      <c r="B788" s="11">
        <v>4497</v>
      </c>
      <c r="C788" s="12" t="str">
        <f t="shared" si="22"/>
        <v>41514497</v>
      </c>
      <c r="D788" s="11" t="s">
        <v>568</v>
      </c>
      <c r="E788" s="11" t="s">
        <v>630</v>
      </c>
      <c r="F788" s="11" t="s">
        <v>632</v>
      </c>
      <c r="G788" s="11">
        <v>0</v>
      </c>
      <c r="T788" s="11">
        <v>4151</v>
      </c>
      <c r="U788" s="11">
        <v>4497</v>
      </c>
      <c r="AW788" t="str">
        <f>IF(Tabela4[[#This Row],[JUSTIFICATIVA]]="","",CONCATENATE("B",Tabela4[[#This Row],[BLOCO]],Tabela4[[#This Row],[UO_COD]]))</f>
        <v/>
      </c>
      <c r="AX788">
        <f>Tabela4[[#This Row],[JUSTIFICATIVA]]</f>
        <v>0</v>
      </c>
    </row>
    <row r="789" spans="1:50" ht="15" customHeight="1">
      <c r="A789" s="11">
        <v>4251</v>
      </c>
      <c r="B789" s="11">
        <v>1096</v>
      </c>
      <c r="C789" s="12" t="str">
        <f t="shared" si="22"/>
        <v>42511096</v>
      </c>
      <c r="D789" s="11" t="s">
        <v>324</v>
      </c>
      <c r="E789" s="11" t="s">
        <v>676</v>
      </c>
      <c r="F789" s="11" t="s">
        <v>663</v>
      </c>
      <c r="G789" s="11">
        <v>0</v>
      </c>
      <c r="T789" s="11">
        <v>4251</v>
      </c>
      <c r="U789" s="11">
        <v>1096</v>
      </c>
      <c r="AW789" t="str">
        <f>IF(Tabela4[[#This Row],[JUSTIFICATIVA]]="","",CONCATENATE("B",Tabela4[[#This Row],[BLOCO]],Tabela4[[#This Row],[UO_COD]]))</f>
        <v/>
      </c>
      <c r="AX789">
        <f>Tabela4[[#This Row],[JUSTIFICATIVA]]</f>
        <v>0</v>
      </c>
    </row>
    <row r="790" spans="1:50" ht="15" customHeight="1">
      <c r="A790" s="11">
        <v>4251</v>
      </c>
      <c r="B790" s="11">
        <v>2074</v>
      </c>
      <c r="C790" s="12" t="str">
        <f t="shared" si="22"/>
        <v>42512074</v>
      </c>
      <c r="D790" s="11" t="s">
        <v>324</v>
      </c>
      <c r="E790" s="11" t="s">
        <v>676</v>
      </c>
      <c r="F790" s="11" t="s">
        <v>765</v>
      </c>
      <c r="G790" s="11">
        <v>0</v>
      </c>
      <c r="T790" s="11">
        <v>4251</v>
      </c>
      <c r="U790" s="11">
        <v>2074</v>
      </c>
      <c r="AW790" t="str">
        <f>IF(Tabela4[[#This Row],[JUSTIFICATIVA]]="","",CONCATENATE("B",Tabela4[[#This Row],[BLOCO]],Tabela4[[#This Row],[UO_COD]]))</f>
        <v/>
      </c>
      <c r="AX790">
        <f>Tabela4[[#This Row],[JUSTIFICATIVA]]</f>
        <v>0</v>
      </c>
    </row>
    <row r="791" spans="1:50" ht="15" customHeight="1">
      <c r="A791" s="11">
        <v>4251</v>
      </c>
      <c r="B791" s="11">
        <v>4025</v>
      </c>
      <c r="C791" s="12" t="str">
        <f t="shared" si="22"/>
        <v>42514025</v>
      </c>
      <c r="D791" s="11" t="s">
        <v>324</v>
      </c>
      <c r="E791" s="11" t="s">
        <v>728</v>
      </c>
      <c r="F791" s="11" t="s">
        <v>765</v>
      </c>
      <c r="G791" s="11">
        <v>0</v>
      </c>
      <c r="T791" s="11">
        <v>4251</v>
      </c>
      <c r="U791" s="11">
        <v>4025</v>
      </c>
      <c r="AW791" t="str">
        <f>IF(Tabela4[[#This Row],[JUSTIFICATIVA]]="","",CONCATENATE("B",Tabela4[[#This Row],[BLOCO]],Tabela4[[#This Row],[UO_COD]]))</f>
        <v/>
      </c>
      <c r="AX791">
        <f>Tabela4[[#This Row],[JUSTIFICATIVA]]</f>
        <v>0</v>
      </c>
    </row>
    <row r="792" spans="1:50" ht="15" customHeight="1">
      <c r="A792" s="11">
        <v>4251</v>
      </c>
      <c r="B792" s="11">
        <v>4402</v>
      </c>
      <c r="C792" s="12" t="str">
        <f t="shared" si="22"/>
        <v>42514402</v>
      </c>
      <c r="D792" s="11" t="s">
        <v>324</v>
      </c>
      <c r="E792" s="11" t="s">
        <v>676</v>
      </c>
      <c r="F792" s="11" t="s">
        <v>765</v>
      </c>
      <c r="G792" s="11">
        <v>0</v>
      </c>
      <c r="T792" s="11">
        <v>4251</v>
      </c>
      <c r="U792" s="11">
        <v>4402</v>
      </c>
      <c r="AW792" t="str">
        <f>IF(Tabela4[[#This Row],[JUSTIFICATIVA]]="","",CONCATENATE("B",Tabela4[[#This Row],[BLOCO]],Tabela4[[#This Row],[UO_COD]]))</f>
        <v/>
      </c>
      <c r="AX792">
        <f>Tabela4[[#This Row],[JUSTIFICATIVA]]</f>
        <v>0</v>
      </c>
    </row>
    <row r="793" spans="1:50" ht="15" customHeight="1">
      <c r="A793" s="11">
        <v>4251</v>
      </c>
      <c r="B793" s="11">
        <v>4429</v>
      </c>
      <c r="C793" s="12" t="str">
        <f t="shared" si="22"/>
        <v>42514429</v>
      </c>
      <c r="D793" s="11" t="s">
        <v>324</v>
      </c>
      <c r="E793" s="11" t="s">
        <v>676</v>
      </c>
      <c r="F793" s="11" t="s">
        <v>765</v>
      </c>
      <c r="G793" s="11">
        <v>0</v>
      </c>
      <c r="T793" s="11">
        <v>4251</v>
      </c>
      <c r="U793" s="11">
        <v>4429</v>
      </c>
      <c r="AW793" t="str">
        <f>IF(Tabela4[[#This Row],[JUSTIFICATIVA]]="","",CONCATENATE("B",Tabela4[[#This Row],[BLOCO]],Tabela4[[#This Row],[UO_COD]]))</f>
        <v/>
      </c>
      <c r="AX793">
        <f>Tabela4[[#This Row],[JUSTIFICATIVA]]</f>
        <v>0</v>
      </c>
    </row>
    <row r="794" spans="1:50" ht="15" customHeight="1">
      <c r="A794" s="11">
        <v>4251</v>
      </c>
      <c r="B794" s="11">
        <v>4430</v>
      </c>
      <c r="C794" s="12" t="str">
        <f t="shared" si="22"/>
        <v>42514430</v>
      </c>
      <c r="D794" s="11" t="s">
        <v>324</v>
      </c>
      <c r="E794" s="11" t="s">
        <v>676</v>
      </c>
      <c r="F794" s="11" t="s">
        <v>765</v>
      </c>
      <c r="G794" s="11">
        <v>0</v>
      </c>
      <c r="T794" s="11">
        <v>4251</v>
      </c>
      <c r="U794" s="11">
        <v>4430</v>
      </c>
      <c r="AW794" t="str">
        <f>IF(Tabela4[[#This Row],[JUSTIFICATIVA]]="","",CONCATENATE("B",Tabela4[[#This Row],[BLOCO]],Tabela4[[#This Row],[UO_COD]]))</f>
        <v/>
      </c>
      <c r="AX794">
        <f>Tabela4[[#This Row],[JUSTIFICATIVA]]</f>
        <v>0</v>
      </c>
    </row>
    <row r="795" spans="1:50" ht="15" customHeight="1">
      <c r="A795" s="11">
        <v>4251</v>
      </c>
      <c r="B795" s="11">
        <v>4431</v>
      </c>
      <c r="C795" s="12" t="str">
        <f t="shared" si="22"/>
        <v>42514431</v>
      </c>
      <c r="D795" s="11" t="s">
        <v>324</v>
      </c>
      <c r="E795" s="11" t="s">
        <v>676</v>
      </c>
      <c r="F795" s="11" t="s">
        <v>765</v>
      </c>
      <c r="G795" s="11">
        <v>0</v>
      </c>
      <c r="T795" s="11">
        <v>4251</v>
      </c>
      <c r="U795" s="11">
        <v>4431</v>
      </c>
      <c r="AW795" t="str">
        <f>IF(Tabela4[[#This Row],[JUSTIFICATIVA]]="","",CONCATENATE("B",Tabela4[[#This Row],[BLOCO]],Tabela4[[#This Row],[UO_COD]]))</f>
        <v/>
      </c>
      <c r="AX795">
        <f>Tabela4[[#This Row],[JUSTIFICATIVA]]</f>
        <v>0</v>
      </c>
    </row>
    <row r="796" spans="1:50" ht="15" customHeight="1">
      <c r="A796" s="11">
        <v>4251</v>
      </c>
      <c r="B796" s="11">
        <v>4433</v>
      </c>
      <c r="C796" s="12" t="str">
        <f t="shared" si="22"/>
        <v>42514433</v>
      </c>
      <c r="D796" s="11" t="s">
        <v>324</v>
      </c>
      <c r="E796" s="11" t="s">
        <v>676</v>
      </c>
      <c r="F796" s="11" t="s">
        <v>765</v>
      </c>
      <c r="G796" s="11">
        <v>0</v>
      </c>
      <c r="T796" s="11">
        <v>4251</v>
      </c>
      <c r="U796" s="11">
        <v>4433</v>
      </c>
      <c r="AW796" t="str">
        <f>IF(Tabela4[[#This Row],[JUSTIFICATIVA]]="","",CONCATENATE("B",Tabela4[[#This Row],[BLOCO]],Tabela4[[#This Row],[UO_COD]]))</f>
        <v/>
      </c>
      <c r="AX796">
        <f>Tabela4[[#This Row],[JUSTIFICATIVA]]</f>
        <v>0</v>
      </c>
    </row>
    <row r="797" spans="1:50" ht="15" customHeight="1">
      <c r="A797" s="11">
        <v>4251</v>
      </c>
      <c r="B797" s="11">
        <v>4434</v>
      </c>
      <c r="C797" s="12" t="str">
        <f t="shared" si="22"/>
        <v>42514434</v>
      </c>
      <c r="D797" s="11" t="s">
        <v>324</v>
      </c>
      <c r="E797" s="11" t="s">
        <v>676</v>
      </c>
      <c r="F797" s="11" t="s">
        <v>765</v>
      </c>
      <c r="G797" s="11">
        <v>0</v>
      </c>
      <c r="T797" s="11">
        <v>4251</v>
      </c>
      <c r="U797" s="11">
        <v>4434</v>
      </c>
      <c r="AW797" t="str">
        <f>IF(Tabela4[[#This Row],[JUSTIFICATIVA]]="","",CONCATENATE("B",Tabela4[[#This Row],[BLOCO]],Tabela4[[#This Row],[UO_COD]]))</f>
        <v/>
      </c>
      <c r="AX797">
        <f>Tabela4[[#This Row],[JUSTIFICATIVA]]</f>
        <v>0</v>
      </c>
    </row>
    <row r="798" spans="1:50" ht="15" customHeight="1">
      <c r="A798" s="11">
        <v>4251</v>
      </c>
      <c r="B798" s="11">
        <v>4435</v>
      </c>
      <c r="C798" s="12" t="str">
        <f t="shared" si="22"/>
        <v>42514435</v>
      </c>
      <c r="D798" s="11" t="s">
        <v>324</v>
      </c>
      <c r="E798" s="11" t="s">
        <v>676</v>
      </c>
      <c r="F798" s="11" t="s">
        <v>765</v>
      </c>
      <c r="G798" s="11">
        <v>0</v>
      </c>
      <c r="T798" s="11">
        <v>4251</v>
      </c>
      <c r="U798" s="11">
        <v>4435</v>
      </c>
      <c r="AW798" t="str">
        <f>IF(Tabela4[[#This Row],[JUSTIFICATIVA]]="","",CONCATENATE("B",Tabela4[[#This Row],[BLOCO]],Tabela4[[#This Row],[UO_COD]]))</f>
        <v/>
      </c>
      <c r="AX798">
        <f>Tabela4[[#This Row],[JUSTIFICATIVA]]</f>
        <v>0</v>
      </c>
    </row>
    <row r="799" spans="1:50" ht="15" customHeight="1">
      <c r="A799" s="11">
        <v>4291</v>
      </c>
      <c r="B799" s="11">
        <v>1020</v>
      </c>
      <c r="C799" s="12" t="str">
        <f t="shared" si="22"/>
        <v>42911020</v>
      </c>
      <c r="D799" s="11" t="s">
        <v>609</v>
      </c>
      <c r="E799" s="11" t="s">
        <v>610</v>
      </c>
      <c r="F799" s="11" t="s">
        <v>766</v>
      </c>
      <c r="G799" s="11">
        <v>1</v>
      </c>
      <c r="T799" s="11">
        <v>4291</v>
      </c>
      <c r="U799" s="11">
        <v>1020</v>
      </c>
      <c r="AW799" t="str">
        <f>IF(Tabela4[[#This Row],[JUSTIFICATIVA]]="","",CONCATENATE("B",Tabela4[[#This Row],[BLOCO]],Tabela4[[#This Row],[UO_COD]]))</f>
        <v/>
      </c>
      <c r="AX799">
        <f>Tabela4[[#This Row],[JUSTIFICATIVA]]</f>
        <v>0</v>
      </c>
    </row>
    <row r="800" spans="1:50" ht="15" customHeight="1">
      <c r="A800" s="11">
        <v>4291</v>
      </c>
      <c r="B800" s="11">
        <v>1021</v>
      </c>
      <c r="C800" s="12" t="str">
        <f t="shared" si="22"/>
        <v>42911021</v>
      </c>
      <c r="D800" s="11" t="s">
        <v>609</v>
      </c>
      <c r="E800" s="11" t="s">
        <v>767</v>
      </c>
      <c r="F800" s="11" t="s">
        <v>768</v>
      </c>
      <c r="G800" s="11">
        <v>0</v>
      </c>
      <c r="T800" s="11">
        <v>4291</v>
      </c>
      <c r="U800" s="11">
        <v>1021</v>
      </c>
      <c r="AW800" t="str">
        <f>IF(Tabela4[[#This Row],[JUSTIFICATIVA]]="","",CONCATENATE("B",Tabela4[[#This Row],[BLOCO]],Tabela4[[#This Row],[UO_COD]]))</f>
        <v/>
      </c>
      <c r="AX800">
        <f>Tabela4[[#This Row],[JUSTIFICATIVA]]</f>
        <v>0</v>
      </c>
    </row>
    <row r="801" spans="1:50" ht="15" customHeight="1">
      <c r="A801" s="11">
        <v>4291</v>
      </c>
      <c r="B801" s="11">
        <v>1022</v>
      </c>
      <c r="C801" s="12" t="str">
        <f t="shared" si="22"/>
        <v>42911022</v>
      </c>
      <c r="D801" s="11" t="s">
        <v>609</v>
      </c>
      <c r="E801" s="11" t="s">
        <v>769</v>
      </c>
      <c r="F801" s="11" t="s">
        <v>770</v>
      </c>
      <c r="G801" s="11">
        <v>0</v>
      </c>
      <c r="T801" s="11">
        <v>4291</v>
      </c>
      <c r="U801" s="11">
        <v>1022</v>
      </c>
      <c r="AW801" t="str">
        <f>IF(Tabela4[[#This Row],[JUSTIFICATIVA]]="","",CONCATENATE("B",Tabela4[[#This Row],[BLOCO]],Tabela4[[#This Row],[UO_COD]]))</f>
        <v/>
      </c>
      <c r="AX801">
        <f>Tabela4[[#This Row],[JUSTIFICATIVA]]</f>
        <v>0</v>
      </c>
    </row>
    <row r="802" spans="1:50" ht="15" customHeight="1">
      <c r="A802" s="11">
        <v>4291</v>
      </c>
      <c r="B802" s="11">
        <v>2023</v>
      </c>
      <c r="C802" s="12" t="str">
        <f t="shared" si="22"/>
        <v>42912023</v>
      </c>
      <c r="D802" s="11" t="s">
        <v>609</v>
      </c>
      <c r="E802" s="11" t="s">
        <v>470</v>
      </c>
      <c r="F802" s="11" t="s">
        <v>771</v>
      </c>
      <c r="G802" s="11">
        <v>0</v>
      </c>
      <c r="T802" s="11">
        <v>4291</v>
      </c>
      <c r="U802" s="11">
        <v>2023</v>
      </c>
      <c r="AW802" t="str">
        <f>IF(Tabela4[[#This Row],[JUSTIFICATIVA]]="","",CONCATENATE("B",Tabela4[[#This Row],[BLOCO]],Tabela4[[#This Row],[UO_COD]]))</f>
        <v/>
      </c>
      <c r="AX802">
        <f>Tabela4[[#This Row],[JUSTIFICATIVA]]</f>
        <v>0</v>
      </c>
    </row>
    <row r="803" spans="1:50" ht="15" customHeight="1">
      <c r="A803" s="11">
        <v>4291</v>
      </c>
      <c r="B803" s="11">
        <v>2024</v>
      </c>
      <c r="C803" s="12" t="str">
        <f t="shared" si="22"/>
        <v>42912024</v>
      </c>
      <c r="D803" s="11" t="s">
        <v>609</v>
      </c>
      <c r="E803" s="11" t="s">
        <v>470</v>
      </c>
      <c r="F803" s="11" t="s">
        <v>771</v>
      </c>
      <c r="G803" s="11">
        <v>0</v>
      </c>
      <c r="T803" s="11">
        <v>4291</v>
      </c>
      <c r="U803" s="11">
        <v>2024</v>
      </c>
      <c r="AW803" t="str">
        <f>IF(Tabela4[[#This Row],[JUSTIFICATIVA]]="","",CONCATENATE("B",Tabela4[[#This Row],[BLOCO]],Tabela4[[#This Row],[UO_COD]]))</f>
        <v/>
      </c>
      <c r="AX803">
        <f>Tabela4[[#This Row],[JUSTIFICATIVA]]</f>
        <v>0</v>
      </c>
    </row>
    <row r="804" spans="1:50" ht="15" customHeight="1">
      <c r="A804" s="11">
        <v>4291</v>
      </c>
      <c r="B804" s="11">
        <v>2026</v>
      </c>
      <c r="C804" s="12" t="str">
        <f t="shared" si="22"/>
        <v>42912026</v>
      </c>
      <c r="D804" s="11" t="s">
        <v>609</v>
      </c>
      <c r="E804" s="11" t="s">
        <v>470</v>
      </c>
      <c r="F804" s="11" t="s">
        <v>771</v>
      </c>
      <c r="G804" s="11">
        <v>0</v>
      </c>
      <c r="T804" s="11">
        <v>4291</v>
      </c>
      <c r="U804" s="11">
        <v>2026</v>
      </c>
      <c r="AW804" t="str">
        <f>IF(Tabela4[[#This Row],[JUSTIFICATIVA]]="","",CONCATENATE("B",Tabela4[[#This Row],[BLOCO]],Tabela4[[#This Row],[UO_COD]]))</f>
        <v/>
      </c>
      <c r="AX804">
        <f>Tabela4[[#This Row],[JUSTIFICATIVA]]</f>
        <v>0</v>
      </c>
    </row>
    <row r="805" spans="1:50" ht="15" customHeight="1">
      <c r="A805" s="11">
        <v>4291</v>
      </c>
      <c r="B805" s="11">
        <v>2087</v>
      </c>
      <c r="C805" s="12" t="str">
        <f t="shared" si="22"/>
        <v>42912087</v>
      </c>
      <c r="D805" s="11" t="s">
        <v>609</v>
      </c>
      <c r="E805" s="11" t="s">
        <v>470</v>
      </c>
      <c r="F805" s="11" t="s">
        <v>461</v>
      </c>
      <c r="G805" s="11">
        <v>0</v>
      </c>
      <c r="T805" s="11">
        <v>4291</v>
      </c>
      <c r="U805" s="11">
        <v>2087</v>
      </c>
      <c r="AW805" t="str">
        <f>IF(Tabela4[[#This Row],[JUSTIFICATIVA]]="","",CONCATENATE("B",Tabela4[[#This Row],[BLOCO]],Tabela4[[#This Row],[UO_COD]]))</f>
        <v/>
      </c>
      <c r="AX805">
        <f>Tabela4[[#This Row],[JUSTIFICATIVA]]</f>
        <v>0</v>
      </c>
    </row>
    <row r="806" spans="1:50" ht="15" customHeight="1">
      <c r="A806" s="11">
        <v>4291</v>
      </c>
      <c r="B806" s="11">
        <v>2110</v>
      </c>
      <c r="C806" s="12" t="str">
        <f t="shared" si="22"/>
        <v>42912110</v>
      </c>
      <c r="D806" s="11" t="s">
        <v>609</v>
      </c>
      <c r="E806" s="11" t="s">
        <v>474</v>
      </c>
      <c r="F806" s="11" t="s">
        <v>772</v>
      </c>
      <c r="G806" s="11">
        <v>0</v>
      </c>
      <c r="T806" s="11">
        <v>4291</v>
      </c>
      <c r="U806" s="11">
        <v>2110</v>
      </c>
      <c r="AW806" t="str">
        <f>IF(Tabela4[[#This Row],[JUSTIFICATIVA]]="","",CONCATENATE("B",Tabela4[[#This Row],[BLOCO]],Tabela4[[#This Row],[UO_COD]]))</f>
        <v/>
      </c>
      <c r="AX806">
        <f>Tabela4[[#This Row],[JUSTIFICATIVA]]</f>
        <v>0</v>
      </c>
    </row>
    <row r="807" spans="1:50" ht="15" customHeight="1">
      <c r="A807" s="11">
        <v>4291</v>
      </c>
      <c r="B807" s="11">
        <v>2111</v>
      </c>
      <c r="C807" s="12" t="str">
        <f t="shared" si="22"/>
        <v>42912111</v>
      </c>
      <c r="D807" s="11" t="s">
        <v>609</v>
      </c>
      <c r="E807" s="11" t="s">
        <v>610</v>
      </c>
      <c r="F807" s="11" t="s">
        <v>772</v>
      </c>
      <c r="G807" s="11">
        <v>0</v>
      </c>
      <c r="T807" s="11">
        <v>4291</v>
      </c>
      <c r="U807" s="11">
        <v>2111</v>
      </c>
      <c r="AW807" t="str">
        <f>IF(Tabela4[[#This Row],[JUSTIFICATIVA]]="","",CONCATENATE("B",Tabela4[[#This Row],[BLOCO]],Tabela4[[#This Row],[UO_COD]]))</f>
        <v/>
      </c>
      <c r="AX807">
        <f>Tabela4[[#This Row],[JUSTIFICATIVA]]</f>
        <v>0</v>
      </c>
    </row>
    <row r="808" spans="1:50" ht="15" customHeight="1">
      <c r="A808" s="11">
        <v>4291</v>
      </c>
      <c r="B808" s="11">
        <v>2112</v>
      </c>
      <c r="C808" s="12" t="str">
        <f t="shared" si="22"/>
        <v>42912112</v>
      </c>
      <c r="D808" s="11" t="s">
        <v>609</v>
      </c>
      <c r="E808" s="11" t="s">
        <v>470</v>
      </c>
      <c r="F808" s="11" t="s">
        <v>772</v>
      </c>
      <c r="G808" s="11">
        <v>0</v>
      </c>
      <c r="T808" s="11">
        <v>4291</v>
      </c>
      <c r="U808" s="11">
        <v>2112</v>
      </c>
      <c r="AW808" t="str">
        <f>IF(Tabela4[[#This Row],[JUSTIFICATIVA]]="","",CONCATENATE("B",Tabela4[[#This Row],[BLOCO]],Tabela4[[#This Row],[UO_COD]]))</f>
        <v/>
      </c>
      <c r="AX808">
        <f>Tabela4[[#This Row],[JUSTIFICATIVA]]</f>
        <v>0</v>
      </c>
    </row>
    <row r="809" spans="1:50" ht="15" customHeight="1">
      <c r="A809" s="11">
        <v>4291</v>
      </c>
      <c r="B809" s="11">
        <v>2115</v>
      </c>
      <c r="C809" s="12" t="str">
        <f t="shared" si="22"/>
        <v>42912115</v>
      </c>
      <c r="D809" s="11" t="s">
        <v>609</v>
      </c>
      <c r="E809" s="11" t="s">
        <v>610</v>
      </c>
      <c r="F809" s="11" t="s">
        <v>772</v>
      </c>
      <c r="G809" s="11">
        <v>0</v>
      </c>
      <c r="T809" s="11">
        <v>4291</v>
      </c>
      <c r="U809" s="11">
        <v>2115</v>
      </c>
      <c r="AW809" t="str">
        <f>IF(Tabela4[[#This Row],[JUSTIFICATIVA]]="","",CONCATENATE("B",Tabela4[[#This Row],[BLOCO]],Tabela4[[#This Row],[UO_COD]]))</f>
        <v/>
      </c>
      <c r="AX809">
        <f>Tabela4[[#This Row],[JUSTIFICATIVA]]</f>
        <v>0</v>
      </c>
    </row>
    <row r="810" spans="1:50" ht="15" customHeight="1">
      <c r="A810" s="11">
        <v>4291</v>
      </c>
      <c r="B810" s="11">
        <v>2135</v>
      </c>
      <c r="C810" s="12" t="str">
        <f t="shared" si="22"/>
        <v>42912135</v>
      </c>
      <c r="D810" s="11" t="s">
        <v>609</v>
      </c>
      <c r="E810" s="11" t="s">
        <v>610</v>
      </c>
      <c r="F810" s="11" t="s">
        <v>772</v>
      </c>
      <c r="G810" s="11">
        <v>0</v>
      </c>
      <c r="T810" s="11">
        <v>4291</v>
      </c>
      <c r="U810" s="11">
        <v>2135</v>
      </c>
      <c r="AW810" t="str">
        <f>IF(Tabela4[[#This Row],[JUSTIFICATIVA]]="","",CONCATENATE("B",Tabela4[[#This Row],[BLOCO]],Tabela4[[#This Row],[UO_COD]]))</f>
        <v/>
      </c>
      <c r="AX810">
        <f>Tabela4[[#This Row],[JUSTIFICATIVA]]</f>
        <v>0</v>
      </c>
    </row>
    <row r="811" spans="1:50" ht="15" customHeight="1">
      <c r="A811" s="11">
        <v>4291</v>
      </c>
      <c r="B811" s="11">
        <v>2136</v>
      </c>
      <c r="C811" s="12" t="str">
        <f t="shared" si="22"/>
        <v>42912136</v>
      </c>
      <c r="D811" s="11" t="s">
        <v>609</v>
      </c>
      <c r="E811" s="11" t="s">
        <v>736</v>
      </c>
      <c r="F811" s="11" t="s">
        <v>772</v>
      </c>
      <c r="G811" s="11">
        <v>0</v>
      </c>
      <c r="T811" s="11">
        <v>4291</v>
      </c>
      <c r="U811" s="11">
        <v>2136</v>
      </c>
      <c r="AW811" t="str">
        <f>IF(Tabela4[[#This Row],[JUSTIFICATIVA]]="","",CONCATENATE("B",Tabela4[[#This Row],[BLOCO]],Tabela4[[#This Row],[UO_COD]]))</f>
        <v/>
      </c>
      <c r="AX811">
        <f>Tabela4[[#This Row],[JUSTIFICATIVA]]</f>
        <v>0</v>
      </c>
    </row>
    <row r="812" spans="1:50" ht="15" customHeight="1">
      <c r="A812" s="11">
        <v>4291</v>
      </c>
      <c r="B812" s="11">
        <v>2137</v>
      </c>
      <c r="C812" s="12" t="str">
        <f t="shared" si="22"/>
        <v>42912137</v>
      </c>
      <c r="D812" s="11" t="s">
        <v>609</v>
      </c>
      <c r="E812" s="11" t="s">
        <v>474</v>
      </c>
      <c r="F812" s="11" t="s">
        <v>772</v>
      </c>
      <c r="G812" s="11">
        <v>0</v>
      </c>
      <c r="T812" s="11">
        <v>4291</v>
      </c>
      <c r="U812" s="11">
        <v>2137</v>
      </c>
      <c r="AW812" t="str">
        <f>IF(Tabela4[[#This Row],[JUSTIFICATIVA]]="","",CONCATENATE("B",Tabela4[[#This Row],[BLOCO]],Tabela4[[#This Row],[UO_COD]]))</f>
        <v/>
      </c>
      <c r="AX812">
        <f>Tabela4[[#This Row],[JUSTIFICATIVA]]</f>
        <v>0</v>
      </c>
    </row>
    <row r="813" spans="1:50" ht="15" customHeight="1">
      <c r="A813" s="11">
        <v>4291</v>
      </c>
      <c r="B813" s="11">
        <v>2417</v>
      </c>
      <c r="C813" s="12" t="str">
        <f t="shared" si="22"/>
        <v>42912417</v>
      </c>
      <c r="D813" s="11" t="s">
        <v>609</v>
      </c>
      <c r="E813" s="11" t="s">
        <v>470</v>
      </c>
      <c r="F813" s="11" t="s">
        <v>461</v>
      </c>
      <c r="G813" s="11">
        <v>0</v>
      </c>
      <c r="T813" s="11">
        <v>4291</v>
      </c>
      <c r="U813" s="11">
        <v>2417</v>
      </c>
      <c r="AW813" t="str">
        <f>IF(Tabela4[[#This Row],[JUSTIFICATIVA]]="","",CONCATENATE("B",Tabela4[[#This Row],[BLOCO]],Tabela4[[#This Row],[UO_COD]]))</f>
        <v/>
      </c>
      <c r="AX813">
        <f>Tabela4[[#This Row],[JUSTIFICATIVA]]</f>
        <v>0</v>
      </c>
    </row>
    <row r="814" spans="1:50" ht="15" customHeight="1">
      <c r="A814" s="11">
        <v>4291</v>
      </c>
      <c r="B814" s="11">
        <v>2500</v>
      </c>
      <c r="C814" s="12" t="str">
        <f t="shared" si="22"/>
        <v>42912500</v>
      </c>
      <c r="D814" s="11" t="s">
        <v>609</v>
      </c>
      <c r="E814" s="11" t="s">
        <v>470</v>
      </c>
      <c r="F814" s="11" t="s">
        <v>461</v>
      </c>
      <c r="G814" s="11">
        <v>0</v>
      </c>
      <c r="T814" s="11">
        <v>4291</v>
      </c>
      <c r="U814" s="11">
        <v>2500</v>
      </c>
      <c r="AW814" t="str">
        <f>IF(Tabela4[[#This Row],[JUSTIFICATIVA]]="","",CONCATENATE("B",Tabela4[[#This Row],[BLOCO]],Tabela4[[#This Row],[UO_COD]]))</f>
        <v/>
      </c>
      <c r="AX814">
        <f>Tabela4[[#This Row],[JUSTIFICATIVA]]</f>
        <v>0</v>
      </c>
    </row>
    <row r="815" spans="1:50" ht="15" customHeight="1">
      <c r="A815" s="11">
        <v>4291</v>
      </c>
      <c r="B815" s="11">
        <v>4121</v>
      </c>
      <c r="C815" s="12" t="str">
        <f t="shared" si="22"/>
        <v>42914121</v>
      </c>
      <c r="D815" s="11" t="s">
        <v>609</v>
      </c>
      <c r="E815" s="11" t="s">
        <v>610</v>
      </c>
      <c r="F815" s="11" t="s">
        <v>766</v>
      </c>
      <c r="G815" s="11">
        <v>0</v>
      </c>
      <c r="T815" s="11">
        <v>4291</v>
      </c>
      <c r="U815" s="11">
        <v>4121</v>
      </c>
      <c r="AW815" t="str">
        <f>IF(Tabela4[[#This Row],[JUSTIFICATIVA]]="","",CONCATENATE("B",Tabela4[[#This Row],[BLOCO]],Tabela4[[#This Row],[UO_COD]]))</f>
        <v/>
      </c>
      <c r="AX815">
        <f>Tabela4[[#This Row],[JUSTIFICATIVA]]</f>
        <v>0</v>
      </c>
    </row>
    <row r="816" spans="1:50" ht="15" customHeight="1">
      <c r="A816" s="11">
        <v>4291</v>
      </c>
      <c r="B816" s="11">
        <v>4122</v>
      </c>
      <c r="C816" s="12" t="str">
        <f t="shared" si="22"/>
        <v>42914122</v>
      </c>
      <c r="D816" s="11" t="s">
        <v>609</v>
      </c>
      <c r="E816" s="11" t="s">
        <v>610</v>
      </c>
      <c r="F816" s="11" t="s">
        <v>766</v>
      </c>
      <c r="G816" s="11">
        <v>0</v>
      </c>
      <c r="T816" s="11">
        <v>4291</v>
      </c>
      <c r="U816" s="11">
        <v>4122</v>
      </c>
      <c r="AW816" t="str">
        <f>IF(Tabela4[[#This Row],[JUSTIFICATIVA]]="","",CONCATENATE("B",Tabela4[[#This Row],[BLOCO]],Tabela4[[#This Row],[UO_COD]]))</f>
        <v/>
      </c>
      <c r="AX816">
        <f>Tabela4[[#This Row],[JUSTIFICATIVA]]</f>
        <v>0</v>
      </c>
    </row>
    <row r="817" spans="1:50" ht="15" customHeight="1">
      <c r="A817" s="11">
        <v>4291</v>
      </c>
      <c r="B817" s="11">
        <v>4123</v>
      </c>
      <c r="C817" s="12" t="str">
        <f t="shared" si="22"/>
        <v>42914123</v>
      </c>
      <c r="D817" s="11" t="s">
        <v>609</v>
      </c>
      <c r="E817" s="11" t="s">
        <v>610</v>
      </c>
      <c r="F817" s="11" t="s">
        <v>766</v>
      </c>
      <c r="G817" s="11">
        <v>0</v>
      </c>
      <c r="T817" s="11">
        <v>4291</v>
      </c>
      <c r="U817" s="11">
        <v>4123</v>
      </c>
      <c r="AW817" t="str">
        <f>IF(Tabela4[[#This Row],[JUSTIFICATIVA]]="","",CONCATENATE("B",Tabela4[[#This Row],[BLOCO]],Tabela4[[#This Row],[UO_COD]]))</f>
        <v/>
      </c>
      <c r="AX817">
        <f>Tabela4[[#This Row],[JUSTIFICATIVA]]</f>
        <v>0</v>
      </c>
    </row>
    <row r="818" spans="1:50" ht="15" customHeight="1">
      <c r="A818" s="11">
        <v>4291</v>
      </c>
      <c r="B818" s="11">
        <v>4125</v>
      </c>
      <c r="C818" s="12" t="str">
        <f t="shared" si="22"/>
        <v>42914125</v>
      </c>
      <c r="D818" s="11" t="s">
        <v>609</v>
      </c>
      <c r="E818" s="11" t="s">
        <v>769</v>
      </c>
      <c r="F818" s="11" t="s">
        <v>770</v>
      </c>
      <c r="G818" s="11">
        <v>0</v>
      </c>
      <c r="T818" s="11">
        <v>4291</v>
      </c>
      <c r="U818" s="11">
        <v>4125</v>
      </c>
      <c r="AW818" t="str">
        <f>IF(Tabela4[[#This Row],[JUSTIFICATIVA]]="","",CONCATENATE("B",Tabela4[[#This Row],[BLOCO]],Tabela4[[#This Row],[UO_COD]]))</f>
        <v/>
      </c>
      <c r="AX818">
        <f>Tabela4[[#This Row],[JUSTIFICATIVA]]</f>
        <v>0</v>
      </c>
    </row>
    <row r="819" spans="1:50" ht="15" customHeight="1">
      <c r="A819" s="11">
        <v>4291</v>
      </c>
      <c r="B819" s="11">
        <v>4126</v>
      </c>
      <c r="C819" s="12" t="str">
        <f t="shared" si="22"/>
        <v>42914126</v>
      </c>
      <c r="D819" s="11" t="s">
        <v>609</v>
      </c>
      <c r="E819" s="11" t="s">
        <v>769</v>
      </c>
      <c r="F819" s="11" t="s">
        <v>770</v>
      </c>
      <c r="G819" s="11">
        <v>0</v>
      </c>
      <c r="T819" s="11">
        <v>4291</v>
      </c>
      <c r="U819" s="11">
        <v>4126</v>
      </c>
      <c r="AW819" t="str">
        <f>IF(Tabela4[[#This Row],[JUSTIFICATIVA]]="","",CONCATENATE("B",Tabela4[[#This Row],[BLOCO]],Tabela4[[#This Row],[UO_COD]]))</f>
        <v/>
      </c>
      <c r="AX819">
        <f>Tabela4[[#This Row],[JUSTIFICATIVA]]</f>
        <v>0</v>
      </c>
    </row>
    <row r="820" spans="1:50" ht="15" customHeight="1">
      <c r="A820" s="11">
        <v>4291</v>
      </c>
      <c r="B820" s="11">
        <v>4127</v>
      </c>
      <c r="C820" s="12" t="str">
        <f t="shared" si="22"/>
        <v>42914127</v>
      </c>
      <c r="D820" s="11" t="s">
        <v>609</v>
      </c>
      <c r="E820" s="11" t="s">
        <v>769</v>
      </c>
      <c r="F820" s="11" t="s">
        <v>770</v>
      </c>
      <c r="G820" s="11">
        <v>0</v>
      </c>
      <c r="T820" s="11">
        <v>4291</v>
      </c>
      <c r="U820" s="11">
        <v>4127</v>
      </c>
      <c r="AW820" t="str">
        <f>IF(Tabela4[[#This Row],[JUSTIFICATIVA]]="","",CONCATENATE("B",Tabela4[[#This Row],[BLOCO]],Tabela4[[#This Row],[UO_COD]]))</f>
        <v/>
      </c>
      <c r="AX820">
        <f>Tabela4[[#This Row],[JUSTIFICATIVA]]</f>
        <v>0</v>
      </c>
    </row>
    <row r="821" spans="1:50" ht="15" customHeight="1">
      <c r="A821" s="11">
        <v>4291</v>
      </c>
      <c r="B821" s="11">
        <v>4129</v>
      </c>
      <c r="C821" s="12" t="str">
        <f t="shared" si="22"/>
        <v>42914129</v>
      </c>
      <c r="D821" s="11" t="s">
        <v>609</v>
      </c>
      <c r="E821" s="11" t="s">
        <v>728</v>
      </c>
      <c r="F821" s="11" t="s">
        <v>495</v>
      </c>
      <c r="G821" s="11">
        <v>0</v>
      </c>
      <c r="T821" s="11">
        <v>4291</v>
      </c>
      <c r="U821" s="11">
        <v>4129</v>
      </c>
      <c r="AW821" t="str">
        <f>IF(Tabela4[[#This Row],[JUSTIFICATIVA]]="","",CONCATENATE("B",Tabela4[[#This Row],[BLOCO]],Tabela4[[#This Row],[UO_COD]]))</f>
        <v/>
      </c>
      <c r="AX821">
        <f>Tabela4[[#This Row],[JUSTIFICATIVA]]</f>
        <v>0</v>
      </c>
    </row>
    <row r="822" spans="1:50" ht="15" customHeight="1">
      <c r="A822" s="11">
        <v>4291</v>
      </c>
      <c r="B822" s="11">
        <v>4130</v>
      </c>
      <c r="C822" s="12" t="str">
        <f t="shared" si="22"/>
        <v>42914130</v>
      </c>
      <c r="D822" s="11" t="s">
        <v>609</v>
      </c>
      <c r="E822" s="11" t="s">
        <v>610</v>
      </c>
      <c r="F822" s="11" t="s">
        <v>495</v>
      </c>
      <c r="G822" s="11">
        <v>0</v>
      </c>
      <c r="T822" s="11">
        <v>4291</v>
      </c>
      <c r="U822" s="11">
        <v>4130</v>
      </c>
      <c r="AW822" t="str">
        <f>IF(Tabela4[[#This Row],[JUSTIFICATIVA]]="","",CONCATENATE("B",Tabela4[[#This Row],[BLOCO]],Tabela4[[#This Row],[UO_COD]]))</f>
        <v/>
      </c>
      <c r="AX822">
        <f>Tabela4[[#This Row],[JUSTIFICATIVA]]</f>
        <v>0</v>
      </c>
    </row>
    <row r="823" spans="1:50" ht="15" customHeight="1">
      <c r="A823" s="11">
        <v>4291</v>
      </c>
      <c r="B823" s="11">
        <v>4131</v>
      </c>
      <c r="C823" s="12" t="str">
        <f t="shared" si="22"/>
        <v>42914131</v>
      </c>
      <c r="D823" s="11" t="s">
        <v>609</v>
      </c>
      <c r="E823" s="11" t="s">
        <v>610</v>
      </c>
      <c r="F823" s="11" t="s">
        <v>495</v>
      </c>
      <c r="G823" s="11">
        <v>0</v>
      </c>
      <c r="T823" s="11">
        <v>4291</v>
      </c>
      <c r="U823" s="11">
        <v>4131</v>
      </c>
      <c r="AW823" t="str">
        <f>IF(Tabela4[[#This Row],[JUSTIFICATIVA]]="","",CONCATENATE("B",Tabela4[[#This Row],[BLOCO]],Tabela4[[#This Row],[UO_COD]]))</f>
        <v/>
      </c>
      <c r="AX823">
        <f>Tabela4[[#This Row],[JUSTIFICATIVA]]</f>
        <v>0</v>
      </c>
    </row>
    <row r="824" spans="1:50" ht="15" customHeight="1">
      <c r="A824" s="11">
        <v>4291</v>
      </c>
      <c r="B824" s="11">
        <v>4132</v>
      </c>
      <c r="C824" s="12" t="str">
        <f t="shared" si="22"/>
        <v>42914132</v>
      </c>
      <c r="D824" s="11" t="s">
        <v>609</v>
      </c>
      <c r="E824" s="11" t="s">
        <v>610</v>
      </c>
      <c r="F824" s="11" t="s">
        <v>495</v>
      </c>
      <c r="G824" s="11">
        <v>0</v>
      </c>
      <c r="T824" s="11">
        <v>4291</v>
      </c>
      <c r="U824" s="11">
        <v>4132</v>
      </c>
      <c r="AW824" t="str">
        <f>IF(Tabela4[[#This Row],[JUSTIFICATIVA]]="","",CONCATENATE("B",Tabela4[[#This Row],[BLOCO]],Tabela4[[#This Row],[UO_COD]]))</f>
        <v/>
      </c>
      <c r="AX824">
        <f>Tabela4[[#This Row],[JUSTIFICATIVA]]</f>
        <v>0</v>
      </c>
    </row>
    <row r="825" spans="1:50" ht="15" customHeight="1">
      <c r="A825" s="11">
        <v>4291</v>
      </c>
      <c r="B825" s="11">
        <v>4133</v>
      </c>
      <c r="C825" s="12" t="str">
        <f t="shared" si="22"/>
        <v>42914133</v>
      </c>
      <c r="D825" s="11" t="s">
        <v>609</v>
      </c>
      <c r="E825" s="11" t="s">
        <v>495</v>
      </c>
      <c r="F825" s="11" t="s">
        <v>535</v>
      </c>
      <c r="G825" s="11">
        <v>0</v>
      </c>
      <c r="T825" s="11">
        <v>4291</v>
      </c>
      <c r="U825" s="11">
        <v>4133</v>
      </c>
      <c r="AW825" t="str">
        <f>IF(Tabela4[[#This Row],[JUSTIFICATIVA]]="","",CONCATENATE("B",Tabela4[[#This Row],[BLOCO]],Tabela4[[#This Row],[UO_COD]]))</f>
        <v/>
      </c>
      <c r="AX825">
        <f>Tabela4[[#This Row],[JUSTIFICATIVA]]</f>
        <v>0</v>
      </c>
    </row>
    <row r="826" spans="1:50" ht="15" customHeight="1">
      <c r="A826" s="11">
        <v>4291</v>
      </c>
      <c r="B826" s="11">
        <v>4134</v>
      </c>
      <c r="C826" s="12" t="str">
        <f t="shared" si="22"/>
        <v>42914134</v>
      </c>
      <c r="D826" s="11" t="s">
        <v>609</v>
      </c>
      <c r="E826" s="11" t="s">
        <v>610</v>
      </c>
      <c r="F826" s="11" t="s">
        <v>535</v>
      </c>
      <c r="G826" s="11">
        <v>0</v>
      </c>
      <c r="T826" s="11">
        <v>4291</v>
      </c>
      <c r="U826" s="11">
        <v>4134</v>
      </c>
      <c r="AW826" t="str">
        <f>IF(Tabela4[[#This Row],[JUSTIFICATIVA]]="","",CONCATENATE("B",Tabela4[[#This Row],[BLOCO]],Tabela4[[#This Row],[UO_COD]]))</f>
        <v/>
      </c>
      <c r="AX826">
        <f>Tabela4[[#This Row],[JUSTIFICATIVA]]</f>
        <v>0</v>
      </c>
    </row>
    <row r="827" spans="1:50" ht="15" customHeight="1">
      <c r="A827" s="11">
        <v>4291</v>
      </c>
      <c r="B827" s="11">
        <v>4135</v>
      </c>
      <c r="C827" s="12" t="str">
        <f t="shared" si="22"/>
        <v>42914135</v>
      </c>
      <c r="D827" s="11" t="s">
        <v>609</v>
      </c>
      <c r="E827" s="11" t="s">
        <v>610</v>
      </c>
      <c r="F827" s="11" t="s">
        <v>535</v>
      </c>
      <c r="G827" s="11">
        <v>0</v>
      </c>
      <c r="T827" s="11">
        <v>4291</v>
      </c>
      <c r="U827" s="11">
        <v>4135</v>
      </c>
      <c r="AW827" t="str">
        <f>IF(Tabela4[[#This Row],[JUSTIFICATIVA]]="","",CONCATENATE("B",Tabela4[[#This Row],[BLOCO]],Tabela4[[#This Row],[UO_COD]]))</f>
        <v/>
      </c>
      <c r="AX827">
        <f>Tabela4[[#This Row],[JUSTIFICATIVA]]</f>
        <v>0</v>
      </c>
    </row>
    <row r="828" spans="1:50" ht="15" customHeight="1">
      <c r="A828" s="11">
        <v>4291</v>
      </c>
      <c r="B828" s="11">
        <v>4136</v>
      </c>
      <c r="C828" s="12" t="str">
        <f t="shared" si="22"/>
        <v>42914136</v>
      </c>
      <c r="D828" s="11" t="s">
        <v>609</v>
      </c>
      <c r="E828" s="11" t="s">
        <v>610</v>
      </c>
      <c r="F828" s="11" t="s">
        <v>535</v>
      </c>
      <c r="G828" s="11">
        <v>0</v>
      </c>
      <c r="T828" s="11">
        <v>4291</v>
      </c>
      <c r="U828" s="11">
        <v>4136</v>
      </c>
      <c r="AW828" t="str">
        <f>IF(Tabela4[[#This Row],[JUSTIFICATIVA]]="","",CONCATENATE("B",Tabela4[[#This Row],[BLOCO]],Tabela4[[#This Row],[UO_COD]]))</f>
        <v/>
      </c>
      <c r="AX828">
        <f>Tabela4[[#This Row],[JUSTIFICATIVA]]</f>
        <v>0</v>
      </c>
    </row>
    <row r="829" spans="1:50" ht="15" customHeight="1">
      <c r="A829" s="11">
        <v>4291</v>
      </c>
      <c r="B829" s="11">
        <v>4137</v>
      </c>
      <c r="C829" s="12" t="str">
        <f t="shared" si="22"/>
        <v>42914137</v>
      </c>
      <c r="D829" s="11" t="s">
        <v>609</v>
      </c>
      <c r="E829" s="11" t="s">
        <v>610</v>
      </c>
      <c r="F829" s="11" t="s">
        <v>535</v>
      </c>
      <c r="G829" s="11">
        <v>0</v>
      </c>
      <c r="T829" s="11">
        <v>4291</v>
      </c>
      <c r="U829" s="11">
        <v>4137</v>
      </c>
      <c r="AW829" t="str">
        <f>IF(Tabela4[[#This Row],[JUSTIFICATIVA]]="","",CONCATENATE("B",Tabela4[[#This Row],[BLOCO]],Tabela4[[#This Row],[UO_COD]]))</f>
        <v/>
      </c>
      <c r="AX829">
        <f>Tabela4[[#This Row],[JUSTIFICATIVA]]</f>
        <v>0</v>
      </c>
    </row>
    <row r="830" spans="1:50" ht="15" customHeight="1">
      <c r="A830" s="11">
        <v>4291</v>
      </c>
      <c r="B830" s="11">
        <v>4143</v>
      </c>
      <c r="C830" s="12" t="str">
        <f t="shared" si="22"/>
        <v>42914143</v>
      </c>
      <c r="D830" s="11" t="s">
        <v>609</v>
      </c>
      <c r="E830" s="11" t="s">
        <v>767</v>
      </c>
      <c r="F830" s="11" t="s">
        <v>768</v>
      </c>
      <c r="G830" s="11">
        <v>0</v>
      </c>
      <c r="T830" s="11">
        <v>4291</v>
      </c>
      <c r="U830" s="11">
        <v>4143</v>
      </c>
      <c r="AW830" t="str">
        <f>IF(Tabela4[[#This Row],[JUSTIFICATIVA]]="","",CONCATENATE("B",Tabela4[[#This Row],[BLOCO]],Tabela4[[#This Row],[UO_COD]]))</f>
        <v/>
      </c>
      <c r="AX830">
        <f>Tabela4[[#This Row],[JUSTIFICATIVA]]</f>
        <v>0</v>
      </c>
    </row>
    <row r="831" spans="1:50" ht="15" customHeight="1">
      <c r="A831" s="11">
        <v>4291</v>
      </c>
      <c r="B831" s="11">
        <v>4144</v>
      </c>
      <c r="C831" s="12" t="str">
        <f t="shared" si="22"/>
        <v>42914144</v>
      </c>
      <c r="D831" s="11" t="s">
        <v>609</v>
      </c>
      <c r="E831" s="11" t="s">
        <v>767</v>
      </c>
      <c r="F831" s="11" t="s">
        <v>768</v>
      </c>
      <c r="G831" s="11">
        <v>0</v>
      </c>
      <c r="T831" s="11">
        <v>4291</v>
      </c>
      <c r="U831" s="11">
        <v>4144</v>
      </c>
      <c r="AW831" t="str">
        <f>IF(Tabela4[[#This Row],[JUSTIFICATIVA]]="","",CONCATENATE("B",Tabela4[[#This Row],[BLOCO]],Tabela4[[#This Row],[UO_COD]]))</f>
        <v/>
      </c>
      <c r="AX831">
        <f>Tabela4[[#This Row],[JUSTIFICATIVA]]</f>
        <v>0</v>
      </c>
    </row>
    <row r="832" spans="1:50" ht="15" customHeight="1">
      <c r="A832" s="11">
        <v>4291</v>
      </c>
      <c r="B832" s="11">
        <v>4145</v>
      </c>
      <c r="C832" s="12" t="str">
        <f t="shared" si="22"/>
        <v>42914145</v>
      </c>
      <c r="D832" s="11" t="s">
        <v>609</v>
      </c>
      <c r="E832" s="11" t="s">
        <v>767</v>
      </c>
      <c r="F832" s="11" t="s">
        <v>768</v>
      </c>
      <c r="G832" s="11">
        <v>0</v>
      </c>
      <c r="T832" s="11">
        <v>4291</v>
      </c>
      <c r="U832" s="11">
        <v>4145</v>
      </c>
      <c r="AW832" t="str">
        <f>IF(Tabela4[[#This Row],[JUSTIFICATIVA]]="","",CONCATENATE("B",Tabela4[[#This Row],[BLOCO]],Tabela4[[#This Row],[UO_COD]]))</f>
        <v/>
      </c>
      <c r="AX832">
        <f>Tabela4[[#This Row],[JUSTIFICATIVA]]</f>
        <v>0</v>
      </c>
    </row>
    <row r="833" spans="1:50" ht="15" customHeight="1">
      <c r="A833" s="11">
        <v>4291</v>
      </c>
      <c r="B833" s="11">
        <v>4146</v>
      </c>
      <c r="C833" s="12" t="str">
        <f t="shared" si="22"/>
        <v>42914146</v>
      </c>
      <c r="D833" s="11" t="s">
        <v>609</v>
      </c>
      <c r="E833" s="11" t="s">
        <v>767</v>
      </c>
      <c r="F833" s="11" t="s">
        <v>768</v>
      </c>
      <c r="G833" s="11">
        <v>0</v>
      </c>
      <c r="T833" s="11">
        <v>4291</v>
      </c>
      <c r="U833" s="11">
        <v>4146</v>
      </c>
      <c r="AW833" t="str">
        <f>IF(Tabela4[[#This Row],[JUSTIFICATIVA]]="","",CONCATENATE("B",Tabela4[[#This Row],[BLOCO]],Tabela4[[#This Row],[UO_COD]]))</f>
        <v/>
      </c>
      <c r="AX833">
        <f>Tabela4[[#This Row],[JUSTIFICATIVA]]</f>
        <v>0</v>
      </c>
    </row>
    <row r="834" spans="1:50" ht="15" customHeight="1">
      <c r="A834" s="11">
        <v>4291</v>
      </c>
      <c r="B834" s="11">
        <v>4147</v>
      </c>
      <c r="C834" s="12" t="str">
        <f t="shared" ref="C834:C897" si="23">CONCATENATE(A834,B834)</f>
        <v>42914147</v>
      </c>
      <c r="D834" s="11" t="s">
        <v>609</v>
      </c>
      <c r="E834" s="11" t="s">
        <v>751</v>
      </c>
      <c r="F834" s="11" t="s">
        <v>768</v>
      </c>
      <c r="G834" s="11">
        <v>0</v>
      </c>
      <c r="T834" s="11">
        <v>4291</v>
      </c>
      <c r="U834" s="11">
        <v>4147</v>
      </c>
      <c r="AW834" t="str">
        <f>IF(Tabela4[[#This Row],[JUSTIFICATIVA]]="","",CONCATENATE("B",Tabela4[[#This Row],[BLOCO]],Tabela4[[#This Row],[UO_COD]]))</f>
        <v/>
      </c>
      <c r="AX834">
        <f>Tabela4[[#This Row],[JUSTIFICATIVA]]</f>
        <v>0</v>
      </c>
    </row>
    <row r="835" spans="1:50" ht="15" customHeight="1">
      <c r="A835" s="11">
        <v>4291</v>
      </c>
      <c r="B835" s="11">
        <v>4148</v>
      </c>
      <c r="C835" s="12" t="str">
        <f t="shared" si="23"/>
        <v>42914148</v>
      </c>
      <c r="D835" s="11" t="s">
        <v>609</v>
      </c>
      <c r="E835" s="11" t="s">
        <v>736</v>
      </c>
      <c r="F835" s="11" t="s">
        <v>773</v>
      </c>
      <c r="G835" s="11">
        <v>0</v>
      </c>
      <c r="T835" s="11">
        <v>4291</v>
      </c>
      <c r="U835" s="11">
        <v>4148</v>
      </c>
      <c r="AW835" t="str">
        <f>IF(Tabela4[[#This Row],[JUSTIFICATIVA]]="","",CONCATENATE("B",Tabela4[[#This Row],[BLOCO]],Tabela4[[#This Row],[UO_COD]]))</f>
        <v/>
      </c>
      <c r="AX835">
        <f>Tabela4[[#This Row],[JUSTIFICATIVA]]</f>
        <v>0</v>
      </c>
    </row>
    <row r="836" spans="1:50" ht="15" customHeight="1">
      <c r="A836" s="11">
        <v>4291</v>
      </c>
      <c r="B836" s="11">
        <v>4149</v>
      </c>
      <c r="C836" s="12" t="str">
        <f t="shared" si="23"/>
        <v>42914149</v>
      </c>
      <c r="D836" s="11" t="s">
        <v>609</v>
      </c>
      <c r="E836" s="11" t="s">
        <v>736</v>
      </c>
      <c r="F836" s="11" t="s">
        <v>773</v>
      </c>
      <c r="G836" s="11">
        <v>0</v>
      </c>
      <c r="T836" s="11">
        <v>4291</v>
      </c>
      <c r="U836" s="11">
        <v>4149</v>
      </c>
      <c r="AW836" t="str">
        <f>IF(Tabela4[[#This Row],[JUSTIFICATIVA]]="","",CONCATENATE("B",Tabela4[[#This Row],[BLOCO]],Tabela4[[#This Row],[UO_COD]]))</f>
        <v/>
      </c>
      <c r="AX836">
        <f>Tabela4[[#This Row],[JUSTIFICATIVA]]</f>
        <v>0</v>
      </c>
    </row>
    <row r="837" spans="1:50" ht="15" customHeight="1">
      <c r="A837" s="11">
        <v>4291</v>
      </c>
      <c r="B837" s="11">
        <v>4241</v>
      </c>
      <c r="C837" s="12" t="str">
        <f t="shared" si="23"/>
        <v>42914241</v>
      </c>
      <c r="D837" s="11" t="s">
        <v>609</v>
      </c>
      <c r="E837" s="11" t="s">
        <v>767</v>
      </c>
      <c r="F837" s="11" t="s">
        <v>505</v>
      </c>
      <c r="G837" s="11">
        <v>0</v>
      </c>
      <c r="T837" s="11">
        <v>4291</v>
      </c>
      <c r="U837" s="11">
        <v>4241</v>
      </c>
      <c r="AW837" t="str">
        <f>IF(Tabela4[[#This Row],[JUSTIFICATIVA]]="","",CONCATENATE("B",Tabela4[[#This Row],[BLOCO]],Tabela4[[#This Row],[UO_COD]]))</f>
        <v/>
      </c>
      <c r="AX837">
        <f>Tabela4[[#This Row],[JUSTIFICATIVA]]</f>
        <v>0</v>
      </c>
    </row>
    <row r="838" spans="1:50" ht="15" customHeight="1">
      <c r="A838" s="11">
        <v>4291</v>
      </c>
      <c r="B838" s="11">
        <v>4458</v>
      </c>
      <c r="C838" s="12" t="str">
        <f t="shared" si="23"/>
        <v>42914458</v>
      </c>
      <c r="D838" s="11" t="s">
        <v>609</v>
      </c>
      <c r="E838" s="11" t="s">
        <v>470</v>
      </c>
      <c r="F838" s="11" t="s">
        <v>771</v>
      </c>
      <c r="G838" s="11">
        <v>0</v>
      </c>
      <c r="T838" s="11">
        <v>4291</v>
      </c>
      <c r="U838" s="11">
        <v>4458</v>
      </c>
      <c r="AW838" t="str">
        <f>IF(Tabela4[[#This Row],[JUSTIFICATIVA]]="","",CONCATENATE("B",Tabela4[[#This Row],[BLOCO]],Tabela4[[#This Row],[UO_COD]]))</f>
        <v/>
      </c>
      <c r="AX838">
        <f>Tabela4[[#This Row],[JUSTIFICATIVA]]</f>
        <v>0</v>
      </c>
    </row>
    <row r="839" spans="1:50" ht="15" customHeight="1">
      <c r="A839" s="11">
        <v>4291</v>
      </c>
      <c r="B839" s="11">
        <v>4490</v>
      </c>
      <c r="C839" s="12" t="str">
        <f t="shared" si="23"/>
        <v>42914490</v>
      </c>
      <c r="D839" s="11" t="s">
        <v>609</v>
      </c>
      <c r="E839" s="11" t="s">
        <v>769</v>
      </c>
      <c r="F839" s="11" t="s">
        <v>678</v>
      </c>
      <c r="G839" s="11">
        <v>0</v>
      </c>
      <c r="T839" s="11">
        <v>4291</v>
      </c>
      <c r="U839" s="11">
        <v>4490</v>
      </c>
      <c r="AW839" t="str">
        <f>IF(Tabela4[[#This Row],[JUSTIFICATIVA]]="","",CONCATENATE("B",Tabela4[[#This Row],[BLOCO]],Tabela4[[#This Row],[UO_COD]]))</f>
        <v/>
      </c>
      <c r="AX839">
        <f>Tabela4[[#This Row],[JUSTIFICATIVA]]</f>
        <v>0</v>
      </c>
    </row>
    <row r="840" spans="1:50" ht="15" customHeight="1">
      <c r="A840" s="11">
        <v>4321</v>
      </c>
      <c r="B840" s="11">
        <v>4436</v>
      </c>
      <c r="C840" s="12" t="str">
        <f t="shared" si="23"/>
        <v>43214436</v>
      </c>
      <c r="D840" s="11" t="s">
        <v>540</v>
      </c>
      <c r="E840" s="11" t="s">
        <v>656</v>
      </c>
      <c r="F840" s="11" t="s">
        <v>659</v>
      </c>
      <c r="G840" s="11">
        <v>0</v>
      </c>
      <c r="T840" s="11">
        <v>4321</v>
      </c>
      <c r="U840" s="11">
        <v>4436</v>
      </c>
      <c r="AW840" t="str">
        <f>IF(Tabela4[[#This Row],[JUSTIFICATIVA]]="","",CONCATENATE("B",Tabela4[[#This Row],[BLOCO]],Tabela4[[#This Row],[UO_COD]]))</f>
        <v/>
      </c>
      <c r="AX840">
        <f>Tabela4[[#This Row],[JUSTIFICATIVA]]</f>
        <v>0</v>
      </c>
    </row>
    <row r="841" spans="1:50" ht="15" customHeight="1">
      <c r="A841" s="11">
        <v>4331</v>
      </c>
      <c r="B841" s="11">
        <v>4471</v>
      </c>
      <c r="C841" s="12" t="str">
        <f t="shared" si="23"/>
        <v>43314471</v>
      </c>
      <c r="D841" s="11" t="s">
        <v>636</v>
      </c>
      <c r="E841" s="11" t="s">
        <v>585</v>
      </c>
      <c r="F841" s="11" t="s">
        <v>754</v>
      </c>
      <c r="G841" s="11">
        <v>0</v>
      </c>
      <c r="T841" s="11">
        <v>4331</v>
      </c>
      <c r="U841" s="11">
        <v>4471</v>
      </c>
      <c r="AW841" t="str">
        <f>IF(Tabela4[[#This Row],[JUSTIFICATIVA]]="","",CONCATENATE("B",Tabela4[[#This Row],[BLOCO]],Tabela4[[#This Row],[UO_COD]]))</f>
        <v/>
      </c>
      <c r="AX841">
        <f>Tabela4[[#This Row],[JUSTIFICATIVA]]</f>
        <v>0</v>
      </c>
    </row>
    <row r="842" spans="1:50" ht="15" customHeight="1">
      <c r="A842" s="11">
        <v>4331</v>
      </c>
      <c r="B842" s="11">
        <v>4518</v>
      </c>
      <c r="C842" s="12" t="str">
        <f t="shared" si="23"/>
        <v>43314518</v>
      </c>
      <c r="D842" s="11" t="s">
        <v>636</v>
      </c>
      <c r="E842" s="11" t="s">
        <v>585</v>
      </c>
      <c r="F842" s="11" t="s">
        <v>754</v>
      </c>
      <c r="G842" s="11">
        <v>0</v>
      </c>
      <c r="T842" s="11">
        <v>4331</v>
      </c>
      <c r="U842" s="11">
        <v>4518</v>
      </c>
      <c r="AW842" t="str">
        <f>IF(Tabela4[[#This Row],[JUSTIFICATIVA]]="","",CONCATENATE("B",Tabela4[[#This Row],[BLOCO]],Tabela4[[#This Row],[UO_COD]]))</f>
        <v/>
      </c>
      <c r="AX842">
        <f>Tabela4[[#This Row],[JUSTIFICATIVA]]</f>
        <v>0</v>
      </c>
    </row>
    <row r="843" spans="1:50" ht="15" customHeight="1">
      <c r="A843" s="11">
        <v>4331</v>
      </c>
      <c r="B843" s="11">
        <v>4529</v>
      </c>
      <c r="C843" s="12" t="str">
        <f t="shared" si="23"/>
        <v>43314529</v>
      </c>
      <c r="D843" s="11" t="s">
        <v>636</v>
      </c>
      <c r="E843" s="11" t="s">
        <v>585</v>
      </c>
      <c r="F843" s="11" t="s">
        <v>754</v>
      </c>
      <c r="G843" s="11">
        <v>0</v>
      </c>
      <c r="T843" s="11">
        <v>4331</v>
      </c>
      <c r="U843" s="11">
        <v>4529</v>
      </c>
      <c r="AW843" t="str">
        <f>IF(Tabela4[[#This Row],[JUSTIFICATIVA]]="","",CONCATENATE("B",Tabela4[[#This Row],[BLOCO]],Tabela4[[#This Row],[UO_COD]]))</f>
        <v/>
      </c>
      <c r="AX843">
        <f>Tabela4[[#This Row],[JUSTIFICATIVA]]</f>
        <v>0</v>
      </c>
    </row>
    <row r="844" spans="1:50" ht="15" customHeight="1">
      <c r="A844" s="11">
        <v>4341</v>
      </c>
      <c r="B844" s="11">
        <v>2500</v>
      </c>
      <c r="C844" s="12" t="str">
        <f t="shared" si="23"/>
        <v>43412500</v>
      </c>
      <c r="D844" s="11" t="s">
        <v>646</v>
      </c>
      <c r="E844" s="11" t="s">
        <v>470</v>
      </c>
      <c r="F844" s="11" t="s">
        <v>461</v>
      </c>
      <c r="G844" s="11">
        <v>0</v>
      </c>
      <c r="T844" s="11">
        <v>4341</v>
      </c>
      <c r="U844" s="11">
        <v>2500</v>
      </c>
      <c r="AW844" t="str">
        <f>IF(Tabela4[[#This Row],[JUSTIFICATIVA]]="","",CONCATENATE("B",Tabela4[[#This Row],[BLOCO]],Tabela4[[#This Row],[UO_COD]]))</f>
        <v/>
      </c>
      <c r="AX844">
        <f>Tabela4[[#This Row],[JUSTIFICATIVA]]</f>
        <v>0</v>
      </c>
    </row>
    <row r="845" spans="1:50" ht="15" customHeight="1">
      <c r="A845" s="11">
        <v>4341</v>
      </c>
      <c r="B845" s="11">
        <v>4064</v>
      </c>
      <c r="C845" s="12" t="str">
        <f t="shared" si="23"/>
        <v>43414064</v>
      </c>
      <c r="D845" s="11" t="s">
        <v>646</v>
      </c>
      <c r="E845" s="11" t="s">
        <v>651</v>
      </c>
      <c r="F845" s="11" t="s">
        <v>652</v>
      </c>
      <c r="G845" s="11">
        <v>0</v>
      </c>
      <c r="T845" s="11">
        <v>4341</v>
      </c>
      <c r="U845" s="11">
        <v>4064</v>
      </c>
      <c r="AW845" t="str">
        <f>IF(Tabela4[[#This Row],[JUSTIFICATIVA]]="","",CONCATENATE("B",Tabela4[[#This Row],[BLOCO]],Tabela4[[#This Row],[UO_COD]]))</f>
        <v/>
      </c>
      <c r="AX845">
        <f>Tabela4[[#This Row],[JUSTIFICATIVA]]</f>
        <v>0</v>
      </c>
    </row>
    <row r="846" spans="1:50" ht="15" customHeight="1">
      <c r="A846" s="11">
        <v>4341</v>
      </c>
      <c r="B846" s="11">
        <v>4151</v>
      </c>
      <c r="C846" s="12" t="str">
        <f t="shared" si="23"/>
        <v>43414151</v>
      </c>
      <c r="D846" s="11" t="s">
        <v>646</v>
      </c>
      <c r="E846" s="11" t="s">
        <v>651</v>
      </c>
      <c r="F846" s="11" t="s">
        <v>452</v>
      </c>
      <c r="G846" s="11">
        <v>0</v>
      </c>
      <c r="T846" s="11">
        <v>4341</v>
      </c>
      <c r="U846" s="11">
        <v>4151</v>
      </c>
      <c r="AW846" t="str">
        <f>IF(Tabela4[[#This Row],[JUSTIFICATIVA]]="","",CONCATENATE("B",Tabela4[[#This Row],[BLOCO]],Tabela4[[#This Row],[UO_COD]]))</f>
        <v/>
      </c>
      <c r="AX846">
        <f>Tabela4[[#This Row],[JUSTIFICATIVA]]</f>
        <v>0</v>
      </c>
    </row>
    <row r="847" spans="1:50" ht="15" customHeight="1">
      <c r="A847" s="11">
        <v>4341</v>
      </c>
      <c r="B847" s="11">
        <v>4258</v>
      </c>
      <c r="C847" s="12" t="str">
        <f t="shared" si="23"/>
        <v>43414258</v>
      </c>
      <c r="D847" s="11" t="s">
        <v>325</v>
      </c>
      <c r="E847" s="11" t="s">
        <v>648</v>
      </c>
      <c r="F847" s="11" t="s">
        <v>649</v>
      </c>
      <c r="G847" s="11">
        <v>0</v>
      </c>
      <c r="T847" s="11">
        <v>4341</v>
      </c>
      <c r="U847" s="11">
        <v>4258</v>
      </c>
      <c r="AW847" t="str">
        <f>IF(Tabela4[[#This Row],[JUSTIFICATIVA]]="","",CONCATENATE("B",Tabela4[[#This Row],[BLOCO]],Tabela4[[#This Row],[UO_COD]]))</f>
        <v/>
      </c>
      <c r="AX847">
        <f>Tabela4[[#This Row],[JUSTIFICATIVA]]</f>
        <v>0</v>
      </c>
    </row>
    <row r="848" spans="1:50" ht="15" customHeight="1">
      <c r="A848" s="11">
        <v>4341</v>
      </c>
      <c r="B848" s="11">
        <v>4263</v>
      </c>
      <c r="C848" s="12" t="str">
        <f t="shared" si="23"/>
        <v>43414263</v>
      </c>
      <c r="D848" s="11" t="s">
        <v>646</v>
      </c>
      <c r="E848" s="11" t="s">
        <v>562</v>
      </c>
      <c r="F848" s="11" t="s">
        <v>734</v>
      </c>
      <c r="G848" s="11">
        <v>0</v>
      </c>
      <c r="T848" s="11">
        <v>4341</v>
      </c>
      <c r="U848" s="11">
        <v>4263</v>
      </c>
      <c r="AW848" t="str">
        <f>IF(Tabela4[[#This Row],[JUSTIFICATIVA]]="","",CONCATENATE("B",Tabela4[[#This Row],[BLOCO]],Tabela4[[#This Row],[UO_COD]]))</f>
        <v/>
      </c>
      <c r="AX848">
        <f>Tabela4[[#This Row],[JUSTIFICATIVA]]</f>
        <v>0</v>
      </c>
    </row>
    <row r="849" spans="1:50" ht="15" customHeight="1">
      <c r="A849" s="11">
        <v>4341</v>
      </c>
      <c r="B849" s="11">
        <v>4264</v>
      </c>
      <c r="C849" s="12" t="str">
        <f t="shared" si="23"/>
        <v>43414264</v>
      </c>
      <c r="D849" s="11" t="s">
        <v>646</v>
      </c>
      <c r="E849" s="11" t="s">
        <v>562</v>
      </c>
      <c r="F849" s="11" t="s">
        <v>734</v>
      </c>
      <c r="G849" s="11">
        <v>0</v>
      </c>
      <c r="T849" s="11">
        <v>4341</v>
      </c>
      <c r="U849" s="11">
        <v>4264</v>
      </c>
      <c r="AW849" t="str">
        <f>IF(Tabela4[[#This Row],[JUSTIFICATIVA]]="","",CONCATENATE("B",Tabela4[[#This Row],[BLOCO]],Tabela4[[#This Row],[UO_COD]]))</f>
        <v/>
      </c>
      <c r="AX849">
        <f>Tabela4[[#This Row],[JUSTIFICATIVA]]</f>
        <v>0</v>
      </c>
    </row>
    <row r="850" spans="1:50" ht="15" customHeight="1">
      <c r="A850" s="11">
        <v>4341</v>
      </c>
      <c r="B850" s="11">
        <v>4392</v>
      </c>
      <c r="C850" s="12" t="str">
        <f t="shared" si="23"/>
        <v>43414392</v>
      </c>
      <c r="D850" s="11" t="s">
        <v>646</v>
      </c>
      <c r="E850" s="11" t="s">
        <v>562</v>
      </c>
      <c r="F850" s="11" t="s">
        <v>652</v>
      </c>
      <c r="G850" s="11">
        <v>0</v>
      </c>
      <c r="T850" s="11">
        <v>4341</v>
      </c>
      <c r="U850" s="11">
        <v>4392</v>
      </c>
      <c r="AW850" t="str">
        <f>IF(Tabela4[[#This Row],[JUSTIFICATIVA]]="","",CONCATENATE("B",Tabela4[[#This Row],[BLOCO]],Tabela4[[#This Row],[UO_COD]]))</f>
        <v/>
      </c>
      <c r="AX850">
        <f>Tabela4[[#This Row],[JUSTIFICATIVA]]</f>
        <v>0</v>
      </c>
    </row>
    <row r="851" spans="1:50" ht="15" customHeight="1">
      <c r="A851" s="11">
        <v>4341</v>
      </c>
      <c r="B851" s="11">
        <v>4413</v>
      </c>
      <c r="C851" s="12" t="str">
        <f t="shared" si="23"/>
        <v>43414413</v>
      </c>
      <c r="D851" s="11" t="s">
        <v>646</v>
      </c>
      <c r="E851" s="11" t="s">
        <v>562</v>
      </c>
      <c r="F851" s="11" t="s">
        <v>652</v>
      </c>
      <c r="G851" s="11">
        <v>0</v>
      </c>
      <c r="T851" s="11">
        <v>4341</v>
      </c>
      <c r="U851" s="11">
        <v>4413</v>
      </c>
      <c r="AW851" t="str">
        <f>IF(Tabela4[[#This Row],[JUSTIFICATIVA]]="","",CONCATENATE("B",Tabela4[[#This Row],[BLOCO]],Tabela4[[#This Row],[UO_COD]]))</f>
        <v/>
      </c>
      <c r="AX851">
        <f>Tabela4[[#This Row],[JUSTIFICATIVA]]</f>
        <v>0</v>
      </c>
    </row>
    <row r="852" spans="1:50" ht="15" customHeight="1">
      <c r="A852" s="11">
        <v>4381</v>
      </c>
      <c r="B852" s="11">
        <v>2029</v>
      </c>
      <c r="C852" s="12" t="str">
        <f t="shared" si="23"/>
        <v>43812029</v>
      </c>
      <c r="D852" s="11" t="s">
        <v>642</v>
      </c>
      <c r="E852" s="11" t="s">
        <v>551</v>
      </c>
      <c r="F852" s="11" t="s">
        <v>461</v>
      </c>
      <c r="G852" s="11">
        <v>0</v>
      </c>
      <c r="T852" s="11">
        <v>4381</v>
      </c>
      <c r="U852" s="11">
        <v>2029</v>
      </c>
      <c r="AW852" t="str">
        <f>IF(Tabela4[[#This Row],[JUSTIFICATIVA]]="","",CONCATENATE("B",Tabela4[[#This Row],[BLOCO]],Tabela4[[#This Row],[UO_COD]]))</f>
        <v/>
      </c>
      <c r="AX852">
        <f>Tabela4[[#This Row],[JUSTIFICATIVA]]</f>
        <v>0</v>
      </c>
    </row>
    <row r="853" spans="1:50" ht="15" customHeight="1">
      <c r="A853" s="11">
        <v>4381</v>
      </c>
      <c r="B853" s="11">
        <v>4201</v>
      </c>
      <c r="C853" s="12" t="str">
        <f t="shared" si="23"/>
        <v>43814201</v>
      </c>
      <c r="D853" s="11" t="s">
        <v>642</v>
      </c>
      <c r="E853" s="11" t="s">
        <v>515</v>
      </c>
      <c r="F853" s="11" t="s">
        <v>774</v>
      </c>
      <c r="G853" s="11">
        <v>0</v>
      </c>
      <c r="T853" s="11">
        <v>4381</v>
      </c>
      <c r="U853" s="11">
        <v>4201</v>
      </c>
      <c r="AW853" t="str">
        <f>IF(Tabela4[[#This Row],[JUSTIFICATIVA]]="","",CONCATENATE("B",Tabela4[[#This Row],[BLOCO]],Tabela4[[#This Row],[UO_COD]]))</f>
        <v/>
      </c>
      <c r="AX853">
        <f>Tabela4[[#This Row],[JUSTIFICATIVA]]</f>
        <v>0</v>
      </c>
    </row>
    <row r="854" spans="1:50" ht="15" customHeight="1">
      <c r="A854" s="11">
        <v>4381</v>
      </c>
      <c r="B854" s="11">
        <v>4209</v>
      </c>
      <c r="C854" s="12" t="str">
        <f t="shared" si="23"/>
        <v>43814209</v>
      </c>
      <c r="D854" s="11" t="s">
        <v>642</v>
      </c>
      <c r="E854" s="11" t="s">
        <v>515</v>
      </c>
      <c r="F854" s="11" t="s">
        <v>774</v>
      </c>
      <c r="G854" s="11">
        <v>0</v>
      </c>
      <c r="T854" s="11">
        <v>4381</v>
      </c>
      <c r="U854" s="11">
        <v>4209</v>
      </c>
      <c r="AW854" t="str">
        <f>IF(Tabela4[[#This Row],[JUSTIFICATIVA]]="","",CONCATENATE("B",Tabela4[[#This Row],[BLOCO]],Tabela4[[#This Row],[UO_COD]]))</f>
        <v/>
      </c>
      <c r="AX854">
        <f>Tabela4[[#This Row],[JUSTIFICATIVA]]</f>
        <v>0</v>
      </c>
    </row>
    <row r="855" spans="1:50" ht="15" customHeight="1">
      <c r="A855" s="11">
        <v>4381</v>
      </c>
      <c r="B855" s="11">
        <v>4210</v>
      </c>
      <c r="C855" s="12" t="str">
        <f t="shared" si="23"/>
        <v>43814210</v>
      </c>
      <c r="D855" s="11" t="s">
        <v>642</v>
      </c>
      <c r="E855" s="11" t="s">
        <v>515</v>
      </c>
      <c r="F855" s="11" t="s">
        <v>774</v>
      </c>
      <c r="G855" s="11">
        <v>0</v>
      </c>
      <c r="T855" s="11">
        <v>4381</v>
      </c>
      <c r="U855" s="11">
        <v>4210</v>
      </c>
      <c r="AW855" t="str">
        <f>IF(Tabela4[[#This Row],[JUSTIFICATIVA]]="","",CONCATENATE("B",Tabela4[[#This Row],[BLOCO]],Tabela4[[#This Row],[UO_COD]]))</f>
        <v/>
      </c>
      <c r="AX855">
        <f>Tabela4[[#This Row],[JUSTIFICATIVA]]</f>
        <v>0</v>
      </c>
    </row>
    <row r="856" spans="1:50" ht="15" customHeight="1">
      <c r="A856" s="11">
        <v>4381</v>
      </c>
      <c r="B856" s="11">
        <v>4211</v>
      </c>
      <c r="C856" s="12" t="str">
        <f t="shared" si="23"/>
        <v>43814211</v>
      </c>
      <c r="D856" s="11" t="s">
        <v>642</v>
      </c>
      <c r="E856" s="11" t="s">
        <v>515</v>
      </c>
      <c r="F856" s="11" t="s">
        <v>774</v>
      </c>
      <c r="G856" s="11">
        <v>0</v>
      </c>
      <c r="T856" s="11">
        <v>4381</v>
      </c>
      <c r="U856" s="11">
        <v>4211</v>
      </c>
      <c r="AW856" t="str">
        <f>IF(Tabela4[[#This Row],[JUSTIFICATIVA]]="","",CONCATENATE("B",Tabela4[[#This Row],[BLOCO]],Tabela4[[#This Row],[UO_COD]]))</f>
        <v/>
      </c>
      <c r="AX856">
        <f>Tabela4[[#This Row],[JUSTIFICATIVA]]</f>
        <v>0</v>
      </c>
    </row>
    <row r="857" spans="1:50" ht="15" customHeight="1">
      <c r="A857" s="11">
        <v>4381</v>
      </c>
      <c r="B857" s="11">
        <v>4382</v>
      </c>
      <c r="C857" s="12" t="str">
        <f t="shared" si="23"/>
        <v>43814382</v>
      </c>
      <c r="D857" s="11" t="s">
        <v>642</v>
      </c>
      <c r="E857" s="11" t="s">
        <v>515</v>
      </c>
      <c r="F857" s="11" t="s">
        <v>774</v>
      </c>
      <c r="G857" s="11">
        <v>0</v>
      </c>
      <c r="T857" s="11">
        <v>4381</v>
      </c>
      <c r="U857" s="11">
        <v>4382</v>
      </c>
      <c r="AW857" t="str">
        <f>IF(Tabela4[[#This Row],[JUSTIFICATIVA]]="","",CONCATENATE("B",Tabela4[[#This Row],[BLOCO]],Tabela4[[#This Row],[UO_COD]]))</f>
        <v/>
      </c>
      <c r="AX857">
        <f>Tabela4[[#This Row],[JUSTIFICATIVA]]</f>
        <v>0</v>
      </c>
    </row>
    <row r="858" spans="1:50" ht="15" customHeight="1">
      <c r="A858" s="11">
        <v>4381</v>
      </c>
      <c r="B858" s="11">
        <v>4526</v>
      </c>
      <c r="C858" s="12" t="str">
        <f t="shared" si="23"/>
        <v>43814526</v>
      </c>
      <c r="D858" s="11" t="s">
        <v>642</v>
      </c>
      <c r="E858" s="11" t="s">
        <v>515</v>
      </c>
      <c r="F858" s="11" t="s">
        <v>774</v>
      </c>
      <c r="G858" s="11">
        <v>0</v>
      </c>
      <c r="T858" s="11">
        <v>4381</v>
      </c>
      <c r="U858" s="11">
        <v>4526</v>
      </c>
      <c r="AW858" t="str">
        <f>IF(Tabela4[[#This Row],[JUSTIFICATIVA]]="","",CONCATENATE("B",Tabela4[[#This Row],[BLOCO]],Tabela4[[#This Row],[UO_COD]]))</f>
        <v/>
      </c>
      <c r="AX858">
        <f>Tabela4[[#This Row],[JUSTIFICATIVA]]</f>
        <v>0</v>
      </c>
    </row>
    <row r="859" spans="1:50" ht="15" customHeight="1">
      <c r="A859" s="11">
        <v>4421</v>
      </c>
      <c r="B859" s="11">
        <v>4179</v>
      </c>
      <c r="C859" s="12" t="str">
        <f t="shared" si="23"/>
        <v>44214179</v>
      </c>
      <c r="D859" s="11" t="s">
        <v>540</v>
      </c>
      <c r="E859" s="11" t="s">
        <v>542</v>
      </c>
      <c r="F859" s="11" t="s">
        <v>674</v>
      </c>
      <c r="G859" s="11">
        <v>0</v>
      </c>
      <c r="T859" s="11">
        <v>4421</v>
      </c>
      <c r="U859" s="11">
        <v>4179</v>
      </c>
      <c r="AW859" t="str">
        <f>IF(Tabela4[[#This Row],[JUSTIFICATIVA]]="","",CONCATENATE("B",Tabela4[[#This Row],[BLOCO]],Tabela4[[#This Row],[UO_COD]]))</f>
        <v/>
      </c>
      <c r="AX859">
        <f>Tabela4[[#This Row],[JUSTIFICATIVA]]</f>
        <v>0</v>
      </c>
    </row>
    <row r="860" spans="1:50" ht="15" customHeight="1">
      <c r="A860" s="11">
        <v>4441</v>
      </c>
      <c r="B860" s="11">
        <v>1009</v>
      </c>
      <c r="C860" s="12" t="str">
        <f t="shared" si="23"/>
        <v>44411009</v>
      </c>
      <c r="D860" s="11" t="s">
        <v>56</v>
      </c>
      <c r="E860" s="11" t="s">
        <v>470</v>
      </c>
      <c r="F860" s="11" t="s">
        <v>775</v>
      </c>
      <c r="G860" s="11">
        <v>0</v>
      </c>
      <c r="T860" s="11">
        <v>4441</v>
      </c>
      <c r="U860" s="11">
        <v>1009</v>
      </c>
      <c r="AW860" t="str">
        <f>IF(Tabela4[[#This Row],[JUSTIFICATIVA]]="","",CONCATENATE("B",Tabela4[[#This Row],[BLOCO]],Tabela4[[#This Row],[UO_COD]]))</f>
        <v/>
      </c>
      <c r="AX860">
        <f>Tabela4[[#This Row],[JUSTIFICATIVA]]</f>
        <v>0</v>
      </c>
    </row>
    <row r="861" spans="1:50" ht="15" customHeight="1">
      <c r="A861" s="11">
        <v>4451</v>
      </c>
      <c r="B861" s="11">
        <v>4256</v>
      </c>
      <c r="C861" s="12" t="str">
        <f t="shared" si="23"/>
        <v>44514256</v>
      </c>
      <c r="D861" s="11" t="s">
        <v>56</v>
      </c>
      <c r="E861" s="11" t="s">
        <v>495</v>
      </c>
      <c r="F861" s="11" t="s">
        <v>776</v>
      </c>
      <c r="G861" s="11">
        <v>0</v>
      </c>
      <c r="T861" s="11">
        <v>4451</v>
      </c>
      <c r="U861" s="11">
        <v>4256</v>
      </c>
      <c r="AW861" t="str">
        <f>IF(Tabela4[[#This Row],[JUSTIFICATIVA]]="","",CONCATENATE("B",Tabela4[[#This Row],[BLOCO]],Tabela4[[#This Row],[UO_COD]]))</f>
        <v/>
      </c>
      <c r="AX861">
        <f>Tabela4[[#This Row],[JUSTIFICATIVA]]</f>
        <v>0</v>
      </c>
    </row>
    <row r="862" spans="1:50" ht="15" customHeight="1">
      <c r="A862" s="11">
        <v>4491</v>
      </c>
      <c r="B862" s="11">
        <v>4360</v>
      </c>
      <c r="C862" s="12" t="str">
        <f t="shared" si="23"/>
        <v>44914360</v>
      </c>
      <c r="D862" s="11" t="s">
        <v>627</v>
      </c>
      <c r="E862" s="11" t="s">
        <v>628</v>
      </c>
      <c r="F862" s="11" t="s">
        <v>632</v>
      </c>
      <c r="G862" s="11">
        <v>1</v>
      </c>
      <c r="T862" s="11">
        <v>4491</v>
      </c>
      <c r="U862" s="11">
        <v>4360</v>
      </c>
      <c r="AW862" t="str">
        <f>IF(Tabela4[[#This Row],[JUSTIFICATIVA]]="","",CONCATENATE("B",Tabela4[[#This Row],[BLOCO]],Tabela4[[#This Row],[UO_COD]]))</f>
        <v/>
      </c>
      <c r="AX862">
        <f>Tabela4[[#This Row],[JUSTIFICATIVA]]</f>
        <v>0</v>
      </c>
    </row>
    <row r="863" spans="1:50" ht="15" customHeight="1">
      <c r="A863" s="11">
        <v>4541</v>
      </c>
      <c r="B863" s="11">
        <v>4349</v>
      </c>
      <c r="C863" s="12" t="str">
        <f t="shared" si="23"/>
        <v>45414349</v>
      </c>
      <c r="D863" s="11" t="s">
        <v>326</v>
      </c>
      <c r="E863" s="11" t="s">
        <v>705</v>
      </c>
      <c r="F863" s="11" t="s">
        <v>777</v>
      </c>
      <c r="G863" s="11">
        <v>0</v>
      </c>
      <c r="T863" s="11">
        <v>4541</v>
      </c>
      <c r="U863" s="11">
        <v>4349</v>
      </c>
      <c r="AW863" t="str">
        <f>IF(Tabela4[[#This Row],[JUSTIFICATIVA]]="","",CONCATENATE("B",Tabela4[[#This Row],[BLOCO]],Tabela4[[#This Row],[UO_COD]]))</f>
        <v/>
      </c>
      <c r="AX863">
        <f>Tabela4[[#This Row],[JUSTIFICATIVA]]</f>
        <v>0</v>
      </c>
    </row>
    <row r="864" spans="1:50" ht="15" customHeight="1">
      <c r="A864" s="11">
        <v>4551</v>
      </c>
      <c r="B864" s="11">
        <v>4404</v>
      </c>
      <c r="C864" s="12" t="str">
        <f t="shared" si="23"/>
        <v>45514404</v>
      </c>
      <c r="D864" s="11" t="s">
        <v>70</v>
      </c>
      <c r="E864" s="11" t="s">
        <v>466</v>
      </c>
      <c r="F864" s="11" t="s">
        <v>714</v>
      </c>
      <c r="G864" s="11">
        <v>0</v>
      </c>
      <c r="T864" s="11">
        <v>4551</v>
      </c>
      <c r="U864" s="11">
        <v>4404</v>
      </c>
      <c r="AW864" t="str">
        <f>IF(Tabela4[[#This Row],[JUSTIFICATIVA]]="","",CONCATENATE("B",Tabela4[[#This Row],[BLOCO]],Tabela4[[#This Row],[UO_COD]]))</f>
        <v/>
      </c>
      <c r="AX864">
        <f>Tabela4[[#This Row],[JUSTIFICATIVA]]</f>
        <v>0</v>
      </c>
    </row>
    <row r="865" spans="1:50" ht="15" customHeight="1">
      <c r="A865" s="11">
        <v>4551</v>
      </c>
      <c r="B865" s="11">
        <v>7004</v>
      </c>
      <c r="C865" s="12" t="str">
        <f t="shared" si="23"/>
        <v>45517004</v>
      </c>
      <c r="D865" s="11" t="s">
        <v>459</v>
      </c>
      <c r="E865" s="11" t="s">
        <v>460</v>
      </c>
      <c r="F865" s="11" t="s">
        <v>461</v>
      </c>
      <c r="G865" s="11">
        <v>0</v>
      </c>
      <c r="T865" s="11">
        <v>4551</v>
      </c>
      <c r="U865" s="11">
        <v>7004</v>
      </c>
      <c r="AW865" t="str">
        <f>IF(Tabela4[[#This Row],[JUSTIFICATIVA]]="","",CONCATENATE("B",Tabela4[[#This Row],[BLOCO]],Tabela4[[#This Row],[UO_COD]]))</f>
        <v/>
      </c>
      <c r="AX865">
        <f>Tabela4[[#This Row],[JUSTIFICATIVA]]</f>
        <v>0</v>
      </c>
    </row>
    <row r="866" spans="1:50" ht="15" customHeight="1">
      <c r="A866" s="11">
        <v>4601</v>
      </c>
      <c r="B866" s="11">
        <v>4180</v>
      </c>
      <c r="C866" s="12" t="str">
        <f t="shared" si="23"/>
        <v>46014180</v>
      </c>
      <c r="D866" s="11" t="s">
        <v>540</v>
      </c>
      <c r="E866" s="11" t="s">
        <v>778</v>
      </c>
      <c r="F866" s="11" t="s">
        <v>674</v>
      </c>
      <c r="G866" s="11">
        <v>0</v>
      </c>
      <c r="T866" s="11">
        <v>4601</v>
      </c>
      <c r="U866" s="11">
        <v>4180</v>
      </c>
      <c r="AW866" t="str">
        <f>IF(Tabela4[[#This Row],[JUSTIFICATIVA]]="","",CONCATENATE("B",Tabela4[[#This Row],[BLOCO]],Tabela4[[#This Row],[UO_COD]]))</f>
        <v/>
      </c>
      <c r="AX866">
        <f>Tabela4[[#This Row],[JUSTIFICATIVA]]</f>
        <v>0</v>
      </c>
    </row>
    <row r="867" spans="1:50" ht="15" customHeight="1">
      <c r="A867" s="11">
        <v>4611</v>
      </c>
      <c r="B867" s="11">
        <v>2056</v>
      </c>
      <c r="C867" s="12" t="str">
        <f t="shared" si="23"/>
        <v>46112056</v>
      </c>
      <c r="D867" s="11" t="s">
        <v>41</v>
      </c>
      <c r="E867" s="11" t="s">
        <v>470</v>
      </c>
      <c r="F867" s="11" t="s">
        <v>779</v>
      </c>
      <c r="G867" s="11">
        <v>0</v>
      </c>
      <c r="T867" s="11">
        <v>4611</v>
      </c>
      <c r="U867" s="11">
        <v>2056</v>
      </c>
      <c r="AW867" t="str">
        <f>IF(Tabela4[[#This Row],[JUSTIFICATIVA]]="","",CONCATENATE("B",Tabela4[[#This Row],[BLOCO]],Tabela4[[#This Row],[UO_COD]]))</f>
        <v/>
      </c>
      <c r="AX867">
        <f>Tabela4[[#This Row],[JUSTIFICATIVA]]</f>
        <v>0</v>
      </c>
    </row>
    <row r="868" spans="1:50" ht="15" customHeight="1">
      <c r="A868" s="11">
        <v>4621</v>
      </c>
      <c r="B868" s="11">
        <v>4408</v>
      </c>
      <c r="C868" s="12" t="str">
        <f t="shared" si="23"/>
        <v>46214408</v>
      </c>
      <c r="D868" s="11" t="s">
        <v>565</v>
      </c>
      <c r="E868" s="11" t="s">
        <v>575</v>
      </c>
      <c r="F868" s="11" t="s">
        <v>780</v>
      </c>
      <c r="G868" s="11">
        <v>0</v>
      </c>
      <c r="T868" s="11">
        <v>4621</v>
      </c>
      <c r="U868" s="11">
        <v>4408</v>
      </c>
      <c r="AW868" t="str">
        <f>IF(Tabela4[[#This Row],[JUSTIFICATIVA]]="","",CONCATENATE("B",Tabela4[[#This Row],[BLOCO]],Tabela4[[#This Row],[UO_COD]]))</f>
        <v/>
      </c>
      <c r="AX868">
        <f>Tabela4[[#This Row],[JUSTIFICATIVA]]</f>
        <v>0</v>
      </c>
    </row>
    <row r="869" spans="1:50" ht="15" customHeight="1">
      <c r="A869" s="11">
        <v>4621</v>
      </c>
      <c r="B869" s="11">
        <v>4444</v>
      </c>
      <c r="C869" s="12" t="str">
        <f t="shared" si="23"/>
        <v>46214444</v>
      </c>
      <c r="D869" s="11" t="s">
        <v>565</v>
      </c>
      <c r="E869" s="11" t="s">
        <v>575</v>
      </c>
      <c r="F869" s="11" t="s">
        <v>780</v>
      </c>
      <c r="G869" s="11">
        <v>0</v>
      </c>
      <c r="T869" s="11">
        <v>4621</v>
      </c>
      <c r="U869" s="11">
        <v>4444</v>
      </c>
      <c r="AW869" t="str">
        <f>IF(Tabela4[[#This Row],[JUSTIFICATIVA]]="","",CONCATENATE("B",Tabela4[[#This Row],[BLOCO]],Tabela4[[#This Row],[UO_COD]]))</f>
        <v/>
      </c>
      <c r="AX869">
        <f>Tabela4[[#This Row],[JUSTIFICATIVA]]</f>
        <v>0</v>
      </c>
    </row>
    <row r="870" spans="1:50" ht="15" customHeight="1">
      <c r="A870" s="11">
        <v>4631</v>
      </c>
      <c r="B870" s="11">
        <v>4128</v>
      </c>
      <c r="C870" s="12" t="str">
        <f t="shared" si="23"/>
        <v>46314128</v>
      </c>
      <c r="D870" s="11" t="s">
        <v>322</v>
      </c>
      <c r="E870" s="11" t="s">
        <v>640</v>
      </c>
      <c r="F870" s="11" t="s">
        <v>641</v>
      </c>
      <c r="G870" s="11">
        <v>0</v>
      </c>
      <c r="T870" s="11">
        <v>4631</v>
      </c>
      <c r="U870" s="11">
        <v>4128</v>
      </c>
      <c r="AW870" t="str">
        <f>IF(Tabela4[[#This Row],[JUSTIFICATIVA]]="","",CONCATENATE("B",Tabela4[[#This Row],[BLOCO]],Tabela4[[#This Row],[UO_COD]]))</f>
        <v/>
      </c>
      <c r="AX870">
        <f>Tabela4[[#This Row],[JUSTIFICATIVA]]</f>
        <v>0</v>
      </c>
    </row>
    <row r="871" spans="1:50" ht="15" customHeight="1">
      <c r="A871" s="11">
        <v>4631</v>
      </c>
      <c r="B871" s="11">
        <v>4139</v>
      </c>
      <c r="C871" s="12" t="str">
        <f t="shared" si="23"/>
        <v>46314139</v>
      </c>
      <c r="D871" s="11" t="s">
        <v>322</v>
      </c>
      <c r="E871" s="11" t="s">
        <v>640</v>
      </c>
      <c r="F871" s="11" t="s">
        <v>641</v>
      </c>
      <c r="G871" s="11">
        <v>0</v>
      </c>
      <c r="T871" s="11">
        <v>4631</v>
      </c>
      <c r="U871" s="11">
        <v>4139</v>
      </c>
      <c r="AW871" t="str">
        <f>IF(Tabela4[[#This Row],[JUSTIFICATIVA]]="","",CONCATENATE("B",Tabela4[[#This Row],[BLOCO]],Tabela4[[#This Row],[UO_COD]]))</f>
        <v/>
      </c>
      <c r="AX871">
        <f>Tabela4[[#This Row],[JUSTIFICATIVA]]</f>
        <v>0</v>
      </c>
    </row>
    <row r="872" spans="1:50" ht="15" customHeight="1">
      <c r="A872" s="11">
        <v>4631</v>
      </c>
      <c r="B872" s="11">
        <v>4213</v>
      </c>
      <c r="C872" s="12" t="str">
        <f t="shared" si="23"/>
        <v>46314213</v>
      </c>
      <c r="D872" s="11" t="s">
        <v>322</v>
      </c>
      <c r="E872" s="11" t="s">
        <v>640</v>
      </c>
      <c r="F872" s="11" t="s">
        <v>641</v>
      </c>
      <c r="G872" s="11">
        <v>0</v>
      </c>
      <c r="T872" s="11">
        <v>4631</v>
      </c>
      <c r="U872" s="11">
        <v>4213</v>
      </c>
      <c r="AW872" t="str">
        <f>IF(Tabela4[[#This Row],[JUSTIFICATIVA]]="","",CONCATENATE("B",Tabela4[[#This Row],[BLOCO]],Tabela4[[#This Row],[UO_COD]]))</f>
        <v/>
      </c>
      <c r="AX872">
        <f>Tabela4[[#This Row],[JUSTIFICATIVA]]</f>
        <v>0</v>
      </c>
    </row>
    <row r="873" spans="1:50" ht="15" customHeight="1">
      <c r="A873" s="11">
        <v>4631</v>
      </c>
      <c r="B873" s="11">
        <v>4214</v>
      </c>
      <c r="C873" s="12" t="str">
        <f t="shared" si="23"/>
        <v>46314214</v>
      </c>
      <c r="D873" s="11" t="s">
        <v>322</v>
      </c>
      <c r="E873" s="11" t="s">
        <v>640</v>
      </c>
      <c r="F873" s="11" t="s">
        <v>641</v>
      </c>
      <c r="G873" s="11">
        <v>0</v>
      </c>
      <c r="T873" s="11">
        <v>4631</v>
      </c>
      <c r="U873" s="11">
        <v>4214</v>
      </c>
      <c r="AW873" t="str">
        <f>IF(Tabela4[[#This Row],[JUSTIFICATIVA]]="","",CONCATENATE("B",Tabela4[[#This Row],[BLOCO]],Tabela4[[#This Row],[UO_COD]]))</f>
        <v/>
      </c>
      <c r="AX873">
        <f>Tabela4[[#This Row],[JUSTIFICATIVA]]</f>
        <v>0</v>
      </c>
    </row>
    <row r="874" spans="1:50" ht="15" customHeight="1">
      <c r="A874" s="11">
        <v>4631</v>
      </c>
      <c r="B874" s="11">
        <v>4215</v>
      </c>
      <c r="C874" s="12" t="str">
        <f t="shared" si="23"/>
        <v>46314215</v>
      </c>
      <c r="D874" s="11" t="s">
        <v>322</v>
      </c>
      <c r="E874" s="11" t="s">
        <v>640</v>
      </c>
      <c r="F874" s="11" t="s">
        <v>641</v>
      </c>
      <c r="G874" s="11">
        <v>0</v>
      </c>
      <c r="T874" s="11">
        <v>4631</v>
      </c>
      <c r="U874" s="11">
        <v>4215</v>
      </c>
      <c r="AW874" t="str">
        <f>IF(Tabela4[[#This Row],[JUSTIFICATIVA]]="","",CONCATENATE("B",Tabela4[[#This Row],[BLOCO]],Tabela4[[#This Row],[UO_COD]]))</f>
        <v/>
      </c>
      <c r="AX874">
        <f>Tabela4[[#This Row],[JUSTIFICATIVA]]</f>
        <v>0</v>
      </c>
    </row>
    <row r="875" spans="1:50" ht="15" customHeight="1">
      <c r="A875" s="11">
        <v>4631</v>
      </c>
      <c r="B875" s="11">
        <v>4216</v>
      </c>
      <c r="C875" s="12" t="str">
        <f t="shared" si="23"/>
        <v>46314216</v>
      </c>
      <c r="D875" s="11" t="s">
        <v>322</v>
      </c>
      <c r="E875" s="11" t="s">
        <v>640</v>
      </c>
      <c r="F875" s="11" t="s">
        <v>641</v>
      </c>
      <c r="G875" s="11">
        <v>0</v>
      </c>
      <c r="T875" s="11">
        <v>4631</v>
      </c>
      <c r="U875" s="11">
        <v>4216</v>
      </c>
      <c r="AW875" t="str">
        <f>IF(Tabela4[[#This Row],[JUSTIFICATIVA]]="","",CONCATENATE("B",Tabela4[[#This Row],[BLOCO]],Tabela4[[#This Row],[UO_COD]]))</f>
        <v/>
      </c>
      <c r="AX875">
        <f>Tabela4[[#This Row],[JUSTIFICATIVA]]</f>
        <v>0</v>
      </c>
    </row>
    <row r="876" spans="1:50" ht="15" customHeight="1">
      <c r="A876" s="11">
        <v>4631</v>
      </c>
      <c r="B876" s="11">
        <v>4217</v>
      </c>
      <c r="C876" s="12" t="str">
        <f t="shared" si="23"/>
        <v>46314217</v>
      </c>
      <c r="D876" s="11" t="s">
        <v>322</v>
      </c>
      <c r="E876" s="11" t="s">
        <v>640</v>
      </c>
      <c r="F876" s="11" t="s">
        <v>641</v>
      </c>
      <c r="G876" s="11">
        <v>0</v>
      </c>
      <c r="T876" s="11">
        <v>4631</v>
      </c>
      <c r="U876" s="11">
        <v>4217</v>
      </c>
      <c r="AW876" t="str">
        <f>IF(Tabela4[[#This Row],[JUSTIFICATIVA]]="","",CONCATENATE("B",Tabela4[[#This Row],[BLOCO]],Tabela4[[#This Row],[UO_COD]]))</f>
        <v/>
      </c>
      <c r="AX876">
        <f>Tabela4[[#This Row],[JUSTIFICATIVA]]</f>
        <v>0</v>
      </c>
    </row>
    <row r="877" spans="1:50" ht="15" customHeight="1">
      <c r="A877" s="11">
        <v>4631</v>
      </c>
      <c r="B877" s="11">
        <v>4218</v>
      </c>
      <c r="C877" s="12" t="str">
        <f t="shared" si="23"/>
        <v>46314218</v>
      </c>
      <c r="D877" s="11" t="s">
        <v>322</v>
      </c>
      <c r="E877" s="11" t="s">
        <v>640</v>
      </c>
      <c r="F877" s="11" t="s">
        <v>641</v>
      </c>
      <c r="G877" s="11">
        <v>0</v>
      </c>
      <c r="T877" s="11">
        <v>4631</v>
      </c>
      <c r="U877" s="11">
        <v>4218</v>
      </c>
      <c r="AW877" t="str">
        <f>IF(Tabela4[[#This Row],[JUSTIFICATIVA]]="","",CONCATENATE("B",Tabela4[[#This Row],[BLOCO]],Tabela4[[#This Row],[UO_COD]]))</f>
        <v/>
      </c>
      <c r="AX877">
        <f>Tabela4[[#This Row],[JUSTIFICATIVA]]</f>
        <v>0</v>
      </c>
    </row>
    <row r="878" spans="1:50" ht="15" customHeight="1">
      <c r="A878" s="11">
        <v>4631</v>
      </c>
      <c r="B878" s="11">
        <v>4219</v>
      </c>
      <c r="C878" s="12" t="str">
        <f t="shared" si="23"/>
        <v>46314219</v>
      </c>
      <c r="D878" s="11" t="s">
        <v>322</v>
      </c>
      <c r="E878" s="11" t="s">
        <v>640</v>
      </c>
      <c r="F878" s="11" t="s">
        <v>641</v>
      </c>
      <c r="G878" s="11">
        <v>0</v>
      </c>
      <c r="T878" s="11">
        <v>4631</v>
      </c>
      <c r="U878" s="11">
        <v>4219</v>
      </c>
      <c r="AW878" t="str">
        <f>IF(Tabela4[[#This Row],[JUSTIFICATIVA]]="","",CONCATENATE("B",Tabela4[[#This Row],[BLOCO]],Tabela4[[#This Row],[UO_COD]]))</f>
        <v/>
      </c>
      <c r="AX878">
        <f>Tabela4[[#This Row],[JUSTIFICATIVA]]</f>
        <v>0</v>
      </c>
    </row>
    <row r="879" spans="1:50" ht="15" customHeight="1">
      <c r="A879" s="11">
        <v>4631</v>
      </c>
      <c r="B879" s="11">
        <v>4220</v>
      </c>
      <c r="C879" s="12" t="str">
        <f t="shared" si="23"/>
        <v>46314220</v>
      </c>
      <c r="D879" s="11" t="s">
        <v>322</v>
      </c>
      <c r="E879" s="11" t="s">
        <v>640</v>
      </c>
      <c r="F879" s="11" t="s">
        <v>641</v>
      </c>
      <c r="G879" s="11">
        <v>0</v>
      </c>
      <c r="T879" s="11">
        <v>4631</v>
      </c>
      <c r="U879" s="11">
        <v>4220</v>
      </c>
      <c r="AW879" t="str">
        <f>IF(Tabela4[[#This Row],[JUSTIFICATIVA]]="","",CONCATENATE("B",Tabela4[[#This Row],[BLOCO]],Tabela4[[#This Row],[UO_COD]]))</f>
        <v/>
      </c>
      <c r="AX879">
        <f>Tabela4[[#This Row],[JUSTIFICATIVA]]</f>
        <v>0</v>
      </c>
    </row>
    <row r="880" spans="1:50" ht="15" customHeight="1">
      <c r="A880" s="11">
        <v>4631</v>
      </c>
      <c r="B880" s="11">
        <v>4221</v>
      </c>
      <c r="C880" s="12" t="str">
        <f t="shared" si="23"/>
        <v>46314221</v>
      </c>
      <c r="D880" s="11" t="s">
        <v>322</v>
      </c>
      <c r="E880" s="11" t="s">
        <v>640</v>
      </c>
      <c r="F880" s="11" t="s">
        <v>641</v>
      </c>
      <c r="G880" s="11">
        <v>0</v>
      </c>
      <c r="T880" s="11">
        <v>4631</v>
      </c>
      <c r="U880" s="11">
        <v>4221</v>
      </c>
      <c r="AW880" t="str">
        <f>IF(Tabela4[[#This Row],[JUSTIFICATIVA]]="","",CONCATENATE("B",Tabela4[[#This Row],[BLOCO]],Tabela4[[#This Row],[UO_COD]]))</f>
        <v/>
      </c>
      <c r="AX880">
        <f>Tabela4[[#This Row],[JUSTIFICATIVA]]</f>
        <v>0</v>
      </c>
    </row>
    <row r="881" spans="1:50" ht="15" customHeight="1">
      <c r="A881" s="11">
        <v>4631</v>
      </c>
      <c r="B881" s="11">
        <v>4223</v>
      </c>
      <c r="C881" s="12" t="str">
        <f t="shared" si="23"/>
        <v>46314223</v>
      </c>
      <c r="D881" s="11" t="s">
        <v>322</v>
      </c>
      <c r="E881" s="11" t="s">
        <v>640</v>
      </c>
      <c r="F881" s="11" t="s">
        <v>641</v>
      </c>
      <c r="G881" s="11">
        <v>0</v>
      </c>
      <c r="T881" s="11">
        <v>4631</v>
      </c>
      <c r="U881" s="11">
        <v>4223</v>
      </c>
      <c r="AW881" t="str">
        <f>IF(Tabela4[[#This Row],[JUSTIFICATIVA]]="","",CONCATENATE("B",Tabela4[[#This Row],[BLOCO]],Tabela4[[#This Row],[UO_COD]]))</f>
        <v/>
      </c>
      <c r="AX881">
        <f>Tabela4[[#This Row],[JUSTIFICATIVA]]</f>
        <v>0</v>
      </c>
    </row>
    <row r="882" spans="1:50" ht="15" customHeight="1">
      <c r="A882" s="11">
        <v>4631</v>
      </c>
      <c r="B882" s="11">
        <v>4224</v>
      </c>
      <c r="C882" s="12" t="str">
        <f t="shared" si="23"/>
        <v>46314224</v>
      </c>
      <c r="D882" s="11" t="s">
        <v>66</v>
      </c>
      <c r="E882" s="11" t="s">
        <v>640</v>
      </c>
      <c r="F882" s="11" t="s">
        <v>641</v>
      </c>
      <c r="G882" s="11">
        <v>0</v>
      </c>
      <c r="T882" s="11">
        <v>4631</v>
      </c>
      <c r="U882" s="11">
        <v>4224</v>
      </c>
      <c r="AW882" t="str">
        <f>IF(Tabela4[[#This Row],[JUSTIFICATIVA]]="","",CONCATENATE("B",Tabela4[[#This Row],[BLOCO]],Tabela4[[#This Row],[UO_COD]]))</f>
        <v/>
      </c>
      <c r="AX882">
        <f>Tabela4[[#This Row],[JUSTIFICATIVA]]</f>
        <v>0</v>
      </c>
    </row>
    <row r="883" spans="1:50" ht="15" customHeight="1">
      <c r="A883" s="11">
        <v>4631</v>
      </c>
      <c r="B883" s="11">
        <v>4225</v>
      </c>
      <c r="C883" s="12" t="str">
        <f t="shared" si="23"/>
        <v>46314225</v>
      </c>
      <c r="D883" s="11" t="s">
        <v>605</v>
      </c>
      <c r="E883" s="11" t="s">
        <v>640</v>
      </c>
      <c r="F883" s="11" t="s">
        <v>641</v>
      </c>
      <c r="G883" s="11">
        <v>0</v>
      </c>
      <c r="T883" s="11">
        <v>4631</v>
      </c>
      <c r="U883" s="11">
        <v>4225</v>
      </c>
      <c r="AW883" t="str">
        <f>IF(Tabela4[[#This Row],[JUSTIFICATIVA]]="","",CONCATENATE("B",Tabela4[[#This Row],[BLOCO]],Tabela4[[#This Row],[UO_COD]]))</f>
        <v/>
      </c>
      <c r="AX883">
        <f>Tabela4[[#This Row],[JUSTIFICATIVA]]</f>
        <v>0</v>
      </c>
    </row>
    <row r="884" spans="1:50" ht="15" customHeight="1">
      <c r="A884" s="11">
        <v>4631</v>
      </c>
      <c r="B884" s="11">
        <v>4226</v>
      </c>
      <c r="C884" s="12" t="str">
        <f t="shared" si="23"/>
        <v>46314226</v>
      </c>
      <c r="D884" s="11" t="s">
        <v>609</v>
      </c>
      <c r="E884" s="11" t="s">
        <v>640</v>
      </c>
      <c r="F884" s="11" t="s">
        <v>641</v>
      </c>
      <c r="G884" s="11">
        <v>0</v>
      </c>
      <c r="T884" s="11">
        <v>4631</v>
      </c>
      <c r="U884" s="11">
        <v>4226</v>
      </c>
      <c r="AW884" t="str">
        <f>IF(Tabela4[[#This Row],[JUSTIFICATIVA]]="","",CONCATENATE("B",Tabela4[[#This Row],[BLOCO]],Tabela4[[#This Row],[UO_COD]]))</f>
        <v/>
      </c>
      <c r="AX884">
        <f>Tabela4[[#This Row],[JUSTIFICATIVA]]</f>
        <v>0</v>
      </c>
    </row>
    <row r="885" spans="1:50" ht="15" customHeight="1">
      <c r="A885" s="11">
        <v>4631</v>
      </c>
      <c r="B885" s="11">
        <v>4334</v>
      </c>
      <c r="C885" s="12" t="str">
        <f t="shared" si="23"/>
        <v>46314334</v>
      </c>
      <c r="D885" s="11" t="s">
        <v>322</v>
      </c>
      <c r="E885" s="11" t="s">
        <v>640</v>
      </c>
      <c r="F885" s="11" t="s">
        <v>641</v>
      </c>
      <c r="G885" s="11">
        <v>0</v>
      </c>
      <c r="T885" s="11">
        <v>4631</v>
      </c>
      <c r="U885" s="11">
        <v>4334</v>
      </c>
      <c r="AW885" t="str">
        <f>IF(Tabela4[[#This Row],[JUSTIFICATIVA]]="","",CONCATENATE("B",Tabela4[[#This Row],[BLOCO]],Tabela4[[#This Row],[UO_COD]]))</f>
        <v/>
      </c>
      <c r="AX885">
        <f>Tabela4[[#This Row],[JUSTIFICATIVA]]</f>
        <v>0</v>
      </c>
    </row>
    <row r="886" spans="1:50" ht="15" customHeight="1">
      <c r="A886" s="11">
        <v>4631</v>
      </c>
      <c r="B886" s="11">
        <v>4401</v>
      </c>
      <c r="C886" s="12" t="str">
        <f t="shared" si="23"/>
        <v>46314401</v>
      </c>
      <c r="D886" s="11" t="s">
        <v>322</v>
      </c>
      <c r="E886" s="11" t="s">
        <v>640</v>
      </c>
      <c r="F886" s="11" t="s">
        <v>641</v>
      </c>
      <c r="G886" s="11">
        <v>0</v>
      </c>
      <c r="T886" s="11">
        <v>4631</v>
      </c>
      <c r="U886" s="11">
        <v>4401</v>
      </c>
      <c r="AW886" t="str">
        <f>IF(Tabela4[[#This Row],[JUSTIFICATIVA]]="","",CONCATENATE("B",Tabela4[[#This Row],[BLOCO]],Tabela4[[#This Row],[UO_COD]]))</f>
        <v/>
      </c>
      <c r="AX886">
        <f>Tabela4[[#This Row],[JUSTIFICATIVA]]</f>
        <v>0</v>
      </c>
    </row>
    <row r="887" spans="1:50" ht="15" customHeight="1">
      <c r="A887" s="11">
        <v>4641</v>
      </c>
      <c r="B887" s="11">
        <v>4432</v>
      </c>
      <c r="C887" s="12" t="str">
        <f t="shared" si="23"/>
        <v>46414432</v>
      </c>
      <c r="D887" s="11" t="s">
        <v>322</v>
      </c>
      <c r="E887" s="11" t="s">
        <v>640</v>
      </c>
      <c r="F887" s="11" t="s">
        <v>641</v>
      </c>
      <c r="G887" s="11">
        <v>0</v>
      </c>
      <c r="T887" s="11">
        <v>4641</v>
      </c>
      <c r="U887" s="11">
        <v>4432</v>
      </c>
      <c r="AW887" t="str">
        <f>IF(Tabela4[[#This Row],[JUSTIFICATIVA]]="","",CONCATENATE("B",Tabela4[[#This Row],[BLOCO]],Tabela4[[#This Row],[UO_COD]]))</f>
        <v/>
      </c>
      <c r="AX887">
        <f>Tabela4[[#This Row],[JUSTIFICATIVA]]</f>
        <v>0</v>
      </c>
    </row>
    <row r="888" spans="1:50" ht="15" customHeight="1">
      <c r="A888" s="11">
        <v>4651</v>
      </c>
      <c r="B888" s="11">
        <v>4502</v>
      </c>
      <c r="C888" s="12" t="str">
        <f t="shared" si="23"/>
        <v>46514502</v>
      </c>
      <c r="D888" s="11" t="s">
        <v>322</v>
      </c>
      <c r="E888" s="11" t="s">
        <v>551</v>
      </c>
      <c r="F888" s="11" t="s">
        <v>780</v>
      </c>
      <c r="G888" s="11">
        <v>0</v>
      </c>
      <c r="T888" s="11">
        <v>4651</v>
      </c>
      <c r="U888" s="11">
        <v>4502</v>
      </c>
      <c r="AW888" t="str">
        <f>IF(Tabela4[[#This Row],[JUSTIFICATIVA]]="","",CONCATENATE("B",Tabela4[[#This Row],[BLOCO]],Tabela4[[#This Row],[UO_COD]]))</f>
        <v/>
      </c>
      <c r="AX888">
        <f>Tabela4[[#This Row],[JUSTIFICATIVA]]</f>
        <v>0</v>
      </c>
    </row>
    <row r="889" spans="1:50" ht="15" customHeight="1">
      <c r="A889" s="11">
        <v>4651</v>
      </c>
      <c r="B889" s="11">
        <v>7038</v>
      </c>
      <c r="C889" s="12" t="str">
        <f t="shared" si="23"/>
        <v>46517038</v>
      </c>
      <c r="D889" s="11" t="s">
        <v>459</v>
      </c>
      <c r="E889" s="11" t="s">
        <v>460</v>
      </c>
      <c r="F889" s="11" t="s">
        <v>461</v>
      </c>
      <c r="G889" s="11">
        <v>0</v>
      </c>
      <c r="T889" s="11">
        <v>4651</v>
      </c>
      <c r="U889" s="11">
        <v>7038</v>
      </c>
      <c r="AW889" t="str">
        <f>IF(Tabela4[[#This Row],[JUSTIFICATIVA]]="","",CONCATENATE("B",Tabela4[[#This Row],[BLOCO]],Tabela4[[#This Row],[UO_COD]]))</f>
        <v/>
      </c>
      <c r="AX889">
        <f>Tabela4[[#This Row],[JUSTIFICATIVA]]</f>
        <v>0</v>
      </c>
    </row>
    <row r="890" spans="1:50" ht="15" customHeight="1">
      <c r="A890" s="11">
        <v>4661</v>
      </c>
      <c r="B890" s="11">
        <v>4541</v>
      </c>
      <c r="C890" s="12" t="str">
        <f t="shared" si="23"/>
        <v>46614541</v>
      </c>
      <c r="D890" s="11" t="s">
        <v>322</v>
      </c>
      <c r="E890" s="11" t="s">
        <v>551</v>
      </c>
      <c r="F890" s="11" t="s">
        <v>574</v>
      </c>
      <c r="G890" s="11">
        <v>0</v>
      </c>
      <c r="T890" s="11">
        <v>4661</v>
      </c>
      <c r="U890" s="11">
        <v>4541</v>
      </c>
      <c r="AW890" t="str">
        <f>IF(Tabela4[[#This Row],[JUSTIFICATIVA]]="","",CONCATENATE("B",Tabela4[[#This Row],[BLOCO]],Tabela4[[#This Row],[UO_COD]]))</f>
        <v/>
      </c>
      <c r="AX890">
        <f>Tabela4[[#This Row],[JUSTIFICATIVA]]</f>
        <v>0</v>
      </c>
    </row>
    <row r="891" spans="1:50" ht="15" customHeight="1">
      <c r="A891" s="11">
        <v>4671</v>
      </c>
      <c r="B891" s="11">
        <v>4549</v>
      </c>
      <c r="C891" s="12" t="str">
        <f t="shared" si="23"/>
        <v>46714549</v>
      </c>
      <c r="D891" s="11" t="s">
        <v>322</v>
      </c>
      <c r="E891" s="11" t="s">
        <v>551</v>
      </c>
      <c r="F891" s="11" t="s">
        <v>574</v>
      </c>
      <c r="G891" s="11">
        <v>0</v>
      </c>
      <c r="T891" s="11">
        <v>4671</v>
      </c>
      <c r="U891" s="11">
        <v>4549</v>
      </c>
      <c r="AW891" t="str">
        <f>IF(Tabela4[[#This Row],[JUSTIFICATIVA]]="","",CONCATENATE("B",Tabela4[[#This Row],[BLOCO]],Tabela4[[#This Row],[UO_COD]]))</f>
        <v/>
      </c>
      <c r="AX891">
        <f>Tabela4[[#This Row],[JUSTIFICATIVA]]</f>
        <v>0</v>
      </c>
    </row>
    <row r="892" spans="1:50" ht="15" customHeight="1">
      <c r="A892" s="11">
        <v>4691</v>
      </c>
      <c r="B892" s="11">
        <v>2071</v>
      </c>
      <c r="C892" s="12" t="str">
        <f t="shared" si="23"/>
        <v>46912071</v>
      </c>
      <c r="D892" s="11" t="s">
        <v>66</v>
      </c>
      <c r="E892" s="11" t="s">
        <v>560</v>
      </c>
      <c r="F892" s="11" t="s">
        <v>657</v>
      </c>
      <c r="G892" s="11">
        <v>0</v>
      </c>
      <c r="T892" s="11">
        <v>4691</v>
      </c>
      <c r="U892" s="11">
        <v>2071</v>
      </c>
      <c r="AW892" t="str">
        <f>IF(Tabela4[[#This Row],[JUSTIFICATIVA]]="","",CONCATENATE("B",Tabela4[[#This Row],[BLOCO]],Tabela4[[#This Row],[UO_COD]]))</f>
        <v/>
      </c>
      <c r="AX892">
        <f>Tabela4[[#This Row],[JUSTIFICATIVA]]</f>
        <v>0</v>
      </c>
    </row>
    <row r="893" spans="1:50" ht="15" customHeight="1">
      <c r="A893" s="11">
        <v>4701</v>
      </c>
      <c r="B893" s="11">
        <v>4152</v>
      </c>
      <c r="C893" s="12" t="str">
        <f t="shared" si="23"/>
        <v>47014152</v>
      </c>
      <c r="D893" s="11" t="s">
        <v>666</v>
      </c>
      <c r="E893" s="11" t="s">
        <v>571</v>
      </c>
      <c r="F893" s="11" t="s">
        <v>667</v>
      </c>
      <c r="G893" s="11">
        <v>0</v>
      </c>
      <c r="T893" s="11">
        <v>4701</v>
      </c>
      <c r="U893" s="11">
        <v>4152</v>
      </c>
      <c r="AW893" t="str">
        <f>IF(Tabela4[[#This Row],[JUSTIFICATIVA]]="","",CONCATENATE("B",Tabela4[[#This Row],[BLOCO]],Tabela4[[#This Row],[UO_COD]]))</f>
        <v/>
      </c>
      <c r="AX893">
        <f>Tabela4[[#This Row],[JUSTIFICATIVA]]</f>
        <v>0</v>
      </c>
    </row>
    <row r="894" spans="1:50" ht="15" customHeight="1">
      <c r="A894" s="11">
        <v>4701</v>
      </c>
      <c r="B894" s="11">
        <v>4159</v>
      </c>
      <c r="C894" s="12" t="str">
        <f t="shared" si="23"/>
        <v>47014159</v>
      </c>
      <c r="D894" s="11" t="s">
        <v>605</v>
      </c>
      <c r="E894" s="11" t="s">
        <v>622</v>
      </c>
      <c r="F894" s="11" t="s">
        <v>668</v>
      </c>
      <c r="G894" s="11">
        <v>1</v>
      </c>
      <c r="T894" s="11">
        <v>4701</v>
      </c>
      <c r="U894" s="11">
        <v>4159</v>
      </c>
      <c r="AW894" t="str">
        <f>IF(Tabela4[[#This Row],[JUSTIFICATIVA]]="","",CONCATENATE("B",Tabela4[[#This Row],[BLOCO]],Tabela4[[#This Row],[UO_COD]]))</f>
        <v/>
      </c>
      <c r="AX894">
        <f>Tabela4[[#This Row],[JUSTIFICATIVA]]</f>
        <v>0</v>
      </c>
    </row>
    <row r="895" spans="1:50" ht="15" customHeight="1">
      <c r="A895" s="11">
        <v>4711</v>
      </c>
      <c r="B895" s="11">
        <v>7004</v>
      </c>
      <c r="C895" s="12" t="str">
        <f t="shared" si="23"/>
        <v>47117004</v>
      </c>
      <c r="D895" s="11" t="s">
        <v>459</v>
      </c>
      <c r="E895" s="11" t="s">
        <v>460</v>
      </c>
      <c r="F895" s="11" t="s">
        <v>461</v>
      </c>
      <c r="G895" s="11">
        <v>0</v>
      </c>
      <c r="T895" s="11">
        <v>4711</v>
      </c>
      <c r="U895" s="11">
        <v>7004</v>
      </c>
      <c r="AW895" t="str">
        <f>IF(Tabela4[[#This Row],[JUSTIFICATIVA]]="","",CONCATENATE("B",Tabela4[[#This Row],[BLOCO]],Tabela4[[#This Row],[UO_COD]]))</f>
        <v/>
      </c>
      <c r="AX895">
        <f>Tabela4[[#This Row],[JUSTIFICATIVA]]</f>
        <v>0</v>
      </c>
    </row>
    <row r="896" spans="1:50" ht="15" customHeight="1">
      <c r="A896" s="11">
        <v>4711</v>
      </c>
      <c r="B896" s="11">
        <v>7005</v>
      </c>
      <c r="C896" s="12" t="str">
        <f t="shared" si="23"/>
        <v>47117005</v>
      </c>
      <c r="D896" s="11" t="s">
        <v>70</v>
      </c>
      <c r="E896" s="11" t="s">
        <v>466</v>
      </c>
      <c r="F896" s="11" t="s">
        <v>461</v>
      </c>
      <c r="G896" s="11">
        <v>0</v>
      </c>
      <c r="T896" s="11">
        <v>4711</v>
      </c>
      <c r="U896" s="11">
        <v>7005</v>
      </c>
      <c r="AW896" t="str">
        <f>IF(Tabela4[[#This Row],[JUSTIFICATIVA]]="","",CONCATENATE("B",Tabela4[[#This Row],[BLOCO]],Tabela4[[#This Row],[UO_COD]]))</f>
        <v/>
      </c>
      <c r="AX896">
        <f>Tabela4[[#This Row],[JUSTIFICATIVA]]</f>
        <v>0</v>
      </c>
    </row>
    <row r="897" spans="1:50" ht="15" customHeight="1">
      <c r="A897" s="11">
        <v>4711</v>
      </c>
      <c r="B897" s="11">
        <v>7008</v>
      </c>
      <c r="C897" s="12" t="str">
        <f t="shared" si="23"/>
        <v>47117008</v>
      </c>
      <c r="D897" s="11" t="s">
        <v>70</v>
      </c>
      <c r="E897" s="11" t="s">
        <v>466</v>
      </c>
      <c r="F897" s="11" t="s">
        <v>461</v>
      </c>
      <c r="G897" s="11">
        <v>0</v>
      </c>
      <c r="T897" s="11">
        <v>4711</v>
      </c>
      <c r="U897" s="11">
        <v>7008</v>
      </c>
      <c r="AW897" t="str">
        <f>IF(Tabela4[[#This Row],[JUSTIFICATIVA]]="","",CONCATENATE("B",Tabela4[[#This Row],[BLOCO]],Tabela4[[#This Row],[UO_COD]]))</f>
        <v/>
      </c>
      <c r="AX897">
        <f>Tabela4[[#This Row],[JUSTIFICATIVA]]</f>
        <v>0</v>
      </c>
    </row>
    <row r="898" spans="1:50" ht="15" customHeight="1">
      <c r="A898" s="11">
        <v>4711</v>
      </c>
      <c r="B898" s="11">
        <v>7009</v>
      </c>
      <c r="C898" s="12" t="str">
        <f t="shared" ref="C898:C960" si="24">CONCATENATE(A898,B898)</f>
        <v>47117009</v>
      </c>
      <c r="D898" s="11" t="s">
        <v>70</v>
      </c>
      <c r="E898" s="11" t="s">
        <v>466</v>
      </c>
      <c r="F898" s="11" t="s">
        <v>461</v>
      </c>
      <c r="G898" s="11">
        <v>0</v>
      </c>
      <c r="T898" s="11">
        <v>4711</v>
      </c>
      <c r="U898" s="11">
        <v>7009</v>
      </c>
      <c r="AW898" t="str">
        <f>IF(Tabela4[[#This Row],[JUSTIFICATIVA]]="","",CONCATENATE("B",Tabela4[[#This Row],[BLOCO]],Tabela4[[#This Row],[UO_COD]]))</f>
        <v/>
      </c>
      <c r="AX898">
        <f>Tabela4[[#This Row],[JUSTIFICATIVA]]</f>
        <v>0</v>
      </c>
    </row>
    <row r="899" spans="1:50" ht="15" customHeight="1">
      <c r="A899" s="11">
        <v>4711</v>
      </c>
      <c r="B899" s="11">
        <v>7011</v>
      </c>
      <c r="C899" s="12" t="str">
        <f t="shared" si="24"/>
        <v>47117011</v>
      </c>
      <c r="D899" s="11" t="s">
        <v>70</v>
      </c>
      <c r="E899" s="11" t="s">
        <v>466</v>
      </c>
      <c r="F899" s="11" t="s">
        <v>461</v>
      </c>
      <c r="G899" s="11">
        <v>0</v>
      </c>
      <c r="T899" s="11">
        <v>4711</v>
      </c>
      <c r="U899" s="11">
        <v>7011</v>
      </c>
      <c r="AW899" t="str">
        <f>IF(Tabela4[[#This Row],[JUSTIFICATIVA]]="","",CONCATENATE("B",Tabela4[[#This Row],[BLOCO]],Tabela4[[#This Row],[UO_COD]]))</f>
        <v/>
      </c>
      <c r="AX899">
        <f>Tabela4[[#This Row],[JUSTIFICATIVA]]</f>
        <v>0</v>
      </c>
    </row>
    <row r="900" spans="1:50" ht="15" customHeight="1">
      <c r="A900" s="11">
        <v>4711</v>
      </c>
      <c r="B900" s="11">
        <v>7012</v>
      </c>
      <c r="C900" s="12" t="str">
        <f t="shared" si="24"/>
        <v>47117012</v>
      </c>
      <c r="D900" s="11" t="s">
        <v>70</v>
      </c>
      <c r="E900" s="11" t="s">
        <v>466</v>
      </c>
      <c r="F900" s="11" t="s">
        <v>461</v>
      </c>
      <c r="G900" s="11">
        <v>0</v>
      </c>
      <c r="T900" s="11">
        <v>4711</v>
      </c>
      <c r="U900" s="11">
        <v>7012</v>
      </c>
      <c r="AW900" t="str">
        <f>IF(Tabela4[[#This Row],[JUSTIFICATIVA]]="","",CONCATENATE("B",Tabela4[[#This Row],[BLOCO]],Tabela4[[#This Row],[UO_COD]]))</f>
        <v/>
      </c>
      <c r="AX900">
        <f>Tabela4[[#This Row],[JUSTIFICATIVA]]</f>
        <v>0</v>
      </c>
    </row>
    <row r="901" spans="1:50" ht="15" customHeight="1">
      <c r="A901" s="11">
        <v>4711</v>
      </c>
      <c r="B901" s="11">
        <v>7014</v>
      </c>
      <c r="C901" s="12" t="str">
        <f t="shared" si="24"/>
        <v>47117014</v>
      </c>
      <c r="D901" s="11" t="s">
        <v>70</v>
      </c>
      <c r="E901" s="11" t="s">
        <v>466</v>
      </c>
      <c r="F901" s="11" t="s">
        <v>461</v>
      </c>
      <c r="G901" s="11">
        <v>0</v>
      </c>
      <c r="T901" s="11">
        <v>4711</v>
      </c>
      <c r="U901" s="11">
        <v>7014</v>
      </c>
      <c r="AW901" t="str">
        <f>IF(Tabela4[[#This Row],[JUSTIFICATIVA]]="","",CONCATENATE("B",Tabela4[[#This Row],[BLOCO]],Tabela4[[#This Row],[UO_COD]]))</f>
        <v/>
      </c>
      <c r="AX901">
        <f>Tabela4[[#This Row],[JUSTIFICATIVA]]</f>
        <v>0</v>
      </c>
    </row>
    <row r="902" spans="1:50">
      <c r="A902">
        <v>4711</v>
      </c>
      <c r="B902">
        <v>7015</v>
      </c>
      <c r="C902" s="12" t="str">
        <f t="shared" si="24"/>
        <v>47117015</v>
      </c>
      <c r="D902" t="s">
        <v>70</v>
      </c>
      <c r="E902" t="s">
        <v>466</v>
      </c>
      <c r="F902" t="s">
        <v>461</v>
      </c>
      <c r="G902">
        <v>0</v>
      </c>
      <c r="T902" s="11">
        <v>4711</v>
      </c>
      <c r="U902" s="11">
        <v>7015</v>
      </c>
      <c r="AW902" t="str">
        <f>IF(Tabela4[[#This Row],[JUSTIFICATIVA]]="","",CONCATENATE("B",Tabela4[[#This Row],[BLOCO]],Tabela4[[#This Row],[UO_COD]]))</f>
        <v/>
      </c>
      <c r="AX902">
        <f>Tabela4[[#This Row],[JUSTIFICATIVA]]</f>
        <v>0</v>
      </c>
    </row>
    <row r="903" spans="1:50">
      <c r="A903">
        <v>4711</v>
      </c>
      <c r="B903">
        <v>7016</v>
      </c>
      <c r="C903" s="12" t="str">
        <f t="shared" si="24"/>
        <v>47117016</v>
      </c>
      <c r="D903" t="s">
        <v>70</v>
      </c>
      <c r="E903" t="s">
        <v>466</v>
      </c>
      <c r="F903" t="s">
        <v>461</v>
      </c>
      <c r="G903">
        <v>0</v>
      </c>
      <c r="T903" s="11">
        <v>4711</v>
      </c>
      <c r="U903" s="11">
        <v>7016</v>
      </c>
      <c r="AW903" t="str">
        <f>IF(Tabela4[[#This Row],[JUSTIFICATIVA]]="","",CONCATENATE("B",Tabela4[[#This Row],[BLOCO]],Tabela4[[#This Row],[UO_COD]]))</f>
        <v/>
      </c>
      <c r="AX903">
        <f>Tabela4[[#This Row],[JUSTIFICATIVA]]</f>
        <v>0</v>
      </c>
    </row>
    <row r="904" spans="1:50">
      <c r="A904">
        <v>4711</v>
      </c>
      <c r="B904">
        <v>7017</v>
      </c>
      <c r="C904" s="12" t="str">
        <f t="shared" si="24"/>
        <v>47117017</v>
      </c>
      <c r="D904" t="s">
        <v>70</v>
      </c>
      <c r="E904" t="s">
        <v>466</v>
      </c>
      <c r="F904" t="s">
        <v>461</v>
      </c>
      <c r="G904">
        <v>0</v>
      </c>
      <c r="T904" s="11">
        <v>4711</v>
      </c>
      <c r="U904" s="11">
        <v>7017</v>
      </c>
      <c r="AW904" t="str">
        <f>IF(Tabela4[[#This Row],[JUSTIFICATIVA]]="","",CONCATENATE("B",Tabela4[[#This Row],[BLOCO]],Tabela4[[#This Row],[UO_COD]]))</f>
        <v/>
      </c>
      <c r="AX904">
        <f>Tabela4[[#This Row],[JUSTIFICATIVA]]</f>
        <v>0</v>
      </c>
    </row>
    <row r="905" spans="1:50">
      <c r="A905">
        <v>4711</v>
      </c>
      <c r="B905">
        <v>7018</v>
      </c>
      <c r="C905" s="12" t="str">
        <f t="shared" si="24"/>
        <v>47117018</v>
      </c>
      <c r="D905" t="s">
        <v>70</v>
      </c>
      <c r="E905" t="s">
        <v>466</v>
      </c>
      <c r="F905" t="s">
        <v>461</v>
      </c>
      <c r="G905">
        <v>0</v>
      </c>
      <c r="T905" s="11">
        <v>4711</v>
      </c>
      <c r="U905" s="11">
        <v>7018</v>
      </c>
      <c r="AW905" t="str">
        <f>IF(Tabela4[[#This Row],[JUSTIFICATIVA]]="","",CONCATENATE("B",Tabela4[[#This Row],[BLOCO]],Tabela4[[#This Row],[UO_COD]]))</f>
        <v/>
      </c>
      <c r="AX905">
        <f>Tabela4[[#This Row],[JUSTIFICATIVA]]</f>
        <v>0</v>
      </c>
    </row>
    <row r="906" spans="1:50">
      <c r="A906">
        <v>4711</v>
      </c>
      <c r="B906">
        <v>7020</v>
      </c>
      <c r="C906" s="12" t="str">
        <f t="shared" si="24"/>
        <v>47117020</v>
      </c>
      <c r="D906" t="s">
        <v>70</v>
      </c>
      <c r="E906" t="s">
        <v>466</v>
      </c>
      <c r="F906" t="s">
        <v>461</v>
      </c>
      <c r="G906">
        <v>0</v>
      </c>
      <c r="T906" s="11">
        <v>4711</v>
      </c>
      <c r="U906" s="11">
        <v>7020</v>
      </c>
      <c r="AW906" t="str">
        <f>IF(Tabela4[[#This Row],[JUSTIFICATIVA]]="","",CONCATENATE("B",Tabela4[[#This Row],[BLOCO]],Tabela4[[#This Row],[UO_COD]]))</f>
        <v/>
      </c>
      <c r="AX906">
        <f>Tabela4[[#This Row],[JUSTIFICATIVA]]</f>
        <v>0</v>
      </c>
    </row>
    <row r="907" spans="1:50">
      <c r="A907">
        <v>4711</v>
      </c>
      <c r="B907">
        <v>7022</v>
      </c>
      <c r="C907" s="12" t="str">
        <f t="shared" si="24"/>
        <v>47117022</v>
      </c>
      <c r="D907" t="s">
        <v>70</v>
      </c>
      <c r="E907" t="s">
        <v>466</v>
      </c>
      <c r="F907" t="s">
        <v>461</v>
      </c>
      <c r="G907">
        <v>0</v>
      </c>
      <c r="T907" s="11">
        <v>4711</v>
      </c>
      <c r="U907" s="11">
        <v>7022</v>
      </c>
      <c r="AW907" t="str">
        <f>IF(Tabela4[[#This Row],[JUSTIFICATIVA]]="","",CONCATENATE("B",Tabela4[[#This Row],[BLOCO]],Tabela4[[#This Row],[UO_COD]]))</f>
        <v/>
      </c>
      <c r="AX907">
        <f>Tabela4[[#This Row],[JUSTIFICATIVA]]</f>
        <v>0</v>
      </c>
    </row>
    <row r="908" spans="1:50">
      <c r="A908">
        <v>4711</v>
      </c>
      <c r="B908">
        <v>7023</v>
      </c>
      <c r="C908" s="12" t="str">
        <f t="shared" si="24"/>
        <v>47117023</v>
      </c>
      <c r="D908" t="s">
        <v>70</v>
      </c>
      <c r="E908" t="s">
        <v>466</v>
      </c>
      <c r="F908" t="s">
        <v>461</v>
      </c>
      <c r="G908">
        <v>0</v>
      </c>
      <c r="T908" s="11">
        <v>4711</v>
      </c>
      <c r="U908" s="11">
        <v>7023</v>
      </c>
      <c r="AW908" t="str">
        <f>IF(Tabela4[[#This Row],[JUSTIFICATIVA]]="","",CONCATENATE("B",Tabela4[[#This Row],[BLOCO]],Tabela4[[#This Row],[UO_COD]]))</f>
        <v/>
      </c>
      <c r="AX908">
        <f>Tabela4[[#This Row],[JUSTIFICATIVA]]</f>
        <v>0</v>
      </c>
    </row>
    <row r="909" spans="1:50">
      <c r="A909">
        <v>4711</v>
      </c>
      <c r="B909">
        <v>7027</v>
      </c>
      <c r="C909" s="12" t="str">
        <f t="shared" si="24"/>
        <v>47117027</v>
      </c>
      <c r="D909" t="s">
        <v>70</v>
      </c>
      <c r="E909" t="s">
        <v>466</v>
      </c>
      <c r="F909" t="s">
        <v>461</v>
      </c>
      <c r="G909">
        <v>0</v>
      </c>
      <c r="T909" s="11">
        <v>4711</v>
      </c>
      <c r="U909" s="11">
        <v>7027</v>
      </c>
      <c r="AW909" t="str">
        <f>IF(Tabela4[[#This Row],[JUSTIFICATIVA]]="","",CONCATENATE("B",Tabela4[[#This Row],[BLOCO]],Tabela4[[#This Row],[UO_COD]]))</f>
        <v/>
      </c>
      <c r="AX909">
        <f>Tabela4[[#This Row],[JUSTIFICATIVA]]</f>
        <v>0</v>
      </c>
    </row>
    <row r="910" spans="1:50">
      <c r="A910">
        <v>4711</v>
      </c>
      <c r="B910">
        <v>7028</v>
      </c>
      <c r="C910" s="12" t="str">
        <f t="shared" si="24"/>
        <v>47117028</v>
      </c>
      <c r="D910" t="s">
        <v>70</v>
      </c>
      <c r="E910" t="s">
        <v>466</v>
      </c>
      <c r="F910" t="s">
        <v>461</v>
      </c>
      <c r="G910">
        <v>0</v>
      </c>
      <c r="T910" s="11">
        <v>4711</v>
      </c>
      <c r="U910" s="11">
        <v>7028</v>
      </c>
      <c r="AW910" t="str">
        <f>IF(Tabela4[[#This Row],[JUSTIFICATIVA]]="","",CONCATENATE("B",Tabela4[[#This Row],[BLOCO]],Tabela4[[#This Row],[UO_COD]]))</f>
        <v/>
      </c>
      <c r="AX910">
        <f>Tabela4[[#This Row],[JUSTIFICATIVA]]</f>
        <v>0</v>
      </c>
    </row>
    <row r="911" spans="1:50">
      <c r="A911">
        <v>4711</v>
      </c>
      <c r="B911">
        <v>7031</v>
      </c>
      <c r="C911" s="12" t="str">
        <f t="shared" si="24"/>
        <v>47117031</v>
      </c>
      <c r="D911" t="s">
        <v>70</v>
      </c>
      <c r="E911" t="s">
        <v>466</v>
      </c>
      <c r="F911" t="s">
        <v>461</v>
      </c>
      <c r="G911">
        <v>0</v>
      </c>
      <c r="T911" s="11">
        <v>4711</v>
      </c>
      <c r="U911" s="11">
        <v>7031</v>
      </c>
      <c r="AW911" t="str">
        <f>IF(Tabela4[[#This Row],[JUSTIFICATIVA]]="","",CONCATENATE("B",Tabela4[[#This Row],[BLOCO]],Tabela4[[#This Row],[UO_COD]]))</f>
        <v/>
      </c>
      <c r="AX911">
        <f>Tabela4[[#This Row],[JUSTIFICATIVA]]</f>
        <v>0</v>
      </c>
    </row>
    <row r="912" spans="1:50">
      <c r="A912">
        <v>4711</v>
      </c>
      <c r="B912">
        <v>7032</v>
      </c>
      <c r="C912" s="12" t="str">
        <f t="shared" si="24"/>
        <v>47117032</v>
      </c>
      <c r="D912" t="s">
        <v>70</v>
      </c>
      <c r="E912" t="s">
        <v>466</v>
      </c>
      <c r="F912" t="s">
        <v>461</v>
      </c>
      <c r="G912">
        <v>0</v>
      </c>
      <c r="T912" s="11">
        <v>4711</v>
      </c>
      <c r="U912" s="11">
        <v>7032</v>
      </c>
      <c r="AW912" t="str">
        <f>IF(Tabela4[[#This Row],[JUSTIFICATIVA]]="","",CONCATENATE("B",Tabela4[[#This Row],[BLOCO]],Tabela4[[#This Row],[UO_COD]]))</f>
        <v/>
      </c>
      <c r="AX912">
        <f>Tabela4[[#This Row],[JUSTIFICATIVA]]</f>
        <v>0</v>
      </c>
    </row>
    <row r="913" spans="1:50">
      <c r="A913">
        <v>4711</v>
      </c>
      <c r="B913">
        <v>7033</v>
      </c>
      <c r="C913" s="12" t="str">
        <f t="shared" si="24"/>
        <v>47117033</v>
      </c>
      <c r="D913" t="s">
        <v>70</v>
      </c>
      <c r="E913" t="s">
        <v>466</v>
      </c>
      <c r="F913" t="s">
        <v>461</v>
      </c>
      <c r="G913">
        <v>0</v>
      </c>
      <c r="T913" s="11">
        <v>4711</v>
      </c>
      <c r="U913" s="11">
        <v>7033</v>
      </c>
      <c r="AW913" t="str">
        <f>IF(Tabela4[[#This Row],[JUSTIFICATIVA]]="","",CONCATENATE("B",Tabela4[[#This Row],[BLOCO]],Tabela4[[#This Row],[UO_COD]]))</f>
        <v/>
      </c>
      <c r="AX913">
        <f>Tabela4[[#This Row],[JUSTIFICATIVA]]</f>
        <v>0</v>
      </c>
    </row>
    <row r="914" spans="1:50">
      <c r="A914">
        <v>4711</v>
      </c>
      <c r="B914">
        <v>7034</v>
      </c>
      <c r="C914" s="12" t="str">
        <f t="shared" si="24"/>
        <v>47117034</v>
      </c>
      <c r="D914" t="s">
        <v>70</v>
      </c>
      <c r="E914" t="s">
        <v>466</v>
      </c>
      <c r="F914" t="s">
        <v>461</v>
      </c>
      <c r="G914">
        <v>0</v>
      </c>
      <c r="T914" s="11">
        <v>4711</v>
      </c>
      <c r="U914" s="11">
        <v>7034</v>
      </c>
      <c r="AW914" t="str">
        <f>IF(Tabela4[[#This Row],[JUSTIFICATIVA]]="","",CONCATENATE("B",Tabela4[[#This Row],[BLOCO]],Tabela4[[#This Row],[UO_COD]]))</f>
        <v/>
      </c>
      <c r="AX914">
        <f>Tabela4[[#This Row],[JUSTIFICATIVA]]</f>
        <v>0</v>
      </c>
    </row>
    <row r="915" spans="1:50">
      <c r="A915">
        <v>4711</v>
      </c>
      <c r="B915">
        <v>7037</v>
      </c>
      <c r="C915" s="12" t="str">
        <f t="shared" si="24"/>
        <v>47117037</v>
      </c>
      <c r="D915" t="s">
        <v>70</v>
      </c>
      <c r="E915" t="s">
        <v>466</v>
      </c>
      <c r="F915" t="s">
        <v>461</v>
      </c>
      <c r="G915">
        <v>0</v>
      </c>
      <c r="T915" s="11">
        <v>4711</v>
      </c>
      <c r="U915" s="11">
        <v>7037</v>
      </c>
      <c r="AW915" t="str">
        <f>IF(Tabela4[[#This Row],[JUSTIFICATIVA]]="","",CONCATENATE("B",Tabela4[[#This Row],[BLOCO]],Tabela4[[#This Row],[UO_COD]]))</f>
        <v/>
      </c>
      <c r="AX915">
        <f>Tabela4[[#This Row],[JUSTIFICATIVA]]</f>
        <v>0</v>
      </c>
    </row>
    <row r="916" spans="1:50">
      <c r="A916">
        <v>4711</v>
      </c>
      <c r="B916">
        <v>7039</v>
      </c>
      <c r="C916" s="12" t="str">
        <f t="shared" si="24"/>
        <v>47117039</v>
      </c>
      <c r="D916" t="s">
        <v>70</v>
      </c>
      <c r="E916" t="s">
        <v>466</v>
      </c>
      <c r="F916" t="s">
        <v>461</v>
      </c>
      <c r="G916">
        <v>0</v>
      </c>
      <c r="T916" s="11">
        <v>4711</v>
      </c>
      <c r="U916" s="11">
        <v>7039</v>
      </c>
      <c r="AW916" t="str">
        <f>IF(Tabela4[[#This Row],[JUSTIFICATIVA]]="","",CONCATENATE("B",Tabela4[[#This Row],[BLOCO]],Tabela4[[#This Row],[UO_COD]]))</f>
        <v/>
      </c>
      <c r="AX916">
        <f>Tabela4[[#This Row],[JUSTIFICATIVA]]</f>
        <v>0</v>
      </c>
    </row>
    <row r="917" spans="1:50">
      <c r="A917">
        <v>4711</v>
      </c>
      <c r="B917">
        <v>7040</v>
      </c>
      <c r="C917" s="12" t="str">
        <f t="shared" si="24"/>
        <v>47117040</v>
      </c>
      <c r="D917" t="s">
        <v>70</v>
      </c>
      <c r="E917" t="s">
        <v>466</v>
      </c>
      <c r="F917" t="s">
        <v>461</v>
      </c>
      <c r="G917">
        <v>0</v>
      </c>
      <c r="T917" s="11">
        <v>4711</v>
      </c>
      <c r="U917" s="11">
        <v>7040</v>
      </c>
      <c r="AW917" t="str">
        <f>IF(Tabela4[[#This Row],[JUSTIFICATIVA]]="","",CONCATENATE("B",Tabela4[[#This Row],[BLOCO]],Tabela4[[#This Row],[UO_COD]]))</f>
        <v/>
      </c>
      <c r="AX917">
        <f>Tabela4[[#This Row],[JUSTIFICATIVA]]</f>
        <v>0</v>
      </c>
    </row>
    <row r="918" spans="1:50">
      <c r="A918">
        <v>4711</v>
      </c>
      <c r="B918">
        <v>7044</v>
      </c>
      <c r="C918" s="12" t="str">
        <f t="shared" si="24"/>
        <v>47117044</v>
      </c>
      <c r="D918" t="s">
        <v>70</v>
      </c>
      <c r="E918" t="s">
        <v>466</v>
      </c>
      <c r="F918" t="s">
        <v>461</v>
      </c>
      <c r="G918">
        <v>0</v>
      </c>
      <c r="T918" s="11">
        <v>4711</v>
      </c>
      <c r="U918" s="11">
        <v>7044</v>
      </c>
      <c r="AW918" t="str">
        <f>IF(Tabela4[[#This Row],[JUSTIFICATIVA]]="","",CONCATENATE("B",Tabela4[[#This Row],[BLOCO]],Tabela4[[#This Row],[UO_COD]]))</f>
        <v/>
      </c>
      <c r="AX918">
        <f>Tabela4[[#This Row],[JUSTIFICATIVA]]</f>
        <v>0</v>
      </c>
    </row>
    <row r="919" spans="1:50">
      <c r="A919">
        <v>4711</v>
      </c>
      <c r="B919">
        <v>7046</v>
      </c>
      <c r="C919" s="12" t="str">
        <f t="shared" si="24"/>
        <v>47117046</v>
      </c>
      <c r="D919" t="s">
        <v>70</v>
      </c>
      <c r="E919" t="s">
        <v>466</v>
      </c>
      <c r="F919" t="s">
        <v>461</v>
      </c>
      <c r="G919">
        <v>0</v>
      </c>
      <c r="T919" s="11">
        <v>4711</v>
      </c>
      <c r="U919" s="11">
        <v>7046</v>
      </c>
      <c r="AW919" t="str">
        <f>IF(Tabela4[[#This Row],[JUSTIFICATIVA]]="","",CONCATENATE("B",Tabela4[[#This Row],[BLOCO]],Tabela4[[#This Row],[UO_COD]]))</f>
        <v/>
      </c>
      <c r="AX919">
        <f>Tabela4[[#This Row],[JUSTIFICATIVA]]</f>
        <v>0</v>
      </c>
    </row>
    <row r="920" spans="1:50">
      <c r="A920">
        <v>4711</v>
      </c>
      <c r="B920">
        <v>7047</v>
      </c>
      <c r="C920" s="12" t="str">
        <f t="shared" si="24"/>
        <v>47117047</v>
      </c>
      <c r="D920" t="s">
        <v>70</v>
      </c>
      <c r="E920" t="s">
        <v>466</v>
      </c>
      <c r="F920" t="s">
        <v>461</v>
      </c>
      <c r="G920">
        <v>0</v>
      </c>
      <c r="T920" s="11">
        <v>4711</v>
      </c>
      <c r="U920" s="11">
        <v>7047</v>
      </c>
      <c r="AW920" t="str">
        <f>IF(Tabela4[[#This Row],[JUSTIFICATIVA]]="","",CONCATENATE("B",Tabela4[[#This Row],[BLOCO]],Tabela4[[#This Row],[UO_COD]]))</f>
        <v/>
      </c>
      <c r="AX920">
        <f>Tabela4[[#This Row],[JUSTIFICATIVA]]</f>
        <v>0</v>
      </c>
    </row>
    <row r="921" spans="1:50">
      <c r="A921">
        <v>4711</v>
      </c>
      <c r="B921">
        <v>7048</v>
      </c>
      <c r="C921" s="12" t="str">
        <f t="shared" si="24"/>
        <v>47117048</v>
      </c>
      <c r="D921" t="s">
        <v>70</v>
      </c>
      <c r="E921" t="s">
        <v>466</v>
      </c>
      <c r="F921" t="s">
        <v>461</v>
      </c>
      <c r="G921">
        <v>0</v>
      </c>
      <c r="T921" s="11">
        <v>4711</v>
      </c>
      <c r="U921" s="11">
        <v>7048</v>
      </c>
      <c r="AW921" t="str">
        <f>IF(Tabela4[[#This Row],[JUSTIFICATIVA]]="","",CONCATENATE("B",Tabela4[[#This Row],[BLOCO]],Tabela4[[#This Row],[UO_COD]]))</f>
        <v/>
      </c>
      <c r="AX921">
        <f>Tabela4[[#This Row],[JUSTIFICATIVA]]</f>
        <v>0</v>
      </c>
    </row>
    <row r="922" spans="1:50">
      <c r="A922">
        <v>4711</v>
      </c>
      <c r="B922">
        <v>7049</v>
      </c>
      <c r="C922" s="12" t="str">
        <f t="shared" si="24"/>
        <v>47117049</v>
      </c>
      <c r="D922" t="s">
        <v>70</v>
      </c>
      <c r="E922" t="s">
        <v>466</v>
      </c>
      <c r="F922" t="s">
        <v>461</v>
      </c>
      <c r="G922">
        <v>0</v>
      </c>
      <c r="T922" s="11">
        <v>4711</v>
      </c>
      <c r="U922" s="11">
        <v>7049</v>
      </c>
      <c r="AW922" t="str">
        <f>IF(Tabela4[[#This Row],[JUSTIFICATIVA]]="","",CONCATENATE("B",Tabela4[[#This Row],[BLOCO]],Tabela4[[#This Row],[UO_COD]]))</f>
        <v/>
      </c>
      <c r="AX922">
        <f>Tabela4[[#This Row],[JUSTIFICATIVA]]</f>
        <v>0</v>
      </c>
    </row>
    <row r="923" spans="1:50">
      <c r="A923">
        <v>4711</v>
      </c>
      <c r="B923">
        <v>7051</v>
      </c>
      <c r="C923" s="12" t="str">
        <f t="shared" si="24"/>
        <v>47117051</v>
      </c>
      <c r="D923" t="s">
        <v>70</v>
      </c>
      <c r="E923" t="s">
        <v>466</v>
      </c>
      <c r="F923" t="s">
        <v>461</v>
      </c>
      <c r="G923">
        <v>0</v>
      </c>
      <c r="T923" s="11">
        <v>4711</v>
      </c>
      <c r="U923" s="11">
        <v>7051</v>
      </c>
      <c r="AW923" t="str">
        <f>IF(Tabela4[[#This Row],[JUSTIFICATIVA]]="","",CONCATENATE("B",Tabela4[[#This Row],[BLOCO]],Tabela4[[#This Row],[UO_COD]]))</f>
        <v/>
      </c>
      <c r="AX923">
        <f>Tabela4[[#This Row],[JUSTIFICATIVA]]</f>
        <v>0</v>
      </c>
    </row>
    <row r="924" spans="1:50">
      <c r="A924">
        <v>4711</v>
      </c>
      <c r="B924">
        <v>7052</v>
      </c>
      <c r="C924" s="12" t="str">
        <f t="shared" si="24"/>
        <v>47117052</v>
      </c>
      <c r="D924" t="s">
        <v>70</v>
      </c>
      <c r="E924" t="s">
        <v>466</v>
      </c>
      <c r="F924" t="s">
        <v>461</v>
      </c>
      <c r="G924">
        <v>0</v>
      </c>
      <c r="T924" s="11">
        <v>4711</v>
      </c>
      <c r="U924" s="11">
        <v>7052</v>
      </c>
      <c r="AW924" t="str">
        <f>IF(Tabela4[[#This Row],[JUSTIFICATIVA]]="","",CONCATENATE("B",Tabela4[[#This Row],[BLOCO]],Tabela4[[#This Row],[UO_COD]]))</f>
        <v/>
      </c>
      <c r="AX924">
        <f>Tabela4[[#This Row],[JUSTIFICATIVA]]</f>
        <v>0</v>
      </c>
    </row>
    <row r="925" spans="1:50">
      <c r="A925">
        <v>4711</v>
      </c>
      <c r="B925">
        <v>7055</v>
      </c>
      <c r="C925" s="12" t="str">
        <f t="shared" si="24"/>
        <v>47117055</v>
      </c>
      <c r="D925" t="s">
        <v>70</v>
      </c>
      <c r="E925" t="s">
        <v>466</v>
      </c>
      <c r="F925" t="s">
        <v>461</v>
      </c>
      <c r="G925">
        <v>0</v>
      </c>
      <c r="T925" s="11">
        <v>4711</v>
      </c>
      <c r="U925" s="11">
        <v>7055</v>
      </c>
      <c r="AW925" t="str">
        <f>IF(Tabela4[[#This Row],[JUSTIFICATIVA]]="","",CONCATENATE("B",Tabela4[[#This Row],[BLOCO]],Tabela4[[#This Row],[UO_COD]]))</f>
        <v/>
      </c>
      <c r="AX925">
        <f>Tabela4[[#This Row],[JUSTIFICATIVA]]</f>
        <v>0</v>
      </c>
    </row>
    <row r="926" spans="1:50">
      <c r="A926">
        <v>4711</v>
      </c>
      <c r="B926">
        <v>7056</v>
      </c>
      <c r="C926" s="12" t="str">
        <f t="shared" si="24"/>
        <v>47117056</v>
      </c>
      <c r="D926" t="s">
        <v>70</v>
      </c>
      <c r="E926" t="s">
        <v>466</v>
      </c>
      <c r="F926" t="s">
        <v>461</v>
      </c>
      <c r="G926">
        <v>0</v>
      </c>
      <c r="T926" s="11">
        <v>4711</v>
      </c>
      <c r="U926" s="11">
        <v>7056</v>
      </c>
      <c r="AW926" t="str">
        <f>IF(Tabela4[[#This Row],[JUSTIFICATIVA]]="","",CONCATENATE("B",Tabela4[[#This Row],[BLOCO]],Tabela4[[#This Row],[UO_COD]]))</f>
        <v/>
      </c>
      <c r="AX926">
        <f>Tabela4[[#This Row],[JUSTIFICATIVA]]</f>
        <v>0</v>
      </c>
    </row>
    <row r="927" spans="1:50">
      <c r="A927">
        <v>4711</v>
      </c>
      <c r="B927">
        <v>7058</v>
      </c>
      <c r="C927" s="12" t="str">
        <f t="shared" si="24"/>
        <v>47117058</v>
      </c>
      <c r="D927" t="s">
        <v>70</v>
      </c>
      <c r="E927" t="s">
        <v>466</v>
      </c>
      <c r="F927" t="s">
        <v>461</v>
      </c>
      <c r="G927">
        <v>0</v>
      </c>
      <c r="T927" s="11">
        <v>4711</v>
      </c>
      <c r="U927" s="11">
        <v>7058</v>
      </c>
      <c r="AW927" t="str">
        <f>IF(Tabela4[[#This Row],[JUSTIFICATIVA]]="","",CONCATENATE("B",Tabela4[[#This Row],[BLOCO]],Tabela4[[#This Row],[UO_COD]]))</f>
        <v/>
      </c>
      <c r="AX927">
        <f>Tabela4[[#This Row],[JUSTIFICATIVA]]</f>
        <v>0</v>
      </c>
    </row>
    <row r="928" spans="1:50">
      <c r="A928">
        <v>4711</v>
      </c>
      <c r="B928">
        <v>7059</v>
      </c>
      <c r="C928" s="12" t="str">
        <f t="shared" si="24"/>
        <v>47117059</v>
      </c>
      <c r="D928" t="s">
        <v>70</v>
      </c>
      <c r="E928" t="s">
        <v>466</v>
      </c>
      <c r="F928" t="s">
        <v>461</v>
      </c>
      <c r="G928">
        <v>0</v>
      </c>
      <c r="T928" s="11">
        <v>4711</v>
      </c>
      <c r="U928" s="11">
        <v>7059</v>
      </c>
      <c r="AW928" t="str">
        <f>IF(Tabela4[[#This Row],[JUSTIFICATIVA]]="","",CONCATENATE("B",Tabela4[[#This Row],[BLOCO]],Tabela4[[#This Row],[UO_COD]]))</f>
        <v/>
      </c>
      <c r="AX928">
        <f>Tabela4[[#This Row],[JUSTIFICATIVA]]</f>
        <v>0</v>
      </c>
    </row>
    <row r="929" spans="1:50">
      <c r="A929">
        <v>4711</v>
      </c>
      <c r="B929">
        <v>7060</v>
      </c>
      <c r="C929" s="12" t="str">
        <f t="shared" si="24"/>
        <v>47117060</v>
      </c>
      <c r="D929" t="s">
        <v>70</v>
      </c>
      <c r="E929" t="s">
        <v>466</v>
      </c>
      <c r="F929" t="s">
        <v>461</v>
      </c>
      <c r="G929">
        <v>0</v>
      </c>
      <c r="T929" s="11">
        <v>4711</v>
      </c>
      <c r="U929" s="11">
        <v>7060</v>
      </c>
      <c r="AW929" t="str">
        <f>IF(Tabela4[[#This Row],[JUSTIFICATIVA]]="","",CONCATENATE("B",Tabela4[[#This Row],[BLOCO]],Tabela4[[#This Row],[UO_COD]]))</f>
        <v/>
      </c>
      <c r="AX929">
        <f>Tabela4[[#This Row],[JUSTIFICATIVA]]</f>
        <v>0</v>
      </c>
    </row>
    <row r="930" spans="1:50">
      <c r="A930">
        <v>4711</v>
      </c>
      <c r="B930">
        <v>7061</v>
      </c>
      <c r="C930" s="12" t="str">
        <f t="shared" si="24"/>
        <v>47117061</v>
      </c>
      <c r="D930" t="s">
        <v>70</v>
      </c>
      <c r="E930" t="s">
        <v>466</v>
      </c>
      <c r="F930" t="s">
        <v>461</v>
      </c>
      <c r="G930">
        <v>0</v>
      </c>
      <c r="T930" s="11">
        <v>4711</v>
      </c>
      <c r="U930" s="11">
        <v>7061</v>
      </c>
      <c r="AW930" t="str">
        <f>IF(Tabela4[[#This Row],[JUSTIFICATIVA]]="","",CONCATENATE("B",Tabela4[[#This Row],[BLOCO]],Tabela4[[#This Row],[UO_COD]]))</f>
        <v/>
      </c>
      <c r="AX930">
        <f>Tabela4[[#This Row],[JUSTIFICATIVA]]</f>
        <v>0</v>
      </c>
    </row>
    <row r="931" spans="1:50">
      <c r="A931">
        <v>4711</v>
      </c>
      <c r="B931">
        <v>7063</v>
      </c>
      <c r="C931" s="12" t="str">
        <f t="shared" si="24"/>
        <v>47117063</v>
      </c>
      <c r="D931" t="s">
        <v>70</v>
      </c>
      <c r="E931" t="s">
        <v>466</v>
      </c>
      <c r="F931" t="s">
        <v>461</v>
      </c>
      <c r="G931">
        <v>0</v>
      </c>
      <c r="T931" s="11">
        <v>4711</v>
      </c>
      <c r="U931" s="11">
        <v>7063</v>
      </c>
      <c r="AW931" t="str">
        <f>IF(Tabela4[[#This Row],[JUSTIFICATIVA]]="","",CONCATENATE("B",Tabela4[[#This Row],[BLOCO]],Tabela4[[#This Row],[UO_COD]]))</f>
        <v/>
      </c>
      <c r="AX931">
        <f>Tabela4[[#This Row],[JUSTIFICATIVA]]</f>
        <v>0</v>
      </c>
    </row>
    <row r="932" spans="1:50">
      <c r="A932">
        <v>4711</v>
      </c>
      <c r="B932">
        <v>7064</v>
      </c>
      <c r="C932" s="12" t="str">
        <f t="shared" si="24"/>
        <v>47117064</v>
      </c>
      <c r="D932" t="s">
        <v>70</v>
      </c>
      <c r="E932" t="s">
        <v>466</v>
      </c>
      <c r="F932" t="s">
        <v>461</v>
      </c>
      <c r="G932">
        <v>0</v>
      </c>
      <c r="T932" s="11">
        <v>4711</v>
      </c>
      <c r="U932" s="11">
        <v>7064</v>
      </c>
      <c r="AW932" t="str">
        <f>IF(Tabela4[[#This Row],[JUSTIFICATIVA]]="","",CONCATENATE("B",Tabela4[[#This Row],[BLOCO]],Tabela4[[#This Row],[UO_COD]]))</f>
        <v/>
      </c>
      <c r="AX932">
        <f>Tabela4[[#This Row],[JUSTIFICATIVA]]</f>
        <v>0</v>
      </c>
    </row>
    <row r="933" spans="1:50">
      <c r="A933">
        <v>4711</v>
      </c>
      <c r="B933">
        <v>7065</v>
      </c>
      <c r="C933" s="12" t="str">
        <f t="shared" si="24"/>
        <v>47117065</v>
      </c>
      <c r="D933" t="s">
        <v>70</v>
      </c>
      <c r="E933" t="s">
        <v>466</v>
      </c>
      <c r="F933" t="s">
        <v>461</v>
      </c>
      <c r="G933">
        <v>0</v>
      </c>
      <c r="T933" s="11">
        <v>4711</v>
      </c>
      <c r="U933" s="11">
        <v>7065</v>
      </c>
      <c r="AW933" t="str">
        <f>IF(Tabela4[[#This Row],[JUSTIFICATIVA]]="","",CONCATENATE("B",Tabela4[[#This Row],[BLOCO]],Tabela4[[#This Row],[UO_COD]]))</f>
        <v/>
      </c>
      <c r="AX933">
        <f>Tabela4[[#This Row],[JUSTIFICATIVA]]</f>
        <v>0</v>
      </c>
    </row>
    <row r="934" spans="1:50">
      <c r="A934">
        <v>4711</v>
      </c>
      <c r="B934">
        <v>7088</v>
      </c>
      <c r="C934" s="12" t="str">
        <f t="shared" si="24"/>
        <v>47117088</v>
      </c>
      <c r="D934" t="s">
        <v>70</v>
      </c>
      <c r="E934" t="s">
        <v>466</v>
      </c>
      <c r="F934" t="s">
        <v>461</v>
      </c>
      <c r="G934">
        <v>0</v>
      </c>
      <c r="T934" s="11">
        <v>4711</v>
      </c>
      <c r="U934" s="11">
        <v>7088</v>
      </c>
      <c r="AW934" t="str">
        <f>IF(Tabela4[[#This Row],[JUSTIFICATIVA]]="","",CONCATENATE("B",Tabela4[[#This Row],[BLOCO]],Tabela4[[#This Row],[UO_COD]]))</f>
        <v/>
      </c>
      <c r="AX934">
        <f>Tabela4[[#This Row],[JUSTIFICATIVA]]</f>
        <v>0</v>
      </c>
    </row>
    <row r="935" spans="1:50">
      <c r="A935">
        <v>4711</v>
      </c>
      <c r="B935">
        <v>7089</v>
      </c>
      <c r="C935" s="12" t="str">
        <f t="shared" si="24"/>
        <v>47117089</v>
      </c>
      <c r="D935" t="s">
        <v>70</v>
      </c>
      <c r="E935" t="s">
        <v>466</v>
      </c>
      <c r="F935" t="s">
        <v>461</v>
      </c>
      <c r="G935">
        <v>0</v>
      </c>
      <c r="T935" s="11">
        <v>4711</v>
      </c>
      <c r="U935" s="11">
        <v>7089</v>
      </c>
      <c r="AW935" t="str">
        <f>IF(Tabela4[[#This Row],[JUSTIFICATIVA]]="","",CONCATENATE("B",Tabela4[[#This Row],[BLOCO]],Tabela4[[#This Row],[UO_COD]]))</f>
        <v/>
      </c>
      <c r="AX935">
        <f>Tabela4[[#This Row],[JUSTIFICATIVA]]</f>
        <v>0</v>
      </c>
    </row>
    <row r="936" spans="1:50">
      <c r="A936">
        <v>4711</v>
      </c>
      <c r="B936">
        <v>7091</v>
      </c>
      <c r="C936" s="12" t="str">
        <f t="shared" si="24"/>
        <v>47117091</v>
      </c>
      <c r="D936" t="s">
        <v>70</v>
      </c>
      <c r="E936" t="s">
        <v>466</v>
      </c>
      <c r="F936" t="s">
        <v>461</v>
      </c>
      <c r="G936">
        <v>0</v>
      </c>
      <c r="T936" s="11">
        <v>4711</v>
      </c>
      <c r="U936" s="11">
        <v>7091</v>
      </c>
      <c r="AW936" t="str">
        <f>IF(Tabela4[[#This Row],[JUSTIFICATIVA]]="","",CONCATENATE("B",Tabela4[[#This Row],[BLOCO]],Tabela4[[#This Row],[UO_COD]]))</f>
        <v/>
      </c>
      <c r="AX936">
        <f>Tabela4[[#This Row],[JUSTIFICATIVA]]</f>
        <v>0</v>
      </c>
    </row>
    <row r="937" spans="1:50">
      <c r="A937">
        <v>4711</v>
      </c>
      <c r="B937">
        <v>7094</v>
      </c>
      <c r="C937" s="12" t="str">
        <f t="shared" si="24"/>
        <v>47117094</v>
      </c>
      <c r="D937" t="s">
        <v>70</v>
      </c>
      <c r="E937" t="s">
        <v>466</v>
      </c>
      <c r="F937" t="s">
        <v>461</v>
      </c>
      <c r="G937">
        <v>0</v>
      </c>
      <c r="T937" s="11">
        <v>4711</v>
      </c>
      <c r="U937" s="11">
        <v>7094</v>
      </c>
      <c r="AW937" t="str">
        <f>IF(Tabela4[[#This Row],[JUSTIFICATIVA]]="","",CONCATENATE("B",Tabela4[[#This Row],[BLOCO]],Tabela4[[#This Row],[UO_COD]]))</f>
        <v/>
      </c>
      <c r="AX937">
        <f>Tabela4[[#This Row],[JUSTIFICATIVA]]</f>
        <v>0</v>
      </c>
    </row>
    <row r="938" spans="1:50">
      <c r="A938">
        <v>4711</v>
      </c>
      <c r="B938">
        <v>7096</v>
      </c>
      <c r="C938" s="12" t="str">
        <f t="shared" si="24"/>
        <v>47117096</v>
      </c>
      <c r="D938" t="s">
        <v>70</v>
      </c>
      <c r="E938" t="s">
        <v>466</v>
      </c>
      <c r="F938" t="s">
        <v>461</v>
      </c>
      <c r="G938">
        <v>0</v>
      </c>
      <c r="T938" s="11">
        <v>4711</v>
      </c>
      <c r="U938" s="11">
        <v>7096</v>
      </c>
      <c r="AW938" t="str">
        <f>IF(Tabela4[[#This Row],[JUSTIFICATIVA]]="","",CONCATENATE("B",Tabela4[[#This Row],[BLOCO]],Tabela4[[#This Row],[UO_COD]]))</f>
        <v/>
      </c>
      <c r="AX938">
        <f>Tabela4[[#This Row],[JUSTIFICATIVA]]</f>
        <v>0</v>
      </c>
    </row>
    <row r="939" spans="1:50">
      <c r="A939">
        <v>4711</v>
      </c>
      <c r="B939">
        <v>7104</v>
      </c>
      <c r="C939" s="12" t="str">
        <f t="shared" si="24"/>
        <v>47117104</v>
      </c>
      <c r="D939" t="s">
        <v>70</v>
      </c>
      <c r="E939" t="s">
        <v>466</v>
      </c>
      <c r="F939" t="s">
        <v>461</v>
      </c>
      <c r="G939">
        <v>0</v>
      </c>
      <c r="T939" s="11">
        <v>4711</v>
      </c>
      <c r="U939" s="11">
        <v>7104</v>
      </c>
      <c r="AW939" t="str">
        <f>IF(Tabela4[[#This Row],[JUSTIFICATIVA]]="","",CONCATENATE("B",Tabela4[[#This Row],[BLOCO]],Tabela4[[#This Row],[UO_COD]]))</f>
        <v/>
      </c>
      <c r="AX939">
        <f>Tabela4[[#This Row],[JUSTIFICATIVA]]</f>
        <v>0</v>
      </c>
    </row>
    <row r="940" spans="1:50">
      <c r="A940">
        <v>4711</v>
      </c>
      <c r="B940">
        <v>7105</v>
      </c>
      <c r="C940" s="12" t="str">
        <f t="shared" si="24"/>
        <v>47117105</v>
      </c>
      <c r="D940" t="s">
        <v>70</v>
      </c>
      <c r="E940" t="s">
        <v>466</v>
      </c>
      <c r="F940" t="s">
        <v>461</v>
      </c>
      <c r="G940">
        <v>0</v>
      </c>
      <c r="T940" s="11">
        <v>4711</v>
      </c>
      <c r="U940" s="11">
        <v>7105</v>
      </c>
      <c r="AW940" t="str">
        <f>IF(Tabela4[[#This Row],[JUSTIFICATIVA]]="","",CONCATENATE("B",Tabela4[[#This Row],[BLOCO]],Tabela4[[#This Row],[UO_COD]]))</f>
        <v/>
      </c>
      <c r="AX940">
        <f>Tabela4[[#This Row],[JUSTIFICATIVA]]</f>
        <v>0</v>
      </c>
    </row>
    <row r="941" spans="1:50">
      <c r="A941">
        <v>4711</v>
      </c>
      <c r="B941">
        <v>7205</v>
      </c>
      <c r="C941" s="12" t="str">
        <f t="shared" si="24"/>
        <v>47117205</v>
      </c>
      <c r="D941" t="s">
        <v>70</v>
      </c>
      <c r="E941" t="s">
        <v>466</v>
      </c>
      <c r="F941" t="s">
        <v>461</v>
      </c>
      <c r="G941">
        <v>0</v>
      </c>
      <c r="T941" s="11">
        <v>4711</v>
      </c>
      <c r="U941" s="11">
        <v>7205</v>
      </c>
      <c r="AW941" t="str">
        <f>IF(Tabela4[[#This Row],[JUSTIFICATIVA]]="","",CONCATENATE("B",Tabela4[[#This Row],[BLOCO]],Tabela4[[#This Row],[UO_COD]]))</f>
        <v/>
      </c>
      <c r="AX941">
        <f>Tabela4[[#This Row],[JUSTIFICATIVA]]</f>
        <v>0</v>
      </c>
    </row>
    <row r="942" spans="1:50">
      <c r="A942">
        <v>4711</v>
      </c>
      <c r="B942">
        <v>7209</v>
      </c>
      <c r="C942" s="12" t="str">
        <f t="shared" si="24"/>
        <v>47117209</v>
      </c>
      <c r="D942" t="s">
        <v>70</v>
      </c>
      <c r="E942" t="s">
        <v>466</v>
      </c>
      <c r="F942" t="s">
        <v>461</v>
      </c>
      <c r="G942">
        <v>0</v>
      </c>
      <c r="T942" s="11">
        <v>4711</v>
      </c>
      <c r="U942" s="11">
        <v>7209</v>
      </c>
      <c r="AW942" t="str">
        <f>IF(Tabela4[[#This Row],[JUSTIFICATIVA]]="","",CONCATENATE("B",Tabela4[[#This Row],[BLOCO]],Tabela4[[#This Row],[UO_COD]]))</f>
        <v/>
      </c>
      <c r="AX942">
        <f>Tabela4[[#This Row],[JUSTIFICATIVA]]</f>
        <v>0</v>
      </c>
    </row>
    <row r="943" spans="1:50">
      <c r="A943">
        <v>4711</v>
      </c>
      <c r="B943">
        <v>7225</v>
      </c>
      <c r="C943" s="12" t="str">
        <f t="shared" si="24"/>
        <v>47117225</v>
      </c>
      <c r="D943" t="s">
        <v>70</v>
      </c>
      <c r="E943" t="s">
        <v>466</v>
      </c>
      <c r="F943" t="s">
        <v>461</v>
      </c>
      <c r="G943">
        <v>0</v>
      </c>
      <c r="T943" s="11">
        <v>4711</v>
      </c>
      <c r="U943" s="11">
        <v>7225</v>
      </c>
      <c r="AW943" t="str">
        <f>IF(Tabela4[[#This Row],[JUSTIFICATIVA]]="","",CONCATENATE("B",Tabela4[[#This Row],[BLOCO]],Tabela4[[#This Row],[UO_COD]]))</f>
        <v/>
      </c>
      <c r="AX943">
        <f>Tabela4[[#This Row],[JUSTIFICATIVA]]</f>
        <v>0</v>
      </c>
    </row>
    <row r="944" spans="1:50">
      <c r="A944">
        <v>4711</v>
      </c>
      <c r="B944">
        <v>7312</v>
      </c>
      <c r="C944" s="12" t="str">
        <f t="shared" si="24"/>
        <v>47117312</v>
      </c>
      <c r="D944" t="s">
        <v>70</v>
      </c>
      <c r="E944" t="s">
        <v>466</v>
      </c>
      <c r="F944" t="s">
        <v>461</v>
      </c>
      <c r="G944">
        <v>0</v>
      </c>
      <c r="T944" s="11">
        <v>4711</v>
      </c>
      <c r="U944" s="11">
        <v>7312</v>
      </c>
      <c r="AW944" t="str">
        <f>IF(Tabela4[[#This Row],[JUSTIFICATIVA]]="","",CONCATENATE("B",Tabela4[[#This Row],[BLOCO]],Tabela4[[#This Row],[UO_COD]]))</f>
        <v/>
      </c>
      <c r="AX944">
        <f>Tabela4[[#This Row],[JUSTIFICATIVA]]</f>
        <v>0</v>
      </c>
    </row>
    <row r="945" spans="1:50">
      <c r="A945">
        <v>4711</v>
      </c>
      <c r="B945">
        <v>7428</v>
      </c>
      <c r="C945" s="12" t="str">
        <f t="shared" si="24"/>
        <v>47117428</v>
      </c>
      <c r="D945" t="s">
        <v>70</v>
      </c>
      <c r="E945" t="s">
        <v>466</v>
      </c>
      <c r="F945" t="s">
        <v>461</v>
      </c>
      <c r="G945">
        <v>0</v>
      </c>
      <c r="T945" s="11">
        <v>4711</v>
      </c>
      <c r="U945" s="11">
        <v>7428</v>
      </c>
      <c r="AW945" t="str">
        <f>IF(Tabela4[[#This Row],[JUSTIFICATIVA]]="","",CONCATENATE("B",Tabela4[[#This Row],[BLOCO]],Tabela4[[#This Row],[UO_COD]]))</f>
        <v/>
      </c>
      <c r="AX945">
        <f>Tabela4[[#This Row],[JUSTIFICATIVA]]</f>
        <v>0</v>
      </c>
    </row>
    <row r="946" spans="1:50">
      <c r="A946">
        <v>4711</v>
      </c>
      <c r="B946">
        <v>7473</v>
      </c>
      <c r="C946" s="12" t="str">
        <f t="shared" si="24"/>
        <v>47117473</v>
      </c>
      <c r="D946" t="s">
        <v>70</v>
      </c>
      <c r="E946" t="s">
        <v>466</v>
      </c>
      <c r="F946" t="s">
        <v>461</v>
      </c>
      <c r="G946">
        <v>0</v>
      </c>
      <c r="T946" s="11">
        <v>4711</v>
      </c>
      <c r="U946" s="11">
        <v>7473</v>
      </c>
      <c r="AW946" t="str">
        <f>IF(Tabela4[[#This Row],[JUSTIFICATIVA]]="","",CONCATENATE("B",Tabela4[[#This Row],[BLOCO]],Tabela4[[#This Row],[UO_COD]]))</f>
        <v/>
      </c>
      <c r="AX946">
        <f>Tabela4[[#This Row],[JUSTIFICATIVA]]</f>
        <v>0</v>
      </c>
    </row>
    <row r="947" spans="1:50">
      <c r="A947">
        <v>4711</v>
      </c>
      <c r="B947">
        <v>7484</v>
      </c>
      <c r="C947" s="12" t="str">
        <f t="shared" si="24"/>
        <v>47117484</v>
      </c>
      <c r="D947" t="s">
        <v>70</v>
      </c>
      <c r="E947" t="s">
        <v>466</v>
      </c>
      <c r="F947" t="s">
        <v>461</v>
      </c>
      <c r="G947">
        <v>0</v>
      </c>
      <c r="T947" s="11">
        <v>4711</v>
      </c>
      <c r="U947" s="11">
        <v>7484</v>
      </c>
      <c r="AW947" t="str">
        <f>IF(Tabela4[[#This Row],[JUSTIFICATIVA]]="","",CONCATENATE("B",Tabela4[[#This Row],[BLOCO]],Tabela4[[#This Row],[UO_COD]]))</f>
        <v/>
      </c>
      <c r="AX947">
        <f>Tabela4[[#This Row],[JUSTIFICATIVA]]</f>
        <v>0</v>
      </c>
    </row>
    <row r="948" spans="1:50">
      <c r="A948">
        <v>4711</v>
      </c>
      <c r="B948">
        <v>7529</v>
      </c>
      <c r="C948" s="12" t="str">
        <f t="shared" si="24"/>
        <v>47117529</v>
      </c>
      <c r="D948" t="s">
        <v>70</v>
      </c>
      <c r="E948" t="s">
        <v>466</v>
      </c>
      <c r="F948" t="s">
        <v>461</v>
      </c>
      <c r="G948">
        <v>0</v>
      </c>
      <c r="T948" s="11">
        <v>4711</v>
      </c>
      <c r="U948" s="11">
        <v>7529</v>
      </c>
      <c r="AW948" t="str">
        <f>IF(Tabela4[[#This Row],[JUSTIFICATIVA]]="","",CONCATENATE("B",Tabela4[[#This Row],[BLOCO]],Tabela4[[#This Row],[UO_COD]]))</f>
        <v/>
      </c>
      <c r="AX948">
        <f>Tabela4[[#This Row],[JUSTIFICATIVA]]</f>
        <v>0</v>
      </c>
    </row>
    <row r="949" spans="1:50">
      <c r="A949">
        <v>4711</v>
      </c>
      <c r="B949">
        <v>7586</v>
      </c>
      <c r="C949" s="12" t="str">
        <f t="shared" si="24"/>
        <v>47117586</v>
      </c>
      <c r="D949" t="s">
        <v>70</v>
      </c>
      <c r="E949" t="s">
        <v>466</v>
      </c>
      <c r="F949" t="s">
        <v>461</v>
      </c>
      <c r="G949">
        <v>0</v>
      </c>
      <c r="T949" s="11">
        <v>4711</v>
      </c>
      <c r="U949" s="11">
        <v>7586</v>
      </c>
      <c r="AW949" t="str">
        <f>IF(Tabela4[[#This Row],[JUSTIFICATIVA]]="","",CONCATENATE("B",Tabela4[[#This Row],[BLOCO]],Tabela4[[#This Row],[UO_COD]]))</f>
        <v/>
      </c>
      <c r="AX949">
        <f>Tabela4[[#This Row],[JUSTIFICATIVA]]</f>
        <v>0</v>
      </c>
    </row>
    <row r="950" spans="1:50">
      <c r="A950">
        <v>4711</v>
      </c>
      <c r="B950">
        <v>7617</v>
      </c>
      <c r="C950" s="12" t="str">
        <f t="shared" si="24"/>
        <v>47117617</v>
      </c>
      <c r="D950" t="s">
        <v>70</v>
      </c>
      <c r="E950" t="s">
        <v>466</v>
      </c>
      <c r="F950" t="s">
        <v>461</v>
      </c>
      <c r="G950">
        <v>0</v>
      </c>
      <c r="T950" s="11">
        <v>4711</v>
      </c>
      <c r="U950" s="11">
        <v>7617</v>
      </c>
      <c r="AW950" t="str">
        <f>IF(Tabela4[[#This Row],[JUSTIFICATIVA]]="","",CONCATENATE("B",Tabela4[[#This Row],[BLOCO]],Tabela4[[#This Row],[UO_COD]]))</f>
        <v/>
      </c>
      <c r="AX950">
        <f>Tabela4[[#This Row],[JUSTIFICATIVA]]</f>
        <v>0</v>
      </c>
    </row>
    <row r="951" spans="1:50">
      <c r="A951">
        <v>4711</v>
      </c>
      <c r="B951">
        <v>7722</v>
      </c>
      <c r="C951" s="12" t="str">
        <f t="shared" si="24"/>
        <v>47117722</v>
      </c>
      <c r="D951" t="s">
        <v>70</v>
      </c>
      <c r="E951" t="s">
        <v>466</v>
      </c>
      <c r="F951" t="s">
        <v>461</v>
      </c>
      <c r="G951">
        <v>0</v>
      </c>
      <c r="T951" s="11">
        <v>4711</v>
      </c>
      <c r="U951" s="11">
        <v>7722</v>
      </c>
      <c r="AW951" t="str">
        <f>IF(Tabela4[[#This Row],[JUSTIFICATIVA]]="","",CONCATENATE("B",Tabela4[[#This Row],[BLOCO]],Tabela4[[#This Row],[UO_COD]]))</f>
        <v/>
      </c>
      <c r="AX951">
        <f>Tabela4[[#This Row],[JUSTIFICATIVA]]</f>
        <v>0</v>
      </c>
    </row>
    <row r="952" spans="1:50">
      <c r="A952">
        <v>4711</v>
      </c>
      <c r="B952">
        <v>7725</v>
      </c>
      <c r="C952" s="12" t="str">
        <f t="shared" si="24"/>
        <v>47117725</v>
      </c>
      <c r="D952" t="s">
        <v>70</v>
      </c>
      <c r="E952" t="s">
        <v>466</v>
      </c>
      <c r="F952" t="s">
        <v>461</v>
      </c>
      <c r="G952">
        <v>0</v>
      </c>
      <c r="T952" s="11">
        <v>4711</v>
      </c>
      <c r="U952" s="11">
        <v>7725</v>
      </c>
      <c r="AW952" t="str">
        <f>IF(Tabela4[[#This Row],[JUSTIFICATIVA]]="","",CONCATENATE("B",Tabela4[[#This Row],[BLOCO]],Tabela4[[#This Row],[UO_COD]]))</f>
        <v/>
      </c>
      <c r="AX952">
        <f>Tabela4[[#This Row],[JUSTIFICATIVA]]</f>
        <v>0</v>
      </c>
    </row>
    <row r="953" spans="1:50">
      <c r="A953">
        <v>4711</v>
      </c>
      <c r="B953">
        <v>7840</v>
      </c>
      <c r="C953" s="12" t="str">
        <f t="shared" si="24"/>
        <v>47117840</v>
      </c>
      <c r="D953" t="s">
        <v>70</v>
      </c>
      <c r="E953" t="s">
        <v>466</v>
      </c>
      <c r="F953" t="s">
        <v>461</v>
      </c>
      <c r="G953">
        <v>0</v>
      </c>
      <c r="T953" s="11">
        <v>4711</v>
      </c>
      <c r="U953" s="11">
        <v>7840</v>
      </c>
      <c r="AW953" t="str">
        <f>IF(Tabela4[[#This Row],[JUSTIFICATIVA]]="","",CONCATENATE("B",Tabela4[[#This Row],[BLOCO]],Tabela4[[#This Row],[UO_COD]]))</f>
        <v/>
      </c>
      <c r="AX953">
        <f>Tabela4[[#This Row],[JUSTIFICATIVA]]</f>
        <v>0</v>
      </c>
    </row>
    <row r="954" spans="1:50">
      <c r="A954">
        <v>4711</v>
      </c>
      <c r="B954">
        <v>7939</v>
      </c>
      <c r="C954" s="12" t="str">
        <f t="shared" si="24"/>
        <v>47117939</v>
      </c>
      <c r="D954" t="s">
        <v>70</v>
      </c>
      <c r="E954" t="s">
        <v>466</v>
      </c>
      <c r="F954" t="s">
        <v>461</v>
      </c>
      <c r="G954">
        <v>0</v>
      </c>
      <c r="T954" s="11">
        <v>4711</v>
      </c>
      <c r="U954" s="11">
        <v>7939</v>
      </c>
      <c r="AW954" t="str">
        <f>IF(Tabela4[[#This Row],[JUSTIFICATIVA]]="","",CONCATENATE("B",Tabela4[[#This Row],[BLOCO]],Tabela4[[#This Row],[UO_COD]]))</f>
        <v/>
      </c>
      <c r="AX954">
        <f>Tabela4[[#This Row],[JUSTIFICATIVA]]</f>
        <v>0</v>
      </c>
    </row>
    <row r="955" spans="1:50">
      <c r="A955">
        <v>4711</v>
      </c>
      <c r="B955">
        <v>7957</v>
      </c>
      <c r="C955" s="12" t="str">
        <f t="shared" si="24"/>
        <v>47117957</v>
      </c>
      <c r="D955" t="s">
        <v>70</v>
      </c>
      <c r="E955" t="s">
        <v>466</v>
      </c>
      <c r="F955" t="s">
        <v>461</v>
      </c>
      <c r="G955">
        <v>0</v>
      </c>
      <c r="T955" s="11">
        <v>4711</v>
      </c>
      <c r="U955" s="11">
        <v>7957</v>
      </c>
      <c r="AW955" t="str">
        <f>IF(Tabela4[[#This Row],[JUSTIFICATIVA]]="","",CONCATENATE("B",Tabela4[[#This Row],[BLOCO]],Tabela4[[#This Row],[UO_COD]]))</f>
        <v/>
      </c>
      <c r="AX955">
        <f>Tabela4[[#This Row],[JUSTIFICATIVA]]</f>
        <v>0</v>
      </c>
    </row>
    <row r="956" spans="1:50">
      <c r="A956">
        <v>4711</v>
      </c>
      <c r="B956">
        <v>7959</v>
      </c>
      <c r="C956" s="12" t="str">
        <f t="shared" si="24"/>
        <v>47117959</v>
      </c>
      <c r="D956" t="s">
        <v>70</v>
      </c>
      <c r="E956" t="s">
        <v>466</v>
      </c>
      <c r="F956" t="s">
        <v>461</v>
      </c>
      <c r="G956">
        <v>0</v>
      </c>
      <c r="T956" s="11">
        <v>4711</v>
      </c>
      <c r="U956" s="11">
        <v>7959</v>
      </c>
      <c r="AW956" t="str">
        <f>IF(Tabela4[[#This Row],[JUSTIFICATIVA]]="","",CONCATENATE("B",Tabela4[[#This Row],[BLOCO]],Tabela4[[#This Row],[UO_COD]]))</f>
        <v/>
      </c>
      <c r="AX956">
        <f>Tabela4[[#This Row],[JUSTIFICATIVA]]</f>
        <v>0</v>
      </c>
    </row>
    <row r="957" spans="1:50">
      <c r="A957">
        <v>4721</v>
      </c>
      <c r="B957">
        <v>7001</v>
      </c>
      <c r="C957" s="12" t="str">
        <f t="shared" si="24"/>
        <v>47217001</v>
      </c>
      <c r="D957" t="s">
        <v>459</v>
      </c>
      <c r="E957" t="s">
        <v>460</v>
      </c>
      <c r="F957" t="s">
        <v>461</v>
      </c>
      <c r="G957">
        <v>0</v>
      </c>
      <c r="T957" s="11">
        <v>4721</v>
      </c>
      <c r="U957" s="11">
        <v>7001</v>
      </c>
      <c r="AW957" t="str">
        <f>IF(Tabela4[[#This Row],[JUSTIFICATIVA]]="","",CONCATENATE("B",Tabela4[[#This Row],[BLOCO]],Tabela4[[#This Row],[UO_COD]]))</f>
        <v/>
      </c>
      <c r="AX957">
        <f>Tabela4[[#This Row],[JUSTIFICATIVA]]</f>
        <v>0</v>
      </c>
    </row>
    <row r="958" spans="1:50">
      <c r="A958">
        <v>4731</v>
      </c>
      <c r="B958">
        <v>2072</v>
      </c>
      <c r="C958" s="12" t="str">
        <f t="shared" si="24"/>
        <v>47312072</v>
      </c>
      <c r="D958" t="s">
        <v>56</v>
      </c>
      <c r="E958" t="s">
        <v>470</v>
      </c>
      <c r="F958" t="s">
        <v>538</v>
      </c>
      <c r="G958">
        <v>0</v>
      </c>
      <c r="T958" s="11">
        <v>4731</v>
      </c>
      <c r="U958" s="11">
        <v>2072</v>
      </c>
      <c r="AW958" t="str">
        <f>IF(Tabela4[[#This Row],[JUSTIFICATIVA]]="","",CONCATENATE("B",Tabela4[[#This Row],[BLOCO]],Tabela4[[#This Row],[UO_COD]]))</f>
        <v/>
      </c>
      <c r="AX958">
        <f>Tabela4[[#This Row],[JUSTIFICATIVA]]</f>
        <v>0</v>
      </c>
    </row>
    <row r="959" spans="1:50">
      <c r="A959">
        <v>4741</v>
      </c>
      <c r="B959">
        <v>2069</v>
      </c>
      <c r="C959" s="12" t="str">
        <f t="shared" si="24"/>
        <v>47412069</v>
      </c>
      <c r="D959" t="s">
        <v>56</v>
      </c>
      <c r="E959" t="s">
        <v>527</v>
      </c>
      <c r="F959" t="s">
        <v>655</v>
      </c>
      <c r="G959">
        <v>0</v>
      </c>
      <c r="T959" s="11">
        <v>4741</v>
      </c>
      <c r="U959" s="11">
        <v>2069</v>
      </c>
      <c r="AW959" t="str">
        <f>IF(Tabela4[[#This Row],[JUSTIFICATIVA]]="","",CONCATENATE("B",Tabela4[[#This Row],[BLOCO]],Tabela4[[#This Row],[UO_COD]]))</f>
        <v/>
      </c>
      <c r="AX959">
        <f>Tabela4[[#This Row],[JUSTIFICATIVA]]</f>
        <v>0</v>
      </c>
    </row>
    <row r="960" spans="1:50">
      <c r="A960">
        <v>4751</v>
      </c>
      <c r="B960">
        <v>2073</v>
      </c>
      <c r="C960" s="12" t="str">
        <f t="shared" si="24"/>
        <v>47512073</v>
      </c>
      <c r="D960" t="s">
        <v>56</v>
      </c>
      <c r="E960" t="s">
        <v>527</v>
      </c>
      <c r="F960" t="s">
        <v>781</v>
      </c>
      <c r="G960">
        <v>0</v>
      </c>
      <c r="T960" s="11">
        <v>4751</v>
      </c>
      <c r="U960" s="11">
        <v>2073</v>
      </c>
      <c r="AW960" t="str">
        <f>IF(Tabela4[[#This Row],[JUSTIFICATIVA]]="","",CONCATENATE("B",Tabela4[[#This Row],[BLOCO]],Tabela4[[#This Row],[UO_COD]]))</f>
        <v/>
      </c>
      <c r="AX960">
        <f>Tabela4[[#This Row],[JUSTIFICATIVA]]</f>
        <v>0</v>
      </c>
    </row>
    <row r="961" spans="49:50">
      <c r="AW961" t="str">
        <f>IF(Tabela4[[#This Row],[JUSTIFICATIVA]]="","",CONCATENATE("B",Tabela4[[#This Row],[BLOCO]],Tabela4[[#This Row],[UO_COD]]))</f>
        <v/>
      </c>
      <c r="AX961">
        <f>Tabela4[[#This Row],[JUSTIFICATIVA]]</f>
        <v>0</v>
      </c>
    </row>
    <row r="962" spans="49:50">
      <c r="AW962" t="str">
        <f>IF(Tabela4[[#This Row],[JUSTIFICATIVA]]="","",CONCATENATE("B",Tabela4[[#This Row],[BLOCO]],Tabela4[[#This Row],[UO_COD]]))</f>
        <v/>
      </c>
      <c r="AX962">
        <f>Tabela4[[#This Row],[JUSTIFICATIVA]]</f>
        <v>0</v>
      </c>
    </row>
    <row r="963" spans="49:50">
      <c r="AW963" t="str">
        <f>IF(Tabela4[[#This Row],[JUSTIFICATIVA]]="","",CONCATENATE("B",Tabela4[[#This Row],[BLOCO]],Tabela4[[#This Row],[UO_COD]]))</f>
        <v/>
      </c>
      <c r="AX963">
        <f>Tabela4[[#This Row],[JUSTIFICATIVA]]</f>
        <v>0</v>
      </c>
    </row>
    <row r="964" spans="49:50">
      <c r="AW964" t="str">
        <f>IF(Tabela4[[#This Row],[JUSTIFICATIVA]]="","",CONCATENATE("B",Tabela4[[#This Row],[BLOCO]],Tabela4[[#This Row],[UO_COD]]))</f>
        <v/>
      </c>
      <c r="AX964">
        <f>Tabela4[[#This Row],[JUSTIFICATIVA]]</f>
        <v>0</v>
      </c>
    </row>
    <row r="965" spans="49:50">
      <c r="AW965" t="str">
        <f>IF(Tabela4[[#This Row],[JUSTIFICATIVA]]="","",CONCATENATE("B",Tabela4[[#This Row],[BLOCO]],Tabela4[[#This Row],[UO_COD]]))</f>
        <v/>
      </c>
      <c r="AX965">
        <f>Tabela4[[#This Row],[JUSTIFICATIVA]]</f>
        <v>0</v>
      </c>
    </row>
    <row r="966" spans="49:50">
      <c r="AW966" t="str">
        <f>IF(Tabela4[[#This Row],[JUSTIFICATIVA]]="","",CONCATENATE("B",Tabela4[[#This Row],[BLOCO]],Tabela4[[#This Row],[UO_COD]]))</f>
        <v/>
      </c>
      <c r="AX966">
        <f>Tabela4[[#This Row],[JUSTIFICATIVA]]</f>
        <v>0</v>
      </c>
    </row>
    <row r="967" spans="49:50">
      <c r="AW967" t="str">
        <f>IF(Tabela4[[#This Row],[JUSTIFICATIVA]]="","",CONCATENATE("B",Tabela4[[#This Row],[BLOCO]],Tabela4[[#This Row],[UO_COD]]))</f>
        <v/>
      </c>
      <c r="AX967">
        <f>Tabela4[[#This Row],[JUSTIFICATIVA]]</f>
        <v>0</v>
      </c>
    </row>
    <row r="968" spans="49:50">
      <c r="AW968" t="str">
        <f>IF(Tabela4[[#This Row],[JUSTIFICATIVA]]="","",CONCATENATE("B",Tabela4[[#This Row],[BLOCO]],Tabela4[[#This Row],[UO_COD]]))</f>
        <v/>
      </c>
      <c r="AX968">
        <f>Tabela4[[#This Row],[JUSTIFICATIVA]]</f>
        <v>0</v>
      </c>
    </row>
    <row r="969" spans="49:50">
      <c r="AW969" t="str">
        <f>IF(Tabela4[[#This Row],[JUSTIFICATIVA]]="","",CONCATENATE("B",Tabela4[[#This Row],[BLOCO]],Tabela4[[#This Row],[UO_COD]]))</f>
        <v/>
      </c>
      <c r="AX969">
        <f>Tabela4[[#This Row],[JUSTIFICATIVA]]</f>
        <v>0</v>
      </c>
    </row>
    <row r="970" spans="49:50">
      <c r="AW970" t="str">
        <f>IF(Tabela4[[#This Row],[JUSTIFICATIVA]]="","",CONCATENATE("B",Tabela4[[#This Row],[BLOCO]],Tabela4[[#This Row],[UO_COD]]))</f>
        <v/>
      </c>
      <c r="AX970">
        <f>Tabela4[[#This Row],[JUSTIFICATIVA]]</f>
        <v>0</v>
      </c>
    </row>
    <row r="971" spans="49:50">
      <c r="AW971" t="str">
        <f>IF(Tabela4[[#This Row],[JUSTIFICATIVA]]="","",CONCATENATE("B",Tabela4[[#This Row],[BLOCO]],Tabela4[[#This Row],[UO_COD]]))</f>
        <v/>
      </c>
      <c r="AX971">
        <f>Tabela4[[#This Row],[JUSTIFICATIVA]]</f>
        <v>0</v>
      </c>
    </row>
    <row r="972" spans="49:50">
      <c r="AW972" t="str">
        <f>IF(Tabela4[[#This Row],[JUSTIFICATIVA]]="","",CONCATENATE("B",Tabela4[[#This Row],[BLOCO]],Tabela4[[#This Row],[UO_COD]]))</f>
        <v/>
      </c>
      <c r="AX972">
        <f>Tabela4[[#This Row],[JUSTIFICATIVA]]</f>
        <v>0</v>
      </c>
    </row>
    <row r="973" spans="49:50">
      <c r="AW973" t="str">
        <f>IF(Tabela4[[#This Row],[JUSTIFICATIVA]]="","",CONCATENATE("B",Tabela4[[#This Row],[BLOCO]],Tabela4[[#This Row],[UO_COD]]))</f>
        <v/>
      </c>
      <c r="AX973">
        <f>Tabela4[[#This Row],[JUSTIFICATIVA]]</f>
        <v>0</v>
      </c>
    </row>
    <row r="974" spans="49:50">
      <c r="AW974" t="str">
        <f>IF(Tabela4[[#This Row],[JUSTIFICATIVA]]="","",CONCATENATE("B",Tabela4[[#This Row],[BLOCO]],Tabela4[[#This Row],[UO_COD]]))</f>
        <v/>
      </c>
      <c r="AX974">
        <f>Tabela4[[#This Row],[JUSTIFICATIVA]]</f>
        <v>0</v>
      </c>
    </row>
    <row r="975" spans="49:50">
      <c r="AW975" t="str">
        <f>IF(Tabela4[[#This Row],[JUSTIFICATIVA]]="","",CONCATENATE("B",Tabela4[[#This Row],[BLOCO]],Tabela4[[#This Row],[UO_COD]]))</f>
        <v/>
      </c>
      <c r="AX975">
        <f>Tabela4[[#This Row],[JUSTIFICATIVA]]</f>
        <v>0</v>
      </c>
    </row>
    <row r="976" spans="49:50">
      <c r="AW976" t="str">
        <f>IF(Tabela4[[#This Row],[JUSTIFICATIVA]]="","",CONCATENATE("B",Tabela4[[#This Row],[BLOCO]],Tabela4[[#This Row],[UO_COD]]))</f>
        <v/>
      </c>
      <c r="AX976">
        <f>Tabela4[[#This Row],[JUSTIFICATIVA]]</f>
        <v>0</v>
      </c>
    </row>
    <row r="977" spans="49:50">
      <c r="AW977" t="str">
        <f>IF(Tabela4[[#This Row],[JUSTIFICATIVA]]="","",CONCATENATE("B",Tabela4[[#This Row],[BLOCO]],Tabela4[[#This Row],[UO_COD]]))</f>
        <v/>
      </c>
      <c r="AX977">
        <f>Tabela4[[#This Row],[JUSTIFICATIVA]]</f>
        <v>0</v>
      </c>
    </row>
    <row r="978" spans="49:50">
      <c r="AW978" t="str">
        <f>IF(Tabela4[[#This Row],[JUSTIFICATIVA]]="","",CONCATENATE("B",Tabela4[[#This Row],[BLOCO]],Tabela4[[#This Row],[UO_COD]]))</f>
        <v/>
      </c>
      <c r="AX978">
        <f>Tabela4[[#This Row],[JUSTIFICATIVA]]</f>
        <v>0</v>
      </c>
    </row>
    <row r="979" spans="49:50">
      <c r="AW979" t="str">
        <f>IF(Tabela4[[#This Row],[JUSTIFICATIVA]]="","",CONCATENATE("B",Tabela4[[#This Row],[BLOCO]],Tabela4[[#This Row],[UO_COD]]))</f>
        <v/>
      </c>
      <c r="AX979">
        <f>Tabela4[[#This Row],[JUSTIFICATIVA]]</f>
        <v>0</v>
      </c>
    </row>
    <row r="980" spans="49:50">
      <c r="AW980" t="str">
        <f>IF(Tabela4[[#This Row],[JUSTIFICATIVA]]="","",CONCATENATE("B",Tabela4[[#This Row],[BLOCO]],Tabela4[[#This Row],[UO_COD]]))</f>
        <v/>
      </c>
      <c r="AX980">
        <f>Tabela4[[#This Row],[JUSTIFICATIVA]]</f>
        <v>0</v>
      </c>
    </row>
    <row r="981" spans="49:50">
      <c r="AW981" t="str">
        <f>IF(Tabela4[[#This Row],[JUSTIFICATIVA]]="","",CONCATENATE("B",Tabela4[[#This Row],[BLOCO]],Tabela4[[#This Row],[UO_COD]]))</f>
        <v/>
      </c>
      <c r="AX981">
        <f>Tabela4[[#This Row],[JUSTIFICATIVA]]</f>
        <v>0</v>
      </c>
    </row>
    <row r="982" spans="49:50">
      <c r="AW982" t="str">
        <f>IF(Tabela4[[#This Row],[JUSTIFICATIVA]]="","",CONCATENATE("B",Tabela4[[#This Row],[BLOCO]],Tabela4[[#This Row],[UO_COD]]))</f>
        <v/>
      </c>
      <c r="AX982">
        <f>Tabela4[[#This Row],[JUSTIFICATIVA]]</f>
        <v>0</v>
      </c>
    </row>
    <row r="983" spans="49:50">
      <c r="AW983" t="str">
        <f>IF(Tabela4[[#This Row],[JUSTIFICATIVA]]="","",CONCATENATE("B",Tabela4[[#This Row],[BLOCO]],Tabela4[[#This Row],[UO_COD]]))</f>
        <v/>
      </c>
      <c r="AX983">
        <f>Tabela4[[#This Row],[JUSTIFICATIVA]]</f>
        <v>0</v>
      </c>
    </row>
    <row r="984" spans="49:50">
      <c r="AW984" t="str">
        <f>IF(Tabela4[[#This Row],[JUSTIFICATIVA]]="","",CONCATENATE("B",Tabela4[[#This Row],[BLOCO]],Tabela4[[#This Row],[UO_COD]]))</f>
        <v/>
      </c>
      <c r="AX984">
        <f>Tabela4[[#This Row],[JUSTIFICATIVA]]</f>
        <v>0</v>
      </c>
    </row>
    <row r="985" spans="49:50">
      <c r="AW985" t="str">
        <f>IF(Tabela4[[#This Row],[JUSTIFICATIVA]]="","",CONCATENATE("B",Tabela4[[#This Row],[BLOCO]],Tabela4[[#This Row],[UO_COD]]))</f>
        <v/>
      </c>
      <c r="AX985">
        <f>Tabela4[[#This Row],[JUSTIFICATIVA]]</f>
        <v>0</v>
      </c>
    </row>
    <row r="986" spans="49:50">
      <c r="AW986" t="str">
        <f>IF(Tabela4[[#This Row],[JUSTIFICATIVA]]="","",CONCATENATE("B",Tabela4[[#This Row],[BLOCO]],Tabela4[[#This Row],[UO_COD]]))</f>
        <v/>
      </c>
      <c r="AX986">
        <f>Tabela4[[#This Row],[JUSTIFICATIVA]]</f>
        <v>0</v>
      </c>
    </row>
    <row r="987" spans="49:50">
      <c r="AW987" t="str">
        <f>IF(Tabela4[[#This Row],[JUSTIFICATIVA]]="","",CONCATENATE("B",Tabela4[[#This Row],[BLOCO]],Tabela4[[#This Row],[UO_COD]]))</f>
        <v/>
      </c>
      <c r="AX987">
        <f>Tabela4[[#This Row],[JUSTIFICATIVA]]</f>
        <v>0</v>
      </c>
    </row>
    <row r="988" spans="49:50">
      <c r="AW988" t="str">
        <f>IF(Tabela4[[#This Row],[JUSTIFICATIVA]]="","",CONCATENATE("B",Tabela4[[#This Row],[BLOCO]],Tabela4[[#This Row],[UO_COD]]))</f>
        <v/>
      </c>
      <c r="AX988">
        <f>Tabela4[[#This Row],[JUSTIFICATIVA]]</f>
        <v>0</v>
      </c>
    </row>
    <row r="989" spans="49:50">
      <c r="AW989" t="str">
        <f>IF(Tabela4[[#This Row],[JUSTIFICATIVA]]="","",CONCATENATE("B",Tabela4[[#This Row],[BLOCO]],Tabela4[[#This Row],[UO_COD]]))</f>
        <v/>
      </c>
      <c r="AX989">
        <f>Tabela4[[#This Row],[JUSTIFICATIVA]]</f>
        <v>0</v>
      </c>
    </row>
    <row r="990" spans="49:50">
      <c r="AW990" t="str">
        <f>IF(Tabela4[[#This Row],[JUSTIFICATIVA]]="","",CONCATENATE("B",Tabela4[[#This Row],[BLOCO]],Tabela4[[#This Row],[UO_COD]]))</f>
        <v/>
      </c>
      <c r="AX990">
        <f>Tabela4[[#This Row],[JUSTIFICATIVA]]</f>
        <v>0</v>
      </c>
    </row>
    <row r="991" spans="49:50">
      <c r="AW991" t="str">
        <f>IF(Tabela4[[#This Row],[JUSTIFICATIVA]]="","",CONCATENATE("B",Tabela4[[#This Row],[BLOCO]],Tabela4[[#This Row],[UO_COD]]))</f>
        <v/>
      </c>
      <c r="AX991">
        <f>Tabela4[[#This Row],[JUSTIFICATIVA]]</f>
        <v>0</v>
      </c>
    </row>
    <row r="992" spans="49:50">
      <c r="AW992" t="str">
        <f>IF(Tabela4[[#This Row],[JUSTIFICATIVA]]="","",CONCATENATE("B",Tabela4[[#This Row],[BLOCO]],Tabela4[[#This Row],[UO_COD]]))</f>
        <v/>
      </c>
      <c r="AX992">
        <f>Tabela4[[#This Row],[JUSTIFICATIVA]]</f>
        <v>0</v>
      </c>
    </row>
    <row r="993" spans="49:50">
      <c r="AW993" t="str">
        <f>IF(Tabela4[[#This Row],[JUSTIFICATIVA]]="","",CONCATENATE("B",Tabela4[[#This Row],[BLOCO]],Tabela4[[#This Row],[UO_COD]]))</f>
        <v/>
      </c>
      <c r="AX993">
        <f>Tabela4[[#This Row],[JUSTIFICATIVA]]</f>
        <v>0</v>
      </c>
    </row>
    <row r="994" spans="49:50">
      <c r="AW994" t="str">
        <f>IF(Tabela4[[#This Row],[JUSTIFICATIVA]]="","",CONCATENATE("B",Tabela4[[#This Row],[BLOCO]],Tabela4[[#This Row],[UO_COD]]))</f>
        <v/>
      </c>
      <c r="AX994">
        <f>Tabela4[[#This Row],[JUSTIFICATIVA]]</f>
        <v>0</v>
      </c>
    </row>
    <row r="995" spans="49:50">
      <c r="AW995" t="str">
        <f>IF(Tabela4[[#This Row],[JUSTIFICATIVA]]="","",CONCATENATE("B",Tabela4[[#This Row],[BLOCO]],Tabela4[[#This Row],[UO_COD]]))</f>
        <v/>
      </c>
      <c r="AX995">
        <f>Tabela4[[#This Row],[JUSTIFICATIVA]]</f>
        <v>0</v>
      </c>
    </row>
  </sheetData>
  <autoFilter ref="BA1:BD46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92D050"/>
  </sheetPr>
  <dimension ref="A1:M1001"/>
  <sheetViews>
    <sheetView showGridLines="0" workbookViewId="0">
      <selection activeCell="B3" sqref="B3"/>
    </sheetView>
  </sheetViews>
  <sheetFormatPr defaultRowHeight="15"/>
  <cols>
    <col min="1" max="1" width="11.5703125" style="4" bestFit="1" customWidth="1"/>
    <col min="2" max="2" width="17.28515625" bestFit="1" customWidth="1"/>
    <col min="3" max="3" width="13.28515625" bestFit="1" customWidth="1"/>
    <col min="4" max="4" width="15.5703125" bestFit="1" customWidth="1"/>
    <col min="5" max="5" width="17" bestFit="1" customWidth="1"/>
    <col min="6" max="6" width="22.85546875" bestFit="1" customWidth="1"/>
    <col min="7" max="7" width="20.140625" bestFit="1" customWidth="1"/>
    <col min="8" max="8" width="13.5703125" bestFit="1" customWidth="1"/>
    <col min="9" max="9" width="16.28515625" bestFit="1" customWidth="1"/>
    <col min="10" max="10" width="13.5703125" bestFit="1" customWidth="1"/>
    <col min="11" max="11" width="23.7109375" customWidth="1"/>
    <col min="12" max="12" width="49" bestFit="1" customWidth="1"/>
    <col min="13" max="13" width="18.5703125" bestFit="1" customWidth="1"/>
    <col min="14" max="14" width="9.140625" customWidth="1"/>
  </cols>
  <sheetData>
    <row r="1" spans="1:13">
      <c r="A1" s="16" t="s">
        <v>0</v>
      </c>
      <c r="B1" s="17" t="s">
        <v>1</v>
      </c>
      <c r="C1" s="17" t="s">
        <v>2</v>
      </c>
      <c r="D1" s="16" t="s">
        <v>3</v>
      </c>
      <c r="E1" s="16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6" t="s">
        <v>14</v>
      </c>
      <c r="K1" s="17" t="s">
        <v>16</v>
      </c>
      <c r="L1" s="17" t="s">
        <v>19</v>
      </c>
      <c r="M1" s="33" t="s">
        <v>782</v>
      </c>
    </row>
    <row r="2" spans="1:13">
      <c r="A2" s="34">
        <v>1</v>
      </c>
      <c r="B2" s="34" t="s">
        <v>493</v>
      </c>
      <c r="C2" s="46">
        <v>4711</v>
      </c>
      <c r="D2" s="46">
        <v>7957</v>
      </c>
      <c r="E2" s="46">
        <v>1</v>
      </c>
      <c r="F2" s="47">
        <v>90</v>
      </c>
      <c r="G2" s="46">
        <v>1</v>
      </c>
      <c r="H2" s="46">
        <v>0</v>
      </c>
      <c r="I2" s="46">
        <v>10</v>
      </c>
      <c r="J2" s="46">
        <v>1</v>
      </c>
      <c r="K2" s="35">
        <v>305000</v>
      </c>
      <c r="L2" s="48" t="s">
        <v>467</v>
      </c>
      <c r="M2" s="49" t="s">
        <v>783</v>
      </c>
    </row>
    <row r="3" spans="1:13">
      <c r="A3" s="34">
        <v>1</v>
      </c>
      <c r="B3" s="34" t="s">
        <v>490</v>
      </c>
      <c r="C3" s="46">
        <v>1911</v>
      </c>
      <c r="D3" s="46">
        <v>2049</v>
      </c>
      <c r="E3" s="46">
        <v>3</v>
      </c>
      <c r="F3" s="47">
        <v>20</v>
      </c>
      <c r="G3" s="46">
        <v>41</v>
      </c>
      <c r="H3" s="46">
        <v>0</v>
      </c>
      <c r="I3" s="46">
        <v>10</v>
      </c>
      <c r="J3" s="46">
        <v>1</v>
      </c>
      <c r="K3" s="35">
        <v>300000</v>
      </c>
      <c r="L3" s="48" t="s">
        <v>467</v>
      </c>
      <c r="M3" s="49" t="s">
        <v>784</v>
      </c>
    </row>
    <row r="4" spans="1:13">
      <c r="A4" s="34">
        <v>1</v>
      </c>
      <c r="B4" s="34" t="s">
        <v>490</v>
      </c>
      <c r="C4" s="46">
        <v>1911</v>
      </c>
      <c r="D4" s="46">
        <v>2049</v>
      </c>
      <c r="E4" s="46">
        <v>3</v>
      </c>
      <c r="F4" s="47">
        <v>90</v>
      </c>
      <c r="G4" s="46">
        <v>39</v>
      </c>
      <c r="H4" s="46">
        <v>0</v>
      </c>
      <c r="I4" s="46">
        <v>10</v>
      </c>
      <c r="J4" s="46">
        <v>1</v>
      </c>
      <c r="K4" s="35">
        <v>5000</v>
      </c>
      <c r="L4" s="48" t="s">
        <v>467</v>
      </c>
      <c r="M4" s="49" t="s">
        <v>785</v>
      </c>
    </row>
    <row r="5" spans="1:13">
      <c r="A5" s="34">
        <v>2</v>
      </c>
      <c r="B5" s="34" t="s">
        <v>493</v>
      </c>
      <c r="C5" s="46">
        <v>4291</v>
      </c>
      <c r="D5" s="46">
        <v>4131</v>
      </c>
      <c r="E5" s="46">
        <v>3</v>
      </c>
      <c r="F5" s="47">
        <v>41</v>
      </c>
      <c r="G5" s="46">
        <v>41</v>
      </c>
      <c r="H5" s="46">
        <v>0</v>
      </c>
      <c r="I5" s="46">
        <v>10</v>
      </c>
      <c r="J5" s="46">
        <v>1</v>
      </c>
      <c r="K5" s="35">
        <v>19635747.109999999</v>
      </c>
      <c r="L5" s="48" t="s">
        <v>438</v>
      </c>
      <c r="M5" s="49" t="s">
        <v>786</v>
      </c>
    </row>
    <row r="6" spans="1:13">
      <c r="A6" s="34">
        <v>2</v>
      </c>
      <c r="B6" s="34" t="s">
        <v>490</v>
      </c>
      <c r="C6" s="46">
        <v>4291</v>
      </c>
      <c r="D6" s="46">
        <v>2500</v>
      </c>
      <c r="E6" s="46">
        <v>4</v>
      </c>
      <c r="F6" s="47">
        <v>41</v>
      </c>
      <c r="G6" s="46">
        <v>42</v>
      </c>
      <c r="H6" s="46">
        <v>0</v>
      </c>
      <c r="I6" s="46">
        <v>10</v>
      </c>
      <c r="J6" s="46">
        <v>1</v>
      </c>
      <c r="K6" s="35">
        <v>3193139</v>
      </c>
      <c r="L6" s="48" t="s">
        <v>438</v>
      </c>
      <c r="M6" s="49" t="s">
        <v>786</v>
      </c>
    </row>
    <row r="7" spans="1:13">
      <c r="A7" s="34">
        <v>2</v>
      </c>
      <c r="B7" s="34" t="s">
        <v>490</v>
      </c>
      <c r="C7" s="46">
        <v>4291</v>
      </c>
      <c r="D7" s="46">
        <v>4125</v>
      </c>
      <c r="E7" s="46">
        <v>3</v>
      </c>
      <c r="F7" s="47">
        <v>41</v>
      </c>
      <c r="G7" s="46">
        <v>41</v>
      </c>
      <c r="H7" s="46">
        <v>0</v>
      </c>
      <c r="I7" s="46">
        <v>10</v>
      </c>
      <c r="J7" s="46">
        <v>1</v>
      </c>
      <c r="K7" s="35">
        <v>3689216.96</v>
      </c>
      <c r="L7" s="48" t="s">
        <v>438</v>
      </c>
      <c r="M7" s="49" t="s">
        <v>786</v>
      </c>
    </row>
    <row r="8" spans="1:13">
      <c r="A8" s="34">
        <v>2</v>
      </c>
      <c r="B8" s="34" t="s">
        <v>490</v>
      </c>
      <c r="C8" s="46">
        <v>4291</v>
      </c>
      <c r="D8" s="46">
        <v>4127</v>
      </c>
      <c r="E8" s="46">
        <v>4</v>
      </c>
      <c r="F8" s="47">
        <v>41</v>
      </c>
      <c r="G8" s="46">
        <v>42</v>
      </c>
      <c r="H8" s="46">
        <v>0</v>
      </c>
      <c r="I8" s="46">
        <v>10</v>
      </c>
      <c r="J8" s="46">
        <v>1</v>
      </c>
      <c r="K8" s="35">
        <v>12753391.15</v>
      </c>
      <c r="L8" s="48" t="s">
        <v>438</v>
      </c>
      <c r="M8" s="49" t="s">
        <v>786</v>
      </c>
    </row>
    <row r="9" spans="1:13">
      <c r="A9" s="34">
        <v>3</v>
      </c>
      <c r="B9" s="34" t="s">
        <v>490</v>
      </c>
      <c r="C9" s="46">
        <v>1261</v>
      </c>
      <c r="D9" s="46">
        <v>2096</v>
      </c>
      <c r="E9" s="46">
        <v>3</v>
      </c>
      <c r="F9" s="47">
        <v>90</v>
      </c>
      <c r="G9" s="46">
        <v>13</v>
      </c>
      <c r="H9" s="46">
        <v>0</v>
      </c>
      <c r="I9" s="46">
        <v>10</v>
      </c>
      <c r="J9" s="46">
        <v>7</v>
      </c>
      <c r="K9" s="35">
        <v>800000</v>
      </c>
      <c r="L9" s="48" t="s">
        <v>438</v>
      </c>
      <c r="M9" s="51" t="s">
        <v>787</v>
      </c>
    </row>
    <row r="10" spans="1:13">
      <c r="A10" s="46">
        <v>3</v>
      </c>
      <c r="B10" s="34" t="s">
        <v>493</v>
      </c>
      <c r="C10" s="46">
        <v>1261</v>
      </c>
      <c r="D10" s="46">
        <v>2097</v>
      </c>
      <c r="E10" s="46">
        <v>1</v>
      </c>
      <c r="F10" s="47">
        <v>90</v>
      </c>
      <c r="G10" s="46">
        <v>13</v>
      </c>
      <c r="H10" s="46">
        <v>0</v>
      </c>
      <c r="I10" s="46">
        <v>10</v>
      </c>
      <c r="J10" s="46">
        <v>1</v>
      </c>
      <c r="K10" s="50">
        <v>800000</v>
      </c>
      <c r="L10" s="48" t="s">
        <v>438</v>
      </c>
      <c r="M10" s="49"/>
    </row>
    <row r="11" spans="1:13">
      <c r="A11" s="46"/>
      <c r="B11" s="34"/>
      <c r="C11" s="46"/>
      <c r="D11" s="46"/>
      <c r="E11" s="46"/>
      <c r="F11" s="47"/>
      <c r="G11" s="46"/>
      <c r="H11" s="46"/>
      <c r="I11" s="46"/>
      <c r="J11" s="46"/>
      <c r="K11" s="50"/>
      <c r="L11" s="48"/>
      <c r="M11" s="49"/>
    </row>
    <row r="12" spans="1:13">
      <c r="A12" s="46"/>
      <c r="B12" s="34"/>
      <c r="C12" s="46"/>
      <c r="D12" s="46"/>
      <c r="E12" s="46"/>
      <c r="F12" s="47"/>
      <c r="G12" s="46"/>
      <c r="H12" s="46"/>
      <c r="I12" s="46"/>
      <c r="J12" s="46"/>
      <c r="K12" s="50"/>
      <c r="L12" s="48"/>
      <c r="M12" s="49"/>
    </row>
    <row r="13" spans="1:13">
      <c r="A13" s="46"/>
      <c r="B13" s="34"/>
      <c r="C13" s="46"/>
      <c r="D13" s="46"/>
      <c r="E13" s="46"/>
      <c r="F13" s="47"/>
      <c r="G13" s="46"/>
      <c r="H13" s="46"/>
      <c r="I13" s="46"/>
      <c r="J13" s="46"/>
      <c r="K13" s="35"/>
      <c r="L13" s="48"/>
      <c r="M13" s="49"/>
    </row>
    <row r="14" spans="1:13">
      <c r="A14" s="46"/>
      <c r="B14" s="34"/>
      <c r="C14" s="46"/>
      <c r="D14" s="46"/>
      <c r="E14" s="46"/>
      <c r="F14" s="47"/>
      <c r="G14" s="46"/>
      <c r="H14" s="46"/>
      <c r="I14" s="46"/>
      <c r="J14" s="46"/>
      <c r="K14" s="35"/>
      <c r="L14" s="48"/>
      <c r="M14" s="49"/>
    </row>
    <row r="15" spans="1:13">
      <c r="A15" s="46"/>
      <c r="B15" s="34"/>
      <c r="C15" s="46"/>
      <c r="D15" s="46"/>
      <c r="E15" s="46"/>
      <c r="F15" s="47"/>
      <c r="G15" s="46"/>
      <c r="H15" s="46"/>
      <c r="I15" s="46"/>
      <c r="J15" s="46"/>
      <c r="K15" s="35"/>
      <c r="L15" s="48"/>
      <c r="M15" s="49"/>
    </row>
    <row r="16" spans="1:13">
      <c r="A16" s="46"/>
      <c r="B16" s="34"/>
      <c r="C16" s="46"/>
      <c r="D16" s="46"/>
      <c r="E16" s="46"/>
      <c r="F16" s="47"/>
      <c r="G16" s="46"/>
      <c r="H16" s="46"/>
      <c r="I16" s="46"/>
      <c r="J16" s="46"/>
      <c r="K16" s="35"/>
      <c r="L16" s="48"/>
      <c r="M16" s="49"/>
    </row>
    <row r="17" spans="1:13">
      <c r="A17" s="46"/>
      <c r="B17" s="34"/>
      <c r="C17" s="46"/>
      <c r="D17" s="46"/>
      <c r="E17" s="46"/>
      <c r="F17" s="47"/>
      <c r="G17" s="46"/>
      <c r="H17" s="46"/>
      <c r="I17" s="46"/>
      <c r="J17" s="46"/>
      <c r="K17" s="35"/>
      <c r="L17" s="48"/>
      <c r="M17" s="49"/>
    </row>
    <row r="18" spans="1:13">
      <c r="A18" s="46"/>
      <c r="B18" s="34"/>
      <c r="C18" s="46"/>
      <c r="D18" s="46"/>
      <c r="E18" s="46"/>
      <c r="F18" s="47"/>
      <c r="G18" s="46"/>
      <c r="H18" s="46"/>
      <c r="I18" s="46"/>
      <c r="J18" s="46"/>
      <c r="K18" s="35"/>
      <c r="L18" s="48"/>
      <c r="M18" s="49"/>
    </row>
    <row r="19" spans="1:13">
      <c r="A19" s="46"/>
      <c r="B19" s="34"/>
      <c r="C19" s="46"/>
      <c r="D19" s="46"/>
      <c r="E19" s="46"/>
      <c r="F19" s="47"/>
      <c r="G19" s="46"/>
      <c r="H19" s="46"/>
      <c r="I19" s="46"/>
      <c r="J19" s="46"/>
      <c r="K19" s="35"/>
      <c r="L19" s="48"/>
      <c r="M19" s="49"/>
    </row>
    <row r="20" spans="1:13">
      <c r="A20" s="46"/>
      <c r="B20" s="34"/>
      <c r="C20" s="46"/>
      <c r="D20" s="46"/>
      <c r="E20" s="46"/>
      <c r="F20" s="47"/>
      <c r="G20" s="46"/>
      <c r="H20" s="46"/>
      <c r="I20" s="46"/>
      <c r="J20" s="46"/>
      <c r="K20" s="35"/>
      <c r="L20" s="48"/>
      <c r="M20" s="49"/>
    </row>
    <row r="21" spans="1:13">
      <c r="A21" s="46"/>
      <c r="B21" s="34"/>
      <c r="C21" s="46"/>
      <c r="D21" s="46"/>
      <c r="E21" s="46"/>
      <c r="F21" s="47"/>
      <c r="G21" s="46"/>
      <c r="H21" s="46"/>
      <c r="I21" s="46"/>
      <c r="J21" s="46"/>
      <c r="K21" s="35"/>
      <c r="L21" s="48"/>
      <c r="M21" s="49"/>
    </row>
    <row r="22" spans="1:13">
      <c r="A22" s="46"/>
      <c r="B22" s="34"/>
      <c r="C22" s="46"/>
      <c r="D22" s="46"/>
      <c r="E22" s="46"/>
      <c r="F22" s="47"/>
      <c r="G22" s="46"/>
      <c r="H22" s="46"/>
      <c r="I22" s="46"/>
      <c r="J22" s="46"/>
      <c r="K22" s="35"/>
      <c r="L22" s="48"/>
      <c r="M22" s="49"/>
    </row>
    <row r="23" spans="1:13">
      <c r="A23" s="46"/>
      <c r="B23" s="34"/>
      <c r="C23" s="46"/>
      <c r="D23" s="46"/>
      <c r="E23" s="46"/>
      <c r="F23" s="47"/>
      <c r="G23" s="46"/>
      <c r="H23" s="46"/>
      <c r="I23" s="46"/>
      <c r="J23" s="46"/>
      <c r="K23" s="35"/>
      <c r="L23" s="48"/>
      <c r="M23" s="49"/>
    </row>
    <row r="24" spans="1:13">
      <c r="A24" s="34"/>
      <c r="B24" s="34"/>
      <c r="C24" s="46"/>
      <c r="D24" s="46"/>
      <c r="E24" s="46"/>
      <c r="F24" s="47"/>
      <c r="G24" s="46"/>
      <c r="H24" s="46"/>
      <c r="I24" s="46"/>
      <c r="J24" s="46"/>
      <c r="K24" s="35"/>
      <c r="L24" s="48"/>
      <c r="M24" s="49"/>
    </row>
    <row r="25" spans="1:13">
      <c r="A25" s="34"/>
      <c r="B25" s="34"/>
      <c r="C25" s="46"/>
      <c r="D25" s="46"/>
      <c r="E25" s="46"/>
      <c r="F25" s="47"/>
      <c r="G25" s="46"/>
      <c r="H25" s="46"/>
      <c r="I25" s="46"/>
      <c r="J25" s="46"/>
      <c r="K25" s="35"/>
      <c r="L25" s="48"/>
      <c r="M25" s="49"/>
    </row>
    <row r="26" spans="1:13">
      <c r="A26" s="34"/>
      <c r="B26" s="34"/>
      <c r="C26" s="46"/>
      <c r="D26" s="46"/>
      <c r="E26" s="46"/>
      <c r="F26" s="47"/>
      <c r="G26" s="46"/>
      <c r="H26" s="46"/>
      <c r="I26" s="46"/>
      <c r="J26" s="46"/>
      <c r="K26" s="35"/>
      <c r="L26" s="48"/>
      <c r="M26" s="49"/>
    </row>
    <row r="27" spans="1:13">
      <c r="A27" s="34"/>
      <c r="B27" s="34"/>
      <c r="C27" s="46"/>
      <c r="D27" s="46"/>
      <c r="E27" s="46"/>
      <c r="F27" s="47"/>
      <c r="G27" s="46"/>
      <c r="H27" s="46"/>
      <c r="I27" s="46"/>
      <c r="J27" s="46"/>
      <c r="K27" s="35"/>
      <c r="L27" s="48"/>
      <c r="M27" s="49"/>
    </row>
    <row r="28" spans="1:13">
      <c r="A28" s="34"/>
      <c r="B28" s="34"/>
      <c r="C28" s="46"/>
      <c r="D28" s="46"/>
      <c r="E28" s="46"/>
      <c r="F28" s="47"/>
      <c r="G28" s="46"/>
      <c r="H28" s="46"/>
      <c r="I28" s="46"/>
      <c r="J28" s="46"/>
      <c r="K28" s="35"/>
      <c r="L28" s="48"/>
      <c r="M28" s="49"/>
    </row>
    <row r="29" spans="1:13">
      <c r="A29" s="34"/>
      <c r="B29" s="34"/>
      <c r="C29" s="46"/>
      <c r="D29" s="46"/>
      <c r="E29" s="46"/>
      <c r="F29" s="47"/>
      <c r="G29" s="46"/>
      <c r="H29" s="46"/>
      <c r="I29" s="46"/>
      <c r="J29" s="46"/>
      <c r="K29" s="35"/>
      <c r="L29" s="48"/>
      <c r="M29" s="49"/>
    </row>
    <row r="30" spans="1:13">
      <c r="A30" s="34"/>
      <c r="B30" s="34"/>
      <c r="C30" s="46"/>
      <c r="D30" s="46"/>
      <c r="E30" s="46"/>
      <c r="F30" s="47"/>
      <c r="G30" s="46"/>
      <c r="H30" s="46"/>
      <c r="I30" s="46"/>
      <c r="J30" s="46"/>
      <c r="K30" s="35"/>
      <c r="L30" s="48"/>
      <c r="M30" s="49"/>
    </row>
    <row r="31" spans="1:13">
      <c r="A31" s="34"/>
      <c r="B31" s="34"/>
      <c r="C31" s="46"/>
      <c r="D31" s="46"/>
      <c r="E31" s="46"/>
      <c r="F31" s="47"/>
      <c r="G31" s="46"/>
      <c r="H31" s="46"/>
      <c r="I31" s="46"/>
      <c r="J31" s="46"/>
      <c r="K31" s="35"/>
      <c r="L31" s="48"/>
      <c r="M31" s="49"/>
    </row>
    <row r="32" spans="1:13">
      <c r="A32" s="34"/>
      <c r="B32" s="34"/>
      <c r="C32" s="46"/>
      <c r="D32" s="46"/>
      <c r="E32" s="46"/>
      <c r="F32" s="47"/>
      <c r="G32" s="46"/>
      <c r="H32" s="46"/>
      <c r="I32" s="46"/>
      <c r="J32" s="46"/>
      <c r="K32" s="35"/>
      <c r="L32" s="48"/>
      <c r="M32" s="49"/>
    </row>
    <row r="33" spans="1:13">
      <c r="A33" s="34"/>
      <c r="B33" s="34"/>
      <c r="C33" s="46"/>
      <c r="D33" s="46"/>
      <c r="E33" s="46"/>
      <c r="F33" s="47"/>
      <c r="G33" s="46"/>
      <c r="H33" s="46"/>
      <c r="I33" s="46"/>
      <c r="J33" s="46"/>
      <c r="K33" s="35"/>
      <c r="L33" s="48"/>
      <c r="M33" s="49"/>
    </row>
    <row r="34" spans="1:13">
      <c r="A34" s="34"/>
      <c r="B34" s="34"/>
      <c r="C34" s="46"/>
      <c r="D34" s="46"/>
      <c r="E34" s="46"/>
      <c r="F34" s="47"/>
      <c r="G34" s="46"/>
      <c r="H34" s="46"/>
      <c r="I34" s="46"/>
      <c r="J34" s="46"/>
      <c r="K34" s="35"/>
      <c r="L34" s="48"/>
      <c r="M34" s="49"/>
    </row>
    <row r="35" spans="1:13">
      <c r="A35" s="34"/>
      <c r="B35" s="34"/>
      <c r="C35" s="46"/>
      <c r="D35" s="46"/>
      <c r="E35" s="46"/>
      <c r="F35" s="47"/>
      <c r="G35" s="46"/>
      <c r="H35" s="46"/>
      <c r="I35" s="46"/>
      <c r="J35" s="46"/>
      <c r="K35" s="35"/>
      <c r="L35" s="48"/>
      <c r="M35" s="49"/>
    </row>
    <row r="36" spans="1:13">
      <c r="A36" s="34"/>
      <c r="B36" s="34"/>
      <c r="C36" s="46"/>
      <c r="D36" s="46"/>
      <c r="E36" s="46"/>
      <c r="F36" s="47"/>
      <c r="G36" s="46"/>
      <c r="H36" s="46"/>
      <c r="I36" s="46"/>
      <c r="J36" s="46"/>
      <c r="K36" s="35"/>
      <c r="L36" s="48"/>
      <c r="M36" s="49"/>
    </row>
    <row r="37" spans="1:13">
      <c r="A37" s="34"/>
      <c r="B37" s="34"/>
      <c r="C37" s="46"/>
      <c r="D37" s="46"/>
      <c r="E37" s="46"/>
      <c r="F37" s="47"/>
      <c r="G37" s="46"/>
      <c r="H37" s="46"/>
      <c r="I37" s="46"/>
      <c r="J37" s="46"/>
      <c r="K37" s="35"/>
      <c r="L37" s="48"/>
      <c r="M37" s="49"/>
    </row>
    <row r="38" spans="1:13">
      <c r="A38" s="34"/>
      <c r="B38" s="34"/>
      <c r="C38" s="46"/>
      <c r="D38" s="46"/>
      <c r="E38" s="46"/>
      <c r="F38" s="47"/>
      <c r="G38" s="46"/>
      <c r="H38" s="46"/>
      <c r="I38" s="46"/>
      <c r="J38" s="46"/>
      <c r="K38" s="35"/>
      <c r="L38" s="48"/>
      <c r="M38" s="49"/>
    </row>
    <row r="39" spans="1:13">
      <c r="A39" s="34"/>
      <c r="B39" s="34"/>
      <c r="C39" s="46"/>
      <c r="D39" s="46"/>
      <c r="E39" s="46"/>
      <c r="F39" s="47"/>
      <c r="G39" s="46"/>
      <c r="H39" s="46"/>
      <c r="I39" s="46"/>
      <c r="J39" s="46"/>
      <c r="K39" s="35"/>
      <c r="L39" s="48"/>
      <c r="M39" s="49"/>
    </row>
    <row r="40" spans="1:13">
      <c r="A40" s="34"/>
      <c r="B40" s="34"/>
      <c r="C40" s="46"/>
      <c r="D40" s="46"/>
      <c r="E40" s="46"/>
      <c r="F40" s="47"/>
      <c r="G40" s="46"/>
      <c r="H40" s="46"/>
      <c r="I40" s="46"/>
      <c r="J40" s="46"/>
      <c r="K40" s="35"/>
      <c r="L40" s="48"/>
      <c r="M40" s="49"/>
    </row>
    <row r="41" spans="1:13">
      <c r="A41" s="34"/>
      <c r="B41" s="34"/>
      <c r="C41" s="46"/>
      <c r="D41" s="46"/>
      <c r="E41" s="46"/>
      <c r="F41" s="47"/>
      <c r="G41" s="46"/>
      <c r="H41" s="46"/>
      <c r="I41" s="46"/>
      <c r="J41" s="46"/>
      <c r="K41" s="35"/>
      <c r="L41" s="48"/>
      <c r="M41" s="49"/>
    </row>
    <row r="42" spans="1:13">
      <c r="A42" s="34"/>
      <c r="B42" s="34"/>
      <c r="C42" s="46"/>
      <c r="D42" s="46"/>
      <c r="E42" s="46"/>
      <c r="F42" s="47"/>
      <c r="G42" s="46"/>
      <c r="H42" s="46"/>
      <c r="I42" s="46"/>
      <c r="J42" s="46"/>
      <c r="K42" s="35"/>
      <c r="L42" s="48"/>
      <c r="M42" s="49"/>
    </row>
    <row r="43" spans="1:13">
      <c r="A43" s="34"/>
      <c r="B43" s="34"/>
      <c r="C43" s="46"/>
      <c r="D43" s="46"/>
      <c r="E43" s="46"/>
      <c r="F43" s="47"/>
      <c r="G43" s="46"/>
      <c r="H43" s="46"/>
      <c r="I43" s="46"/>
      <c r="J43" s="46"/>
      <c r="K43" s="35"/>
      <c r="L43" s="48"/>
      <c r="M43" s="49"/>
    </row>
    <row r="44" spans="1:13">
      <c r="A44" s="34"/>
      <c r="B44" s="34"/>
      <c r="C44" s="46"/>
      <c r="D44" s="46"/>
      <c r="E44" s="46"/>
      <c r="F44" s="47"/>
      <c r="G44" s="46"/>
      <c r="H44" s="46"/>
      <c r="I44" s="46"/>
      <c r="J44" s="46"/>
      <c r="K44" s="35"/>
      <c r="L44" s="48"/>
      <c r="M44" s="49"/>
    </row>
    <row r="45" spans="1:13">
      <c r="A45" s="34"/>
      <c r="B45" s="34"/>
      <c r="C45" s="46"/>
      <c r="D45" s="46"/>
      <c r="E45" s="46"/>
      <c r="F45" s="47"/>
      <c r="G45" s="46"/>
      <c r="H45" s="46"/>
      <c r="I45" s="46"/>
      <c r="J45" s="46"/>
      <c r="K45" s="35"/>
      <c r="L45" s="48"/>
      <c r="M45" s="49"/>
    </row>
    <row r="46" spans="1:13">
      <c r="A46" s="34"/>
      <c r="B46" s="34"/>
      <c r="C46" s="46"/>
      <c r="D46" s="46"/>
      <c r="E46" s="46"/>
      <c r="F46" s="47"/>
      <c r="G46" s="46"/>
      <c r="H46" s="46"/>
      <c r="I46" s="46"/>
      <c r="J46" s="46"/>
      <c r="K46" s="35"/>
      <c r="L46" s="48"/>
      <c r="M46" s="49"/>
    </row>
    <row r="47" spans="1:13">
      <c r="A47" s="34"/>
      <c r="B47" s="34"/>
      <c r="C47" s="46"/>
      <c r="D47" s="46"/>
      <c r="E47" s="46"/>
      <c r="F47" s="47"/>
      <c r="G47" s="46"/>
      <c r="H47" s="46"/>
      <c r="I47" s="46"/>
      <c r="J47" s="46"/>
      <c r="K47" s="35"/>
      <c r="L47" s="48"/>
      <c r="M47" s="49"/>
    </row>
    <row r="48" spans="1:13">
      <c r="A48" s="34"/>
      <c r="B48" s="34"/>
      <c r="C48" s="46"/>
      <c r="D48" s="46"/>
      <c r="E48" s="46"/>
      <c r="F48" s="47"/>
      <c r="G48" s="46"/>
      <c r="H48" s="46"/>
      <c r="I48" s="46"/>
      <c r="J48" s="46"/>
      <c r="K48" s="35"/>
      <c r="L48" s="48"/>
      <c r="M48" s="49"/>
    </row>
    <row r="49" spans="1:13">
      <c r="A49" s="34"/>
      <c r="B49" s="34"/>
      <c r="C49" s="46"/>
      <c r="D49" s="46"/>
      <c r="E49" s="46"/>
      <c r="F49" s="47"/>
      <c r="G49" s="46"/>
      <c r="H49" s="46"/>
      <c r="I49" s="46"/>
      <c r="J49" s="46"/>
      <c r="K49" s="35"/>
      <c r="L49" s="48"/>
      <c r="M49" s="49"/>
    </row>
    <row r="50" spans="1:13">
      <c r="A50" s="34"/>
      <c r="B50" s="34"/>
      <c r="C50" s="46"/>
      <c r="D50" s="46"/>
      <c r="E50" s="46"/>
      <c r="F50" s="47"/>
      <c r="G50" s="46"/>
      <c r="H50" s="46"/>
      <c r="I50" s="46"/>
      <c r="J50" s="46"/>
      <c r="K50" s="35"/>
      <c r="L50" s="48"/>
      <c r="M50" s="49"/>
    </row>
    <row r="51" spans="1:13">
      <c r="A51" s="34"/>
      <c r="B51" s="34"/>
      <c r="C51" s="46"/>
      <c r="D51" s="46"/>
      <c r="E51" s="46"/>
      <c r="F51" s="47"/>
      <c r="G51" s="46"/>
      <c r="H51" s="46"/>
      <c r="I51" s="46"/>
      <c r="J51" s="46"/>
      <c r="K51" s="35"/>
      <c r="L51" s="48"/>
      <c r="M51" s="49"/>
    </row>
    <row r="52" spans="1:13">
      <c r="A52" s="34"/>
      <c r="B52" s="34"/>
      <c r="C52" s="37"/>
      <c r="D52" s="37"/>
      <c r="E52" s="37"/>
      <c r="F52" s="38"/>
      <c r="G52" s="37"/>
      <c r="H52" s="37"/>
      <c r="I52" s="37"/>
      <c r="J52" s="37"/>
      <c r="K52" s="35"/>
      <c r="L52" s="39"/>
      <c r="M52" s="45"/>
    </row>
    <row r="53" spans="1:13">
      <c r="A53" s="34"/>
      <c r="B53" s="34"/>
      <c r="C53" s="37"/>
      <c r="D53" s="37"/>
      <c r="E53" s="37"/>
      <c r="F53" s="38"/>
      <c r="G53" s="37"/>
      <c r="H53" s="37"/>
      <c r="I53" s="37"/>
      <c r="J53" s="37"/>
      <c r="K53" s="35"/>
      <c r="L53" s="39"/>
      <c r="M53" s="45"/>
    </row>
    <row r="54" spans="1:13">
      <c r="A54" s="34"/>
      <c r="B54" s="34"/>
      <c r="C54" s="37"/>
      <c r="D54" s="37"/>
      <c r="E54" s="37"/>
      <c r="F54" s="38"/>
      <c r="G54" s="37"/>
      <c r="H54" s="37"/>
      <c r="I54" s="37"/>
      <c r="J54" s="37"/>
      <c r="K54" s="35"/>
      <c r="L54" s="39"/>
      <c r="M54" s="45"/>
    </row>
    <row r="55" spans="1:13">
      <c r="A55" s="34"/>
      <c r="B55" s="34"/>
      <c r="C55" s="37"/>
      <c r="D55" s="37"/>
      <c r="E55" s="37"/>
      <c r="F55" s="38"/>
      <c r="G55" s="37"/>
      <c r="H55" s="37"/>
      <c r="I55" s="37"/>
      <c r="J55" s="37"/>
      <c r="K55" s="35"/>
      <c r="L55" s="39"/>
      <c r="M55" s="45"/>
    </row>
    <row r="56" spans="1:13">
      <c r="A56" s="34"/>
      <c r="B56" s="34"/>
      <c r="C56" s="37"/>
      <c r="D56" s="37"/>
      <c r="E56" s="37"/>
      <c r="F56" s="38"/>
      <c r="G56" s="37"/>
      <c r="H56" s="37"/>
      <c r="I56" s="37"/>
      <c r="J56" s="37"/>
      <c r="K56" s="35"/>
      <c r="L56" s="39"/>
      <c r="M56" s="45"/>
    </row>
    <row r="57" spans="1:13">
      <c r="A57" s="34"/>
      <c r="B57" s="34"/>
      <c r="C57" s="37"/>
      <c r="D57" s="37"/>
      <c r="E57" s="37"/>
      <c r="F57" s="38"/>
      <c r="G57" s="37"/>
      <c r="H57" s="37"/>
      <c r="I57" s="37"/>
      <c r="J57" s="37"/>
      <c r="K57" s="35"/>
      <c r="L57" s="39"/>
      <c r="M57" s="45"/>
    </row>
    <row r="58" spans="1:13">
      <c r="A58" s="34"/>
      <c r="B58" s="34"/>
      <c r="C58" s="37"/>
      <c r="D58" s="37"/>
      <c r="E58" s="37"/>
      <c r="F58" s="38"/>
      <c r="G58" s="37"/>
      <c r="H58" s="37"/>
      <c r="I58" s="37"/>
      <c r="J58" s="37"/>
      <c r="K58" s="35"/>
      <c r="L58" s="39"/>
      <c r="M58" s="45"/>
    </row>
    <row r="59" spans="1:13">
      <c r="A59" s="34"/>
      <c r="B59" s="34"/>
      <c r="C59" s="37"/>
      <c r="D59" s="37"/>
      <c r="E59" s="37"/>
      <c r="F59" s="38"/>
      <c r="G59" s="37"/>
      <c r="H59" s="37"/>
      <c r="I59" s="37"/>
      <c r="J59" s="37"/>
      <c r="K59" s="35"/>
      <c r="L59" s="39"/>
      <c r="M59" s="45"/>
    </row>
    <row r="60" spans="1:13">
      <c r="A60" s="34"/>
      <c r="B60" s="34"/>
      <c r="C60" s="37"/>
      <c r="D60" s="37"/>
      <c r="E60" s="37"/>
      <c r="F60" s="38"/>
      <c r="G60" s="37"/>
      <c r="H60" s="37"/>
      <c r="I60" s="37"/>
      <c r="J60" s="37"/>
      <c r="K60" s="35"/>
      <c r="L60" s="39"/>
      <c r="M60" s="45"/>
    </row>
    <row r="61" spans="1:13">
      <c r="A61" s="34"/>
      <c r="B61" s="34"/>
      <c r="C61" s="37"/>
      <c r="D61" s="37"/>
      <c r="E61" s="37"/>
      <c r="F61" s="38"/>
      <c r="G61" s="37"/>
      <c r="H61" s="37"/>
      <c r="I61" s="37"/>
      <c r="J61" s="37"/>
      <c r="K61" s="35"/>
      <c r="L61" s="39"/>
      <c r="M61" s="45"/>
    </row>
    <row r="62" spans="1:13">
      <c r="A62" s="34"/>
      <c r="B62" s="34"/>
      <c r="C62" s="37"/>
      <c r="D62" s="37"/>
      <c r="E62" s="37"/>
      <c r="F62" s="38"/>
      <c r="G62" s="37"/>
      <c r="H62" s="37"/>
      <c r="I62" s="37"/>
      <c r="J62" s="37"/>
      <c r="K62" s="35"/>
      <c r="L62" s="39"/>
      <c r="M62" s="45"/>
    </row>
    <row r="63" spans="1:13">
      <c r="A63" s="34"/>
      <c r="B63" s="34"/>
      <c r="C63" s="37"/>
      <c r="D63" s="37"/>
      <c r="E63" s="37"/>
      <c r="F63" s="38"/>
      <c r="G63" s="37"/>
      <c r="H63" s="37"/>
      <c r="I63" s="37"/>
      <c r="J63" s="37"/>
      <c r="K63" s="35"/>
      <c r="L63" s="39"/>
      <c r="M63" s="45"/>
    </row>
    <row r="64" spans="1:13">
      <c r="A64" s="34"/>
      <c r="B64" s="34"/>
      <c r="C64" s="37"/>
      <c r="D64" s="37"/>
      <c r="E64" s="37"/>
      <c r="F64" s="38"/>
      <c r="G64" s="37"/>
      <c r="H64" s="37"/>
      <c r="I64" s="37"/>
      <c r="J64" s="37"/>
      <c r="K64" s="35"/>
      <c r="L64" s="39"/>
      <c r="M64" s="45"/>
    </row>
    <row r="65" spans="1:13">
      <c r="A65" s="34"/>
      <c r="B65" s="34"/>
      <c r="C65" s="37"/>
      <c r="D65" s="37"/>
      <c r="E65" s="37"/>
      <c r="F65" s="38"/>
      <c r="G65" s="37"/>
      <c r="H65" s="37"/>
      <c r="I65" s="37"/>
      <c r="J65" s="37"/>
      <c r="K65" s="35"/>
      <c r="L65" s="39"/>
      <c r="M65" s="45"/>
    </row>
    <row r="66" spans="1:13">
      <c r="A66" s="34"/>
      <c r="B66" s="34"/>
      <c r="C66" s="37"/>
      <c r="D66" s="37"/>
      <c r="E66" s="37"/>
      <c r="F66" s="38"/>
      <c r="G66" s="37"/>
      <c r="H66" s="37"/>
      <c r="I66" s="37"/>
      <c r="J66" s="37"/>
      <c r="K66" s="35"/>
      <c r="L66" s="39"/>
      <c r="M66" s="45"/>
    </row>
    <row r="67" spans="1:13">
      <c r="A67" s="34"/>
      <c r="B67" s="34"/>
      <c r="C67" s="37"/>
      <c r="D67" s="37"/>
      <c r="E67" s="37"/>
      <c r="F67" s="38"/>
      <c r="G67" s="37"/>
      <c r="H67" s="37"/>
      <c r="I67" s="37"/>
      <c r="J67" s="37"/>
      <c r="K67" s="35"/>
      <c r="L67" s="39"/>
      <c r="M67" s="45"/>
    </row>
    <row r="68" spans="1:13">
      <c r="A68" s="34"/>
      <c r="B68" s="34"/>
      <c r="C68" s="37"/>
      <c r="D68" s="37"/>
      <c r="E68" s="37"/>
      <c r="F68" s="38"/>
      <c r="G68" s="37"/>
      <c r="H68" s="37"/>
      <c r="I68" s="37"/>
      <c r="J68" s="37"/>
      <c r="K68" s="35"/>
      <c r="L68" s="39"/>
      <c r="M68" s="45"/>
    </row>
    <row r="69" spans="1:13">
      <c r="A69" s="34"/>
      <c r="B69" s="34"/>
      <c r="C69" s="37"/>
      <c r="D69" s="37"/>
      <c r="E69" s="37"/>
      <c r="F69" s="38"/>
      <c r="G69" s="37"/>
      <c r="H69" s="37"/>
      <c r="I69" s="37"/>
      <c r="J69" s="37"/>
      <c r="K69" s="35"/>
      <c r="L69" s="39"/>
      <c r="M69" s="45"/>
    </row>
    <row r="70" spans="1:13">
      <c r="A70" s="34"/>
      <c r="B70" s="34"/>
      <c r="C70" s="37"/>
      <c r="D70" s="37"/>
      <c r="E70" s="37"/>
      <c r="F70" s="38"/>
      <c r="G70" s="37"/>
      <c r="H70" s="37"/>
      <c r="I70" s="37"/>
      <c r="J70" s="37"/>
      <c r="K70" s="35"/>
      <c r="L70" s="39"/>
      <c r="M70" s="45"/>
    </row>
    <row r="71" spans="1:13">
      <c r="A71" s="34"/>
      <c r="B71" s="34"/>
      <c r="C71" s="37"/>
      <c r="D71" s="37"/>
      <c r="E71" s="37"/>
      <c r="F71" s="38"/>
      <c r="G71" s="37"/>
      <c r="H71" s="37"/>
      <c r="I71" s="37"/>
      <c r="J71" s="37"/>
      <c r="K71" s="35"/>
      <c r="L71" s="39"/>
      <c r="M71" s="45"/>
    </row>
    <row r="72" spans="1:13">
      <c r="A72" s="34"/>
      <c r="B72" s="34"/>
      <c r="C72" s="37"/>
      <c r="D72" s="37"/>
      <c r="E72" s="37"/>
      <c r="F72" s="38"/>
      <c r="G72" s="37"/>
      <c r="H72" s="37"/>
      <c r="I72" s="37"/>
      <c r="J72" s="37"/>
      <c r="K72" s="35"/>
      <c r="L72" s="39"/>
      <c r="M72" s="45"/>
    </row>
    <row r="73" spans="1:13">
      <c r="A73" s="34"/>
      <c r="B73" s="34"/>
      <c r="C73" s="37"/>
      <c r="D73" s="37"/>
      <c r="E73" s="37"/>
      <c r="F73" s="38"/>
      <c r="G73" s="37"/>
      <c r="H73" s="37"/>
      <c r="I73" s="37"/>
      <c r="J73" s="37"/>
      <c r="K73" s="35"/>
      <c r="L73" s="39"/>
      <c r="M73" s="45"/>
    </row>
    <row r="74" spans="1:13">
      <c r="A74" s="34"/>
      <c r="B74" s="34"/>
      <c r="C74" s="37"/>
      <c r="D74" s="37"/>
      <c r="E74" s="37"/>
      <c r="F74" s="38"/>
      <c r="G74" s="37"/>
      <c r="H74" s="37"/>
      <c r="I74" s="37"/>
      <c r="J74" s="37"/>
      <c r="K74" s="35"/>
      <c r="L74" s="39"/>
      <c r="M74" s="45"/>
    </row>
    <row r="75" spans="1:13">
      <c r="A75" s="34"/>
      <c r="B75" s="34"/>
      <c r="C75" s="37"/>
      <c r="D75" s="37"/>
      <c r="E75" s="37"/>
      <c r="F75" s="38"/>
      <c r="G75" s="37"/>
      <c r="H75" s="37"/>
      <c r="I75" s="37"/>
      <c r="J75" s="37"/>
      <c r="K75" s="35"/>
      <c r="L75" s="39"/>
      <c r="M75" s="45"/>
    </row>
    <row r="76" spans="1:13">
      <c r="A76" s="34"/>
      <c r="B76" s="34"/>
      <c r="C76" s="37"/>
      <c r="D76" s="37"/>
      <c r="E76" s="37"/>
      <c r="F76" s="38"/>
      <c r="G76" s="37"/>
      <c r="H76" s="37"/>
      <c r="I76" s="37"/>
      <c r="J76" s="37"/>
      <c r="K76" s="35"/>
      <c r="L76" s="39"/>
      <c r="M76" s="45"/>
    </row>
    <row r="77" spans="1:13">
      <c r="A77" s="34"/>
      <c r="B77" s="34"/>
      <c r="C77" s="37"/>
      <c r="D77" s="37"/>
      <c r="E77" s="37"/>
      <c r="F77" s="38"/>
      <c r="G77" s="37"/>
      <c r="H77" s="37"/>
      <c r="I77" s="37"/>
      <c r="J77" s="37"/>
      <c r="K77" s="35"/>
      <c r="L77" s="39"/>
      <c r="M77" s="45"/>
    </row>
    <row r="78" spans="1:13">
      <c r="A78" s="34"/>
      <c r="B78" s="34"/>
      <c r="C78" s="37"/>
      <c r="D78" s="37"/>
      <c r="E78" s="37"/>
      <c r="F78" s="38"/>
      <c r="G78" s="37"/>
      <c r="H78" s="37"/>
      <c r="I78" s="37"/>
      <c r="J78" s="37"/>
      <c r="K78" s="35"/>
      <c r="L78" s="39"/>
      <c r="M78" s="45"/>
    </row>
    <row r="79" spans="1:13">
      <c r="A79" s="34"/>
      <c r="B79" s="34"/>
      <c r="C79" s="37"/>
      <c r="D79" s="37"/>
      <c r="E79" s="37"/>
      <c r="F79" s="38"/>
      <c r="G79" s="37"/>
      <c r="H79" s="37"/>
      <c r="I79" s="37"/>
      <c r="J79" s="37"/>
      <c r="K79" s="35"/>
      <c r="L79" s="39"/>
      <c r="M79" s="45"/>
    </row>
    <row r="80" spans="1:13">
      <c r="A80" s="34"/>
      <c r="B80" s="34"/>
      <c r="C80" s="37"/>
      <c r="D80" s="37"/>
      <c r="E80" s="37"/>
      <c r="F80" s="38"/>
      <c r="G80" s="37"/>
      <c r="H80" s="37"/>
      <c r="I80" s="37"/>
      <c r="J80" s="37"/>
      <c r="K80" s="35"/>
      <c r="L80" s="39"/>
      <c r="M80" s="45"/>
    </row>
    <row r="81" spans="1:13">
      <c r="A81" s="34"/>
      <c r="B81" s="34"/>
      <c r="C81" s="37"/>
      <c r="D81" s="37"/>
      <c r="E81" s="37"/>
      <c r="F81" s="38"/>
      <c r="G81" s="37"/>
      <c r="H81" s="37"/>
      <c r="I81" s="37"/>
      <c r="J81" s="37"/>
      <c r="K81" s="35"/>
      <c r="L81" s="39"/>
      <c r="M81" s="45"/>
    </row>
    <row r="82" spans="1:13">
      <c r="A82" s="34"/>
      <c r="B82" s="34"/>
      <c r="C82" s="37"/>
      <c r="D82" s="37"/>
      <c r="E82" s="37"/>
      <c r="F82" s="38"/>
      <c r="G82" s="37"/>
      <c r="H82" s="37"/>
      <c r="I82" s="37"/>
      <c r="J82" s="37"/>
      <c r="K82" s="35"/>
      <c r="L82" s="39"/>
      <c r="M82" s="45"/>
    </row>
    <row r="83" spans="1:13">
      <c r="A83" s="34"/>
      <c r="B83" s="34"/>
      <c r="C83" s="37"/>
      <c r="D83" s="37"/>
      <c r="E83" s="37"/>
      <c r="F83" s="38"/>
      <c r="G83" s="37"/>
      <c r="H83" s="37"/>
      <c r="I83" s="37"/>
      <c r="J83" s="37"/>
      <c r="K83" s="35"/>
      <c r="L83" s="39"/>
      <c r="M83" s="45"/>
    </row>
    <row r="84" spans="1:13">
      <c r="A84" s="34"/>
      <c r="B84" s="34"/>
      <c r="C84" s="37"/>
      <c r="D84" s="37"/>
      <c r="E84" s="37"/>
      <c r="F84" s="38"/>
      <c r="G84" s="37"/>
      <c r="H84" s="37"/>
      <c r="I84" s="37"/>
      <c r="J84" s="37"/>
      <c r="K84" s="35"/>
      <c r="L84" s="39"/>
      <c r="M84" s="45"/>
    </row>
    <row r="85" spans="1:13">
      <c r="A85" s="34"/>
      <c r="B85" s="34"/>
      <c r="C85" s="37"/>
      <c r="D85" s="37"/>
      <c r="E85" s="37"/>
      <c r="F85" s="38"/>
      <c r="G85" s="37"/>
      <c r="H85" s="37"/>
      <c r="I85" s="37"/>
      <c r="J85" s="37"/>
      <c r="K85" s="35"/>
      <c r="L85" s="39"/>
      <c r="M85" s="45"/>
    </row>
    <row r="86" spans="1:13">
      <c r="A86" s="34"/>
      <c r="B86" s="34"/>
      <c r="C86" s="37"/>
      <c r="D86" s="37"/>
      <c r="E86" s="37"/>
      <c r="F86" s="38"/>
      <c r="G86" s="37"/>
      <c r="H86" s="37"/>
      <c r="I86" s="37"/>
      <c r="J86" s="37"/>
      <c r="K86" s="35"/>
      <c r="L86" s="39"/>
      <c r="M86" s="45"/>
    </row>
    <row r="87" spans="1:13">
      <c r="A87" s="34"/>
      <c r="B87" s="34"/>
      <c r="C87" s="37"/>
      <c r="D87" s="37"/>
      <c r="E87" s="37"/>
      <c r="F87" s="38"/>
      <c r="G87" s="37"/>
      <c r="H87" s="37"/>
      <c r="I87" s="37"/>
      <c r="J87" s="37"/>
      <c r="K87" s="35"/>
      <c r="L87" s="39"/>
      <c r="M87" s="45"/>
    </row>
    <row r="88" spans="1:13">
      <c r="A88" s="34"/>
      <c r="B88" s="34"/>
      <c r="C88" s="37"/>
      <c r="D88" s="37"/>
      <c r="E88" s="37"/>
      <c r="F88" s="38"/>
      <c r="G88" s="37"/>
      <c r="H88" s="37"/>
      <c r="I88" s="37"/>
      <c r="J88" s="37"/>
      <c r="K88" s="35"/>
      <c r="L88" s="39"/>
      <c r="M88" s="45"/>
    </row>
    <row r="89" spans="1:13">
      <c r="A89" s="34"/>
      <c r="B89" s="34"/>
      <c r="C89" s="37"/>
      <c r="D89" s="37"/>
      <c r="E89" s="37"/>
      <c r="F89" s="38"/>
      <c r="G89" s="37"/>
      <c r="H89" s="37"/>
      <c r="I89" s="37"/>
      <c r="J89" s="37"/>
      <c r="K89" s="35"/>
      <c r="L89" s="39"/>
      <c r="M89" s="45"/>
    </row>
    <row r="90" spans="1:13">
      <c r="A90" s="34"/>
      <c r="B90" s="34"/>
      <c r="C90" s="37"/>
      <c r="D90" s="37"/>
      <c r="E90" s="37"/>
      <c r="F90" s="38"/>
      <c r="G90" s="37"/>
      <c r="H90" s="37"/>
      <c r="I90" s="37"/>
      <c r="J90" s="37"/>
      <c r="K90" s="35"/>
      <c r="L90" s="39"/>
      <c r="M90" s="45"/>
    </row>
    <row r="91" spans="1:13">
      <c r="A91" s="34"/>
      <c r="B91" s="34"/>
      <c r="C91" s="37"/>
      <c r="D91" s="37"/>
      <c r="E91" s="37"/>
      <c r="F91" s="38"/>
      <c r="G91" s="37"/>
      <c r="H91" s="37"/>
      <c r="I91" s="37"/>
      <c r="J91" s="37"/>
      <c r="K91" s="35"/>
      <c r="L91" s="39"/>
      <c r="M91" s="45"/>
    </row>
    <row r="92" spans="1:13">
      <c r="A92" s="34"/>
      <c r="B92" s="34"/>
      <c r="C92" s="37"/>
      <c r="D92" s="37"/>
      <c r="E92" s="37"/>
      <c r="F92" s="38"/>
      <c r="G92" s="37"/>
      <c r="H92" s="37"/>
      <c r="I92" s="37"/>
      <c r="J92" s="37"/>
      <c r="K92" s="35"/>
      <c r="L92" s="39"/>
      <c r="M92" s="45"/>
    </row>
    <row r="93" spans="1:13">
      <c r="A93" s="34"/>
      <c r="B93" s="34"/>
      <c r="C93" s="37"/>
      <c r="D93" s="37"/>
      <c r="E93" s="37"/>
      <c r="F93" s="38"/>
      <c r="G93" s="37"/>
      <c r="H93" s="37"/>
      <c r="I93" s="37"/>
      <c r="J93" s="37"/>
      <c r="K93" s="35"/>
      <c r="L93" s="39"/>
      <c r="M93" s="45"/>
    </row>
    <row r="94" spans="1:13">
      <c r="A94" s="34"/>
      <c r="B94" s="34"/>
      <c r="C94" s="37"/>
      <c r="D94" s="37"/>
      <c r="E94" s="37"/>
      <c r="F94" s="38"/>
      <c r="G94" s="37"/>
      <c r="H94" s="37"/>
      <c r="I94" s="37"/>
      <c r="J94" s="37"/>
      <c r="K94" s="35"/>
      <c r="L94" s="39"/>
      <c r="M94" s="45"/>
    </row>
    <row r="95" spans="1:13">
      <c r="A95" s="34"/>
      <c r="B95" s="34"/>
      <c r="C95" s="37"/>
      <c r="D95" s="37"/>
      <c r="E95" s="37"/>
      <c r="F95" s="38"/>
      <c r="G95" s="37"/>
      <c r="H95" s="37"/>
      <c r="I95" s="37"/>
      <c r="J95" s="37"/>
      <c r="K95" s="35"/>
      <c r="L95" s="39"/>
      <c r="M95" s="45"/>
    </row>
    <row r="96" spans="1:13">
      <c r="A96" s="34"/>
      <c r="B96" s="34"/>
      <c r="C96" s="37"/>
      <c r="D96" s="37"/>
      <c r="E96" s="37"/>
      <c r="F96" s="38"/>
      <c r="G96" s="37"/>
      <c r="H96" s="37"/>
      <c r="I96" s="37"/>
      <c r="J96" s="37"/>
      <c r="K96" s="35"/>
      <c r="L96" s="39"/>
      <c r="M96" s="45"/>
    </row>
    <row r="97" spans="1:13">
      <c r="A97" s="34"/>
      <c r="B97" s="34"/>
      <c r="C97" s="37"/>
      <c r="D97" s="37"/>
      <c r="E97" s="37"/>
      <c r="F97" s="38"/>
      <c r="G97" s="37"/>
      <c r="H97" s="37"/>
      <c r="I97" s="37"/>
      <c r="J97" s="37"/>
      <c r="K97" s="35"/>
      <c r="L97" s="39"/>
      <c r="M97" s="45"/>
    </row>
    <row r="98" spans="1:13">
      <c r="A98" s="34"/>
      <c r="B98" s="34"/>
      <c r="C98" s="37"/>
      <c r="D98" s="37"/>
      <c r="E98" s="37"/>
      <c r="F98" s="38"/>
      <c r="G98" s="37"/>
      <c r="H98" s="37"/>
      <c r="I98" s="37"/>
      <c r="J98" s="37"/>
      <c r="K98" s="35"/>
      <c r="L98" s="39"/>
      <c r="M98" s="45"/>
    </row>
    <row r="99" spans="1:13">
      <c r="A99" s="34"/>
      <c r="B99" s="34"/>
      <c r="C99" s="37"/>
      <c r="D99" s="37"/>
      <c r="E99" s="37"/>
      <c r="F99" s="38"/>
      <c r="G99" s="37"/>
      <c r="H99" s="37"/>
      <c r="I99" s="37"/>
      <c r="J99" s="37"/>
      <c r="K99" s="35"/>
      <c r="L99" s="39"/>
      <c r="M99" s="45"/>
    </row>
    <row r="100" spans="1:13">
      <c r="A100" s="34"/>
      <c r="B100" s="34"/>
      <c r="C100" s="37"/>
      <c r="D100" s="37"/>
      <c r="E100" s="37"/>
      <c r="F100" s="38"/>
      <c r="G100" s="37"/>
      <c r="H100" s="37"/>
      <c r="I100" s="37"/>
      <c r="J100" s="37"/>
      <c r="K100" s="35"/>
      <c r="L100" s="39"/>
      <c r="M100" s="45"/>
    </row>
    <row r="101" spans="1:13">
      <c r="A101" s="34"/>
      <c r="B101" s="34"/>
      <c r="C101" s="37"/>
      <c r="D101" s="37"/>
      <c r="E101" s="37"/>
      <c r="F101" s="38"/>
      <c r="G101" s="37"/>
      <c r="H101" s="37"/>
      <c r="I101" s="37"/>
      <c r="J101" s="37"/>
      <c r="K101" s="35"/>
      <c r="L101" s="39"/>
      <c r="M101" s="45"/>
    </row>
    <row r="102" spans="1:13">
      <c r="A102" s="34"/>
      <c r="B102" s="34"/>
      <c r="C102" s="37"/>
      <c r="D102" s="37"/>
      <c r="E102" s="37"/>
      <c r="F102" s="38"/>
      <c r="G102" s="37"/>
      <c r="H102" s="37"/>
      <c r="I102" s="37"/>
      <c r="J102" s="37"/>
      <c r="K102" s="35"/>
      <c r="L102" s="39"/>
      <c r="M102" s="45"/>
    </row>
    <row r="103" spans="1:13">
      <c r="A103" s="34"/>
      <c r="B103" s="34"/>
      <c r="C103" s="37"/>
      <c r="D103" s="37"/>
      <c r="E103" s="37"/>
      <c r="F103" s="38"/>
      <c r="G103" s="37"/>
      <c r="H103" s="37"/>
      <c r="I103" s="37"/>
      <c r="J103" s="37"/>
      <c r="K103" s="35"/>
      <c r="L103" s="39"/>
      <c r="M103" s="45"/>
    </row>
    <row r="104" spans="1:13">
      <c r="A104" s="34"/>
      <c r="B104" s="34"/>
      <c r="C104" s="37"/>
      <c r="D104" s="37"/>
      <c r="E104" s="37"/>
      <c r="F104" s="38"/>
      <c r="G104" s="37"/>
      <c r="H104" s="37"/>
      <c r="I104" s="37"/>
      <c r="J104" s="37"/>
      <c r="K104" s="35"/>
      <c r="L104" s="39"/>
      <c r="M104" s="45"/>
    </row>
    <row r="105" spans="1:13">
      <c r="A105" s="34"/>
      <c r="B105" s="34"/>
      <c r="C105" s="37"/>
      <c r="D105" s="37"/>
      <c r="E105" s="37"/>
      <c r="F105" s="38"/>
      <c r="G105" s="37"/>
      <c r="H105" s="37"/>
      <c r="I105" s="37"/>
      <c r="J105" s="37"/>
      <c r="K105" s="35"/>
      <c r="L105" s="39"/>
      <c r="M105" s="45"/>
    </row>
    <row r="106" spans="1:13">
      <c r="A106" s="34"/>
      <c r="B106" s="34"/>
      <c r="C106" s="37"/>
      <c r="D106" s="37"/>
      <c r="E106" s="37"/>
      <c r="F106" s="38"/>
      <c r="G106" s="37"/>
      <c r="H106" s="37"/>
      <c r="I106" s="37"/>
      <c r="J106" s="37"/>
      <c r="K106" s="35"/>
      <c r="L106" s="39"/>
      <c r="M106" s="45"/>
    </row>
    <row r="107" spans="1:13">
      <c r="A107" s="34"/>
      <c r="B107" s="34"/>
      <c r="C107" s="37"/>
      <c r="D107" s="37"/>
      <c r="E107" s="37"/>
      <c r="F107" s="38"/>
      <c r="G107" s="37"/>
      <c r="H107" s="37"/>
      <c r="I107" s="37"/>
      <c r="J107" s="37"/>
      <c r="K107" s="35"/>
      <c r="L107" s="39"/>
      <c r="M107" s="45"/>
    </row>
    <row r="108" spans="1:13">
      <c r="A108" s="34"/>
      <c r="B108" s="34"/>
      <c r="C108" s="37"/>
      <c r="D108" s="37"/>
      <c r="E108" s="37"/>
      <c r="F108" s="38"/>
      <c r="G108" s="37"/>
      <c r="H108" s="37"/>
      <c r="I108" s="37"/>
      <c r="J108" s="37"/>
      <c r="K108" s="35"/>
      <c r="L108" s="39"/>
      <c r="M108" s="45"/>
    </row>
    <row r="109" spans="1:13">
      <c r="A109" s="34"/>
      <c r="B109" s="34"/>
      <c r="C109" s="37"/>
      <c r="D109" s="37"/>
      <c r="E109" s="37"/>
      <c r="F109" s="38"/>
      <c r="G109" s="37"/>
      <c r="H109" s="37"/>
      <c r="I109" s="37"/>
      <c r="J109" s="37"/>
      <c r="K109" s="35"/>
      <c r="L109" s="39"/>
      <c r="M109" s="45"/>
    </row>
    <row r="110" spans="1:13">
      <c r="A110" s="34"/>
      <c r="B110" s="34"/>
      <c r="C110" s="37"/>
      <c r="D110" s="37"/>
      <c r="E110" s="37"/>
      <c r="F110" s="38"/>
      <c r="G110" s="37"/>
      <c r="H110" s="37"/>
      <c r="I110" s="37"/>
      <c r="J110" s="37"/>
      <c r="K110" s="35"/>
      <c r="L110" s="39"/>
      <c r="M110" s="45"/>
    </row>
    <row r="111" spans="1:13">
      <c r="A111" s="34"/>
      <c r="B111" s="34"/>
      <c r="C111" s="37"/>
      <c r="D111" s="37"/>
      <c r="E111" s="37"/>
      <c r="F111" s="38"/>
      <c r="G111" s="37"/>
      <c r="H111" s="37"/>
      <c r="I111" s="37"/>
      <c r="J111" s="37"/>
      <c r="K111" s="35"/>
      <c r="L111" s="39"/>
      <c r="M111" s="45"/>
    </row>
    <row r="112" spans="1:13">
      <c r="A112" s="34"/>
      <c r="B112" s="34"/>
      <c r="C112" s="37"/>
      <c r="D112" s="37"/>
      <c r="E112" s="37"/>
      <c r="F112" s="38"/>
      <c r="G112" s="37"/>
      <c r="H112" s="37"/>
      <c r="I112" s="37"/>
      <c r="J112" s="37"/>
      <c r="K112" s="35"/>
      <c r="L112" s="39"/>
      <c r="M112" s="45"/>
    </row>
    <row r="113" spans="1:13">
      <c r="A113" s="34"/>
      <c r="B113" s="34"/>
      <c r="C113" s="37"/>
      <c r="D113" s="37"/>
      <c r="E113" s="37"/>
      <c r="F113" s="38"/>
      <c r="G113" s="37"/>
      <c r="H113" s="37"/>
      <c r="I113" s="37"/>
      <c r="J113" s="37"/>
      <c r="K113" s="35"/>
      <c r="L113" s="39"/>
      <c r="M113" s="45"/>
    </row>
    <row r="114" spans="1:13">
      <c r="A114" s="34"/>
      <c r="B114" s="34"/>
      <c r="C114" s="37"/>
      <c r="D114" s="37"/>
      <c r="E114" s="37"/>
      <c r="F114" s="38"/>
      <c r="G114" s="37"/>
      <c r="H114" s="37"/>
      <c r="I114" s="37"/>
      <c r="J114" s="37"/>
      <c r="K114" s="35"/>
      <c r="L114" s="39"/>
      <c r="M114" s="45"/>
    </row>
    <row r="115" spans="1:13">
      <c r="A115" s="34"/>
      <c r="B115" s="34"/>
      <c r="C115" s="37"/>
      <c r="D115" s="37"/>
      <c r="E115" s="37"/>
      <c r="F115" s="38"/>
      <c r="G115" s="37"/>
      <c r="H115" s="37"/>
      <c r="I115" s="37"/>
      <c r="J115" s="37"/>
      <c r="K115" s="35"/>
      <c r="L115" s="39"/>
      <c r="M115" s="45"/>
    </row>
    <row r="116" spans="1:13">
      <c r="A116" s="34"/>
      <c r="B116" s="34"/>
      <c r="C116" s="37"/>
      <c r="D116" s="37"/>
      <c r="E116" s="37"/>
      <c r="F116" s="38"/>
      <c r="G116" s="37"/>
      <c r="H116" s="37"/>
      <c r="I116" s="37"/>
      <c r="J116" s="37"/>
      <c r="K116" s="35"/>
      <c r="L116" s="39"/>
      <c r="M116" s="45"/>
    </row>
    <row r="117" spans="1:13">
      <c r="A117" s="34"/>
      <c r="B117" s="34"/>
      <c r="C117" s="37"/>
      <c r="D117" s="37"/>
      <c r="E117" s="37"/>
      <c r="F117" s="38"/>
      <c r="G117" s="37"/>
      <c r="H117" s="37"/>
      <c r="I117" s="37"/>
      <c r="J117" s="37"/>
      <c r="K117" s="35"/>
      <c r="L117" s="39"/>
      <c r="M117" s="45"/>
    </row>
    <row r="118" spans="1:13">
      <c r="A118" s="34"/>
      <c r="B118" s="34"/>
      <c r="C118" s="37"/>
      <c r="D118" s="37"/>
      <c r="E118" s="37"/>
      <c r="F118" s="38"/>
      <c r="G118" s="37"/>
      <c r="H118" s="37"/>
      <c r="I118" s="37"/>
      <c r="J118" s="37"/>
      <c r="K118" s="35"/>
      <c r="L118" s="39"/>
      <c r="M118" s="45"/>
    </row>
    <row r="119" spans="1:13">
      <c r="A119" s="34"/>
      <c r="B119" s="34"/>
      <c r="C119" s="37"/>
      <c r="D119" s="37"/>
      <c r="E119" s="37"/>
      <c r="F119" s="38"/>
      <c r="G119" s="37"/>
      <c r="H119" s="37"/>
      <c r="I119" s="37"/>
      <c r="J119" s="37"/>
      <c r="K119" s="35"/>
      <c r="L119" s="39"/>
      <c r="M119" s="45"/>
    </row>
    <row r="120" spans="1:13">
      <c r="A120" s="34"/>
      <c r="B120" s="34"/>
      <c r="C120" s="37"/>
      <c r="D120" s="37"/>
      <c r="E120" s="37"/>
      <c r="F120" s="38"/>
      <c r="G120" s="37"/>
      <c r="H120" s="37"/>
      <c r="I120" s="37"/>
      <c r="J120" s="37"/>
      <c r="K120" s="35"/>
      <c r="L120" s="39"/>
      <c r="M120" s="45"/>
    </row>
    <row r="121" spans="1:13">
      <c r="A121" s="34"/>
      <c r="B121" s="34"/>
      <c r="C121" s="37"/>
      <c r="D121" s="37"/>
      <c r="E121" s="37"/>
      <c r="F121" s="38"/>
      <c r="G121" s="37"/>
      <c r="H121" s="37"/>
      <c r="I121" s="37"/>
      <c r="J121" s="37"/>
      <c r="K121" s="35"/>
      <c r="L121" s="39"/>
      <c r="M121" s="45"/>
    </row>
    <row r="122" spans="1:13">
      <c r="A122" s="34"/>
      <c r="B122" s="34"/>
      <c r="C122" s="37"/>
      <c r="D122" s="37"/>
      <c r="E122" s="37"/>
      <c r="F122" s="38"/>
      <c r="G122" s="37"/>
      <c r="H122" s="37"/>
      <c r="I122" s="37"/>
      <c r="J122" s="37"/>
      <c r="K122" s="35"/>
      <c r="L122" s="39"/>
      <c r="M122" s="45"/>
    </row>
    <row r="123" spans="1:13">
      <c r="A123" s="34"/>
      <c r="B123" s="34"/>
      <c r="C123" s="37"/>
      <c r="D123" s="37"/>
      <c r="E123" s="37"/>
      <c r="F123" s="38"/>
      <c r="G123" s="37"/>
      <c r="H123" s="37"/>
      <c r="I123" s="37"/>
      <c r="J123" s="37"/>
      <c r="K123" s="35"/>
      <c r="L123" s="39"/>
      <c r="M123" s="45"/>
    </row>
    <row r="124" spans="1:13">
      <c r="A124" s="34"/>
      <c r="B124" s="34"/>
      <c r="C124" s="37"/>
      <c r="D124" s="37"/>
      <c r="E124" s="37"/>
      <c r="F124" s="38"/>
      <c r="G124" s="37"/>
      <c r="H124" s="37"/>
      <c r="I124" s="37"/>
      <c r="J124" s="37"/>
      <c r="K124" s="35"/>
      <c r="L124" s="39"/>
      <c r="M124" s="45"/>
    </row>
    <row r="125" spans="1:13">
      <c r="A125" s="34"/>
      <c r="B125" s="34"/>
      <c r="C125" s="37"/>
      <c r="D125" s="37"/>
      <c r="E125" s="37"/>
      <c r="F125" s="38"/>
      <c r="G125" s="37"/>
      <c r="H125" s="37"/>
      <c r="I125" s="37"/>
      <c r="J125" s="37"/>
      <c r="K125" s="35"/>
      <c r="L125" s="39"/>
      <c r="M125" s="45"/>
    </row>
    <row r="126" spans="1:13">
      <c r="A126" s="34"/>
      <c r="B126" s="34"/>
      <c r="C126" s="37"/>
      <c r="D126" s="37"/>
      <c r="E126" s="37"/>
      <c r="F126" s="38"/>
      <c r="G126" s="37"/>
      <c r="H126" s="37"/>
      <c r="I126" s="37"/>
      <c r="J126" s="37"/>
      <c r="K126" s="35"/>
      <c r="L126" s="39"/>
      <c r="M126" s="45"/>
    </row>
    <row r="127" spans="1:13">
      <c r="A127" s="34"/>
      <c r="B127" s="34"/>
      <c r="C127" s="37"/>
      <c r="D127" s="37"/>
      <c r="E127" s="37"/>
      <c r="F127" s="38"/>
      <c r="G127" s="37"/>
      <c r="H127" s="37"/>
      <c r="I127" s="37"/>
      <c r="J127" s="37"/>
      <c r="K127" s="35"/>
      <c r="L127" s="39"/>
      <c r="M127" s="45"/>
    </row>
    <row r="128" spans="1:13">
      <c r="A128" s="34"/>
      <c r="B128" s="34"/>
      <c r="C128" s="37"/>
      <c r="D128" s="37"/>
      <c r="E128" s="37"/>
      <c r="F128" s="38"/>
      <c r="G128" s="37"/>
      <c r="H128" s="37"/>
      <c r="I128" s="37"/>
      <c r="J128" s="37"/>
      <c r="K128" s="35"/>
      <c r="L128" s="39"/>
      <c r="M128" s="45"/>
    </row>
    <row r="129" spans="1:13">
      <c r="A129" s="34"/>
      <c r="B129" s="34"/>
      <c r="C129" s="37"/>
      <c r="D129" s="37"/>
      <c r="E129" s="37"/>
      <c r="F129" s="38"/>
      <c r="G129" s="37"/>
      <c r="H129" s="37"/>
      <c r="I129" s="37"/>
      <c r="J129" s="37"/>
      <c r="K129" s="35"/>
      <c r="L129" s="39"/>
      <c r="M129" s="45"/>
    </row>
    <row r="130" spans="1:13">
      <c r="A130" s="34"/>
      <c r="B130" s="34"/>
      <c r="C130" s="37"/>
      <c r="D130" s="37"/>
      <c r="E130" s="37"/>
      <c r="F130" s="38"/>
      <c r="G130" s="37"/>
      <c r="H130" s="37"/>
      <c r="I130" s="37"/>
      <c r="J130" s="37"/>
      <c r="K130" s="35"/>
      <c r="L130" s="39"/>
      <c r="M130" s="45"/>
    </row>
    <row r="131" spans="1:13">
      <c r="A131" s="34"/>
      <c r="B131" s="34"/>
      <c r="C131" s="37"/>
      <c r="D131" s="37"/>
      <c r="E131" s="37"/>
      <c r="F131" s="38"/>
      <c r="G131" s="37"/>
      <c r="H131" s="37"/>
      <c r="I131" s="37"/>
      <c r="J131" s="37"/>
      <c r="K131" s="35"/>
      <c r="L131" s="39"/>
      <c r="M131" s="45"/>
    </row>
    <row r="132" spans="1:13">
      <c r="A132" s="34"/>
      <c r="B132" s="34"/>
      <c r="C132" s="37"/>
      <c r="D132" s="37"/>
      <c r="E132" s="37"/>
      <c r="F132" s="38"/>
      <c r="G132" s="37"/>
      <c r="H132" s="37"/>
      <c r="I132" s="37"/>
      <c r="J132" s="37"/>
      <c r="K132" s="35"/>
      <c r="L132" s="39"/>
      <c r="M132" s="45"/>
    </row>
    <row r="133" spans="1:13">
      <c r="A133" s="34"/>
      <c r="B133" s="34"/>
      <c r="C133" s="37"/>
      <c r="D133" s="37"/>
      <c r="E133" s="37"/>
      <c r="F133" s="38"/>
      <c r="G133" s="37"/>
      <c r="H133" s="37"/>
      <c r="I133" s="37"/>
      <c r="J133" s="37"/>
      <c r="K133" s="35"/>
      <c r="L133" s="39"/>
      <c r="M133" s="45"/>
    </row>
    <row r="134" spans="1:13">
      <c r="A134" s="34"/>
      <c r="B134" s="34"/>
      <c r="C134" s="37"/>
      <c r="D134" s="37"/>
      <c r="E134" s="37"/>
      <c r="F134" s="38"/>
      <c r="G134" s="37"/>
      <c r="H134" s="37"/>
      <c r="I134" s="37"/>
      <c r="J134" s="37"/>
      <c r="K134" s="35"/>
      <c r="L134" s="39"/>
      <c r="M134" s="45"/>
    </row>
    <row r="135" spans="1:13">
      <c r="A135" s="34"/>
      <c r="B135" s="34"/>
      <c r="C135" s="37"/>
      <c r="D135" s="37"/>
      <c r="E135" s="37"/>
      <c r="F135" s="38"/>
      <c r="G135" s="37"/>
      <c r="H135" s="37"/>
      <c r="I135" s="37"/>
      <c r="J135" s="37"/>
      <c r="K135" s="35"/>
      <c r="L135" s="39"/>
      <c r="M135" s="45"/>
    </row>
    <row r="136" spans="1:13">
      <c r="A136" s="34"/>
      <c r="B136" s="34"/>
      <c r="C136" s="37"/>
      <c r="D136" s="37"/>
      <c r="E136" s="37"/>
      <c r="F136" s="38"/>
      <c r="G136" s="37"/>
      <c r="H136" s="37"/>
      <c r="I136" s="37"/>
      <c r="J136" s="37"/>
      <c r="K136" s="35"/>
      <c r="L136" s="39"/>
      <c r="M136" s="45"/>
    </row>
    <row r="137" spans="1:13">
      <c r="A137" s="34"/>
      <c r="B137" s="34"/>
      <c r="C137" s="37"/>
      <c r="D137" s="37"/>
      <c r="E137" s="37"/>
      <c r="F137" s="38"/>
      <c r="G137" s="37"/>
      <c r="H137" s="37"/>
      <c r="I137" s="37"/>
      <c r="J137" s="37"/>
      <c r="K137" s="35"/>
      <c r="L137" s="39"/>
      <c r="M137" s="45"/>
    </row>
    <row r="138" spans="1:13">
      <c r="A138" s="34"/>
      <c r="B138" s="34"/>
      <c r="C138" s="37"/>
      <c r="D138" s="37"/>
      <c r="E138" s="37"/>
      <c r="F138" s="38"/>
      <c r="G138" s="37"/>
      <c r="H138" s="37"/>
      <c r="I138" s="37"/>
      <c r="J138" s="37"/>
      <c r="K138" s="35"/>
      <c r="L138" s="39"/>
      <c r="M138" s="45"/>
    </row>
    <row r="139" spans="1:13">
      <c r="A139" s="34"/>
      <c r="B139" s="34"/>
      <c r="C139" s="37"/>
      <c r="D139" s="37"/>
      <c r="E139" s="37"/>
      <c r="F139" s="38"/>
      <c r="G139" s="37"/>
      <c r="H139" s="37"/>
      <c r="I139" s="37"/>
      <c r="J139" s="37"/>
      <c r="K139" s="35"/>
      <c r="L139" s="39"/>
      <c r="M139" s="45"/>
    </row>
    <row r="140" spans="1:13">
      <c r="A140" s="34"/>
      <c r="B140" s="34"/>
      <c r="C140" s="37"/>
      <c r="D140" s="37"/>
      <c r="E140" s="37"/>
      <c r="F140" s="38"/>
      <c r="G140" s="37"/>
      <c r="H140" s="37"/>
      <c r="I140" s="37"/>
      <c r="J140" s="37"/>
      <c r="K140" s="35"/>
      <c r="L140" s="39"/>
      <c r="M140" s="45"/>
    </row>
    <row r="141" spans="1:13">
      <c r="A141" s="34"/>
      <c r="B141" s="34"/>
      <c r="C141" s="37"/>
      <c r="D141" s="37"/>
      <c r="E141" s="37"/>
      <c r="F141" s="38"/>
      <c r="G141" s="37"/>
      <c r="H141" s="37"/>
      <c r="I141" s="37"/>
      <c r="J141" s="37"/>
      <c r="K141" s="35"/>
      <c r="L141" s="39"/>
      <c r="M141" s="45"/>
    </row>
    <row r="142" spans="1:13">
      <c r="A142" s="34"/>
      <c r="B142" s="34"/>
      <c r="C142" s="37"/>
      <c r="D142" s="37"/>
      <c r="E142" s="37"/>
      <c r="F142" s="38"/>
      <c r="G142" s="37"/>
      <c r="H142" s="37"/>
      <c r="I142" s="37"/>
      <c r="J142" s="37"/>
      <c r="K142" s="35"/>
      <c r="L142" s="39"/>
      <c r="M142" s="45"/>
    </row>
    <row r="143" spans="1:13">
      <c r="A143" s="34"/>
      <c r="B143" s="34"/>
      <c r="C143" s="37"/>
      <c r="D143" s="37"/>
      <c r="E143" s="37"/>
      <c r="F143" s="38"/>
      <c r="G143" s="37"/>
      <c r="H143" s="37"/>
      <c r="I143" s="37"/>
      <c r="J143" s="37"/>
      <c r="K143" s="35"/>
      <c r="L143" s="39"/>
      <c r="M143" s="45"/>
    </row>
    <row r="144" spans="1:13">
      <c r="A144" s="34"/>
      <c r="B144" s="34"/>
      <c r="C144" s="37"/>
      <c r="D144" s="37"/>
      <c r="E144" s="37"/>
      <c r="F144" s="38"/>
      <c r="G144" s="37"/>
      <c r="H144" s="37"/>
      <c r="I144" s="37"/>
      <c r="J144" s="37"/>
      <c r="K144" s="35"/>
      <c r="L144" s="39"/>
      <c r="M144" s="45"/>
    </row>
    <row r="145" spans="1:13">
      <c r="A145" s="34"/>
      <c r="B145" s="34"/>
      <c r="C145" s="37"/>
      <c r="D145" s="37"/>
      <c r="E145" s="37"/>
      <c r="F145" s="38"/>
      <c r="G145" s="37"/>
      <c r="H145" s="37"/>
      <c r="I145" s="37"/>
      <c r="J145" s="37"/>
      <c r="K145" s="35"/>
      <c r="L145" s="39"/>
      <c r="M145" s="45"/>
    </row>
    <row r="146" spans="1:13">
      <c r="A146" s="34"/>
      <c r="B146" s="34"/>
      <c r="C146" s="37"/>
      <c r="D146" s="37"/>
      <c r="E146" s="37"/>
      <c r="F146" s="38"/>
      <c r="G146" s="37"/>
      <c r="H146" s="37"/>
      <c r="I146" s="37"/>
      <c r="J146" s="37"/>
      <c r="K146" s="35"/>
      <c r="L146" s="39"/>
      <c r="M146" s="45"/>
    </row>
    <row r="147" spans="1:13">
      <c r="A147" s="34"/>
      <c r="B147" s="34"/>
      <c r="C147" s="37"/>
      <c r="D147" s="37"/>
      <c r="E147" s="37"/>
      <c r="F147" s="38"/>
      <c r="G147" s="37"/>
      <c r="H147" s="37"/>
      <c r="I147" s="37"/>
      <c r="J147" s="37"/>
      <c r="K147" s="35"/>
      <c r="L147" s="39"/>
      <c r="M147" s="45"/>
    </row>
    <row r="148" spans="1:13">
      <c r="A148" s="34"/>
      <c r="B148" s="34"/>
      <c r="C148" s="37"/>
      <c r="D148" s="37"/>
      <c r="E148" s="37"/>
      <c r="F148" s="38"/>
      <c r="G148" s="37"/>
      <c r="H148" s="37"/>
      <c r="I148" s="37"/>
      <c r="J148" s="37"/>
      <c r="K148" s="35"/>
      <c r="L148" s="39"/>
      <c r="M148" s="45"/>
    </row>
    <row r="149" spans="1:13">
      <c r="A149" s="34"/>
      <c r="B149" s="34"/>
      <c r="C149" s="37"/>
      <c r="D149" s="37"/>
      <c r="E149" s="37"/>
      <c r="F149" s="38"/>
      <c r="G149" s="37"/>
      <c r="H149" s="37"/>
      <c r="I149" s="37"/>
      <c r="J149" s="37"/>
      <c r="K149" s="35"/>
      <c r="L149" s="39"/>
      <c r="M149" s="45"/>
    </row>
    <row r="150" spans="1:13">
      <c r="A150" s="34"/>
      <c r="B150" s="34"/>
      <c r="C150" s="37"/>
      <c r="D150" s="37"/>
      <c r="E150" s="37"/>
      <c r="F150" s="38"/>
      <c r="G150" s="37"/>
      <c r="H150" s="37"/>
      <c r="I150" s="37"/>
      <c r="J150" s="37"/>
      <c r="K150" s="35"/>
      <c r="L150" s="39"/>
      <c r="M150" s="45"/>
    </row>
    <row r="151" spans="1:13">
      <c r="A151" s="34"/>
      <c r="B151" s="34"/>
      <c r="C151" s="37"/>
      <c r="D151" s="37"/>
      <c r="E151" s="37"/>
      <c r="F151" s="38"/>
      <c r="G151" s="37"/>
      <c r="H151" s="37"/>
      <c r="I151" s="37"/>
      <c r="J151" s="37"/>
      <c r="K151" s="35"/>
      <c r="L151" s="39"/>
      <c r="M151" s="45"/>
    </row>
    <row r="152" spans="1:13">
      <c r="A152" s="34"/>
      <c r="B152" s="34"/>
      <c r="C152" s="37"/>
      <c r="D152" s="37"/>
      <c r="E152" s="37"/>
      <c r="F152" s="38"/>
      <c r="G152" s="37"/>
      <c r="H152" s="37"/>
      <c r="I152" s="37"/>
      <c r="J152" s="37"/>
      <c r="K152" s="35"/>
      <c r="L152" s="39"/>
      <c r="M152" s="45"/>
    </row>
    <row r="153" spans="1:13">
      <c r="A153" s="34"/>
      <c r="B153" s="34"/>
      <c r="C153" s="37"/>
      <c r="D153" s="37"/>
      <c r="E153" s="37"/>
      <c r="F153" s="38"/>
      <c r="G153" s="37"/>
      <c r="H153" s="37"/>
      <c r="I153" s="37"/>
      <c r="J153" s="37"/>
      <c r="K153" s="35"/>
      <c r="L153" s="39"/>
      <c r="M153" s="45"/>
    </row>
    <row r="154" spans="1:13">
      <c r="A154" s="34"/>
      <c r="B154" s="34"/>
      <c r="C154" s="37"/>
      <c r="D154" s="37"/>
      <c r="E154" s="37"/>
      <c r="F154" s="38"/>
      <c r="G154" s="37"/>
      <c r="H154" s="37"/>
      <c r="I154" s="37"/>
      <c r="J154" s="37"/>
      <c r="K154" s="35"/>
      <c r="L154" s="39"/>
      <c r="M154" s="45"/>
    </row>
    <row r="155" spans="1:13">
      <c r="A155" s="34"/>
      <c r="B155" s="34"/>
      <c r="C155" s="37"/>
      <c r="D155" s="37"/>
      <c r="E155" s="37"/>
      <c r="F155" s="38"/>
      <c r="G155" s="37"/>
      <c r="H155" s="37"/>
      <c r="I155" s="37"/>
      <c r="J155" s="37"/>
      <c r="K155" s="35"/>
      <c r="L155" s="39"/>
      <c r="M155" s="45"/>
    </row>
    <row r="156" spans="1:13">
      <c r="A156" s="34"/>
      <c r="B156" s="34"/>
      <c r="C156" s="37"/>
      <c r="D156" s="37"/>
      <c r="E156" s="37"/>
      <c r="F156" s="38"/>
      <c r="G156" s="37"/>
      <c r="H156" s="37"/>
      <c r="I156" s="37"/>
      <c r="J156" s="37"/>
      <c r="K156" s="35"/>
      <c r="L156" s="39"/>
      <c r="M156" s="45"/>
    </row>
    <row r="157" spans="1:13">
      <c r="A157" s="34"/>
      <c r="B157" s="34"/>
      <c r="C157" s="37"/>
      <c r="D157" s="37"/>
      <c r="E157" s="37"/>
      <c r="F157" s="38"/>
      <c r="G157" s="37"/>
      <c r="H157" s="37"/>
      <c r="I157" s="37"/>
      <c r="J157" s="37"/>
      <c r="K157" s="35"/>
      <c r="L157" s="39"/>
      <c r="M157" s="45"/>
    </row>
    <row r="158" spans="1:13">
      <c r="A158" s="34"/>
      <c r="B158" s="34"/>
      <c r="C158" s="37"/>
      <c r="D158" s="37"/>
      <c r="E158" s="37"/>
      <c r="F158" s="38"/>
      <c r="G158" s="37"/>
      <c r="H158" s="37"/>
      <c r="I158" s="37"/>
      <c r="J158" s="37"/>
      <c r="K158" s="35"/>
      <c r="L158" s="39"/>
      <c r="M158" s="45"/>
    </row>
    <row r="159" spans="1:13">
      <c r="A159" s="34"/>
      <c r="B159" s="34"/>
      <c r="C159" s="37"/>
      <c r="D159" s="37"/>
      <c r="E159" s="37"/>
      <c r="F159" s="38"/>
      <c r="G159" s="37"/>
      <c r="H159" s="37"/>
      <c r="I159" s="37"/>
      <c r="J159" s="37"/>
      <c r="K159" s="35"/>
      <c r="L159" s="39"/>
      <c r="M159" s="45"/>
    </row>
    <row r="160" spans="1:13">
      <c r="A160" s="34"/>
      <c r="B160" s="34"/>
      <c r="C160" s="37"/>
      <c r="D160" s="37"/>
      <c r="E160" s="37"/>
      <c r="F160" s="38"/>
      <c r="G160" s="37"/>
      <c r="H160" s="37"/>
      <c r="I160" s="37"/>
      <c r="J160" s="37"/>
      <c r="K160" s="35"/>
      <c r="L160" s="39"/>
      <c r="M160" s="45"/>
    </row>
    <row r="161" spans="1:13">
      <c r="A161" s="34"/>
      <c r="B161" s="34"/>
      <c r="C161" s="37"/>
      <c r="D161" s="37"/>
      <c r="E161" s="37"/>
      <c r="F161" s="38"/>
      <c r="G161" s="37"/>
      <c r="H161" s="37"/>
      <c r="I161" s="37"/>
      <c r="J161" s="37"/>
      <c r="K161" s="35"/>
      <c r="L161" s="39"/>
      <c r="M161" s="45"/>
    </row>
    <row r="162" spans="1:13">
      <c r="A162" s="34"/>
      <c r="B162" s="34"/>
      <c r="C162" s="37"/>
      <c r="D162" s="37"/>
      <c r="E162" s="37"/>
      <c r="F162" s="38"/>
      <c r="G162" s="37"/>
      <c r="H162" s="37"/>
      <c r="I162" s="37"/>
      <c r="J162" s="37"/>
      <c r="K162" s="35"/>
      <c r="L162" s="39"/>
      <c r="M162" s="45"/>
    </row>
    <row r="163" spans="1:13">
      <c r="A163" s="34"/>
      <c r="B163" s="34"/>
      <c r="C163" s="37"/>
      <c r="D163" s="37"/>
      <c r="E163" s="37"/>
      <c r="F163" s="38"/>
      <c r="G163" s="37"/>
      <c r="H163" s="37"/>
      <c r="I163" s="37"/>
      <c r="J163" s="37"/>
      <c r="K163" s="35"/>
      <c r="L163" s="39"/>
      <c r="M163" s="45"/>
    </row>
    <row r="164" spans="1:13">
      <c r="A164" s="34"/>
      <c r="B164" s="34"/>
      <c r="C164" s="37"/>
      <c r="D164" s="37"/>
      <c r="E164" s="37"/>
      <c r="F164" s="38"/>
      <c r="G164" s="37"/>
      <c r="H164" s="37"/>
      <c r="I164" s="37"/>
      <c r="J164" s="37"/>
      <c r="K164" s="35"/>
      <c r="L164" s="39"/>
      <c r="M164" s="45"/>
    </row>
    <row r="165" spans="1:13">
      <c r="A165" s="34"/>
      <c r="B165" s="34"/>
      <c r="C165" s="37"/>
      <c r="D165" s="37"/>
      <c r="E165" s="37"/>
      <c r="F165" s="38"/>
      <c r="G165" s="37"/>
      <c r="H165" s="37"/>
      <c r="I165" s="37"/>
      <c r="J165" s="37"/>
      <c r="K165" s="35"/>
      <c r="L165" s="39"/>
      <c r="M165" s="45"/>
    </row>
    <row r="166" spans="1:13">
      <c r="A166" s="34"/>
      <c r="B166" s="34"/>
      <c r="C166" s="37"/>
      <c r="D166" s="37"/>
      <c r="E166" s="37"/>
      <c r="F166" s="38"/>
      <c r="G166" s="37"/>
      <c r="H166" s="37"/>
      <c r="I166" s="37"/>
      <c r="J166" s="37"/>
      <c r="K166" s="35"/>
      <c r="L166" s="39"/>
      <c r="M166" s="45"/>
    </row>
    <row r="167" spans="1:13">
      <c r="A167" s="34"/>
      <c r="B167" s="34"/>
      <c r="C167" s="37"/>
      <c r="D167" s="37"/>
      <c r="E167" s="37"/>
      <c r="F167" s="38"/>
      <c r="G167" s="37"/>
      <c r="H167" s="37"/>
      <c r="I167" s="37"/>
      <c r="J167" s="37"/>
      <c r="K167" s="35"/>
      <c r="L167" s="39"/>
      <c r="M167" s="45"/>
    </row>
    <row r="168" spans="1:13">
      <c r="A168" s="34"/>
      <c r="B168" s="34"/>
      <c r="C168" s="37"/>
      <c r="D168" s="37"/>
      <c r="E168" s="37"/>
      <c r="F168" s="38"/>
      <c r="G168" s="37"/>
      <c r="H168" s="37"/>
      <c r="I168" s="37"/>
      <c r="J168" s="37"/>
      <c r="K168" s="35"/>
      <c r="L168" s="39"/>
      <c r="M168" s="45"/>
    </row>
    <row r="169" spans="1:13">
      <c r="A169" s="34"/>
      <c r="B169" s="34"/>
      <c r="C169" s="37"/>
      <c r="D169" s="37"/>
      <c r="E169" s="37"/>
      <c r="F169" s="38"/>
      <c r="G169" s="37"/>
      <c r="H169" s="37"/>
      <c r="I169" s="37"/>
      <c r="J169" s="37"/>
      <c r="K169" s="35"/>
      <c r="L169" s="39"/>
      <c r="M169" s="45"/>
    </row>
    <row r="170" spans="1:13">
      <c r="A170" s="34"/>
      <c r="B170" s="34"/>
      <c r="C170" s="37"/>
      <c r="D170" s="37"/>
      <c r="E170" s="37"/>
      <c r="F170" s="38"/>
      <c r="G170" s="37"/>
      <c r="H170" s="37"/>
      <c r="I170" s="37"/>
      <c r="J170" s="37"/>
      <c r="K170" s="35"/>
      <c r="L170" s="39"/>
      <c r="M170" s="45"/>
    </row>
    <row r="171" spans="1:13">
      <c r="A171" s="34"/>
      <c r="B171" s="34"/>
      <c r="C171" s="37"/>
      <c r="D171" s="37"/>
      <c r="E171" s="37"/>
      <c r="F171" s="38"/>
      <c r="G171" s="37"/>
      <c r="H171" s="37"/>
      <c r="I171" s="37"/>
      <c r="J171" s="37"/>
      <c r="K171" s="35"/>
      <c r="L171" s="39"/>
      <c r="M171" s="45"/>
    </row>
    <row r="172" spans="1:13">
      <c r="A172" s="34"/>
      <c r="B172" s="34"/>
      <c r="C172" s="37"/>
      <c r="D172" s="37"/>
      <c r="E172" s="37"/>
      <c r="F172" s="38"/>
      <c r="G172" s="37"/>
      <c r="H172" s="37"/>
      <c r="I172" s="37"/>
      <c r="J172" s="37"/>
      <c r="K172" s="35"/>
      <c r="L172" s="39"/>
      <c r="M172" s="45"/>
    </row>
    <row r="173" spans="1:13">
      <c r="A173" s="34"/>
      <c r="B173" s="34"/>
      <c r="C173" s="37"/>
      <c r="D173" s="37"/>
      <c r="E173" s="37"/>
      <c r="F173" s="38"/>
      <c r="G173" s="37"/>
      <c r="H173" s="37"/>
      <c r="I173" s="37"/>
      <c r="J173" s="37"/>
      <c r="K173" s="35"/>
      <c r="L173" s="39"/>
      <c r="M173" s="45"/>
    </row>
    <row r="174" spans="1:13">
      <c r="A174" s="34"/>
      <c r="B174" s="34"/>
      <c r="C174" s="37"/>
      <c r="D174" s="37"/>
      <c r="E174" s="37"/>
      <c r="F174" s="38"/>
      <c r="G174" s="37"/>
      <c r="H174" s="37"/>
      <c r="I174" s="37"/>
      <c r="J174" s="37"/>
      <c r="K174" s="35"/>
      <c r="L174" s="39"/>
      <c r="M174" s="45"/>
    </row>
    <row r="175" spans="1:13">
      <c r="A175" s="34"/>
      <c r="B175" s="34"/>
      <c r="C175" s="37"/>
      <c r="D175" s="37"/>
      <c r="E175" s="37"/>
      <c r="F175" s="38"/>
      <c r="G175" s="37"/>
      <c r="H175" s="37"/>
      <c r="I175" s="37"/>
      <c r="J175" s="37"/>
      <c r="K175" s="35"/>
      <c r="L175" s="39"/>
      <c r="M175" s="45"/>
    </row>
    <row r="176" spans="1:13">
      <c r="A176" s="34"/>
      <c r="B176" s="34"/>
      <c r="C176" s="37"/>
      <c r="D176" s="37"/>
      <c r="E176" s="37"/>
      <c r="F176" s="38"/>
      <c r="G176" s="37"/>
      <c r="H176" s="37"/>
      <c r="I176" s="37"/>
      <c r="J176" s="37"/>
      <c r="K176" s="35"/>
      <c r="L176" s="39"/>
      <c r="M176" s="45"/>
    </row>
    <row r="177" spans="1:13">
      <c r="A177" s="34"/>
      <c r="B177" s="34"/>
      <c r="C177" s="37"/>
      <c r="D177" s="37"/>
      <c r="E177" s="37"/>
      <c r="F177" s="38"/>
      <c r="G177" s="37"/>
      <c r="H177" s="37"/>
      <c r="I177" s="37"/>
      <c r="J177" s="37"/>
      <c r="K177" s="35"/>
      <c r="L177" s="39"/>
      <c r="M177" s="45"/>
    </row>
    <row r="178" spans="1:13">
      <c r="A178" s="34"/>
      <c r="B178" s="34"/>
      <c r="C178" s="37"/>
      <c r="D178" s="37"/>
      <c r="E178" s="37"/>
      <c r="F178" s="38"/>
      <c r="G178" s="37"/>
      <c r="H178" s="37"/>
      <c r="I178" s="37"/>
      <c r="J178" s="37"/>
      <c r="K178" s="35"/>
      <c r="L178" s="39"/>
      <c r="M178" s="45"/>
    </row>
    <row r="179" spans="1:13">
      <c r="A179" s="34"/>
      <c r="B179" s="34"/>
      <c r="C179" s="37"/>
      <c r="D179" s="37"/>
      <c r="E179" s="37"/>
      <c r="F179" s="38"/>
      <c r="G179" s="37"/>
      <c r="H179" s="37"/>
      <c r="I179" s="37"/>
      <c r="J179" s="37"/>
      <c r="K179" s="35"/>
      <c r="L179" s="39"/>
      <c r="M179" s="45"/>
    </row>
    <row r="180" spans="1:13">
      <c r="A180" s="34"/>
      <c r="B180" s="34"/>
      <c r="C180" s="37"/>
      <c r="D180" s="37"/>
      <c r="E180" s="37"/>
      <c r="F180" s="38"/>
      <c r="G180" s="37"/>
      <c r="H180" s="37"/>
      <c r="I180" s="37"/>
      <c r="J180" s="37"/>
      <c r="K180" s="35"/>
      <c r="L180" s="39"/>
      <c r="M180" s="45"/>
    </row>
    <row r="181" spans="1:13">
      <c r="A181" s="34"/>
      <c r="B181" s="34"/>
      <c r="C181" s="37"/>
      <c r="D181" s="37"/>
      <c r="E181" s="37"/>
      <c r="F181" s="38"/>
      <c r="G181" s="37"/>
      <c r="H181" s="37"/>
      <c r="I181" s="37"/>
      <c r="J181" s="37"/>
      <c r="K181" s="35"/>
      <c r="L181" s="39"/>
      <c r="M181" s="45"/>
    </row>
    <row r="182" spans="1:13">
      <c r="A182" s="34"/>
      <c r="B182" s="34"/>
      <c r="C182" s="37"/>
      <c r="D182" s="37"/>
      <c r="E182" s="37"/>
      <c r="F182" s="38"/>
      <c r="G182" s="37"/>
      <c r="H182" s="37"/>
      <c r="I182" s="37"/>
      <c r="J182" s="37"/>
      <c r="K182" s="35"/>
      <c r="L182" s="39"/>
      <c r="M182" s="45"/>
    </row>
    <row r="183" spans="1:13">
      <c r="A183" s="34"/>
      <c r="B183" s="34"/>
      <c r="C183" s="37"/>
      <c r="D183" s="37"/>
      <c r="E183" s="37"/>
      <c r="F183" s="38"/>
      <c r="G183" s="37"/>
      <c r="H183" s="37"/>
      <c r="I183" s="37"/>
      <c r="J183" s="37"/>
      <c r="K183" s="35"/>
      <c r="L183" s="39"/>
      <c r="M183" s="45"/>
    </row>
    <row r="184" spans="1:13">
      <c r="A184" s="34"/>
      <c r="B184" s="34"/>
      <c r="C184" s="37"/>
      <c r="D184" s="37"/>
      <c r="E184" s="37"/>
      <c r="F184" s="38"/>
      <c r="G184" s="37"/>
      <c r="H184" s="37"/>
      <c r="I184" s="37"/>
      <c r="J184" s="37"/>
      <c r="K184" s="35"/>
      <c r="L184" s="39"/>
      <c r="M184" s="45"/>
    </row>
    <row r="185" spans="1:13">
      <c r="A185" s="34"/>
      <c r="B185" s="34"/>
      <c r="C185" s="37"/>
      <c r="D185" s="37"/>
      <c r="E185" s="37"/>
      <c r="F185" s="38"/>
      <c r="G185" s="37"/>
      <c r="H185" s="37"/>
      <c r="I185" s="37"/>
      <c r="J185" s="37"/>
      <c r="K185" s="35"/>
      <c r="L185" s="39"/>
      <c r="M185" s="45"/>
    </row>
    <row r="186" spans="1:13">
      <c r="A186" s="34"/>
      <c r="B186" s="34"/>
      <c r="C186" s="37"/>
      <c r="D186" s="37"/>
      <c r="E186" s="37"/>
      <c r="F186" s="38"/>
      <c r="G186" s="37"/>
      <c r="H186" s="37"/>
      <c r="I186" s="37"/>
      <c r="J186" s="37"/>
      <c r="K186" s="35"/>
      <c r="L186" s="39"/>
      <c r="M186" s="45"/>
    </row>
    <row r="187" spans="1:13">
      <c r="A187" s="34"/>
      <c r="B187" s="34"/>
      <c r="C187" s="37"/>
      <c r="D187" s="37"/>
      <c r="E187" s="37"/>
      <c r="F187" s="38"/>
      <c r="G187" s="37"/>
      <c r="H187" s="37"/>
      <c r="I187" s="37"/>
      <c r="J187" s="37"/>
      <c r="K187" s="35"/>
      <c r="L187" s="39"/>
      <c r="M187" s="45"/>
    </row>
    <row r="188" spans="1:13">
      <c r="A188" s="34"/>
      <c r="B188" s="34"/>
      <c r="C188" s="37"/>
      <c r="D188" s="37"/>
      <c r="E188" s="37"/>
      <c r="F188" s="38"/>
      <c r="G188" s="37"/>
      <c r="H188" s="37"/>
      <c r="I188" s="37"/>
      <c r="J188" s="37"/>
      <c r="K188" s="35"/>
      <c r="L188" s="39"/>
      <c r="M188" s="45"/>
    </row>
    <row r="189" spans="1:13">
      <c r="A189" s="34"/>
      <c r="B189" s="34"/>
      <c r="C189" s="37"/>
      <c r="D189" s="37"/>
      <c r="E189" s="37"/>
      <c r="F189" s="38"/>
      <c r="G189" s="37"/>
      <c r="H189" s="37"/>
      <c r="I189" s="37"/>
      <c r="J189" s="37"/>
      <c r="K189" s="35"/>
      <c r="L189" s="39"/>
      <c r="M189" s="45"/>
    </row>
    <row r="190" spans="1:13">
      <c r="A190" s="34"/>
      <c r="B190" s="34"/>
      <c r="C190" s="37"/>
      <c r="D190" s="37"/>
      <c r="E190" s="37"/>
      <c r="F190" s="38"/>
      <c r="G190" s="37"/>
      <c r="H190" s="37"/>
      <c r="I190" s="37"/>
      <c r="J190" s="37"/>
      <c r="K190" s="35"/>
      <c r="L190" s="39"/>
      <c r="M190" s="45"/>
    </row>
    <row r="191" spans="1:13">
      <c r="A191" s="34"/>
      <c r="B191" s="34"/>
      <c r="C191" s="37"/>
      <c r="D191" s="37"/>
      <c r="E191" s="37"/>
      <c r="F191" s="38"/>
      <c r="G191" s="37"/>
      <c r="H191" s="37"/>
      <c r="I191" s="37"/>
      <c r="J191" s="37"/>
      <c r="K191" s="35"/>
      <c r="L191" s="39"/>
      <c r="M191" s="45"/>
    </row>
    <row r="192" spans="1:13">
      <c r="A192" s="34"/>
      <c r="B192" s="34"/>
      <c r="C192" s="37"/>
      <c r="D192" s="37"/>
      <c r="E192" s="37"/>
      <c r="F192" s="38"/>
      <c r="G192" s="37"/>
      <c r="H192" s="37"/>
      <c r="I192" s="37"/>
      <c r="J192" s="37"/>
      <c r="K192" s="35"/>
      <c r="L192" s="39"/>
      <c r="M192" s="45"/>
    </row>
    <row r="193" spans="1:13">
      <c r="A193" s="34"/>
      <c r="B193" s="34"/>
      <c r="C193" s="37"/>
      <c r="D193" s="37"/>
      <c r="E193" s="37"/>
      <c r="F193" s="38"/>
      <c r="G193" s="37"/>
      <c r="H193" s="37"/>
      <c r="I193" s="37"/>
      <c r="J193" s="37"/>
      <c r="K193" s="35"/>
      <c r="L193" s="39"/>
      <c r="M193" s="45"/>
    </row>
    <row r="194" spans="1:13">
      <c r="A194" s="34"/>
      <c r="B194" s="34"/>
      <c r="C194" s="37"/>
      <c r="D194" s="37"/>
      <c r="E194" s="37"/>
      <c r="F194" s="38"/>
      <c r="G194" s="37"/>
      <c r="H194" s="37"/>
      <c r="I194" s="37"/>
      <c r="J194" s="37"/>
      <c r="K194" s="35"/>
      <c r="L194" s="39"/>
      <c r="M194" s="45"/>
    </row>
    <row r="195" spans="1:13">
      <c r="A195" s="34"/>
      <c r="B195" s="34"/>
      <c r="C195" s="37"/>
      <c r="D195" s="37"/>
      <c r="E195" s="37"/>
      <c r="F195" s="38"/>
      <c r="G195" s="37"/>
      <c r="H195" s="37"/>
      <c r="I195" s="37"/>
      <c r="J195" s="37"/>
      <c r="K195" s="35"/>
      <c r="L195" s="39"/>
      <c r="M195" s="45"/>
    </row>
    <row r="196" spans="1:13">
      <c r="A196" s="34"/>
      <c r="B196" s="34"/>
      <c r="C196" s="37"/>
      <c r="D196" s="37"/>
      <c r="E196" s="37"/>
      <c r="F196" s="38"/>
      <c r="G196" s="37"/>
      <c r="H196" s="37"/>
      <c r="I196" s="37"/>
      <c r="J196" s="37"/>
      <c r="K196" s="35"/>
      <c r="L196" s="39"/>
      <c r="M196" s="45"/>
    </row>
    <row r="197" spans="1:13">
      <c r="A197" s="34"/>
      <c r="B197" s="34"/>
      <c r="C197" s="37"/>
      <c r="D197" s="37"/>
      <c r="E197" s="37"/>
      <c r="F197" s="38"/>
      <c r="G197" s="37"/>
      <c r="H197" s="37"/>
      <c r="I197" s="37"/>
      <c r="J197" s="37"/>
      <c r="K197" s="35"/>
      <c r="L197" s="39"/>
      <c r="M197" s="45"/>
    </row>
    <row r="198" spans="1:13">
      <c r="A198" s="34"/>
      <c r="B198" s="34"/>
      <c r="C198" s="37"/>
      <c r="D198" s="37"/>
      <c r="E198" s="37"/>
      <c r="F198" s="38"/>
      <c r="G198" s="37"/>
      <c r="H198" s="37"/>
      <c r="I198" s="37"/>
      <c r="J198" s="37"/>
      <c r="K198" s="35"/>
      <c r="L198" s="39"/>
      <c r="M198" s="45"/>
    </row>
    <row r="199" spans="1:13">
      <c r="A199" s="34"/>
      <c r="B199" s="34"/>
      <c r="C199" s="37"/>
      <c r="D199" s="37"/>
      <c r="E199" s="37"/>
      <c r="F199" s="38"/>
      <c r="G199" s="37"/>
      <c r="H199" s="37"/>
      <c r="I199" s="37"/>
      <c r="J199" s="37"/>
      <c r="K199" s="35"/>
      <c r="L199" s="39"/>
      <c r="M199" s="45"/>
    </row>
    <row r="200" spans="1:13">
      <c r="A200" s="34"/>
      <c r="B200" s="34"/>
      <c r="C200" s="37"/>
      <c r="D200" s="37"/>
      <c r="E200" s="37"/>
      <c r="F200" s="38"/>
      <c r="G200" s="37"/>
      <c r="H200" s="37"/>
      <c r="I200" s="37"/>
      <c r="J200" s="37"/>
      <c r="K200" s="35"/>
      <c r="L200" s="39"/>
      <c r="M200" s="45"/>
    </row>
    <row r="201" spans="1:13">
      <c r="A201" s="34"/>
      <c r="B201" s="34"/>
      <c r="C201" s="37"/>
      <c r="D201" s="37"/>
      <c r="E201" s="37"/>
      <c r="F201" s="38"/>
      <c r="G201" s="37"/>
      <c r="H201" s="37"/>
      <c r="I201" s="37"/>
      <c r="J201" s="37"/>
      <c r="K201" s="35"/>
      <c r="L201" s="39"/>
      <c r="M201" s="45"/>
    </row>
    <row r="202" spans="1:13">
      <c r="A202" s="34"/>
      <c r="B202" s="34"/>
      <c r="C202" s="37"/>
      <c r="D202" s="37"/>
      <c r="E202" s="37"/>
      <c r="F202" s="38"/>
      <c r="G202" s="37"/>
      <c r="H202" s="37"/>
      <c r="I202" s="37"/>
      <c r="J202" s="37"/>
      <c r="K202" s="35"/>
      <c r="L202" s="39"/>
      <c r="M202" s="45"/>
    </row>
    <row r="203" spans="1:13">
      <c r="A203" s="34"/>
      <c r="B203" s="34"/>
      <c r="C203" s="37"/>
      <c r="D203" s="37"/>
      <c r="E203" s="37"/>
      <c r="F203" s="38"/>
      <c r="G203" s="37"/>
      <c r="H203" s="37"/>
      <c r="I203" s="37"/>
      <c r="J203" s="37"/>
      <c r="K203" s="35"/>
      <c r="L203" s="39"/>
      <c r="M203" s="45"/>
    </row>
    <row r="204" spans="1:13">
      <c r="A204" s="34"/>
      <c r="B204" s="34"/>
      <c r="C204" s="37"/>
      <c r="D204" s="37"/>
      <c r="E204" s="37"/>
      <c r="F204" s="38"/>
      <c r="G204" s="37"/>
      <c r="H204" s="37"/>
      <c r="I204" s="37"/>
      <c r="J204" s="37"/>
      <c r="K204" s="35"/>
      <c r="L204" s="39"/>
      <c r="M204" s="45"/>
    </row>
    <row r="205" spans="1:13">
      <c r="A205" s="34"/>
      <c r="B205" s="34"/>
      <c r="C205" s="37"/>
      <c r="D205" s="37"/>
      <c r="E205" s="37"/>
      <c r="F205" s="38"/>
      <c r="G205" s="37"/>
      <c r="H205" s="37"/>
      <c r="I205" s="37"/>
      <c r="J205" s="37"/>
      <c r="K205" s="35"/>
      <c r="L205" s="39"/>
      <c r="M205" s="45"/>
    </row>
    <row r="206" spans="1:13">
      <c r="A206" s="34"/>
      <c r="B206" s="34"/>
      <c r="C206" s="37"/>
      <c r="D206" s="37"/>
      <c r="E206" s="37"/>
      <c r="F206" s="38"/>
      <c r="G206" s="37"/>
      <c r="H206" s="37"/>
      <c r="I206" s="37"/>
      <c r="J206" s="37"/>
      <c r="K206" s="35"/>
      <c r="L206" s="39"/>
      <c r="M206" s="45"/>
    </row>
    <row r="207" spans="1:13">
      <c r="A207" s="34"/>
      <c r="B207" s="34"/>
      <c r="C207" s="37"/>
      <c r="D207" s="37"/>
      <c r="E207" s="37"/>
      <c r="F207" s="38"/>
      <c r="G207" s="37"/>
      <c r="H207" s="37"/>
      <c r="I207" s="37"/>
      <c r="J207" s="37"/>
      <c r="K207" s="35"/>
      <c r="L207" s="39"/>
      <c r="M207" s="45"/>
    </row>
    <row r="208" spans="1:13">
      <c r="A208" s="34"/>
      <c r="B208" s="34"/>
      <c r="C208" s="37"/>
      <c r="D208" s="37"/>
      <c r="E208" s="37"/>
      <c r="F208" s="38"/>
      <c r="G208" s="37"/>
      <c r="H208" s="37"/>
      <c r="I208" s="37"/>
      <c r="J208" s="37"/>
      <c r="K208" s="35"/>
      <c r="L208" s="39"/>
      <c r="M208" s="45"/>
    </row>
    <row r="209" spans="1:13">
      <c r="A209" s="34"/>
      <c r="B209" s="34"/>
      <c r="C209" s="37"/>
      <c r="D209" s="37"/>
      <c r="E209" s="37"/>
      <c r="F209" s="38"/>
      <c r="G209" s="37"/>
      <c r="H209" s="37"/>
      <c r="I209" s="37"/>
      <c r="J209" s="37"/>
      <c r="K209" s="35"/>
      <c r="L209" s="39"/>
      <c r="M209" s="45"/>
    </row>
    <row r="210" spans="1:13">
      <c r="A210" s="34"/>
      <c r="B210" s="34"/>
      <c r="C210" s="37"/>
      <c r="D210" s="37"/>
      <c r="E210" s="37"/>
      <c r="F210" s="38"/>
      <c r="G210" s="37"/>
      <c r="H210" s="37"/>
      <c r="I210" s="37"/>
      <c r="J210" s="37"/>
      <c r="K210" s="35"/>
      <c r="L210" s="39"/>
      <c r="M210" s="45"/>
    </row>
    <row r="211" spans="1:13">
      <c r="A211" s="34"/>
      <c r="B211" s="34"/>
      <c r="C211" s="37"/>
      <c r="D211" s="37"/>
      <c r="E211" s="37"/>
      <c r="F211" s="38"/>
      <c r="G211" s="37"/>
      <c r="H211" s="37"/>
      <c r="I211" s="37"/>
      <c r="J211" s="37"/>
      <c r="K211" s="35"/>
      <c r="L211" s="39"/>
      <c r="M211" s="45"/>
    </row>
    <row r="212" spans="1:13">
      <c r="A212" s="34"/>
      <c r="B212" s="34"/>
      <c r="C212" s="37"/>
      <c r="D212" s="37"/>
      <c r="E212" s="37"/>
      <c r="F212" s="38"/>
      <c r="G212" s="37"/>
      <c r="H212" s="37"/>
      <c r="I212" s="37"/>
      <c r="J212" s="37"/>
      <c r="K212" s="35"/>
      <c r="L212" s="39"/>
      <c r="M212" s="45"/>
    </row>
    <row r="213" spans="1:13">
      <c r="A213" s="34"/>
      <c r="B213" s="34"/>
      <c r="C213" s="37"/>
      <c r="D213" s="37"/>
      <c r="E213" s="37"/>
      <c r="F213" s="38"/>
      <c r="G213" s="37"/>
      <c r="H213" s="37"/>
      <c r="I213" s="37"/>
      <c r="J213" s="37"/>
      <c r="K213" s="35"/>
      <c r="L213" s="39"/>
      <c r="M213" s="45"/>
    </row>
    <row r="214" spans="1:13">
      <c r="A214" s="34"/>
      <c r="B214" s="34"/>
      <c r="C214" s="37"/>
      <c r="D214" s="37"/>
      <c r="E214" s="37"/>
      <c r="F214" s="38"/>
      <c r="G214" s="37"/>
      <c r="H214" s="37"/>
      <c r="I214" s="37"/>
      <c r="J214" s="37"/>
      <c r="K214" s="35"/>
      <c r="L214" s="39"/>
      <c r="M214" s="45"/>
    </row>
    <row r="215" spans="1:13">
      <c r="A215" s="34"/>
      <c r="B215" s="34"/>
      <c r="C215" s="37"/>
      <c r="D215" s="37"/>
      <c r="E215" s="37"/>
      <c r="F215" s="38"/>
      <c r="G215" s="37"/>
      <c r="H215" s="37"/>
      <c r="I215" s="37"/>
      <c r="J215" s="37"/>
      <c r="K215" s="35"/>
      <c r="L215" s="39"/>
      <c r="M215" s="45"/>
    </row>
    <row r="216" spans="1:13">
      <c r="A216" s="34"/>
      <c r="B216" s="34"/>
      <c r="C216" s="37"/>
      <c r="D216" s="37"/>
      <c r="E216" s="37"/>
      <c r="F216" s="38"/>
      <c r="G216" s="37"/>
      <c r="H216" s="37"/>
      <c r="I216" s="37"/>
      <c r="J216" s="37"/>
      <c r="K216" s="35"/>
      <c r="L216" s="39"/>
      <c r="M216" s="45"/>
    </row>
    <row r="217" spans="1:13">
      <c r="A217" s="34"/>
      <c r="B217" s="34"/>
      <c r="C217" s="37"/>
      <c r="D217" s="37"/>
      <c r="E217" s="37"/>
      <c r="F217" s="38"/>
      <c r="G217" s="37"/>
      <c r="H217" s="37"/>
      <c r="I217" s="37"/>
      <c r="J217" s="37"/>
      <c r="K217" s="35"/>
      <c r="L217" s="39"/>
      <c r="M217" s="45"/>
    </row>
    <row r="218" spans="1:13">
      <c r="A218" s="34"/>
      <c r="B218" s="34"/>
      <c r="C218" s="37"/>
      <c r="D218" s="37"/>
      <c r="E218" s="37"/>
      <c r="F218" s="38"/>
      <c r="G218" s="37"/>
      <c r="H218" s="37"/>
      <c r="I218" s="37"/>
      <c r="J218" s="37"/>
      <c r="K218" s="35"/>
      <c r="L218" s="39"/>
      <c r="M218" s="45"/>
    </row>
    <row r="219" spans="1:13">
      <c r="A219" s="34"/>
      <c r="B219" s="34"/>
      <c r="C219" s="37"/>
      <c r="D219" s="37"/>
      <c r="E219" s="37"/>
      <c r="F219" s="38"/>
      <c r="G219" s="37"/>
      <c r="H219" s="37"/>
      <c r="I219" s="37"/>
      <c r="J219" s="37"/>
      <c r="K219" s="35"/>
      <c r="L219" s="39"/>
      <c r="M219" s="45"/>
    </row>
    <row r="220" spans="1:13">
      <c r="A220" s="34"/>
      <c r="B220" s="34"/>
      <c r="C220" s="37"/>
      <c r="D220" s="37"/>
      <c r="E220" s="37"/>
      <c r="F220" s="38"/>
      <c r="G220" s="37"/>
      <c r="H220" s="37"/>
      <c r="I220" s="37"/>
      <c r="J220" s="37"/>
      <c r="K220" s="35"/>
      <c r="L220" s="39"/>
      <c r="M220" s="45"/>
    </row>
    <row r="221" spans="1:13">
      <c r="A221" s="34"/>
      <c r="B221" s="34"/>
      <c r="C221" s="37"/>
      <c r="D221" s="37"/>
      <c r="E221" s="37"/>
      <c r="F221" s="38"/>
      <c r="G221" s="37"/>
      <c r="H221" s="37"/>
      <c r="I221" s="37"/>
      <c r="J221" s="37"/>
      <c r="K221" s="35"/>
      <c r="L221" s="39"/>
      <c r="M221" s="45"/>
    </row>
    <row r="222" spans="1:13">
      <c r="A222" s="34"/>
      <c r="B222" s="34"/>
      <c r="C222" s="37"/>
      <c r="D222" s="37"/>
      <c r="E222" s="37"/>
      <c r="F222" s="38"/>
      <c r="G222" s="37"/>
      <c r="H222" s="37"/>
      <c r="I222" s="37"/>
      <c r="J222" s="37"/>
      <c r="K222" s="35"/>
      <c r="L222" s="39"/>
      <c r="M222" s="45"/>
    </row>
    <row r="223" spans="1:13">
      <c r="A223" s="34"/>
      <c r="B223" s="34"/>
      <c r="C223" s="37"/>
      <c r="D223" s="37"/>
      <c r="E223" s="37"/>
      <c r="F223" s="38"/>
      <c r="G223" s="37"/>
      <c r="H223" s="37"/>
      <c r="I223" s="37"/>
      <c r="J223" s="37"/>
      <c r="K223" s="35"/>
      <c r="L223" s="39"/>
      <c r="M223" s="45"/>
    </row>
    <row r="224" spans="1:13">
      <c r="A224" s="34"/>
      <c r="B224" s="34"/>
      <c r="C224" s="37"/>
      <c r="D224" s="37"/>
      <c r="E224" s="37"/>
      <c r="F224" s="38"/>
      <c r="G224" s="37"/>
      <c r="H224" s="37"/>
      <c r="I224" s="37"/>
      <c r="J224" s="37"/>
      <c r="K224" s="35"/>
      <c r="L224" s="39"/>
      <c r="M224" s="45"/>
    </row>
    <row r="225" spans="1:13">
      <c r="A225" s="34"/>
      <c r="B225" s="34"/>
      <c r="C225" s="37"/>
      <c r="D225" s="37"/>
      <c r="E225" s="37"/>
      <c r="F225" s="38"/>
      <c r="G225" s="37"/>
      <c r="H225" s="37"/>
      <c r="I225" s="37"/>
      <c r="J225" s="37"/>
      <c r="K225" s="35"/>
      <c r="L225" s="39"/>
      <c r="M225" s="45"/>
    </row>
    <row r="226" spans="1:13">
      <c r="A226" s="34"/>
      <c r="B226" s="34"/>
      <c r="C226" s="37"/>
      <c r="D226" s="37"/>
      <c r="E226" s="37"/>
      <c r="F226" s="38"/>
      <c r="G226" s="37"/>
      <c r="H226" s="37"/>
      <c r="I226" s="37"/>
      <c r="J226" s="37"/>
      <c r="K226" s="35"/>
      <c r="L226" s="39"/>
      <c r="M226" s="45"/>
    </row>
    <row r="227" spans="1:13">
      <c r="A227" s="34"/>
      <c r="B227" s="34"/>
      <c r="C227" s="37"/>
      <c r="D227" s="37"/>
      <c r="E227" s="37"/>
      <c r="F227" s="38"/>
      <c r="G227" s="37"/>
      <c r="H227" s="37"/>
      <c r="I227" s="37"/>
      <c r="J227" s="37"/>
      <c r="K227" s="35"/>
      <c r="L227" s="39"/>
      <c r="M227" s="45"/>
    </row>
    <row r="228" spans="1:13">
      <c r="A228" s="34"/>
      <c r="B228" s="34"/>
      <c r="C228" s="37"/>
      <c r="D228" s="37"/>
      <c r="E228" s="37"/>
      <c r="F228" s="38"/>
      <c r="G228" s="37"/>
      <c r="H228" s="37"/>
      <c r="I228" s="37"/>
      <c r="J228" s="37"/>
      <c r="K228" s="35"/>
      <c r="L228" s="39"/>
      <c r="M228" s="45"/>
    </row>
    <row r="229" spans="1:13">
      <c r="A229" s="34"/>
      <c r="B229" s="34"/>
      <c r="C229" s="37"/>
      <c r="D229" s="37"/>
      <c r="E229" s="37"/>
      <c r="F229" s="38"/>
      <c r="G229" s="37"/>
      <c r="H229" s="37"/>
      <c r="I229" s="37"/>
      <c r="J229" s="37"/>
      <c r="K229" s="35"/>
      <c r="L229" s="39"/>
      <c r="M229" s="45"/>
    </row>
    <row r="230" spans="1:13">
      <c r="A230" s="34"/>
      <c r="B230" s="34"/>
      <c r="C230" s="37"/>
      <c r="D230" s="37"/>
      <c r="E230" s="37"/>
      <c r="F230" s="38"/>
      <c r="G230" s="37"/>
      <c r="H230" s="37"/>
      <c r="I230" s="37"/>
      <c r="J230" s="37"/>
      <c r="K230" s="35"/>
      <c r="L230" s="39"/>
      <c r="M230" s="45"/>
    </row>
    <row r="231" spans="1:13">
      <c r="A231" s="34"/>
      <c r="B231" s="34"/>
      <c r="C231" s="37"/>
      <c r="D231" s="37"/>
      <c r="E231" s="37"/>
      <c r="F231" s="38"/>
      <c r="G231" s="37"/>
      <c r="H231" s="37"/>
      <c r="I231" s="37"/>
      <c r="J231" s="37"/>
      <c r="K231" s="35"/>
      <c r="L231" s="39"/>
      <c r="M231" s="45"/>
    </row>
    <row r="232" spans="1:13">
      <c r="A232" s="34"/>
      <c r="B232" s="34"/>
      <c r="C232" s="37"/>
      <c r="D232" s="37"/>
      <c r="E232" s="37"/>
      <c r="F232" s="38"/>
      <c r="G232" s="37"/>
      <c r="H232" s="37"/>
      <c r="I232" s="37"/>
      <c r="J232" s="37"/>
      <c r="K232" s="35"/>
      <c r="L232" s="39"/>
      <c r="M232" s="45"/>
    </row>
    <row r="233" spans="1:13">
      <c r="A233" s="34"/>
      <c r="B233" s="34"/>
      <c r="C233" s="37"/>
      <c r="D233" s="37"/>
      <c r="E233" s="37"/>
      <c r="F233" s="38"/>
      <c r="G233" s="37"/>
      <c r="H233" s="37"/>
      <c r="I233" s="37"/>
      <c r="J233" s="37"/>
      <c r="K233" s="35"/>
      <c r="L233" s="39"/>
      <c r="M233" s="45"/>
    </row>
    <row r="234" spans="1:13">
      <c r="A234" s="34"/>
      <c r="B234" s="34"/>
      <c r="C234" s="37"/>
      <c r="D234" s="37"/>
      <c r="E234" s="37"/>
      <c r="F234" s="38"/>
      <c r="G234" s="37"/>
      <c r="H234" s="37"/>
      <c r="I234" s="37"/>
      <c r="J234" s="37"/>
      <c r="K234" s="35"/>
      <c r="L234" s="39"/>
      <c r="M234" s="45"/>
    </row>
    <row r="235" spans="1:13">
      <c r="A235" s="34"/>
      <c r="B235" s="34"/>
      <c r="C235" s="37"/>
      <c r="D235" s="37"/>
      <c r="E235" s="37"/>
      <c r="F235" s="38"/>
      <c r="G235" s="37"/>
      <c r="H235" s="37"/>
      <c r="I235" s="37"/>
      <c r="J235" s="37"/>
      <c r="K235" s="35"/>
      <c r="L235" s="39"/>
      <c r="M235" s="45"/>
    </row>
    <row r="236" spans="1:13">
      <c r="A236" s="34"/>
      <c r="B236" s="34"/>
      <c r="C236" s="37"/>
      <c r="D236" s="37"/>
      <c r="E236" s="37"/>
      <c r="F236" s="38"/>
      <c r="G236" s="37"/>
      <c r="H236" s="37"/>
      <c r="I236" s="37"/>
      <c r="J236" s="37"/>
      <c r="K236" s="35"/>
      <c r="L236" s="39"/>
      <c r="M236" s="45"/>
    </row>
    <row r="237" spans="1:13">
      <c r="A237" s="34"/>
      <c r="B237" s="34"/>
      <c r="C237" s="37"/>
      <c r="D237" s="37"/>
      <c r="E237" s="37"/>
      <c r="F237" s="38"/>
      <c r="G237" s="37"/>
      <c r="H237" s="37"/>
      <c r="I237" s="37"/>
      <c r="J237" s="37"/>
      <c r="K237" s="35"/>
      <c r="L237" s="39"/>
      <c r="M237" s="45"/>
    </row>
    <row r="238" spans="1:13">
      <c r="A238" s="34"/>
      <c r="B238" s="34"/>
      <c r="C238" s="37"/>
      <c r="D238" s="37"/>
      <c r="E238" s="37"/>
      <c r="F238" s="38"/>
      <c r="G238" s="37"/>
      <c r="H238" s="37"/>
      <c r="I238" s="37"/>
      <c r="J238" s="37"/>
      <c r="K238" s="35"/>
      <c r="L238" s="39"/>
      <c r="M238" s="45"/>
    </row>
    <row r="239" spans="1:13">
      <c r="A239" s="34"/>
      <c r="B239" s="34"/>
      <c r="C239" s="37"/>
      <c r="D239" s="37"/>
      <c r="E239" s="37"/>
      <c r="F239" s="38"/>
      <c r="G239" s="37"/>
      <c r="H239" s="37"/>
      <c r="I239" s="37"/>
      <c r="J239" s="37"/>
      <c r="K239" s="35"/>
      <c r="L239" s="39"/>
      <c r="M239" s="45"/>
    </row>
    <row r="240" spans="1:13">
      <c r="A240" s="34"/>
      <c r="B240" s="34"/>
      <c r="C240" s="37"/>
      <c r="D240" s="37"/>
      <c r="E240" s="37"/>
      <c r="F240" s="38"/>
      <c r="G240" s="37"/>
      <c r="H240" s="37"/>
      <c r="I240" s="37"/>
      <c r="J240" s="37"/>
      <c r="K240" s="35"/>
      <c r="L240" s="39"/>
      <c r="M240" s="45"/>
    </row>
    <row r="241" spans="1:13">
      <c r="A241" s="34"/>
      <c r="B241" s="34"/>
      <c r="C241" s="37"/>
      <c r="D241" s="37"/>
      <c r="E241" s="37"/>
      <c r="F241" s="38"/>
      <c r="G241" s="37"/>
      <c r="H241" s="37"/>
      <c r="I241" s="37"/>
      <c r="J241" s="37"/>
      <c r="K241" s="35"/>
      <c r="L241" s="39"/>
      <c r="M241" s="45"/>
    </row>
    <row r="242" spans="1:13">
      <c r="A242" s="34"/>
      <c r="B242" s="34"/>
      <c r="C242" s="37"/>
      <c r="D242" s="37"/>
      <c r="E242" s="37"/>
      <c r="F242" s="38"/>
      <c r="G242" s="37"/>
      <c r="H242" s="37"/>
      <c r="I242" s="37"/>
      <c r="J242" s="37"/>
      <c r="K242" s="35"/>
      <c r="L242" s="39"/>
      <c r="M242" s="45"/>
    </row>
    <row r="243" spans="1:13">
      <c r="A243" s="34"/>
      <c r="B243" s="34"/>
      <c r="C243" s="37"/>
      <c r="D243" s="37"/>
      <c r="E243" s="37"/>
      <c r="F243" s="38"/>
      <c r="G243" s="37"/>
      <c r="H243" s="37"/>
      <c r="I243" s="37"/>
      <c r="J243" s="37"/>
      <c r="K243" s="35"/>
      <c r="L243" s="39"/>
      <c r="M243" s="45"/>
    </row>
    <row r="244" spans="1:13">
      <c r="A244" s="34"/>
      <c r="B244" s="34"/>
      <c r="C244" s="37"/>
      <c r="D244" s="37"/>
      <c r="E244" s="37"/>
      <c r="F244" s="38"/>
      <c r="G244" s="37"/>
      <c r="H244" s="37"/>
      <c r="I244" s="37"/>
      <c r="J244" s="37"/>
      <c r="K244" s="35"/>
      <c r="L244" s="39"/>
      <c r="M244" s="45"/>
    </row>
    <row r="245" spans="1:13">
      <c r="A245" s="34"/>
      <c r="B245" s="34"/>
      <c r="C245" s="37"/>
      <c r="D245" s="37"/>
      <c r="E245" s="37"/>
      <c r="F245" s="38"/>
      <c r="G245" s="37"/>
      <c r="H245" s="37"/>
      <c r="I245" s="37"/>
      <c r="J245" s="37"/>
      <c r="K245" s="35"/>
      <c r="L245" s="39"/>
      <c r="M245" s="45"/>
    </row>
    <row r="246" spans="1:13">
      <c r="A246" s="34"/>
      <c r="B246" s="34"/>
      <c r="C246" s="37"/>
      <c r="D246" s="37"/>
      <c r="E246" s="37"/>
      <c r="F246" s="38"/>
      <c r="G246" s="37"/>
      <c r="H246" s="37"/>
      <c r="I246" s="37"/>
      <c r="J246" s="37"/>
      <c r="K246" s="35"/>
      <c r="L246" s="39"/>
      <c r="M246" s="45"/>
    </row>
    <row r="247" spans="1:13">
      <c r="A247" s="34"/>
      <c r="B247" s="34"/>
      <c r="C247" s="37"/>
      <c r="D247" s="37"/>
      <c r="E247" s="37"/>
      <c r="F247" s="38"/>
      <c r="G247" s="37"/>
      <c r="H247" s="37"/>
      <c r="I247" s="37"/>
      <c r="J247" s="37"/>
      <c r="K247" s="35"/>
      <c r="L247" s="39"/>
      <c r="M247" s="45"/>
    </row>
    <row r="248" spans="1:13">
      <c r="A248" s="34"/>
      <c r="B248" s="34"/>
      <c r="C248" s="37"/>
      <c r="D248" s="37"/>
      <c r="E248" s="37"/>
      <c r="F248" s="38"/>
      <c r="G248" s="37"/>
      <c r="H248" s="37"/>
      <c r="I248" s="37"/>
      <c r="J248" s="37"/>
      <c r="K248" s="35"/>
      <c r="L248" s="39"/>
      <c r="M248" s="45"/>
    </row>
    <row r="249" spans="1:13">
      <c r="A249" s="34"/>
      <c r="B249" s="34"/>
      <c r="C249" s="37"/>
      <c r="D249" s="37"/>
      <c r="E249" s="37"/>
      <c r="F249" s="38"/>
      <c r="G249" s="37"/>
      <c r="H249" s="37"/>
      <c r="I249" s="37"/>
      <c r="J249" s="37"/>
      <c r="K249" s="35"/>
      <c r="L249" s="39"/>
      <c r="M249" s="45"/>
    </row>
    <row r="250" spans="1:13">
      <c r="A250" s="34"/>
      <c r="B250" s="34"/>
      <c r="C250" s="37"/>
      <c r="D250" s="37"/>
      <c r="E250" s="37"/>
      <c r="F250" s="38"/>
      <c r="G250" s="37"/>
      <c r="H250" s="37"/>
      <c r="I250" s="37"/>
      <c r="J250" s="37"/>
      <c r="K250" s="35"/>
      <c r="L250" s="39"/>
      <c r="M250" s="45"/>
    </row>
    <row r="251" spans="1:13">
      <c r="A251" s="34"/>
      <c r="B251" s="34"/>
      <c r="C251" s="37"/>
      <c r="D251" s="37"/>
      <c r="E251" s="37"/>
      <c r="F251" s="38"/>
      <c r="G251" s="37"/>
      <c r="H251" s="37"/>
      <c r="I251" s="37"/>
      <c r="J251" s="37"/>
      <c r="K251" s="35"/>
      <c r="L251" s="39"/>
      <c r="M251" s="45"/>
    </row>
    <row r="252" spans="1:13">
      <c r="A252" s="34"/>
      <c r="B252" s="34"/>
      <c r="C252" s="37"/>
      <c r="D252" s="37"/>
      <c r="E252" s="37"/>
      <c r="F252" s="38"/>
      <c r="G252" s="37"/>
      <c r="H252" s="37"/>
      <c r="I252" s="37"/>
      <c r="J252" s="37"/>
      <c r="K252" s="35"/>
      <c r="L252" s="39"/>
      <c r="M252" s="45"/>
    </row>
    <row r="253" spans="1:13">
      <c r="A253" s="34"/>
      <c r="B253" s="34"/>
      <c r="C253" s="37"/>
      <c r="D253" s="37"/>
      <c r="E253" s="37"/>
      <c r="F253" s="38"/>
      <c r="G253" s="37"/>
      <c r="H253" s="37"/>
      <c r="I253" s="37"/>
      <c r="J253" s="37"/>
      <c r="K253" s="35"/>
      <c r="L253" s="39"/>
      <c r="M253" s="45"/>
    </row>
    <row r="254" spans="1:13">
      <c r="A254" s="34"/>
      <c r="B254" s="34"/>
      <c r="C254" s="37"/>
      <c r="D254" s="37"/>
      <c r="E254" s="37"/>
      <c r="F254" s="38"/>
      <c r="G254" s="37"/>
      <c r="H254" s="37"/>
      <c r="I254" s="37"/>
      <c r="J254" s="37"/>
      <c r="K254" s="35"/>
      <c r="L254" s="39"/>
      <c r="M254" s="45"/>
    </row>
    <row r="255" spans="1:13">
      <c r="A255" s="34"/>
      <c r="B255" s="34"/>
      <c r="C255" s="37"/>
      <c r="D255" s="37"/>
      <c r="E255" s="37"/>
      <c r="F255" s="38"/>
      <c r="G255" s="37"/>
      <c r="H255" s="37"/>
      <c r="I255" s="37"/>
      <c r="J255" s="37"/>
      <c r="K255" s="35"/>
      <c r="L255" s="39"/>
      <c r="M255" s="45"/>
    </row>
    <row r="256" spans="1:13">
      <c r="A256" s="34"/>
      <c r="B256" s="34"/>
      <c r="C256" s="37"/>
      <c r="D256" s="37"/>
      <c r="E256" s="37"/>
      <c r="F256" s="38"/>
      <c r="G256" s="37"/>
      <c r="H256" s="37"/>
      <c r="I256" s="37"/>
      <c r="J256" s="37"/>
      <c r="K256" s="35"/>
      <c r="L256" s="39"/>
      <c r="M256" s="45"/>
    </row>
    <row r="257" spans="1:13">
      <c r="A257" s="34"/>
      <c r="B257" s="34"/>
      <c r="C257" s="37"/>
      <c r="D257" s="37"/>
      <c r="E257" s="37"/>
      <c r="F257" s="38"/>
      <c r="G257" s="37"/>
      <c r="H257" s="37"/>
      <c r="I257" s="37"/>
      <c r="J257" s="37"/>
      <c r="K257" s="35"/>
      <c r="L257" s="39"/>
      <c r="M257" s="45"/>
    </row>
    <row r="258" spans="1:13">
      <c r="A258" s="34"/>
      <c r="B258" s="34"/>
      <c r="C258" s="37"/>
      <c r="D258" s="37"/>
      <c r="E258" s="37"/>
      <c r="F258" s="38"/>
      <c r="G258" s="37"/>
      <c r="H258" s="37"/>
      <c r="I258" s="37"/>
      <c r="J258" s="37"/>
      <c r="K258" s="35"/>
      <c r="L258" s="39"/>
      <c r="M258" s="45"/>
    </row>
    <row r="259" spans="1:13">
      <c r="A259" s="34"/>
      <c r="B259" s="34"/>
      <c r="C259" s="37"/>
      <c r="D259" s="37"/>
      <c r="E259" s="37"/>
      <c r="F259" s="38"/>
      <c r="G259" s="37"/>
      <c r="H259" s="37"/>
      <c r="I259" s="37"/>
      <c r="J259" s="37"/>
      <c r="K259" s="35"/>
      <c r="L259" s="39"/>
      <c r="M259" s="45"/>
    </row>
    <row r="260" spans="1:13">
      <c r="A260" s="34"/>
      <c r="B260" s="34"/>
      <c r="C260" s="37"/>
      <c r="D260" s="37"/>
      <c r="E260" s="37"/>
      <c r="F260" s="38"/>
      <c r="G260" s="37"/>
      <c r="H260" s="37"/>
      <c r="I260" s="37"/>
      <c r="J260" s="37"/>
      <c r="K260" s="35"/>
      <c r="L260" s="39"/>
      <c r="M260" s="45"/>
    </row>
    <row r="261" spans="1:13">
      <c r="A261" s="34"/>
      <c r="B261" s="34"/>
      <c r="C261" s="37"/>
      <c r="D261" s="37"/>
      <c r="E261" s="37"/>
      <c r="F261" s="38"/>
      <c r="G261" s="37"/>
      <c r="H261" s="37"/>
      <c r="I261" s="37"/>
      <c r="J261" s="37"/>
      <c r="K261" s="35"/>
      <c r="L261" s="39"/>
      <c r="M261" s="45"/>
    </row>
    <row r="262" spans="1:13">
      <c r="A262" s="34"/>
      <c r="B262" s="34"/>
      <c r="C262" s="37"/>
      <c r="D262" s="37"/>
      <c r="E262" s="37"/>
      <c r="F262" s="38"/>
      <c r="G262" s="37"/>
      <c r="H262" s="37"/>
      <c r="I262" s="37"/>
      <c r="J262" s="37"/>
      <c r="K262" s="35"/>
      <c r="L262" s="39"/>
      <c r="M262" s="45"/>
    </row>
    <row r="263" spans="1:13">
      <c r="A263" s="34"/>
      <c r="B263" s="34"/>
      <c r="C263" s="37"/>
      <c r="D263" s="37"/>
      <c r="E263" s="37"/>
      <c r="F263" s="38"/>
      <c r="G263" s="37"/>
      <c r="H263" s="37"/>
      <c r="I263" s="37"/>
      <c r="J263" s="37"/>
      <c r="K263" s="35"/>
      <c r="L263" s="39"/>
      <c r="M263" s="45"/>
    </row>
    <row r="264" spans="1:13">
      <c r="A264" s="34"/>
      <c r="B264" s="34"/>
      <c r="C264" s="37"/>
      <c r="D264" s="37"/>
      <c r="E264" s="37"/>
      <c r="F264" s="38"/>
      <c r="G264" s="37"/>
      <c r="H264" s="37"/>
      <c r="I264" s="37"/>
      <c r="J264" s="37"/>
      <c r="K264" s="35"/>
      <c r="L264" s="39"/>
      <c r="M264" s="45"/>
    </row>
    <row r="265" spans="1:13">
      <c r="A265" s="34"/>
      <c r="B265" s="34"/>
      <c r="C265" s="37"/>
      <c r="D265" s="37"/>
      <c r="E265" s="37"/>
      <c r="F265" s="38"/>
      <c r="G265" s="37"/>
      <c r="H265" s="37"/>
      <c r="I265" s="37"/>
      <c r="J265" s="37"/>
      <c r="K265" s="35"/>
      <c r="L265" s="39"/>
      <c r="M265" s="45"/>
    </row>
    <row r="266" spans="1:13">
      <c r="A266" s="34"/>
      <c r="B266" s="34"/>
      <c r="C266" s="37"/>
      <c r="D266" s="37"/>
      <c r="E266" s="37"/>
      <c r="F266" s="38"/>
      <c r="G266" s="37"/>
      <c r="H266" s="37"/>
      <c r="I266" s="37"/>
      <c r="J266" s="37"/>
      <c r="K266" s="35"/>
      <c r="L266" s="39"/>
      <c r="M266" s="45"/>
    </row>
    <row r="267" spans="1:13">
      <c r="A267" s="34"/>
      <c r="B267" s="34"/>
      <c r="C267" s="37"/>
      <c r="D267" s="37"/>
      <c r="E267" s="37"/>
      <c r="F267" s="38"/>
      <c r="G267" s="37"/>
      <c r="H267" s="37"/>
      <c r="I267" s="37"/>
      <c r="J267" s="37"/>
      <c r="K267" s="35"/>
      <c r="L267" s="39"/>
      <c r="M267" s="45"/>
    </row>
    <row r="268" spans="1:13">
      <c r="A268" s="34"/>
      <c r="B268" s="34"/>
      <c r="C268" s="37"/>
      <c r="D268" s="37"/>
      <c r="E268" s="37"/>
      <c r="F268" s="38"/>
      <c r="G268" s="37"/>
      <c r="H268" s="37"/>
      <c r="I268" s="37"/>
      <c r="J268" s="37"/>
      <c r="K268" s="35"/>
      <c r="L268" s="39"/>
      <c r="M268" s="45"/>
    </row>
    <row r="269" spans="1:13">
      <c r="A269" s="34"/>
      <c r="B269" s="34"/>
      <c r="C269" s="37"/>
      <c r="D269" s="37"/>
      <c r="E269" s="37"/>
      <c r="F269" s="38"/>
      <c r="G269" s="37"/>
      <c r="H269" s="37"/>
      <c r="I269" s="37"/>
      <c r="J269" s="37"/>
      <c r="K269" s="35"/>
      <c r="L269" s="39"/>
      <c r="M269" s="45"/>
    </row>
    <row r="270" spans="1:13">
      <c r="A270" s="34"/>
      <c r="B270" s="34"/>
      <c r="C270" s="37"/>
      <c r="D270" s="37"/>
      <c r="E270" s="37"/>
      <c r="F270" s="38"/>
      <c r="G270" s="37"/>
      <c r="H270" s="37"/>
      <c r="I270" s="37"/>
      <c r="J270" s="37"/>
      <c r="K270" s="35"/>
      <c r="L270" s="39"/>
      <c r="M270" s="45"/>
    </row>
    <row r="271" spans="1:13">
      <c r="A271" s="34"/>
      <c r="B271" s="34"/>
      <c r="C271" s="37"/>
      <c r="D271" s="37"/>
      <c r="E271" s="37"/>
      <c r="F271" s="38"/>
      <c r="G271" s="37"/>
      <c r="H271" s="37"/>
      <c r="I271" s="37"/>
      <c r="J271" s="37"/>
      <c r="K271" s="35"/>
      <c r="L271" s="39"/>
      <c r="M271" s="45"/>
    </row>
    <row r="272" spans="1:13">
      <c r="A272" s="34"/>
      <c r="B272" s="34"/>
      <c r="C272" s="37"/>
      <c r="D272" s="37"/>
      <c r="E272" s="37"/>
      <c r="F272" s="38"/>
      <c r="G272" s="37"/>
      <c r="H272" s="37"/>
      <c r="I272" s="37"/>
      <c r="J272" s="37"/>
      <c r="K272" s="35"/>
      <c r="L272" s="39"/>
      <c r="M272" s="45"/>
    </row>
    <row r="273" spans="1:13">
      <c r="A273" s="34"/>
      <c r="B273" s="34"/>
      <c r="C273" s="37"/>
      <c r="D273" s="37"/>
      <c r="E273" s="37"/>
      <c r="F273" s="38"/>
      <c r="G273" s="37"/>
      <c r="H273" s="37"/>
      <c r="I273" s="37"/>
      <c r="J273" s="37"/>
      <c r="K273" s="35"/>
      <c r="L273" s="39"/>
      <c r="M273" s="45"/>
    </row>
    <row r="274" spans="1:13">
      <c r="A274" s="34"/>
      <c r="B274" s="34"/>
      <c r="C274" s="37"/>
      <c r="D274" s="37"/>
      <c r="E274" s="37"/>
      <c r="F274" s="38"/>
      <c r="G274" s="37"/>
      <c r="H274" s="37"/>
      <c r="I274" s="37"/>
      <c r="J274" s="37"/>
      <c r="K274" s="35"/>
      <c r="L274" s="39"/>
      <c r="M274" s="45"/>
    </row>
    <row r="275" spans="1:13">
      <c r="A275" s="34"/>
      <c r="B275" s="34"/>
      <c r="C275" s="37"/>
      <c r="D275" s="37"/>
      <c r="E275" s="37"/>
      <c r="F275" s="38"/>
      <c r="G275" s="37"/>
      <c r="H275" s="37"/>
      <c r="I275" s="37"/>
      <c r="J275" s="37"/>
      <c r="K275" s="35"/>
      <c r="L275" s="39"/>
      <c r="M275" s="45"/>
    </row>
    <row r="276" spans="1:13">
      <c r="A276" s="34"/>
      <c r="B276" s="34"/>
      <c r="C276" s="37"/>
      <c r="D276" s="37"/>
      <c r="E276" s="37"/>
      <c r="F276" s="38"/>
      <c r="G276" s="37"/>
      <c r="H276" s="37"/>
      <c r="I276" s="37"/>
      <c r="J276" s="37"/>
      <c r="K276" s="35"/>
      <c r="L276" s="39"/>
      <c r="M276" s="45"/>
    </row>
    <row r="277" spans="1:13">
      <c r="A277" s="34"/>
      <c r="B277" s="34"/>
      <c r="C277" s="37"/>
      <c r="D277" s="37"/>
      <c r="E277" s="37"/>
      <c r="F277" s="38"/>
      <c r="G277" s="37"/>
      <c r="H277" s="37"/>
      <c r="I277" s="37"/>
      <c r="J277" s="37"/>
      <c r="K277" s="35"/>
      <c r="L277" s="39"/>
      <c r="M277" s="45"/>
    </row>
    <row r="278" spans="1:13">
      <c r="A278" s="34"/>
      <c r="B278" s="34"/>
      <c r="C278" s="37"/>
      <c r="D278" s="37"/>
      <c r="E278" s="37"/>
      <c r="F278" s="38"/>
      <c r="G278" s="37"/>
      <c r="H278" s="37"/>
      <c r="I278" s="37"/>
      <c r="J278" s="37"/>
      <c r="K278" s="35"/>
      <c r="L278" s="39"/>
      <c r="M278" s="45"/>
    </row>
    <row r="279" spans="1:13">
      <c r="A279" s="34"/>
      <c r="B279" s="34"/>
      <c r="C279" s="37"/>
      <c r="D279" s="37"/>
      <c r="E279" s="37"/>
      <c r="F279" s="38"/>
      <c r="G279" s="37"/>
      <c r="H279" s="37"/>
      <c r="I279" s="37"/>
      <c r="J279" s="37"/>
      <c r="K279" s="35"/>
      <c r="L279" s="39"/>
      <c r="M279" s="45"/>
    </row>
    <row r="280" spans="1:13">
      <c r="A280" s="34"/>
      <c r="B280" s="34"/>
      <c r="C280" s="37"/>
      <c r="D280" s="37"/>
      <c r="E280" s="37"/>
      <c r="F280" s="38"/>
      <c r="G280" s="37"/>
      <c r="H280" s="37"/>
      <c r="I280" s="37"/>
      <c r="J280" s="37"/>
      <c r="K280" s="35"/>
      <c r="L280" s="39"/>
      <c r="M280" s="45"/>
    </row>
    <row r="281" spans="1:13">
      <c r="A281" s="34"/>
      <c r="B281" s="34"/>
      <c r="C281" s="37"/>
      <c r="D281" s="37"/>
      <c r="E281" s="37"/>
      <c r="F281" s="38"/>
      <c r="G281" s="37"/>
      <c r="H281" s="37"/>
      <c r="I281" s="37"/>
      <c r="J281" s="37"/>
      <c r="K281" s="35"/>
      <c r="L281" s="39"/>
      <c r="M281" s="45"/>
    </row>
    <row r="282" spans="1:13">
      <c r="A282" s="34"/>
      <c r="B282" s="34"/>
      <c r="C282" s="37"/>
      <c r="D282" s="37"/>
      <c r="E282" s="37"/>
      <c r="F282" s="38"/>
      <c r="G282" s="37"/>
      <c r="H282" s="37"/>
      <c r="I282" s="37"/>
      <c r="J282" s="37"/>
      <c r="K282" s="35"/>
      <c r="L282" s="39"/>
      <c r="M282" s="45"/>
    </row>
    <row r="283" spans="1:13">
      <c r="A283" s="34"/>
      <c r="B283" s="34"/>
      <c r="C283" s="37"/>
      <c r="D283" s="37"/>
      <c r="E283" s="37"/>
      <c r="F283" s="38"/>
      <c r="G283" s="37"/>
      <c r="H283" s="37"/>
      <c r="I283" s="37"/>
      <c r="J283" s="37"/>
      <c r="K283" s="35"/>
      <c r="L283" s="39"/>
      <c r="M283" s="45"/>
    </row>
    <row r="284" spans="1:13">
      <c r="A284" s="34"/>
      <c r="B284" s="34"/>
      <c r="C284" s="37"/>
      <c r="D284" s="37"/>
      <c r="E284" s="37"/>
      <c r="F284" s="38"/>
      <c r="G284" s="37"/>
      <c r="H284" s="37"/>
      <c r="I284" s="37"/>
      <c r="J284" s="37"/>
      <c r="K284" s="35"/>
      <c r="L284" s="39"/>
      <c r="M284" s="45"/>
    </row>
    <row r="285" spans="1:13">
      <c r="A285" s="34"/>
      <c r="B285" s="34"/>
      <c r="C285" s="37"/>
      <c r="D285" s="37"/>
      <c r="E285" s="37"/>
      <c r="F285" s="38"/>
      <c r="G285" s="37"/>
      <c r="H285" s="37"/>
      <c r="I285" s="37"/>
      <c r="J285" s="37"/>
      <c r="K285" s="35"/>
      <c r="L285" s="39"/>
      <c r="M285" s="45"/>
    </row>
    <row r="286" spans="1:13">
      <c r="A286" s="34"/>
      <c r="B286" s="34"/>
      <c r="C286" s="37"/>
      <c r="D286" s="37"/>
      <c r="E286" s="37"/>
      <c r="F286" s="38"/>
      <c r="G286" s="37"/>
      <c r="H286" s="37"/>
      <c r="I286" s="37"/>
      <c r="J286" s="37"/>
      <c r="K286" s="35"/>
      <c r="L286" s="39"/>
      <c r="M286" s="45"/>
    </row>
    <row r="287" spans="1:13">
      <c r="A287" s="34"/>
      <c r="B287" s="34"/>
      <c r="C287" s="37"/>
      <c r="D287" s="37"/>
      <c r="E287" s="37"/>
      <c r="F287" s="38"/>
      <c r="G287" s="37"/>
      <c r="H287" s="37"/>
      <c r="I287" s="37"/>
      <c r="J287" s="37"/>
      <c r="K287" s="35"/>
      <c r="L287" s="39"/>
      <c r="M287" s="45"/>
    </row>
    <row r="288" spans="1:13">
      <c r="A288" s="34"/>
      <c r="B288" s="34"/>
      <c r="C288" s="37"/>
      <c r="D288" s="37"/>
      <c r="E288" s="37"/>
      <c r="F288" s="38"/>
      <c r="G288" s="37"/>
      <c r="H288" s="37"/>
      <c r="I288" s="37"/>
      <c r="J288" s="37"/>
      <c r="K288" s="35"/>
      <c r="L288" s="39"/>
      <c r="M288" s="45"/>
    </row>
    <row r="289" spans="1:13">
      <c r="A289" s="34"/>
      <c r="B289" s="34"/>
      <c r="C289" s="37"/>
      <c r="D289" s="37"/>
      <c r="E289" s="37"/>
      <c r="F289" s="38"/>
      <c r="G289" s="37"/>
      <c r="H289" s="37"/>
      <c r="I289" s="37"/>
      <c r="J289" s="37"/>
      <c r="K289" s="35"/>
      <c r="L289" s="39"/>
      <c r="M289" s="45"/>
    </row>
    <row r="290" spans="1:13">
      <c r="A290" s="34"/>
      <c r="B290" s="34"/>
      <c r="C290" s="37"/>
      <c r="D290" s="37"/>
      <c r="E290" s="37"/>
      <c r="F290" s="38"/>
      <c r="G290" s="37"/>
      <c r="H290" s="37"/>
      <c r="I290" s="37"/>
      <c r="J290" s="37"/>
      <c r="K290" s="35"/>
      <c r="L290" s="39"/>
      <c r="M290" s="45"/>
    </row>
    <row r="291" spans="1:13">
      <c r="A291" s="34"/>
      <c r="B291" s="34"/>
      <c r="C291" s="37"/>
      <c r="D291" s="37"/>
      <c r="E291" s="37"/>
      <c r="F291" s="38"/>
      <c r="G291" s="37"/>
      <c r="H291" s="37"/>
      <c r="I291" s="37"/>
      <c r="J291" s="37"/>
      <c r="K291" s="35"/>
      <c r="L291" s="39"/>
      <c r="M291" s="45"/>
    </row>
    <row r="292" spans="1:13">
      <c r="A292" s="34"/>
      <c r="B292" s="34"/>
      <c r="C292" s="37"/>
      <c r="D292" s="37"/>
      <c r="E292" s="37"/>
      <c r="F292" s="38"/>
      <c r="G292" s="37"/>
      <c r="H292" s="37"/>
      <c r="I292" s="37"/>
      <c r="J292" s="37"/>
      <c r="K292" s="35"/>
      <c r="L292" s="39"/>
      <c r="M292" s="45"/>
    </row>
    <row r="293" spans="1:13">
      <c r="A293" s="34"/>
      <c r="B293" s="34"/>
      <c r="C293" s="37"/>
      <c r="D293" s="37"/>
      <c r="E293" s="37"/>
      <c r="F293" s="38"/>
      <c r="G293" s="37"/>
      <c r="H293" s="37"/>
      <c r="I293" s="37"/>
      <c r="J293" s="37"/>
      <c r="K293" s="35"/>
      <c r="L293" s="39"/>
      <c r="M293" s="45"/>
    </row>
    <row r="294" spans="1:13">
      <c r="A294" s="34"/>
      <c r="B294" s="34"/>
      <c r="C294" s="37"/>
      <c r="D294" s="37"/>
      <c r="E294" s="37"/>
      <c r="F294" s="38"/>
      <c r="G294" s="37"/>
      <c r="H294" s="37"/>
      <c r="I294" s="37"/>
      <c r="J294" s="37"/>
      <c r="K294" s="35"/>
      <c r="L294" s="39"/>
      <c r="M294" s="45"/>
    </row>
    <row r="295" spans="1:13">
      <c r="A295" s="34"/>
      <c r="B295" s="34"/>
      <c r="C295" s="37"/>
      <c r="D295" s="37"/>
      <c r="E295" s="37"/>
      <c r="F295" s="38"/>
      <c r="G295" s="37"/>
      <c r="H295" s="37"/>
      <c r="I295" s="37"/>
      <c r="J295" s="37"/>
      <c r="K295" s="35"/>
      <c r="L295" s="39"/>
      <c r="M295" s="45"/>
    </row>
    <row r="296" spans="1:13">
      <c r="A296" s="34"/>
      <c r="B296" s="34"/>
      <c r="C296" s="37"/>
      <c r="D296" s="37"/>
      <c r="E296" s="37"/>
      <c r="F296" s="38"/>
      <c r="G296" s="37"/>
      <c r="H296" s="37"/>
      <c r="I296" s="37"/>
      <c r="J296" s="37"/>
      <c r="K296" s="35"/>
      <c r="L296" s="39"/>
      <c r="M296" s="45"/>
    </row>
    <row r="297" spans="1:13">
      <c r="A297" s="34"/>
      <c r="B297" s="34"/>
      <c r="C297" s="37"/>
      <c r="D297" s="37"/>
      <c r="E297" s="37"/>
      <c r="F297" s="38"/>
      <c r="G297" s="37"/>
      <c r="H297" s="37"/>
      <c r="I297" s="37"/>
      <c r="J297" s="37"/>
      <c r="K297" s="35"/>
      <c r="L297" s="39"/>
      <c r="M297" s="45"/>
    </row>
    <row r="298" spans="1:13">
      <c r="A298" s="34"/>
      <c r="B298" s="34"/>
      <c r="C298" s="37"/>
      <c r="D298" s="37"/>
      <c r="E298" s="37"/>
      <c r="F298" s="38"/>
      <c r="G298" s="37"/>
      <c r="H298" s="37"/>
      <c r="I298" s="37"/>
      <c r="J298" s="37"/>
      <c r="K298" s="35"/>
      <c r="L298" s="39"/>
      <c r="M298" s="45"/>
    </row>
    <row r="299" spans="1:13">
      <c r="A299" s="34"/>
      <c r="B299" s="34"/>
      <c r="C299" s="37"/>
      <c r="D299" s="37"/>
      <c r="E299" s="37"/>
      <c r="F299" s="38"/>
      <c r="G299" s="37"/>
      <c r="H299" s="37"/>
      <c r="I299" s="37"/>
      <c r="J299" s="37"/>
      <c r="K299" s="35"/>
      <c r="L299" s="39"/>
      <c r="M299" s="45"/>
    </row>
    <row r="300" spans="1:13">
      <c r="A300" s="34"/>
      <c r="B300" s="34"/>
      <c r="C300" s="37"/>
      <c r="D300" s="37"/>
      <c r="E300" s="37"/>
      <c r="F300" s="38"/>
      <c r="G300" s="37"/>
      <c r="H300" s="37"/>
      <c r="I300" s="37"/>
      <c r="J300" s="37"/>
      <c r="K300" s="35"/>
      <c r="L300" s="39"/>
      <c r="M300" s="45"/>
    </row>
    <row r="301" spans="1:13">
      <c r="A301" s="34"/>
      <c r="B301" s="34"/>
      <c r="C301" s="37"/>
      <c r="D301" s="37"/>
      <c r="E301" s="37"/>
      <c r="F301" s="38"/>
      <c r="G301" s="37"/>
      <c r="H301" s="37"/>
      <c r="I301" s="37"/>
      <c r="J301" s="37"/>
      <c r="K301" s="35"/>
      <c r="L301" s="39"/>
      <c r="M301" s="45"/>
    </row>
    <row r="302" spans="1:13">
      <c r="A302" s="34"/>
      <c r="B302" s="34"/>
      <c r="C302" s="37"/>
      <c r="D302" s="37"/>
      <c r="E302" s="37"/>
      <c r="F302" s="38"/>
      <c r="G302" s="37"/>
      <c r="H302" s="37"/>
      <c r="I302" s="37"/>
      <c r="J302" s="37"/>
      <c r="K302" s="35"/>
      <c r="L302" s="39"/>
      <c r="M302" s="45"/>
    </row>
    <row r="303" spans="1:13">
      <c r="A303" s="34"/>
      <c r="B303" s="34"/>
      <c r="C303" s="37"/>
      <c r="D303" s="37"/>
      <c r="E303" s="37"/>
      <c r="F303" s="38"/>
      <c r="G303" s="37"/>
      <c r="H303" s="37"/>
      <c r="I303" s="37"/>
      <c r="J303" s="37"/>
      <c r="K303" s="35"/>
      <c r="L303" s="39"/>
      <c r="M303" s="45"/>
    </row>
    <row r="304" spans="1:13">
      <c r="A304" s="34"/>
      <c r="B304" s="34"/>
      <c r="C304" s="37"/>
      <c r="D304" s="37"/>
      <c r="E304" s="37"/>
      <c r="F304" s="38"/>
      <c r="G304" s="37"/>
      <c r="H304" s="37"/>
      <c r="I304" s="37"/>
      <c r="J304" s="37"/>
      <c r="K304" s="35"/>
      <c r="L304" s="39"/>
      <c r="M304" s="45"/>
    </row>
    <row r="305" spans="1:13">
      <c r="A305" s="34"/>
      <c r="B305" s="34"/>
      <c r="C305" s="37"/>
      <c r="D305" s="37"/>
      <c r="E305" s="37"/>
      <c r="F305" s="38"/>
      <c r="G305" s="37"/>
      <c r="H305" s="37"/>
      <c r="I305" s="37"/>
      <c r="J305" s="37"/>
      <c r="K305" s="35"/>
      <c r="L305" s="39"/>
      <c r="M305" s="45"/>
    </row>
    <row r="306" spans="1:13">
      <c r="A306" s="34"/>
      <c r="B306" s="34"/>
      <c r="C306" s="37"/>
      <c r="D306" s="37"/>
      <c r="E306" s="37"/>
      <c r="F306" s="38"/>
      <c r="G306" s="37"/>
      <c r="H306" s="37"/>
      <c r="I306" s="37"/>
      <c r="J306" s="37"/>
      <c r="K306" s="35"/>
      <c r="L306" s="39"/>
      <c r="M306" s="45"/>
    </row>
    <row r="307" spans="1:13">
      <c r="A307" s="34"/>
      <c r="B307" s="34"/>
      <c r="C307" s="37"/>
      <c r="D307" s="37"/>
      <c r="E307" s="37"/>
      <c r="F307" s="38"/>
      <c r="G307" s="37"/>
      <c r="H307" s="37"/>
      <c r="I307" s="37"/>
      <c r="J307" s="37"/>
      <c r="K307" s="35"/>
      <c r="L307" s="39"/>
      <c r="M307" s="45"/>
    </row>
    <row r="308" spans="1:13">
      <c r="A308" s="34"/>
      <c r="B308" s="34"/>
      <c r="C308" s="37"/>
      <c r="D308" s="37"/>
      <c r="E308" s="37"/>
      <c r="F308" s="38"/>
      <c r="G308" s="37"/>
      <c r="H308" s="37"/>
      <c r="I308" s="37"/>
      <c r="J308" s="37"/>
      <c r="K308" s="35"/>
      <c r="L308" s="39"/>
      <c r="M308" s="45"/>
    </row>
    <row r="309" spans="1:13">
      <c r="A309" s="34"/>
      <c r="B309" s="34"/>
      <c r="C309" s="37"/>
      <c r="D309" s="37"/>
      <c r="E309" s="37"/>
      <c r="F309" s="38"/>
      <c r="G309" s="37"/>
      <c r="H309" s="37"/>
      <c r="I309" s="37"/>
      <c r="J309" s="37"/>
      <c r="K309" s="35"/>
      <c r="L309" s="39"/>
      <c r="M309" s="45"/>
    </row>
    <row r="310" spans="1:13">
      <c r="A310" s="34"/>
      <c r="B310" s="34"/>
      <c r="C310" s="37"/>
      <c r="D310" s="37"/>
      <c r="E310" s="37"/>
      <c r="F310" s="38"/>
      <c r="G310" s="37"/>
      <c r="H310" s="37"/>
      <c r="I310" s="37"/>
      <c r="J310" s="37"/>
      <c r="K310" s="35"/>
      <c r="L310" s="39"/>
      <c r="M310" s="45"/>
    </row>
    <row r="311" spans="1:13">
      <c r="A311" s="34"/>
      <c r="B311" s="34"/>
      <c r="C311" s="37"/>
      <c r="D311" s="37"/>
      <c r="E311" s="37"/>
      <c r="F311" s="38"/>
      <c r="G311" s="37"/>
      <c r="H311" s="37"/>
      <c r="I311" s="37"/>
      <c r="J311" s="37"/>
      <c r="K311" s="35"/>
      <c r="L311" s="39"/>
      <c r="M311" s="45"/>
    </row>
    <row r="312" spans="1:13">
      <c r="A312" s="34"/>
      <c r="B312" s="34"/>
      <c r="C312" s="37"/>
      <c r="D312" s="37"/>
      <c r="E312" s="37"/>
      <c r="F312" s="38"/>
      <c r="G312" s="37"/>
      <c r="H312" s="37"/>
      <c r="I312" s="37"/>
      <c r="J312" s="37"/>
      <c r="K312" s="35"/>
      <c r="L312" s="39"/>
      <c r="M312" s="45"/>
    </row>
    <row r="313" spans="1:13">
      <c r="A313" s="34"/>
      <c r="B313" s="34"/>
      <c r="C313" s="37"/>
      <c r="D313" s="37"/>
      <c r="E313" s="37"/>
      <c r="F313" s="38"/>
      <c r="G313" s="37"/>
      <c r="H313" s="37"/>
      <c r="I313" s="37"/>
      <c r="J313" s="37"/>
      <c r="K313" s="35"/>
      <c r="L313" s="39"/>
      <c r="M313" s="45"/>
    </row>
    <row r="314" spans="1:13">
      <c r="A314" s="34"/>
      <c r="B314" s="34"/>
      <c r="C314" s="37"/>
      <c r="D314" s="37"/>
      <c r="E314" s="37"/>
      <c r="F314" s="38"/>
      <c r="G314" s="37"/>
      <c r="H314" s="37"/>
      <c r="I314" s="37"/>
      <c r="J314" s="37"/>
      <c r="K314" s="35"/>
      <c r="L314" s="39"/>
      <c r="M314" s="45"/>
    </row>
    <row r="315" spans="1:13">
      <c r="A315" s="34"/>
      <c r="B315" s="34"/>
      <c r="C315" s="37"/>
      <c r="D315" s="37"/>
      <c r="E315" s="37"/>
      <c r="F315" s="38"/>
      <c r="G315" s="37"/>
      <c r="H315" s="37"/>
      <c r="I315" s="37"/>
      <c r="J315" s="37"/>
      <c r="K315" s="35"/>
      <c r="L315" s="39"/>
      <c r="M315" s="45"/>
    </row>
    <row r="316" spans="1:13">
      <c r="A316" s="34"/>
      <c r="B316" s="34"/>
      <c r="C316" s="37"/>
      <c r="D316" s="37"/>
      <c r="E316" s="37"/>
      <c r="F316" s="38"/>
      <c r="G316" s="37"/>
      <c r="H316" s="37"/>
      <c r="I316" s="37"/>
      <c r="J316" s="37"/>
      <c r="K316" s="35"/>
      <c r="L316" s="39"/>
      <c r="M316" s="45"/>
    </row>
    <row r="317" spans="1:13">
      <c r="A317" s="34"/>
      <c r="B317" s="34"/>
      <c r="C317" s="37"/>
      <c r="D317" s="37"/>
      <c r="E317" s="37"/>
      <c r="F317" s="38"/>
      <c r="G317" s="37"/>
      <c r="H317" s="37"/>
      <c r="I317" s="37"/>
      <c r="J317" s="37"/>
      <c r="K317" s="35"/>
      <c r="L317" s="39"/>
      <c r="M317" s="45"/>
    </row>
    <row r="318" spans="1:13">
      <c r="A318" s="34"/>
      <c r="B318" s="34"/>
      <c r="C318" s="37"/>
      <c r="D318" s="37"/>
      <c r="E318" s="37"/>
      <c r="F318" s="38"/>
      <c r="G318" s="37"/>
      <c r="H318" s="37"/>
      <c r="I318" s="37"/>
      <c r="J318" s="37"/>
      <c r="K318" s="35"/>
      <c r="L318" s="39"/>
      <c r="M318" s="45"/>
    </row>
    <row r="319" spans="1:13">
      <c r="A319" s="34"/>
      <c r="B319" s="34"/>
      <c r="C319" s="37"/>
      <c r="D319" s="37"/>
      <c r="E319" s="37"/>
      <c r="F319" s="38"/>
      <c r="G319" s="37"/>
      <c r="H319" s="37"/>
      <c r="I319" s="37"/>
      <c r="J319" s="37"/>
      <c r="K319" s="35"/>
      <c r="L319" s="39"/>
      <c r="M319" s="45"/>
    </row>
    <row r="320" spans="1:13">
      <c r="A320" s="34"/>
      <c r="B320" s="34"/>
      <c r="C320" s="37"/>
      <c r="D320" s="37"/>
      <c r="E320" s="37"/>
      <c r="F320" s="38"/>
      <c r="G320" s="37"/>
      <c r="H320" s="37"/>
      <c r="I320" s="37"/>
      <c r="J320" s="37"/>
      <c r="K320" s="35"/>
      <c r="L320" s="39"/>
      <c r="M320" s="45"/>
    </row>
    <row r="321" spans="1:13">
      <c r="A321" s="34"/>
      <c r="B321" s="34"/>
      <c r="C321" s="37"/>
      <c r="D321" s="37"/>
      <c r="E321" s="37"/>
      <c r="F321" s="38"/>
      <c r="G321" s="37"/>
      <c r="H321" s="37"/>
      <c r="I321" s="37"/>
      <c r="J321" s="37"/>
      <c r="K321" s="35"/>
      <c r="L321" s="39"/>
      <c r="M321" s="45"/>
    </row>
    <row r="322" spans="1:13">
      <c r="A322" s="34"/>
      <c r="B322" s="34"/>
      <c r="C322" s="37"/>
      <c r="D322" s="37"/>
      <c r="E322" s="37"/>
      <c r="F322" s="38"/>
      <c r="G322" s="37"/>
      <c r="H322" s="37"/>
      <c r="I322" s="37"/>
      <c r="J322" s="37"/>
      <c r="K322" s="35"/>
      <c r="L322" s="39"/>
      <c r="M322" s="45"/>
    </row>
    <row r="323" spans="1:13">
      <c r="A323" s="34"/>
      <c r="B323" s="34"/>
      <c r="C323" s="37"/>
      <c r="D323" s="37"/>
      <c r="E323" s="37"/>
      <c r="F323" s="38"/>
      <c r="G323" s="37"/>
      <c r="H323" s="37"/>
      <c r="I323" s="37"/>
      <c r="J323" s="37"/>
      <c r="K323" s="35"/>
      <c r="L323" s="39"/>
      <c r="M323" s="45"/>
    </row>
    <row r="324" spans="1:13">
      <c r="A324" s="34"/>
      <c r="B324" s="34"/>
      <c r="C324" s="37"/>
      <c r="D324" s="37"/>
      <c r="E324" s="37"/>
      <c r="F324" s="38"/>
      <c r="G324" s="37"/>
      <c r="H324" s="37"/>
      <c r="I324" s="37"/>
      <c r="J324" s="37"/>
      <c r="K324" s="35"/>
      <c r="L324" s="39"/>
      <c r="M324" s="45"/>
    </row>
    <row r="325" spans="1:13">
      <c r="A325" s="34"/>
      <c r="B325" s="34"/>
      <c r="C325" s="37"/>
      <c r="D325" s="37"/>
      <c r="E325" s="37"/>
      <c r="F325" s="38"/>
      <c r="G325" s="37"/>
      <c r="H325" s="37"/>
      <c r="I325" s="37"/>
      <c r="J325" s="37"/>
      <c r="K325" s="35"/>
      <c r="L325" s="39"/>
      <c r="M325" s="45"/>
    </row>
    <row r="326" spans="1:13">
      <c r="A326" s="34"/>
      <c r="B326" s="34"/>
      <c r="C326" s="37"/>
      <c r="D326" s="37"/>
      <c r="E326" s="37"/>
      <c r="F326" s="38"/>
      <c r="G326" s="37"/>
      <c r="H326" s="37"/>
      <c r="I326" s="37"/>
      <c r="J326" s="37"/>
      <c r="K326" s="35"/>
      <c r="L326" s="39"/>
      <c r="M326" s="45"/>
    </row>
    <row r="327" spans="1:13">
      <c r="A327" s="34"/>
      <c r="B327" s="34"/>
      <c r="C327" s="37"/>
      <c r="D327" s="37"/>
      <c r="E327" s="37"/>
      <c r="F327" s="38"/>
      <c r="G327" s="37"/>
      <c r="H327" s="37"/>
      <c r="I327" s="37"/>
      <c r="J327" s="37"/>
      <c r="K327" s="35"/>
      <c r="L327" s="39"/>
      <c r="M327" s="45"/>
    </row>
    <row r="328" spans="1:13">
      <c r="A328" s="34"/>
      <c r="B328" s="34"/>
      <c r="C328" s="37"/>
      <c r="D328" s="37"/>
      <c r="E328" s="37"/>
      <c r="F328" s="38"/>
      <c r="G328" s="37"/>
      <c r="H328" s="37"/>
      <c r="I328" s="37"/>
      <c r="J328" s="37"/>
      <c r="K328" s="35"/>
      <c r="L328" s="39"/>
      <c r="M328" s="45"/>
    </row>
    <row r="329" spans="1:13">
      <c r="A329" s="34"/>
      <c r="B329" s="34"/>
      <c r="C329" s="37"/>
      <c r="D329" s="37"/>
      <c r="E329" s="37"/>
      <c r="F329" s="38"/>
      <c r="G329" s="37"/>
      <c r="H329" s="37"/>
      <c r="I329" s="37"/>
      <c r="J329" s="37"/>
      <c r="K329" s="35"/>
      <c r="L329" s="39"/>
      <c r="M329" s="45"/>
    </row>
    <row r="330" spans="1:13">
      <c r="A330" s="34"/>
      <c r="B330" s="34"/>
      <c r="C330" s="37"/>
      <c r="D330" s="37"/>
      <c r="E330" s="37"/>
      <c r="F330" s="38"/>
      <c r="G330" s="37"/>
      <c r="H330" s="37"/>
      <c r="I330" s="37"/>
      <c r="J330" s="37"/>
      <c r="K330" s="35"/>
      <c r="L330" s="39"/>
      <c r="M330" s="45"/>
    </row>
    <row r="331" spans="1:13">
      <c r="A331" s="34"/>
      <c r="B331" s="34"/>
      <c r="C331" s="37"/>
      <c r="D331" s="37"/>
      <c r="E331" s="37"/>
      <c r="F331" s="38"/>
      <c r="G331" s="37"/>
      <c r="H331" s="37"/>
      <c r="I331" s="37"/>
      <c r="J331" s="37"/>
      <c r="K331" s="35"/>
      <c r="L331" s="39"/>
      <c r="M331" s="45"/>
    </row>
    <row r="332" spans="1:13">
      <c r="A332" s="34"/>
      <c r="B332" s="34"/>
      <c r="C332" s="37"/>
      <c r="D332" s="37"/>
      <c r="E332" s="37"/>
      <c r="F332" s="38"/>
      <c r="G332" s="37"/>
      <c r="H332" s="37"/>
      <c r="I332" s="37"/>
      <c r="J332" s="37"/>
      <c r="K332" s="35"/>
      <c r="L332" s="39"/>
      <c r="M332" s="45"/>
    </row>
    <row r="333" spans="1:13">
      <c r="A333" s="34"/>
      <c r="B333" s="34"/>
      <c r="C333" s="37"/>
      <c r="D333" s="37"/>
      <c r="E333" s="37"/>
      <c r="F333" s="38"/>
      <c r="G333" s="37"/>
      <c r="H333" s="37"/>
      <c r="I333" s="37"/>
      <c r="J333" s="37"/>
      <c r="K333" s="35"/>
      <c r="L333" s="39"/>
      <c r="M333" s="45"/>
    </row>
    <row r="334" spans="1:13">
      <c r="A334" s="34"/>
      <c r="B334" s="34"/>
      <c r="C334" s="37"/>
      <c r="D334" s="37"/>
      <c r="E334" s="37"/>
      <c r="F334" s="38"/>
      <c r="G334" s="37"/>
      <c r="H334" s="37"/>
      <c r="I334" s="37"/>
      <c r="J334" s="37"/>
      <c r="K334" s="35"/>
      <c r="L334" s="39"/>
      <c r="M334" s="45"/>
    </row>
    <row r="335" spans="1:13">
      <c r="A335" s="34"/>
      <c r="B335" s="34"/>
      <c r="C335" s="37"/>
      <c r="D335" s="37"/>
      <c r="E335" s="37"/>
      <c r="F335" s="38"/>
      <c r="G335" s="37"/>
      <c r="H335" s="37"/>
      <c r="I335" s="37"/>
      <c r="J335" s="37"/>
      <c r="K335" s="35"/>
      <c r="L335" s="39"/>
      <c r="M335" s="45"/>
    </row>
    <row r="336" spans="1:13">
      <c r="A336" s="34"/>
      <c r="B336" s="34"/>
      <c r="C336" s="37"/>
      <c r="D336" s="37"/>
      <c r="E336" s="37"/>
      <c r="F336" s="38"/>
      <c r="G336" s="37"/>
      <c r="H336" s="37"/>
      <c r="I336" s="37"/>
      <c r="J336" s="37"/>
      <c r="K336" s="35"/>
      <c r="L336" s="39"/>
      <c r="M336" s="45"/>
    </row>
    <row r="337" spans="1:13">
      <c r="A337" s="34"/>
      <c r="B337" s="34"/>
      <c r="C337" s="37"/>
      <c r="D337" s="37"/>
      <c r="E337" s="37"/>
      <c r="F337" s="38"/>
      <c r="G337" s="37"/>
      <c r="H337" s="37"/>
      <c r="I337" s="37"/>
      <c r="J337" s="37"/>
      <c r="K337" s="35"/>
      <c r="L337" s="39"/>
      <c r="M337" s="45"/>
    </row>
    <row r="338" spans="1:13">
      <c r="A338" s="34"/>
      <c r="B338" s="34"/>
      <c r="C338" s="37"/>
      <c r="D338" s="37"/>
      <c r="E338" s="37"/>
      <c r="F338" s="38"/>
      <c r="G338" s="37"/>
      <c r="H338" s="37"/>
      <c r="I338" s="37"/>
      <c r="J338" s="37"/>
      <c r="K338" s="35"/>
      <c r="L338" s="39"/>
      <c r="M338" s="45"/>
    </row>
    <row r="339" spans="1:13">
      <c r="A339" s="34"/>
      <c r="B339" s="34"/>
      <c r="C339" s="37"/>
      <c r="D339" s="37"/>
      <c r="E339" s="37"/>
      <c r="F339" s="38"/>
      <c r="G339" s="37"/>
      <c r="H339" s="37"/>
      <c r="I339" s="37"/>
      <c r="J339" s="37"/>
      <c r="K339" s="35"/>
      <c r="L339" s="39"/>
      <c r="M339" s="45"/>
    </row>
    <row r="340" spans="1:13">
      <c r="A340" s="34"/>
      <c r="B340" s="34"/>
      <c r="C340" s="37"/>
      <c r="D340" s="37"/>
      <c r="E340" s="37"/>
      <c r="F340" s="38"/>
      <c r="G340" s="37"/>
      <c r="H340" s="37"/>
      <c r="I340" s="37"/>
      <c r="J340" s="37"/>
      <c r="K340" s="35"/>
      <c r="L340" s="39"/>
      <c r="M340" s="45"/>
    </row>
    <row r="341" spans="1:13">
      <c r="A341" s="34"/>
      <c r="B341" s="34"/>
      <c r="C341" s="37"/>
      <c r="D341" s="37"/>
      <c r="E341" s="37"/>
      <c r="F341" s="38"/>
      <c r="G341" s="37"/>
      <c r="H341" s="37"/>
      <c r="I341" s="37"/>
      <c r="J341" s="37"/>
      <c r="K341" s="35"/>
      <c r="L341" s="39"/>
      <c r="M341" s="45"/>
    </row>
    <row r="342" spans="1:13">
      <c r="A342" s="34"/>
      <c r="B342" s="34"/>
      <c r="C342" s="37"/>
      <c r="D342" s="37"/>
      <c r="E342" s="37"/>
      <c r="F342" s="38"/>
      <c r="G342" s="37"/>
      <c r="H342" s="37"/>
      <c r="I342" s="37"/>
      <c r="J342" s="37"/>
      <c r="K342" s="35"/>
      <c r="L342" s="39"/>
      <c r="M342" s="45"/>
    </row>
    <row r="343" spans="1:13">
      <c r="A343" s="34"/>
      <c r="B343" s="34"/>
      <c r="C343" s="37"/>
      <c r="D343" s="37"/>
      <c r="E343" s="37"/>
      <c r="F343" s="38"/>
      <c r="G343" s="37"/>
      <c r="H343" s="37"/>
      <c r="I343" s="37"/>
      <c r="J343" s="37"/>
      <c r="K343" s="35"/>
      <c r="L343" s="39"/>
      <c r="M343" s="45"/>
    </row>
    <row r="344" spans="1:13">
      <c r="A344" s="34"/>
      <c r="B344" s="34"/>
      <c r="C344" s="37"/>
      <c r="D344" s="37"/>
      <c r="E344" s="37"/>
      <c r="F344" s="38"/>
      <c r="G344" s="37"/>
      <c r="H344" s="37"/>
      <c r="I344" s="37"/>
      <c r="J344" s="37"/>
      <c r="K344" s="35"/>
      <c r="L344" s="39"/>
      <c r="M344" s="45"/>
    </row>
    <row r="345" spans="1:13">
      <c r="A345" s="34"/>
      <c r="B345" s="34"/>
      <c r="C345" s="37"/>
      <c r="D345" s="37"/>
      <c r="E345" s="37"/>
      <c r="F345" s="38"/>
      <c r="G345" s="37"/>
      <c r="H345" s="37"/>
      <c r="I345" s="37"/>
      <c r="J345" s="37"/>
      <c r="K345" s="35"/>
      <c r="L345" s="39"/>
      <c r="M345" s="45"/>
    </row>
    <row r="346" spans="1:13">
      <c r="A346" s="34"/>
      <c r="B346" s="34"/>
      <c r="C346" s="37"/>
      <c r="D346" s="37"/>
      <c r="E346" s="37"/>
      <c r="F346" s="38"/>
      <c r="G346" s="37"/>
      <c r="H346" s="37"/>
      <c r="I346" s="37"/>
      <c r="J346" s="37"/>
      <c r="K346" s="35"/>
      <c r="L346" s="39"/>
      <c r="M346" s="45"/>
    </row>
    <row r="347" spans="1:13">
      <c r="A347" s="34"/>
      <c r="B347" s="34"/>
      <c r="C347" s="37"/>
      <c r="D347" s="37"/>
      <c r="E347" s="37"/>
      <c r="F347" s="38"/>
      <c r="G347" s="37"/>
      <c r="H347" s="37"/>
      <c r="I347" s="37"/>
      <c r="J347" s="37"/>
      <c r="K347" s="35"/>
      <c r="L347" s="39"/>
      <c r="M347" s="45"/>
    </row>
    <row r="348" spans="1:13">
      <c r="A348" s="34"/>
      <c r="B348" s="34"/>
      <c r="C348" s="37"/>
      <c r="D348" s="37"/>
      <c r="E348" s="37"/>
      <c r="F348" s="38"/>
      <c r="G348" s="37"/>
      <c r="H348" s="37"/>
      <c r="I348" s="37"/>
      <c r="J348" s="37"/>
      <c r="K348" s="35"/>
      <c r="L348" s="39"/>
      <c r="M348" s="45"/>
    </row>
    <row r="349" spans="1:13">
      <c r="A349" s="34"/>
      <c r="B349" s="34"/>
      <c r="C349" s="37"/>
      <c r="D349" s="37"/>
      <c r="E349" s="37"/>
      <c r="F349" s="38"/>
      <c r="G349" s="37"/>
      <c r="H349" s="37"/>
      <c r="I349" s="37"/>
      <c r="J349" s="37"/>
      <c r="K349" s="35"/>
      <c r="L349" s="39"/>
      <c r="M349" s="45"/>
    </row>
    <row r="350" spans="1:13">
      <c r="A350" s="34"/>
      <c r="B350" s="34"/>
      <c r="C350" s="37"/>
      <c r="D350" s="37"/>
      <c r="E350" s="37"/>
      <c r="F350" s="38"/>
      <c r="G350" s="37"/>
      <c r="H350" s="37"/>
      <c r="I350" s="37"/>
      <c r="J350" s="37"/>
      <c r="K350" s="35"/>
      <c r="L350" s="39"/>
      <c r="M350" s="45"/>
    </row>
    <row r="351" spans="1:13">
      <c r="A351" s="34"/>
      <c r="B351" s="34"/>
      <c r="C351" s="37"/>
      <c r="D351" s="37"/>
      <c r="E351" s="37"/>
      <c r="F351" s="38"/>
      <c r="G351" s="37"/>
      <c r="H351" s="37"/>
      <c r="I351" s="37"/>
      <c r="J351" s="37"/>
      <c r="K351" s="35"/>
      <c r="L351" s="39"/>
      <c r="M351" s="45"/>
    </row>
    <row r="352" spans="1:13">
      <c r="A352" s="34"/>
      <c r="B352" s="34"/>
      <c r="C352" s="37"/>
      <c r="D352" s="37"/>
      <c r="E352" s="37"/>
      <c r="F352" s="38"/>
      <c r="G352" s="37"/>
      <c r="H352" s="37"/>
      <c r="I352" s="37"/>
      <c r="J352" s="37"/>
      <c r="K352" s="35"/>
      <c r="L352" s="39"/>
      <c r="M352" s="45"/>
    </row>
    <row r="353" spans="1:13">
      <c r="A353" s="34"/>
      <c r="B353" s="34"/>
      <c r="C353" s="37"/>
      <c r="D353" s="37"/>
      <c r="E353" s="37"/>
      <c r="F353" s="38"/>
      <c r="G353" s="37"/>
      <c r="H353" s="37"/>
      <c r="I353" s="37"/>
      <c r="J353" s="37"/>
      <c r="K353" s="35"/>
      <c r="L353" s="39"/>
      <c r="M353" s="45"/>
    </row>
    <row r="354" spans="1:13">
      <c r="A354" s="34"/>
      <c r="B354" s="34"/>
      <c r="C354" s="37"/>
      <c r="D354" s="37"/>
      <c r="E354" s="37"/>
      <c r="F354" s="38"/>
      <c r="G354" s="37"/>
      <c r="H354" s="37"/>
      <c r="I354" s="37"/>
      <c r="J354" s="37"/>
      <c r="K354" s="35"/>
      <c r="L354" s="39"/>
      <c r="M354" s="45"/>
    </row>
    <row r="355" spans="1:13">
      <c r="A355" s="34"/>
      <c r="B355" s="34"/>
      <c r="C355" s="37"/>
      <c r="D355" s="37"/>
      <c r="E355" s="37"/>
      <c r="F355" s="38"/>
      <c r="G355" s="37"/>
      <c r="H355" s="37"/>
      <c r="I355" s="37"/>
      <c r="J355" s="37"/>
      <c r="K355" s="35"/>
      <c r="L355" s="39"/>
      <c r="M355" s="45"/>
    </row>
    <row r="356" spans="1:13">
      <c r="A356" s="34"/>
      <c r="B356" s="34"/>
      <c r="C356" s="37"/>
      <c r="D356" s="37"/>
      <c r="E356" s="37"/>
      <c r="F356" s="38"/>
      <c r="G356" s="37"/>
      <c r="H356" s="37"/>
      <c r="I356" s="37"/>
      <c r="J356" s="37"/>
      <c r="K356" s="35"/>
      <c r="L356" s="39"/>
      <c r="M356" s="45"/>
    </row>
    <row r="357" spans="1:13">
      <c r="A357" s="34"/>
      <c r="B357" s="34"/>
      <c r="C357" s="37"/>
      <c r="D357" s="37"/>
      <c r="E357" s="37"/>
      <c r="F357" s="38"/>
      <c r="G357" s="37"/>
      <c r="H357" s="37"/>
      <c r="I357" s="37"/>
      <c r="J357" s="37"/>
      <c r="K357" s="35"/>
      <c r="L357" s="39"/>
      <c r="M357" s="45"/>
    </row>
    <row r="358" spans="1:13">
      <c r="A358" s="34"/>
      <c r="B358" s="34"/>
      <c r="C358" s="37"/>
      <c r="D358" s="37"/>
      <c r="E358" s="37"/>
      <c r="F358" s="38"/>
      <c r="G358" s="37"/>
      <c r="H358" s="37"/>
      <c r="I358" s="37"/>
      <c r="J358" s="37"/>
      <c r="K358" s="35"/>
      <c r="L358" s="39"/>
      <c r="M358" s="45"/>
    </row>
    <row r="359" spans="1:13">
      <c r="A359" s="34"/>
      <c r="B359" s="34"/>
      <c r="C359" s="37"/>
      <c r="D359" s="37"/>
      <c r="E359" s="37"/>
      <c r="F359" s="38"/>
      <c r="G359" s="37"/>
      <c r="H359" s="37"/>
      <c r="I359" s="37"/>
      <c r="J359" s="37"/>
      <c r="K359" s="35"/>
      <c r="L359" s="39"/>
      <c r="M359" s="45"/>
    </row>
    <row r="360" spans="1:13">
      <c r="A360" s="34"/>
      <c r="B360" s="34"/>
      <c r="C360" s="37"/>
      <c r="D360" s="37"/>
      <c r="E360" s="37"/>
      <c r="F360" s="38"/>
      <c r="G360" s="37"/>
      <c r="H360" s="37"/>
      <c r="I360" s="37"/>
      <c r="J360" s="37"/>
      <c r="K360" s="35"/>
      <c r="L360" s="39"/>
      <c r="M360" s="45"/>
    </row>
    <row r="361" spans="1:13">
      <c r="A361" s="34"/>
      <c r="B361" s="34"/>
      <c r="C361" s="37"/>
      <c r="D361" s="37"/>
      <c r="E361" s="37"/>
      <c r="F361" s="38"/>
      <c r="G361" s="37"/>
      <c r="H361" s="37"/>
      <c r="I361" s="37"/>
      <c r="J361" s="37"/>
      <c r="K361" s="35"/>
      <c r="L361" s="39"/>
      <c r="M361" s="45"/>
    </row>
    <row r="362" spans="1:13">
      <c r="A362" s="34"/>
      <c r="B362" s="34"/>
      <c r="C362" s="37"/>
      <c r="D362" s="37"/>
      <c r="E362" s="37"/>
      <c r="F362" s="38"/>
      <c r="G362" s="37"/>
      <c r="H362" s="37"/>
      <c r="I362" s="37"/>
      <c r="J362" s="37"/>
      <c r="K362" s="35"/>
      <c r="L362" s="39"/>
      <c r="M362" s="45"/>
    </row>
    <row r="363" spans="1:13">
      <c r="A363" s="34"/>
      <c r="B363" s="34"/>
      <c r="C363" s="37"/>
      <c r="D363" s="37"/>
      <c r="E363" s="37"/>
      <c r="F363" s="38"/>
      <c r="G363" s="37"/>
      <c r="H363" s="37"/>
      <c r="I363" s="37"/>
      <c r="J363" s="37"/>
      <c r="K363" s="35"/>
      <c r="L363" s="39"/>
      <c r="M363" s="45"/>
    </row>
    <row r="364" spans="1:13">
      <c r="A364" s="34"/>
      <c r="B364" s="34"/>
      <c r="C364" s="37"/>
      <c r="D364" s="37"/>
      <c r="E364" s="37"/>
      <c r="F364" s="38"/>
      <c r="G364" s="37"/>
      <c r="H364" s="37"/>
      <c r="I364" s="37"/>
      <c r="J364" s="37"/>
      <c r="K364" s="35"/>
      <c r="L364" s="39"/>
      <c r="M364" s="45"/>
    </row>
    <row r="365" spans="1:13">
      <c r="A365" s="34"/>
      <c r="B365" s="34"/>
      <c r="C365" s="37"/>
      <c r="D365" s="37"/>
      <c r="E365" s="37"/>
      <c r="F365" s="38"/>
      <c r="G365" s="37"/>
      <c r="H365" s="37"/>
      <c r="I365" s="37"/>
      <c r="J365" s="37"/>
      <c r="K365" s="35"/>
      <c r="L365" s="39"/>
      <c r="M365" s="45"/>
    </row>
    <row r="366" spans="1:13">
      <c r="A366" s="34"/>
      <c r="B366" s="34"/>
      <c r="C366" s="37"/>
      <c r="D366" s="37"/>
      <c r="E366" s="37"/>
      <c r="F366" s="38"/>
      <c r="G366" s="37"/>
      <c r="H366" s="37"/>
      <c r="I366" s="37"/>
      <c r="J366" s="37"/>
      <c r="K366" s="35"/>
      <c r="L366" s="39"/>
      <c r="M366" s="45"/>
    </row>
    <row r="367" spans="1:13">
      <c r="A367" s="34"/>
      <c r="B367" s="34"/>
      <c r="C367" s="37"/>
      <c r="D367" s="37"/>
      <c r="E367" s="37"/>
      <c r="F367" s="38"/>
      <c r="G367" s="37"/>
      <c r="H367" s="37"/>
      <c r="I367" s="37"/>
      <c r="J367" s="37"/>
      <c r="K367" s="35"/>
      <c r="L367" s="39"/>
      <c r="M367" s="45"/>
    </row>
    <row r="368" spans="1:13">
      <c r="A368" s="34"/>
      <c r="B368" s="34"/>
      <c r="C368" s="37"/>
      <c r="D368" s="37"/>
      <c r="E368" s="37"/>
      <c r="F368" s="38"/>
      <c r="G368" s="37"/>
      <c r="H368" s="37"/>
      <c r="I368" s="37"/>
      <c r="J368" s="37"/>
      <c r="K368" s="35"/>
      <c r="L368" s="39"/>
      <c r="M368" s="45"/>
    </row>
    <row r="369" spans="1:13">
      <c r="A369" s="34"/>
      <c r="B369" s="34"/>
      <c r="C369" s="37"/>
      <c r="D369" s="37"/>
      <c r="E369" s="37"/>
      <c r="F369" s="38"/>
      <c r="G369" s="37"/>
      <c r="H369" s="37"/>
      <c r="I369" s="37"/>
      <c r="J369" s="37"/>
      <c r="K369" s="35"/>
      <c r="L369" s="39"/>
      <c r="M369" s="45"/>
    </row>
    <row r="370" spans="1:13">
      <c r="A370" s="34"/>
      <c r="B370" s="34"/>
      <c r="C370" s="37"/>
      <c r="D370" s="37"/>
      <c r="E370" s="37"/>
      <c r="F370" s="38"/>
      <c r="G370" s="37"/>
      <c r="H370" s="37"/>
      <c r="I370" s="37"/>
      <c r="J370" s="37"/>
      <c r="K370" s="35"/>
      <c r="L370" s="39"/>
      <c r="M370" s="45"/>
    </row>
    <row r="371" spans="1:13">
      <c r="A371" s="34"/>
      <c r="B371" s="34"/>
      <c r="C371" s="37"/>
      <c r="D371" s="37"/>
      <c r="E371" s="37"/>
      <c r="F371" s="38"/>
      <c r="G371" s="37"/>
      <c r="H371" s="37"/>
      <c r="I371" s="37"/>
      <c r="J371" s="37"/>
      <c r="K371" s="35"/>
      <c r="L371" s="39"/>
      <c r="M371" s="45"/>
    </row>
    <row r="372" spans="1:13">
      <c r="A372" s="34"/>
      <c r="B372" s="34"/>
      <c r="C372" s="37"/>
      <c r="D372" s="37"/>
      <c r="E372" s="37"/>
      <c r="F372" s="38"/>
      <c r="G372" s="37"/>
      <c r="H372" s="37"/>
      <c r="I372" s="37"/>
      <c r="J372" s="37"/>
      <c r="K372" s="35"/>
      <c r="L372" s="39"/>
      <c r="M372" s="45"/>
    </row>
    <row r="373" spans="1:13">
      <c r="A373" s="34"/>
      <c r="B373" s="34"/>
      <c r="C373" s="37"/>
      <c r="D373" s="37"/>
      <c r="E373" s="37"/>
      <c r="F373" s="38"/>
      <c r="G373" s="37"/>
      <c r="H373" s="37"/>
      <c r="I373" s="37"/>
      <c r="J373" s="37"/>
      <c r="K373" s="35"/>
      <c r="L373" s="39"/>
      <c r="M373" s="45"/>
    </row>
    <row r="374" spans="1:13">
      <c r="A374" s="34"/>
      <c r="B374" s="34"/>
      <c r="C374" s="37"/>
      <c r="D374" s="37"/>
      <c r="E374" s="37"/>
      <c r="F374" s="38"/>
      <c r="G374" s="37"/>
      <c r="H374" s="37"/>
      <c r="I374" s="37"/>
      <c r="J374" s="37"/>
      <c r="K374" s="35"/>
      <c r="L374" s="39"/>
      <c r="M374" s="45"/>
    </row>
    <row r="375" spans="1:13">
      <c r="A375" s="34"/>
      <c r="B375" s="34"/>
      <c r="C375" s="37"/>
      <c r="D375" s="37"/>
      <c r="E375" s="37"/>
      <c r="F375" s="38"/>
      <c r="G375" s="37"/>
      <c r="H375" s="37"/>
      <c r="I375" s="37"/>
      <c r="J375" s="37"/>
      <c r="K375" s="35"/>
      <c r="L375" s="39"/>
      <c r="M375" s="45"/>
    </row>
    <row r="376" spans="1:13">
      <c r="A376" s="34"/>
      <c r="B376" s="34"/>
      <c r="C376" s="37"/>
      <c r="D376" s="37"/>
      <c r="E376" s="37"/>
      <c r="F376" s="38"/>
      <c r="G376" s="37"/>
      <c r="H376" s="37"/>
      <c r="I376" s="37"/>
      <c r="J376" s="37"/>
      <c r="K376" s="35"/>
      <c r="L376" s="39"/>
      <c r="M376" s="45"/>
    </row>
    <row r="377" spans="1:13">
      <c r="A377" s="34"/>
      <c r="B377" s="34"/>
      <c r="C377" s="37"/>
      <c r="D377" s="37"/>
      <c r="E377" s="37"/>
      <c r="F377" s="38"/>
      <c r="G377" s="37"/>
      <c r="H377" s="37"/>
      <c r="I377" s="37"/>
      <c r="J377" s="37"/>
      <c r="K377" s="35"/>
      <c r="L377" s="39"/>
      <c r="M377" s="45"/>
    </row>
    <row r="378" spans="1:13">
      <c r="A378" s="34"/>
      <c r="B378" s="34"/>
      <c r="C378" s="37"/>
      <c r="D378" s="37"/>
      <c r="E378" s="37"/>
      <c r="F378" s="38"/>
      <c r="G378" s="37"/>
      <c r="H378" s="37"/>
      <c r="I378" s="37"/>
      <c r="J378" s="37"/>
      <c r="K378" s="35"/>
      <c r="L378" s="39"/>
      <c r="M378" s="45"/>
    </row>
    <row r="379" spans="1:13">
      <c r="A379" s="34"/>
      <c r="B379" s="34"/>
      <c r="C379" s="37"/>
      <c r="D379" s="37"/>
      <c r="E379" s="37"/>
      <c r="F379" s="38"/>
      <c r="G379" s="37"/>
      <c r="H379" s="37"/>
      <c r="I379" s="37"/>
      <c r="J379" s="37"/>
      <c r="K379" s="35"/>
      <c r="L379" s="39"/>
      <c r="M379" s="45"/>
    </row>
    <row r="380" spans="1:13">
      <c r="A380" s="34"/>
      <c r="B380" s="34"/>
      <c r="C380" s="37"/>
      <c r="D380" s="37"/>
      <c r="E380" s="37"/>
      <c r="F380" s="38"/>
      <c r="G380" s="37"/>
      <c r="H380" s="37"/>
      <c r="I380" s="37"/>
      <c r="J380" s="37"/>
      <c r="K380" s="35"/>
      <c r="L380" s="39"/>
      <c r="M380" s="45"/>
    </row>
    <row r="381" spans="1:13">
      <c r="A381" s="34"/>
      <c r="B381" s="34"/>
      <c r="C381" s="37"/>
      <c r="D381" s="37"/>
      <c r="E381" s="37"/>
      <c r="F381" s="38"/>
      <c r="G381" s="37"/>
      <c r="H381" s="37"/>
      <c r="I381" s="37"/>
      <c r="J381" s="37"/>
      <c r="K381" s="35"/>
      <c r="L381" s="39"/>
      <c r="M381" s="45"/>
    </row>
    <row r="382" spans="1:13">
      <c r="A382" s="34"/>
      <c r="B382" s="34"/>
      <c r="C382" s="37"/>
      <c r="D382" s="37"/>
      <c r="E382" s="37"/>
      <c r="F382" s="38"/>
      <c r="G382" s="37"/>
      <c r="H382" s="37"/>
      <c r="I382" s="37"/>
      <c r="J382" s="37"/>
      <c r="K382" s="35"/>
      <c r="L382" s="39"/>
      <c r="M382" s="45"/>
    </row>
    <row r="383" spans="1:13">
      <c r="A383" s="34"/>
      <c r="B383" s="34"/>
      <c r="C383" s="37"/>
      <c r="D383" s="37"/>
      <c r="E383" s="37"/>
      <c r="F383" s="38"/>
      <c r="G383" s="37"/>
      <c r="H383" s="37"/>
      <c r="I383" s="37"/>
      <c r="J383" s="37"/>
      <c r="K383" s="35"/>
      <c r="L383" s="39"/>
      <c r="M383" s="45"/>
    </row>
    <row r="384" spans="1:13">
      <c r="A384" s="34"/>
      <c r="B384" s="34"/>
      <c r="C384" s="37"/>
      <c r="D384" s="37"/>
      <c r="E384" s="37"/>
      <c r="F384" s="38"/>
      <c r="G384" s="37"/>
      <c r="H384" s="37"/>
      <c r="I384" s="37"/>
      <c r="J384" s="37"/>
      <c r="K384" s="35"/>
      <c r="L384" s="39"/>
      <c r="M384" s="45"/>
    </row>
    <row r="385" spans="1:13">
      <c r="A385" s="34"/>
      <c r="B385" s="34"/>
      <c r="C385" s="37"/>
      <c r="D385" s="37"/>
      <c r="E385" s="37"/>
      <c r="F385" s="38"/>
      <c r="G385" s="37"/>
      <c r="H385" s="37"/>
      <c r="I385" s="37"/>
      <c r="J385" s="37"/>
      <c r="K385" s="35"/>
      <c r="L385" s="39"/>
      <c r="M385" s="45"/>
    </row>
    <row r="386" spans="1:13">
      <c r="A386" s="34"/>
      <c r="B386" s="34"/>
      <c r="C386" s="37"/>
      <c r="D386" s="37"/>
      <c r="E386" s="37"/>
      <c r="F386" s="38"/>
      <c r="G386" s="37"/>
      <c r="H386" s="37"/>
      <c r="I386" s="37"/>
      <c r="J386" s="37"/>
      <c r="K386" s="35"/>
      <c r="L386" s="39"/>
      <c r="M386" s="45"/>
    </row>
    <row r="387" spans="1:13">
      <c r="A387" s="34"/>
      <c r="B387" s="34"/>
      <c r="C387" s="37"/>
      <c r="D387" s="37"/>
      <c r="E387" s="37"/>
      <c r="F387" s="38"/>
      <c r="G387" s="37"/>
      <c r="H387" s="37"/>
      <c r="I387" s="37"/>
      <c r="J387" s="37"/>
      <c r="K387" s="35"/>
      <c r="L387" s="39"/>
      <c r="M387" s="45"/>
    </row>
    <row r="388" spans="1:13">
      <c r="A388" s="34"/>
      <c r="B388" s="34"/>
      <c r="C388" s="37"/>
      <c r="D388" s="37"/>
      <c r="E388" s="37"/>
      <c r="F388" s="38"/>
      <c r="G388" s="37"/>
      <c r="H388" s="37"/>
      <c r="I388" s="37"/>
      <c r="J388" s="37"/>
      <c r="K388" s="35"/>
      <c r="L388" s="39"/>
      <c r="M388" s="45"/>
    </row>
    <row r="389" spans="1:13">
      <c r="A389" s="34"/>
      <c r="B389" s="34"/>
      <c r="C389" s="37"/>
      <c r="D389" s="37"/>
      <c r="E389" s="37"/>
      <c r="F389" s="38"/>
      <c r="G389" s="37"/>
      <c r="H389" s="37"/>
      <c r="I389" s="37"/>
      <c r="J389" s="37"/>
      <c r="K389" s="35"/>
      <c r="L389" s="39"/>
      <c r="M389" s="45"/>
    </row>
    <row r="390" spans="1:13">
      <c r="A390" s="34"/>
      <c r="B390" s="34"/>
      <c r="C390" s="37"/>
      <c r="D390" s="37"/>
      <c r="E390" s="37"/>
      <c r="F390" s="38"/>
      <c r="G390" s="37"/>
      <c r="H390" s="37"/>
      <c r="I390" s="37"/>
      <c r="J390" s="37"/>
      <c r="K390" s="35"/>
      <c r="L390" s="39"/>
      <c r="M390" s="45"/>
    </row>
    <row r="391" spans="1:13">
      <c r="A391" s="34"/>
      <c r="B391" s="34"/>
      <c r="C391" s="37"/>
      <c r="D391" s="37"/>
      <c r="E391" s="37"/>
      <c r="F391" s="38"/>
      <c r="G391" s="37"/>
      <c r="H391" s="37"/>
      <c r="I391" s="37"/>
      <c r="J391" s="37"/>
      <c r="K391" s="35"/>
      <c r="L391" s="39"/>
      <c r="M391" s="45"/>
    </row>
    <row r="392" spans="1:13">
      <c r="A392" s="34"/>
      <c r="B392" s="34"/>
      <c r="C392" s="37"/>
      <c r="D392" s="37"/>
      <c r="E392" s="37"/>
      <c r="F392" s="38"/>
      <c r="G392" s="37"/>
      <c r="H392" s="37"/>
      <c r="I392" s="37"/>
      <c r="J392" s="37"/>
      <c r="K392" s="35"/>
      <c r="L392" s="39"/>
      <c r="M392" s="45"/>
    </row>
    <row r="393" spans="1:13">
      <c r="A393" s="34"/>
      <c r="B393" s="34"/>
      <c r="C393" s="37"/>
      <c r="D393" s="37"/>
      <c r="E393" s="37"/>
      <c r="F393" s="38"/>
      <c r="G393" s="37"/>
      <c r="H393" s="37"/>
      <c r="I393" s="37"/>
      <c r="J393" s="37"/>
      <c r="K393" s="35"/>
      <c r="L393" s="39"/>
      <c r="M393" s="45"/>
    </row>
    <row r="394" spans="1:13">
      <c r="A394" s="34"/>
      <c r="B394" s="34"/>
      <c r="C394" s="37"/>
      <c r="D394" s="37"/>
      <c r="E394" s="37"/>
      <c r="F394" s="38"/>
      <c r="G394" s="37"/>
      <c r="H394" s="37"/>
      <c r="I394" s="37"/>
      <c r="J394" s="37"/>
      <c r="K394" s="35"/>
      <c r="L394" s="39"/>
      <c r="M394" s="45"/>
    </row>
    <row r="395" spans="1:13">
      <c r="A395" s="34"/>
      <c r="B395" s="34"/>
      <c r="C395" s="37"/>
      <c r="D395" s="37"/>
      <c r="E395" s="37"/>
      <c r="F395" s="38"/>
      <c r="G395" s="37"/>
      <c r="H395" s="37"/>
      <c r="I395" s="37"/>
      <c r="J395" s="37"/>
      <c r="K395" s="35"/>
      <c r="L395" s="39"/>
      <c r="M395" s="45"/>
    </row>
    <row r="396" spans="1:13">
      <c r="A396" s="34"/>
      <c r="B396" s="34"/>
      <c r="C396" s="37"/>
      <c r="D396" s="37"/>
      <c r="E396" s="37"/>
      <c r="F396" s="38"/>
      <c r="G396" s="37"/>
      <c r="H396" s="37"/>
      <c r="I396" s="37"/>
      <c r="J396" s="37"/>
      <c r="K396" s="35"/>
      <c r="L396" s="39"/>
      <c r="M396" s="45"/>
    </row>
    <row r="397" spans="1:13">
      <c r="A397" s="34"/>
      <c r="B397" s="34"/>
      <c r="C397" s="37"/>
      <c r="D397" s="37"/>
      <c r="E397" s="37"/>
      <c r="F397" s="38"/>
      <c r="G397" s="37"/>
      <c r="H397" s="37"/>
      <c r="I397" s="37"/>
      <c r="J397" s="37"/>
      <c r="K397" s="35"/>
      <c r="L397" s="39"/>
      <c r="M397" s="45"/>
    </row>
    <row r="398" spans="1:13">
      <c r="A398" s="34"/>
      <c r="B398" s="34"/>
      <c r="C398" s="37"/>
      <c r="D398" s="37"/>
      <c r="E398" s="37"/>
      <c r="F398" s="38"/>
      <c r="G398" s="37"/>
      <c r="H398" s="37"/>
      <c r="I398" s="37"/>
      <c r="J398" s="37"/>
      <c r="K398" s="35"/>
      <c r="L398" s="39"/>
      <c r="M398" s="45"/>
    </row>
    <row r="399" spans="1:13">
      <c r="A399" s="34"/>
      <c r="B399" s="34"/>
      <c r="C399" s="37"/>
      <c r="D399" s="37"/>
      <c r="E399" s="37"/>
      <c r="F399" s="38"/>
      <c r="G399" s="37"/>
      <c r="H399" s="37"/>
      <c r="I399" s="37"/>
      <c r="J399" s="37"/>
      <c r="K399" s="35"/>
      <c r="L399" s="39"/>
      <c r="M399" s="45"/>
    </row>
    <row r="400" spans="1:13">
      <c r="A400" s="34"/>
      <c r="B400" s="34"/>
      <c r="C400" s="37"/>
      <c r="D400" s="37"/>
      <c r="E400" s="37"/>
      <c r="F400" s="38"/>
      <c r="G400" s="37"/>
      <c r="H400" s="37"/>
      <c r="I400" s="37"/>
      <c r="J400" s="37"/>
      <c r="K400" s="35"/>
      <c r="L400" s="39"/>
      <c r="M400" s="45"/>
    </row>
    <row r="401" spans="1:13">
      <c r="A401" s="34"/>
      <c r="B401" s="34"/>
      <c r="C401" s="37"/>
      <c r="D401" s="37"/>
      <c r="E401" s="37"/>
      <c r="F401" s="38"/>
      <c r="G401" s="37"/>
      <c r="H401" s="37"/>
      <c r="I401" s="37"/>
      <c r="J401" s="37"/>
      <c r="K401" s="35"/>
      <c r="L401" s="39"/>
      <c r="M401" s="45"/>
    </row>
    <row r="402" spans="1:13">
      <c r="A402" s="34"/>
      <c r="B402" s="34"/>
      <c r="C402" s="37"/>
      <c r="D402" s="37"/>
      <c r="E402" s="37"/>
      <c r="F402" s="38"/>
      <c r="G402" s="37"/>
      <c r="H402" s="37"/>
      <c r="I402" s="37"/>
      <c r="J402" s="37"/>
      <c r="K402" s="35"/>
      <c r="L402" s="39"/>
      <c r="M402" s="45"/>
    </row>
    <row r="403" spans="1:13">
      <c r="A403" s="34"/>
      <c r="B403" s="34"/>
      <c r="C403" s="37"/>
      <c r="D403" s="37"/>
      <c r="E403" s="37"/>
      <c r="F403" s="38"/>
      <c r="G403" s="37"/>
      <c r="H403" s="37"/>
      <c r="I403" s="37"/>
      <c r="J403" s="37"/>
      <c r="K403" s="35"/>
      <c r="L403" s="39"/>
      <c r="M403" s="45"/>
    </row>
    <row r="404" spans="1:13">
      <c r="A404" s="34"/>
      <c r="B404" s="34"/>
      <c r="C404" s="37"/>
      <c r="D404" s="37"/>
      <c r="E404" s="37"/>
      <c r="F404" s="38"/>
      <c r="G404" s="37"/>
      <c r="H404" s="37"/>
      <c r="I404" s="37"/>
      <c r="J404" s="37"/>
      <c r="K404" s="35"/>
      <c r="L404" s="39"/>
      <c r="M404" s="45"/>
    </row>
    <row r="405" spans="1:13">
      <c r="A405" s="34"/>
      <c r="B405" s="34"/>
      <c r="C405" s="37"/>
      <c r="D405" s="37"/>
      <c r="E405" s="37"/>
      <c r="F405" s="38"/>
      <c r="G405" s="37"/>
      <c r="H405" s="37"/>
      <c r="I405" s="37"/>
      <c r="J405" s="37"/>
      <c r="K405" s="35"/>
      <c r="L405" s="39"/>
      <c r="M405" s="45"/>
    </row>
    <row r="406" spans="1:13">
      <c r="A406" s="34"/>
      <c r="B406" s="34"/>
      <c r="C406" s="37"/>
      <c r="D406" s="37"/>
      <c r="E406" s="37"/>
      <c r="F406" s="38"/>
      <c r="G406" s="37"/>
      <c r="H406" s="37"/>
      <c r="I406" s="37"/>
      <c r="J406" s="37"/>
      <c r="K406" s="35"/>
      <c r="L406" s="39"/>
      <c r="M406" s="45"/>
    </row>
    <row r="407" spans="1:13">
      <c r="A407" s="34"/>
      <c r="B407" s="34"/>
      <c r="C407" s="37"/>
      <c r="D407" s="37"/>
      <c r="E407" s="37"/>
      <c r="F407" s="38"/>
      <c r="G407" s="37"/>
      <c r="H407" s="37"/>
      <c r="I407" s="37"/>
      <c r="J407" s="37"/>
      <c r="K407" s="35"/>
      <c r="L407" s="39"/>
      <c r="M407" s="45"/>
    </row>
    <row r="408" spans="1:13">
      <c r="A408" s="34"/>
      <c r="B408" s="34"/>
      <c r="C408" s="37"/>
      <c r="D408" s="37"/>
      <c r="E408" s="37"/>
      <c r="F408" s="38"/>
      <c r="G408" s="37"/>
      <c r="H408" s="37"/>
      <c r="I408" s="37"/>
      <c r="J408" s="37"/>
      <c r="K408" s="35"/>
      <c r="L408" s="39"/>
      <c r="M408" s="45"/>
    </row>
    <row r="409" spans="1:13">
      <c r="A409" s="34"/>
      <c r="B409" s="34"/>
      <c r="C409" s="37"/>
      <c r="D409" s="37"/>
      <c r="E409" s="37"/>
      <c r="F409" s="38"/>
      <c r="G409" s="37"/>
      <c r="H409" s="37"/>
      <c r="I409" s="37"/>
      <c r="J409" s="37"/>
      <c r="K409" s="35"/>
      <c r="L409" s="39"/>
      <c r="M409" s="45"/>
    </row>
    <row r="410" spans="1:13">
      <c r="A410" s="34"/>
      <c r="B410" s="34"/>
      <c r="C410" s="37"/>
      <c r="D410" s="37"/>
      <c r="E410" s="37"/>
      <c r="F410" s="38"/>
      <c r="G410" s="37"/>
      <c r="H410" s="37"/>
      <c r="I410" s="37"/>
      <c r="J410" s="37"/>
      <c r="K410" s="35"/>
      <c r="L410" s="39"/>
      <c r="M410" s="45"/>
    </row>
    <row r="411" spans="1:13">
      <c r="A411" s="34"/>
      <c r="B411" s="34"/>
      <c r="C411" s="37"/>
      <c r="D411" s="37"/>
      <c r="E411" s="37"/>
      <c r="F411" s="38"/>
      <c r="G411" s="37"/>
      <c r="H411" s="37"/>
      <c r="I411" s="37"/>
      <c r="J411" s="37"/>
      <c r="K411" s="35"/>
      <c r="L411" s="39"/>
      <c r="M411" s="45"/>
    </row>
    <row r="412" spans="1:13">
      <c r="A412" s="34"/>
      <c r="B412" s="34"/>
      <c r="C412" s="37"/>
      <c r="D412" s="37"/>
      <c r="E412" s="37"/>
      <c r="F412" s="38"/>
      <c r="G412" s="37"/>
      <c r="H412" s="37"/>
      <c r="I412" s="37"/>
      <c r="J412" s="37"/>
      <c r="K412" s="35"/>
      <c r="L412" s="39"/>
      <c r="M412" s="45"/>
    </row>
    <row r="413" spans="1:13">
      <c r="A413" s="34"/>
      <c r="B413" s="34"/>
      <c r="C413" s="37"/>
      <c r="D413" s="37"/>
      <c r="E413" s="37"/>
      <c r="F413" s="38"/>
      <c r="G413" s="37"/>
      <c r="H413" s="37"/>
      <c r="I413" s="37"/>
      <c r="J413" s="37"/>
      <c r="K413" s="35"/>
      <c r="L413" s="39"/>
      <c r="M413" s="45"/>
    </row>
    <row r="414" spans="1:13">
      <c r="A414" s="34"/>
      <c r="B414" s="34"/>
      <c r="C414" s="37"/>
      <c r="D414" s="37"/>
      <c r="E414" s="37"/>
      <c r="F414" s="38"/>
      <c r="G414" s="37"/>
      <c r="H414" s="37"/>
      <c r="I414" s="37"/>
      <c r="J414" s="37"/>
      <c r="K414" s="35"/>
      <c r="L414" s="39"/>
      <c r="M414" s="45"/>
    </row>
    <row r="415" spans="1:13">
      <c r="A415" s="34"/>
      <c r="B415" s="34"/>
      <c r="C415" s="37"/>
      <c r="D415" s="37"/>
      <c r="E415" s="37"/>
      <c r="F415" s="38"/>
      <c r="G415" s="37"/>
      <c r="H415" s="37"/>
      <c r="I415" s="37"/>
      <c r="J415" s="37"/>
      <c r="K415" s="35"/>
      <c r="L415" s="39"/>
      <c r="M415" s="45"/>
    </row>
    <row r="416" spans="1:13">
      <c r="A416" s="34"/>
      <c r="B416" s="34"/>
      <c r="C416" s="37"/>
      <c r="D416" s="37"/>
      <c r="E416" s="37"/>
      <c r="F416" s="38"/>
      <c r="G416" s="37"/>
      <c r="H416" s="37"/>
      <c r="I416" s="37"/>
      <c r="J416" s="37"/>
      <c r="K416" s="35"/>
      <c r="L416" s="39"/>
      <c r="M416" s="45"/>
    </row>
    <row r="417" spans="1:13">
      <c r="A417" s="34"/>
      <c r="B417" s="34"/>
      <c r="C417" s="37"/>
      <c r="D417" s="37"/>
      <c r="E417" s="37"/>
      <c r="F417" s="38"/>
      <c r="G417" s="37"/>
      <c r="H417" s="37"/>
      <c r="I417" s="37"/>
      <c r="J417" s="37"/>
      <c r="K417" s="35"/>
      <c r="L417" s="39"/>
      <c r="M417" s="45"/>
    </row>
    <row r="418" spans="1:13">
      <c r="A418" s="34"/>
      <c r="B418" s="34"/>
      <c r="C418" s="37"/>
      <c r="D418" s="37"/>
      <c r="E418" s="37"/>
      <c r="F418" s="38"/>
      <c r="G418" s="37"/>
      <c r="H418" s="37"/>
      <c r="I418" s="37"/>
      <c r="J418" s="37"/>
      <c r="K418" s="35"/>
      <c r="L418" s="39"/>
      <c r="M418" s="45"/>
    </row>
    <row r="419" spans="1:13">
      <c r="A419" s="34"/>
      <c r="B419" s="34"/>
      <c r="C419" s="37"/>
      <c r="D419" s="37"/>
      <c r="E419" s="37"/>
      <c r="F419" s="38"/>
      <c r="G419" s="37"/>
      <c r="H419" s="37"/>
      <c r="I419" s="37"/>
      <c r="J419" s="37"/>
      <c r="K419" s="35"/>
      <c r="L419" s="39"/>
      <c r="M419" s="45"/>
    </row>
    <row r="420" spans="1:13">
      <c r="A420" s="34"/>
      <c r="B420" s="34"/>
      <c r="C420" s="37"/>
      <c r="D420" s="37"/>
      <c r="E420" s="37"/>
      <c r="F420" s="38"/>
      <c r="G420" s="37"/>
      <c r="H420" s="37"/>
      <c r="I420" s="37"/>
      <c r="J420" s="37"/>
      <c r="K420" s="35"/>
      <c r="L420" s="39"/>
      <c r="M420" s="45"/>
    </row>
    <row r="421" spans="1:13">
      <c r="A421" s="34"/>
      <c r="B421" s="34"/>
      <c r="C421" s="37"/>
      <c r="D421" s="37"/>
      <c r="E421" s="37"/>
      <c r="F421" s="38"/>
      <c r="G421" s="37"/>
      <c r="H421" s="37"/>
      <c r="I421" s="37"/>
      <c r="J421" s="37"/>
      <c r="K421" s="35"/>
      <c r="L421" s="39"/>
      <c r="M421" s="45"/>
    </row>
    <row r="422" spans="1:13">
      <c r="A422" s="34"/>
      <c r="B422" s="34"/>
      <c r="C422" s="37"/>
      <c r="D422" s="37"/>
      <c r="E422" s="37"/>
      <c r="F422" s="38"/>
      <c r="G422" s="37"/>
      <c r="H422" s="37"/>
      <c r="I422" s="37"/>
      <c r="J422" s="37"/>
      <c r="K422" s="35"/>
      <c r="L422" s="39"/>
      <c r="M422" s="45"/>
    </row>
    <row r="423" spans="1:13">
      <c r="A423" s="34"/>
      <c r="B423" s="34"/>
      <c r="C423" s="37"/>
      <c r="D423" s="37"/>
      <c r="E423" s="37"/>
      <c r="F423" s="38"/>
      <c r="G423" s="37"/>
      <c r="H423" s="37"/>
      <c r="I423" s="37"/>
      <c r="J423" s="37"/>
      <c r="K423" s="35"/>
      <c r="L423" s="39"/>
      <c r="M423" s="45"/>
    </row>
    <row r="424" spans="1:13">
      <c r="A424" s="34"/>
      <c r="B424" s="34"/>
      <c r="C424" s="37"/>
      <c r="D424" s="37"/>
      <c r="E424" s="37"/>
      <c r="F424" s="38"/>
      <c r="G424" s="37"/>
      <c r="H424" s="37"/>
      <c r="I424" s="37"/>
      <c r="J424" s="37"/>
      <c r="K424" s="35"/>
      <c r="L424" s="39"/>
      <c r="M424" s="45"/>
    </row>
    <row r="425" spans="1:13">
      <c r="A425" s="34"/>
      <c r="B425" s="34"/>
      <c r="C425" s="37"/>
      <c r="D425" s="37"/>
      <c r="E425" s="37"/>
      <c r="F425" s="38"/>
      <c r="G425" s="37"/>
      <c r="H425" s="37"/>
      <c r="I425" s="37"/>
      <c r="J425" s="37"/>
      <c r="K425" s="35"/>
      <c r="L425" s="39"/>
      <c r="M425" s="45"/>
    </row>
    <row r="426" spans="1:13">
      <c r="A426" s="34"/>
      <c r="B426" s="34"/>
      <c r="C426" s="37"/>
      <c r="D426" s="37"/>
      <c r="E426" s="37"/>
      <c r="F426" s="38"/>
      <c r="G426" s="37"/>
      <c r="H426" s="37"/>
      <c r="I426" s="37"/>
      <c r="J426" s="37"/>
      <c r="K426" s="35"/>
      <c r="L426" s="39"/>
      <c r="M426" s="45"/>
    </row>
    <row r="427" spans="1:13">
      <c r="A427" s="34"/>
      <c r="B427" s="34"/>
      <c r="C427" s="37"/>
      <c r="D427" s="37"/>
      <c r="E427" s="37"/>
      <c r="F427" s="38"/>
      <c r="G427" s="37"/>
      <c r="H427" s="37"/>
      <c r="I427" s="37"/>
      <c r="J427" s="37"/>
      <c r="K427" s="35"/>
      <c r="L427" s="39"/>
      <c r="M427" s="45"/>
    </row>
    <row r="428" spans="1:13">
      <c r="A428" s="34"/>
      <c r="B428" s="34"/>
      <c r="C428" s="37"/>
      <c r="D428" s="37"/>
      <c r="E428" s="37"/>
      <c r="F428" s="38"/>
      <c r="G428" s="37"/>
      <c r="H428" s="37"/>
      <c r="I428" s="37"/>
      <c r="J428" s="37"/>
      <c r="K428" s="35"/>
      <c r="L428" s="39"/>
      <c r="M428" s="45"/>
    </row>
    <row r="429" spans="1:13">
      <c r="A429" s="34"/>
      <c r="B429" s="34"/>
      <c r="C429" s="37"/>
      <c r="D429" s="37"/>
      <c r="E429" s="37"/>
      <c r="F429" s="38"/>
      <c r="G429" s="37"/>
      <c r="H429" s="37"/>
      <c r="I429" s="37"/>
      <c r="J429" s="37"/>
      <c r="K429" s="35"/>
      <c r="L429" s="39"/>
      <c r="M429" s="45"/>
    </row>
    <row r="430" spans="1:13">
      <c r="A430" s="34"/>
      <c r="B430" s="34"/>
      <c r="C430" s="37"/>
      <c r="D430" s="37"/>
      <c r="E430" s="37"/>
      <c r="F430" s="38"/>
      <c r="G430" s="37"/>
      <c r="H430" s="37"/>
      <c r="I430" s="37"/>
      <c r="J430" s="37"/>
      <c r="K430" s="35"/>
      <c r="L430" s="39"/>
      <c r="M430" s="45"/>
    </row>
    <row r="431" spans="1:13">
      <c r="A431" s="34"/>
      <c r="B431" s="34"/>
      <c r="C431" s="37"/>
      <c r="D431" s="37"/>
      <c r="E431" s="37"/>
      <c r="F431" s="38"/>
      <c r="G431" s="37"/>
      <c r="H431" s="37"/>
      <c r="I431" s="37"/>
      <c r="J431" s="37"/>
      <c r="K431" s="35"/>
      <c r="L431" s="39"/>
      <c r="M431" s="45"/>
    </row>
    <row r="432" spans="1:13">
      <c r="A432" s="34"/>
      <c r="B432" s="34"/>
      <c r="C432" s="37"/>
      <c r="D432" s="37"/>
      <c r="E432" s="37"/>
      <c r="F432" s="38"/>
      <c r="G432" s="37"/>
      <c r="H432" s="37"/>
      <c r="I432" s="37"/>
      <c r="J432" s="37"/>
      <c r="K432" s="35"/>
      <c r="L432" s="39"/>
      <c r="M432" s="45"/>
    </row>
    <row r="433" spans="1:13">
      <c r="A433" s="34"/>
      <c r="B433" s="34"/>
      <c r="C433" s="37"/>
      <c r="D433" s="37"/>
      <c r="E433" s="37"/>
      <c r="F433" s="38"/>
      <c r="G433" s="37"/>
      <c r="H433" s="37"/>
      <c r="I433" s="37"/>
      <c r="J433" s="37"/>
      <c r="K433" s="35"/>
      <c r="L433" s="39"/>
      <c r="M433" s="45"/>
    </row>
    <row r="434" spans="1:13">
      <c r="A434" s="34"/>
      <c r="B434" s="34"/>
      <c r="C434" s="37"/>
      <c r="D434" s="37"/>
      <c r="E434" s="37"/>
      <c r="F434" s="38"/>
      <c r="G434" s="37"/>
      <c r="H434" s="37"/>
      <c r="I434" s="37"/>
      <c r="J434" s="37"/>
      <c r="K434" s="35"/>
      <c r="L434" s="39"/>
      <c r="M434" s="45"/>
    </row>
    <row r="435" spans="1:13">
      <c r="A435" s="34"/>
      <c r="B435" s="34"/>
      <c r="C435" s="37"/>
      <c r="D435" s="37"/>
      <c r="E435" s="37"/>
      <c r="F435" s="38"/>
      <c r="G435" s="37"/>
      <c r="H435" s="37"/>
      <c r="I435" s="37"/>
      <c r="J435" s="37"/>
      <c r="K435" s="35"/>
      <c r="L435" s="39"/>
      <c r="M435" s="45"/>
    </row>
    <row r="436" spans="1:13">
      <c r="A436" s="34"/>
      <c r="B436" s="34"/>
      <c r="C436" s="37"/>
      <c r="D436" s="37"/>
      <c r="E436" s="37"/>
      <c r="F436" s="38"/>
      <c r="G436" s="37"/>
      <c r="H436" s="37"/>
      <c r="I436" s="37"/>
      <c r="J436" s="37"/>
      <c r="K436" s="35"/>
      <c r="L436" s="39"/>
      <c r="M436" s="45"/>
    </row>
    <row r="437" spans="1:13">
      <c r="A437" s="34"/>
      <c r="B437" s="34"/>
      <c r="C437" s="37"/>
      <c r="D437" s="37"/>
      <c r="E437" s="37"/>
      <c r="F437" s="38"/>
      <c r="G437" s="37"/>
      <c r="H437" s="37"/>
      <c r="I437" s="37"/>
      <c r="J437" s="37"/>
      <c r="K437" s="35"/>
      <c r="L437" s="39"/>
      <c r="M437" s="45"/>
    </row>
    <row r="438" spans="1:13">
      <c r="A438" s="34"/>
      <c r="B438" s="34"/>
      <c r="C438" s="37"/>
      <c r="D438" s="37"/>
      <c r="E438" s="37"/>
      <c r="F438" s="38"/>
      <c r="G438" s="37"/>
      <c r="H438" s="37"/>
      <c r="I438" s="37"/>
      <c r="J438" s="37"/>
      <c r="K438" s="35"/>
      <c r="L438" s="39"/>
      <c r="M438" s="45"/>
    </row>
    <row r="439" spans="1:13">
      <c r="A439" s="34"/>
      <c r="B439" s="34"/>
      <c r="C439" s="37"/>
      <c r="D439" s="37"/>
      <c r="E439" s="37"/>
      <c r="F439" s="38"/>
      <c r="G439" s="37"/>
      <c r="H439" s="37"/>
      <c r="I439" s="37"/>
      <c r="J439" s="37"/>
      <c r="K439" s="35"/>
      <c r="L439" s="39"/>
      <c r="M439" s="45"/>
    </row>
    <row r="440" spans="1:13">
      <c r="A440" s="34"/>
      <c r="B440" s="34"/>
      <c r="C440" s="37"/>
      <c r="D440" s="37"/>
      <c r="E440" s="37"/>
      <c r="F440" s="38"/>
      <c r="G440" s="37"/>
      <c r="H440" s="37"/>
      <c r="I440" s="37"/>
      <c r="J440" s="37"/>
      <c r="K440" s="35"/>
      <c r="L440" s="39"/>
      <c r="M440" s="45"/>
    </row>
    <row r="441" spans="1:13">
      <c r="A441" s="34"/>
      <c r="B441" s="34"/>
      <c r="C441" s="37"/>
      <c r="D441" s="37"/>
      <c r="E441" s="37"/>
      <c r="F441" s="38"/>
      <c r="G441" s="37"/>
      <c r="H441" s="37"/>
      <c r="I441" s="37"/>
      <c r="J441" s="37"/>
      <c r="K441" s="35"/>
      <c r="L441" s="39"/>
      <c r="M441" s="45"/>
    </row>
    <row r="442" spans="1:13">
      <c r="A442" s="34"/>
      <c r="B442" s="34"/>
      <c r="C442" s="37"/>
      <c r="D442" s="37"/>
      <c r="E442" s="37"/>
      <c r="F442" s="38"/>
      <c r="G442" s="37"/>
      <c r="H442" s="37"/>
      <c r="I442" s="37"/>
      <c r="J442" s="37"/>
      <c r="K442" s="35"/>
      <c r="L442" s="39"/>
      <c r="M442" s="45"/>
    </row>
    <row r="443" spans="1:13">
      <c r="A443" s="34"/>
      <c r="B443" s="34"/>
      <c r="C443" s="37"/>
      <c r="D443" s="37"/>
      <c r="E443" s="37"/>
      <c r="F443" s="38"/>
      <c r="G443" s="37"/>
      <c r="H443" s="37"/>
      <c r="I443" s="37"/>
      <c r="J443" s="37"/>
      <c r="K443" s="35"/>
      <c r="L443" s="39"/>
      <c r="M443" s="45"/>
    </row>
    <row r="444" spans="1:13">
      <c r="A444" s="34"/>
      <c r="B444" s="34"/>
      <c r="C444" s="37"/>
      <c r="D444" s="37"/>
      <c r="E444" s="37"/>
      <c r="F444" s="38"/>
      <c r="G444" s="37"/>
      <c r="H444" s="37"/>
      <c r="I444" s="37"/>
      <c r="J444" s="37"/>
      <c r="K444" s="35"/>
      <c r="L444" s="39"/>
      <c r="M444" s="45"/>
    </row>
    <row r="445" spans="1:13">
      <c r="A445" s="34"/>
      <c r="B445" s="34"/>
      <c r="C445" s="37"/>
      <c r="D445" s="37"/>
      <c r="E445" s="37"/>
      <c r="F445" s="38"/>
      <c r="G445" s="37"/>
      <c r="H445" s="37"/>
      <c r="I445" s="37"/>
      <c r="J445" s="37"/>
      <c r="K445" s="35"/>
      <c r="L445" s="39"/>
      <c r="M445" s="45"/>
    </row>
    <row r="446" spans="1:13">
      <c r="A446" s="34"/>
      <c r="B446" s="34"/>
      <c r="C446" s="37"/>
      <c r="D446" s="37"/>
      <c r="E446" s="37"/>
      <c r="F446" s="38"/>
      <c r="G446" s="37"/>
      <c r="H446" s="37"/>
      <c r="I446" s="37"/>
      <c r="J446" s="37"/>
      <c r="K446" s="35"/>
      <c r="L446" s="39"/>
      <c r="M446" s="45"/>
    </row>
    <row r="447" spans="1:13">
      <c r="A447" s="34"/>
      <c r="B447" s="34"/>
      <c r="C447" s="37"/>
      <c r="D447" s="37"/>
      <c r="E447" s="37"/>
      <c r="F447" s="38"/>
      <c r="G447" s="37"/>
      <c r="H447" s="37"/>
      <c r="I447" s="37"/>
      <c r="J447" s="37"/>
      <c r="K447" s="35"/>
      <c r="L447" s="39"/>
      <c r="M447" s="45"/>
    </row>
    <row r="448" spans="1:13">
      <c r="A448" s="34"/>
      <c r="B448" s="34"/>
      <c r="C448" s="37"/>
      <c r="D448" s="37"/>
      <c r="E448" s="37"/>
      <c r="F448" s="38"/>
      <c r="G448" s="37"/>
      <c r="H448" s="37"/>
      <c r="I448" s="37"/>
      <c r="J448" s="37"/>
      <c r="K448" s="35"/>
      <c r="L448" s="39"/>
      <c r="M448" s="45"/>
    </row>
    <row r="449" spans="1:13">
      <c r="A449" s="34"/>
      <c r="B449" s="34"/>
      <c r="C449" s="37"/>
      <c r="D449" s="37"/>
      <c r="E449" s="37"/>
      <c r="F449" s="38"/>
      <c r="G449" s="37"/>
      <c r="H449" s="37"/>
      <c r="I449" s="37"/>
      <c r="J449" s="37"/>
      <c r="K449" s="35"/>
      <c r="L449" s="39"/>
      <c r="M449" s="45"/>
    </row>
    <row r="450" spans="1:13">
      <c r="A450" s="34"/>
      <c r="B450" s="34"/>
      <c r="C450" s="37"/>
      <c r="D450" s="37"/>
      <c r="E450" s="37"/>
      <c r="F450" s="38"/>
      <c r="G450" s="37"/>
      <c r="H450" s="37"/>
      <c r="I450" s="37"/>
      <c r="J450" s="37"/>
      <c r="K450" s="35"/>
      <c r="L450" s="39"/>
      <c r="M450" s="45"/>
    </row>
    <row r="451" spans="1:13">
      <c r="A451" s="34"/>
      <c r="B451" s="34"/>
      <c r="C451" s="37"/>
      <c r="D451" s="37"/>
      <c r="E451" s="37"/>
      <c r="F451" s="38"/>
      <c r="G451" s="37"/>
      <c r="H451" s="37"/>
      <c r="I451" s="37"/>
      <c r="J451" s="37"/>
      <c r="K451" s="35"/>
      <c r="L451" s="39"/>
      <c r="M451" s="45"/>
    </row>
    <row r="452" spans="1:13">
      <c r="A452" s="34"/>
      <c r="B452" s="34"/>
      <c r="C452" s="37"/>
      <c r="D452" s="37"/>
      <c r="E452" s="37"/>
      <c r="F452" s="38"/>
      <c r="G452" s="37"/>
      <c r="H452" s="37"/>
      <c r="I452" s="37"/>
      <c r="J452" s="37"/>
      <c r="K452" s="35"/>
      <c r="L452" s="39"/>
      <c r="M452" s="45"/>
    </row>
    <row r="453" spans="1:13">
      <c r="A453" s="34"/>
      <c r="B453" s="34"/>
      <c r="C453" s="37"/>
      <c r="D453" s="37"/>
      <c r="E453" s="37"/>
      <c r="F453" s="38"/>
      <c r="G453" s="37"/>
      <c r="H453" s="37"/>
      <c r="I453" s="37"/>
      <c r="J453" s="37"/>
      <c r="K453" s="35"/>
      <c r="L453" s="39"/>
      <c r="M453" s="45"/>
    </row>
    <row r="454" spans="1:13">
      <c r="A454" s="34"/>
      <c r="B454" s="34"/>
      <c r="C454" s="37"/>
      <c r="D454" s="37"/>
      <c r="E454" s="37"/>
      <c r="F454" s="38"/>
      <c r="G454" s="37"/>
      <c r="H454" s="37"/>
      <c r="I454" s="37"/>
      <c r="J454" s="37"/>
      <c r="K454" s="35"/>
      <c r="L454" s="39"/>
      <c r="M454" s="45"/>
    </row>
    <row r="455" spans="1:13">
      <c r="A455" s="34"/>
      <c r="B455" s="34"/>
      <c r="C455" s="37"/>
      <c r="D455" s="37"/>
      <c r="E455" s="37"/>
      <c r="F455" s="38"/>
      <c r="G455" s="37"/>
      <c r="H455" s="37"/>
      <c r="I455" s="37"/>
      <c r="J455" s="37"/>
      <c r="K455" s="35"/>
      <c r="L455" s="39"/>
      <c r="M455" s="45"/>
    </row>
    <row r="456" spans="1:13">
      <c r="A456" s="34"/>
      <c r="B456" s="34"/>
      <c r="C456" s="37"/>
      <c r="D456" s="37"/>
      <c r="E456" s="37"/>
      <c r="F456" s="38"/>
      <c r="G456" s="37"/>
      <c r="H456" s="37"/>
      <c r="I456" s="37"/>
      <c r="J456" s="37"/>
      <c r="K456" s="35"/>
      <c r="L456" s="39"/>
      <c r="M456" s="45"/>
    </row>
    <row r="457" spans="1:13">
      <c r="A457" s="34"/>
      <c r="B457" s="34"/>
      <c r="C457" s="37"/>
      <c r="D457" s="37"/>
      <c r="E457" s="37"/>
      <c r="F457" s="38"/>
      <c r="G457" s="37"/>
      <c r="H457" s="37"/>
      <c r="I457" s="37"/>
      <c r="J457" s="37"/>
      <c r="K457" s="35"/>
      <c r="L457" s="39"/>
      <c r="M457" s="45"/>
    </row>
    <row r="458" spans="1:13">
      <c r="A458" s="34"/>
      <c r="B458" s="34"/>
      <c r="C458" s="37"/>
      <c r="D458" s="37"/>
      <c r="E458" s="37"/>
      <c r="F458" s="38"/>
      <c r="G458" s="37"/>
      <c r="H458" s="37"/>
      <c r="I458" s="37"/>
      <c r="J458" s="37"/>
      <c r="K458" s="35"/>
      <c r="L458" s="39"/>
      <c r="M458" s="45"/>
    </row>
    <row r="459" spans="1:13">
      <c r="A459" s="34"/>
      <c r="B459" s="34"/>
      <c r="C459" s="37"/>
      <c r="D459" s="37"/>
      <c r="E459" s="37"/>
      <c r="F459" s="38"/>
      <c r="G459" s="37"/>
      <c r="H459" s="37"/>
      <c r="I459" s="37"/>
      <c r="J459" s="37"/>
      <c r="K459" s="35"/>
      <c r="L459" s="39"/>
      <c r="M459" s="45"/>
    </row>
    <row r="460" spans="1:13">
      <c r="A460" s="34"/>
      <c r="B460" s="34"/>
      <c r="C460" s="37"/>
      <c r="D460" s="37"/>
      <c r="E460" s="37"/>
      <c r="F460" s="38"/>
      <c r="G460" s="37"/>
      <c r="H460" s="37"/>
      <c r="I460" s="37"/>
      <c r="J460" s="37"/>
      <c r="K460" s="35"/>
      <c r="L460" s="39"/>
      <c r="M460" s="45"/>
    </row>
    <row r="461" spans="1:13">
      <c r="A461" s="34"/>
      <c r="B461" s="34"/>
      <c r="C461" s="37"/>
      <c r="D461" s="37"/>
      <c r="E461" s="37"/>
      <c r="F461" s="38"/>
      <c r="G461" s="37"/>
      <c r="H461" s="37"/>
      <c r="I461" s="37"/>
      <c r="J461" s="37"/>
      <c r="K461" s="35"/>
      <c r="L461" s="39"/>
      <c r="M461" s="45"/>
    </row>
    <row r="462" spans="1:13">
      <c r="A462" s="34"/>
      <c r="B462" s="34"/>
      <c r="C462" s="37"/>
      <c r="D462" s="37"/>
      <c r="E462" s="37"/>
      <c r="F462" s="38"/>
      <c r="G462" s="37"/>
      <c r="H462" s="37"/>
      <c r="I462" s="37"/>
      <c r="J462" s="37"/>
      <c r="K462" s="35"/>
      <c r="L462" s="39"/>
      <c r="M462" s="45"/>
    </row>
    <row r="463" spans="1:13">
      <c r="A463" s="34"/>
      <c r="B463" s="34"/>
      <c r="C463" s="37"/>
      <c r="D463" s="37"/>
      <c r="E463" s="37"/>
      <c r="F463" s="38"/>
      <c r="G463" s="37"/>
      <c r="H463" s="37"/>
      <c r="I463" s="37"/>
      <c r="J463" s="37"/>
      <c r="K463" s="35"/>
      <c r="L463" s="39"/>
      <c r="M463" s="45"/>
    </row>
    <row r="464" spans="1:13">
      <c r="A464" s="34"/>
      <c r="B464" s="34"/>
      <c r="C464" s="37"/>
      <c r="D464" s="37"/>
      <c r="E464" s="37"/>
      <c r="F464" s="38"/>
      <c r="G464" s="37"/>
      <c r="H464" s="37"/>
      <c r="I464" s="37"/>
      <c r="J464" s="37"/>
      <c r="K464" s="35"/>
      <c r="L464" s="39"/>
      <c r="M464" s="45"/>
    </row>
    <row r="465" spans="1:13">
      <c r="A465" s="34"/>
      <c r="B465" s="34"/>
      <c r="C465" s="37"/>
      <c r="D465" s="37"/>
      <c r="E465" s="37"/>
      <c r="F465" s="38"/>
      <c r="G465" s="37"/>
      <c r="H465" s="37"/>
      <c r="I465" s="37"/>
      <c r="J465" s="37"/>
      <c r="K465" s="35"/>
      <c r="L465" s="39"/>
      <c r="M465" s="45"/>
    </row>
    <row r="466" spans="1:13">
      <c r="A466" s="34"/>
      <c r="B466" s="34"/>
      <c r="C466" s="37"/>
      <c r="D466" s="37"/>
      <c r="E466" s="37"/>
      <c r="F466" s="38"/>
      <c r="G466" s="37"/>
      <c r="H466" s="37"/>
      <c r="I466" s="37"/>
      <c r="J466" s="37"/>
      <c r="K466" s="35"/>
      <c r="L466" s="39"/>
      <c r="M466" s="45"/>
    </row>
    <row r="467" spans="1:13">
      <c r="A467" s="34"/>
      <c r="B467" s="34"/>
      <c r="C467" s="37"/>
      <c r="D467" s="37"/>
      <c r="E467" s="37"/>
      <c r="F467" s="38"/>
      <c r="G467" s="37"/>
      <c r="H467" s="37"/>
      <c r="I467" s="37"/>
      <c r="J467" s="37"/>
      <c r="K467" s="35"/>
      <c r="L467" s="39"/>
      <c r="M467" s="45"/>
    </row>
    <row r="468" spans="1:13">
      <c r="A468" s="34"/>
      <c r="B468" s="34"/>
      <c r="C468" s="37"/>
      <c r="D468" s="37"/>
      <c r="E468" s="37"/>
      <c r="F468" s="38"/>
      <c r="G468" s="37"/>
      <c r="H468" s="37"/>
      <c r="I468" s="37"/>
      <c r="J468" s="37"/>
      <c r="K468" s="35"/>
      <c r="L468" s="39"/>
      <c r="M468" s="45"/>
    </row>
    <row r="469" spans="1:13">
      <c r="A469" s="34"/>
      <c r="B469" s="34"/>
      <c r="C469" s="37"/>
      <c r="D469" s="37"/>
      <c r="E469" s="37"/>
      <c r="F469" s="38"/>
      <c r="G469" s="37"/>
      <c r="H469" s="37"/>
      <c r="I469" s="37"/>
      <c r="J469" s="37"/>
      <c r="K469" s="35"/>
      <c r="L469" s="39"/>
      <c r="M469" s="45"/>
    </row>
    <row r="470" spans="1:13">
      <c r="A470" s="34"/>
      <c r="B470" s="34"/>
      <c r="C470" s="37"/>
      <c r="D470" s="37"/>
      <c r="E470" s="37"/>
      <c r="F470" s="38"/>
      <c r="G470" s="37"/>
      <c r="H470" s="37"/>
      <c r="I470" s="37"/>
      <c r="J470" s="37"/>
      <c r="K470" s="35"/>
      <c r="L470" s="39"/>
      <c r="M470" s="45"/>
    </row>
    <row r="471" spans="1:13">
      <c r="A471" s="34"/>
      <c r="B471" s="34"/>
      <c r="C471" s="37"/>
      <c r="D471" s="37"/>
      <c r="E471" s="37"/>
      <c r="F471" s="38"/>
      <c r="G471" s="37"/>
      <c r="H471" s="37"/>
      <c r="I471" s="37"/>
      <c r="J471" s="37"/>
      <c r="K471" s="35"/>
      <c r="L471" s="39"/>
      <c r="M471" s="45"/>
    </row>
    <row r="472" spans="1:13">
      <c r="A472" s="34"/>
      <c r="B472" s="34"/>
      <c r="C472" s="37"/>
      <c r="D472" s="37"/>
      <c r="E472" s="37"/>
      <c r="F472" s="38"/>
      <c r="G472" s="37"/>
      <c r="H472" s="37"/>
      <c r="I472" s="37"/>
      <c r="J472" s="37"/>
      <c r="K472" s="35"/>
      <c r="L472" s="39"/>
      <c r="M472" s="45"/>
    </row>
    <row r="473" spans="1:13">
      <c r="A473" s="34"/>
      <c r="B473" s="34"/>
      <c r="C473" s="37"/>
      <c r="D473" s="37"/>
      <c r="E473" s="37"/>
      <c r="F473" s="38"/>
      <c r="G473" s="37"/>
      <c r="H473" s="37"/>
      <c r="I473" s="37"/>
      <c r="J473" s="37"/>
      <c r="K473" s="35"/>
      <c r="L473" s="39"/>
      <c r="M473" s="45"/>
    </row>
    <row r="474" spans="1:13">
      <c r="A474" s="34"/>
      <c r="B474" s="34"/>
      <c r="C474" s="37"/>
      <c r="D474" s="37"/>
      <c r="E474" s="37"/>
      <c r="F474" s="38"/>
      <c r="G474" s="37"/>
      <c r="H474" s="37"/>
      <c r="I474" s="37"/>
      <c r="J474" s="37"/>
      <c r="K474" s="35"/>
      <c r="L474" s="39"/>
      <c r="M474" s="45"/>
    </row>
    <row r="475" spans="1:13">
      <c r="A475" s="34"/>
      <c r="B475" s="34"/>
      <c r="C475" s="37"/>
      <c r="D475" s="37"/>
      <c r="E475" s="37"/>
      <c r="F475" s="38"/>
      <c r="G475" s="37"/>
      <c r="H475" s="37"/>
      <c r="I475" s="37"/>
      <c r="J475" s="37"/>
      <c r="K475" s="35"/>
      <c r="L475" s="39"/>
      <c r="M475" s="45"/>
    </row>
    <row r="476" spans="1:13">
      <c r="A476" s="34"/>
      <c r="B476" s="34"/>
      <c r="C476" s="37"/>
      <c r="D476" s="37"/>
      <c r="E476" s="37"/>
      <c r="F476" s="38"/>
      <c r="G476" s="37"/>
      <c r="H476" s="37"/>
      <c r="I476" s="37"/>
      <c r="J476" s="37"/>
      <c r="K476" s="35"/>
      <c r="L476" s="39"/>
      <c r="M476" s="45"/>
    </row>
    <row r="477" spans="1:13">
      <c r="A477" s="34"/>
      <c r="B477" s="34"/>
      <c r="C477" s="37"/>
      <c r="D477" s="37"/>
      <c r="E477" s="37"/>
      <c r="F477" s="38"/>
      <c r="G477" s="37"/>
      <c r="H477" s="37"/>
      <c r="I477" s="37"/>
      <c r="J477" s="37"/>
      <c r="K477" s="35"/>
      <c r="L477" s="39"/>
      <c r="M477" s="45"/>
    </row>
    <row r="478" spans="1:13">
      <c r="A478" s="34"/>
      <c r="B478" s="34"/>
      <c r="C478" s="37"/>
      <c r="D478" s="37"/>
      <c r="E478" s="37"/>
      <c r="F478" s="38"/>
      <c r="G478" s="37"/>
      <c r="H478" s="37"/>
      <c r="I478" s="37"/>
      <c r="J478" s="37"/>
      <c r="K478" s="35"/>
      <c r="L478" s="39"/>
      <c r="M478" s="45"/>
    </row>
    <row r="479" spans="1:13">
      <c r="A479" s="34"/>
      <c r="B479" s="34"/>
      <c r="C479" s="37"/>
      <c r="D479" s="37"/>
      <c r="E479" s="37"/>
      <c r="F479" s="38"/>
      <c r="G479" s="37"/>
      <c r="H479" s="37"/>
      <c r="I479" s="37"/>
      <c r="J479" s="37"/>
      <c r="K479" s="35"/>
      <c r="L479" s="39"/>
      <c r="M479" s="45"/>
    </row>
    <row r="480" spans="1:13">
      <c r="A480" s="34"/>
      <c r="B480" s="34"/>
      <c r="C480" s="37"/>
      <c r="D480" s="37"/>
      <c r="E480" s="37"/>
      <c r="F480" s="38"/>
      <c r="G480" s="37"/>
      <c r="H480" s="37"/>
      <c r="I480" s="37"/>
      <c r="J480" s="37"/>
      <c r="K480" s="35"/>
      <c r="L480" s="39"/>
      <c r="M480" s="45"/>
    </row>
    <row r="481" spans="1:13">
      <c r="A481" s="34"/>
      <c r="B481" s="34"/>
      <c r="C481" s="37"/>
      <c r="D481" s="37"/>
      <c r="E481" s="37"/>
      <c r="F481" s="38"/>
      <c r="G481" s="37"/>
      <c r="H481" s="37"/>
      <c r="I481" s="37"/>
      <c r="J481" s="37"/>
      <c r="K481" s="35"/>
      <c r="L481" s="39"/>
      <c r="M481" s="45"/>
    </row>
    <row r="482" spans="1:13">
      <c r="A482" s="34"/>
      <c r="B482" s="34"/>
      <c r="C482" s="37"/>
      <c r="D482" s="37"/>
      <c r="E482" s="37"/>
      <c r="F482" s="38"/>
      <c r="G482" s="37"/>
      <c r="H482" s="37"/>
      <c r="I482" s="37"/>
      <c r="J482" s="37"/>
      <c r="K482" s="35"/>
      <c r="L482" s="39"/>
      <c r="M482" s="45"/>
    </row>
    <row r="483" spans="1:13">
      <c r="A483" s="34"/>
      <c r="B483" s="34"/>
      <c r="C483" s="37"/>
      <c r="D483" s="37"/>
      <c r="E483" s="37"/>
      <c r="F483" s="38"/>
      <c r="G483" s="37"/>
      <c r="H483" s="37"/>
      <c r="I483" s="37"/>
      <c r="J483" s="37"/>
      <c r="K483" s="35"/>
      <c r="L483" s="39"/>
      <c r="M483" s="45"/>
    </row>
    <row r="484" spans="1:13">
      <c r="A484" s="34"/>
      <c r="B484" s="34"/>
      <c r="C484" s="37"/>
      <c r="D484" s="37"/>
      <c r="E484" s="37"/>
      <c r="F484" s="38"/>
      <c r="G484" s="37"/>
      <c r="H484" s="37"/>
      <c r="I484" s="37"/>
      <c r="J484" s="37"/>
      <c r="K484" s="35"/>
      <c r="L484" s="39"/>
      <c r="M484" s="45"/>
    </row>
    <row r="485" spans="1:13">
      <c r="A485" s="34"/>
      <c r="B485" s="34"/>
      <c r="C485" s="37"/>
      <c r="D485" s="37"/>
      <c r="E485" s="37"/>
      <c r="F485" s="38"/>
      <c r="G485" s="37"/>
      <c r="H485" s="37"/>
      <c r="I485" s="37"/>
      <c r="J485" s="37"/>
      <c r="K485" s="35"/>
      <c r="L485" s="39"/>
      <c r="M485" s="45"/>
    </row>
    <row r="486" spans="1:13">
      <c r="A486" s="34"/>
      <c r="B486" s="34"/>
      <c r="C486" s="37"/>
      <c r="D486" s="37"/>
      <c r="E486" s="37"/>
      <c r="F486" s="38"/>
      <c r="G486" s="37"/>
      <c r="H486" s="37"/>
      <c r="I486" s="37"/>
      <c r="J486" s="37"/>
      <c r="K486" s="35"/>
      <c r="L486" s="39"/>
      <c r="M486" s="45"/>
    </row>
    <row r="487" spans="1:13">
      <c r="A487" s="34"/>
      <c r="B487" s="34"/>
      <c r="C487" s="37"/>
      <c r="D487" s="37"/>
      <c r="E487" s="37"/>
      <c r="F487" s="38"/>
      <c r="G487" s="37"/>
      <c r="H487" s="37"/>
      <c r="I487" s="37"/>
      <c r="J487" s="37"/>
      <c r="K487" s="35"/>
      <c r="L487" s="39"/>
      <c r="M487" s="45"/>
    </row>
    <row r="488" spans="1:13">
      <c r="A488" s="34"/>
      <c r="B488" s="34"/>
      <c r="C488" s="37"/>
      <c r="D488" s="37"/>
      <c r="E488" s="37"/>
      <c r="F488" s="38"/>
      <c r="G488" s="37"/>
      <c r="H488" s="37"/>
      <c r="I488" s="37"/>
      <c r="J488" s="37"/>
      <c r="K488" s="35"/>
      <c r="L488" s="39"/>
      <c r="M488" s="45"/>
    </row>
    <row r="489" spans="1:13">
      <c r="A489" s="34"/>
      <c r="B489" s="34"/>
      <c r="C489" s="37"/>
      <c r="D489" s="37"/>
      <c r="E489" s="37"/>
      <c r="F489" s="38"/>
      <c r="G489" s="37"/>
      <c r="H489" s="37"/>
      <c r="I489" s="37"/>
      <c r="J489" s="37"/>
      <c r="K489" s="35"/>
      <c r="L489" s="39"/>
      <c r="M489" s="45"/>
    </row>
    <row r="490" spans="1:13">
      <c r="A490" s="34"/>
      <c r="B490" s="34"/>
      <c r="C490" s="37"/>
      <c r="D490" s="37"/>
      <c r="E490" s="37"/>
      <c r="F490" s="38"/>
      <c r="G490" s="37"/>
      <c r="H490" s="37"/>
      <c r="I490" s="37"/>
      <c r="J490" s="37"/>
      <c r="K490" s="35"/>
      <c r="L490" s="39"/>
      <c r="M490" s="45"/>
    </row>
    <row r="491" spans="1:13">
      <c r="A491" s="34"/>
      <c r="B491" s="34"/>
      <c r="C491" s="37"/>
      <c r="D491" s="37"/>
      <c r="E491" s="37"/>
      <c r="F491" s="38"/>
      <c r="G491" s="37"/>
      <c r="H491" s="37"/>
      <c r="I491" s="37"/>
      <c r="J491" s="37"/>
      <c r="K491" s="35"/>
      <c r="L491" s="39"/>
      <c r="M491" s="45"/>
    </row>
    <row r="492" spans="1:13">
      <c r="A492" s="34"/>
      <c r="B492" s="34"/>
      <c r="C492" s="37"/>
      <c r="D492" s="37"/>
      <c r="E492" s="37"/>
      <c r="F492" s="38"/>
      <c r="G492" s="37"/>
      <c r="H492" s="37"/>
      <c r="I492" s="37"/>
      <c r="J492" s="37"/>
      <c r="K492" s="35"/>
      <c r="L492" s="39"/>
      <c r="M492" s="45"/>
    </row>
    <row r="493" spans="1:13">
      <c r="A493" s="34"/>
      <c r="B493" s="34"/>
      <c r="C493" s="37"/>
      <c r="D493" s="37"/>
      <c r="E493" s="37"/>
      <c r="F493" s="38"/>
      <c r="G493" s="37"/>
      <c r="H493" s="37"/>
      <c r="I493" s="37"/>
      <c r="J493" s="37"/>
      <c r="K493" s="35"/>
      <c r="L493" s="39"/>
      <c r="M493" s="45"/>
    </row>
    <row r="494" spans="1:13">
      <c r="A494" s="34"/>
      <c r="B494" s="34"/>
      <c r="C494" s="37"/>
      <c r="D494" s="37"/>
      <c r="E494" s="37"/>
      <c r="F494" s="38"/>
      <c r="G494" s="37"/>
      <c r="H494" s="37"/>
      <c r="I494" s="37"/>
      <c r="J494" s="37"/>
      <c r="K494" s="35"/>
      <c r="L494" s="39"/>
      <c r="M494" s="45"/>
    </row>
    <row r="495" spans="1:13">
      <c r="A495" s="34"/>
      <c r="B495" s="34"/>
      <c r="C495" s="37"/>
      <c r="D495" s="37"/>
      <c r="E495" s="37"/>
      <c r="F495" s="38"/>
      <c r="G495" s="37"/>
      <c r="H495" s="37"/>
      <c r="I495" s="37"/>
      <c r="J495" s="37"/>
      <c r="K495" s="35"/>
      <c r="L495" s="39"/>
      <c r="M495" s="45"/>
    </row>
    <row r="496" spans="1:13">
      <c r="A496" s="34"/>
      <c r="B496" s="34"/>
      <c r="C496" s="37"/>
      <c r="D496" s="37"/>
      <c r="E496" s="37"/>
      <c r="F496" s="38"/>
      <c r="G496" s="37"/>
      <c r="H496" s="37"/>
      <c r="I496" s="37"/>
      <c r="J496" s="37"/>
      <c r="K496" s="35"/>
      <c r="L496" s="39"/>
      <c r="M496" s="45"/>
    </row>
    <row r="497" spans="1:13">
      <c r="A497" s="34"/>
      <c r="B497" s="34"/>
      <c r="C497" s="37"/>
      <c r="D497" s="37"/>
      <c r="E497" s="37"/>
      <c r="F497" s="38"/>
      <c r="G497" s="37"/>
      <c r="H497" s="37"/>
      <c r="I497" s="37"/>
      <c r="J497" s="37"/>
      <c r="K497" s="35"/>
      <c r="L497" s="39"/>
      <c r="M497" s="45"/>
    </row>
    <row r="498" spans="1:13">
      <c r="A498" s="34"/>
      <c r="B498" s="34"/>
      <c r="C498" s="37"/>
      <c r="D498" s="37"/>
      <c r="E498" s="37"/>
      <c r="F498" s="38"/>
      <c r="G498" s="37"/>
      <c r="H498" s="37"/>
      <c r="I498" s="37"/>
      <c r="J498" s="37"/>
      <c r="K498" s="35"/>
      <c r="L498" s="39"/>
      <c r="M498" s="45"/>
    </row>
    <row r="499" spans="1:13">
      <c r="A499" s="34"/>
      <c r="B499" s="34"/>
      <c r="C499" s="37"/>
      <c r="D499" s="37"/>
      <c r="E499" s="37"/>
      <c r="F499" s="38"/>
      <c r="G499" s="37"/>
      <c r="H499" s="37"/>
      <c r="I499" s="37"/>
      <c r="J499" s="37"/>
      <c r="K499" s="35"/>
      <c r="L499" s="39"/>
      <c r="M499" s="45"/>
    </row>
    <row r="500" spans="1:13">
      <c r="A500" s="34"/>
      <c r="B500" s="34"/>
      <c r="C500" s="37"/>
      <c r="D500" s="37"/>
      <c r="E500" s="37"/>
      <c r="F500" s="38"/>
      <c r="G500" s="37"/>
      <c r="H500" s="37"/>
      <c r="I500" s="37"/>
      <c r="J500" s="37"/>
      <c r="K500" s="35"/>
      <c r="L500" s="39"/>
      <c r="M500" s="45"/>
    </row>
    <row r="501" spans="1:13">
      <c r="A501" s="34"/>
      <c r="B501" s="34"/>
      <c r="C501" s="37"/>
      <c r="D501" s="37"/>
      <c r="E501" s="37"/>
      <c r="F501" s="38"/>
      <c r="G501" s="37"/>
      <c r="H501" s="37"/>
      <c r="I501" s="37"/>
      <c r="J501" s="37"/>
      <c r="K501" s="35"/>
      <c r="L501" s="39"/>
      <c r="M501" s="45"/>
    </row>
    <row r="502" spans="1:13">
      <c r="A502" s="34"/>
      <c r="B502" s="34"/>
      <c r="C502" s="37"/>
      <c r="D502" s="37"/>
      <c r="E502" s="37"/>
      <c r="F502" s="38"/>
      <c r="G502" s="37"/>
      <c r="H502" s="37"/>
      <c r="I502" s="37"/>
      <c r="J502" s="37"/>
      <c r="K502" s="35"/>
      <c r="L502" s="39"/>
      <c r="M502" s="45"/>
    </row>
    <row r="503" spans="1:13">
      <c r="A503" s="34"/>
      <c r="B503" s="34"/>
      <c r="C503" s="37"/>
      <c r="D503" s="37"/>
      <c r="E503" s="37"/>
      <c r="F503" s="38"/>
      <c r="G503" s="37"/>
      <c r="H503" s="37"/>
      <c r="I503" s="37"/>
      <c r="J503" s="37"/>
      <c r="K503" s="35"/>
      <c r="L503" s="39"/>
      <c r="M503" s="45"/>
    </row>
    <row r="504" spans="1:13">
      <c r="A504" s="34"/>
      <c r="B504" s="34"/>
      <c r="C504" s="37"/>
      <c r="D504" s="37"/>
      <c r="E504" s="37"/>
      <c r="F504" s="38"/>
      <c r="G504" s="37"/>
      <c r="H504" s="37"/>
      <c r="I504" s="37"/>
      <c r="J504" s="37"/>
      <c r="K504" s="35"/>
      <c r="L504" s="39"/>
      <c r="M504" s="45"/>
    </row>
    <row r="505" spans="1:13">
      <c r="A505" s="34"/>
      <c r="B505" s="34"/>
      <c r="C505" s="37"/>
      <c r="D505" s="37"/>
      <c r="E505" s="37"/>
      <c r="F505" s="38"/>
      <c r="G505" s="37"/>
      <c r="H505" s="37"/>
      <c r="I505" s="37"/>
      <c r="J505" s="37"/>
      <c r="K505" s="35"/>
      <c r="L505" s="39"/>
      <c r="M505" s="45"/>
    </row>
    <row r="506" spans="1:13">
      <c r="A506" s="34"/>
      <c r="B506" s="34"/>
      <c r="C506" s="37"/>
      <c r="D506" s="37"/>
      <c r="E506" s="37"/>
      <c r="F506" s="38"/>
      <c r="G506" s="37"/>
      <c r="H506" s="37"/>
      <c r="I506" s="37"/>
      <c r="J506" s="37"/>
      <c r="K506" s="35"/>
      <c r="L506" s="39"/>
      <c r="M506" s="45"/>
    </row>
    <row r="507" spans="1:13">
      <c r="A507" s="34"/>
      <c r="B507" s="34"/>
      <c r="C507" s="37"/>
      <c r="D507" s="37"/>
      <c r="E507" s="37"/>
      <c r="F507" s="38"/>
      <c r="G507" s="37"/>
      <c r="H507" s="37"/>
      <c r="I507" s="37"/>
      <c r="J507" s="37"/>
      <c r="K507" s="35"/>
      <c r="L507" s="39"/>
      <c r="M507" s="45"/>
    </row>
    <row r="508" spans="1:13">
      <c r="A508" s="34"/>
      <c r="B508" s="34"/>
      <c r="C508" s="37"/>
      <c r="D508" s="37"/>
      <c r="E508" s="37"/>
      <c r="F508" s="38"/>
      <c r="G508" s="37"/>
      <c r="H508" s="37"/>
      <c r="I508" s="37"/>
      <c r="J508" s="37"/>
      <c r="K508" s="35"/>
      <c r="L508" s="39"/>
      <c r="M508" s="45"/>
    </row>
    <row r="509" spans="1:13">
      <c r="A509" s="34"/>
      <c r="B509" s="34"/>
      <c r="C509" s="37"/>
      <c r="D509" s="37"/>
      <c r="E509" s="37"/>
      <c r="F509" s="38"/>
      <c r="G509" s="37"/>
      <c r="H509" s="37"/>
      <c r="I509" s="37"/>
      <c r="J509" s="37"/>
      <c r="K509" s="35"/>
      <c r="L509" s="39"/>
      <c r="M509" s="45"/>
    </row>
    <row r="510" spans="1:13">
      <c r="A510" s="34"/>
      <c r="B510" s="34"/>
      <c r="C510" s="37"/>
      <c r="D510" s="37"/>
      <c r="E510" s="37"/>
      <c r="F510" s="38"/>
      <c r="G510" s="37"/>
      <c r="H510" s="37"/>
      <c r="I510" s="37"/>
      <c r="J510" s="37"/>
      <c r="K510" s="35"/>
      <c r="L510" s="39"/>
      <c r="M510" s="45"/>
    </row>
    <row r="511" spans="1:13">
      <c r="A511" s="34"/>
      <c r="B511" s="34"/>
      <c r="C511" s="37"/>
      <c r="D511" s="37"/>
      <c r="E511" s="37"/>
      <c r="F511" s="38"/>
      <c r="G511" s="37"/>
      <c r="H511" s="37"/>
      <c r="I511" s="37"/>
      <c r="J511" s="37"/>
      <c r="K511" s="35"/>
      <c r="L511" s="39"/>
      <c r="M511" s="45"/>
    </row>
    <row r="512" spans="1:13">
      <c r="A512" s="34"/>
      <c r="B512" s="34"/>
      <c r="C512" s="37"/>
      <c r="D512" s="37"/>
      <c r="E512" s="37"/>
      <c r="F512" s="38"/>
      <c r="G512" s="37"/>
      <c r="H512" s="37"/>
      <c r="I512" s="37"/>
      <c r="J512" s="37"/>
      <c r="K512" s="35"/>
      <c r="L512" s="39"/>
      <c r="M512" s="45"/>
    </row>
    <row r="513" spans="1:13">
      <c r="A513" s="34"/>
      <c r="B513" s="34"/>
      <c r="C513" s="37"/>
      <c r="D513" s="37"/>
      <c r="E513" s="37"/>
      <c r="F513" s="38"/>
      <c r="G513" s="37"/>
      <c r="H513" s="37"/>
      <c r="I513" s="37"/>
      <c r="J513" s="37"/>
      <c r="K513" s="35"/>
      <c r="L513" s="39"/>
      <c r="M513" s="45"/>
    </row>
    <row r="514" spans="1:13">
      <c r="A514" s="34"/>
      <c r="B514" s="34"/>
      <c r="C514" s="37"/>
      <c r="D514" s="37"/>
      <c r="E514" s="37"/>
      <c r="F514" s="38"/>
      <c r="G514" s="37"/>
      <c r="H514" s="37"/>
      <c r="I514" s="37"/>
      <c r="J514" s="37"/>
      <c r="K514" s="35"/>
      <c r="L514" s="39"/>
      <c r="M514" s="45"/>
    </row>
    <row r="515" spans="1:13">
      <c r="A515" s="34"/>
      <c r="B515" s="34"/>
      <c r="C515" s="37"/>
      <c r="D515" s="37"/>
      <c r="E515" s="37"/>
      <c r="F515" s="38"/>
      <c r="G515" s="37"/>
      <c r="H515" s="37"/>
      <c r="I515" s="37"/>
      <c r="J515" s="37"/>
      <c r="K515" s="35"/>
      <c r="L515" s="39"/>
      <c r="M515" s="45"/>
    </row>
    <row r="516" spans="1:13">
      <c r="A516" s="34"/>
      <c r="B516" s="34"/>
      <c r="C516" s="37"/>
      <c r="D516" s="37"/>
      <c r="E516" s="37"/>
      <c r="F516" s="38"/>
      <c r="G516" s="37"/>
      <c r="H516" s="37"/>
      <c r="I516" s="37"/>
      <c r="J516" s="37"/>
      <c r="K516" s="35"/>
      <c r="L516" s="39"/>
      <c r="M516" s="45"/>
    </row>
    <row r="517" spans="1:13">
      <c r="A517" s="34"/>
      <c r="B517" s="34"/>
      <c r="C517" s="37"/>
      <c r="D517" s="37"/>
      <c r="E517" s="37"/>
      <c r="F517" s="38"/>
      <c r="G517" s="37"/>
      <c r="H517" s="37"/>
      <c r="I517" s="37"/>
      <c r="J517" s="37"/>
      <c r="K517" s="35"/>
      <c r="L517" s="39"/>
      <c r="M517" s="45"/>
    </row>
    <row r="518" spans="1:13">
      <c r="A518" s="34"/>
      <c r="B518" s="34"/>
      <c r="C518" s="37"/>
      <c r="D518" s="37"/>
      <c r="E518" s="37"/>
      <c r="F518" s="38"/>
      <c r="G518" s="37"/>
      <c r="H518" s="37"/>
      <c r="I518" s="37"/>
      <c r="J518" s="37"/>
      <c r="K518" s="35"/>
      <c r="L518" s="39"/>
      <c r="M518" s="45"/>
    </row>
    <row r="519" spans="1:13">
      <c r="A519" s="34"/>
      <c r="B519" s="34"/>
      <c r="C519" s="37"/>
      <c r="D519" s="37"/>
      <c r="E519" s="37"/>
      <c r="F519" s="38"/>
      <c r="G519" s="37"/>
      <c r="H519" s="37"/>
      <c r="I519" s="37"/>
      <c r="J519" s="37"/>
      <c r="K519" s="35"/>
      <c r="L519" s="39"/>
      <c r="M519" s="45"/>
    </row>
    <row r="520" spans="1:13">
      <c r="A520" s="34"/>
      <c r="B520" s="34"/>
      <c r="C520" s="37"/>
      <c r="D520" s="37"/>
      <c r="E520" s="37"/>
      <c r="F520" s="38"/>
      <c r="G520" s="37"/>
      <c r="H520" s="37"/>
      <c r="I520" s="37"/>
      <c r="J520" s="37"/>
      <c r="K520" s="35"/>
      <c r="L520" s="39"/>
      <c r="M520" s="45"/>
    </row>
    <row r="521" spans="1:13">
      <c r="A521" s="34"/>
      <c r="B521" s="34"/>
      <c r="C521" s="37"/>
      <c r="D521" s="37"/>
      <c r="E521" s="37"/>
      <c r="F521" s="38"/>
      <c r="G521" s="37"/>
      <c r="H521" s="37"/>
      <c r="I521" s="37"/>
      <c r="J521" s="37"/>
      <c r="K521" s="35"/>
      <c r="L521" s="39"/>
      <c r="M521" s="45"/>
    </row>
    <row r="522" spans="1:13">
      <c r="A522" s="34"/>
      <c r="B522" s="34"/>
      <c r="C522" s="37"/>
      <c r="D522" s="37"/>
      <c r="E522" s="37"/>
      <c r="F522" s="38"/>
      <c r="G522" s="37"/>
      <c r="H522" s="37"/>
      <c r="I522" s="37"/>
      <c r="J522" s="37"/>
      <c r="K522" s="35"/>
      <c r="L522" s="39"/>
      <c r="M522" s="45"/>
    </row>
    <row r="523" spans="1:13">
      <c r="A523" s="34"/>
      <c r="B523" s="34"/>
      <c r="C523" s="37"/>
      <c r="D523" s="37"/>
      <c r="E523" s="37"/>
      <c r="F523" s="38"/>
      <c r="G523" s="37"/>
      <c r="H523" s="37"/>
      <c r="I523" s="37"/>
      <c r="J523" s="37"/>
      <c r="K523" s="35"/>
      <c r="L523" s="39"/>
      <c r="M523" s="45"/>
    </row>
    <row r="524" spans="1:13">
      <c r="A524" s="34"/>
      <c r="B524" s="34"/>
      <c r="C524" s="37"/>
      <c r="D524" s="37"/>
      <c r="E524" s="37"/>
      <c r="F524" s="38"/>
      <c r="G524" s="37"/>
      <c r="H524" s="37"/>
      <c r="I524" s="37"/>
      <c r="J524" s="37"/>
      <c r="K524" s="35"/>
      <c r="L524" s="39"/>
      <c r="M524" s="45"/>
    </row>
    <row r="525" spans="1:13">
      <c r="A525" s="34"/>
      <c r="B525" s="34"/>
      <c r="C525" s="37"/>
      <c r="D525" s="37"/>
      <c r="E525" s="37"/>
      <c r="F525" s="38"/>
      <c r="G525" s="37"/>
      <c r="H525" s="37"/>
      <c r="I525" s="37"/>
      <c r="J525" s="37"/>
      <c r="K525" s="35"/>
      <c r="L525" s="39"/>
      <c r="M525" s="45"/>
    </row>
    <row r="526" spans="1:13">
      <c r="A526" s="34"/>
      <c r="B526" s="34"/>
      <c r="C526" s="37"/>
      <c r="D526" s="37"/>
      <c r="E526" s="37"/>
      <c r="F526" s="38"/>
      <c r="G526" s="37"/>
      <c r="H526" s="37"/>
      <c r="I526" s="37"/>
      <c r="J526" s="37"/>
      <c r="K526" s="35"/>
      <c r="L526" s="39"/>
      <c r="M526" s="45"/>
    </row>
    <row r="527" spans="1:13">
      <c r="A527" s="34"/>
      <c r="B527" s="34"/>
      <c r="C527" s="37"/>
      <c r="D527" s="37"/>
      <c r="E527" s="37"/>
      <c r="F527" s="38"/>
      <c r="G527" s="37"/>
      <c r="H527" s="37"/>
      <c r="I527" s="37"/>
      <c r="J527" s="37"/>
      <c r="K527" s="35"/>
      <c r="L527" s="39"/>
      <c r="M527" s="45"/>
    </row>
    <row r="528" spans="1:13">
      <c r="A528" s="34"/>
      <c r="B528" s="34"/>
      <c r="C528" s="37"/>
      <c r="D528" s="37"/>
      <c r="E528" s="37"/>
      <c r="F528" s="38"/>
      <c r="G528" s="37"/>
      <c r="H528" s="37"/>
      <c r="I528" s="37"/>
      <c r="J528" s="37"/>
      <c r="K528" s="35"/>
      <c r="L528" s="39"/>
      <c r="M528" s="45"/>
    </row>
    <row r="529" spans="1:13">
      <c r="A529" s="34"/>
      <c r="B529" s="34"/>
      <c r="C529" s="37"/>
      <c r="D529" s="37"/>
      <c r="E529" s="37"/>
      <c r="F529" s="38"/>
      <c r="G529" s="37"/>
      <c r="H529" s="37"/>
      <c r="I529" s="37"/>
      <c r="J529" s="37"/>
      <c r="K529" s="35"/>
      <c r="L529" s="39"/>
      <c r="M529" s="45"/>
    </row>
    <row r="530" spans="1:13">
      <c r="A530" s="34"/>
      <c r="B530" s="34"/>
      <c r="C530" s="37"/>
      <c r="D530" s="37"/>
      <c r="E530" s="37"/>
      <c r="F530" s="38"/>
      <c r="G530" s="37"/>
      <c r="H530" s="37"/>
      <c r="I530" s="37"/>
      <c r="J530" s="37"/>
      <c r="K530" s="35"/>
      <c r="L530" s="39"/>
      <c r="M530" s="45"/>
    </row>
    <row r="531" spans="1:13">
      <c r="A531" s="34"/>
      <c r="B531" s="34"/>
      <c r="C531" s="37"/>
      <c r="D531" s="37"/>
      <c r="E531" s="37"/>
      <c r="F531" s="38"/>
      <c r="G531" s="37"/>
      <c r="H531" s="37"/>
      <c r="I531" s="37"/>
      <c r="J531" s="37"/>
      <c r="K531" s="35"/>
      <c r="L531" s="39"/>
      <c r="M531" s="45"/>
    </row>
    <row r="532" spans="1:13">
      <c r="A532" s="34"/>
      <c r="B532" s="34"/>
      <c r="C532" s="37"/>
      <c r="D532" s="37"/>
      <c r="E532" s="37"/>
      <c r="F532" s="38"/>
      <c r="G532" s="37"/>
      <c r="H532" s="37"/>
      <c r="I532" s="37"/>
      <c r="J532" s="37"/>
      <c r="K532" s="35"/>
      <c r="L532" s="39"/>
      <c r="M532" s="45"/>
    </row>
    <row r="533" spans="1:13">
      <c r="A533" s="34"/>
      <c r="B533" s="34"/>
      <c r="C533" s="37"/>
      <c r="D533" s="37"/>
      <c r="E533" s="37"/>
      <c r="F533" s="38"/>
      <c r="G533" s="37"/>
      <c r="H533" s="37"/>
      <c r="I533" s="37"/>
      <c r="J533" s="37"/>
      <c r="K533" s="35"/>
      <c r="L533" s="39"/>
      <c r="M533" s="45"/>
    </row>
    <row r="534" spans="1:13">
      <c r="A534" s="34"/>
      <c r="B534" s="34"/>
      <c r="C534" s="37"/>
      <c r="D534" s="37"/>
      <c r="E534" s="37"/>
      <c r="F534" s="38"/>
      <c r="G534" s="37"/>
      <c r="H534" s="37"/>
      <c r="I534" s="37"/>
      <c r="J534" s="37"/>
      <c r="K534" s="35"/>
      <c r="L534" s="39"/>
      <c r="M534" s="45"/>
    </row>
    <row r="535" spans="1:13">
      <c r="A535" s="34"/>
      <c r="B535" s="34"/>
      <c r="C535" s="37"/>
      <c r="D535" s="37"/>
      <c r="E535" s="37"/>
      <c r="F535" s="38"/>
      <c r="G535" s="37"/>
      <c r="H535" s="37"/>
      <c r="I535" s="37"/>
      <c r="J535" s="37"/>
      <c r="K535" s="35"/>
      <c r="L535" s="39"/>
      <c r="M535" s="45"/>
    </row>
    <row r="536" spans="1:13">
      <c r="A536" s="34"/>
      <c r="B536" s="34"/>
      <c r="C536" s="37"/>
      <c r="D536" s="37"/>
      <c r="E536" s="37"/>
      <c r="F536" s="38"/>
      <c r="G536" s="37"/>
      <c r="H536" s="37"/>
      <c r="I536" s="37"/>
      <c r="J536" s="37"/>
      <c r="K536" s="35"/>
      <c r="L536" s="39"/>
      <c r="M536" s="45"/>
    </row>
    <row r="537" spans="1:13">
      <c r="A537" s="34"/>
      <c r="B537" s="34"/>
      <c r="C537" s="37"/>
      <c r="D537" s="37"/>
      <c r="E537" s="37"/>
      <c r="F537" s="38"/>
      <c r="G537" s="37"/>
      <c r="H537" s="37"/>
      <c r="I537" s="37"/>
      <c r="J537" s="37"/>
      <c r="K537" s="35"/>
      <c r="L537" s="39"/>
      <c r="M537" s="45"/>
    </row>
    <row r="538" spans="1:13">
      <c r="A538" s="34"/>
      <c r="B538" s="34"/>
      <c r="C538" s="37"/>
      <c r="D538" s="37"/>
      <c r="E538" s="37"/>
      <c r="F538" s="38"/>
      <c r="G538" s="37"/>
      <c r="H538" s="37"/>
      <c r="I538" s="37"/>
      <c r="J538" s="37"/>
      <c r="K538" s="35"/>
      <c r="L538" s="39"/>
      <c r="M538" s="45"/>
    </row>
    <row r="539" spans="1:13">
      <c r="A539" s="34"/>
      <c r="B539" s="34"/>
      <c r="C539" s="37"/>
      <c r="D539" s="37"/>
      <c r="E539" s="37"/>
      <c r="F539" s="38"/>
      <c r="G539" s="37"/>
      <c r="H539" s="37"/>
      <c r="I539" s="37"/>
      <c r="J539" s="37"/>
      <c r="K539" s="35"/>
      <c r="L539" s="39"/>
      <c r="M539" s="45"/>
    </row>
    <row r="540" spans="1:13">
      <c r="A540" s="34"/>
      <c r="B540" s="34"/>
      <c r="C540" s="37"/>
      <c r="D540" s="37"/>
      <c r="E540" s="37"/>
      <c r="F540" s="38"/>
      <c r="G540" s="37"/>
      <c r="H540" s="37"/>
      <c r="I540" s="37"/>
      <c r="J540" s="37"/>
      <c r="K540" s="35"/>
      <c r="L540" s="39"/>
      <c r="M540" s="45"/>
    </row>
    <row r="541" spans="1:13">
      <c r="A541" s="34"/>
      <c r="B541" s="34"/>
      <c r="C541" s="37"/>
      <c r="D541" s="37"/>
      <c r="E541" s="37"/>
      <c r="F541" s="38"/>
      <c r="G541" s="37"/>
      <c r="H541" s="37"/>
      <c r="I541" s="37"/>
      <c r="J541" s="37"/>
      <c r="K541" s="35"/>
      <c r="L541" s="39"/>
      <c r="M541" s="45"/>
    </row>
    <row r="542" spans="1:13">
      <c r="A542" s="34"/>
      <c r="B542" s="34"/>
      <c r="C542" s="37"/>
      <c r="D542" s="37"/>
      <c r="E542" s="37"/>
      <c r="F542" s="38"/>
      <c r="G542" s="37"/>
      <c r="H542" s="37"/>
      <c r="I542" s="37"/>
      <c r="J542" s="37"/>
      <c r="K542" s="35"/>
      <c r="L542" s="39"/>
      <c r="M542" s="45"/>
    </row>
    <row r="543" spans="1:13">
      <c r="A543" s="34"/>
      <c r="B543" s="34"/>
      <c r="C543" s="37"/>
      <c r="D543" s="37"/>
      <c r="E543" s="37"/>
      <c r="F543" s="38"/>
      <c r="G543" s="37"/>
      <c r="H543" s="37"/>
      <c r="I543" s="37"/>
      <c r="J543" s="37"/>
      <c r="K543" s="35"/>
      <c r="L543" s="39"/>
      <c r="M543" s="45"/>
    </row>
    <row r="544" spans="1:13">
      <c r="A544" s="34"/>
      <c r="B544" s="34"/>
      <c r="C544" s="37"/>
      <c r="D544" s="37"/>
      <c r="E544" s="37"/>
      <c r="F544" s="38"/>
      <c r="G544" s="37"/>
      <c r="H544" s="37"/>
      <c r="I544" s="37"/>
      <c r="J544" s="37"/>
      <c r="K544" s="35"/>
      <c r="L544" s="39"/>
      <c r="M544" s="45"/>
    </row>
    <row r="545" spans="1:13">
      <c r="A545" s="34"/>
      <c r="B545" s="34"/>
      <c r="C545" s="37"/>
      <c r="D545" s="37"/>
      <c r="E545" s="37"/>
      <c r="F545" s="38"/>
      <c r="G545" s="37"/>
      <c r="H545" s="37"/>
      <c r="I545" s="37"/>
      <c r="J545" s="37"/>
      <c r="K545" s="35"/>
      <c r="L545" s="39"/>
      <c r="M545" s="45"/>
    </row>
    <row r="546" spans="1:13">
      <c r="A546" s="34"/>
      <c r="B546" s="34"/>
      <c r="C546" s="37"/>
      <c r="D546" s="37"/>
      <c r="E546" s="37"/>
      <c r="F546" s="38"/>
      <c r="G546" s="37"/>
      <c r="H546" s="37"/>
      <c r="I546" s="37"/>
      <c r="J546" s="37"/>
      <c r="K546" s="35"/>
      <c r="L546" s="39"/>
      <c r="M546" s="45"/>
    </row>
    <row r="547" spans="1:13">
      <c r="A547" s="34"/>
      <c r="B547" s="34"/>
      <c r="C547" s="37"/>
      <c r="D547" s="37"/>
      <c r="E547" s="37"/>
      <c r="F547" s="38"/>
      <c r="G547" s="37"/>
      <c r="H547" s="37"/>
      <c r="I547" s="37"/>
      <c r="J547" s="37"/>
      <c r="K547" s="35"/>
      <c r="L547" s="39"/>
      <c r="M547" s="45"/>
    </row>
    <row r="548" spans="1:13">
      <c r="A548" s="34"/>
      <c r="B548" s="34"/>
      <c r="C548" s="37"/>
      <c r="D548" s="37"/>
      <c r="E548" s="37"/>
      <c r="F548" s="38"/>
      <c r="G548" s="37"/>
      <c r="H548" s="37"/>
      <c r="I548" s="37"/>
      <c r="J548" s="37"/>
      <c r="K548" s="35"/>
      <c r="L548" s="39"/>
      <c r="M548" s="45"/>
    </row>
    <row r="549" spans="1:13">
      <c r="A549" s="34"/>
      <c r="B549" s="34"/>
      <c r="C549" s="37"/>
      <c r="D549" s="37"/>
      <c r="E549" s="37"/>
      <c r="F549" s="38"/>
      <c r="G549" s="37"/>
      <c r="H549" s="37"/>
      <c r="I549" s="37"/>
      <c r="J549" s="37"/>
      <c r="K549" s="35"/>
      <c r="L549" s="39"/>
      <c r="M549" s="45"/>
    </row>
    <row r="550" spans="1:13">
      <c r="A550" s="34"/>
      <c r="B550" s="34"/>
      <c r="C550" s="37"/>
      <c r="D550" s="37"/>
      <c r="E550" s="37"/>
      <c r="F550" s="38"/>
      <c r="G550" s="37"/>
      <c r="H550" s="37"/>
      <c r="I550" s="37"/>
      <c r="J550" s="37"/>
      <c r="K550" s="35"/>
      <c r="L550" s="39"/>
      <c r="M550" s="45"/>
    </row>
    <row r="551" spans="1:13">
      <c r="A551" s="34"/>
      <c r="B551" s="34"/>
      <c r="C551" s="37"/>
      <c r="D551" s="37"/>
      <c r="E551" s="37"/>
      <c r="F551" s="38"/>
      <c r="G551" s="37"/>
      <c r="H551" s="37"/>
      <c r="I551" s="37"/>
      <c r="J551" s="37"/>
      <c r="K551" s="35"/>
      <c r="L551" s="39"/>
      <c r="M551" s="45"/>
    </row>
    <row r="552" spans="1:13">
      <c r="A552" s="34"/>
      <c r="B552" s="34"/>
      <c r="C552" s="37"/>
      <c r="D552" s="37"/>
      <c r="E552" s="37"/>
      <c r="F552" s="38"/>
      <c r="G552" s="37"/>
      <c r="H552" s="37"/>
      <c r="I552" s="37"/>
      <c r="J552" s="37"/>
      <c r="K552" s="35"/>
      <c r="L552" s="39"/>
      <c r="M552" s="45"/>
    </row>
    <row r="553" spans="1:13">
      <c r="A553" s="34"/>
      <c r="B553" s="34"/>
      <c r="C553" s="37"/>
      <c r="D553" s="37"/>
      <c r="E553" s="37"/>
      <c r="F553" s="38"/>
      <c r="G553" s="37"/>
      <c r="H553" s="37"/>
      <c r="I553" s="37"/>
      <c r="J553" s="37"/>
      <c r="K553" s="35"/>
      <c r="L553" s="39"/>
      <c r="M553" s="45"/>
    </row>
    <row r="554" spans="1:13">
      <c r="A554" s="34"/>
      <c r="B554" s="34"/>
      <c r="C554" s="37"/>
      <c r="D554" s="37"/>
      <c r="E554" s="37"/>
      <c r="F554" s="38"/>
      <c r="G554" s="37"/>
      <c r="H554" s="37"/>
      <c r="I554" s="37"/>
      <c r="J554" s="37"/>
      <c r="K554" s="35"/>
      <c r="L554" s="39"/>
      <c r="M554" s="45"/>
    </row>
    <row r="555" spans="1:13">
      <c r="A555" s="34"/>
      <c r="B555" s="34"/>
      <c r="C555" s="37"/>
      <c r="D555" s="37"/>
      <c r="E555" s="37"/>
      <c r="F555" s="38"/>
      <c r="G555" s="37"/>
      <c r="H555" s="37"/>
      <c r="I555" s="37"/>
      <c r="J555" s="37"/>
      <c r="K555" s="35"/>
      <c r="L555" s="39"/>
      <c r="M555" s="45"/>
    </row>
    <row r="556" spans="1:13">
      <c r="A556" s="34"/>
      <c r="B556" s="34"/>
      <c r="C556" s="37"/>
      <c r="D556" s="37"/>
      <c r="E556" s="37"/>
      <c r="F556" s="38"/>
      <c r="G556" s="37"/>
      <c r="H556" s="37"/>
      <c r="I556" s="37"/>
      <c r="J556" s="37"/>
      <c r="K556" s="35"/>
      <c r="L556" s="39"/>
      <c r="M556" s="45"/>
    </row>
    <row r="557" spans="1:13">
      <c r="A557" s="34"/>
      <c r="B557" s="34"/>
      <c r="C557" s="37"/>
      <c r="D557" s="37"/>
      <c r="E557" s="37"/>
      <c r="F557" s="38"/>
      <c r="G557" s="37"/>
      <c r="H557" s="37"/>
      <c r="I557" s="37"/>
      <c r="J557" s="37"/>
      <c r="K557" s="35"/>
      <c r="L557" s="39"/>
      <c r="M557" s="45"/>
    </row>
    <row r="558" spans="1:13">
      <c r="A558" s="34"/>
      <c r="B558" s="34"/>
      <c r="C558" s="37"/>
      <c r="D558" s="37"/>
      <c r="E558" s="37"/>
      <c r="F558" s="38"/>
      <c r="G558" s="37"/>
      <c r="H558" s="37"/>
      <c r="I558" s="37"/>
      <c r="J558" s="37"/>
      <c r="K558" s="35"/>
      <c r="L558" s="39"/>
      <c r="M558" s="45"/>
    </row>
    <row r="559" spans="1:13">
      <c r="A559" s="34"/>
      <c r="B559" s="34"/>
      <c r="C559" s="37"/>
      <c r="D559" s="37"/>
      <c r="E559" s="37"/>
      <c r="F559" s="38"/>
      <c r="G559" s="37"/>
      <c r="H559" s="37"/>
      <c r="I559" s="37"/>
      <c r="J559" s="37"/>
      <c r="K559" s="35"/>
      <c r="L559" s="39"/>
      <c r="M559" s="45"/>
    </row>
    <row r="560" spans="1:13">
      <c r="A560" s="34"/>
      <c r="B560" s="34"/>
      <c r="C560" s="37"/>
      <c r="D560" s="37"/>
      <c r="E560" s="37"/>
      <c r="F560" s="38"/>
      <c r="G560" s="37"/>
      <c r="H560" s="37"/>
      <c r="I560" s="37"/>
      <c r="J560" s="37"/>
      <c r="K560" s="35"/>
      <c r="L560" s="39"/>
      <c r="M560" s="45"/>
    </row>
    <row r="561" spans="1:13">
      <c r="A561" s="34"/>
      <c r="B561" s="34"/>
      <c r="C561" s="37"/>
      <c r="D561" s="37"/>
      <c r="E561" s="37"/>
      <c r="F561" s="38"/>
      <c r="G561" s="37"/>
      <c r="H561" s="37"/>
      <c r="I561" s="37"/>
      <c r="J561" s="37"/>
      <c r="K561" s="35"/>
      <c r="L561" s="39"/>
      <c r="M561" s="45"/>
    </row>
    <row r="562" spans="1:13">
      <c r="A562" s="34"/>
      <c r="B562" s="34"/>
      <c r="C562" s="37"/>
      <c r="D562" s="37"/>
      <c r="E562" s="37"/>
      <c r="F562" s="38"/>
      <c r="G562" s="37"/>
      <c r="H562" s="37"/>
      <c r="I562" s="37"/>
      <c r="J562" s="37"/>
      <c r="K562" s="35"/>
      <c r="L562" s="39"/>
      <c r="M562" s="45"/>
    </row>
    <row r="563" spans="1:13">
      <c r="A563" s="34"/>
      <c r="B563" s="34"/>
      <c r="C563" s="37"/>
      <c r="D563" s="37"/>
      <c r="E563" s="37"/>
      <c r="F563" s="38"/>
      <c r="G563" s="37"/>
      <c r="H563" s="37"/>
      <c r="I563" s="37"/>
      <c r="J563" s="37"/>
      <c r="K563" s="35"/>
      <c r="L563" s="39"/>
      <c r="M563" s="45"/>
    </row>
    <row r="564" spans="1:13">
      <c r="A564" s="34"/>
      <c r="B564" s="34"/>
      <c r="C564" s="37"/>
      <c r="D564" s="37"/>
      <c r="E564" s="37"/>
      <c r="F564" s="38"/>
      <c r="G564" s="37"/>
      <c r="H564" s="37"/>
      <c r="I564" s="37"/>
      <c r="J564" s="37"/>
      <c r="K564" s="35"/>
      <c r="L564" s="39"/>
      <c r="M564" s="45"/>
    </row>
    <row r="565" spans="1:13">
      <c r="A565" s="34"/>
      <c r="B565" s="34"/>
      <c r="C565" s="37"/>
      <c r="D565" s="37"/>
      <c r="E565" s="37"/>
      <c r="F565" s="38"/>
      <c r="G565" s="37"/>
      <c r="H565" s="37"/>
      <c r="I565" s="37"/>
      <c r="J565" s="37"/>
      <c r="K565" s="35"/>
      <c r="L565" s="39"/>
      <c r="M565" s="45"/>
    </row>
    <row r="566" spans="1:13">
      <c r="A566" s="34"/>
      <c r="B566" s="34"/>
      <c r="C566" s="37"/>
      <c r="D566" s="37"/>
      <c r="E566" s="37"/>
      <c r="F566" s="38"/>
      <c r="G566" s="37"/>
      <c r="H566" s="37"/>
      <c r="I566" s="37"/>
      <c r="J566" s="37"/>
      <c r="K566" s="35"/>
      <c r="L566" s="39"/>
      <c r="M566" s="45"/>
    </row>
    <row r="567" spans="1:13">
      <c r="A567" s="34"/>
      <c r="B567" s="34"/>
      <c r="C567" s="37"/>
      <c r="D567" s="37"/>
      <c r="E567" s="37"/>
      <c r="F567" s="38"/>
      <c r="G567" s="37"/>
      <c r="H567" s="37"/>
      <c r="I567" s="37"/>
      <c r="J567" s="37"/>
      <c r="K567" s="35"/>
      <c r="L567" s="39"/>
      <c r="M567" s="45"/>
    </row>
    <row r="568" spans="1:13">
      <c r="A568" s="34"/>
      <c r="B568" s="34"/>
      <c r="C568" s="37"/>
      <c r="D568" s="37"/>
      <c r="E568" s="37"/>
      <c r="F568" s="38"/>
      <c r="G568" s="37"/>
      <c r="H568" s="37"/>
      <c r="I568" s="37"/>
      <c r="J568" s="37"/>
      <c r="K568" s="35"/>
      <c r="L568" s="39"/>
      <c r="M568" s="45"/>
    </row>
    <row r="569" spans="1:13">
      <c r="A569" s="34"/>
      <c r="B569" s="34"/>
      <c r="C569" s="37"/>
      <c r="D569" s="37"/>
      <c r="E569" s="37"/>
      <c r="F569" s="38"/>
      <c r="G569" s="37"/>
      <c r="H569" s="37"/>
      <c r="I569" s="37"/>
      <c r="J569" s="37"/>
      <c r="K569" s="35"/>
      <c r="L569" s="39"/>
      <c r="M569" s="45"/>
    </row>
    <row r="570" spans="1:13">
      <c r="A570" s="34"/>
      <c r="B570" s="34"/>
      <c r="C570" s="37"/>
      <c r="D570" s="37"/>
      <c r="E570" s="37"/>
      <c r="F570" s="38"/>
      <c r="G570" s="37"/>
      <c r="H570" s="37"/>
      <c r="I570" s="37"/>
      <c r="J570" s="37"/>
      <c r="K570" s="35"/>
      <c r="L570" s="39"/>
      <c r="M570" s="45"/>
    </row>
    <row r="571" spans="1:13">
      <c r="A571" s="34"/>
      <c r="B571" s="34"/>
      <c r="C571" s="37"/>
      <c r="D571" s="37"/>
      <c r="E571" s="37"/>
      <c r="F571" s="38"/>
      <c r="G571" s="37"/>
      <c r="H571" s="37"/>
      <c r="I571" s="37"/>
      <c r="J571" s="37"/>
      <c r="K571" s="35"/>
      <c r="L571" s="39"/>
      <c r="M571" s="45"/>
    </row>
    <row r="572" spans="1:13">
      <c r="A572" s="34"/>
      <c r="B572" s="34"/>
      <c r="C572" s="37"/>
      <c r="D572" s="37"/>
      <c r="E572" s="37"/>
      <c r="F572" s="38"/>
      <c r="G572" s="37"/>
      <c r="H572" s="37"/>
      <c r="I572" s="37"/>
      <c r="J572" s="37"/>
      <c r="K572" s="35"/>
      <c r="L572" s="39"/>
      <c r="M572" s="45"/>
    </row>
    <row r="573" spans="1:13">
      <c r="A573" s="34"/>
      <c r="B573" s="34"/>
      <c r="C573" s="37"/>
      <c r="D573" s="37"/>
      <c r="E573" s="37"/>
      <c r="F573" s="38"/>
      <c r="G573" s="37"/>
      <c r="H573" s="37"/>
      <c r="I573" s="37"/>
      <c r="J573" s="37"/>
      <c r="K573" s="35"/>
      <c r="L573" s="39"/>
      <c r="M573" s="45"/>
    </row>
    <row r="574" spans="1:13">
      <c r="A574" s="34"/>
      <c r="B574" s="34"/>
      <c r="C574" s="37"/>
      <c r="D574" s="37"/>
      <c r="E574" s="37"/>
      <c r="F574" s="38"/>
      <c r="G574" s="37"/>
      <c r="H574" s="37"/>
      <c r="I574" s="37"/>
      <c r="J574" s="37"/>
      <c r="K574" s="35"/>
      <c r="L574" s="39"/>
      <c r="M574" s="45"/>
    </row>
    <row r="575" spans="1:13">
      <c r="A575" s="34"/>
      <c r="B575" s="34"/>
      <c r="C575" s="37"/>
      <c r="D575" s="37"/>
      <c r="E575" s="37"/>
      <c r="F575" s="38"/>
      <c r="G575" s="37"/>
      <c r="H575" s="37"/>
      <c r="I575" s="37"/>
      <c r="J575" s="37"/>
      <c r="K575" s="35"/>
      <c r="L575" s="39"/>
      <c r="M575" s="45"/>
    </row>
    <row r="576" spans="1:13">
      <c r="A576" s="34"/>
      <c r="B576" s="34"/>
      <c r="C576" s="37"/>
      <c r="D576" s="37"/>
      <c r="E576" s="37"/>
      <c r="F576" s="38"/>
      <c r="G576" s="37"/>
      <c r="H576" s="37"/>
      <c r="I576" s="37"/>
      <c r="J576" s="37"/>
      <c r="K576" s="35"/>
      <c r="L576" s="39"/>
      <c r="M576" s="45"/>
    </row>
    <row r="577" spans="1:13">
      <c r="A577" s="34"/>
      <c r="B577" s="34"/>
      <c r="C577" s="37"/>
      <c r="D577" s="37"/>
      <c r="E577" s="37"/>
      <c r="F577" s="38"/>
      <c r="G577" s="37"/>
      <c r="H577" s="37"/>
      <c r="I577" s="37"/>
      <c r="J577" s="37"/>
      <c r="K577" s="35"/>
      <c r="L577" s="39"/>
      <c r="M577" s="45"/>
    </row>
    <row r="578" spans="1:13">
      <c r="A578" s="34"/>
      <c r="B578" s="34"/>
      <c r="C578" s="37"/>
      <c r="D578" s="37"/>
      <c r="E578" s="37"/>
      <c r="F578" s="38"/>
      <c r="G578" s="37"/>
      <c r="H578" s="37"/>
      <c r="I578" s="37"/>
      <c r="J578" s="37"/>
      <c r="K578" s="35"/>
      <c r="L578" s="39"/>
      <c r="M578" s="45"/>
    </row>
    <row r="579" spans="1:13">
      <c r="A579" s="34"/>
      <c r="B579" s="34"/>
      <c r="C579" s="37"/>
      <c r="D579" s="37"/>
      <c r="E579" s="37"/>
      <c r="F579" s="38"/>
      <c r="G579" s="37"/>
      <c r="H579" s="37"/>
      <c r="I579" s="37"/>
      <c r="J579" s="37"/>
      <c r="K579" s="35"/>
      <c r="L579" s="39"/>
      <c r="M579" s="45"/>
    </row>
    <row r="580" spans="1:13">
      <c r="A580" s="34"/>
      <c r="B580" s="34"/>
      <c r="C580" s="37"/>
      <c r="D580" s="37"/>
      <c r="E580" s="37"/>
      <c r="F580" s="38"/>
      <c r="G580" s="37"/>
      <c r="H580" s="37"/>
      <c r="I580" s="37"/>
      <c r="J580" s="37"/>
      <c r="K580" s="35"/>
      <c r="L580" s="39"/>
      <c r="M580" s="45"/>
    </row>
    <row r="581" spans="1:13">
      <c r="A581" s="34"/>
      <c r="B581" s="34"/>
      <c r="C581" s="37"/>
      <c r="D581" s="37"/>
      <c r="E581" s="37"/>
      <c r="F581" s="38"/>
      <c r="G581" s="37"/>
      <c r="H581" s="37"/>
      <c r="I581" s="37"/>
      <c r="J581" s="37"/>
      <c r="K581" s="35"/>
      <c r="L581" s="39"/>
      <c r="M581" s="45"/>
    </row>
    <row r="582" spans="1:13">
      <c r="A582" s="34"/>
      <c r="B582" s="34"/>
      <c r="C582" s="37"/>
      <c r="D582" s="37"/>
      <c r="E582" s="37"/>
      <c r="F582" s="38"/>
      <c r="G582" s="37"/>
      <c r="H582" s="37"/>
      <c r="I582" s="37"/>
      <c r="J582" s="37"/>
      <c r="K582" s="35"/>
      <c r="L582" s="39"/>
      <c r="M582" s="45"/>
    </row>
    <row r="583" spans="1:13">
      <c r="A583" s="34"/>
      <c r="B583" s="34"/>
      <c r="C583" s="37"/>
      <c r="D583" s="37"/>
      <c r="E583" s="37"/>
      <c r="F583" s="38"/>
      <c r="G583" s="37"/>
      <c r="H583" s="37"/>
      <c r="I583" s="37"/>
      <c r="J583" s="37"/>
      <c r="K583" s="35"/>
      <c r="L583" s="39"/>
      <c r="M583" s="45"/>
    </row>
    <row r="584" spans="1:13">
      <c r="A584" s="34"/>
      <c r="B584" s="34"/>
      <c r="C584" s="37"/>
      <c r="D584" s="37"/>
      <c r="E584" s="37"/>
      <c r="F584" s="38"/>
      <c r="G584" s="37"/>
      <c r="H584" s="37"/>
      <c r="I584" s="37"/>
      <c r="J584" s="37"/>
      <c r="K584" s="35"/>
      <c r="L584" s="39"/>
      <c r="M584" s="45"/>
    </row>
    <row r="585" spans="1:13">
      <c r="A585" s="34"/>
      <c r="B585" s="34"/>
      <c r="C585" s="37"/>
      <c r="D585" s="37"/>
      <c r="E585" s="37"/>
      <c r="F585" s="38"/>
      <c r="G585" s="37"/>
      <c r="H585" s="37"/>
      <c r="I585" s="37"/>
      <c r="J585" s="37"/>
      <c r="K585" s="35"/>
      <c r="L585" s="39"/>
      <c r="M585" s="45"/>
    </row>
    <row r="586" spans="1:13">
      <c r="A586" s="34"/>
      <c r="B586" s="34"/>
      <c r="C586" s="37"/>
      <c r="D586" s="37"/>
      <c r="E586" s="37"/>
      <c r="F586" s="38"/>
      <c r="G586" s="37"/>
      <c r="H586" s="37"/>
      <c r="I586" s="37"/>
      <c r="J586" s="37"/>
      <c r="K586" s="35"/>
      <c r="L586" s="39"/>
      <c r="M586" s="45"/>
    </row>
    <row r="587" spans="1:13">
      <c r="A587" s="34"/>
      <c r="B587" s="34"/>
      <c r="C587" s="37"/>
      <c r="D587" s="37"/>
      <c r="E587" s="37"/>
      <c r="F587" s="38"/>
      <c r="G587" s="37"/>
      <c r="H587" s="37"/>
      <c r="I587" s="37"/>
      <c r="J587" s="37"/>
      <c r="K587" s="35"/>
      <c r="L587" s="39"/>
      <c r="M587" s="45"/>
    </row>
    <row r="588" spans="1:13">
      <c r="A588" s="34"/>
      <c r="B588" s="34"/>
      <c r="C588" s="37"/>
      <c r="D588" s="37"/>
      <c r="E588" s="37"/>
      <c r="F588" s="38"/>
      <c r="G588" s="37"/>
      <c r="H588" s="37"/>
      <c r="I588" s="37"/>
      <c r="J588" s="37"/>
      <c r="K588" s="35"/>
      <c r="L588" s="39"/>
      <c r="M588" s="45"/>
    </row>
    <row r="589" spans="1:13">
      <c r="A589" s="34"/>
      <c r="B589" s="34"/>
      <c r="C589" s="37"/>
      <c r="D589" s="37"/>
      <c r="E589" s="37"/>
      <c r="F589" s="38"/>
      <c r="G589" s="37"/>
      <c r="H589" s="37"/>
      <c r="I589" s="37"/>
      <c r="J589" s="37"/>
      <c r="K589" s="35"/>
      <c r="L589" s="39"/>
      <c r="M589" s="45"/>
    </row>
    <row r="590" spans="1:13">
      <c r="A590" s="34"/>
      <c r="B590" s="34"/>
      <c r="C590" s="37"/>
      <c r="D590" s="37"/>
      <c r="E590" s="37"/>
      <c r="F590" s="38"/>
      <c r="G590" s="37"/>
      <c r="H590" s="37"/>
      <c r="I590" s="37"/>
      <c r="J590" s="37"/>
      <c r="K590" s="35"/>
      <c r="L590" s="39"/>
      <c r="M590" s="45"/>
    </row>
    <row r="591" spans="1:13">
      <c r="A591" s="34"/>
      <c r="B591" s="34"/>
      <c r="C591" s="37"/>
      <c r="D591" s="37"/>
      <c r="E591" s="37"/>
      <c r="F591" s="38"/>
      <c r="G591" s="37"/>
      <c r="H591" s="37"/>
      <c r="I591" s="37"/>
      <c r="J591" s="37"/>
      <c r="K591" s="35"/>
      <c r="L591" s="39"/>
      <c r="M591" s="45"/>
    </row>
    <row r="592" spans="1:13">
      <c r="A592" s="34"/>
      <c r="B592" s="34"/>
      <c r="C592" s="37"/>
      <c r="D592" s="37"/>
      <c r="E592" s="37"/>
      <c r="F592" s="38"/>
      <c r="G592" s="37"/>
      <c r="H592" s="37"/>
      <c r="I592" s="37"/>
      <c r="J592" s="37"/>
      <c r="K592" s="35"/>
      <c r="L592" s="39"/>
      <c r="M592" s="45"/>
    </row>
    <row r="593" spans="1:13">
      <c r="A593" s="34"/>
      <c r="B593" s="34"/>
      <c r="C593" s="37"/>
      <c r="D593" s="37"/>
      <c r="E593" s="37"/>
      <c r="F593" s="38"/>
      <c r="G593" s="37"/>
      <c r="H593" s="37"/>
      <c r="I593" s="37"/>
      <c r="J593" s="37"/>
      <c r="K593" s="35"/>
      <c r="L593" s="39"/>
      <c r="M593" s="45"/>
    </row>
    <row r="594" spans="1:13">
      <c r="A594" s="34"/>
      <c r="B594" s="34"/>
      <c r="C594" s="37"/>
      <c r="D594" s="37"/>
      <c r="E594" s="37"/>
      <c r="F594" s="38"/>
      <c r="G594" s="37"/>
      <c r="H594" s="37"/>
      <c r="I594" s="37"/>
      <c r="J594" s="37"/>
      <c r="K594" s="35"/>
      <c r="L594" s="39"/>
      <c r="M594" s="45"/>
    </row>
    <row r="595" spans="1:13">
      <c r="A595" s="34"/>
      <c r="B595" s="34"/>
      <c r="C595" s="37"/>
      <c r="D595" s="37"/>
      <c r="E595" s="37"/>
      <c r="F595" s="38"/>
      <c r="G595" s="37"/>
      <c r="H595" s="37"/>
      <c r="I595" s="37"/>
      <c r="J595" s="37"/>
      <c r="K595" s="35"/>
      <c r="L595" s="39"/>
      <c r="M595" s="45"/>
    </row>
    <row r="596" spans="1:13">
      <c r="A596" s="34"/>
      <c r="B596" s="34"/>
      <c r="C596" s="37"/>
      <c r="D596" s="37"/>
      <c r="E596" s="37"/>
      <c r="F596" s="38"/>
      <c r="G596" s="37"/>
      <c r="H596" s="37"/>
      <c r="I596" s="37"/>
      <c r="J596" s="37"/>
      <c r="K596" s="35"/>
      <c r="L596" s="39"/>
      <c r="M596" s="45"/>
    </row>
    <row r="597" spans="1:13">
      <c r="A597" s="34"/>
      <c r="B597" s="34"/>
      <c r="C597" s="37"/>
      <c r="D597" s="37"/>
      <c r="E597" s="37"/>
      <c r="F597" s="38"/>
      <c r="G597" s="37"/>
      <c r="H597" s="37"/>
      <c r="I597" s="37"/>
      <c r="J597" s="37"/>
      <c r="K597" s="35"/>
      <c r="L597" s="39"/>
      <c r="M597" s="45"/>
    </row>
    <row r="598" spans="1:13">
      <c r="A598" s="34"/>
      <c r="B598" s="34"/>
      <c r="C598" s="37"/>
      <c r="D598" s="37"/>
      <c r="E598" s="37"/>
      <c r="F598" s="38"/>
      <c r="G598" s="37"/>
      <c r="H598" s="37"/>
      <c r="I598" s="37"/>
      <c r="J598" s="37"/>
      <c r="K598" s="35"/>
      <c r="L598" s="39"/>
      <c r="M598" s="45"/>
    </row>
    <row r="599" spans="1:13">
      <c r="A599" s="34"/>
      <c r="B599" s="34"/>
      <c r="C599" s="37"/>
      <c r="D599" s="37"/>
      <c r="E599" s="37"/>
      <c r="F599" s="38"/>
      <c r="G599" s="37"/>
      <c r="H599" s="37"/>
      <c r="I599" s="37"/>
      <c r="J599" s="37"/>
      <c r="K599" s="35"/>
      <c r="L599" s="39"/>
      <c r="M599" s="45"/>
    </row>
    <row r="600" spans="1:13">
      <c r="A600" s="34"/>
      <c r="B600" s="34"/>
      <c r="C600" s="37"/>
      <c r="D600" s="37"/>
      <c r="E600" s="37"/>
      <c r="F600" s="38"/>
      <c r="G600" s="37"/>
      <c r="H600" s="37"/>
      <c r="I600" s="37"/>
      <c r="J600" s="37"/>
      <c r="K600" s="35"/>
      <c r="L600" s="39"/>
      <c r="M600" s="45"/>
    </row>
    <row r="601" spans="1:13">
      <c r="A601" s="34"/>
      <c r="B601" s="34"/>
      <c r="C601" s="37"/>
      <c r="D601" s="37"/>
      <c r="E601" s="37"/>
      <c r="F601" s="38"/>
      <c r="G601" s="37"/>
      <c r="H601" s="37"/>
      <c r="I601" s="37"/>
      <c r="J601" s="37"/>
      <c r="K601" s="35"/>
      <c r="L601" s="39"/>
      <c r="M601" s="45"/>
    </row>
    <row r="602" spans="1:13">
      <c r="A602" s="34"/>
      <c r="B602" s="34"/>
      <c r="C602" s="37"/>
      <c r="D602" s="37"/>
      <c r="E602" s="37"/>
      <c r="F602" s="38"/>
      <c r="G602" s="37"/>
      <c r="H602" s="37"/>
      <c r="I602" s="37"/>
      <c r="J602" s="37"/>
      <c r="K602" s="35"/>
      <c r="L602" s="39"/>
      <c r="M602" s="45"/>
    </row>
    <row r="603" spans="1:13">
      <c r="A603" s="34"/>
      <c r="B603" s="34"/>
      <c r="C603" s="37"/>
      <c r="D603" s="37"/>
      <c r="E603" s="37"/>
      <c r="F603" s="38"/>
      <c r="G603" s="37"/>
      <c r="H603" s="37"/>
      <c r="I603" s="37"/>
      <c r="J603" s="37"/>
      <c r="K603" s="35"/>
      <c r="L603" s="39"/>
      <c r="M603" s="45"/>
    </row>
    <row r="604" spans="1:13">
      <c r="A604" s="34"/>
      <c r="B604" s="34"/>
      <c r="C604" s="37"/>
      <c r="D604" s="37"/>
      <c r="E604" s="37"/>
      <c r="F604" s="38"/>
      <c r="G604" s="37"/>
      <c r="H604" s="37"/>
      <c r="I604" s="37"/>
      <c r="J604" s="37"/>
      <c r="K604" s="35"/>
      <c r="L604" s="39"/>
      <c r="M604" s="45"/>
    </row>
    <row r="605" spans="1:13">
      <c r="A605" s="34"/>
      <c r="B605" s="34"/>
      <c r="C605" s="37"/>
      <c r="D605" s="37"/>
      <c r="E605" s="37"/>
      <c r="F605" s="38"/>
      <c r="G605" s="37"/>
      <c r="H605" s="37"/>
      <c r="I605" s="37"/>
      <c r="J605" s="37"/>
      <c r="K605" s="35"/>
      <c r="L605" s="39"/>
      <c r="M605" s="45"/>
    </row>
    <row r="606" spans="1:13">
      <c r="A606" s="34"/>
      <c r="B606" s="34"/>
      <c r="C606" s="37"/>
      <c r="D606" s="37"/>
      <c r="E606" s="37"/>
      <c r="F606" s="38"/>
      <c r="G606" s="37"/>
      <c r="H606" s="37"/>
      <c r="I606" s="37"/>
      <c r="J606" s="37"/>
      <c r="K606" s="35"/>
      <c r="L606" s="39"/>
      <c r="M606" s="45"/>
    </row>
    <row r="607" spans="1:13">
      <c r="A607" s="34"/>
      <c r="B607" s="34"/>
      <c r="C607" s="37"/>
      <c r="D607" s="37"/>
      <c r="E607" s="37"/>
      <c r="F607" s="38"/>
      <c r="G607" s="37"/>
      <c r="H607" s="37"/>
      <c r="I607" s="37"/>
      <c r="J607" s="37"/>
      <c r="K607" s="35"/>
      <c r="L607" s="39"/>
      <c r="M607" s="45"/>
    </row>
    <row r="608" spans="1:13">
      <c r="A608" s="34"/>
      <c r="B608" s="34"/>
      <c r="C608" s="37"/>
      <c r="D608" s="37"/>
      <c r="E608" s="37"/>
      <c r="F608" s="38"/>
      <c r="G608" s="37"/>
      <c r="H608" s="37"/>
      <c r="I608" s="37"/>
      <c r="J608" s="37"/>
      <c r="K608" s="35"/>
      <c r="L608" s="39"/>
      <c r="M608" s="45"/>
    </row>
    <row r="609" spans="1:13">
      <c r="A609" s="34"/>
      <c r="B609" s="34"/>
      <c r="C609" s="37"/>
      <c r="D609" s="37"/>
      <c r="E609" s="37"/>
      <c r="F609" s="38"/>
      <c r="G609" s="37"/>
      <c r="H609" s="37"/>
      <c r="I609" s="37"/>
      <c r="J609" s="37"/>
      <c r="K609" s="35"/>
      <c r="L609" s="39"/>
      <c r="M609" s="45"/>
    </row>
    <row r="610" spans="1:13">
      <c r="A610" s="34"/>
      <c r="B610" s="34"/>
      <c r="C610" s="37"/>
      <c r="D610" s="37"/>
      <c r="E610" s="37"/>
      <c r="F610" s="38"/>
      <c r="G610" s="37"/>
      <c r="H610" s="37"/>
      <c r="I610" s="37"/>
      <c r="J610" s="37"/>
      <c r="K610" s="35"/>
      <c r="L610" s="39"/>
      <c r="M610" s="45"/>
    </row>
    <row r="611" spans="1:13">
      <c r="A611" s="34"/>
      <c r="B611" s="34"/>
      <c r="C611" s="37"/>
      <c r="D611" s="37"/>
      <c r="E611" s="37"/>
      <c r="F611" s="38"/>
      <c r="G611" s="37"/>
      <c r="H611" s="37"/>
      <c r="I611" s="37"/>
      <c r="J611" s="37"/>
      <c r="K611" s="35"/>
      <c r="L611" s="39"/>
      <c r="M611" s="45"/>
    </row>
    <row r="612" spans="1:13">
      <c r="A612" s="34"/>
      <c r="B612" s="34"/>
      <c r="C612" s="37"/>
      <c r="D612" s="37"/>
      <c r="E612" s="37"/>
      <c r="F612" s="38"/>
      <c r="G612" s="37"/>
      <c r="H612" s="37"/>
      <c r="I612" s="37"/>
      <c r="J612" s="37"/>
      <c r="K612" s="35"/>
      <c r="L612" s="39"/>
      <c r="M612" s="45"/>
    </row>
    <row r="613" spans="1:13">
      <c r="A613" s="34"/>
      <c r="B613" s="34"/>
      <c r="C613" s="37"/>
      <c r="D613" s="37"/>
      <c r="E613" s="37"/>
      <c r="F613" s="38"/>
      <c r="G613" s="37"/>
      <c r="H613" s="37"/>
      <c r="I613" s="37"/>
      <c r="J613" s="37"/>
      <c r="K613" s="35"/>
      <c r="L613" s="39"/>
      <c r="M613" s="45"/>
    </row>
    <row r="614" spans="1:13">
      <c r="A614" s="34"/>
      <c r="B614" s="34"/>
      <c r="C614" s="37"/>
      <c r="D614" s="37"/>
      <c r="E614" s="37"/>
      <c r="F614" s="38"/>
      <c r="G614" s="37"/>
      <c r="H614" s="37"/>
      <c r="I614" s="37"/>
      <c r="J614" s="37"/>
      <c r="K614" s="35"/>
      <c r="L614" s="39"/>
      <c r="M614" s="45"/>
    </row>
    <row r="615" spans="1:13">
      <c r="A615" s="34"/>
      <c r="B615" s="34"/>
      <c r="C615" s="37"/>
      <c r="D615" s="37"/>
      <c r="E615" s="37"/>
      <c r="F615" s="38"/>
      <c r="G615" s="37"/>
      <c r="H615" s="37"/>
      <c r="I615" s="37"/>
      <c r="J615" s="37"/>
      <c r="K615" s="35"/>
      <c r="L615" s="39"/>
      <c r="M615" s="45"/>
    </row>
    <row r="616" spans="1:13">
      <c r="A616" s="34"/>
      <c r="B616" s="34"/>
      <c r="C616" s="37"/>
      <c r="D616" s="37"/>
      <c r="E616" s="37"/>
      <c r="F616" s="38"/>
      <c r="G616" s="37"/>
      <c r="H616" s="37"/>
      <c r="I616" s="37"/>
      <c r="J616" s="37"/>
      <c r="K616" s="35"/>
      <c r="L616" s="39"/>
      <c r="M616" s="45"/>
    </row>
    <row r="617" spans="1:13">
      <c r="A617" s="34"/>
      <c r="B617" s="34"/>
      <c r="C617" s="37"/>
      <c r="D617" s="37"/>
      <c r="E617" s="37"/>
      <c r="F617" s="38"/>
      <c r="G617" s="37"/>
      <c r="H617" s="37"/>
      <c r="I617" s="37"/>
      <c r="J617" s="37"/>
      <c r="K617" s="35"/>
      <c r="L617" s="39"/>
      <c r="M617" s="45"/>
    </row>
    <row r="618" spans="1:13">
      <c r="A618" s="34"/>
      <c r="B618" s="34"/>
      <c r="C618" s="37"/>
      <c r="D618" s="37"/>
      <c r="E618" s="37"/>
      <c r="F618" s="38"/>
      <c r="G618" s="37"/>
      <c r="H618" s="37"/>
      <c r="I618" s="37"/>
      <c r="J618" s="37"/>
      <c r="K618" s="35"/>
      <c r="L618" s="39"/>
      <c r="M618" s="45"/>
    </row>
    <row r="619" spans="1:13">
      <c r="A619" s="34"/>
      <c r="B619" s="34"/>
      <c r="C619" s="37"/>
      <c r="D619" s="37"/>
      <c r="E619" s="37"/>
      <c r="F619" s="38"/>
      <c r="G619" s="37"/>
      <c r="H619" s="37"/>
      <c r="I619" s="37"/>
      <c r="J619" s="37"/>
      <c r="K619" s="35"/>
      <c r="L619" s="39"/>
      <c r="M619" s="45"/>
    </row>
    <row r="620" spans="1:13">
      <c r="A620" s="34"/>
      <c r="B620" s="34"/>
      <c r="C620" s="37"/>
      <c r="D620" s="37"/>
      <c r="E620" s="37"/>
      <c r="F620" s="38"/>
      <c r="G620" s="37"/>
      <c r="H620" s="37"/>
      <c r="I620" s="37"/>
      <c r="J620" s="37"/>
      <c r="K620" s="35"/>
      <c r="L620" s="39"/>
      <c r="M620" s="45"/>
    </row>
    <row r="621" spans="1:13">
      <c r="A621" s="34"/>
      <c r="B621" s="34"/>
      <c r="C621" s="37"/>
      <c r="D621" s="37"/>
      <c r="E621" s="37"/>
      <c r="F621" s="38"/>
      <c r="G621" s="37"/>
      <c r="H621" s="37"/>
      <c r="I621" s="37"/>
      <c r="J621" s="37"/>
      <c r="K621" s="35"/>
      <c r="L621" s="39"/>
      <c r="M621" s="45"/>
    </row>
    <row r="622" spans="1:13">
      <c r="A622" s="34"/>
      <c r="B622" s="34"/>
      <c r="C622" s="37"/>
      <c r="D622" s="37"/>
      <c r="E622" s="37"/>
      <c r="F622" s="38"/>
      <c r="G622" s="37"/>
      <c r="H622" s="37"/>
      <c r="I622" s="37"/>
      <c r="J622" s="37"/>
      <c r="K622" s="35"/>
      <c r="L622" s="39"/>
      <c r="M622" s="45"/>
    </row>
    <row r="623" spans="1:13">
      <c r="A623" s="34"/>
      <c r="B623" s="34"/>
      <c r="C623" s="37"/>
      <c r="D623" s="37"/>
      <c r="E623" s="37"/>
      <c r="F623" s="38"/>
      <c r="G623" s="37"/>
      <c r="H623" s="37"/>
      <c r="I623" s="37"/>
      <c r="J623" s="37"/>
      <c r="K623" s="35"/>
      <c r="L623" s="39"/>
      <c r="M623" s="45"/>
    </row>
    <row r="624" spans="1:13">
      <c r="A624" s="34"/>
      <c r="B624" s="34"/>
      <c r="C624" s="37"/>
      <c r="D624" s="37"/>
      <c r="E624" s="37"/>
      <c r="F624" s="38"/>
      <c r="G624" s="37"/>
      <c r="H624" s="37"/>
      <c r="I624" s="37"/>
      <c r="J624" s="37"/>
      <c r="K624" s="35"/>
      <c r="L624" s="39"/>
      <c r="M624" s="45"/>
    </row>
    <row r="625" spans="1:13">
      <c r="A625" s="34"/>
      <c r="B625" s="34"/>
      <c r="C625" s="37"/>
      <c r="D625" s="37"/>
      <c r="E625" s="37"/>
      <c r="F625" s="38"/>
      <c r="G625" s="37"/>
      <c r="H625" s="37"/>
      <c r="I625" s="37"/>
      <c r="J625" s="37"/>
      <c r="K625" s="35"/>
      <c r="L625" s="39"/>
      <c r="M625" s="45"/>
    </row>
    <row r="626" spans="1:13">
      <c r="A626" s="34"/>
      <c r="B626" s="34"/>
      <c r="C626" s="37"/>
      <c r="D626" s="37"/>
      <c r="E626" s="37"/>
      <c r="F626" s="38"/>
      <c r="G626" s="37"/>
      <c r="H626" s="37"/>
      <c r="I626" s="37"/>
      <c r="J626" s="37"/>
      <c r="K626" s="35"/>
      <c r="L626" s="39"/>
      <c r="M626" s="45"/>
    </row>
    <row r="627" spans="1:13">
      <c r="A627" s="34"/>
      <c r="B627" s="34"/>
      <c r="C627" s="37"/>
      <c r="D627" s="37"/>
      <c r="E627" s="37"/>
      <c r="F627" s="38"/>
      <c r="G627" s="37"/>
      <c r="H627" s="37"/>
      <c r="I627" s="37"/>
      <c r="J627" s="37"/>
      <c r="K627" s="35"/>
      <c r="L627" s="39"/>
      <c r="M627" s="45"/>
    </row>
    <row r="628" spans="1:13">
      <c r="A628" s="34"/>
      <c r="B628" s="34"/>
      <c r="C628" s="37"/>
      <c r="D628" s="37"/>
      <c r="E628" s="37"/>
      <c r="F628" s="38"/>
      <c r="G628" s="37"/>
      <c r="H628" s="37"/>
      <c r="I628" s="37"/>
      <c r="J628" s="37"/>
      <c r="K628" s="35"/>
      <c r="L628" s="39"/>
      <c r="M628" s="45"/>
    </row>
    <row r="629" spans="1:13">
      <c r="A629" s="34"/>
      <c r="B629" s="34"/>
      <c r="C629" s="37"/>
      <c r="D629" s="37"/>
      <c r="E629" s="37"/>
      <c r="F629" s="38"/>
      <c r="G629" s="37"/>
      <c r="H629" s="37"/>
      <c r="I629" s="37"/>
      <c r="J629" s="37"/>
      <c r="K629" s="35"/>
      <c r="L629" s="39"/>
      <c r="M629" s="45"/>
    </row>
    <row r="630" spans="1:13">
      <c r="A630" s="34"/>
      <c r="B630" s="34"/>
      <c r="C630" s="37"/>
      <c r="D630" s="37"/>
      <c r="E630" s="37"/>
      <c r="F630" s="38"/>
      <c r="G630" s="37"/>
      <c r="H630" s="37"/>
      <c r="I630" s="37"/>
      <c r="J630" s="37"/>
      <c r="K630" s="35"/>
      <c r="L630" s="39"/>
      <c r="M630" s="45"/>
    </row>
    <row r="631" spans="1:13">
      <c r="A631" s="34"/>
      <c r="B631" s="34"/>
      <c r="C631" s="37"/>
      <c r="D631" s="37"/>
      <c r="E631" s="37"/>
      <c r="F631" s="38"/>
      <c r="G631" s="37"/>
      <c r="H631" s="37"/>
      <c r="I631" s="37"/>
      <c r="J631" s="37"/>
      <c r="K631" s="35"/>
      <c r="L631" s="39"/>
      <c r="M631" s="45"/>
    </row>
    <row r="632" spans="1:13">
      <c r="A632" s="34"/>
      <c r="B632" s="34"/>
      <c r="C632" s="37"/>
      <c r="D632" s="37"/>
      <c r="E632" s="37"/>
      <c r="F632" s="38"/>
      <c r="G632" s="37"/>
      <c r="H632" s="37"/>
      <c r="I632" s="37"/>
      <c r="J632" s="37"/>
      <c r="K632" s="35"/>
      <c r="L632" s="39"/>
      <c r="M632" s="45"/>
    </row>
    <row r="633" spans="1:13">
      <c r="A633" s="34"/>
      <c r="B633" s="34"/>
      <c r="C633" s="37"/>
      <c r="D633" s="37"/>
      <c r="E633" s="37"/>
      <c r="F633" s="38"/>
      <c r="G633" s="37"/>
      <c r="H633" s="37"/>
      <c r="I633" s="37"/>
      <c r="J633" s="37"/>
      <c r="K633" s="35"/>
      <c r="L633" s="39"/>
      <c r="M633" s="45"/>
    </row>
    <row r="634" spans="1:13">
      <c r="A634" s="34"/>
      <c r="B634" s="34"/>
      <c r="C634" s="37"/>
      <c r="D634" s="37"/>
      <c r="E634" s="37"/>
      <c r="F634" s="38"/>
      <c r="G634" s="37"/>
      <c r="H634" s="37"/>
      <c r="I634" s="37"/>
      <c r="J634" s="37"/>
      <c r="K634" s="35"/>
      <c r="L634" s="39"/>
      <c r="M634" s="45"/>
    </row>
    <row r="635" spans="1:13">
      <c r="A635" s="34"/>
      <c r="B635" s="34"/>
      <c r="C635" s="37"/>
      <c r="D635" s="37"/>
      <c r="E635" s="37"/>
      <c r="F635" s="38"/>
      <c r="G635" s="37"/>
      <c r="H635" s="37"/>
      <c r="I635" s="37"/>
      <c r="J635" s="37"/>
      <c r="K635" s="35"/>
      <c r="L635" s="39"/>
      <c r="M635" s="45"/>
    </row>
    <row r="636" spans="1:13">
      <c r="A636" s="34"/>
      <c r="B636" s="34"/>
      <c r="C636" s="37"/>
      <c r="D636" s="37"/>
      <c r="E636" s="37"/>
      <c r="F636" s="38"/>
      <c r="G636" s="37"/>
      <c r="H636" s="37"/>
      <c r="I636" s="37"/>
      <c r="J636" s="37"/>
      <c r="K636" s="35"/>
      <c r="L636" s="39"/>
      <c r="M636" s="45"/>
    </row>
    <row r="637" spans="1:13">
      <c r="A637" s="34"/>
      <c r="B637" s="34"/>
      <c r="C637" s="37"/>
      <c r="D637" s="37"/>
      <c r="E637" s="37"/>
      <c r="F637" s="38"/>
      <c r="G637" s="37"/>
      <c r="H637" s="37"/>
      <c r="I637" s="37"/>
      <c r="J637" s="37"/>
      <c r="K637" s="35"/>
      <c r="L637" s="39"/>
      <c r="M637" s="45"/>
    </row>
    <row r="638" spans="1:13">
      <c r="A638" s="34"/>
      <c r="B638" s="34"/>
      <c r="C638" s="37"/>
      <c r="D638" s="37"/>
      <c r="E638" s="37"/>
      <c r="F638" s="38"/>
      <c r="G638" s="37"/>
      <c r="H638" s="37"/>
      <c r="I638" s="37"/>
      <c r="J638" s="37"/>
      <c r="K638" s="35"/>
      <c r="L638" s="39"/>
      <c r="M638" s="45"/>
    </row>
    <row r="639" spans="1:13">
      <c r="A639" s="34"/>
      <c r="B639" s="34"/>
      <c r="C639" s="37"/>
      <c r="D639" s="37"/>
      <c r="E639" s="37"/>
      <c r="F639" s="38"/>
      <c r="G639" s="37"/>
      <c r="H639" s="37"/>
      <c r="I639" s="37"/>
      <c r="J639" s="37"/>
      <c r="K639" s="35"/>
      <c r="L639" s="39"/>
      <c r="M639" s="45"/>
    </row>
    <row r="640" spans="1:13">
      <c r="A640" s="34"/>
      <c r="B640" s="34"/>
      <c r="C640" s="37"/>
      <c r="D640" s="37"/>
      <c r="E640" s="37"/>
      <c r="F640" s="38"/>
      <c r="G640" s="37"/>
      <c r="H640" s="37"/>
      <c r="I640" s="37"/>
      <c r="J640" s="37"/>
      <c r="K640" s="35"/>
      <c r="L640" s="39"/>
      <c r="M640" s="45"/>
    </row>
    <row r="641" spans="1:13">
      <c r="A641" s="34"/>
      <c r="B641" s="34"/>
      <c r="C641" s="37"/>
      <c r="D641" s="37"/>
      <c r="E641" s="37"/>
      <c r="F641" s="38"/>
      <c r="G641" s="37"/>
      <c r="H641" s="37"/>
      <c r="I641" s="37"/>
      <c r="J641" s="37"/>
      <c r="K641" s="35"/>
      <c r="L641" s="39"/>
      <c r="M641" s="45"/>
    </row>
    <row r="642" spans="1:13">
      <c r="A642" s="34"/>
      <c r="B642" s="34"/>
      <c r="C642" s="37"/>
      <c r="D642" s="37"/>
      <c r="E642" s="37"/>
      <c r="F642" s="38"/>
      <c r="G642" s="37"/>
      <c r="H642" s="37"/>
      <c r="I642" s="37"/>
      <c r="J642" s="37"/>
      <c r="K642" s="35"/>
      <c r="L642" s="39"/>
      <c r="M642" s="45"/>
    </row>
    <row r="643" spans="1:13">
      <c r="A643" s="34"/>
      <c r="B643" s="34"/>
      <c r="C643" s="37"/>
      <c r="D643" s="37"/>
      <c r="E643" s="37"/>
      <c r="F643" s="38"/>
      <c r="G643" s="37"/>
      <c r="H643" s="37"/>
      <c r="I643" s="37"/>
      <c r="J643" s="37"/>
      <c r="K643" s="35"/>
      <c r="L643" s="39"/>
      <c r="M643" s="45"/>
    </row>
    <row r="644" spans="1:13">
      <c r="A644" s="34"/>
      <c r="B644" s="34"/>
      <c r="C644" s="37"/>
      <c r="D644" s="37"/>
      <c r="E644" s="37"/>
      <c r="F644" s="38"/>
      <c r="G644" s="37"/>
      <c r="H644" s="37"/>
      <c r="I644" s="37"/>
      <c r="J644" s="37"/>
      <c r="K644" s="35"/>
      <c r="L644" s="39"/>
      <c r="M644" s="45"/>
    </row>
    <row r="645" spans="1:13">
      <c r="A645" s="34"/>
      <c r="B645" s="34"/>
      <c r="C645" s="37"/>
      <c r="D645" s="37"/>
      <c r="E645" s="37"/>
      <c r="F645" s="38"/>
      <c r="G645" s="37"/>
      <c r="H645" s="37"/>
      <c r="I645" s="37"/>
      <c r="J645" s="37"/>
      <c r="K645" s="35"/>
      <c r="L645" s="39"/>
      <c r="M645" s="45"/>
    </row>
    <row r="646" spans="1:13">
      <c r="A646" s="34"/>
      <c r="B646" s="34"/>
      <c r="C646" s="37"/>
      <c r="D646" s="37"/>
      <c r="E646" s="37"/>
      <c r="F646" s="38"/>
      <c r="G646" s="37"/>
      <c r="H646" s="37"/>
      <c r="I646" s="37"/>
      <c r="J646" s="37"/>
      <c r="K646" s="35"/>
      <c r="L646" s="39"/>
      <c r="M646" s="45"/>
    </row>
    <row r="647" spans="1:13">
      <c r="A647" s="34"/>
      <c r="B647" s="34"/>
      <c r="C647" s="37"/>
      <c r="D647" s="37"/>
      <c r="E647" s="37"/>
      <c r="F647" s="38"/>
      <c r="G647" s="37"/>
      <c r="H647" s="37"/>
      <c r="I647" s="37"/>
      <c r="J647" s="37"/>
      <c r="K647" s="35"/>
      <c r="L647" s="39"/>
      <c r="M647" s="45"/>
    </row>
    <row r="648" spans="1:13">
      <c r="A648" s="34"/>
      <c r="B648" s="34"/>
      <c r="C648" s="37"/>
      <c r="D648" s="37"/>
      <c r="E648" s="37"/>
      <c r="F648" s="38"/>
      <c r="G648" s="37"/>
      <c r="H648" s="37"/>
      <c r="I648" s="37"/>
      <c r="J648" s="37"/>
      <c r="K648" s="35"/>
      <c r="L648" s="39"/>
      <c r="M648" s="45"/>
    </row>
    <row r="649" spans="1:13">
      <c r="A649" s="34"/>
      <c r="B649" s="34"/>
      <c r="C649" s="37"/>
      <c r="D649" s="37"/>
      <c r="E649" s="37"/>
      <c r="F649" s="38"/>
      <c r="G649" s="37"/>
      <c r="H649" s="37"/>
      <c r="I649" s="37"/>
      <c r="J649" s="37"/>
      <c r="K649" s="35"/>
      <c r="L649" s="39"/>
      <c r="M649" s="45"/>
    </row>
    <row r="650" spans="1:13">
      <c r="A650" s="34"/>
      <c r="B650" s="34"/>
      <c r="C650" s="37"/>
      <c r="D650" s="37"/>
      <c r="E650" s="37"/>
      <c r="F650" s="38"/>
      <c r="G650" s="37"/>
      <c r="H650" s="37"/>
      <c r="I650" s="37"/>
      <c r="J650" s="37"/>
      <c r="K650" s="35"/>
      <c r="L650" s="39"/>
      <c r="M650" s="45"/>
    </row>
    <row r="651" spans="1:13">
      <c r="A651" s="34"/>
      <c r="B651" s="34"/>
      <c r="C651" s="37"/>
      <c r="D651" s="37"/>
      <c r="E651" s="37"/>
      <c r="F651" s="38"/>
      <c r="G651" s="37"/>
      <c r="H651" s="37"/>
      <c r="I651" s="37"/>
      <c r="J651" s="37"/>
      <c r="K651" s="35"/>
      <c r="L651" s="39"/>
      <c r="M651" s="45"/>
    </row>
    <row r="652" spans="1:13">
      <c r="A652" s="34"/>
      <c r="B652" s="34"/>
      <c r="C652" s="37"/>
      <c r="D652" s="37"/>
      <c r="E652" s="37"/>
      <c r="F652" s="38"/>
      <c r="G652" s="37"/>
      <c r="H652" s="37"/>
      <c r="I652" s="37"/>
      <c r="J652" s="37"/>
      <c r="K652" s="35"/>
      <c r="L652" s="39"/>
      <c r="M652" s="45"/>
    </row>
    <row r="653" spans="1:13">
      <c r="A653" s="34"/>
      <c r="B653" s="34"/>
      <c r="C653" s="37"/>
      <c r="D653" s="37"/>
      <c r="E653" s="37"/>
      <c r="F653" s="38"/>
      <c r="G653" s="37"/>
      <c r="H653" s="37"/>
      <c r="I653" s="37"/>
      <c r="J653" s="37"/>
      <c r="K653" s="35"/>
      <c r="L653" s="39"/>
      <c r="M653" s="45"/>
    </row>
    <row r="654" spans="1:13">
      <c r="A654" s="34"/>
      <c r="B654" s="34"/>
      <c r="C654" s="37"/>
      <c r="D654" s="37"/>
      <c r="E654" s="37"/>
      <c r="F654" s="38"/>
      <c r="G654" s="37"/>
      <c r="H654" s="37"/>
      <c r="I654" s="37"/>
      <c r="J654" s="37"/>
      <c r="K654" s="35"/>
      <c r="L654" s="39"/>
      <c r="M654" s="45"/>
    </row>
    <row r="655" spans="1:13">
      <c r="A655" s="34"/>
      <c r="B655" s="34"/>
      <c r="C655" s="37"/>
      <c r="D655" s="37"/>
      <c r="E655" s="37"/>
      <c r="F655" s="38"/>
      <c r="G655" s="37"/>
      <c r="H655" s="37"/>
      <c r="I655" s="37"/>
      <c r="J655" s="37"/>
      <c r="K655" s="35"/>
      <c r="L655" s="39"/>
      <c r="M655" s="45"/>
    </row>
    <row r="656" spans="1:13">
      <c r="A656" s="34"/>
      <c r="B656" s="34"/>
      <c r="C656" s="37"/>
      <c r="D656" s="37"/>
      <c r="E656" s="37"/>
      <c r="F656" s="38"/>
      <c r="G656" s="37"/>
      <c r="H656" s="37"/>
      <c r="I656" s="37"/>
      <c r="J656" s="37"/>
      <c r="K656" s="35"/>
      <c r="L656" s="39"/>
      <c r="M656" s="45"/>
    </row>
    <row r="657" spans="1:13">
      <c r="A657" s="34"/>
      <c r="B657" s="34"/>
      <c r="C657" s="37"/>
      <c r="D657" s="37"/>
      <c r="E657" s="37"/>
      <c r="F657" s="38"/>
      <c r="G657" s="37"/>
      <c r="H657" s="37"/>
      <c r="I657" s="37"/>
      <c r="J657" s="37"/>
      <c r="K657" s="35"/>
      <c r="L657" s="39"/>
      <c r="M657" s="45"/>
    </row>
    <row r="658" spans="1:13">
      <c r="A658" s="34"/>
      <c r="B658" s="34"/>
      <c r="C658" s="37"/>
      <c r="D658" s="37"/>
      <c r="E658" s="37"/>
      <c r="F658" s="38"/>
      <c r="G658" s="37"/>
      <c r="H658" s="37"/>
      <c r="I658" s="37"/>
      <c r="J658" s="37"/>
      <c r="K658" s="35"/>
      <c r="L658" s="39"/>
      <c r="M658" s="45"/>
    </row>
    <row r="659" spans="1:13">
      <c r="A659" s="34"/>
      <c r="B659" s="34"/>
      <c r="C659" s="37"/>
      <c r="D659" s="37"/>
      <c r="E659" s="37"/>
      <c r="F659" s="38"/>
      <c r="G659" s="37"/>
      <c r="H659" s="37"/>
      <c r="I659" s="37"/>
      <c r="J659" s="37"/>
      <c r="K659" s="35"/>
      <c r="L659" s="39"/>
      <c r="M659" s="45"/>
    </row>
    <row r="660" spans="1:13">
      <c r="A660" s="34"/>
      <c r="B660" s="34"/>
      <c r="C660" s="37"/>
      <c r="D660" s="37"/>
      <c r="E660" s="37"/>
      <c r="F660" s="38"/>
      <c r="G660" s="37"/>
      <c r="H660" s="37"/>
      <c r="I660" s="37"/>
      <c r="J660" s="37"/>
      <c r="K660" s="35"/>
      <c r="L660" s="39"/>
      <c r="M660" s="45"/>
    </row>
    <row r="661" spans="1:13">
      <c r="A661" s="34"/>
      <c r="B661" s="34"/>
      <c r="C661" s="37"/>
      <c r="D661" s="37"/>
      <c r="E661" s="37"/>
      <c r="F661" s="38"/>
      <c r="G661" s="37"/>
      <c r="H661" s="37"/>
      <c r="I661" s="37"/>
      <c r="J661" s="37"/>
      <c r="K661" s="35"/>
      <c r="L661" s="39"/>
      <c r="M661" s="45"/>
    </row>
    <row r="662" spans="1:13">
      <c r="A662" s="34"/>
      <c r="B662" s="34"/>
      <c r="C662" s="37"/>
      <c r="D662" s="37"/>
      <c r="E662" s="37"/>
      <c r="F662" s="38"/>
      <c r="G662" s="37"/>
      <c r="H662" s="37"/>
      <c r="I662" s="37"/>
      <c r="J662" s="37"/>
      <c r="K662" s="35"/>
      <c r="L662" s="39"/>
      <c r="M662" s="45"/>
    </row>
    <row r="663" spans="1:13">
      <c r="A663" s="34"/>
      <c r="B663" s="34"/>
      <c r="C663" s="37"/>
      <c r="D663" s="37"/>
      <c r="E663" s="37"/>
      <c r="F663" s="38"/>
      <c r="G663" s="37"/>
      <c r="H663" s="37"/>
      <c r="I663" s="37"/>
      <c r="J663" s="37"/>
      <c r="K663" s="35"/>
      <c r="L663" s="39"/>
      <c r="M663" s="45"/>
    </row>
    <row r="664" spans="1:13">
      <c r="A664" s="34"/>
      <c r="B664" s="34"/>
      <c r="C664" s="37"/>
      <c r="D664" s="37"/>
      <c r="E664" s="37"/>
      <c r="F664" s="38"/>
      <c r="G664" s="37"/>
      <c r="H664" s="37"/>
      <c r="I664" s="37"/>
      <c r="J664" s="37"/>
      <c r="K664" s="35"/>
      <c r="L664" s="39"/>
      <c r="M664" s="45"/>
    </row>
    <row r="665" spans="1:13">
      <c r="A665" s="34"/>
      <c r="B665" s="34"/>
      <c r="C665" s="37"/>
      <c r="D665" s="37"/>
      <c r="E665" s="37"/>
      <c r="F665" s="38"/>
      <c r="G665" s="37"/>
      <c r="H665" s="37"/>
      <c r="I665" s="37"/>
      <c r="J665" s="37"/>
      <c r="K665" s="35"/>
      <c r="L665" s="39"/>
      <c r="M665" s="45"/>
    </row>
    <row r="666" spans="1:13">
      <c r="A666" s="34"/>
      <c r="B666" s="34"/>
      <c r="C666" s="37"/>
      <c r="D666" s="37"/>
      <c r="E666" s="37"/>
      <c r="F666" s="38"/>
      <c r="G666" s="37"/>
      <c r="H666" s="37"/>
      <c r="I666" s="37"/>
      <c r="J666" s="37"/>
      <c r="K666" s="35"/>
      <c r="L666" s="39"/>
      <c r="M666" s="45"/>
    </row>
    <row r="667" spans="1:13">
      <c r="A667" s="34"/>
      <c r="B667" s="34"/>
      <c r="C667" s="37"/>
      <c r="D667" s="37"/>
      <c r="E667" s="37"/>
      <c r="F667" s="38"/>
      <c r="G667" s="37"/>
      <c r="H667" s="37"/>
      <c r="I667" s="37"/>
      <c r="J667" s="37"/>
      <c r="K667" s="35"/>
      <c r="L667" s="39"/>
      <c r="M667" s="45"/>
    </row>
    <row r="668" spans="1:13">
      <c r="A668" s="34"/>
      <c r="B668" s="34"/>
      <c r="C668" s="37"/>
      <c r="D668" s="37"/>
      <c r="E668" s="37"/>
      <c r="F668" s="38"/>
      <c r="G668" s="37"/>
      <c r="H668" s="37"/>
      <c r="I668" s="37"/>
      <c r="J668" s="37"/>
      <c r="K668" s="35"/>
      <c r="L668" s="39"/>
      <c r="M668" s="45"/>
    </row>
    <row r="669" spans="1:13">
      <c r="A669" s="34"/>
      <c r="B669" s="34"/>
      <c r="C669" s="37"/>
      <c r="D669" s="37"/>
      <c r="E669" s="37"/>
      <c r="F669" s="38"/>
      <c r="G669" s="37"/>
      <c r="H669" s="37"/>
      <c r="I669" s="37"/>
      <c r="J669" s="37"/>
      <c r="K669" s="35"/>
      <c r="L669" s="39"/>
      <c r="M669" s="45"/>
    </row>
    <row r="670" spans="1:13">
      <c r="A670" s="34"/>
      <c r="B670" s="34"/>
      <c r="C670" s="37"/>
      <c r="D670" s="37"/>
      <c r="E670" s="37"/>
      <c r="F670" s="38"/>
      <c r="G670" s="37"/>
      <c r="H670" s="37"/>
      <c r="I670" s="37"/>
      <c r="J670" s="37"/>
      <c r="K670" s="35"/>
      <c r="L670" s="39"/>
      <c r="M670" s="45"/>
    </row>
    <row r="671" spans="1:13">
      <c r="A671" s="34"/>
      <c r="B671" s="34"/>
      <c r="C671" s="37"/>
      <c r="D671" s="37"/>
      <c r="E671" s="37"/>
      <c r="F671" s="38"/>
      <c r="G671" s="37"/>
      <c r="H671" s="37"/>
      <c r="I671" s="37"/>
      <c r="J671" s="37"/>
      <c r="K671" s="35"/>
      <c r="L671" s="39"/>
      <c r="M671" s="45"/>
    </row>
    <row r="672" spans="1:13">
      <c r="A672" s="34"/>
      <c r="B672" s="34"/>
      <c r="C672" s="37"/>
      <c r="D672" s="37"/>
      <c r="E672" s="37"/>
      <c r="F672" s="38"/>
      <c r="G672" s="37"/>
      <c r="H672" s="37"/>
      <c r="I672" s="37"/>
      <c r="J672" s="37"/>
      <c r="K672" s="35"/>
      <c r="L672" s="39"/>
      <c r="M672" s="45"/>
    </row>
    <row r="673" spans="1:13">
      <c r="A673" s="34"/>
      <c r="B673" s="34"/>
      <c r="C673" s="37"/>
      <c r="D673" s="37"/>
      <c r="E673" s="37"/>
      <c r="F673" s="38"/>
      <c r="G673" s="37"/>
      <c r="H673" s="37"/>
      <c r="I673" s="37"/>
      <c r="J673" s="37"/>
      <c r="K673" s="35"/>
      <c r="L673" s="39"/>
      <c r="M673" s="45"/>
    </row>
    <row r="674" spans="1:13">
      <c r="A674" s="34"/>
      <c r="B674" s="34"/>
      <c r="C674" s="37"/>
      <c r="D674" s="37"/>
      <c r="E674" s="37"/>
      <c r="F674" s="38"/>
      <c r="G674" s="37"/>
      <c r="H674" s="37"/>
      <c r="I674" s="37"/>
      <c r="J674" s="37"/>
      <c r="K674" s="35"/>
      <c r="L674" s="39"/>
      <c r="M674" s="45"/>
    </row>
    <row r="675" spans="1:13">
      <c r="A675" s="34"/>
      <c r="B675" s="34"/>
      <c r="C675" s="37"/>
      <c r="D675" s="37"/>
      <c r="E675" s="37"/>
      <c r="F675" s="38"/>
      <c r="G675" s="37"/>
      <c r="H675" s="37"/>
      <c r="I675" s="37"/>
      <c r="J675" s="37"/>
      <c r="K675" s="35"/>
      <c r="L675" s="39"/>
      <c r="M675" s="45"/>
    </row>
    <row r="676" spans="1:13">
      <c r="A676" s="34"/>
      <c r="B676" s="34"/>
      <c r="C676" s="37"/>
      <c r="D676" s="37"/>
      <c r="E676" s="37"/>
      <c r="F676" s="38"/>
      <c r="G676" s="37"/>
      <c r="H676" s="37"/>
      <c r="I676" s="37"/>
      <c r="J676" s="37"/>
      <c r="K676" s="35"/>
      <c r="L676" s="39"/>
      <c r="M676" s="45"/>
    </row>
    <row r="677" spans="1:13">
      <c r="A677" s="34"/>
      <c r="B677" s="34"/>
      <c r="C677" s="37"/>
      <c r="D677" s="37"/>
      <c r="E677" s="37"/>
      <c r="F677" s="38"/>
      <c r="G677" s="37"/>
      <c r="H677" s="37"/>
      <c r="I677" s="37"/>
      <c r="J677" s="37"/>
      <c r="K677" s="35"/>
      <c r="L677" s="39"/>
      <c r="M677" s="45"/>
    </row>
    <row r="678" spans="1:13">
      <c r="A678" s="34"/>
      <c r="B678" s="34"/>
      <c r="C678" s="37"/>
      <c r="D678" s="37"/>
      <c r="E678" s="37"/>
      <c r="F678" s="38"/>
      <c r="G678" s="37"/>
      <c r="H678" s="37"/>
      <c r="I678" s="37"/>
      <c r="J678" s="37"/>
      <c r="K678" s="35"/>
      <c r="L678" s="39"/>
      <c r="M678" s="45"/>
    </row>
    <row r="679" spans="1:13">
      <c r="A679" s="34"/>
      <c r="B679" s="34"/>
      <c r="C679" s="37"/>
      <c r="D679" s="37"/>
      <c r="E679" s="37"/>
      <c r="F679" s="38"/>
      <c r="G679" s="37"/>
      <c r="H679" s="37"/>
      <c r="I679" s="37"/>
      <c r="J679" s="37"/>
      <c r="K679" s="35"/>
      <c r="L679" s="39"/>
      <c r="M679" s="45"/>
    </row>
    <row r="680" spans="1:13">
      <c r="A680" s="34"/>
      <c r="B680" s="34"/>
      <c r="C680" s="37"/>
      <c r="D680" s="37"/>
      <c r="E680" s="37"/>
      <c r="F680" s="38"/>
      <c r="G680" s="37"/>
      <c r="H680" s="37"/>
      <c r="I680" s="37"/>
      <c r="J680" s="37"/>
      <c r="K680" s="35"/>
      <c r="L680" s="39"/>
      <c r="M680" s="45"/>
    </row>
    <row r="681" spans="1:13">
      <c r="A681" s="34"/>
      <c r="B681" s="34"/>
      <c r="C681" s="37"/>
      <c r="D681" s="37"/>
      <c r="E681" s="37"/>
      <c r="F681" s="38"/>
      <c r="G681" s="37"/>
      <c r="H681" s="37"/>
      <c r="I681" s="37"/>
      <c r="J681" s="37"/>
      <c r="K681" s="35"/>
      <c r="L681" s="39"/>
      <c r="M681" s="45"/>
    </row>
    <row r="682" spans="1:13">
      <c r="A682" s="34"/>
      <c r="B682" s="34"/>
      <c r="C682" s="37"/>
      <c r="D682" s="37"/>
      <c r="E682" s="37"/>
      <c r="F682" s="38"/>
      <c r="G682" s="37"/>
      <c r="H682" s="37"/>
      <c r="I682" s="37"/>
      <c r="J682" s="37"/>
      <c r="K682" s="35"/>
      <c r="L682" s="39"/>
      <c r="M682" s="45"/>
    </row>
    <row r="683" spans="1:13">
      <c r="A683" s="34"/>
      <c r="B683" s="34"/>
      <c r="C683" s="37"/>
      <c r="D683" s="37"/>
      <c r="E683" s="37"/>
      <c r="F683" s="38"/>
      <c r="G683" s="37"/>
      <c r="H683" s="37"/>
      <c r="I683" s="37"/>
      <c r="J683" s="37"/>
      <c r="K683" s="35"/>
      <c r="L683" s="39"/>
      <c r="M683" s="45"/>
    </row>
    <row r="684" spans="1:13">
      <c r="A684" s="34"/>
      <c r="B684" s="34"/>
      <c r="C684" s="37"/>
      <c r="D684" s="37"/>
      <c r="E684" s="37"/>
      <c r="F684" s="38"/>
      <c r="G684" s="37"/>
      <c r="H684" s="37"/>
      <c r="I684" s="37"/>
      <c r="J684" s="37"/>
      <c r="K684" s="35"/>
      <c r="L684" s="39"/>
      <c r="M684" s="45"/>
    </row>
    <row r="685" spans="1:13">
      <c r="A685" s="34"/>
      <c r="B685" s="34"/>
      <c r="C685" s="37"/>
      <c r="D685" s="37"/>
      <c r="E685" s="37"/>
      <c r="F685" s="38"/>
      <c r="G685" s="37"/>
      <c r="H685" s="37"/>
      <c r="I685" s="37"/>
      <c r="J685" s="37"/>
      <c r="K685" s="35"/>
      <c r="L685" s="39"/>
      <c r="M685" s="45"/>
    </row>
    <row r="686" spans="1:13">
      <c r="A686" s="34"/>
      <c r="B686" s="34"/>
      <c r="C686" s="37"/>
      <c r="D686" s="37"/>
      <c r="E686" s="37"/>
      <c r="F686" s="38"/>
      <c r="G686" s="37"/>
      <c r="H686" s="37"/>
      <c r="I686" s="37"/>
      <c r="J686" s="37"/>
      <c r="K686" s="35"/>
      <c r="L686" s="39"/>
      <c r="M686" s="45"/>
    </row>
    <row r="687" spans="1:13">
      <c r="A687" s="34"/>
      <c r="B687" s="34"/>
      <c r="C687" s="37"/>
      <c r="D687" s="37"/>
      <c r="E687" s="37"/>
      <c r="F687" s="38"/>
      <c r="G687" s="37"/>
      <c r="H687" s="37"/>
      <c r="I687" s="37"/>
      <c r="J687" s="37"/>
      <c r="K687" s="35"/>
      <c r="L687" s="39"/>
      <c r="M687" s="45"/>
    </row>
    <row r="688" spans="1:13">
      <c r="A688" s="34"/>
      <c r="B688" s="34"/>
      <c r="C688" s="37"/>
      <c r="D688" s="37"/>
      <c r="E688" s="37"/>
      <c r="F688" s="38"/>
      <c r="G688" s="37"/>
      <c r="H688" s="37"/>
      <c r="I688" s="37"/>
      <c r="J688" s="37"/>
      <c r="K688" s="35"/>
      <c r="L688" s="39"/>
      <c r="M688" s="45"/>
    </row>
    <row r="689" spans="1:13">
      <c r="A689" s="34"/>
      <c r="B689" s="34"/>
      <c r="C689" s="37"/>
      <c r="D689" s="37"/>
      <c r="E689" s="37"/>
      <c r="F689" s="38"/>
      <c r="G689" s="37"/>
      <c r="H689" s="37"/>
      <c r="I689" s="37"/>
      <c r="J689" s="37"/>
      <c r="K689" s="35"/>
      <c r="L689" s="39"/>
      <c r="M689" s="45"/>
    </row>
    <row r="690" spans="1:13">
      <c r="A690" s="34"/>
      <c r="B690" s="34"/>
      <c r="C690" s="37"/>
      <c r="D690" s="37"/>
      <c r="E690" s="37"/>
      <c r="F690" s="38"/>
      <c r="G690" s="37"/>
      <c r="H690" s="37"/>
      <c r="I690" s="37"/>
      <c r="J690" s="37"/>
      <c r="K690" s="35"/>
      <c r="L690" s="39"/>
      <c r="M690" s="45"/>
    </row>
    <row r="691" spans="1:13">
      <c r="A691" s="34"/>
      <c r="B691" s="34"/>
      <c r="C691" s="37"/>
      <c r="D691" s="37"/>
      <c r="E691" s="37"/>
      <c r="F691" s="38"/>
      <c r="G691" s="37"/>
      <c r="H691" s="37"/>
      <c r="I691" s="37"/>
      <c r="J691" s="37"/>
      <c r="K691" s="35"/>
      <c r="L691" s="39"/>
      <c r="M691" s="45"/>
    </row>
    <row r="692" spans="1:13">
      <c r="A692" s="34"/>
      <c r="B692" s="34"/>
      <c r="C692" s="37"/>
      <c r="D692" s="37"/>
      <c r="E692" s="37"/>
      <c r="F692" s="38"/>
      <c r="G692" s="37"/>
      <c r="H692" s="37"/>
      <c r="I692" s="37"/>
      <c r="J692" s="37"/>
      <c r="K692" s="35"/>
      <c r="L692" s="39"/>
      <c r="M692" s="45"/>
    </row>
    <row r="693" spans="1:13">
      <c r="A693" s="34"/>
      <c r="B693" s="34"/>
      <c r="C693" s="37"/>
      <c r="D693" s="37"/>
      <c r="E693" s="37"/>
      <c r="F693" s="38"/>
      <c r="G693" s="37"/>
      <c r="H693" s="37"/>
      <c r="I693" s="37"/>
      <c r="J693" s="37"/>
      <c r="K693" s="35"/>
      <c r="L693" s="39"/>
      <c r="M693" s="45"/>
    </row>
    <row r="694" spans="1:13">
      <c r="A694" s="34"/>
      <c r="B694" s="34"/>
      <c r="C694" s="37"/>
      <c r="D694" s="37"/>
      <c r="E694" s="37"/>
      <c r="F694" s="38"/>
      <c r="G694" s="37"/>
      <c r="H694" s="37"/>
      <c r="I694" s="37"/>
      <c r="J694" s="37"/>
      <c r="K694" s="35"/>
      <c r="L694" s="39"/>
      <c r="M694" s="45"/>
    </row>
    <row r="695" spans="1:13">
      <c r="A695" s="34"/>
      <c r="B695" s="34"/>
      <c r="C695" s="37"/>
      <c r="D695" s="37"/>
      <c r="E695" s="37"/>
      <c r="F695" s="38"/>
      <c r="G695" s="37"/>
      <c r="H695" s="37"/>
      <c r="I695" s="37"/>
      <c r="J695" s="37"/>
      <c r="K695" s="35"/>
      <c r="L695" s="39"/>
      <c r="M695" s="45"/>
    </row>
    <row r="696" spans="1:13">
      <c r="A696" s="34"/>
      <c r="B696" s="34"/>
      <c r="C696" s="37"/>
      <c r="D696" s="37"/>
      <c r="E696" s="37"/>
      <c r="F696" s="38"/>
      <c r="G696" s="37"/>
      <c r="H696" s="37"/>
      <c r="I696" s="37"/>
      <c r="J696" s="37"/>
      <c r="K696" s="35"/>
      <c r="L696" s="39"/>
      <c r="M696" s="45"/>
    </row>
    <row r="697" spans="1:13">
      <c r="A697" s="34"/>
      <c r="B697" s="34"/>
      <c r="C697" s="37"/>
      <c r="D697" s="37"/>
      <c r="E697" s="37"/>
      <c r="F697" s="38"/>
      <c r="G697" s="37"/>
      <c r="H697" s="37"/>
      <c r="I697" s="37"/>
      <c r="J697" s="37"/>
      <c r="K697" s="35"/>
      <c r="L697" s="39"/>
      <c r="M697" s="45"/>
    </row>
    <row r="698" spans="1:13">
      <c r="A698" s="34"/>
      <c r="B698" s="34"/>
      <c r="C698" s="37"/>
      <c r="D698" s="37"/>
      <c r="E698" s="37"/>
      <c r="F698" s="38"/>
      <c r="G698" s="37"/>
      <c r="H698" s="37"/>
      <c r="I698" s="37"/>
      <c r="J698" s="37"/>
      <c r="K698" s="35"/>
      <c r="L698" s="39"/>
      <c r="M698" s="45"/>
    </row>
    <row r="699" spans="1:13">
      <c r="A699" s="34"/>
      <c r="B699" s="34"/>
      <c r="C699" s="37"/>
      <c r="D699" s="37"/>
      <c r="E699" s="37"/>
      <c r="F699" s="38"/>
      <c r="G699" s="37"/>
      <c r="H699" s="37"/>
      <c r="I699" s="37"/>
      <c r="J699" s="37"/>
      <c r="K699" s="35"/>
      <c r="L699" s="39"/>
      <c r="M699" s="45"/>
    </row>
    <row r="700" spans="1:13">
      <c r="A700" s="34"/>
      <c r="B700" s="34"/>
      <c r="C700" s="37"/>
      <c r="D700" s="37"/>
      <c r="E700" s="37"/>
      <c r="F700" s="38"/>
      <c r="G700" s="37"/>
      <c r="H700" s="37"/>
      <c r="I700" s="37"/>
      <c r="J700" s="37"/>
      <c r="K700" s="35"/>
      <c r="L700" s="39"/>
      <c r="M700" s="45"/>
    </row>
    <row r="701" spans="1:13">
      <c r="A701" s="34"/>
      <c r="B701" s="34"/>
      <c r="C701" s="37"/>
      <c r="D701" s="37"/>
      <c r="E701" s="37"/>
      <c r="F701" s="38"/>
      <c r="G701" s="37"/>
      <c r="H701" s="37"/>
      <c r="I701" s="37"/>
      <c r="J701" s="37"/>
      <c r="K701" s="35"/>
      <c r="L701" s="39"/>
      <c r="M701" s="45"/>
    </row>
    <row r="702" spans="1:13">
      <c r="A702" s="34"/>
      <c r="B702" s="34"/>
      <c r="C702" s="37"/>
      <c r="D702" s="37"/>
      <c r="E702" s="37"/>
      <c r="F702" s="38"/>
      <c r="G702" s="37"/>
      <c r="H702" s="37"/>
      <c r="I702" s="37"/>
      <c r="J702" s="37"/>
      <c r="K702" s="35"/>
      <c r="L702" s="39"/>
      <c r="M702" s="45"/>
    </row>
    <row r="703" spans="1:13">
      <c r="A703" s="34"/>
      <c r="B703" s="34"/>
      <c r="C703" s="37"/>
      <c r="D703" s="37"/>
      <c r="E703" s="37"/>
      <c r="F703" s="38"/>
      <c r="G703" s="37"/>
      <c r="H703" s="37"/>
      <c r="I703" s="37"/>
      <c r="J703" s="37"/>
      <c r="K703" s="35"/>
      <c r="L703" s="39"/>
      <c r="M703" s="45"/>
    </row>
    <row r="704" spans="1:13">
      <c r="A704" s="34"/>
      <c r="B704" s="34"/>
      <c r="C704" s="37"/>
      <c r="D704" s="37"/>
      <c r="E704" s="37"/>
      <c r="F704" s="38"/>
      <c r="G704" s="37"/>
      <c r="H704" s="37"/>
      <c r="I704" s="37"/>
      <c r="J704" s="37"/>
      <c r="K704" s="35"/>
      <c r="L704" s="39"/>
      <c r="M704" s="45"/>
    </row>
    <row r="705" spans="1:13">
      <c r="A705" s="34"/>
      <c r="B705" s="34"/>
      <c r="C705" s="37"/>
      <c r="D705" s="37"/>
      <c r="E705" s="37"/>
      <c r="F705" s="38"/>
      <c r="G705" s="37"/>
      <c r="H705" s="37"/>
      <c r="I705" s="37"/>
      <c r="J705" s="37"/>
      <c r="K705" s="35"/>
      <c r="L705" s="39"/>
      <c r="M705" s="45"/>
    </row>
    <row r="706" spans="1:13">
      <c r="A706" s="34"/>
      <c r="B706" s="34"/>
      <c r="C706" s="37"/>
      <c r="D706" s="37"/>
      <c r="E706" s="37"/>
      <c r="F706" s="38"/>
      <c r="G706" s="37"/>
      <c r="H706" s="37"/>
      <c r="I706" s="37"/>
      <c r="J706" s="37"/>
      <c r="K706" s="35"/>
      <c r="L706" s="39"/>
      <c r="M706" s="45"/>
    </row>
    <row r="707" spans="1:13">
      <c r="A707" s="34"/>
      <c r="B707" s="34"/>
      <c r="C707" s="37"/>
      <c r="D707" s="37"/>
      <c r="E707" s="37"/>
      <c r="F707" s="38"/>
      <c r="G707" s="37"/>
      <c r="H707" s="37"/>
      <c r="I707" s="37"/>
      <c r="J707" s="37"/>
      <c r="K707" s="35"/>
      <c r="L707" s="39"/>
      <c r="M707" s="45"/>
    </row>
    <row r="708" spans="1:13">
      <c r="A708" s="34"/>
      <c r="B708" s="34"/>
      <c r="C708" s="37"/>
      <c r="D708" s="37"/>
      <c r="E708" s="37"/>
      <c r="F708" s="38"/>
      <c r="G708" s="37"/>
      <c r="H708" s="37"/>
      <c r="I708" s="37"/>
      <c r="J708" s="37"/>
      <c r="K708" s="35"/>
      <c r="L708" s="39"/>
      <c r="M708" s="45"/>
    </row>
    <row r="709" spans="1:13">
      <c r="A709" s="34"/>
      <c r="B709" s="34"/>
      <c r="C709" s="37"/>
      <c r="D709" s="37"/>
      <c r="E709" s="37"/>
      <c r="F709" s="38"/>
      <c r="G709" s="37"/>
      <c r="H709" s="37"/>
      <c r="I709" s="37"/>
      <c r="J709" s="37"/>
      <c r="K709" s="35"/>
      <c r="L709" s="39"/>
      <c r="M709" s="45"/>
    </row>
    <row r="710" spans="1:13">
      <c r="A710" s="34"/>
      <c r="B710" s="34"/>
      <c r="C710" s="37"/>
      <c r="D710" s="37"/>
      <c r="E710" s="37"/>
      <c r="F710" s="38"/>
      <c r="G710" s="37"/>
      <c r="H710" s="37"/>
      <c r="I710" s="37"/>
      <c r="J710" s="37"/>
      <c r="K710" s="35"/>
      <c r="L710" s="39"/>
      <c r="M710" s="45"/>
    </row>
    <row r="711" spans="1:13">
      <c r="A711" s="34"/>
      <c r="B711" s="34"/>
      <c r="C711" s="37"/>
      <c r="D711" s="37"/>
      <c r="E711" s="37"/>
      <c r="F711" s="38"/>
      <c r="G711" s="37"/>
      <c r="H711" s="37"/>
      <c r="I711" s="37"/>
      <c r="J711" s="37"/>
      <c r="K711" s="35"/>
      <c r="L711" s="39"/>
      <c r="M711" s="45"/>
    </row>
    <row r="712" spans="1:13">
      <c r="A712" s="34"/>
      <c r="B712" s="34"/>
      <c r="C712" s="37"/>
      <c r="D712" s="37"/>
      <c r="E712" s="37"/>
      <c r="F712" s="38"/>
      <c r="G712" s="37"/>
      <c r="H712" s="37"/>
      <c r="I712" s="37"/>
      <c r="J712" s="37"/>
      <c r="K712" s="35"/>
      <c r="L712" s="39"/>
      <c r="M712" s="45"/>
    </row>
    <row r="713" spans="1:13">
      <c r="A713" s="34"/>
      <c r="B713" s="34"/>
      <c r="C713" s="37"/>
      <c r="D713" s="37"/>
      <c r="E713" s="37"/>
      <c r="F713" s="38"/>
      <c r="G713" s="37"/>
      <c r="H713" s="37"/>
      <c r="I713" s="37"/>
      <c r="J713" s="37"/>
      <c r="K713" s="35"/>
      <c r="L713" s="39"/>
      <c r="M713" s="45"/>
    </row>
    <row r="714" spans="1:13">
      <c r="A714" s="34"/>
      <c r="B714" s="34"/>
      <c r="C714" s="37"/>
      <c r="D714" s="37"/>
      <c r="E714" s="37"/>
      <c r="F714" s="38"/>
      <c r="G714" s="37"/>
      <c r="H714" s="37"/>
      <c r="I714" s="37"/>
      <c r="J714" s="37"/>
      <c r="K714" s="35"/>
      <c r="L714" s="39"/>
      <c r="M714" s="45"/>
    </row>
    <row r="715" spans="1:13">
      <c r="A715" s="34"/>
      <c r="B715" s="34"/>
      <c r="C715" s="37"/>
      <c r="D715" s="37"/>
      <c r="E715" s="37"/>
      <c r="F715" s="38"/>
      <c r="G715" s="37"/>
      <c r="H715" s="37"/>
      <c r="I715" s="37"/>
      <c r="J715" s="37"/>
      <c r="K715" s="35"/>
      <c r="L715" s="39"/>
      <c r="M715" s="45"/>
    </row>
    <row r="716" spans="1:13">
      <c r="A716" s="34"/>
      <c r="B716" s="34"/>
      <c r="C716" s="37"/>
      <c r="D716" s="37"/>
      <c r="E716" s="37"/>
      <c r="F716" s="38"/>
      <c r="G716" s="37"/>
      <c r="H716" s="37"/>
      <c r="I716" s="37"/>
      <c r="J716" s="37"/>
      <c r="K716" s="35"/>
      <c r="L716" s="39"/>
      <c r="M716" s="45"/>
    </row>
    <row r="717" spans="1:13">
      <c r="A717" s="34"/>
      <c r="B717" s="34"/>
      <c r="C717" s="37"/>
      <c r="D717" s="37"/>
      <c r="E717" s="37"/>
      <c r="F717" s="38"/>
      <c r="G717" s="37"/>
      <c r="H717" s="37"/>
      <c r="I717" s="37"/>
      <c r="J717" s="37"/>
      <c r="K717" s="35"/>
      <c r="L717" s="39"/>
      <c r="M717" s="45"/>
    </row>
    <row r="718" spans="1:13">
      <c r="A718" s="34"/>
      <c r="B718" s="34"/>
      <c r="C718" s="37"/>
      <c r="D718" s="37"/>
      <c r="E718" s="37"/>
      <c r="F718" s="38"/>
      <c r="G718" s="37"/>
      <c r="H718" s="37"/>
      <c r="I718" s="37"/>
      <c r="J718" s="37"/>
      <c r="K718" s="35"/>
      <c r="L718" s="39"/>
      <c r="M718" s="45"/>
    </row>
    <row r="719" spans="1:13">
      <c r="A719" s="34"/>
      <c r="B719" s="34"/>
      <c r="C719" s="37"/>
      <c r="D719" s="37"/>
      <c r="E719" s="37"/>
      <c r="F719" s="38"/>
      <c r="G719" s="37"/>
      <c r="H719" s="37"/>
      <c r="I719" s="37"/>
      <c r="J719" s="37"/>
      <c r="K719" s="35"/>
      <c r="L719" s="39"/>
      <c r="M719" s="45"/>
    </row>
    <row r="720" spans="1:13">
      <c r="A720" s="34"/>
      <c r="B720" s="34"/>
      <c r="C720" s="37"/>
      <c r="D720" s="37"/>
      <c r="E720" s="37"/>
      <c r="F720" s="38"/>
      <c r="G720" s="37"/>
      <c r="H720" s="37"/>
      <c r="I720" s="37"/>
      <c r="J720" s="37"/>
      <c r="K720" s="35"/>
      <c r="L720" s="39"/>
      <c r="M720" s="45"/>
    </row>
    <row r="721" spans="1:13">
      <c r="A721" s="34"/>
      <c r="B721" s="34"/>
      <c r="C721" s="37"/>
      <c r="D721" s="37"/>
      <c r="E721" s="37"/>
      <c r="F721" s="38"/>
      <c r="G721" s="37"/>
      <c r="H721" s="37"/>
      <c r="I721" s="37"/>
      <c r="J721" s="37"/>
      <c r="K721" s="35"/>
      <c r="L721" s="39"/>
      <c r="M721" s="45"/>
    </row>
    <row r="722" spans="1:13">
      <c r="A722" s="34"/>
      <c r="B722" s="34"/>
      <c r="C722" s="37"/>
      <c r="D722" s="37"/>
      <c r="E722" s="37"/>
      <c r="F722" s="38"/>
      <c r="G722" s="37"/>
      <c r="H722" s="37"/>
      <c r="I722" s="37"/>
      <c r="J722" s="37"/>
      <c r="K722" s="35"/>
      <c r="L722" s="39"/>
      <c r="M722" s="45"/>
    </row>
    <row r="723" spans="1:13">
      <c r="A723" s="34"/>
      <c r="B723" s="34"/>
      <c r="C723" s="37"/>
      <c r="D723" s="37"/>
      <c r="E723" s="37"/>
      <c r="F723" s="38"/>
      <c r="G723" s="37"/>
      <c r="H723" s="37"/>
      <c r="I723" s="37"/>
      <c r="J723" s="37"/>
      <c r="K723" s="35"/>
      <c r="L723" s="39"/>
      <c r="M723" s="45"/>
    </row>
    <row r="724" spans="1:13">
      <c r="A724" s="34"/>
      <c r="B724" s="34"/>
      <c r="C724" s="37"/>
      <c r="D724" s="37"/>
      <c r="E724" s="37"/>
      <c r="F724" s="38"/>
      <c r="G724" s="37"/>
      <c r="H724" s="37"/>
      <c r="I724" s="37"/>
      <c r="J724" s="37"/>
      <c r="K724" s="35"/>
      <c r="L724" s="39"/>
      <c r="M724" s="45"/>
    </row>
    <row r="725" spans="1:13">
      <c r="A725" s="34"/>
      <c r="B725" s="34"/>
      <c r="C725" s="37"/>
      <c r="D725" s="37"/>
      <c r="E725" s="37"/>
      <c r="F725" s="38"/>
      <c r="G725" s="37"/>
      <c r="H725" s="37"/>
      <c r="I725" s="37"/>
      <c r="J725" s="37"/>
      <c r="K725" s="35"/>
      <c r="L725" s="39"/>
      <c r="M725" s="45"/>
    </row>
    <row r="726" spans="1:13">
      <c r="A726" s="34"/>
      <c r="B726" s="34"/>
      <c r="C726" s="37"/>
      <c r="D726" s="37"/>
      <c r="E726" s="37"/>
      <c r="F726" s="38"/>
      <c r="G726" s="37"/>
      <c r="H726" s="37"/>
      <c r="I726" s="37"/>
      <c r="J726" s="37"/>
      <c r="K726" s="35"/>
      <c r="L726" s="39"/>
      <c r="M726" s="45"/>
    </row>
    <row r="727" spans="1:13">
      <c r="A727" s="34"/>
      <c r="B727" s="34"/>
      <c r="C727" s="37"/>
      <c r="D727" s="37"/>
      <c r="E727" s="37"/>
      <c r="F727" s="38"/>
      <c r="G727" s="37"/>
      <c r="H727" s="37"/>
      <c r="I727" s="37"/>
      <c r="J727" s="37"/>
      <c r="K727" s="35"/>
      <c r="L727" s="39"/>
      <c r="M727" s="45"/>
    </row>
    <row r="728" spans="1:13">
      <c r="A728" s="34"/>
      <c r="B728" s="34"/>
      <c r="C728" s="37"/>
      <c r="D728" s="37"/>
      <c r="E728" s="37"/>
      <c r="F728" s="38"/>
      <c r="G728" s="37"/>
      <c r="H728" s="37"/>
      <c r="I728" s="37"/>
      <c r="J728" s="37"/>
      <c r="K728" s="35"/>
      <c r="L728" s="39"/>
      <c r="M728" s="45"/>
    </row>
    <row r="729" spans="1:13">
      <c r="A729" s="34"/>
      <c r="B729" s="34"/>
      <c r="C729" s="37"/>
      <c r="D729" s="37"/>
      <c r="E729" s="37"/>
      <c r="F729" s="38"/>
      <c r="G729" s="37"/>
      <c r="H729" s="37"/>
      <c r="I729" s="37"/>
      <c r="J729" s="37"/>
      <c r="K729" s="35"/>
      <c r="L729" s="39"/>
      <c r="M729" s="45"/>
    </row>
    <row r="730" spans="1:13">
      <c r="A730" s="34"/>
      <c r="B730" s="34"/>
      <c r="C730" s="37"/>
      <c r="D730" s="37"/>
      <c r="E730" s="37"/>
      <c r="F730" s="38"/>
      <c r="G730" s="37"/>
      <c r="H730" s="37"/>
      <c r="I730" s="37"/>
      <c r="J730" s="37"/>
      <c r="K730" s="35"/>
      <c r="L730" s="39"/>
      <c r="M730" s="45"/>
    </row>
    <row r="731" spans="1:13">
      <c r="A731" s="34"/>
      <c r="B731" s="34"/>
      <c r="C731" s="37"/>
      <c r="D731" s="37"/>
      <c r="E731" s="37"/>
      <c r="F731" s="38"/>
      <c r="G731" s="37"/>
      <c r="H731" s="37"/>
      <c r="I731" s="37"/>
      <c r="J731" s="37"/>
      <c r="K731" s="35"/>
      <c r="L731" s="39"/>
      <c r="M731" s="45"/>
    </row>
    <row r="732" spans="1:13">
      <c r="A732" s="34"/>
      <c r="B732" s="34"/>
      <c r="C732" s="37"/>
      <c r="D732" s="37"/>
      <c r="E732" s="37"/>
      <c r="F732" s="38"/>
      <c r="G732" s="37"/>
      <c r="H732" s="37"/>
      <c r="I732" s="37"/>
      <c r="J732" s="37"/>
      <c r="K732" s="35"/>
      <c r="L732" s="39"/>
      <c r="M732" s="45"/>
    </row>
    <row r="733" spans="1:13">
      <c r="A733" s="34"/>
      <c r="B733" s="34"/>
      <c r="C733" s="37"/>
      <c r="D733" s="37"/>
      <c r="E733" s="37"/>
      <c r="F733" s="38"/>
      <c r="G733" s="37"/>
      <c r="H733" s="37"/>
      <c r="I733" s="37"/>
      <c r="J733" s="37"/>
      <c r="K733" s="35"/>
      <c r="L733" s="39"/>
      <c r="M733" s="45"/>
    </row>
    <row r="734" spans="1:13">
      <c r="A734" s="34"/>
      <c r="B734" s="34"/>
      <c r="C734" s="37"/>
      <c r="D734" s="37"/>
      <c r="E734" s="37"/>
      <c r="F734" s="38"/>
      <c r="G734" s="37"/>
      <c r="H734" s="37"/>
      <c r="I734" s="37"/>
      <c r="J734" s="37"/>
      <c r="K734" s="35"/>
      <c r="L734" s="39"/>
      <c r="M734" s="45"/>
    </row>
    <row r="735" spans="1:13">
      <c r="A735" s="34"/>
      <c r="B735" s="34"/>
      <c r="C735" s="37"/>
      <c r="D735" s="37"/>
      <c r="E735" s="37"/>
      <c r="F735" s="38"/>
      <c r="G735" s="37"/>
      <c r="H735" s="37"/>
      <c r="I735" s="37"/>
      <c r="J735" s="37"/>
      <c r="K735" s="35"/>
      <c r="L735" s="39"/>
      <c r="M735" s="45"/>
    </row>
    <row r="736" spans="1:13">
      <c r="A736" s="34"/>
      <c r="B736" s="34"/>
      <c r="C736" s="37"/>
      <c r="D736" s="37"/>
      <c r="E736" s="37"/>
      <c r="F736" s="38"/>
      <c r="G736" s="37"/>
      <c r="H736" s="37"/>
      <c r="I736" s="37"/>
      <c r="J736" s="37"/>
      <c r="K736" s="35"/>
      <c r="L736" s="39"/>
      <c r="M736" s="45"/>
    </row>
    <row r="737" spans="1:13">
      <c r="A737" s="34"/>
      <c r="B737" s="34"/>
      <c r="C737" s="37"/>
      <c r="D737" s="37"/>
      <c r="E737" s="37"/>
      <c r="F737" s="38"/>
      <c r="G737" s="37"/>
      <c r="H737" s="37"/>
      <c r="I737" s="37"/>
      <c r="J737" s="37"/>
      <c r="K737" s="35"/>
      <c r="L737" s="39"/>
      <c r="M737" s="45"/>
    </row>
    <row r="738" spans="1:13">
      <c r="A738" s="34"/>
      <c r="B738" s="34"/>
      <c r="C738" s="37"/>
      <c r="D738" s="37"/>
      <c r="E738" s="37"/>
      <c r="F738" s="38"/>
      <c r="G738" s="37"/>
      <c r="H738" s="37"/>
      <c r="I738" s="37"/>
      <c r="J738" s="37"/>
      <c r="K738" s="35"/>
      <c r="L738" s="39"/>
      <c r="M738" s="45"/>
    </row>
    <row r="739" spans="1:13">
      <c r="A739" s="34"/>
      <c r="B739" s="34"/>
      <c r="C739" s="37"/>
      <c r="D739" s="37"/>
      <c r="E739" s="37"/>
      <c r="F739" s="38"/>
      <c r="G739" s="37"/>
      <c r="H739" s="37"/>
      <c r="I739" s="37"/>
      <c r="J739" s="37"/>
      <c r="K739" s="35"/>
      <c r="L739" s="39"/>
      <c r="M739" s="45"/>
    </row>
    <row r="740" spans="1:13">
      <c r="A740" s="34"/>
      <c r="B740" s="34"/>
      <c r="C740" s="37"/>
      <c r="D740" s="37"/>
      <c r="E740" s="37"/>
      <c r="F740" s="38"/>
      <c r="G740" s="37"/>
      <c r="H740" s="37"/>
      <c r="I740" s="37"/>
      <c r="J740" s="37"/>
      <c r="K740" s="35"/>
      <c r="L740" s="39"/>
      <c r="M740" s="45"/>
    </row>
    <row r="741" spans="1:13">
      <c r="A741" s="34"/>
      <c r="B741" s="34"/>
      <c r="C741" s="37"/>
      <c r="D741" s="37"/>
      <c r="E741" s="37"/>
      <c r="F741" s="38"/>
      <c r="G741" s="37"/>
      <c r="H741" s="37"/>
      <c r="I741" s="37"/>
      <c r="J741" s="37"/>
      <c r="K741" s="35"/>
      <c r="L741" s="39"/>
      <c r="M741" s="45"/>
    </row>
    <row r="742" spans="1:13">
      <c r="A742" s="34"/>
      <c r="B742" s="34"/>
      <c r="C742" s="37"/>
      <c r="D742" s="37"/>
      <c r="E742" s="37"/>
      <c r="F742" s="38"/>
      <c r="G742" s="37"/>
      <c r="H742" s="37"/>
      <c r="I742" s="37"/>
      <c r="J742" s="37"/>
      <c r="K742" s="35"/>
      <c r="L742" s="39"/>
      <c r="M742" s="45"/>
    </row>
    <row r="743" spans="1:13">
      <c r="A743" s="34"/>
      <c r="B743" s="34"/>
      <c r="C743" s="37"/>
      <c r="D743" s="37"/>
      <c r="E743" s="37"/>
      <c r="F743" s="38"/>
      <c r="G743" s="37"/>
      <c r="H743" s="37"/>
      <c r="I743" s="37"/>
      <c r="J743" s="37"/>
      <c r="K743" s="35"/>
      <c r="L743" s="39"/>
      <c r="M743" s="45"/>
    </row>
    <row r="744" spans="1:13">
      <c r="A744" s="34"/>
      <c r="B744" s="34"/>
      <c r="C744" s="37"/>
      <c r="D744" s="37"/>
      <c r="E744" s="37"/>
      <c r="F744" s="38"/>
      <c r="G744" s="37"/>
      <c r="H744" s="37"/>
      <c r="I744" s="37"/>
      <c r="J744" s="37"/>
      <c r="K744" s="35"/>
      <c r="L744" s="39"/>
      <c r="M744" s="45"/>
    </row>
    <row r="745" spans="1:13">
      <c r="A745" s="34"/>
      <c r="B745" s="34"/>
      <c r="C745" s="37"/>
      <c r="D745" s="37"/>
      <c r="E745" s="37"/>
      <c r="F745" s="38"/>
      <c r="G745" s="37"/>
      <c r="H745" s="37"/>
      <c r="I745" s="37"/>
      <c r="J745" s="37"/>
      <c r="K745" s="35"/>
      <c r="L745" s="39"/>
      <c r="M745" s="45"/>
    </row>
    <row r="746" spans="1:13">
      <c r="A746" s="34"/>
      <c r="B746" s="34"/>
      <c r="C746" s="37"/>
      <c r="D746" s="37"/>
      <c r="E746" s="37"/>
      <c r="F746" s="38"/>
      <c r="G746" s="37"/>
      <c r="H746" s="37"/>
      <c r="I746" s="37"/>
      <c r="J746" s="37"/>
      <c r="K746" s="35"/>
      <c r="L746" s="39"/>
      <c r="M746" s="45"/>
    </row>
    <row r="747" spans="1:13">
      <c r="A747" s="34"/>
      <c r="B747" s="34"/>
      <c r="C747" s="37"/>
      <c r="D747" s="37"/>
      <c r="E747" s="37"/>
      <c r="F747" s="38"/>
      <c r="G747" s="37"/>
      <c r="H747" s="37"/>
      <c r="I747" s="37"/>
      <c r="J747" s="37"/>
      <c r="K747" s="35"/>
      <c r="L747" s="39"/>
      <c r="M747" s="45"/>
    </row>
    <row r="748" spans="1:13">
      <c r="A748" s="34"/>
      <c r="B748" s="34"/>
      <c r="C748" s="37"/>
      <c r="D748" s="37"/>
      <c r="E748" s="37"/>
      <c r="F748" s="38"/>
      <c r="G748" s="37"/>
      <c r="H748" s="37"/>
      <c r="I748" s="37"/>
      <c r="J748" s="37"/>
      <c r="K748" s="35"/>
      <c r="L748" s="39"/>
      <c r="M748" s="45"/>
    </row>
    <row r="749" spans="1:13">
      <c r="A749" s="34"/>
      <c r="B749" s="34"/>
      <c r="C749" s="37"/>
      <c r="D749" s="37"/>
      <c r="E749" s="37"/>
      <c r="F749" s="38"/>
      <c r="G749" s="37"/>
      <c r="H749" s="37"/>
      <c r="I749" s="37"/>
      <c r="J749" s="37"/>
      <c r="K749" s="35"/>
      <c r="L749" s="39"/>
      <c r="M749" s="45"/>
    </row>
    <row r="750" spans="1:13">
      <c r="A750" s="34"/>
      <c r="B750" s="34"/>
      <c r="C750" s="37"/>
      <c r="D750" s="37"/>
      <c r="E750" s="37"/>
      <c r="F750" s="38"/>
      <c r="G750" s="37"/>
      <c r="H750" s="37"/>
      <c r="I750" s="37"/>
      <c r="J750" s="37"/>
      <c r="K750" s="35"/>
      <c r="L750" s="39"/>
      <c r="M750" s="45"/>
    </row>
    <row r="751" spans="1:13">
      <c r="A751" s="34"/>
      <c r="B751" s="34"/>
      <c r="C751" s="37"/>
      <c r="D751" s="37"/>
      <c r="E751" s="37"/>
      <c r="F751" s="38"/>
      <c r="G751" s="37"/>
      <c r="H751" s="37"/>
      <c r="I751" s="37"/>
      <c r="J751" s="37"/>
      <c r="K751" s="35"/>
      <c r="L751" s="39"/>
      <c r="M751" s="45"/>
    </row>
    <row r="752" spans="1:13">
      <c r="A752" s="34"/>
      <c r="B752" s="34"/>
      <c r="C752" s="37"/>
      <c r="D752" s="37"/>
      <c r="E752" s="37"/>
      <c r="F752" s="38"/>
      <c r="G752" s="37"/>
      <c r="H752" s="37"/>
      <c r="I752" s="37"/>
      <c r="J752" s="37"/>
      <c r="K752" s="35"/>
      <c r="L752" s="39"/>
      <c r="M752" s="45"/>
    </row>
    <row r="753" spans="1:13">
      <c r="A753" s="34"/>
      <c r="B753" s="34"/>
      <c r="C753" s="37"/>
      <c r="D753" s="37"/>
      <c r="E753" s="37"/>
      <c r="F753" s="38"/>
      <c r="G753" s="37"/>
      <c r="H753" s="37"/>
      <c r="I753" s="37"/>
      <c r="J753" s="37"/>
      <c r="K753" s="35"/>
      <c r="L753" s="39"/>
      <c r="M753" s="45"/>
    </row>
    <row r="754" spans="1:13">
      <c r="A754" s="34"/>
      <c r="B754" s="34"/>
      <c r="C754" s="37"/>
      <c r="D754" s="37"/>
      <c r="E754" s="37"/>
      <c r="F754" s="38"/>
      <c r="G754" s="37"/>
      <c r="H754" s="37"/>
      <c r="I754" s="37"/>
      <c r="J754" s="37"/>
      <c r="K754" s="35"/>
      <c r="L754" s="39"/>
      <c r="M754" s="45"/>
    </row>
    <row r="755" spans="1:13">
      <c r="A755" s="34"/>
      <c r="B755" s="34"/>
      <c r="C755" s="37"/>
      <c r="D755" s="37"/>
      <c r="E755" s="37"/>
      <c r="F755" s="38"/>
      <c r="G755" s="37"/>
      <c r="H755" s="37"/>
      <c r="I755" s="37"/>
      <c r="J755" s="37"/>
      <c r="K755" s="35"/>
      <c r="L755" s="39"/>
      <c r="M755" s="45"/>
    </row>
    <row r="756" spans="1:13">
      <c r="A756" s="34"/>
      <c r="B756" s="34"/>
      <c r="C756" s="37"/>
      <c r="D756" s="37"/>
      <c r="E756" s="37"/>
      <c r="F756" s="38"/>
      <c r="G756" s="37"/>
      <c r="H756" s="37"/>
      <c r="I756" s="37"/>
      <c r="J756" s="37"/>
      <c r="K756" s="35"/>
      <c r="L756" s="39"/>
      <c r="M756" s="45"/>
    </row>
    <row r="757" spans="1:13">
      <c r="A757" s="34"/>
      <c r="B757" s="34"/>
      <c r="C757" s="37"/>
      <c r="D757" s="37"/>
      <c r="E757" s="37"/>
      <c r="F757" s="38"/>
      <c r="G757" s="37"/>
      <c r="H757" s="37"/>
      <c r="I757" s="37"/>
      <c r="J757" s="37"/>
      <c r="K757" s="35"/>
      <c r="L757" s="39"/>
      <c r="M757" s="45"/>
    </row>
    <row r="758" spans="1:13">
      <c r="A758" s="34"/>
      <c r="B758" s="34"/>
      <c r="C758" s="37"/>
      <c r="D758" s="37"/>
      <c r="E758" s="37"/>
      <c r="F758" s="38"/>
      <c r="G758" s="37"/>
      <c r="H758" s="37"/>
      <c r="I758" s="37"/>
      <c r="J758" s="37"/>
      <c r="K758" s="35"/>
      <c r="L758" s="39"/>
      <c r="M758" s="45"/>
    </row>
    <row r="759" spans="1:13">
      <c r="A759" s="34"/>
      <c r="B759" s="34"/>
      <c r="C759" s="37"/>
      <c r="D759" s="37"/>
      <c r="E759" s="37"/>
      <c r="F759" s="38"/>
      <c r="G759" s="37"/>
      <c r="H759" s="37"/>
      <c r="I759" s="37"/>
      <c r="J759" s="37"/>
      <c r="K759" s="35"/>
      <c r="L759" s="39"/>
      <c r="M759" s="45"/>
    </row>
    <row r="760" spans="1:13">
      <c r="A760" s="34"/>
      <c r="B760" s="34"/>
      <c r="C760" s="37"/>
      <c r="D760" s="37"/>
      <c r="E760" s="37"/>
      <c r="F760" s="38"/>
      <c r="G760" s="37"/>
      <c r="H760" s="37"/>
      <c r="I760" s="37"/>
      <c r="J760" s="37"/>
      <c r="K760" s="35"/>
      <c r="L760" s="39"/>
      <c r="M760" s="45"/>
    </row>
    <row r="761" spans="1:13">
      <c r="A761" s="34"/>
      <c r="B761" s="34"/>
      <c r="C761" s="37"/>
      <c r="D761" s="37"/>
      <c r="E761" s="37"/>
      <c r="F761" s="38"/>
      <c r="G761" s="37"/>
      <c r="H761" s="37"/>
      <c r="I761" s="37"/>
      <c r="J761" s="37"/>
      <c r="K761" s="35"/>
      <c r="L761" s="39"/>
      <c r="M761" s="45"/>
    </row>
    <row r="762" spans="1:13">
      <c r="A762" s="34"/>
      <c r="B762" s="34"/>
      <c r="C762" s="37"/>
      <c r="D762" s="37"/>
      <c r="E762" s="37"/>
      <c r="F762" s="38"/>
      <c r="G762" s="37"/>
      <c r="H762" s="37"/>
      <c r="I762" s="37"/>
      <c r="J762" s="37"/>
      <c r="K762" s="35"/>
      <c r="L762" s="39"/>
      <c r="M762" s="45"/>
    </row>
    <row r="763" spans="1:13">
      <c r="A763" s="34"/>
      <c r="B763" s="34"/>
      <c r="C763" s="37"/>
      <c r="D763" s="37"/>
      <c r="E763" s="37"/>
      <c r="F763" s="38"/>
      <c r="G763" s="37"/>
      <c r="H763" s="37"/>
      <c r="I763" s="37"/>
      <c r="J763" s="37"/>
      <c r="K763" s="35"/>
      <c r="L763" s="39"/>
      <c r="M763" s="45"/>
    </row>
    <row r="764" spans="1:13">
      <c r="A764" s="34"/>
      <c r="B764" s="34"/>
      <c r="C764" s="37"/>
      <c r="D764" s="37"/>
      <c r="E764" s="37"/>
      <c r="F764" s="38"/>
      <c r="G764" s="37"/>
      <c r="H764" s="37"/>
      <c r="I764" s="37"/>
      <c r="J764" s="37"/>
      <c r="K764" s="35"/>
      <c r="L764" s="39"/>
      <c r="M764" s="45"/>
    </row>
    <row r="765" spans="1:13">
      <c r="A765" s="34"/>
      <c r="B765" s="34"/>
      <c r="C765" s="37"/>
      <c r="D765" s="37"/>
      <c r="E765" s="37"/>
      <c r="F765" s="38"/>
      <c r="G765" s="37"/>
      <c r="H765" s="37"/>
      <c r="I765" s="37"/>
      <c r="J765" s="37"/>
      <c r="K765" s="35"/>
      <c r="L765" s="39"/>
      <c r="M765" s="45"/>
    </row>
    <row r="766" spans="1:13">
      <c r="A766" s="34"/>
      <c r="B766" s="34"/>
      <c r="C766" s="37"/>
      <c r="D766" s="37"/>
      <c r="E766" s="37"/>
      <c r="F766" s="38"/>
      <c r="G766" s="37"/>
      <c r="H766" s="37"/>
      <c r="I766" s="37"/>
      <c r="J766" s="37"/>
      <c r="K766" s="35"/>
      <c r="L766" s="39"/>
      <c r="M766" s="45"/>
    </row>
    <row r="767" spans="1:13">
      <c r="A767" s="34"/>
      <c r="B767" s="34"/>
      <c r="C767" s="37"/>
      <c r="D767" s="37"/>
      <c r="E767" s="37"/>
      <c r="F767" s="38"/>
      <c r="G767" s="37"/>
      <c r="H767" s="37"/>
      <c r="I767" s="37"/>
      <c r="J767" s="37"/>
      <c r="K767" s="35"/>
      <c r="L767" s="39"/>
      <c r="M767" s="45"/>
    </row>
    <row r="768" spans="1:13">
      <c r="A768" s="34"/>
      <c r="B768" s="34"/>
      <c r="C768" s="37"/>
      <c r="D768" s="37"/>
      <c r="E768" s="37"/>
      <c r="F768" s="38"/>
      <c r="G768" s="37"/>
      <c r="H768" s="37"/>
      <c r="I768" s="37"/>
      <c r="J768" s="37"/>
      <c r="K768" s="35"/>
      <c r="L768" s="39"/>
      <c r="M768" s="45"/>
    </row>
    <row r="769" spans="1:13">
      <c r="A769" s="34"/>
      <c r="B769" s="34"/>
      <c r="C769" s="37"/>
      <c r="D769" s="37"/>
      <c r="E769" s="37"/>
      <c r="F769" s="38"/>
      <c r="G769" s="37"/>
      <c r="H769" s="37"/>
      <c r="I769" s="37"/>
      <c r="J769" s="37"/>
      <c r="K769" s="35"/>
      <c r="L769" s="39"/>
      <c r="M769" s="45"/>
    </row>
    <row r="770" spans="1:13">
      <c r="A770" s="34"/>
      <c r="B770" s="34"/>
      <c r="C770" s="37"/>
      <c r="D770" s="37"/>
      <c r="E770" s="37"/>
      <c r="F770" s="38"/>
      <c r="G770" s="37"/>
      <c r="H770" s="37"/>
      <c r="I770" s="37"/>
      <c r="J770" s="37"/>
      <c r="K770" s="35"/>
      <c r="L770" s="39"/>
      <c r="M770" s="45"/>
    </row>
    <row r="771" spans="1:13">
      <c r="A771" s="34"/>
      <c r="B771" s="34"/>
      <c r="C771" s="37"/>
      <c r="D771" s="37"/>
      <c r="E771" s="37"/>
      <c r="F771" s="38"/>
      <c r="G771" s="37"/>
      <c r="H771" s="37"/>
      <c r="I771" s="37"/>
      <c r="J771" s="37"/>
      <c r="K771" s="35"/>
      <c r="L771" s="39"/>
      <c r="M771" s="45"/>
    </row>
    <row r="772" spans="1:13">
      <c r="A772" s="34"/>
      <c r="B772" s="34"/>
      <c r="C772" s="37"/>
      <c r="D772" s="37"/>
      <c r="E772" s="37"/>
      <c r="F772" s="38"/>
      <c r="G772" s="37"/>
      <c r="H772" s="37"/>
      <c r="I772" s="37"/>
      <c r="J772" s="37"/>
      <c r="K772" s="35"/>
      <c r="L772" s="39"/>
      <c r="M772" s="45"/>
    </row>
    <row r="773" spans="1:13">
      <c r="A773" s="34"/>
      <c r="B773" s="34"/>
      <c r="C773" s="37"/>
      <c r="D773" s="37"/>
      <c r="E773" s="37"/>
      <c r="F773" s="38"/>
      <c r="G773" s="37"/>
      <c r="H773" s="37"/>
      <c r="I773" s="37"/>
      <c r="J773" s="37"/>
      <c r="K773" s="35"/>
      <c r="L773" s="39"/>
      <c r="M773" s="45"/>
    </row>
    <row r="774" spans="1:13">
      <c r="A774" s="34"/>
      <c r="B774" s="34"/>
      <c r="C774" s="37"/>
      <c r="D774" s="37"/>
      <c r="E774" s="37"/>
      <c r="F774" s="38"/>
      <c r="G774" s="37"/>
      <c r="H774" s="37"/>
      <c r="I774" s="37"/>
      <c r="J774" s="37"/>
      <c r="K774" s="35"/>
      <c r="L774" s="39"/>
      <c r="M774" s="45"/>
    </row>
    <row r="775" spans="1:13">
      <c r="A775" s="34"/>
      <c r="B775" s="34"/>
      <c r="C775" s="37"/>
      <c r="D775" s="37"/>
      <c r="E775" s="37"/>
      <c r="F775" s="38"/>
      <c r="G775" s="37"/>
      <c r="H775" s="37"/>
      <c r="I775" s="37"/>
      <c r="J775" s="37"/>
      <c r="K775" s="35"/>
      <c r="L775" s="39"/>
      <c r="M775" s="45"/>
    </row>
    <row r="776" spans="1:13">
      <c r="A776" s="34"/>
      <c r="B776" s="34"/>
      <c r="C776" s="37"/>
      <c r="D776" s="37"/>
      <c r="E776" s="37"/>
      <c r="F776" s="38"/>
      <c r="G776" s="37"/>
      <c r="H776" s="37"/>
      <c r="I776" s="37"/>
      <c r="J776" s="37"/>
      <c r="K776" s="35"/>
      <c r="L776" s="39"/>
      <c r="M776" s="45"/>
    </row>
    <row r="777" spans="1:13">
      <c r="A777" s="34"/>
      <c r="B777" s="34"/>
      <c r="C777" s="37"/>
      <c r="D777" s="37"/>
      <c r="E777" s="37"/>
      <c r="F777" s="38"/>
      <c r="G777" s="37"/>
      <c r="H777" s="37"/>
      <c r="I777" s="37"/>
      <c r="J777" s="37"/>
      <c r="K777" s="35"/>
      <c r="L777" s="39"/>
      <c r="M777" s="45"/>
    </row>
    <row r="778" spans="1:13">
      <c r="A778" s="34"/>
      <c r="B778" s="34"/>
      <c r="C778" s="37"/>
      <c r="D778" s="37"/>
      <c r="E778" s="37"/>
      <c r="F778" s="38"/>
      <c r="G778" s="37"/>
      <c r="H778" s="37"/>
      <c r="I778" s="37"/>
      <c r="J778" s="37"/>
      <c r="K778" s="35"/>
      <c r="L778" s="39"/>
      <c r="M778" s="45"/>
    </row>
    <row r="779" spans="1:13">
      <c r="A779" s="34"/>
      <c r="B779" s="34"/>
      <c r="C779" s="37"/>
      <c r="D779" s="37"/>
      <c r="E779" s="37"/>
      <c r="F779" s="38"/>
      <c r="G779" s="37"/>
      <c r="H779" s="37"/>
      <c r="I779" s="37"/>
      <c r="J779" s="37"/>
      <c r="K779" s="35"/>
      <c r="L779" s="39"/>
      <c r="M779" s="45"/>
    </row>
    <row r="780" spans="1:13">
      <c r="A780" s="34"/>
      <c r="B780" s="34"/>
      <c r="C780" s="37"/>
      <c r="D780" s="37"/>
      <c r="E780" s="37"/>
      <c r="F780" s="38"/>
      <c r="G780" s="37"/>
      <c r="H780" s="37"/>
      <c r="I780" s="37"/>
      <c r="J780" s="37"/>
      <c r="K780" s="35"/>
      <c r="L780" s="39"/>
      <c r="M780" s="45"/>
    </row>
    <row r="781" spans="1:13">
      <c r="A781" s="34"/>
      <c r="B781" s="34"/>
      <c r="C781" s="37"/>
      <c r="D781" s="37"/>
      <c r="E781" s="37"/>
      <c r="F781" s="38"/>
      <c r="G781" s="37"/>
      <c r="H781" s="37"/>
      <c r="I781" s="37"/>
      <c r="J781" s="37"/>
      <c r="K781" s="35"/>
      <c r="L781" s="39"/>
      <c r="M781" s="45"/>
    </row>
    <row r="782" spans="1:13">
      <c r="A782" s="34"/>
      <c r="B782" s="34"/>
      <c r="C782" s="37"/>
      <c r="D782" s="37"/>
      <c r="E782" s="37"/>
      <c r="F782" s="38"/>
      <c r="G782" s="37"/>
      <c r="H782" s="37"/>
      <c r="I782" s="37"/>
      <c r="J782" s="37"/>
      <c r="K782" s="35"/>
      <c r="L782" s="39"/>
      <c r="M782" s="45"/>
    </row>
    <row r="783" spans="1:13">
      <c r="A783" s="34"/>
      <c r="B783" s="34"/>
      <c r="C783" s="37"/>
      <c r="D783" s="37"/>
      <c r="E783" s="37"/>
      <c r="F783" s="38"/>
      <c r="G783" s="37"/>
      <c r="H783" s="37"/>
      <c r="I783" s="37"/>
      <c r="J783" s="37"/>
      <c r="K783" s="35"/>
      <c r="L783" s="39"/>
      <c r="M783" s="45"/>
    </row>
    <row r="784" spans="1:13">
      <c r="A784" s="34"/>
      <c r="B784" s="34"/>
      <c r="C784" s="37"/>
      <c r="D784" s="37"/>
      <c r="E784" s="37"/>
      <c r="F784" s="38"/>
      <c r="G784" s="37"/>
      <c r="H784" s="37"/>
      <c r="I784" s="37"/>
      <c r="J784" s="37"/>
      <c r="K784" s="35"/>
      <c r="L784" s="39"/>
      <c r="M784" s="45"/>
    </row>
    <row r="785" spans="1:13">
      <c r="A785" s="34"/>
      <c r="B785" s="34"/>
      <c r="C785" s="37"/>
      <c r="D785" s="37"/>
      <c r="E785" s="37"/>
      <c r="F785" s="38"/>
      <c r="G785" s="37"/>
      <c r="H785" s="37"/>
      <c r="I785" s="37"/>
      <c r="J785" s="37"/>
      <c r="K785" s="35"/>
      <c r="L785" s="39"/>
      <c r="M785" s="45"/>
    </row>
    <row r="786" spans="1:13">
      <c r="A786" s="34"/>
      <c r="B786" s="34"/>
      <c r="C786" s="37"/>
      <c r="D786" s="37"/>
      <c r="E786" s="37"/>
      <c r="F786" s="38"/>
      <c r="G786" s="37"/>
      <c r="H786" s="37"/>
      <c r="I786" s="37"/>
      <c r="J786" s="37"/>
      <c r="K786" s="35"/>
      <c r="L786" s="39"/>
      <c r="M786" s="45"/>
    </row>
    <row r="787" spans="1:13">
      <c r="A787" s="34"/>
      <c r="B787" s="34"/>
      <c r="C787" s="37"/>
      <c r="D787" s="37"/>
      <c r="E787" s="37"/>
      <c r="F787" s="38"/>
      <c r="G787" s="37"/>
      <c r="H787" s="37"/>
      <c r="I787" s="37"/>
      <c r="J787" s="37"/>
      <c r="K787" s="35"/>
      <c r="L787" s="39"/>
      <c r="M787" s="45"/>
    </row>
    <row r="788" spans="1:13">
      <c r="A788" s="34"/>
      <c r="B788" s="34"/>
      <c r="C788" s="37"/>
      <c r="D788" s="37"/>
      <c r="E788" s="37"/>
      <c r="F788" s="38"/>
      <c r="G788" s="37"/>
      <c r="H788" s="37"/>
      <c r="I788" s="37"/>
      <c r="J788" s="37"/>
      <c r="K788" s="35"/>
      <c r="L788" s="39"/>
      <c r="M788" s="45"/>
    </row>
    <row r="789" spans="1:13">
      <c r="A789" s="34"/>
      <c r="B789" s="34"/>
      <c r="C789" s="37"/>
      <c r="D789" s="37"/>
      <c r="E789" s="37"/>
      <c r="F789" s="38"/>
      <c r="G789" s="37"/>
      <c r="H789" s="37"/>
      <c r="I789" s="37"/>
      <c r="J789" s="37"/>
      <c r="K789" s="35"/>
      <c r="L789" s="39"/>
      <c r="M789" s="45"/>
    </row>
    <row r="790" spans="1:13">
      <c r="A790" s="34"/>
      <c r="B790" s="34"/>
      <c r="C790" s="37"/>
      <c r="D790" s="37"/>
      <c r="E790" s="37"/>
      <c r="F790" s="38"/>
      <c r="G790" s="37"/>
      <c r="H790" s="37"/>
      <c r="I790" s="37"/>
      <c r="J790" s="37"/>
      <c r="K790" s="35"/>
      <c r="L790" s="39"/>
      <c r="M790" s="45"/>
    </row>
    <row r="791" spans="1:13">
      <c r="A791" s="34"/>
      <c r="B791" s="34"/>
      <c r="C791" s="37"/>
      <c r="D791" s="37"/>
      <c r="E791" s="37"/>
      <c r="F791" s="38"/>
      <c r="G791" s="37"/>
      <c r="H791" s="37"/>
      <c r="I791" s="37"/>
      <c r="J791" s="37"/>
      <c r="K791" s="35"/>
      <c r="L791" s="39"/>
      <c r="M791" s="45"/>
    </row>
    <row r="792" spans="1:13">
      <c r="A792" s="34"/>
      <c r="B792" s="34"/>
      <c r="C792" s="37"/>
      <c r="D792" s="37"/>
      <c r="E792" s="37"/>
      <c r="F792" s="38"/>
      <c r="G792" s="37"/>
      <c r="H792" s="37"/>
      <c r="I792" s="37"/>
      <c r="J792" s="37"/>
      <c r="K792" s="35"/>
      <c r="L792" s="39"/>
      <c r="M792" s="45"/>
    </row>
    <row r="793" spans="1:13">
      <c r="A793" s="34"/>
      <c r="B793" s="34"/>
      <c r="C793" s="37"/>
      <c r="D793" s="37"/>
      <c r="E793" s="37"/>
      <c r="F793" s="38"/>
      <c r="G793" s="37"/>
      <c r="H793" s="37"/>
      <c r="I793" s="37"/>
      <c r="J793" s="37"/>
      <c r="K793" s="35"/>
      <c r="L793" s="39"/>
      <c r="M793" s="45"/>
    </row>
    <row r="794" spans="1:13">
      <c r="A794" s="34"/>
      <c r="B794" s="34"/>
      <c r="C794" s="37"/>
      <c r="D794" s="37"/>
      <c r="E794" s="37"/>
      <c r="F794" s="38"/>
      <c r="G794" s="37"/>
      <c r="H794" s="37"/>
      <c r="I794" s="37"/>
      <c r="J794" s="37"/>
      <c r="K794" s="35"/>
      <c r="L794" s="39"/>
      <c r="M794" s="45"/>
    </row>
    <row r="795" spans="1:13">
      <c r="A795" s="37"/>
      <c r="B795" s="37"/>
      <c r="C795" s="37"/>
      <c r="D795" s="37"/>
      <c r="E795" s="37"/>
      <c r="F795" s="38"/>
      <c r="G795" s="37"/>
      <c r="H795" s="37"/>
      <c r="I795" s="37"/>
      <c r="J795" s="37"/>
      <c r="K795" s="40"/>
      <c r="L795" s="39"/>
      <c r="M795" s="45"/>
    </row>
    <row r="796" spans="1:13">
      <c r="A796" s="37"/>
      <c r="B796" s="37"/>
      <c r="C796" s="37"/>
      <c r="D796" s="37"/>
      <c r="E796" s="37"/>
      <c r="F796" s="38"/>
      <c r="G796" s="37"/>
      <c r="H796" s="37"/>
      <c r="I796" s="37"/>
      <c r="J796" s="37"/>
      <c r="K796" s="40"/>
      <c r="L796" s="39"/>
      <c r="M796" s="45"/>
    </row>
    <row r="797" spans="1:13">
      <c r="A797" s="37"/>
      <c r="B797" s="37"/>
      <c r="C797" s="37"/>
      <c r="D797" s="37"/>
      <c r="E797" s="37"/>
      <c r="F797" s="38"/>
      <c r="G797" s="37"/>
      <c r="H797" s="37"/>
      <c r="I797" s="37"/>
      <c r="J797" s="37"/>
      <c r="K797" s="40"/>
      <c r="L797" s="39"/>
      <c r="M797" s="45"/>
    </row>
    <row r="798" spans="1:13">
      <c r="A798" s="37"/>
      <c r="B798" s="37"/>
      <c r="C798" s="37"/>
      <c r="D798" s="37"/>
      <c r="E798" s="37"/>
      <c r="F798" s="38"/>
      <c r="G798" s="37"/>
      <c r="H798" s="37"/>
      <c r="I798" s="37"/>
      <c r="J798" s="37"/>
      <c r="K798" s="40"/>
      <c r="L798" s="39"/>
      <c r="M798" s="45"/>
    </row>
    <row r="799" spans="1:13">
      <c r="A799" s="37"/>
      <c r="B799" s="37"/>
      <c r="C799" s="37"/>
      <c r="D799" s="37"/>
      <c r="E799" s="37"/>
      <c r="F799" s="38"/>
      <c r="G799" s="37"/>
      <c r="H799" s="37"/>
      <c r="I799" s="37"/>
      <c r="J799" s="37"/>
      <c r="K799" s="40"/>
      <c r="L799" s="39"/>
      <c r="M799" s="45"/>
    </row>
    <row r="800" spans="1:13">
      <c r="A800" s="37"/>
      <c r="B800" s="37"/>
      <c r="C800" s="37"/>
      <c r="D800" s="37"/>
      <c r="E800" s="37"/>
      <c r="F800" s="38"/>
      <c r="G800" s="37"/>
      <c r="H800" s="37"/>
      <c r="I800" s="37"/>
      <c r="J800" s="37"/>
      <c r="K800" s="40"/>
      <c r="L800" s="39"/>
      <c r="M800" s="45"/>
    </row>
    <row r="801" spans="1:13">
      <c r="A801" s="37"/>
      <c r="B801" s="37"/>
      <c r="C801" s="37"/>
      <c r="D801" s="37"/>
      <c r="E801" s="37"/>
      <c r="F801" s="38"/>
      <c r="G801" s="37"/>
      <c r="H801" s="37"/>
      <c r="I801" s="37"/>
      <c r="J801" s="37"/>
      <c r="K801" s="40"/>
      <c r="L801" s="39"/>
      <c r="M801" s="45"/>
    </row>
    <row r="802" spans="1:13">
      <c r="A802" s="37"/>
      <c r="B802" s="37"/>
      <c r="C802" s="37"/>
      <c r="D802" s="37"/>
      <c r="E802" s="37"/>
      <c r="F802" s="38"/>
      <c r="G802" s="37"/>
      <c r="H802" s="37"/>
      <c r="I802" s="37"/>
      <c r="J802" s="37"/>
      <c r="K802" s="40"/>
      <c r="L802" s="39"/>
      <c r="M802" s="45"/>
    </row>
    <row r="803" spans="1:13">
      <c r="A803" s="37"/>
      <c r="B803" s="37"/>
      <c r="C803" s="37"/>
      <c r="D803" s="37"/>
      <c r="E803" s="37"/>
      <c r="F803" s="38"/>
      <c r="G803" s="37"/>
      <c r="H803" s="37"/>
      <c r="I803" s="37"/>
      <c r="J803" s="37"/>
      <c r="K803" s="40"/>
      <c r="L803" s="39"/>
      <c r="M803" s="45"/>
    </row>
    <row r="804" spans="1:13">
      <c r="A804" s="37"/>
      <c r="B804" s="37"/>
      <c r="C804" s="37"/>
      <c r="D804" s="37"/>
      <c r="E804" s="37"/>
      <c r="F804" s="38"/>
      <c r="G804" s="37"/>
      <c r="H804" s="37"/>
      <c r="I804" s="37"/>
      <c r="J804" s="37"/>
      <c r="K804" s="40"/>
      <c r="L804" s="39"/>
      <c r="M804" s="45"/>
    </row>
    <row r="805" spans="1:13">
      <c r="A805" s="37"/>
      <c r="B805" s="37"/>
      <c r="C805" s="37"/>
      <c r="D805" s="37"/>
      <c r="E805" s="37"/>
      <c r="F805" s="38"/>
      <c r="G805" s="37"/>
      <c r="H805" s="37"/>
      <c r="I805" s="37"/>
      <c r="J805" s="37"/>
      <c r="K805" s="40"/>
      <c r="L805" s="39"/>
      <c r="M805" s="45"/>
    </row>
    <row r="806" spans="1:13">
      <c r="A806" s="37"/>
      <c r="B806" s="37"/>
      <c r="C806" s="37"/>
      <c r="D806" s="37"/>
      <c r="E806" s="37"/>
      <c r="F806" s="38"/>
      <c r="G806" s="37"/>
      <c r="H806" s="37"/>
      <c r="I806" s="37"/>
      <c r="J806" s="37"/>
      <c r="K806" s="40"/>
      <c r="L806" s="39"/>
      <c r="M806" s="45"/>
    </row>
    <row r="807" spans="1:13">
      <c r="A807" s="37"/>
      <c r="B807" s="37"/>
      <c r="C807" s="37"/>
      <c r="D807" s="37"/>
      <c r="E807" s="37"/>
      <c r="F807" s="38"/>
      <c r="G807" s="37"/>
      <c r="H807" s="37"/>
      <c r="I807" s="37"/>
      <c r="J807" s="37"/>
      <c r="K807" s="40"/>
      <c r="L807" s="39"/>
      <c r="M807" s="45"/>
    </row>
    <row r="808" spans="1:13">
      <c r="A808" s="37"/>
      <c r="B808" s="37"/>
      <c r="C808" s="37"/>
      <c r="D808" s="37"/>
      <c r="E808" s="37"/>
      <c r="F808" s="38"/>
      <c r="G808" s="37"/>
      <c r="H808" s="37"/>
      <c r="I808" s="37"/>
      <c r="J808" s="37"/>
      <c r="K808" s="40"/>
      <c r="L808" s="39"/>
      <c r="M808" s="45"/>
    </row>
    <row r="809" spans="1:13">
      <c r="A809" s="37"/>
      <c r="B809" s="37"/>
      <c r="C809" s="37"/>
      <c r="D809" s="37"/>
      <c r="E809" s="37"/>
      <c r="F809" s="38"/>
      <c r="G809" s="37"/>
      <c r="H809" s="37"/>
      <c r="I809" s="37"/>
      <c r="J809" s="37"/>
      <c r="K809" s="40"/>
      <c r="L809" s="39"/>
      <c r="M809" s="45"/>
    </row>
    <row r="810" spans="1:13">
      <c r="A810" s="37"/>
      <c r="B810" s="37"/>
      <c r="C810" s="37"/>
      <c r="D810" s="37"/>
      <c r="E810" s="37"/>
      <c r="F810" s="38"/>
      <c r="G810" s="37"/>
      <c r="H810" s="37"/>
      <c r="I810" s="37"/>
      <c r="J810" s="37"/>
      <c r="K810" s="40"/>
      <c r="L810" s="39"/>
      <c r="M810" s="45"/>
    </row>
    <row r="811" spans="1:13">
      <c r="A811" s="37"/>
      <c r="B811" s="37"/>
      <c r="C811" s="37"/>
      <c r="D811" s="37"/>
      <c r="E811" s="37"/>
      <c r="F811" s="38"/>
      <c r="G811" s="37"/>
      <c r="H811" s="37"/>
      <c r="I811" s="37"/>
      <c r="J811" s="37"/>
      <c r="K811" s="40"/>
      <c r="L811" s="39"/>
      <c r="M811" s="45"/>
    </row>
    <row r="812" spans="1:13">
      <c r="A812" s="37"/>
      <c r="B812" s="37"/>
      <c r="C812" s="37"/>
      <c r="D812" s="37"/>
      <c r="E812" s="37"/>
      <c r="F812" s="38"/>
      <c r="G812" s="37"/>
      <c r="H812" s="37"/>
      <c r="I812" s="37"/>
      <c r="J812" s="37"/>
      <c r="K812" s="40"/>
      <c r="L812" s="39"/>
      <c r="M812" s="45"/>
    </row>
    <row r="813" spans="1:13">
      <c r="A813" s="37"/>
      <c r="B813" s="37"/>
      <c r="C813" s="37"/>
      <c r="D813" s="37"/>
      <c r="E813" s="37"/>
      <c r="F813" s="38"/>
      <c r="G813" s="37"/>
      <c r="H813" s="37"/>
      <c r="I813" s="37"/>
      <c r="J813" s="37"/>
      <c r="K813" s="40"/>
      <c r="L813" s="39"/>
      <c r="M813" s="45"/>
    </row>
    <row r="814" spans="1:13">
      <c r="A814" s="37"/>
      <c r="B814" s="37"/>
      <c r="C814" s="37"/>
      <c r="D814" s="37"/>
      <c r="E814" s="37"/>
      <c r="F814" s="38"/>
      <c r="G814" s="37"/>
      <c r="H814" s="37"/>
      <c r="I814" s="37"/>
      <c r="J814" s="37"/>
      <c r="K814" s="40"/>
      <c r="L814" s="39"/>
      <c r="M814" s="45"/>
    </row>
    <row r="815" spans="1:13">
      <c r="A815" s="37"/>
      <c r="B815" s="37"/>
      <c r="C815" s="37"/>
      <c r="D815" s="37"/>
      <c r="E815" s="37"/>
      <c r="F815" s="38"/>
      <c r="G815" s="37"/>
      <c r="H815" s="37"/>
      <c r="I815" s="37"/>
      <c r="J815" s="37"/>
      <c r="K815" s="40"/>
      <c r="L815" s="39"/>
      <c r="M815" s="45"/>
    </row>
    <row r="816" spans="1:13">
      <c r="A816" s="37"/>
      <c r="B816" s="37"/>
      <c r="C816" s="37"/>
      <c r="D816" s="37"/>
      <c r="E816" s="37"/>
      <c r="F816" s="38"/>
      <c r="G816" s="37"/>
      <c r="H816" s="37"/>
      <c r="I816" s="37"/>
      <c r="J816" s="37"/>
      <c r="K816" s="40"/>
      <c r="L816" s="39"/>
      <c r="M816" s="45"/>
    </row>
    <row r="817" spans="1:13">
      <c r="A817" s="37"/>
      <c r="B817" s="37"/>
      <c r="C817" s="37"/>
      <c r="D817" s="37"/>
      <c r="E817" s="37"/>
      <c r="F817" s="38"/>
      <c r="G817" s="37"/>
      <c r="H817" s="37"/>
      <c r="I817" s="37"/>
      <c r="J817" s="37"/>
      <c r="K817" s="40"/>
      <c r="L817" s="39"/>
      <c r="M817" s="45"/>
    </row>
    <row r="818" spans="1:13">
      <c r="A818" s="37"/>
      <c r="B818" s="37"/>
      <c r="C818" s="37"/>
      <c r="D818" s="37"/>
      <c r="E818" s="37"/>
      <c r="F818" s="38"/>
      <c r="G818" s="37"/>
      <c r="H818" s="37"/>
      <c r="I818" s="37"/>
      <c r="J818" s="37"/>
      <c r="K818" s="40"/>
      <c r="L818" s="39"/>
      <c r="M818" s="45"/>
    </row>
    <row r="819" spans="1:13">
      <c r="A819" s="37"/>
      <c r="B819" s="37"/>
      <c r="C819" s="37"/>
      <c r="D819" s="37"/>
      <c r="E819" s="37"/>
      <c r="F819" s="38"/>
      <c r="G819" s="37"/>
      <c r="H819" s="37"/>
      <c r="I819" s="37"/>
      <c r="J819" s="37"/>
      <c r="K819" s="40"/>
      <c r="L819" s="39"/>
      <c r="M819" s="45"/>
    </row>
    <row r="820" spans="1:13">
      <c r="A820" s="37"/>
      <c r="B820" s="37"/>
      <c r="C820" s="37"/>
      <c r="D820" s="37"/>
      <c r="E820" s="37"/>
      <c r="F820" s="38"/>
      <c r="G820" s="37"/>
      <c r="H820" s="37"/>
      <c r="I820" s="37"/>
      <c r="J820" s="37"/>
      <c r="K820" s="40"/>
      <c r="L820" s="39"/>
      <c r="M820" s="45"/>
    </row>
    <row r="821" spans="1:13">
      <c r="A821" s="37"/>
      <c r="B821" s="37"/>
      <c r="C821" s="37"/>
      <c r="D821" s="37"/>
      <c r="E821" s="37"/>
      <c r="F821" s="38"/>
      <c r="G821" s="37"/>
      <c r="H821" s="37"/>
      <c r="I821" s="37"/>
      <c r="J821" s="37"/>
      <c r="K821" s="40"/>
      <c r="L821" s="39"/>
      <c r="M821" s="45"/>
    </row>
    <row r="822" spans="1:13">
      <c r="A822" s="37"/>
      <c r="B822" s="37"/>
      <c r="C822" s="37"/>
      <c r="D822" s="37"/>
      <c r="E822" s="37"/>
      <c r="F822" s="38"/>
      <c r="G822" s="37"/>
      <c r="H822" s="37"/>
      <c r="I822" s="37"/>
      <c r="J822" s="37"/>
      <c r="K822" s="40"/>
      <c r="L822" s="39"/>
      <c r="M822" s="45"/>
    </row>
    <row r="823" spans="1:13">
      <c r="A823" s="37"/>
      <c r="B823" s="37"/>
      <c r="C823" s="37"/>
      <c r="D823" s="37"/>
      <c r="E823" s="37"/>
      <c r="F823" s="38"/>
      <c r="G823" s="37"/>
      <c r="H823" s="37"/>
      <c r="I823" s="37"/>
      <c r="J823" s="37"/>
      <c r="K823" s="40"/>
      <c r="L823" s="39"/>
      <c r="M823" s="45"/>
    </row>
    <row r="824" spans="1:13">
      <c r="A824" s="37"/>
      <c r="B824" s="37"/>
      <c r="C824" s="37"/>
      <c r="D824" s="37"/>
      <c r="E824" s="37"/>
      <c r="F824" s="38"/>
      <c r="G824" s="37"/>
      <c r="H824" s="37"/>
      <c r="I824" s="37"/>
      <c r="J824" s="37"/>
      <c r="K824" s="40"/>
      <c r="L824" s="39"/>
      <c r="M824" s="45"/>
    </row>
    <row r="825" spans="1:13">
      <c r="A825" s="37"/>
      <c r="B825" s="37"/>
      <c r="C825" s="37"/>
      <c r="D825" s="37"/>
      <c r="E825" s="37"/>
      <c r="F825" s="38"/>
      <c r="G825" s="37"/>
      <c r="H825" s="37"/>
      <c r="I825" s="37"/>
      <c r="J825" s="37"/>
      <c r="K825" s="40"/>
      <c r="L825" s="39"/>
      <c r="M825" s="45"/>
    </row>
    <row r="826" spans="1:13">
      <c r="A826" s="37"/>
      <c r="B826" s="37"/>
      <c r="C826" s="37"/>
      <c r="D826" s="37"/>
      <c r="E826" s="37"/>
      <c r="F826" s="38"/>
      <c r="G826" s="37"/>
      <c r="H826" s="37"/>
      <c r="I826" s="37"/>
      <c r="J826" s="37"/>
      <c r="K826" s="40"/>
      <c r="L826" s="39"/>
      <c r="M826" s="45"/>
    </row>
    <row r="827" spans="1:13">
      <c r="A827" s="37"/>
      <c r="B827" s="37"/>
      <c r="C827" s="37"/>
      <c r="D827" s="37"/>
      <c r="E827" s="37"/>
      <c r="F827" s="38"/>
      <c r="G827" s="37"/>
      <c r="H827" s="37"/>
      <c r="I827" s="37"/>
      <c r="J827" s="37"/>
      <c r="K827" s="40"/>
      <c r="L827" s="39"/>
      <c r="M827" s="45"/>
    </row>
    <row r="828" spans="1:13">
      <c r="A828" s="37"/>
      <c r="B828" s="37"/>
      <c r="C828" s="37"/>
      <c r="D828" s="37"/>
      <c r="E828" s="37"/>
      <c r="F828" s="38"/>
      <c r="G828" s="37"/>
      <c r="H828" s="37"/>
      <c r="I828" s="37"/>
      <c r="J828" s="37"/>
      <c r="K828" s="40"/>
      <c r="L828" s="39"/>
      <c r="M828" s="45"/>
    </row>
    <row r="829" spans="1:13">
      <c r="A829" s="37"/>
      <c r="B829" s="37"/>
      <c r="C829" s="37"/>
      <c r="D829" s="37"/>
      <c r="E829" s="37"/>
      <c r="F829" s="38"/>
      <c r="G829" s="37"/>
      <c r="H829" s="37"/>
      <c r="I829" s="37"/>
      <c r="J829" s="37"/>
      <c r="K829" s="40"/>
      <c r="L829" s="39"/>
      <c r="M829" s="45"/>
    </row>
    <row r="830" spans="1:13">
      <c r="A830" s="37"/>
      <c r="B830" s="37"/>
      <c r="C830" s="37"/>
      <c r="D830" s="37"/>
      <c r="E830" s="37"/>
      <c r="F830" s="38"/>
      <c r="G830" s="37"/>
      <c r="H830" s="37"/>
      <c r="I830" s="37"/>
      <c r="J830" s="37"/>
      <c r="K830" s="40"/>
      <c r="L830" s="39"/>
      <c r="M830" s="45"/>
    </row>
    <row r="831" spans="1:13">
      <c r="A831" s="37"/>
      <c r="B831" s="37"/>
      <c r="C831" s="37"/>
      <c r="D831" s="37"/>
      <c r="E831" s="37"/>
      <c r="F831" s="38"/>
      <c r="G831" s="37"/>
      <c r="H831" s="37"/>
      <c r="I831" s="37"/>
      <c r="J831" s="37"/>
      <c r="K831" s="40"/>
      <c r="L831" s="39"/>
      <c r="M831" s="45"/>
    </row>
    <row r="832" spans="1:13">
      <c r="A832" s="37"/>
      <c r="B832" s="37"/>
      <c r="C832" s="37"/>
      <c r="D832" s="37"/>
      <c r="E832" s="37"/>
      <c r="F832" s="38"/>
      <c r="G832" s="37"/>
      <c r="H832" s="37"/>
      <c r="I832" s="37"/>
      <c r="J832" s="37"/>
      <c r="K832" s="40"/>
      <c r="L832" s="39"/>
      <c r="M832" s="45"/>
    </row>
    <row r="833" spans="1:13">
      <c r="A833" s="37"/>
      <c r="B833" s="37"/>
      <c r="C833" s="37"/>
      <c r="D833" s="37"/>
      <c r="E833" s="37"/>
      <c r="F833" s="38"/>
      <c r="G833" s="37"/>
      <c r="H833" s="37"/>
      <c r="I833" s="37"/>
      <c r="J833" s="37"/>
      <c r="K833" s="40"/>
      <c r="L833" s="39"/>
      <c r="M833" s="45"/>
    </row>
    <row r="834" spans="1:13">
      <c r="A834" s="37"/>
      <c r="B834" s="37"/>
      <c r="C834" s="37"/>
      <c r="D834" s="37"/>
      <c r="E834" s="37"/>
      <c r="F834" s="38"/>
      <c r="G834" s="37"/>
      <c r="H834" s="37"/>
      <c r="I834" s="37"/>
      <c r="J834" s="37"/>
      <c r="K834" s="40"/>
      <c r="L834" s="39"/>
      <c r="M834" s="45"/>
    </row>
    <row r="835" spans="1:13">
      <c r="A835" s="37"/>
      <c r="B835" s="37"/>
      <c r="C835" s="37"/>
      <c r="D835" s="37"/>
      <c r="E835" s="37"/>
      <c r="F835" s="38"/>
      <c r="G835" s="37"/>
      <c r="H835" s="37"/>
      <c r="I835" s="37"/>
      <c r="J835" s="37"/>
      <c r="K835" s="40"/>
      <c r="L835" s="39"/>
      <c r="M835" s="45"/>
    </row>
    <row r="836" spans="1:13">
      <c r="A836" s="37"/>
      <c r="B836" s="37"/>
      <c r="C836" s="37"/>
      <c r="D836" s="37"/>
      <c r="E836" s="37"/>
      <c r="F836" s="38"/>
      <c r="G836" s="37"/>
      <c r="H836" s="37"/>
      <c r="I836" s="37"/>
      <c r="J836" s="37"/>
      <c r="K836" s="40"/>
      <c r="L836" s="39"/>
      <c r="M836" s="45"/>
    </row>
    <row r="837" spans="1:13">
      <c r="A837" s="37"/>
      <c r="B837" s="37"/>
      <c r="C837" s="37"/>
      <c r="D837" s="37"/>
      <c r="E837" s="37"/>
      <c r="F837" s="38"/>
      <c r="G837" s="37"/>
      <c r="H837" s="37"/>
      <c r="I837" s="37"/>
      <c r="J837" s="37"/>
      <c r="K837" s="40"/>
      <c r="L837" s="39"/>
      <c r="M837" s="45"/>
    </row>
    <row r="838" spans="1:13">
      <c r="A838" s="37"/>
      <c r="B838" s="37"/>
      <c r="C838" s="37"/>
      <c r="D838" s="37"/>
      <c r="E838" s="37"/>
      <c r="F838" s="38"/>
      <c r="G838" s="37"/>
      <c r="H838" s="37"/>
      <c r="I838" s="37"/>
      <c r="J838" s="37"/>
      <c r="K838" s="40"/>
      <c r="L838" s="39"/>
      <c r="M838" s="45"/>
    </row>
    <row r="839" spans="1:13">
      <c r="A839" s="37"/>
      <c r="B839" s="37"/>
      <c r="C839" s="37"/>
      <c r="D839" s="37"/>
      <c r="E839" s="37"/>
      <c r="F839" s="38"/>
      <c r="G839" s="37"/>
      <c r="H839" s="37"/>
      <c r="I839" s="37"/>
      <c r="J839" s="37"/>
      <c r="K839" s="40"/>
      <c r="L839" s="39"/>
      <c r="M839" s="45"/>
    </row>
    <row r="840" spans="1:13">
      <c r="A840" s="37"/>
      <c r="B840" s="37"/>
      <c r="C840" s="37"/>
      <c r="D840" s="37"/>
      <c r="E840" s="37"/>
      <c r="F840" s="38"/>
      <c r="G840" s="37"/>
      <c r="H840" s="37"/>
      <c r="I840" s="37"/>
      <c r="J840" s="37"/>
      <c r="K840" s="40"/>
      <c r="L840" s="39"/>
      <c r="M840" s="45"/>
    </row>
    <row r="841" spans="1:13">
      <c r="A841" s="37"/>
      <c r="B841" s="37"/>
      <c r="C841" s="37"/>
      <c r="D841" s="37"/>
      <c r="E841" s="37"/>
      <c r="F841" s="38"/>
      <c r="G841" s="37"/>
      <c r="H841" s="37"/>
      <c r="I841" s="37"/>
      <c r="J841" s="37"/>
      <c r="K841" s="40"/>
      <c r="L841" s="39"/>
      <c r="M841" s="45"/>
    </row>
    <row r="842" spans="1:13">
      <c r="A842" s="37"/>
      <c r="B842" s="37"/>
      <c r="C842" s="37"/>
      <c r="D842" s="37"/>
      <c r="E842" s="37"/>
      <c r="F842" s="38"/>
      <c r="G842" s="37"/>
      <c r="H842" s="37"/>
      <c r="I842" s="37"/>
      <c r="J842" s="37"/>
      <c r="K842" s="40"/>
      <c r="L842" s="39"/>
      <c r="M842" s="45"/>
    </row>
    <row r="843" spans="1:13">
      <c r="A843" s="37"/>
      <c r="B843" s="37"/>
      <c r="C843" s="37"/>
      <c r="D843" s="37"/>
      <c r="E843" s="37"/>
      <c r="F843" s="38"/>
      <c r="G843" s="37"/>
      <c r="H843" s="37"/>
      <c r="I843" s="37"/>
      <c r="J843" s="37"/>
      <c r="K843" s="40"/>
      <c r="L843" s="39"/>
      <c r="M843" s="45"/>
    </row>
    <row r="844" spans="1:13">
      <c r="A844" s="37"/>
      <c r="B844" s="37"/>
      <c r="C844" s="37"/>
      <c r="D844" s="37"/>
      <c r="E844" s="37"/>
      <c r="F844" s="38"/>
      <c r="G844" s="37"/>
      <c r="H844" s="37"/>
      <c r="I844" s="37"/>
      <c r="J844" s="37"/>
      <c r="K844" s="40"/>
      <c r="L844" s="39"/>
      <c r="M844" s="45"/>
    </row>
    <row r="845" spans="1:13">
      <c r="A845" s="37"/>
      <c r="B845" s="37"/>
      <c r="C845" s="37"/>
      <c r="D845" s="37"/>
      <c r="E845" s="37"/>
      <c r="F845" s="38"/>
      <c r="G845" s="37"/>
      <c r="H845" s="37"/>
      <c r="I845" s="37"/>
      <c r="J845" s="37"/>
      <c r="K845" s="40"/>
      <c r="L845" s="39"/>
      <c r="M845" s="45"/>
    </row>
    <row r="846" spans="1:13">
      <c r="A846" s="37"/>
      <c r="B846" s="37"/>
      <c r="C846" s="37"/>
      <c r="D846" s="37"/>
      <c r="E846" s="37"/>
      <c r="F846" s="38"/>
      <c r="G846" s="37"/>
      <c r="H846" s="37"/>
      <c r="I846" s="37"/>
      <c r="J846" s="37"/>
      <c r="K846" s="40"/>
      <c r="L846" s="39"/>
      <c r="M846" s="45"/>
    </row>
    <row r="847" spans="1:13">
      <c r="A847" s="37"/>
      <c r="B847" s="37"/>
      <c r="C847" s="37"/>
      <c r="D847" s="37"/>
      <c r="E847" s="37"/>
      <c r="F847" s="38"/>
      <c r="G847" s="37"/>
      <c r="H847" s="37"/>
      <c r="I847" s="37"/>
      <c r="J847" s="37"/>
      <c r="K847" s="40"/>
      <c r="L847" s="39"/>
      <c r="M847" s="45"/>
    </row>
    <row r="848" spans="1:13">
      <c r="A848" s="37"/>
      <c r="B848" s="37"/>
      <c r="C848" s="37"/>
      <c r="D848" s="37"/>
      <c r="E848" s="37"/>
      <c r="F848" s="38"/>
      <c r="G848" s="37"/>
      <c r="H848" s="37"/>
      <c r="I848" s="37"/>
      <c r="J848" s="37"/>
      <c r="K848" s="40"/>
      <c r="L848" s="39"/>
      <c r="M848" s="45"/>
    </row>
    <row r="849" spans="1:13">
      <c r="A849" s="37"/>
      <c r="B849" s="37"/>
      <c r="C849" s="37"/>
      <c r="D849" s="37"/>
      <c r="E849" s="37"/>
      <c r="F849" s="38"/>
      <c r="G849" s="37"/>
      <c r="H849" s="37"/>
      <c r="I849" s="37"/>
      <c r="J849" s="37"/>
      <c r="K849" s="40"/>
      <c r="L849" s="39"/>
      <c r="M849" s="45"/>
    </row>
    <row r="850" spans="1:13">
      <c r="A850" s="37"/>
      <c r="B850" s="37"/>
      <c r="C850" s="37"/>
      <c r="D850" s="37"/>
      <c r="E850" s="37"/>
      <c r="F850" s="38"/>
      <c r="G850" s="37"/>
      <c r="H850" s="37"/>
      <c r="I850" s="37"/>
      <c r="J850" s="37"/>
      <c r="K850" s="40"/>
      <c r="L850" s="39"/>
      <c r="M850" s="45"/>
    </row>
    <row r="851" spans="1:13">
      <c r="A851" s="37"/>
      <c r="B851" s="37"/>
      <c r="C851" s="37"/>
      <c r="D851" s="37"/>
      <c r="E851" s="37"/>
      <c r="F851" s="38"/>
      <c r="G851" s="37"/>
      <c r="H851" s="37"/>
      <c r="I851" s="37"/>
      <c r="J851" s="37"/>
      <c r="K851" s="40"/>
      <c r="L851" s="39"/>
      <c r="M851" s="45"/>
    </row>
    <row r="852" spans="1:13">
      <c r="A852" s="37"/>
      <c r="B852" s="37"/>
      <c r="C852" s="37"/>
      <c r="D852" s="37"/>
      <c r="E852" s="37"/>
      <c r="F852" s="38"/>
      <c r="G852" s="37"/>
      <c r="H852" s="37"/>
      <c r="I852" s="37"/>
      <c r="J852" s="37"/>
      <c r="K852" s="40"/>
      <c r="L852" s="39"/>
      <c r="M852" s="45"/>
    </row>
    <row r="853" spans="1:13">
      <c r="A853" s="37"/>
      <c r="B853" s="37"/>
      <c r="C853" s="37"/>
      <c r="D853" s="37"/>
      <c r="E853" s="37"/>
      <c r="F853" s="38"/>
      <c r="G853" s="37"/>
      <c r="H853" s="37"/>
      <c r="I853" s="37"/>
      <c r="J853" s="37"/>
      <c r="K853" s="40"/>
      <c r="L853" s="39"/>
      <c r="M853" s="45"/>
    </row>
    <row r="854" spans="1:13">
      <c r="A854" s="37"/>
      <c r="B854" s="37"/>
      <c r="C854" s="37"/>
      <c r="D854" s="37"/>
      <c r="E854" s="37"/>
      <c r="F854" s="38"/>
      <c r="G854" s="37"/>
      <c r="H854" s="37"/>
      <c r="I854" s="37"/>
      <c r="J854" s="37"/>
      <c r="K854" s="40"/>
      <c r="L854" s="39"/>
      <c r="M854" s="45"/>
    </row>
    <row r="855" spans="1:13">
      <c r="A855" s="37"/>
      <c r="B855" s="37"/>
      <c r="C855" s="37"/>
      <c r="D855" s="37"/>
      <c r="E855" s="37"/>
      <c r="F855" s="38"/>
      <c r="G855" s="37"/>
      <c r="H855" s="37"/>
      <c r="I855" s="37"/>
      <c r="J855" s="37"/>
      <c r="K855" s="40"/>
      <c r="L855" s="39"/>
      <c r="M855" s="45"/>
    </row>
    <row r="856" spans="1:13">
      <c r="A856" s="37"/>
      <c r="B856" s="37"/>
      <c r="C856" s="37"/>
      <c r="D856" s="37"/>
      <c r="E856" s="37"/>
      <c r="F856" s="38"/>
      <c r="G856" s="37"/>
      <c r="H856" s="37"/>
      <c r="I856" s="37"/>
      <c r="J856" s="37"/>
      <c r="K856" s="40"/>
      <c r="L856" s="39"/>
      <c r="M856" s="45"/>
    </row>
    <row r="857" spans="1:13">
      <c r="A857" s="37"/>
      <c r="B857" s="37"/>
      <c r="C857" s="37"/>
      <c r="D857" s="37"/>
      <c r="E857" s="37"/>
      <c r="F857" s="38"/>
      <c r="G857" s="37"/>
      <c r="H857" s="37"/>
      <c r="I857" s="37"/>
      <c r="J857" s="37"/>
      <c r="K857" s="40"/>
      <c r="L857" s="39"/>
      <c r="M857" s="45"/>
    </row>
    <row r="858" spans="1:13">
      <c r="A858" s="37"/>
      <c r="B858" s="37"/>
      <c r="C858" s="37"/>
      <c r="D858" s="37"/>
      <c r="E858" s="37"/>
      <c r="F858" s="38"/>
      <c r="G858" s="37"/>
      <c r="H858" s="37"/>
      <c r="I858" s="37"/>
      <c r="J858" s="37"/>
      <c r="K858" s="40"/>
      <c r="L858" s="39"/>
      <c r="M858" s="45"/>
    </row>
    <row r="859" spans="1:13">
      <c r="A859" s="37"/>
      <c r="B859" s="37"/>
      <c r="C859" s="37"/>
      <c r="D859" s="37"/>
      <c r="E859" s="37"/>
      <c r="F859" s="38"/>
      <c r="G859" s="37"/>
      <c r="H859" s="37"/>
      <c r="I859" s="37"/>
      <c r="J859" s="37"/>
      <c r="K859" s="40"/>
      <c r="L859" s="39"/>
      <c r="M859" s="45"/>
    </row>
    <row r="860" spans="1:13">
      <c r="A860" s="37"/>
      <c r="B860" s="37"/>
      <c r="C860" s="37"/>
      <c r="D860" s="37"/>
      <c r="E860" s="37"/>
      <c r="F860" s="38"/>
      <c r="G860" s="37"/>
      <c r="H860" s="37"/>
      <c r="I860" s="37"/>
      <c r="J860" s="37"/>
      <c r="K860" s="40"/>
      <c r="L860" s="39"/>
      <c r="M860" s="45"/>
    </row>
    <row r="861" spans="1:13">
      <c r="A861" s="37"/>
      <c r="B861" s="37"/>
      <c r="C861" s="37"/>
      <c r="D861" s="37"/>
      <c r="E861" s="37"/>
      <c r="F861" s="38"/>
      <c r="G861" s="37"/>
      <c r="H861" s="37"/>
      <c r="I861" s="37"/>
      <c r="J861" s="37"/>
      <c r="K861" s="40"/>
      <c r="L861" s="39"/>
      <c r="M861" s="45"/>
    </row>
    <row r="862" spans="1:13">
      <c r="A862" s="37"/>
      <c r="B862" s="37"/>
      <c r="C862" s="37"/>
      <c r="D862" s="37"/>
      <c r="E862" s="37"/>
      <c r="F862" s="38"/>
      <c r="G862" s="37"/>
      <c r="H862" s="37"/>
      <c r="I862" s="37"/>
      <c r="J862" s="37"/>
      <c r="K862" s="40"/>
      <c r="L862" s="39"/>
      <c r="M862" s="45"/>
    </row>
    <row r="863" spans="1:13">
      <c r="A863" s="37"/>
      <c r="B863" s="37"/>
      <c r="C863" s="37"/>
      <c r="D863" s="37"/>
      <c r="E863" s="37"/>
      <c r="F863" s="38"/>
      <c r="G863" s="37"/>
      <c r="H863" s="37"/>
      <c r="I863" s="37"/>
      <c r="J863" s="37"/>
      <c r="K863" s="40"/>
      <c r="L863" s="39"/>
      <c r="M863" s="45"/>
    </row>
    <row r="864" spans="1:13">
      <c r="A864" s="37"/>
      <c r="B864" s="37"/>
      <c r="C864" s="37"/>
      <c r="D864" s="37"/>
      <c r="E864" s="37"/>
      <c r="F864" s="38"/>
      <c r="G864" s="37"/>
      <c r="H864" s="37"/>
      <c r="I864" s="37"/>
      <c r="J864" s="37"/>
      <c r="K864" s="40"/>
      <c r="L864" s="39"/>
      <c r="M864" s="45"/>
    </row>
    <row r="865" spans="1:13">
      <c r="A865" s="37"/>
      <c r="B865" s="37"/>
      <c r="C865" s="37"/>
      <c r="D865" s="37"/>
      <c r="E865" s="37"/>
      <c r="F865" s="38"/>
      <c r="G865" s="37"/>
      <c r="H865" s="37"/>
      <c r="I865" s="37"/>
      <c r="J865" s="37"/>
      <c r="K865" s="40"/>
      <c r="L865" s="39"/>
      <c r="M865" s="45"/>
    </row>
    <row r="866" spans="1:13">
      <c r="A866" s="37"/>
      <c r="B866" s="37"/>
      <c r="C866" s="37"/>
      <c r="D866" s="37"/>
      <c r="E866" s="37"/>
      <c r="F866" s="38"/>
      <c r="G866" s="37"/>
      <c r="H866" s="37"/>
      <c r="I866" s="37"/>
      <c r="J866" s="37"/>
      <c r="K866" s="40"/>
      <c r="L866" s="39"/>
      <c r="M866" s="45"/>
    </row>
    <row r="867" spans="1:13">
      <c r="A867" s="37"/>
      <c r="B867" s="37"/>
      <c r="C867" s="37"/>
      <c r="D867" s="37"/>
      <c r="E867" s="37"/>
      <c r="F867" s="38"/>
      <c r="G867" s="37"/>
      <c r="H867" s="37"/>
      <c r="I867" s="37"/>
      <c r="J867" s="37"/>
      <c r="K867" s="40"/>
      <c r="L867" s="39"/>
      <c r="M867" s="45"/>
    </row>
    <row r="868" spans="1:13">
      <c r="A868" s="37"/>
      <c r="B868" s="37"/>
      <c r="C868" s="37"/>
      <c r="D868" s="37"/>
      <c r="E868" s="37"/>
      <c r="F868" s="38"/>
      <c r="G868" s="37"/>
      <c r="H868" s="37"/>
      <c r="I868" s="37"/>
      <c r="J868" s="37"/>
      <c r="K868" s="40"/>
      <c r="L868" s="39"/>
      <c r="M868" s="45"/>
    </row>
    <row r="869" spans="1:13">
      <c r="A869" s="37"/>
      <c r="B869" s="37"/>
      <c r="C869" s="37"/>
      <c r="D869" s="37"/>
      <c r="E869" s="37"/>
      <c r="F869" s="38"/>
      <c r="G869" s="37"/>
      <c r="H869" s="37"/>
      <c r="I869" s="37"/>
      <c r="J869" s="37"/>
      <c r="K869" s="40"/>
      <c r="L869" s="39"/>
      <c r="M869" s="45"/>
    </row>
    <row r="870" spans="1:13">
      <c r="A870" s="37"/>
      <c r="B870" s="37"/>
      <c r="C870" s="37"/>
      <c r="D870" s="37"/>
      <c r="E870" s="37"/>
      <c r="F870" s="38"/>
      <c r="G870" s="37"/>
      <c r="H870" s="37"/>
      <c r="I870" s="37"/>
      <c r="J870" s="37"/>
      <c r="K870" s="40"/>
      <c r="L870" s="39"/>
      <c r="M870" s="45"/>
    </row>
    <row r="871" spans="1:13">
      <c r="A871" s="37"/>
      <c r="B871" s="37"/>
      <c r="C871" s="37"/>
      <c r="D871" s="37"/>
      <c r="E871" s="37"/>
      <c r="F871" s="38"/>
      <c r="G871" s="37"/>
      <c r="H871" s="37"/>
      <c r="I871" s="37"/>
      <c r="J871" s="37"/>
      <c r="K871" s="40"/>
      <c r="L871" s="39"/>
      <c r="M871" s="45"/>
    </row>
    <row r="872" spans="1:13">
      <c r="A872" s="37"/>
      <c r="B872" s="37"/>
      <c r="C872" s="37"/>
      <c r="D872" s="37"/>
      <c r="E872" s="37"/>
      <c r="F872" s="38"/>
      <c r="G872" s="37"/>
      <c r="H872" s="37"/>
      <c r="I872" s="37"/>
      <c r="J872" s="37"/>
      <c r="K872" s="40"/>
      <c r="L872" s="39"/>
      <c r="M872" s="45"/>
    </row>
    <row r="873" spans="1:13">
      <c r="A873" s="37"/>
      <c r="B873" s="37"/>
      <c r="C873" s="37"/>
      <c r="D873" s="37"/>
      <c r="E873" s="37"/>
      <c r="F873" s="38"/>
      <c r="G873" s="37"/>
      <c r="H873" s="37"/>
      <c r="I873" s="37"/>
      <c r="J873" s="37"/>
      <c r="K873" s="40"/>
      <c r="L873" s="39"/>
      <c r="M873" s="45"/>
    </row>
    <row r="874" spans="1:13">
      <c r="A874" s="37"/>
      <c r="B874" s="37"/>
      <c r="C874" s="37"/>
      <c r="D874" s="37"/>
      <c r="E874" s="37"/>
      <c r="F874" s="38"/>
      <c r="G874" s="37"/>
      <c r="H874" s="37"/>
      <c r="I874" s="37"/>
      <c r="J874" s="37"/>
      <c r="K874" s="40"/>
      <c r="L874" s="39"/>
      <c r="M874" s="45"/>
    </row>
    <row r="875" spans="1:13">
      <c r="A875" s="37"/>
      <c r="B875" s="37"/>
      <c r="C875" s="37"/>
      <c r="D875" s="37"/>
      <c r="E875" s="37"/>
      <c r="F875" s="38"/>
      <c r="G875" s="37"/>
      <c r="H875" s="37"/>
      <c r="I875" s="37"/>
      <c r="J875" s="37"/>
      <c r="K875" s="40"/>
      <c r="L875" s="39"/>
      <c r="M875" s="45"/>
    </row>
    <row r="876" spans="1:13">
      <c r="A876" s="37"/>
      <c r="B876" s="37"/>
      <c r="C876" s="37"/>
      <c r="D876" s="37"/>
      <c r="E876" s="37"/>
      <c r="F876" s="38"/>
      <c r="G876" s="37"/>
      <c r="H876" s="37"/>
      <c r="I876" s="37"/>
      <c r="J876" s="37"/>
      <c r="K876" s="40"/>
      <c r="L876" s="39"/>
      <c r="M876" s="45"/>
    </row>
    <row r="877" spans="1:13">
      <c r="A877" s="37"/>
      <c r="B877" s="37"/>
      <c r="C877" s="37"/>
      <c r="D877" s="37"/>
      <c r="E877" s="37"/>
      <c r="F877" s="38"/>
      <c r="G877" s="37"/>
      <c r="H877" s="37"/>
      <c r="I877" s="37"/>
      <c r="J877" s="37"/>
      <c r="K877" s="40"/>
      <c r="L877" s="39"/>
      <c r="M877" s="45"/>
    </row>
    <row r="878" spans="1:13">
      <c r="A878" s="37"/>
      <c r="B878" s="37"/>
      <c r="C878" s="37"/>
      <c r="D878" s="37"/>
      <c r="E878" s="37"/>
      <c r="F878" s="38"/>
      <c r="G878" s="37"/>
      <c r="H878" s="37"/>
      <c r="I878" s="37"/>
      <c r="J878" s="37"/>
      <c r="K878" s="40"/>
      <c r="L878" s="39"/>
      <c r="M878" s="45"/>
    </row>
    <row r="879" spans="1:13">
      <c r="A879" s="37"/>
      <c r="B879" s="37"/>
      <c r="C879" s="37"/>
      <c r="D879" s="37"/>
      <c r="E879" s="37"/>
      <c r="F879" s="38"/>
      <c r="G879" s="37"/>
      <c r="H879" s="37"/>
      <c r="I879" s="37"/>
      <c r="J879" s="37"/>
      <c r="K879" s="40"/>
      <c r="L879" s="39"/>
      <c r="M879" s="45"/>
    </row>
    <row r="880" spans="1:13">
      <c r="A880" s="37"/>
      <c r="B880" s="37"/>
      <c r="C880" s="37"/>
      <c r="D880" s="37"/>
      <c r="E880" s="37"/>
      <c r="F880" s="38"/>
      <c r="G880" s="37"/>
      <c r="H880" s="37"/>
      <c r="I880" s="37"/>
      <c r="J880" s="37"/>
      <c r="K880" s="40"/>
      <c r="L880" s="39"/>
      <c r="M880" s="45"/>
    </row>
    <row r="881" spans="1:13">
      <c r="A881" s="37"/>
      <c r="B881" s="37"/>
      <c r="C881" s="37"/>
      <c r="D881" s="37"/>
      <c r="E881" s="37"/>
      <c r="F881" s="38"/>
      <c r="G881" s="37"/>
      <c r="H881" s="37"/>
      <c r="I881" s="37"/>
      <c r="J881" s="37"/>
      <c r="K881" s="40"/>
      <c r="L881" s="39"/>
      <c r="M881" s="45"/>
    </row>
    <row r="882" spans="1:13">
      <c r="A882" s="37"/>
      <c r="B882" s="37"/>
      <c r="C882" s="37"/>
      <c r="D882" s="37"/>
      <c r="E882" s="37"/>
      <c r="F882" s="38"/>
      <c r="G882" s="37"/>
      <c r="H882" s="37"/>
      <c r="I882" s="37"/>
      <c r="J882" s="37"/>
      <c r="K882" s="40"/>
      <c r="L882" s="39"/>
      <c r="M882" s="45"/>
    </row>
    <row r="883" spans="1:13">
      <c r="A883" s="37"/>
      <c r="B883" s="37"/>
      <c r="C883" s="37"/>
      <c r="D883" s="37"/>
      <c r="E883" s="37"/>
      <c r="F883" s="38"/>
      <c r="G883" s="37"/>
      <c r="H883" s="37"/>
      <c r="I883" s="37"/>
      <c r="J883" s="37"/>
      <c r="K883" s="40"/>
      <c r="L883" s="39"/>
      <c r="M883" s="45"/>
    </row>
    <row r="884" spans="1:13">
      <c r="A884" s="37"/>
      <c r="B884" s="37"/>
      <c r="C884" s="37"/>
      <c r="D884" s="37"/>
      <c r="E884" s="37"/>
      <c r="F884" s="38"/>
      <c r="G884" s="37"/>
      <c r="H884" s="37"/>
      <c r="I884" s="37"/>
      <c r="J884" s="37"/>
      <c r="K884" s="40"/>
      <c r="L884" s="39"/>
      <c r="M884" s="45"/>
    </row>
    <row r="885" spans="1:13">
      <c r="A885" s="37"/>
      <c r="B885" s="37"/>
      <c r="C885" s="37"/>
      <c r="D885" s="37"/>
      <c r="E885" s="37"/>
      <c r="F885" s="38"/>
      <c r="G885" s="37"/>
      <c r="H885" s="37"/>
      <c r="I885" s="37"/>
      <c r="J885" s="37"/>
      <c r="K885" s="40"/>
      <c r="L885" s="39"/>
      <c r="M885" s="45"/>
    </row>
    <row r="886" spans="1:13">
      <c r="A886" s="37"/>
      <c r="B886" s="37"/>
      <c r="C886" s="37"/>
      <c r="D886" s="37"/>
      <c r="E886" s="37"/>
      <c r="F886" s="38"/>
      <c r="G886" s="37"/>
      <c r="H886" s="37"/>
      <c r="I886" s="37"/>
      <c r="J886" s="37"/>
      <c r="K886" s="40"/>
      <c r="L886" s="39"/>
      <c r="M886" s="45"/>
    </row>
    <row r="887" spans="1:13">
      <c r="A887" s="37"/>
      <c r="B887" s="37"/>
      <c r="C887" s="37"/>
      <c r="D887" s="37"/>
      <c r="E887" s="37"/>
      <c r="F887" s="38"/>
      <c r="G887" s="37"/>
      <c r="H887" s="37"/>
      <c r="I887" s="37"/>
      <c r="J887" s="37"/>
      <c r="K887" s="40"/>
      <c r="L887" s="39"/>
      <c r="M887" s="45"/>
    </row>
    <row r="888" spans="1:13">
      <c r="A888" s="37"/>
      <c r="B888" s="37"/>
      <c r="C888" s="37"/>
      <c r="D888" s="37"/>
      <c r="E888" s="37"/>
      <c r="F888" s="38"/>
      <c r="G888" s="37"/>
      <c r="H888" s="37"/>
      <c r="I888" s="37"/>
      <c r="J888" s="37"/>
      <c r="K888" s="40"/>
      <c r="L888" s="39"/>
      <c r="M888" s="45"/>
    </row>
    <row r="889" spans="1:13">
      <c r="A889" s="37"/>
      <c r="B889" s="37"/>
      <c r="C889" s="37"/>
      <c r="D889" s="37"/>
      <c r="E889" s="37"/>
      <c r="F889" s="38"/>
      <c r="G889" s="37"/>
      <c r="H889" s="37"/>
      <c r="I889" s="37"/>
      <c r="J889" s="37"/>
      <c r="K889" s="40"/>
      <c r="L889" s="39"/>
      <c r="M889" s="45"/>
    </row>
    <row r="890" spans="1:13">
      <c r="A890" s="37"/>
      <c r="B890" s="37"/>
      <c r="C890" s="37"/>
      <c r="D890" s="37"/>
      <c r="E890" s="37"/>
      <c r="F890" s="38"/>
      <c r="G890" s="37"/>
      <c r="H890" s="37"/>
      <c r="I890" s="37"/>
      <c r="J890" s="37"/>
      <c r="K890" s="40"/>
      <c r="L890" s="39"/>
      <c r="M890" s="45"/>
    </row>
    <row r="891" spans="1:13">
      <c r="A891" s="37"/>
      <c r="B891" s="37"/>
      <c r="C891" s="37"/>
      <c r="D891" s="37"/>
      <c r="E891" s="37"/>
      <c r="F891" s="38"/>
      <c r="G891" s="37"/>
      <c r="H891" s="37"/>
      <c r="I891" s="37"/>
      <c r="J891" s="37"/>
      <c r="K891" s="40"/>
      <c r="L891" s="39"/>
      <c r="M891" s="45"/>
    </row>
    <row r="892" spans="1:13">
      <c r="A892" s="37"/>
      <c r="B892" s="37"/>
      <c r="C892" s="37"/>
      <c r="D892" s="37"/>
      <c r="E892" s="37"/>
      <c r="F892" s="38"/>
      <c r="G892" s="37"/>
      <c r="H892" s="37"/>
      <c r="I892" s="37"/>
      <c r="J892" s="37"/>
      <c r="K892" s="40"/>
      <c r="L892" s="39"/>
      <c r="M892" s="45"/>
    </row>
    <row r="893" spans="1:13">
      <c r="A893" s="37"/>
      <c r="B893" s="37"/>
      <c r="C893" s="37"/>
      <c r="D893" s="37"/>
      <c r="E893" s="37"/>
      <c r="F893" s="38"/>
      <c r="G893" s="37"/>
      <c r="H893" s="37"/>
      <c r="I893" s="37"/>
      <c r="J893" s="37"/>
      <c r="K893" s="40"/>
      <c r="L893" s="39"/>
      <c r="M893" s="45"/>
    </row>
    <row r="894" spans="1:13">
      <c r="A894" s="37"/>
      <c r="B894" s="37"/>
      <c r="C894" s="37"/>
      <c r="D894" s="37"/>
      <c r="E894" s="37"/>
      <c r="F894" s="38"/>
      <c r="G894" s="37"/>
      <c r="H894" s="37"/>
      <c r="I894" s="37"/>
      <c r="J894" s="37"/>
      <c r="K894" s="40"/>
      <c r="L894" s="39"/>
      <c r="M894" s="45"/>
    </row>
    <row r="895" spans="1:13">
      <c r="A895" s="37"/>
      <c r="B895" s="37"/>
      <c r="C895" s="37"/>
      <c r="D895" s="37"/>
      <c r="E895" s="37"/>
      <c r="F895" s="38"/>
      <c r="G895" s="37"/>
      <c r="H895" s="37"/>
      <c r="I895" s="37"/>
      <c r="J895" s="37"/>
      <c r="K895" s="40"/>
      <c r="L895" s="39"/>
      <c r="M895" s="45"/>
    </row>
    <row r="896" spans="1:13">
      <c r="A896" s="37"/>
      <c r="B896" s="37"/>
      <c r="C896" s="37"/>
      <c r="D896" s="37"/>
      <c r="E896" s="37"/>
      <c r="F896" s="38"/>
      <c r="G896" s="37"/>
      <c r="H896" s="37"/>
      <c r="I896" s="37"/>
      <c r="J896" s="37"/>
      <c r="K896" s="40"/>
      <c r="L896" s="39"/>
      <c r="M896" s="45"/>
    </row>
    <row r="897" spans="1:13">
      <c r="A897" s="37"/>
      <c r="B897" s="37"/>
      <c r="C897" s="37"/>
      <c r="D897" s="37"/>
      <c r="E897" s="37"/>
      <c r="F897" s="38"/>
      <c r="G897" s="37"/>
      <c r="H897" s="37"/>
      <c r="I897" s="37"/>
      <c r="J897" s="37"/>
      <c r="K897" s="40"/>
      <c r="L897" s="39"/>
      <c r="M897" s="45"/>
    </row>
    <row r="898" spans="1:13">
      <c r="A898" s="37"/>
      <c r="B898" s="37"/>
      <c r="C898" s="37"/>
      <c r="D898" s="37"/>
      <c r="E898" s="37"/>
      <c r="F898" s="38"/>
      <c r="G898" s="37"/>
      <c r="H898" s="37"/>
      <c r="I898" s="37"/>
      <c r="J898" s="37"/>
      <c r="K898" s="40"/>
      <c r="L898" s="39"/>
      <c r="M898" s="45"/>
    </row>
    <row r="899" spans="1:13">
      <c r="A899" s="37"/>
      <c r="B899" s="37"/>
      <c r="C899" s="37"/>
      <c r="D899" s="37"/>
      <c r="E899" s="37"/>
      <c r="F899" s="38"/>
      <c r="G899" s="37"/>
      <c r="H899" s="37"/>
      <c r="I899" s="37"/>
      <c r="J899" s="37"/>
      <c r="K899" s="40"/>
      <c r="L899" s="39"/>
      <c r="M899" s="45"/>
    </row>
    <row r="900" spans="1:13">
      <c r="A900" s="37"/>
      <c r="B900" s="37"/>
      <c r="C900" s="37"/>
      <c r="D900" s="37"/>
      <c r="E900" s="37"/>
      <c r="F900" s="38"/>
      <c r="G900" s="37"/>
      <c r="H900" s="37"/>
      <c r="I900" s="37"/>
      <c r="J900" s="37"/>
      <c r="K900" s="40"/>
      <c r="L900" s="39"/>
      <c r="M900" s="45"/>
    </row>
    <row r="901" spans="1:13">
      <c r="A901" s="37"/>
      <c r="B901" s="37"/>
      <c r="C901" s="37"/>
      <c r="D901" s="37"/>
      <c r="E901" s="37"/>
      <c r="F901" s="38"/>
      <c r="G901" s="37"/>
      <c r="H901" s="37"/>
      <c r="I901" s="37"/>
      <c r="J901" s="37"/>
      <c r="K901" s="40"/>
      <c r="L901" s="39"/>
      <c r="M901" s="45"/>
    </row>
    <row r="902" spans="1:13">
      <c r="A902" s="37"/>
      <c r="B902" s="37"/>
      <c r="C902" s="37"/>
      <c r="D902" s="37"/>
      <c r="E902" s="37"/>
      <c r="F902" s="38"/>
      <c r="G902" s="37"/>
      <c r="H902" s="37"/>
      <c r="I902" s="37"/>
      <c r="J902" s="37"/>
      <c r="K902" s="40"/>
      <c r="L902" s="39"/>
      <c r="M902" s="45"/>
    </row>
    <row r="903" spans="1:13">
      <c r="A903" s="37"/>
      <c r="B903" s="37"/>
      <c r="C903" s="37"/>
      <c r="D903" s="37"/>
      <c r="E903" s="37"/>
      <c r="F903" s="38"/>
      <c r="G903" s="37"/>
      <c r="H903" s="37"/>
      <c r="I903" s="37"/>
      <c r="J903" s="37"/>
      <c r="K903" s="40"/>
      <c r="L903" s="39"/>
      <c r="M903" s="45"/>
    </row>
    <row r="904" spans="1:13">
      <c r="A904" s="37"/>
      <c r="B904" s="37"/>
      <c r="C904" s="37"/>
      <c r="D904" s="37"/>
      <c r="E904" s="37"/>
      <c r="F904" s="38"/>
      <c r="G904" s="37"/>
      <c r="H904" s="37"/>
      <c r="I904" s="37"/>
      <c r="J904" s="37"/>
      <c r="K904" s="40"/>
      <c r="L904" s="39"/>
      <c r="M904" s="45"/>
    </row>
    <row r="905" spans="1:13">
      <c r="A905" s="37"/>
      <c r="B905" s="37"/>
      <c r="C905" s="37"/>
      <c r="D905" s="37"/>
      <c r="E905" s="37"/>
      <c r="F905" s="38"/>
      <c r="G905" s="37"/>
      <c r="H905" s="37"/>
      <c r="I905" s="37"/>
      <c r="J905" s="37"/>
      <c r="K905" s="40"/>
      <c r="L905" s="39"/>
      <c r="M905" s="45"/>
    </row>
    <row r="906" spans="1:13">
      <c r="A906" s="37"/>
      <c r="B906" s="37"/>
      <c r="C906" s="37"/>
      <c r="D906" s="37"/>
      <c r="E906" s="37"/>
      <c r="F906" s="38"/>
      <c r="G906" s="37"/>
      <c r="H906" s="37"/>
      <c r="I906" s="37"/>
      <c r="J906" s="37"/>
      <c r="K906" s="40"/>
      <c r="L906" s="39"/>
      <c r="M906" s="45"/>
    </row>
    <row r="907" spans="1:13">
      <c r="A907" s="37"/>
      <c r="B907" s="37"/>
      <c r="C907" s="37"/>
      <c r="D907" s="37"/>
      <c r="E907" s="37"/>
      <c r="F907" s="38"/>
      <c r="G907" s="37"/>
      <c r="H907" s="37"/>
      <c r="I907" s="37"/>
      <c r="J907" s="37"/>
      <c r="K907" s="40"/>
      <c r="L907" s="39"/>
      <c r="M907" s="45"/>
    </row>
    <row r="908" spans="1:13">
      <c r="A908" s="37"/>
      <c r="B908" s="37"/>
      <c r="C908" s="37"/>
      <c r="D908" s="37"/>
      <c r="E908" s="37"/>
      <c r="F908" s="38"/>
      <c r="G908" s="37"/>
      <c r="H908" s="37"/>
      <c r="I908" s="37"/>
      <c r="J908" s="37"/>
      <c r="K908" s="40"/>
      <c r="L908" s="39"/>
      <c r="M908" s="45"/>
    </row>
    <row r="909" spans="1:13">
      <c r="A909" s="37"/>
      <c r="B909" s="37"/>
      <c r="C909" s="37"/>
      <c r="D909" s="37"/>
      <c r="E909" s="37"/>
      <c r="F909" s="38"/>
      <c r="G909" s="37"/>
      <c r="H909" s="37"/>
      <c r="I909" s="37"/>
      <c r="J909" s="37"/>
      <c r="K909" s="40"/>
      <c r="L909" s="39"/>
      <c r="M909" s="45"/>
    </row>
    <row r="910" spans="1:13">
      <c r="A910" s="37"/>
      <c r="B910" s="37"/>
      <c r="C910" s="37"/>
      <c r="D910" s="37"/>
      <c r="E910" s="37"/>
      <c r="F910" s="38"/>
      <c r="G910" s="37"/>
      <c r="H910" s="37"/>
      <c r="I910" s="37"/>
      <c r="J910" s="37"/>
      <c r="K910" s="40"/>
      <c r="L910" s="39"/>
      <c r="M910" s="45"/>
    </row>
    <row r="911" spans="1:13">
      <c r="A911" s="37"/>
      <c r="B911" s="37"/>
      <c r="C911" s="37"/>
      <c r="D911" s="37"/>
      <c r="E911" s="37"/>
      <c r="F911" s="38"/>
      <c r="G911" s="37"/>
      <c r="H911" s="37"/>
      <c r="I911" s="37"/>
      <c r="J911" s="37"/>
      <c r="K911" s="40"/>
      <c r="L911" s="39"/>
      <c r="M911" s="45"/>
    </row>
    <row r="912" spans="1:13">
      <c r="A912" s="37"/>
      <c r="B912" s="37"/>
      <c r="C912" s="37"/>
      <c r="D912" s="37"/>
      <c r="E912" s="37"/>
      <c r="F912" s="38"/>
      <c r="G912" s="37"/>
      <c r="H912" s="37"/>
      <c r="I912" s="37"/>
      <c r="J912" s="37"/>
      <c r="K912" s="40"/>
      <c r="L912" s="39"/>
      <c r="M912" s="45"/>
    </row>
    <row r="913" spans="1:13">
      <c r="A913" s="37"/>
      <c r="B913" s="37"/>
      <c r="C913" s="37"/>
      <c r="D913" s="37"/>
      <c r="E913" s="37"/>
      <c r="F913" s="38"/>
      <c r="G913" s="37"/>
      <c r="H913" s="37"/>
      <c r="I913" s="37"/>
      <c r="J913" s="37"/>
      <c r="K913" s="40"/>
      <c r="L913" s="39"/>
      <c r="M913" s="45"/>
    </row>
    <row r="914" spans="1:13">
      <c r="A914" s="37"/>
      <c r="B914" s="37"/>
      <c r="C914" s="37"/>
      <c r="D914" s="37"/>
      <c r="E914" s="37"/>
      <c r="F914" s="38"/>
      <c r="G914" s="37"/>
      <c r="H914" s="37"/>
      <c r="I914" s="37"/>
      <c r="J914" s="37"/>
      <c r="K914" s="40"/>
      <c r="L914" s="39"/>
      <c r="M914" s="45"/>
    </row>
    <row r="915" spans="1:13">
      <c r="A915" s="37"/>
      <c r="B915" s="37"/>
      <c r="C915" s="37"/>
      <c r="D915" s="37"/>
      <c r="E915" s="37"/>
      <c r="F915" s="38"/>
      <c r="G915" s="37"/>
      <c r="H915" s="37"/>
      <c r="I915" s="37"/>
      <c r="J915" s="37"/>
      <c r="K915" s="40"/>
      <c r="L915" s="39"/>
      <c r="M915" s="45"/>
    </row>
    <row r="916" spans="1:13">
      <c r="A916" s="37"/>
      <c r="B916" s="37"/>
      <c r="C916" s="37"/>
      <c r="D916" s="37"/>
      <c r="E916" s="37"/>
      <c r="F916" s="38"/>
      <c r="G916" s="37"/>
      <c r="H916" s="37"/>
      <c r="I916" s="37"/>
      <c r="J916" s="37"/>
      <c r="K916" s="40"/>
      <c r="L916" s="39"/>
      <c r="M916" s="45"/>
    </row>
    <row r="917" spans="1:13">
      <c r="A917" s="37"/>
      <c r="B917" s="37"/>
      <c r="C917" s="37"/>
      <c r="D917" s="37"/>
      <c r="E917" s="37"/>
      <c r="F917" s="38"/>
      <c r="G917" s="37"/>
      <c r="H917" s="37"/>
      <c r="I917" s="37"/>
      <c r="J917" s="37"/>
      <c r="K917" s="40"/>
      <c r="L917" s="39"/>
      <c r="M917" s="45"/>
    </row>
    <row r="918" spans="1:13">
      <c r="A918" s="37"/>
      <c r="B918" s="37"/>
      <c r="C918" s="37"/>
      <c r="D918" s="37"/>
      <c r="E918" s="37"/>
      <c r="F918" s="38"/>
      <c r="G918" s="37"/>
      <c r="H918" s="37"/>
      <c r="I918" s="37"/>
      <c r="J918" s="37"/>
      <c r="K918" s="40"/>
      <c r="L918" s="39"/>
      <c r="M918" s="45"/>
    </row>
    <row r="919" spans="1:13">
      <c r="A919" s="37"/>
      <c r="B919" s="37"/>
      <c r="C919" s="37"/>
      <c r="D919" s="37"/>
      <c r="E919" s="37"/>
      <c r="F919" s="38"/>
      <c r="G919" s="37"/>
      <c r="H919" s="37"/>
      <c r="I919" s="37"/>
      <c r="J919" s="37"/>
      <c r="K919" s="40"/>
      <c r="L919" s="39"/>
      <c r="M919" s="45"/>
    </row>
    <row r="920" spans="1:13">
      <c r="A920" s="37"/>
      <c r="B920" s="37"/>
      <c r="C920" s="37"/>
      <c r="D920" s="37"/>
      <c r="E920" s="37"/>
      <c r="F920" s="38"/>
      <c r="G920" s="37"/>
      <c r="H920" s="37"/>
      <c r="I920" s="37"/>
      <c r="J920" s="37"/>
      <c r="K920" s="40"/>
      <c r="L920" s="39"/>
      <c r="M920" s="45"/>
    </row>
    <row r="921" spans="1:13">
      <c r="A921" s="37"/>
      <c r="B921" s="37"/>
      <c r="C921" s="37"/>
      <c r="D921" s="37"/>
      <c r="E921" s="37"/>
      <c r="F921" s="38"/>
      <c r="G921" s="37"/>
      <c r="H921" s="37"/>
      <c r="I921" s="37"/>
      <c r="J921" s="37"/>
      <c r="K921" s="40"/>
      <c r="L921" s="39"/>
      <c r="M921" s="45"/>
    </row>
    <row r="922" spans="1:13">
      <c r="A922" s="37"/>
      <c r="B922" s="37"/>
      <c r="C922" s="37"/>
      <c r="D922" s="37"/>
      <c r="E922" s="37"/>
      <c r="F922" s="38"/>
      <c r="G922" s="37"/>
      <c r="H922" s="37"/>
      <c r="I922" s="37"/>
      <c r="J922" s="37"/>
      <c r="K922" s="40"/>
      <c r="L922" s="39"/>
      <c r="M922" s="45"/>
    </row>
    <row r="923" spans="1:13">
      <c r="A923" s="37"/>
      <c r="B923" s="37"/>
      <c r="C923" s="37"/>
      <c r="D923" s="37"/>
      <c r="E923" s="37"/>
      <c r="F923" s="38"/>
      <c r="G923" s="37"/>
      <c r="H923" s="37"/>
      <c r="I923" s="37"/>
      <c r="J923" s="37"/>
      <c r="K923" s="40"/>
      <c r="L923" s="39"/>
      <c r="M923" s="45"/>
    </row>
    <row r="924" spans="1:13">
      <c r="A924" s="37"/>
      <c r="B924" s="37"/>
      <c r="C924" s="37"/>
      <c r="D924" s="37"/>
      <c r="E924" s="37"/>
      <c r="F924" s="38"/>
      <c r="G924" s="37"/>
      <c r="H924" s="37"/>
      <c r="I924" s="37"/>
      <c r="J924" s="37"/>
      <c r="K924" s="40"/>
      <c r="L924" s="39"/>
      <c r="M924" s="45"/>
    </row>
    <row r="925" spans="1:13">
      <c r="A925" s="37"/>
      <c r="B925" s="37"/>
      <c r="C925" s="37"/>
      <c r="D925" s="37"/>
      <c r="E925" s="37"/>
      <c r="F925" s="38"/>
      <c r="G925" s="37"/>
      <c r="H925" s="37"/>
      <c r="I925" s="37"/>
      <c r="J925" s="37"/>
      <c r="K925" s="40"/>
      <c r="L925" s="39"/>
      <c r="M925" s="45"/>
    </row>
    <row r="926" spans="1:13">
      <c r="A926" s="37"/>
      <c r="B926" s="37"/>
      <c r="C926" s="37"/>
      <c r="D926" s="37"/>
      <c r="E926" s="37"/>
      <c r="F926" s="38"/>
      <c r="G926" s="37"/>
      <c r="H926" s="37"/>
      <c r="I926" s="37"/>
      <c r="J926" s="37"/>
      <c r="K926" s="40"/>
      <c r="L926" s="39"/>
      <c r="M926" s="45"/>
    </row>
    <row r="927" spans="1:13">
      <c r="A927" s="37"/>
      <c r="B927" s="37"/>
      <c r="C927" s="37"/>
      <c r="D927" s="37"/>
      <c r="E927" s="37"/>
      <c r="F927" s="38"/>
      <c r="G927" s="37"/>
      <c r="H927" s="37"/>
      <c r="I927" s="37"/>
      <c r="J927" s="37"/>
      <c r="K927" s="40"/>
      <c r="L927" s="39"/>
      <c r="M927" s="45"/>
    </row>
    <row r="928" spans="1:13">
      <c r="A928" s="37"/>
      <c r="B928" s="37"/>
      <c r="C928" s="37"/>
      <c r="D928" s="37"/>
      <c r="E928" s="37"/>
      <c r="F928" s="38"/>
      <c r="G928" s="37"/>
      <c r="H928" s="37"/>
      <c r="I928" s="37"/>
      <c r="J928" s="37"/>
      <c r="K928" s="40"/>
      <c r="L928" s="39"/>
      <c r="M928" s="45"/>
    </row>
    <row r="929" spans="1:13">
      <c r="A929" s="37"/>
      <c r="B929" s="37"/>
      <c r="C929" s="37"/>
      <c r="D929" s="37"/>
      <c r="E929" s="37"/>
      <c r="F929" s="38"/>
      <c r="G929" s="37"/>
      <c r="H929" s="37"/>
      <c r="I929" s="37"/>
      <c r="J929" s="37"/>
      <c r="K929" s="40"/>
      <c r="L929" s="39"/>
      <c r="M929" s="45"/>
    </row>
    <row r="930" spans="1:13">
      <c r="A930" s="37"/>
      <c r="B930" s="37"/>
      <c r="C930" s="37"/>
      <c r="D930" s="37"/>
      <c r="E930" s="37"/>
      <c r="F930" s="38"/>
      <c r="G930" s="37"/>
      <c r="H930" s="37"/>
      <c r="I930" s="37"/>
      <c r="J930" s="37"/>
      <c r="K930" s="40"/>
      <c r="L930" s="39"/>
      <c r="M930" s="45"/>
    </row>
    <row r="931" spans="1:13">
      <c r="A931" s="37"/>
      <c r="B931" s="37"/>
      <c r="C931" s="37"/>
      <c r="D931" s="37"/>
      <c r="E931" s="37"/>
      <c r="F931" s="38"/>
      <c r="G931" s="37"/>
      <c r="H931" s="37"/>
      <c r="I931" s="37"/>
      <c r="J931" s="37"/>
      <c r="K931" s="40"/>
      <c r="L931" s="39"/>
      <c r="M931" s="45"/>
    </row>
    <row r="932" spans="1:13">
      <c r="A932" s="37"/>
      <c r="B932" s="37"/>
      <c r="C932" s="37"/>
      <c r="D932" s="37"/>
      <c r="E932" s="37"/>
      <c r="F932" s="38"/>
      <c r="G932" s="37"/>
      <c r="H932" s="37"/>
      <c r="I932" s="37"/>
      <c r="J932" s="37"/>
      <c r="K932" s="40"/>
      <c r="L932" s="39"/>
      <c r="M932" s="45"/>
    </row>
    <row r="933" spans="1:13">
      <c r="A933" s="37"/>
      <c r="B933" s="37"/>
      <c r="C933" s="37"/>
      <c r="D933" s="37"/>
      <c r="E933" s="37"/>
      <c r="F933" s="38"/>
      <c r="G933" s="37"/>
      <c r="H933" s="37"/>
      <c r="I933" s="37"/>
      <c r="J933" s="37"/>
      <c r="K933" s="40"/>
      <c r="L933" s="39"/>
      <c r="M933" s="45"/>
    </row>
    <row r="934" spans="1:13">
      <c r="A934" s="37"/>
      <c r="B934" s="37"/>
      <c r="C934" s="37"/>
      <c r="D934" s="37"/>
      <c r="E934" s="37"/>
      <c r="F934" s="38"/>
      <c r="G934" s="37"/>
      <c r="H934" s="37"/>
      <c r="I934" s="37"/>
      <c r="J934" s="37"/>
      <c r="K934" s="40"/>
      <c r="L934" s="39"/>
      <c r="M934" s="45"/>
    </row>
    <row r="935" spans="1:13">
      <c r="A935" s="37"/>
      <c r="B935" s="37"/>
      <c r="C935" s="37"/>
      <c r="D935" s="37"/>
      <c r="E935" s="37"/>
      <c r="F935" s="38"/>
      <c r="G935" s="37"/>
      <c r="H935" s="37"/>
      <c r="I935" s="37"/>
      <c r="J935" s="37"/>
      <c r="K935" s="40"/>
      <c r="L935" s="39"/>
      <c r="M935" s="45"/>
    </row>
    <row r="936" spans="1:13">
      <c r="A936" s="37"/>
      <c r="B936" s="37"/>
      <c r="C936" s="37"/>
      <c r="D936" s="37"/>
      <c r="E936" s="37"/>
      <c r="F936" s="38"/>
      <c r="G936" s="37"/>
      <c r="H936" s="37"/>
      <c r="I936" s="37"/>
      <c r="J936" s="37"/>
      <c r="K936" s="40"/>
      <c r="L936" s="39"/>
      <c r="M936" s="45"/>
    </row>
    <row r="937" spans="1:13">
      <c r="A937" s="37"/>
      <c r="B937" s="37"/>
      <c r="C937" s="37"/>
      <c r="D937" s="37"/>
      <c r="E937" s="37"/>
      <c r="F937" s="38"/>
      <c r="G937" s="37"/>
      <c r="H937" s="37"/>
      <c r="I937" s="37"/>
      <c r="J937" s="37"/>
      <c r="K937" s="40"/>
      <c r="L937" s="39"/>
      <c r="M937" s="45"/>
    </row>
    <row r="938" spans="1:13">
      <c r="A938" s="37"/>
      <c r="B938" s="37"/>
      <c r="C938" s="37"/>
      <c r="D938" s="37"/>
      <c r="E938" s="37"/>
      <c r="F938" s="38"/>
      <c r="G938" s="37"/>
      <c r="H938" s="37"/>
      <c r="I938" s="37"/>
      <c r="J938" s="37"/>
      <c r="K938" s="40"/>
      <c r="L938" s="39"/>
      <c r="M938" s="45"/>
    </row>
    <row r="939" spans="1:13">
      <c r="A939" s="37"/>
      <c r="B939" s="37"/>
      <c r="C939" s="37"/>
      <c r="D939" s="37"/>
      <c r="E939" s="37"/>
      <c r="F939" s="38"/>
      <c r="G939" s="37"/>
      <c r="H939" s="37"/>
      <c r="I939" s="37"/>
      <c r="J939" s="37"/>
      <c r="K939" s="40"/>
      <c r="L939" s="39"/>
      <c r="M939" s="45"/>
    </row>
    <row r="940" spans="1:13">
      <c r="A940" s="37"/>
      <c r="B940" s="37"/>
      <c r="C940" s="37"/>
      <c r="D940" s="37"/>
      <c r="E940" s="37"/>
      <c r="F940" s="38"/>
      <c r="G940" s="37"/>
      <c r="H940" s="37"/>
      <c r="I940" s="37"/>
      <c r="J940" s="37"/>
      <c r="K940" s="40"/>
      <c r="L940" s="39"/>
      <c r="M940" s="45"/>
    </row>
    <row r="941" spans="1:13">
      <c r="A941" s="37"/>
      <c r="B941" s="37"/>
      <c r="C941" s="37"/>
      <c r="D941" s="37"/>
      <c r="E941" s="37"/>
      <c r="F941" s="38"/>
      <c r="G941" s="37"/>
      <c r="H941" s="37"/>
      <c r="I941" s="37"/>
      <c r="J941" s="37"/>
      <c r="K941" s="40"/>
      <c r="L941" s="39"/>
      <c r="M941" s="45"/>
    </row>
    <row r="942" spans="1:13">
      <c r="A942" s="37"/>
      <c r="B942" s="37"/>
      <c r="C942" s="37"/>
      <c r="D942" s="37"/>
      <c r="E942" s="37"/>
      <c r="F942" s="38"/>
      <c r="G942" s="37"/>
      <c r="H942" s="37"/>
      <c r="I942" s="37"/>
      <c r="J942" s="37"/>
      <c r="K942" s="40"/>
      <c r="L942" s="39"/>
      <c r="M942" s="45"/>
    </row>
    <row r="943" spans="1:13">
      <c r="A943" s="37"/>
      <c r="B943" s="37"/>
      <c r="C943" s="37"/>
      <c r="D943" s="37"/>
      <c r="E943" s="37"/>
      <c r="F943" s="38"/>
      <c r="G943" s="37"/>
      <c r="H943" s="37"/>
      <c r="I943" s="37"/>
      <c r="J943" s="37"/>
      <c r="K943" s="40"/>
      <c r="L943" s="39"/>
      <c r="M943" s="45"/>
    </row>
    <row r="944" spans="1:13">
      <c r="A944" s="37"/>
      <c r="B944" s="37"/>
      <c r="C944" s="37"/>
      <c r="D944" s="37"/>
      <c r="E944" s="37"/>
      <c r="F944" s="38"/>
      <c r="G944" s="37"/>
      <c r="H944" s="37"/>
      <c r="I944" s="37"/>
      <c r="J944" s="37"/>
      <c r="K944" s="40"/>
      <c r="L944" s="39"/>
      <c r="M944" s="45"/>
    </row>
    <row r="945" spans="1:13">
      <c r="A945" s="37"/>
      <c r="B945" s="37"/>
      <c r="C945" s="37"/>
      <c r="D945" s="37"/>
      <c r="E945" s="37"/>
      <c r="F945" s="38"/>
      <c r="G945" s="37"/>
      <c r="H945" s="37"/>
      <c r="I945" s="37"/>
      <c r="J945" s="37"/>
      <c r="K945" s="40"/>
      <c r="L945" s="39"/>
      <c r="M945" s="45"/>
    </row>
    <row r="946" spans="1:13">
      <c r="A946" s="37"/>
      <c r="B946" s="37"/>
      <c r="C946" s="37"/>
      <c r="D946" s="37"/>
      <c r="E946" s="37"/>
      <c r="F946" s="38"/>
      <c r="G946" s="37"/>
      <c r="H946" s="37"/>
      <c r="I946" s="37"/>
      <c r="J946" s="37"/>
      <c r="K946" s="40"/>
      <c r="L946" s="39"/>
      <c r="M946" s="45"/>
    </row>
    <row r="947" spans="1:13">
      <c r="A947" s="37"/>
      <c r="B947" s="37"/>
      <c r="C947" s="37"/>
      <c r="D947" s="37"/>
      <c r="E947" s="37"/>
      <c r="F947" s="38"/>
      <c r="G947" s="37"/>
      <c r="H947" s="37"/>
      <c r="I947" s="37"/>
      <c r="J947" s="37"/>
      <c r="K947" s="40"/>
      <c r="L947" s="39"/>
      <c r="M947" s="45"/>
    </row>
    <row r="948" spans="1:13">
      <c r="A948" s="37"/>
      <c r="B948" s="37"/>
      <c r="C948" s="37"/>
      <c r="D948" s="37"/>
      <c r="E948" s="37"/>
      <c r="F948" s="38"/>
      <c r="G948" s="37"/>
      <c r="H948" s="37"/>
      <c r="I948" s="37"/>
      <c r="J948" s="37"/>
      <c r="K948" s="40"/>
      <c r="L948" s="39"/>
      <c r="M948" s="45"/>
    </row>
    <row r="949" spans="1:13">
      <c r="A949" s="37"/>
      <c r="B949" s="37"/>
      <c r="C949" s="37"/>
      <c r="D949" s="37"/>
      <c r="E949" s="37"/>
      <c r="F949" s="38"/>
      <c r="G949" s="37"/>
      <c r="H949" s="37"/>
      <c r="I949" s="37"/>
      <c r="J949" s="37"/>
      <c r="K949" s="40"/>
      <c r="L949" s="39"/>
      <c r="M949" s="45"/>
    </row>
    <row r="950" spans="1:13">
      <c r="A950" s="37"/>
      <c r="B950" s="37"/>
      <c r="C950" s="37"/>
      <c r="D950" s="37"/>
      <c r="E950" s="37"/>
      <c r="F950" s="38"/>
      <c r="G950" s="37"/>
      <c r="H950" s="37"/>
      <c r="I950" s="37"/>
      <c r="J950" s="37"/>
      <c r="K950" s="40"/>
      <c r="L950" s="39"/>
      <c r="M950" s="45"/>
    </row>
    <row r="951" spans="1:13">
      <c r="A951" s="37"/>
      <c r="B951" s="37"/>
      <c r="C951" s="37"/>
      <c r="D951" s="37"/>
      <c r="E951" s="37"/>
      <c r="F951" s="38"/>
      <c r="G951" s="37"/>
      <c r="H951" s="37"/>
      <c r="I951" s="37"/>
      <c r="J951" s="37"/>
      <c r="K951" s="40"/>
      <c r="L951" s="39"/>
      <c r="M951" s="45"/>
    </row>
    <row r="952" spans="1:13">
      <c r="A952" s="37"/>
      <c r="B952" s="37"/>
      <c r="C952" s="37"/>
      <c r="D952" s="37"/>
      <c r="E952" s="37"/>
      <c r="F952" s="38"/>
      <c r="G952" s="37"/>
      <c r="H952" s="37"/>
      <c r="I952" s="37"/>
      <c r="J952" s="37"/>
      <c r="K952" s="40"/>
      <c r="L952" s="39"/>
      <c r="M952" s="45"/>
    </row>
    <row r="953" spans="1:13">
      <c r="A953" s="37"/>
      <c r="B953" s="37"/>
      <c r="C953" s="37"/>
      <c r="D953" s="37"/>
      <c r="E953" s="37"/>
      <c r="F953" s="38"/>
      <c r="G953" s="37"/>
      <c r="H953" s="37"/>
      <c r="I953" s="37"/>
      <c r="J953" s="37"/>
      <c r="K953" s="40"/>
      <c r="L953" s="39"/>
      <c r="M953" s="45"/>
    </row>
    <row r="954" spans="1:13">
      <c r="A954" s="37"/>
      <c r="B954" s="37"/>
      <c r="C954" s="37"/>
      <c r="D954" s="37"/>
      <c r="E954" s="37"/>
      <c r="F954" s="38"/>
      <c r="G954" s="37"/>
      <c r="H954" s="37"/>
      <c r="I954" s="37"/>
      <c r="J954" s="37"/>
      <c r="K954" s="40"/>
      <c r="L954" s="39"/>
      <c r="M954" s="45"/>
    </row>
    <row r="955" spans="1:13">
      <c r="A955" s="37"/>
      <c r="B955" s="37"/>
      <c r="C955" s="37"/>
      <c r="D955" s="37"/>
      <c r="E955" s="37"/>
      <c r="F955" s="38"/>
      <c r="G955" s="37"/>
      <c r="H955" s="37"/>
      <c r="I955" s="37"/>
      <c r="J955" s="37"/>
      <c r="K955" s="40"/>
      <c r="L955" s="39"/>
      <c r="M955" s="45"/>
    </row>
    <row r="956" spans="1:13">
      <c r="A956" s="37"/>
      <c r="B956" s="37"/>
      <c r="C956" s="37"/>
      <c r="D956" s="37"/>
      <c r="E956" s="37"/>
      <c r="F956" s="38"/>
      <c r="G956" s="37"/>
      <c r="H956" s="37"/>
      <c r="I956" s="37"/>
      <c r="J956" s="37"/>
      <c r="K956" s="40"/>
      <c r="L956" s="39"/>
      <c r="M956" s="45"/>
    </row>
    <row r="957" spans="1:13">
      <c r="A957" s="37"/>
      <c r="B957" s="37"/>
      <c r="C957" s="37"/>
      <c r="D957" s="37"/>
      <c r="E957" s="37"/>
      <c r="F957" s="38"/>
      <c r="G957" s="37"/>
      <c r="H957" s="37"/>
      <c r="I957" s="37"/>
      <c r="J957" s="37"/>
      <c r="K957" s="40"/>
      <c r="L957" s="39"/>
      <c r="M957" s="45"/>
    </row>
    <row r="958" spans="1:13">
      <c r="A958" s="37"/>
      <c r="B958" s="37"/>
      <c r="C958" s="37"/>
      <c r="D958" s="37"/>
      <c r="E958" s="37"/>
      <c r="F958" s="38"/>
      <c r="G958" s="37"/>
      <c r="H958" s="37"/>
      <c r="I958" s="37"/>
      <c r="J958" s="37"/>
      <c r="K958" s="40"/>
      <c r="L958" s="39"/>
      <c r="M958" s="45"/>
    </row>
    <row r="959" spans="1:13">
      <c r="A959" s="37"/>
      <c r="B959" s="37"/>
      <c r="C959" s="37"/>
      <c r="D959" s="37"/>
      <c r="E959" s="37"/>
      <c r="F959" s="38"/>
      <c r="G959" s="37"/>
      <c r="H959" s="37"/>
      <c r="I959" s="37"/>
      <c r="J959" s="37"/>
      <c r="K959" s="40"/>
      <c r="L959" s="39"/>
      <c r="M959" s="45"/>
    </row>
    <row r="960" spans="1:13">
      <c r="A960" s="37"/>
      <c r="B960" s="37"/>
      <c r="C960" s="37"/>
      <c r="D960" s="37"/>
      <c r="E960" s="37"/>
      <c r="F960" s="38"/>
      <c r="G960" s="37"/>
      <c r="H960" s="37"/>
      <c r="I960" s="37"/>
      <c r="J960" s="37"/>
      <c r="K960" s="40"/>
      <c r="L960" s="39"/>
      <c r="M960" s="45"/>
    </row>
    <row r="961" spans="1:13">
      <c r="A961" s="37"/>
      <c r="B961" s="37"/>
      <c r="C961" s="37"/>
      <c r="D961" s="37"/>
      <c r="E961" s="37"/>
      <c r="F961" s="38"/>
      <c r="G961" s="37"/>
      <c r="H961" s="37"/>
      <c r="I961" s="37"/>
      <c r="J961" s="37"/>
      <c r="K961" s="40"/>
      <c r="L961" s="39"/>
      <c r="M961" s="45"/>
    </row>
    <row r="962" spans="1:13">
      <c r="A962" s="37"/>
      <c r="B962" s="37"/>
      <c r="C962" s="37"/>
      <c r="D962" s="37"/>
      <c r="E962" s="37"/>
      <c r="F962" s="38"/>
      <c r="G962" s="37"/>
      <c r="H962" s="37"/>
      <c r="I962" s="37"/>
      <c r="J962" s="37"/>
      <c r="K962" s="40"/>
      <c r="L962" s="39"/>
      <c r="M962" s="45"/>
    </row>
    <row r="963" spans="1:13">
      <c r="A963" s="37"/>
      <c r="B963" s="37"/>
      <c r="C963" s="37"/>
      <c r="D963" s="37"/>
      <c r="E963" s="37"/>
      <c r="F963" s="38"/>
      <c r="G963" s="37"/>
      <c r="H963" s="37"/>
      <c r="I963" s="37"/>
      <c r="J963" s="37"/>
      <c r="K963" s="40"/>
      <c r="L963" s="39"/>
      <c r="M963" s="45"/>
    </row>
    <row r="964" spans="1:13">
      <c r="A964" s="37"/>
      <c r="B964" s="37"/>
      <c r="C964" s="37"/>
      <c r="D964" s="37"/>
      <c r="E964" s="37"/>
      <c r="F964" s="38"/>
      <c r="G964" s="37"/>
      <c r="H964" s="37"/>
      <c r="I964" s="37"/>
      <c r="J964" s="37"/>
      <c r="K964" s="40"/>
      <c r="L964" s="39"/>
      <c r="M964" s="45"/>
    </row>
    <row r="965" spans="1:13">
      <c r="A965" s="37"/>
      <c r="B965" s="37"/>
      <c r="C965" s="37"/>
      <c r="D965" s="37"/>
      <c r="E965" s="37"/>
      <c r="F965" s="38"/>
      <c r="G965" s="37"/>
      <c r="H965" s="37"/>
      <c r="I965" s="37"/>
      <c r="J965" s="37"/>
      <c r="K965" s="40"/>
      <c r="L965" s="39"/>
      <c r="M965" s="45"/>
    </row>
    <row r="966" spans="1:13">
      <c r="A966" s="37"/>
      <c r="B966" s="37"/>
      <c r="C966" s="37"/>
      <c r="D966" s="37"/>
      <c r="E966" s="37"/>
      <c r="F966" s="38"/>
      <c r="G966" s="37"/>
      <c r="H966" s="37"/>
      <c r="I966" s="37"/>
      <c r="J966" s="37"/>
      <c r="K966" s="40"/>
      <c r="L966" s="39"/>
      <c r="M966" s="45"/>
    </row>
    <row r="967" spans="1:13">
      <c r="A967" s="37"/>
      <c r="B967" s="37"/>
      <c r="C967" s="37"/>
      <c r="D967" s="37"/>
      <c r="E967" s="37"/>
      <c r="F967" s="38"/>
      <c r="G967" s="37"/>
      <c r="H967" s="37"/>
      <c r="I967" s="37"/>
      <c r="J967" s="37"/>
      <c r="K967" s="40"/>
      <c r="L967" s="39"/>
      <c r="M967" s="45"/>
    </row>
    <row r="968" spans="1:13">
      <c r="A968" s="37"/>
      <c r="B968" s="37"/>
      <c r="C968" s="37"/>
      <c r="D968" s="37"/>
      <c r="E968" s="37"/>
      <c r="F968" s="38"/>
      <c r="G968" s="37"/>
      <c r="H968" s="37"/>
      <c r="I968" s="37"/>
      <c r="J968" s="37"/>
      <c r="K968" s="40"/>
      <c r="L968" s="39"/>
      <c r="M968" s="45"/>
    </row>
    <row r="969" spans="1:13">
      <c r="A969" s="37"/>
      <c r="B969" s="37"/>
      <c r="C969" s="37"/>
      <c r="D969" s="37"/>
      <c r="E969" s="37"/>
      <c r="F969" s="38"/>
      <c r="G969" s="37"/>
      <c r="H969" s="37"/>
      <c r="I969" s="37"/>
      <c r="J969" s="37"/>
      <c r="K969" s="40"/>
      <c r="L969" s="39"/>
      <c r="M969" s="45"/>
    </row>
    <row r="970" spans="1:13">
      <c r="A970" s="37"/>
      <c r="B970" s="37"/>
      <c r="C970" s="37"/>
      <c r="D970" s="37"/>
      <c r="E970" s="37"/>
      <c r="F970" s="38"/>
      <c r="G970" s="37"/>
      <c r="H970" s="37"/>
      <c r="I970" s="37"/>
      <c r="J970" s="37"/>
      <c r="K970" s="40"/>
      <c r="L970" s="39"/>
      <c r="M970" s="45"/>
    </row>
    <row r="971" spans="1:13">
      <c r="A971" s="37"/>
      <c r="B971" s="37"/>
      <c r="C971" s="37"/>
      <c r="D971" s="37"/>
      <c r="E971" s="37"/>
      <c r="F971" s="38"/>
      <c r="G971" s="37"/>
      <c r="H971" s="37"/>
      <c r="I971" s="37"/>
      <c r="J971" s="37"/>
      <c r="K971" s="40"/>
      <c r="L971" s="39"/>
      <c r="M971" s="45"/>
    </row>
    <row r="972" spans="1:13">
      <c r="A972" s="37"/>
      <c r="B972" s="37"/>
      <c r="C972" s="37"/>
      <c r="D972" s="37"/>
      <c r="E972" s="37"/>
      <c r="F972" s="38"/>
      <c r="G972" s="37"/>
      <c r="H972" s="37"/>
      <c r="I972" s="37"/>
      <c r="J972" s="37"/>
      <c r="K972" s="40"/>
      <c r="L972" s="39"/>
      <c r="M972" s="45"/>
    </row>
    <row r="973" spans="1:13">
      <c r="A973" s="37"/>
      <c r="B973" s="37"/>
      <c r="C973" s="37"/>
      <c r="D973" s="37"/>
      <c r="E973" s="37"/>
      <c r="F973" s="38"/>
      <c r="G973" s="37"/>
      <c r="H973" s="37"/>
      <c r="I973" s="37"/>
      <c r="J973" s="37"/>
      <c r="K973" s="40"/>
      <c r="L973" s="39"/>
      <c r="M973" s="45"/>
    </row>
    <row r="974" spans="1:13">
      <c r="A974" s="37"/>
      <c r="B974" s="37"/>
      <c r="C974" s="37"/>
      <c r="D974" s="37"/>
      <c r="E974" s="37"/>
      <c r="F974" s="38"/>
      <c r="G974" s="37"/>
      <c r="H974" s="37"/>
      <c r="I974" s="37"/>
      <c r="J974" s="37"/>
      <c r="K974" s="40"/>
      <c r="L974" s="39"/>
      <c r="M974" s="45"/>
    </row>
    <row r="975" spans="1:13">
      <c r="A975" s="37"/>
      <c r="B975" s="37"/>
      <c r="C975" s="37"/>
      <c r="D975" s="37"/>
      <c r="E975" s="37"/>
      <c r="F975" s="38"/>
      <c r="G975" s="37"/>
      <c r="H975" s="37"/>
      <c r="I975" s="37"/>
      <c r="J975" s="37"/>
      <c r="K975" s="40"/>
      <c r="L975" s="39"/>
      <c r="M975" s="45"/>
    </row>
    <row r="976" spans="1:13">
      <c r="A976" s="37"/>
      <c r="B976" s="37"/>
      <c r="C976" s="37"/>
      <c r="D976" s="37"/>
      <c r="E976" s="37"/>
      <c r="F976" s="38"/>
      <c r="G976" s="37"/>
      <c r="H976" s="37"/>
      <c r="I976" s="37"/>
      <c r="J976" s="37"/>
      <c r="K976" s="40"/>
      <c r="L976" s="39"/>
      <c r="M976" s="45"/>
    </row>
    <row r="977" spans="1:13">
      <c r="A977" s="37"/>
      <c r="B977" s="37"/>
      <c r="C977" s="37"/>
      <c r="D977" s="37"/>
      <c r="E977" s="37"/>
      <c r="F977" s="38"/>
      <c r="G977" s="37"/>
      <c r="H977" s="37"/>
      <c r="I977" s="37"/>
      <c r="J977" s="37"/>
      <c r="K977" s="40"/>
      <c r="L977" s="39"/>
      <c r="M977" s="45"/>
    </row>
    <row r="978" spans="1:13">
      <c r="A978" s="37"/>
      <c r="B978" s="37"/>
      <c r="C978" s="37"/>
      <c r="D978" s="37"/>
      <c r="E978" s="37"/>
      <c r="F978" s="38"/>
      <c r="G978" s="37"/>
      <c r="H978" s="37"/>
      <c r="I978" s="37"/>
      <c r="J978" s="37"/>
      <c r="K978" s="40"/>
      <c r="L978" s="39"/>
      <c r="M978" s="45"/>
    </row>
    <row r="979" spans="1:13">
      <c r="A979" s="37"/>
      <c r="B979" s="37"/>
      <c r="C979" s="37"/>
      <c r="D979" s="37"/>
      <c r="E979" s="37"/>
      <c r="F979" s="38"/>
      <c r="G979" s="37"/>
      <c r="H979" s="37"/>
      <c r="I979" s="37"/>
      <c r="J979" s="37"/>
      <c r="K979" s="40"/>
      <c r="L979" s="39"/>
      <c r="M979" s="45"/>
    </row>
    <row r="980" spans="1:13">
      <c r="A980" s="37"/>
      <c r="B980" s="37"/>
      <c r="C980" s="37"/>
      <c r="D980" s="37"/>
      <c r="E980" s="37"/>
      <c r="F980" s="38"/>
      <c r="G980" s="37"/>
      <c r="H980" s="37"/>
      <c r="I980" s="37"/>
      <c r="J980" s="37"/>
      <c r="K980" s="40"/>
      <c r="L980" s="39"/>
      <c r="M980" s="45"/>
    </row>
    <row r="981" spans="1:13">
      <c r="A981" s="37"/>
      <c r="B981" s="37"/>
      <c r="C981" s="37"/>
      <c r="D981" s="37"/>
      <c r="E981" s="37"/>
      <c r="F981" s="38"/>
      <c r="G981" s="37"/>
      <c r="H981" s="37"/>
      <c r="I981" s="37"/>
      <c r="J981" s="37"/>
      <c r="K981" s="40"/>
      <c r="L981" s="39"/>
      <c r="M981" s="45"/>
    </row>
    <row r="982" spans="1:13">
      <c r="A982" s="37"/>
      <c r="B982" s="37"/>
      <c r="C982" s="37"/>
      <c r="D982" s="37"/>
      <c r="E982" s="37"/>
      <c r="F982" s="38"/>
      <c r="G982" s="37"/>
      <c r="H982" s="37"/>
      <c r="I982" s="37"/>
      <c r="J982" s="37"/>
      <c r="K982" s="40"/>
      <c r="L982" s="39"/>
      <c r="M982" s="45"/>
    </row>
    <row r="983" spans="1:13">
      <c r="A983" s="37"/>
      <c r="B983" s="37"/>
      <c r="C983" s="37"/>
      <c r="D983" s="37"/>
      <c r="E983" s="37"/>
      <c r="F983" s="38"/>
      <c r="G983" s="37"/>
      <c r="H983" s="37"/>
      <c r="I983" s="37"/>
      <c r="J983" s="37"/>
      <c r="K983" s="40"/>
      <c r="L983" s="39"/>
      <c r="M983" s="45"/>
    </row>
    <row r="984" spans="1:13">
      <c r="A984" s="37"/>
      <c r="B984" s="37"/>
      <c r="C984" s="37"/>
      <c r="D984" s="37"/>
      <c r="E984" s="37"/>
      <c r="F984" s="38"/>
      <c r="G984" s="37"/>
      <c r="H984" s="37"/>
      <c r="I984" s="37"/>
      <c r="J984" s="37"/>
      <c r="K984" s="40"/>
      <c r="L984" s="39"/>
      <c r="M984" s="45"/>
    </row>
    <row r="985" spans="1:13">
      <c r="A985" s="37"/>
      <c r="B985" s="37"/>
      <c r="C985" s="37"/>
      <c r="D985" s="37"/>
      <c r="E985" s="37"/>
      <c r="F985" s="38"/>
      <c r="G985" s="37"/>
      <c r="H985" s="37"/>
      <c r="I985" s="37"/>
      <c r="J985" s="37"/>
      <c r="K985" s="40"/>
      <c r="L985" s="39"/>
      <c r="M985" s="45"/>
    </row>
    <row r="986" spans="1:13">
      <c r="A986" s="37"/>
      <c r="B986" s="37"/>
      <c r="C986" s="37"/>
      <c r="D986" s="37"/>
      <c r="E986" s="37"/>
      <c r="F986" s="38"/>
      <c r="G986" s="37"/>
      <c r="H986" s="37"/>
      <c r="I986" s="37"/>
      <c r="J986" s="37"/>
      <c r="K986" s="40"/>
      <c r="L986" s="39"/>
      <c r="M986" s="45"/>
    </row>
    <row r="987" spans="1:13">
      <c r="A987" s="37"/>
      <c r="B987" s="37"/>
      <c r="C987" s="37"/>
      <c r="D987" s="37"/>
      <c r="E987" s="37"/>
      <c r="F987" s="38"/>
      <c r="G987" s="37"/>
      <c r="H987" s="37"/>
      <c r="I987" s="37"/>
      <c r="J987" s="37"/>
      <c r="K987" s="40"/>
      <c r="L987" s="39"/>
      <c r="M987" s="45"/>
    </row>
    <row r="988" spans="1:13">
      <c r="A988" s="37"/>
      <c r="B988" s="37"/>
      <c r="C988" s="37"/>
      <c r="D988" s="37"/>
      <c r="E988" s="37"/>
      <c r="F988" s="38"/>
      <c r="G988" s="37"/>
      <c r="H988" s="37"/>
      <c r="I988" s="37"/>
      <c r="J988" s="37"/>
      <c r="K988" s="40"/>
      <c r="L988" s="39"/>
      <c r="M988" s="45"/>
    </row>
    <row r="989" spans="1:13">
      <c r="A989" s="37"/>
      <c r="B989" s="37"/>
      <c r="C989" s="37"/>
      <c r="D989" s="37"/>
      <c r="E989" s="37"/>
      <c r="F989" s="38"/>
      <c r="G989" s="37"/>
      <c r="H989" s="37"/>
      <c r="I989" s="37"/>
      <c r="J989" s="37"/>
      <c r="K989" s="40"/>
      <c r="L989" s="39"/>
      <c r="M989" s="45"/>
    </row>
    <row r="990" spans="1:13">
      <c r="A990" s="37"/>
      <c r="B990" s="37"/>
      <c r="C990" s="37"/>
      <c r="D990" s="37"/>
      <c r="E990" s="37"/>
      <c r="F990" s="38"/>
      <c r="G990" s="37"/>
      <c r="H990" s="37"/>
      <c r="I990" s="37"/>
      <c r="J990" s="37"/>
      <c r="K990" s="40"/>
      <c r="L990" s="39"/>
      <c r="M990" s="45"/>
    </row>
    <row r="991" spans="1:13">
      <c r="A991" s="37"/>
      <c r="B991" s="37"/>
      <c r="C991" s="37"/>
      <c r="D991" s="37"/>
      <c r="E991" s="37"/>
      <c r="F991" s="38"/>
      <c r="G991" s="37"/>
      <c r="H991" s="37"/>
      <c r="I991" s="37"/>
      <c r="J991" s="37"/>
      <c r="K991" s="40"/>
      <c r="L991" s="39"/>
      <c r="M991" s="45"/>
    </row>
    <row r="992" spans="1:13">
      <c r="A992" s="37"/>
      <c r="B992" s="37"/>
      <c r="C992" s="37"/>
      <c r="D992" s="37"/>
      <c r="E992" s="37"/>
      <c r="F992" s="38"/>
      <c r="G992" s="37"/>
      <c r="H992" s="37"/>
      <c r="I992" s="37"/>
      <c r="J992" s="37"/>
      <c r="K992" s="40"/>
      <c r="L992" s="39"/>
      <c r="M992" s="45"/>
    </row>
    <row r="993" spans="1:13">
      <c r="A993" s="37"/>
      <c r="B993" s="37"/>
      <c r="C993" s="37"/>
      <c r="D993" s="37"/>
      <c r="E993" s="37"/>
      <c r="F993" s="38"/>
      <c r="G993" s="37"/>
      <c r="H993" s="37"/>
      <c r="I993" s="37"/>
      <c r="J993" s="37"/>
      <c r="K993" s="40"/>
      <c r="L993" s="39"/>
      <c r="M993" s="45"/>
    </row>
    <row r="994" spans="1:13">
      <c r="A994" s="37"/>
      <c r="B994" s="37"/>
      <c r="C994" s="37"/>
      <c r="D994" s="37"/>
      <c r="E994" s="37"/>
      <c r="F994" s="38"/>
      <c r="G994" s="37"/>
      <c r="H994" s="37"/>
      <c r="I994" s="37"/>
      <c r="J994" s="37"/>
      <c r="K994" s="40"/>
      <c r="L994" s="39"/>
      <c r="M994" s="45"/>
    </row>
    <row r="995" spans="1:13">
      <c r="A995" s="37"/>
      <c r="B995" s="37"/>
      <c r="C995" s="37"/>
      <c r="D995" s="37"/>
      <c r="E995" s="37"/>
      <c r="F995" s="38"/>
      <c r="G995" s="37"/>
      <c r="H995" s="37"/>
      <c r="I995" s="37"/>
      <c r="J995" s="37"/>
      <c r="K995" s="40"/>
      <c r="L995" s="39"/>
      <c r="M995" s="45"/>
    </row>
    <row r="996" spans="1:13">
      <c r="A996" s="37"/>
      <c r="B996" s="37"/>
      <c r="C996" s="37"/>
      <c r="D996" s="37"/>
      <c r="E996" s="37"/>
      <c r="F996" s="38"/>
      <c r="G996" s="37"/>
      <c r="H996" s="37"/>
      <c r="I996" s="37"/>
      <c r="J996" s="37"/>
      <c r="K996" s="40"/>
      <c r="L996" s="39"/>
      <c r="M996" s="45"/>
    </row>
    <row r="997" spans="1:13">
      <c r="A997" s="37"/>
      <c r="B997" s="37"/>
      <c r="C997" s="37"/>
      <c r="D997" s="37"/>
      <c r="E997" s="37"/>
      <c r="F997" s="38"/>
      <c r="G997" s="37"/>
      <c r="H997" s="37"/>
      <c r="I997" s="37"/>
      <c r="J997" s="37"/>
      <c r="K997" s="40"/>
      <c r="L997" s="39"/>
      <c r="M997" s="45"/>
    </row>
    <row r="998" spans="1:13">
      <c r="A998" s="37"/>
      <c r="B998" s="37"/>
      <c r="C998" s="37"/>
      <c r="D998" s="37"/>
      <c r="E998" s="37"/>
      <c r="F998" s="38"/>
      <c r="G998" s="37"/>
      <c r="H998" s="37"/>
      <c r="I998" s="37"/>
      <c r="J998" s="37"/>
      <c r="K998" s="40"/>
      <c r="L998" s="39"/>
      <c r="M998" s="45"/>
    </row>
    <row r="999" spans="1:13">
      <c r="A999" s="37"/>
      <c r="B999" s="37"/>
      <c r="C999" s="37"/>
      <c r="D999" s="37"/>
      <c r="E999" s="37"/>
      <c r="F999" s="38"/>
      <c r="G999" s="37"/>
      <c r="H999" s="37"/>
      <c r="I999" s="37"/>
      <c r="J999" s="37"/>
      <c r="K999" s="40"/>
      <c r="L999" s="39"/>
      <c r="M999" s="45"/>
    </row>
    <row r="1000" spans="1:13">
      <c r="A1000" s="37"/>
      <c r="B1000" s="37"/>
      <c r="C1000" s="37"/>
      <c r="D1000" s="37"/>
      <c r="E1000" s="37"/>
      <c r="F1000" s="38"/>
      <c r="G1000" s="37"/>
      <c r="H1000" s="37"/>
      <c r="I1000" s="37"/>
      <c r="J1000" s="37"/>
      <c r="K1000" s="40"/>
      <c r="L1000" s="39"/>
      <c r="M1000" s="45"/>
    </row>
    <row r="1001" spans="1:13">
      <c r="A1001" s="41"/>
      <c r="B1001" s="42"/>
      <c r="C1001" s="42"/>
      <c r="D1001" s="42"/>
      <c r="E1001" s="42"/>
      <c r="F1001" s="43"/>
      <c r="G1001" s="42"/>
      <c r="H1001" s="42"/>
      <c r="I1001" s="42"/>
      <c r="J1001" s="42"/>
      <c r="K1001" s="44"/>
      <c r="L1001" s="42"/>
    </row>
  </sheetData>
  <sheetProtection formatCells="0" formatColumns="0" formatRows="0" insertHyperlinks="0" sort="0" autoFilter="0" pivotTables="0"/>
  <sortState xmlns:xlrd2="http://schemas.microsoft.com/office/spreadsheetml/2017/richdata2" ref="A2:L100">
    <sortCondition ref="L1:L100"/>
    <sortCondition ref="C1:C100"/>
    <sortCondition descending="1" ref="B1:B100"/>
  </sortState>
  <dataValidations count="3">
    <dataValidation type="list" allowBlank="1" showInputMessage="1" showErrorMessage="1" sqref="D2:D1001" xr:uid="{00000000-0002-0000-0400-000000000000}">
      <formula1>INDIRECT(CONCATENATE("ACAO",C2))</formula1>
    </dataValidation>
    <dataValidation type="list" allowBlank="1" showInputMessage="1" showErrorMessage="1" sqref="F2:F1001" xr:uid="{00000000-0002-0000-0400-000001000000}">
      <formula1>INDIRECT(CONCATENATE("GRUPO",E2))</formula1>
    </dataValidation>
    <dataValidation type="list" allowBlank="1" showInputMessage="1" showErrorMessage="1" sqref="G2:G1001" xr:uid="{00000000-0002-0000-0400-000002000000}">
      <formula1>INDIRECT(CONCATENATE("G",E2,"M",F2))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stopIfTrue="1" id="{A8610E26-1E3C-4A82-BB7D-8DC93ADA2D65}">
            <xm:f>ROBO!R52="SIAFI DUPLICADO"</xm:f>
            <x14:dxf>
              <font>
                <color rgb="FFFF0000"/>
              </font>
            </x14:dxf>
          </x14:cfRule>
          <xm:sqref>G52:G1000</xm:sqref>
        </x14:conditionalFormatting>
        <x14:conditionalFormatting xmlns:xm="http://schemas.microsoft.com/office/excel/2006/main">
          <x14:cfRule type="expression" priority="11" stopIfTrue="1" id="{AC5129FC-338C-4C77-B088-28D4D367EEBB}">
            <xm:f>ROBO!R52="SIAFI DUPLICADO"</xm:f>
            <x14:dxf>
              <font>
                <color rgb="FFFF0000"/>
              </font>
            </x14:dxf>
          </x14:cfRule>
          <xm:sqref>B52:B1000</xm:sqref>
        </x14:conditionalFormatting>
        <x14:conditionalFormatting xmlns:xm="http://schemas.microsoft.com/office/excel/2006/main">
          <x14:cfRule type="expression" priority="8" stopIfTrue="1" id="{74611686-647B-49AD-A625-E15E60536F6E}">
            <xm:f>ROBO!R52="SIAFI DUPLICADO"</xm:f>
            <x14:dxf>
              <font>
                <color rgb="FFFF0000"/>
              </font>
            </x14:dxf>
          </x14:cfRule>
          <xm:sqref>E52:E1000</xm:sqref>
        </x14:conditionalFormatting>
        <x14:conditionalFormatting xmlns:xm="http://schemas.microsoft.com/office/excel/2006/main">
          <x14:cfRule type="expression" priority="9" stopIfTrue="1" id="{C769CA02-9DA7-436F-BD8F-33A4A00D9323}">
            <xm:f>ROBO!R52="SIAFI DUPLICADO"</xm:f>
            <x14:dxf>
              <font>
                <color rgb="FFFF0000"/>
              </font>
            </x14:dxf>
          </x14:cfRule>
          <xm:sqref>D52:D1000</xm:sqref>
        </x14:conditionalFormatting>
        <x14:conditionalFormatting xmlns:xm="http://schemas.microsoft.com/office/excel/2006/main">
          <x14:cfRule type="expression" priority="10" stopIfTrue="1" id="{12B193D1-1333-480F-A180-502C4B209BC3}">
            <xm:f>ROBO!R52="SIAFI DUPLICADO"</xm:f>
            <x14:dxf>
              <font>
                <color rgb="FFFF0000"/>
              </font>
            </x14:dxf>
          </x14:cfRule>
          <xm:sqref>C52:C1000</xm:sqref>
        </x14:conditionalFormatting>
        <x14:conditionalFormatting xmlns:xm="http://schemas.microsoft.com/office/excel/2006/main">
          <x14:cfRule type="expression" priority="7" stopIfTrue="1" id="{E8C4C912-AC5B-498B-A312-E7C5B67332C6}">
            <xm:f>ROBO!R52="SIAFI DUPLICADO"</xm:f>
            <x14:dxf>
              <font>
                <color rgb="FFFF0000"/>
              </font>
            </x14:dxf>
          </x14:cfRule>
          <xm:sqref>A52:A1000</xm:sqref>
        </x14:conditionalFormatting>
        <x14:conditionalFormatting xmlns:xm="http://schemas.microsoft.com/office/excel/2006/main">
          <x14:cfRule type="expression" priority="6" stopIfTrue="1" id="{85DF07FF-E69B-4235-BFF0-6F1298D97DEE}">
            <xm:f>ROBO!R52="SIAFI DUPLICADO"</xm:f>
            <x14:dxf>
              <font>
                <color rgb="FFFF0000"/>
              </font>
            </x14:dxf>
          </x14:cfRule>
          <xm:sqref>J52:J1000</xm:sqref>
        </x14:conditionalFormatting>
        <x14:conditionalFormatting xmlns:xm="http://schemas.microsoft.com/office/excel/2006/main">
          <x14:cfRule type="expression" priority="4" stopIfTrue="1" id="{DB361444-730D-48A9-B47B-7F6C94F7F290}">
            <xm:f>ROBO!R52="SIAFI DUPLICADO"</xm:f>
            <x14:dxf>
              <font>
                <color rgb="FFFF0000"/>
              </font>
            </x14:dxf>
          </x14:cfRule>
          <xm:sqref>H52:H1000</xm:sqref>
        </x14:conditionalFormatting>
        <x14:conditionalFormatting xmlns:xm="http://schemas.microsoft.com/office/excel/2006/main">
          <x14:cfRule type="expression" priority="5" stopIfTrue="1" id="{575DE040-B0D0-482C-A983-9BF042D225AC}">
            <xm:f>ROBO!R52="SIAFI DUPLICADO"</xm:f>
            <x14:dxf>
              <font>
                <color rgb="FFFF0000"/>
              </font>
            </x14:dxf>
          </x14:cfRule>
          <xm:sqref>I52:I1000</xm:sqref>
        </x14:conditionalFormatting>
        <x14:conditionalFormatting xmlns:xm="http://schemas.microsoft.com/office/excel/2006/main">
          <x14:cfRule type="expression" priority="3" stopIfTrue="1" id="{89BDD9EB-F301-4DBE-9727-CA7DC92497EC}">
            <xm:f>ROBO!R52="SIAFI DUPLICADO"</xm:f>
            <x14:dxf>
              <font>
                <color rgb="FFFF0000"/>
              </font>
            </x14:dxf>
          </x14:cfRule>
          <xm:sqref>F52:F1000</xm:sqref>
        </x14:conditionalFormatting>
        <x14:conditionalFormatting xmlns:xm="http://schemas.microsoft.com/office/excel/2006/main">
          <x14:cfRule type="expression" priority="1" stopIfTrue="1" id="{86A83799-9FC8-420E-9BB9-B070AFD2B138}">
            <xm:f>ROBO!R52="SIAFI DUPLICADO"</xm:f>
            <x14:dxf>
              <font>
                <color rgb="FFFF0000"/>
              </font>
            </x14:dxf>
          </x14:cfRule>
          <xm:sqref>K52:K1000</xm:sqref>
        </x14:conditionalFormatting>
        <x14:conditionalFormatting xmlns:xm="http://schemas.microsoft.com/office/excel/2006/main">
          <x14:cfRule type="expression" priority="2" stopIfTrue="1" id="{E7C0EFB8-F64E-4CC6-83DC-ABC9677597E4}">
            <xm:f>ROBO!R52="SIAFI DUPLICADO"</xm:f>
            <x14:dxf>
              <font>
                <color rgb="FFFF0000"/>
              </font>
            </x14:dxf>
          </x14:cfRule>
          <xm:sqref>L52:L1000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400-000003000000}">
          <x14:formula1>
            <xm:f>qdd!$J$1:$J$4</xm:f>
          </x14:formula1>
          <xm:sqref>L52:L1001</xm:sqref>
        </x14:dataValidation>
        <x14:dataValidation type="list" allowBlank="1" showInputMessage="1" showErrorMessage="1" prompt="Um bloco é um conjunto de movimentações (suplementações e anulações) que encerram um processo único. Ou seja, indentificam uma unidade no agregado de solicitações." xr:uid="{00000000-0002-0000-0400-000004000000}">
          <x14:formula1>
            <xm:f>qdd!$R$2:$R$101</xm:f>
          </x14:formula1>
          <xm:sqref>A52:A1001</xm:sqref>
        </x14:dataValidation>
        <x14:dataValidation type="list" allowBlank="1" showInputMessage="1" showErrorMessage="1" xr:uid="{00000000-0002-0000-0400-000005000000}">
          <x14:formula1>
            <xm:f>qdd!$W$2:$W$99</xm:f>
          </x14:formula1>
          <xm:sqref>C1001</xm:sqref>
        </x14:dataValidation>
        <x14:dataValidation type="list" allowBlank="1" showInputMessage="1" showErrorMessage="1" xr:uid="{00000000-0002-0000-0400-000006000000}">
          <x14:formula1>
            <xm:f>qdd!$P$2:$P$7</xm:f>
          </x14:formula1>
          <xm:sqref>E1001</xm:sqref>
        </x14:dataValidation>
        <x14:dataValidation type="list" allowBlank="1" showInputMessage="1" showErrorMessage="1" xr:uid="{00000000-0002-0000-0400-000007000000}">
          <x14:formula1>
            <xm:f>qdd!$J$13:$J$14</xm:f>
          </x14:formula1>
          <xm:sqref>B52:B1001</xm:sqref>
        </x14:dataValidation>
        <x14:dataValidation type="list" allowBlank="1" showInputMessage="1" showErrorMessage="1" xr:uid="{00000000-0002-0000-0400-000008000000}">
          <x14:formula1>
            <xm:f>qdd!$P$2:$P$8</xm:f>
          </x14:formula1>
          <xm:sqref>E52:E1000</xm:sqref>
        </x14:dataValidation>
        <x14:dataValidation type="list" allowBlank="1" showInputMessage="1" showErrorMessage="1" xr:uid="{00000000-0002-0000-0400-000009000000}">
          <x14:formula1>
            <xm:f>qdd!$W$2:$W$102</xm:f>
          </x14:formula1>
          <xm:sqref>C52:C1000</xm:sqref>
        </x14:dataValidation>
        <x14:dataValidation type="list" allowBlank="1" showInputMessage="1" showErrorMessage="1" xr:uid="{00000000-0002-0000-0400-00000A000000}">
          <x14:formula1>
            <xm:f>qdd!$AF$3:$AF$9</xm:f>
          </x14:formula1>
          <xm:sqref>J1001</xm:sqref>
        </x14:dataValidation>
        <x14:dataValidation type="list" allowBlank="1" showInputMessage="1" showErrorMessage="1" xr:uid="{00000000-0002-0000-0400-00000B000000}">
          <x14:formula1>
            <xm:f>qdd!$AF$2:$AF$9</xm:f>
          </x14:formula1>
          <xm:sqref>J52:J1000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B206"/>
  <sheetViews>
    <sheetView workbookViewId="0">
      <selection activeCell="D35" sqref="D35"/>
    </sheetView>
  </sheetViews>
  <sheetFormatPr defaultRowHeight="15"/>
  <cols>
    <col min="1" max="1" width="30.5703125" bestFit="1" customWidth="1"/>
    <col min="2" max="2" width="12.7109375" bestFit="1" customWidth="1"/>
    <col min="9" max="9" width="11.7109375" bestFit="1" customWidth="1"/>
  </cols>
  <sheetData>
    <row r="2" spans="1:2">
      <c r="A2" s="36"/>
      <c r="B2" s="36"/>
    </row>
    <row r="3" spans="1:2">
      <c r="A3" s="36"/>
      <c r="B3" s="36"/>
    </row>
    <row r="4" spans="1:2">
      <c r="A4" s="36"/>
      <c r="B4" s="36"/>
    </row>
    <row r="5" spans="1:2">
      <c r="A5" s="36"/>
      <c r="B5" s="36"/>
    </row>
    <row r="6" spans="1:2">
      <c r="A6" s="36"/>
      <c r="B6" s="36"/>
    </row>
    <row r="7" spans="1:2">
      <c r="A7" s="36"/>
      <c r="B7" s="36"/>
    </row>
    <row r="8" spans="1:2">
      <c r="A8" s="36"/>
      <c r="B8" s="36"/>
    </row>
    <row r="9" spans="1:2">
      <c r="A9" s="36"/>
      <c r="B9" s="36"/>
    </row>
    <row r="10" spans="1:2">
      <c r="A10" s="36"/>
      <c r="B10" s="36"/>
    </row>
    <row r="11" spans="1:2">
      <c r="A11" s="36"/>
      <c r="B11" s="36"/>
    </row>
    <row r="12" spans="1:2">
      <c r="A12" s="36"/>
      <c r="B12" s="36"/>
    </row>
    <row r="13" spans="1:2">
      <c r="A13" s="36"/>
      <c r="B13" s="36"/>
    </row>
    <row r="14" spans="1:2">
      <c r="A14" s="36"/>
      <c r="B14" s="36"/>
    </row>
    <row r="15" spans="1:2">
      <c r="A15" s="36"/>
      <c r="B15" s="36"/>
    </row>
    <row r="16" spans="1:2">
      <c r="A16" s="36"/>
      <c r="B16" s="36"/>
    </row>
    <row r="17" spans="1:2">
      <c r="A17" s="36"/>
      <c r="B17" s="36"/>
    </row>
    <row r="18" spans="1:2">
      <c r="A18" s="36"/>
      <c r="B18" s="36"/>
    </row>
    <row r="19" spans="1:2">
      <c r="A19" s="36"/>
      <c r="B19" s="36"/>
    </row>
    <row r="20" spans="1:2">
      <c r="A20" s="36"/>
      <c r="B20" s="36"/>
    </row>
    <row r="21" spans="1:2">
      <c r="A21" s="36"/>
      <c r="B21" s="36"/>
    </row>
    <row r="22" spans="1:2">
      <c r="A22" s="36"/>
      <c r="B22" s="36"/>
    </row>
    <row r="23" spans="1:2">
      <c r="A23" s="36"/>
      <c r="B23" s="36"/>
    </row>
    <row r="24" spans="1:2">
      <c r="A24" s="36"/>
      <c r="B24" s="36"/>
    </row>
    <row r="25" spans="1:2">
      <c r="A25" s="36"/>
      <c r="B25" s="36"/>
    </row>
    <row r="26" spans="1:2">
      <c r="A26" s="36"/>
      <c r="B26" s="36"/>
    </row>
    <row r="27" spans="1:2">
      <c r="A27" s="36"/>
      <c r="B27" s="36"/>
    </row>
    <row r="28" spans="1:2">
      <c r="A28" s="36"/>
      <c r="B28" s="36"/>
    </row>
    <row r="29" spans="1:2">
      <c r="A29" s="36"/>
      <c r="B29" s="36"/>
    </row>
    <row r="30" spans="1:2">
      <c r="A30" s="36"/>
      <c r="B30" s="36"/>
    </row>
    <row r="31" spans="1:2">
      <c r="A31" s="36"/>
      <c r="B31" s="36"/>
    </row>
    <row r="32" spans="1:2">
      <c r="A32" s="36"/>
      <c r="B32" s="36"/>
    </row>
    <row r="33" spans="1:2">
      <c r="A33" s="36"/>
      <c r="B33" s="36"/>
    </row>
    <row r="34" spans="1:2">
      <c r="A34" s="36"/>
      <c r="B34" s="36"/>
    </row>
    <row r="35" spans="1:2">
      <c r="A35" s="36"/>
      <c r="B35" s="36"/>
    </row>
    <row r="36" spans="1:2">
      <c r="A36" s="36"/>
      <c r="B36" s="36"/>
    </row>
    <row r="37" spans="1:2">
      <c r="A37" s="36"/>
      <c r="B37" s="36"/>
    </row>
    <row r="38" spans="1:2">
      <c r="A38" s="36"/>
      <c r="B38" s="36"/>
    </row>
    <row r="39" spans="1:2">
      <c r="A39" s="36"/>
      <c r="B39" s="36"/>
    </row>
    <row r="40" spans="1:2">
      <c r="A40" s="36"/>
      <c r="B40" s="36"/>
    </row>
    <row r="41" spans="1:2">
      <c r="A41" s="36"/>
      <c r="B41" s="36"/>
    </row>
    <row r="42" spans="1:2">
      <c r="A42" s="36"/>
      <c r="B42" s="36"/>
    </row>
    <row r="43" spans="1:2">
      <c r="A43" s="36"/>
      <c r="B43" s="36"/>
    </row>
    <row r="44" spans="1:2">
      <c r="A44" s="36"/>
      <c r="B44" s="36"/>
    </row>
    <row r="45" spans="1:2">
      <c r="A45" s="36"/>
      <c r="B45" s="36"/>
    </row>
    <row r="46" spans="1:2">
      <c r="A46" s="36"/>
      <c r="B46" s="36"/>
    </row>
    <row r="47" spans="1:2">
      <c r="A47" s="36"/>
      <c r="B47" s="36"/>
    </row>
    <row r="48" spans="1:2">
      <c r="A48" s="36"/>
      <c r="B48" s="36"/>
    </row>
    <row r="49" spans="1:2">
      <c r="A49" s="36"/>
      <c r="B49" s="36"/>
    </row>
    <row r="50" spans="1:2">
      <c r="A50" s="36"/>
      <c r="B50" s="36"/>
    </row>
    <row r="51" spans="1:2">
      <c r="A51" s="36"/>
      <c r="B51" s="36"/>
    </row>
    <row r="52" spans="1:2">
      <c r="A52" s="36"/>
      <c r="B52" s="36"/>
    </row>
    <row r="53" spans="1:2">
      <c r="A53" s="36"/>
      <c r="B53" s="36"/>
    </row>
    <row r="54" spans="1:2">
      <c r="A54" s="36"/>
      <c r="B54" s="36"/>
    </row>
    <row r="55" spans="1:2">
      <c r="A55" s="36"/>
      <c r="B55" s="36"/>
    </row>
    <row r="56" spans="1:2">
      <c r="A56" s="36"/>
      <c r="B56" s="36"/>
    </row>
    <row r="57" spans="1:2">
      <c r="A57" s="36"/>
      <c r="B57" s="36"/>
    </row>
    <row r="58" spans="1:2">
      <c r="A58" s="36"/>
      <c r="B58" s="36"/>
    </row>
    <row r="59" spans="1:2">
      <c r="A59" s="36"/>
      <c r="B59" s="36"/>
    </row>
    <row r="60" spans="1:2">
      <c r="A60" s="36"/>
      <c r="B60" s="36"/>
    </row>
    <row r="61" spans="1:2">
      <c r="A61" s="36"/>
      <c r="B61" s="36"/>
    </row>
    <row r="62" spans="1:2">
      <c r="A62" s="36"/>
      <c r="B62" s="36"/>
    </row>
    <row r="63" spans="1:2">
      <c r="A63" s="36"/>
      <c r="B63" s="36"/>
    </row>
    <row r="64" spans="1:2">
      <c r="A64" s="36"/>
      <c r="B64" s="36"/>
    </row>
    <row r="65" spans="1:2">
      <c r="A65" s="36"/>
      <c r="B65" s="36"/>
    </row>
    <row r="66" spans="1:2">
      <c r="A66" s="36"/>
      <c r="B66" s="36"/>
    </row>
    <row r="67" spans="1:2">
      <c r="A67" s="36"/>
      <c r="B67" s="36"/>
    </row>
    <row r="68" spans="1:2">
      <c r="A68" s="36"/>
      <c r="B68" s="36"/>
    </row>
    <row r="69" spans="1:2">
      <c r="A69" s="36"/>
      <c r="B69" s="36"/>
    </row>
    <row r="70" spans="1:2">
      <c r="A70" s="36"/>
      <c r="B70" s="36"/>
    </row>
    <row r="71" spans="1:2">
      <c r="A71" s="36"/>
      <c r="B71" s="36"/>
    </row>
    <row r="72" spans="1:2">
      <c r="A72" s="36"/>
      <c r="B72" s="36"/>
    </row>
    <row r="73" spans="1:2">
      <c r="A73" s="36"/>
      <c r="B73" s="36"/>
    </row>
    <row r="74" spans="1:2">
      <c r="A74" s="36"/>
      <c r="B74" s="36"/>
    </row>
    <row r="75" spans="1:2">
      <c r="A75" s="36"/>
      <c r="B75" s="36"/>
    </row>
    <row r="76" spans="1:2">
      <c r="A76" s="36"/>
      <c r="B76" s="36"/>
    </row>
    <row r="77" spans="1:2">
      <c r="A77" s="36"/>
      <c r="B77" s="36"/>
    </row>
    <row r="78" spans="1:2">
      <c r="A78" s="36"/>
      <c r="B78" s="36"/>
    </row>
    <row r="79" spans="1:2">
      <c r="A79" s="36"/>
      <c r="B79" s="36"/>
    </row>
    <row r="80" spans="1:2">
      <c r="A80" s="36"/>
      <c r="B80" s="36"/>
    </row>
    <row r="81" spans="1:2">
      <c r="A81" s="36"/>
      <c r="B81" s="36"/>
    </row>
    <row r="82" spans="1:2">
      <c r="A82" s="36"/>
      <c r="B82" s="36"/>
    </row>
    <row r="83" spans="1:2">
      <c r="A83" s="36"/>
      <c r="B83" s="36"/>
    </row>
    <row r="84" spans="1:2">
      <c r="A84" s="36"/>
      <c r="B84" s="36"/>
    </row>
    <row r="85" spans="1:2">
      <c r="A85" s="36"/>
      <c r="B85" s="36"/>
    </row>
    <row r="86" spans="1:2">
      <c r="A86" s="36"/>
      <c r="B86" s="36"/>
    </row>
    <row r="87" spans="1:2">
      <c r="A87" s="36"/>
      <c r="B87" s="36"/>
    </row>
    <row r="88" spans="1:2">
      <c r="A88" s="36"/>
      <c r="B88" s="36"/>
    </row>
    <row r="89" spans="1:2">
      <c r="A89" s="36"/>
      <c r="B89" s="36"/>
    </row>
    <row r="90" spans="1:2">
      <c r="A90" s="36"/>
      <c r="B90" s="36"/>
    </row>
    <row r="91" spans="1:2">
      <c r="A91" s="36"/>
      <c r="B91" s="36"/>
    </row>
    <row r="92" spans="1:2">
      <c r="A92" s="36"/>
      <c r="B92" s="36"/>
    </row>
    <row r="93" spans="1:2">
      <c r="A93" s="36"/>
      <c r="B93" s="36"/>
    </row>
    <row r="94" spans="1:2">
      <c r="A94" s="36"/>
      <c r="B94" s="36"/>
    </row>
    <row r="95" spans="1:2">
      <c r="A95" s="36"/>
      <c r="B95" s="36"/>
    </row>
    <row r="96" spans="1:2">
      <c r="A96" s="36"/>
      <c r="B96" s="36"/>
    </row>
    <row r="97" spans="1:2">
      <c r="A97" s="36"/>
      <c r="B97" s="36"/>
    </row>
    <row r="98" spans="1:2">
      <c r="A98" s="36"/>
      <c r="B98" s="36"/>
    </row>
    <row r="99" spans="1:2">
      <c r="A99" s="36"/>
      <c r="B99" s="36"/>
    </row>
    <row r="100" spans="1:2">
      <c r="A100" s="36"/>
      <c r="B100" s="36"/>
    </row>
    <row r="101" spans="1:2">
      <c r="A101" s="36"/>
      <c r="B101" s="36"/>
    </row>
    <row r="102" spans="1:2">
      <c r="A102" s="36"/>
      <c r="B102" s="36"/>
    </row>
    <row r="103" spans="1:2">
      <c r="A103" s="36"/>
      <c r="B103" s="36"/>
    </row>
    <row r="104" spans="1:2">
      <c r="A104" s="36"/>
      <c r="B104" s="36"/>
    </row>
    <row r="105" spans="1:2">
      <c r="A105" s="36"/>
      <c r="B105" s="36"/>
    </row>
    <row r="106" spans="1:2">
      <c r="A106" s="36"/>
      <c r="B106" s="36"/>
    </row>
    <row r="107" spans="1:2">
      <c r="A107" s="36"/>
      <c r="B107" s="36"/>
    </row>
    <row r="108" spans="1:2">
      <c r="A108" s="36"/>
      <c r="B108" s="36"/>
    </row>
    <row r="109" spans="1:2">
      <c r="A109" s="36"/>
      <c r="B109" s="36"/>
    </row>
    <row r="110" spans="1:2">
      <c r="A110" s="36"/>
      <c r="B110" s="36"/>
    </row>
    <row r="111" spans="1:2">
      <c r="A111" s="36"/>
      <c r="B111" s="36"/>
    </row>
    <row r="112" spans="1:2">
      <c r="A112" s="36"/>
      <c r="B112" s="36"/>
    </row>
    <row r="113" spans="1:2">
      <c r="A113" s="36"/>
      <c r="B113" s="36"/>
    </row>
    <row r="114" spans="1:2">
      <c r="A114" s="36"/>
      <c r="B114" s="36"/>
    </row>
    <row r="115" spans="1:2">
      <c r="A115" s="36"/>
      <c r="B115" s="36"/>
    </row>
    <row r="116" spans="1:2">
      <c r="A116" s="36"/>
      <c r="B116" s="36"/>
    </row>
    <row r="117" spans="1:2">
      <c r="A117" s="36"/>
      <c r="B117" s="36"/>
    </row>
    <row r="118" spans="1:2">
      <c r="A118" s="36"/>
      <c r="B118" s="36"/>
    </row>
    <row r="119" spans="1:2">
      <c r="A119" s="36"/>
      <c r="B119" s="36"/>
    </row>
    <row r="120" spans="1:2">
      <c r="A120" s="36"/>
      <c r="B120" s="36"/>
    </row>
    <row r="121" spans="1:2">
      <c r="A121" s="36"/>
      <c r="B121" s="36"/>
    </row>
    <row r="122" spans="1:2">
      <c r="A122" s="36"/>
      <c r="B122" s="36"/>
    </row>
    <row r="123" spans="1:2">
      <c r="A123" s="36"/>
      <c r="B123" s="36"/>
    </row>
    <row r="124" spans="1:2">
      <c r="A124" s="36"/>
      <c r="B124" s="36"/>
    </row>
    <row r="125" spans="1:2">
      <c r="A125" s="36"/>
      <c r="B125" s="36"/>
    </row>
    <row r="126" spans="1:2">
      <c r="A126" s="36"/>
      <c r="B126" s="36"/>
    </row>
    <row r="127" spans="1:2">
      <c r="A127" s="36"/>
      <c r="B127" s="36"/>
    </row>
    <row r="128" spans="1:2">
      <c r="A128" s="36"/>
      <c r="B128" s="36"/>
    </row>
    <row r="129" spans="1:2">
      <c r="A129" s="36"/>
      <c r="B129" s="36"/>
    </row>
    <row r="130" spans="1:2">
      <c r="A130" s="36"/>
      <c r="B130" s="36"/>
    </row>
    <row r="131" spans="1:2">
      <c r="A131" s="36"/>
      <c r="B131" s="36"/>
    </row>
    <row r="132" spans="1:2">
      <c r="A132" s="36"/>
      <c r="B132" s="36"/>
    </row>
    <row r="133" spans="1:2">
      <c r="A133" s="36"/>
      <c r="B133" s="36"/>
    </row>
    <row r="134" spans="1:2">
      <c r="A134" s="36"/>
      <c r="B134" s="36"/>
    </row>
    <row r="135" spans="1:2">
      <c r="A135" s="36"/>
      <c r="B135" s="36"/>
    </row>
    <row r="136" spans="1:2">
      <c r="A136" s="36"/>
      <c r="B136" s="36"/>
    </row>
    <row r="137" spans="1:2">
      <c r="A137" s="36"/>
      <c r="B137" s="36"/>
    </row>
    <row r="138" spans="1:2">
      <c r="A138" s="36"/>
      <c r="B138" s="36"/>
    </row>
    <row r="139" spans="1:2">
      <c r="A139" s="36"/>
      <c r="B139" s="36"/>
    </row>
    <row r="140" spans="1:2">
      <c r="A140" s="36"/>
      <c r="B140" s="36"/>
    </row>
    <row r="141" spans="1:2">
      <c r="A141" s="36"/>
      <c r="B141" s="36"/>
    </row>
    <row r="142" spans="1:2">
      <c r="A142" s="36"/>
      <c r="B142" s="36"/>
    </row>
    <row r="143" spans="1:2">
      <c r="A143" s="36"/>
      <c r="B143" s="36"/>
    </row>
    <row r="144" spans="1:2">
      <c r="A144" s="36"/>
      <c r="B144" s="36"/>
    </row>
    <row r="145" spans="1:2">
      <c r="A145" s="36"/>
      <c r="B145" s="36"/>
    </row>
    <row r="146" spans="1:2">
      <c r="A146" s="36"/>
      <c r="B146" s="36"/>
    </row>
    <row r="147" spans="1:2">
      <c r="A147" s="36"/>
      <c r="B147" s="36"/>
    </row>
    <row r="148" spans="1:2">
      <c r="A148" s="36"/>
      <c r="B148" s="36"/>
    </row>
    <row r="149" spans="1:2">
      <c r="A149" s="36"/>
      <c r="B149" s="36"/>
    </row>
    <row r="150" spans="1:2">
      <c r="A150" s="36"/>
      <c r="B150" s="36"/>
    </row>
    <row r="151" spans="1:2">
      <c r="A151" s="36"/>
      <c r="B151" s="36"/>
    </row>
    <row r="152" spans="1:2">
      <c r="A152" s="36"/>
      <c r="B152" s="36"/>
    </row>
    <row r="153" spans="1:2">
      <c r="A153" s="36"/>
      <c r="B153" s="36"/>
    </row>
    <row r="154" spans="1:2">
      <c r="A154" s="36"/>
      <c r="B154" s="36"/>
    </row>
    <row r="155" spans="1:2">
      <c r="A155" s="36"/>
      <c r="B155" s="36"/>
    </row>
    <row r="156" spans="1:2">
      <c r="A156" s="36"/>
      <c r="B156" s="36"/>
    </row>
    <row r="157" spans="1:2">
      <c r="A157" s="36"/>
      <c r="B157" s="36"/>
    </row>
    <row r="158" spans="1:2">
      <c r="A158" s="36"/>
      <c r="B158" s="36"/>
    </row>
    <row r="159" spans="1:2">
      <c r="A159" s="36"/>
      <c r="B159" s="36"/>
    </row>
    <row r="160" spans="1:2">
      <c r="A160" s="36"/>
      <c r="B160" s="36"/>
    </row>
    <row r="161" spans="1:2">
      <c r="A161" s="36"/>
      <c r="B161" s="36"/>
    </row>
    <row r="162" spans="1:2">
      <c r="A162" s="36"/>
      <c r="B162" s="36"/>
    </row>
    <row r="163" spans="1:2">
      <c r="A163" s="36"/>
      <c r="B163" s="36"/>
    </row>
    <row r="164" spans="1:2">
      <c r="A164" s="36"/>
      <c r="B164" s="36"/>
    </row>
    <row r="165" spans="1:2">
      <c r="A165" s="36"/>
      <c r="B165" s="36"/>
    </row>
    <row r="166" spans="1:2">
      <c r="A166" s="36"/>
      <c r="B166" s="36"/>
    </row>
    <row r="167" spans="1:2">
      <c r="A167" s="36"/>
      <c r="B167" s="36"/>
    </row>
    <row r="168" spans="1:2">
      <c r="A168" s="36"/>
      <c r="B168" s="36"/>
    </row>
    <row r="169" spans="1:2">
      <c r="A169" s="36"/>
      <c r="B169" s="36"/>
    </row>
    <row r="170" spans="1:2">
      <c r="A170" s="36"/>
      <c r="B170" s="36"/>
    </row>
    <row r="171" spans="1:2">
      <c r="A171" s="36"/>
      <c r="B171" s="36"/>
    </row>
    <row r="172" spans="1:2">
      <c r="A172" s="36"/>
      <c r="B172" s="36"/>
    </row>
    <row r="173" spans="1:2">
      <c r="A173" s="36"/>
      <c r="B173" s="36"/>
    </row>
    <row r="174" spans="1:2">
      <c r="A174" s="36"/>
      <c r="B174" s="36"/>
    </row>
    <row r="175" spans="1:2">
      <c r="A175" s="36"/>
      <c r="B175" s="36"/>
    </row>
    <row r="176" spans="1:2">
      <c r="A176" s="36"/>
      <c r="B176" s="36"/>
    </row>
    <row r="177" spans="1:2">
      <c r="A177" s="36"/>
      <c r="B177" s="36"/>
    </row>
    <row r="178" spans="1:2">
      <c r="A178" s="36"/>
      <c r="B178" s="36"/>
    </row>
    <row r="179" spans="1:2">
      <c r="A179" s="36"/>
      <c r="B179" s="36"/>
    </row>
    <row r="180" spans="1:2">
      <c r="A180" s="36"/>
      <c r="B180" s="36"/>
    </row>
    <row r="181" spans="1:2">
      <c r="A181" s="36"/>
      <c r="B181" s="36"/>
    </row>
    <row r="182" spans="1:2">
      <c r="A182" s="36"/>
      <c r="B182" s="36"/>
    </row>
    <row r="183" spans="1:2">
      <c r="A183" s="36"/>
      <c r="B183" s="36"/>
    </row>
    <row r="184" spans="1:2">
      <c r="A184" s="36"/>
      <c r="B184" s="36"/>
    </row>
    <row r="185" spans="1:2">
      <c r="A185" s="36"/>
      <c r="B185" s="36"/>
    </row>
    <row r="186" spans="1:2">
      <c r="A186" s="36"/>
      <c r="B186" s="36"/>
    </row>
    <row r="187" spans="1:2">
      <c r="A187" s="36"/>
      <c r="B187" s="36"/>
    </row>
    <row r="188" spans="1:2">
      <c r="A188" s="36"/>
      <c r="B188" s="36"/>
    </row>
    <row r="189" spans="1:2">
      <c r="A189" s="36"/>
      <c r="B189" s="36"/>
    </row>
    <row r="190" spans="1:2">
      <c r="A190" s="36"/>
      <c r="B190" s="36"/>
    </row>
    <row r="191" spans="1:2">
      <c r="A191" s="36"/>
      <c r="B191" s="36"/>
    </row>
    <row r="192" spans="1:2">
      <c r="A192" s="36"/>
      <c r="B192" s="36"/>
    </row>
    <row r="193" spans="1:2">
      <c r="A193" s="36"/>
      <c r="B193" s="36"/>
    </row>
    <row r="194" spans="1:2">
      <c r="A194" s="36"/>
      <c r="B194" s="36"/>
    </row>
    <row r="195" spans="1:2">
      <c r="A195" s="36"/>
      <c r="B195" s="36"/>
    </row>
    <row r="196" spans="1:2">
      <c r="A196" s="36"/>
      <c r="B196" s="36"/>
    </row>
    <row r="197" spans="1:2">
      <c r="A197" s="36"/>
      <c r="B197" s="36"/>
    </row>
    <row r="198" spans="1:2">
      <c r="A198" s="36"/>
      <c r="B198" s="36"/>
    </row>
    <row r="199" spans="1:2">
      <c r="A199" s="36"/>
      <c r="B199" s="36"/>
    </row>
    <row r="200" spans="1:2">
      <c r="A200" s="36"/>
      <c r="B200" s="36"/>
    </row>
    <row r="201" spans="1:2">
      <c r="A201" s="36"/>
      <c r="B201" s="36"/>
    </row>
    <row r="202" spans="1:2">
      <c r="A202" s="36"/>
      <c r="B202" s="36"/>
    </row>
    <row r="203" spans="1:2">
      <c r="A203" s="36"/>
      <c r="B203" s="36"/>
    </row>
    <row r="204" spans="1:2">
      <c r="A204" s="36"/>
      <c r="B204" s="36"/>
    </row>
    <row r="205" spans="1:2">
      <c r="A205" s="36"/>
      <c r="B205" s="36"/>
    </row>
    <row r="206" spans="1:2">
      <c r="A206" s="36"/>
      <c r="B206" s="36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1e7f20-fe0a-487d-91a9-605ac1c64acf" xsi:nil="true"/>
    <lcf76f155ced4ddcb4097134ff3c332f xmlns="6f4338ef-addb-4c87-aefe-1895241b335f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08D58FADB61F04EBBB4F355C06EFBED" ma:contentTypeVersion="19" ma:contentTypeDescription="Crie um novo documento." ma:contentTypeScope="" ma:versionID="b1e0f6055e0e9a4b9e75d6c71ee7de91">
  <xsd:schema xmlns:xsd="http://www.w3.org/2001/XMLSchema" xmlns:xs="http://www.w3.org/2001/XMLSchema" xmlns:p="http://schemas.microsoft.com/office/2006/metadata/properties" xmlns:ns2="6f4338ef-addb-4c87-aefe-1895241b335f" xmlns:ns3="b91e7f20-fe0a-487d-91a9-605ac1c64acf" targetNamespace="http://schemas.microsoft.com/office/2006/metadata/properties" ma:root="true" ma:fieldsID="b43930f3490e4d4da1ab3f8da7df6f51" ns2:_="" ns3:_="">
    <xsd:import namespace="6f4338ef-addb-4c87-aefe-1895241b335f"/>
    <xsd:import namespace="b91e7f20-fe0a-487d-91a9-605ac1c64a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4338ef-addb-4c87-aefe-1895241b3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Marcações de imagem" ma:readOnly="false" ma:fieldId="{5cf76f15-5ced-4ddc-b409-7134ff3c332f}" ma:taxonomyMulti="true" ma:sspId="917d32f3-4fa4-4f5b-a8d0-62dbd3d265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1e7f20-fe0a-487d-91a9-605ac1c64ac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8708050-f001-4dcd-9fe1-c60e835c33fc}" ma:internalName="TaxCatchAll" ma:showField="CatchAllData" ma:web="b91e7f20-fe0a-487d-91a9-605ac1c64a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8840F8-9F15-4185-9386-BD55FD92FB2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A332B4F-C845-415A-A730-66239C088BE8}">
  <ds:schemaRefs>
    <ds:schemaRef ds:uri="http://schemas.microsoft.com/office/2006/metadata/properties"/>
    <ds:schemaRef ds:uri="http://schemas.microsoft.com/office/infopath/2007/PartnerControls"/>
    <ds:schemaRef ds:uri="b91e7f20-fe0a-487d-91a9-605ac1c64acf"/>
    <ds:schemaRef ds:uri="6f4338ef-addb-4c87-aefe-1895241b335f"/>
  </ds:schemaRefs>
</ds:datastoreItem>
</file>

<file path=customXml/itemProps3.xml><?xml version="1.0" encoding="utf-8"?>
<ds:datastoreItem xmlns:ds="http://schemas.openxmlformats.org/officeDocument/2006/customXml" ds:itemID="{48CB62D0-ADE1-451F-AAFC-C19F929C11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4338ef-addb-4c87-aefe-1895241b335f"/>
    <ds:schemaRef ds:uri="b91e7f20-fe0a-487d-91a9-605ac1c64a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150</vt:i4>
      </vt:variant>
    </vt:vector>
  </HeadingPairs>
  <TitlesOfParts>
    <vt:vector size="156" baseType="lpstr">
      <vt:lpstr>ROBO</vt:lpstr>
      <vt:lpstr>REGRAS</vt:lpstr>
      <vt:lpstr>Planilha1</vt:lpstr>
      <vt:lpstr>qdd</vt:lpstr>
      <vt:lpstr>PREENCHER AQUI</vt:lpstr>
      <vt:lpstr>Consulta</vt:lpstr>
      <vt:lpstr>ACAO1011</vt:lpstr>
      <vt:lpstr>ACAO1021</vt:lpstr>
      <vt:lpstr>ACAO1031</vt:lpstr>
      <vt:lpstr>ACAO1051</vt:lpstr>
      <vt:lpstr>ACAO1071</vt:lpstr>
      <vt:lpstr>ACAO1081</vt:lpstr>
      <vt:lpstr>ACAO1091</vt:lpstr>
      <vt:lpstr>ACAO1101</vt:lpstr>
      <vt:lpstr>ACAO1191</vt:lpstr>
      <vt:lpstr>ACAO1221</vt:lpstr>
      <vt:lpstr>ACAO1231</vt:lpstr>
      <vt:lpstr>ACAO1251</vt:lpstr>
      <vt:lpstr>ACAO1261</vt:lpstr>
      <vt:lpstr>ACAO1271</vt:lpstr>
      <vt:lpstr>ACAO1301</vt:lpstr>
      <vt:lpstr>ACAO1371</vt:lpstr>
      <vt:lpstr>ACAO1401</vt:lpstr>
      <vt:lpstr>ACAO1441</vt:lpstr>
      <vt:lpstr>ACAO1451</vt:lpstr>
      <vt:lpstr>ACAO1481</vt:lpstr>
      <vt:lpstr>ACAO1491</vt:lpstr>
      <vt:lpstr>ACAO1501</vt:lpstr>
      <vt:lpstr>ACAO1511</vt:lpstr>
      <vt:lpstr>ACAO1521</vt:lpstr>
      <vt:lpstr>ACAO1541</vt:lpstr>
      <vt:lpstr>ACAO1631</vt:lpstr>
      <vt:lpstr>ACAO1711</vt:lpstr>
      <vt:lpstr>ACAO1721</vt:lpstr>
      <vt:lpstr>ACAO1911</vt:lpstr>
      <vt:lpstr>ACAO1915</vt:lpstr>
      <vt:lpstr>ACAO1916</vt:lpstr>
      <vt:lpstr>ACAO1941</vt:lpstr>
      <vt:lpstr>ACAO1951</vt:lpstr>
      <vt:lpstr>ACAO1991</vt:lpstr>
      <vt:lpstr>ACAO2011</vt:lpstr>
      <vt:lpstr>ACAO2041</vt:lpstr>
      <vt:lpstr>ACAO2061</vt:lpstr>
      <vt:lpstr>ACAO2071</vt:lpstr>
      <vt:lpstr>ACAO2091</vt:lpstr>
      <vt:lpstr>ACAO2101</vt:lpstr>
      <vt:lpstr>ACAO2121</vt:lpstr>
      <vt:lpstr>ACAO2151</vt:lpstr>
      <vt:lpstr>ACAO2161</vt:lpstr>
      <vt:lpstr>ACAO2171</vt:lpstr>
      <vt:lpstr>ACAO2181</vt:lpstr>
      <vt:lpstr>ACAO2201</vt:lpstr>
      <vt:lpstr>ACAO2211</vt:lpstr>
      <vt:lpstr>ACAO2241</vt:lpstr>
      <vt:lpstr>ACAO2251</vt:lpstr>
      <vt:lpstr>ACAO2261</vt:lpstr>
      <vt:lpstr>ACAO2271</vt:lpstr>
      <vt:lpstr>ACAO2281</vt:lpstr>
      <vt:lpstr>ACAO2301</vt:lpstr>
      <vt:lpstr>ACAO2311</vt:lpstr>
      <vt:lpstr>ACAO2321</vt:lpstr>
      <vt:lpstr>ACAO2331</vt:lpstr>
      <vt:lpstr>ACAO2351</vt:lpstr>
      <vt:lpstr>ACAO2361</vt:lpstr>
      <vt:lpstr>ACAO2371</vt:lpstr>
      <vt:lpstr>ACAO2421</vt:lpstr>
      <vt:lpstr>ACAO2431</vt:lpstr>
      <vt:lpstr>ACAO2441</vt:lpstr>
      <vt:lpstr>ACAO2461</vt:lpstr>
      <vt:lpstr>ACAO2471</vt:lpstr>
      <vt:lpstr>ACAO3041</vt:lpstr>
      <vt:lpstr>ACAO3051</vt:lpstr>
      <vt:lpstr>ACAO3151</vt:lpstr>
      <vt:lpstr>ACAO4031</vt:lpstr>
      <vt:lpstr>ACAO4091</vt:lpstr>
      <vt:lpstr>ACAO4101</vt:lpstr>
      <vt:lpstr>ACAO4111</vt:lpstr>
      <vt:lpstr>ACAO4121</vt:lpstr>
      <vt:lpstr>ACAO4141</vt:lpstr>
      <vt:lpstr>ACAO4151</vt:lpstr>
      <vt:lpstr>ACAO4251</vt:lpstr>
      <vt:lpstr>ACAO4291</vt:lpstr>
      <vt:lpstr>ACAO4321</vt:lpstr>
      <vt:lpstr>ACAO4331</vt:lpstr>
      <vt:lpstr>ACAO4341</vt:lpstr>
      <vt:lpstr>ACAO4381</vt:lpstr>
      <vt:lpstr>ACAO4421</vt:lpstr>
      <vt:lpstr>ACAO4441</vt:lpstr>
      <vt:lpstr>ACAO4451</vt:lpstr>
      <vt:lpstr>ACAO4491</vt:lpstr>
      <vt:lpstr>ACAO4541</vt:lpstr>
      <vt:lpstr>ACAO4551</vt:lpstr>
      <vt:lpstr>ACAO4601</vt:lpstr>
      <vt:lpstr>ACAO4611</vt:lpstr>
      <vt:lpstr>ACAO4621</vt:lpstr>
      <vt:lpstr>ACAO4631</vt:lpstr>
      <vt:lpstr>ACAO4641</vt:lpstr>
      <vt:lpstr>ACAO4651</vt:lpstr>
      <vt:lpstr>ACAO4661</vt:lpstr>
      <vt:lpstr>ACAO4671</vt:lpstr>
      <vt:lpstr>ACAO4691</vt:lpstr>
      <vt:lpstr>ACAO4701</vt:lpstr>
      <vt:lpstr>ACAO4711</vt:lpstr>
      <vt:lpstr>ACAO4721</vt:lpstr>
      <vt:lpstr>ACAO4731</vt:lpstr>
      <vt:lpstr>ACAO4741</vt:lpstr>
      <vt:lpstr>ACAO4751</vt:lpstr>
      <vt:lpstr>categoria3</vt:lpstr>
      <vt:lpstr>categoria4</vt:lpstr>
      <vt:lpstr>G1M90</vt:lpstr>
      <vt:lpstr>G1M91</vt:lpstr>
      <vt:lpstr>G1M99</vt:lpstr>
      <vt:lpstr>G2M90</vt:lpstr>
      <vt:lpstr>G2M91</vt:lpstr>
      <vt:lpstr>G3M20</vt:lpstr>
      <vt:lpstr>G3M40</vt:lpstr>
      <vt:lpstr>G3M41</vt:lpstr>
      <vt:lpstr>G3M50</vt:lpstr>
      <vt:lpstr>G3M60</vt:lpstr>
      <vt:lpstr>G3M67</vt:lpstr>
      <vt:lpstr>G3M70</vt:lpstr>
      <vt:lpstr>G3M71</vt:lpstr>
      <vt:lpstr>G3M80</vt:lpstr>
      <vt:lpstr>G3M90</vt:lpstr>
      <vt:lpstr>G3M91</vt:lpstr>
      <vt:lpstr>G3M95</vt:lpstr>
      <vt:lpstr>G3M99</vt:lpstr>
      <vt:lpstr>G4M20</vt:lpstr>
      <vt:lpstr>G4M40</vt:lpstr>
      <vt:lpstr>G4M41</vt:lpstr>
      <vt:lpstr>G4M50</vt:lpstr>
      <vt:lpstr>G4M60</vt:lpstr>
      <vt:lpstr>G4M70</vt:lpstr>
      <vt:lpstr>G4M71</vt:lpstr>
      <vt:lpstr>G4M90</vt:lpstr>
      <vt:lpstr>G4M91</vt:lpstr>
      <vt:lpstr>G4M95</vt:lpstr>
      <vt:lpstr>G4M99</vt:lpstr>
      <vt:lpstr>G5M20</vt:lpstr>
      <vt:lpstr>G5M40</vt:lpstr>
      <vt:lpstr>G5M41</vt:lpstr>
      <vt:lpstr>G5M50</vt:lpstr>
      <vt:lpstr>G5M67</vt:lpstr>
      <vt:lpstr>G5M90</vt:lpstr>
      <vt:lpstr>G5M91</vt:lpstr>
      <vt:lpstr>G5M99</vt:lpstr>
      <vt:lpstr>G6M90</vt:lpstr>
      <vt:lpstr>G6M91</vt:lpstr>
      <vt:lpstr>G9M99</vt:lpstr>
      <vt:lpstr>GRUPO1</vt:lpstr>
      <vt:lpstr>GRUPO2</vt:lpstr>
      <vt:lpstr>GRUPO3</vt:lpstr>
      <vt:lpstr>GRUPO4</vt:lpstr>
      <vt:lpstr>GRUPO5</vt:lpstr>
      <vt:lpstr>GRUPO6</vt:lpstr>
      <vt:lpstr>GRUPO9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rbech</dc:creator>
  <cp:keywords/>
  <dc:description/>
  <cp:lastModifiedBy>Guilherme de Melo Ferreira (SEPLAG)</cp:lastModifiedBy>
  <cp:revision/>
  <dcterms:created xsi:type="dcterms:W3CDTF">2023-12-28T10:38:13Z</dcterms:created>
  <dcterms:modified xsi:type="dcterms:W3CDTF">2026-06-10T15:23:19Z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0x010100B08D58FADB61F04EBBB4F355C06EFBED</vt:lpwstr>
  </property>
  <property fmtid="{D5CDD505-2E9C-101B-9397-08002B2CF9AE}" pid="3" name="MediaServiceImageTags">
    <vt:lpwstr/>
  </property>
</Properties>
</file>